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EmilyHingston\Sol Team Dropbox\Emily Hingston\Projects\Cobalt Energy\2. Annual Reports\Wolverhampton\"/>
    </mc:Choice>
  </mc:AlternateContent>
  <xr:revisionPtr revIDLastSave="0" documentId="13_ncr:1_{6C19052A-D1A4-4E50-8C8E-29F2F077DFDB}" xr6:coauthVersionLast="47" xr6:coauthVersionMax="47" xr10:uidLastSave="{00000000-0000-0000-0000-000000000000}"/>
  <bookViews>
    <workbookView xWindow="-108" yWindow="-108" windowWidth="23256" windowHeight="12576"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HCl" sheetId="13" r:id="rId15"/>
    <sheet name="SO2" sheetId="25" r:id="rId16"/>
    <sheet name="NOx" sheetId="26" r:id="rId17"/>
    <sheet name="TOC" sheetId="27" r:id="rId18"/>
    <sheet name="Particulates" sheetId="28" r:id="rId19"/>
    <sheet name="CO 95% 10 min" sheetId="30" r:id="rId20"/>
    <sheet name="NH3" sheetId="31" r:id="rId21"/>
  </sheets>
  <definedNames>
    <definedName name="_xlnm.Print_Area" localSheetId="13">'Air (CEMS)'!$A$1:$M$30</definedName>
    <definedName name="_xlnm.Print_Area" localSheetId="12">'Air (periodic)'!$A$1:$J$40</definedName>
    <definedName name="_xlnm.Print_Area" localSheetId="19">'CO 95% 10 min'!$A$1:$H$52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Info'!$A$1:$I$74</definedName>
    <definedName name="_xlnm.Print_Area" localSheetId="14">HCl!$A$1:$G$52</definedName>
    <definedName name="_xlnm.Print_Area" localSheetId="8">Improvements!$A$1:$J$48</definedName>
    <definedName name="_xlnm.Print_Area" localSheetId="20">'NH3'!$A$1:$G$52</definedName>
    <definedName name="_xlnm.Print_Area" localSheetId="16">NOx!$A$1:$G$52</definedName>
    <definedName name="_xlnm.Print_Area" localSheetId="3">'Operational Data'!$A$1:$H$58</definedName>
    <definedName name="_xlnm.Print_Area" localSheetId="4">'Operational Summary'!$A$1:$I$52</definedName>
    <definedName name="_xlnm.Print_Area" localSheetId="18">Particulates!$A$1:$G$52</definedName>
    <definedName name="_xlnm.Print_Area" localSheetId="5">'Perf. Form 1'!$A$1:$J$55</definedName>
    <definedName name="_xlnm.Print_Area" localSheetId="7">'Permit Compliance'!$A$1:$K$48</definedName>
    <definedName name="_xlnm.Print_Area" localSheetId="9">'Public Liasion'!$A$1:$J$29</definedName>
    <definedName name="_xlnm.Print_Area" localSheetId="10">'Residue Quality '!$A$1:$G$41</definedName>
    <definedName name="_xlnm.Print_Area" localSheetId="15">'SO2'!$A$1:$G$52</definedName>
    <definedName name="_xlnm.Print_Area" localSheetId="17">TOC!$A$1:$G$52</definedName>
    <definedName name="_xlnm.Print_Area" localSheetId="11">Water!$A$1:$J$33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6" i="24" l="1"/>
  <c r="F26" i="24"/>
  <c r="E26" i="24"/>
  <c r="D26" i="24"/>
  <c r="G25" i="24"/>
  <c r="F25" i="24"/>
  <c r="N34" i="30"/>
  <c r="N19" i="30"/>
  <c r="E25" i="24"/>
  <c r="D25" i="24"/>
  <c r="G24" i="24"/>
  <c r="F24" i="24"/>
  <c r="E24" i="24"/>
  <c r="D24" i="24"/>
  <c r="G23" i="24"/>
  <c r="F23" i="24"/>
  <c r="E23" i="24"/>
  <c r="D23" i="24"/>
  <c r="G22" i="24"/>
  <c r="F22" i="24"/>
  <c r="E22" i="24"/>
  <c r="D22" i="24"/>
  <c r="G21" i="24"/>
  <c r="F21" i="24"/>
  <c r="E21" i="24"/>
  <c r="D21" i="24"/>
  <c r="G20" i="24"/>
  <c r="F20" i="24"/>
  <c r="E20" i="24"/>
  <c r="D20" i="24"/>
  <c r="G19" i="24"/>
  <c r="F19" i="24"/>
  <c r="G18" i="24"/>
  <c r="F18" i="24"/>
  <c r="E19" i="24"/>
  <c r="E18" i="24"/>
  <c r="D19" i="24"/>
  <c r="D18" i="24"/>
  <c r="G17" i="24"/>
  <c r="F17" i="24"/>
  <c r="E17" i="24"/>
  <c r="D17" i="24"/>
  <c r="G16" i="24"/>
  <c r="F16" i="24"/>
  <c r="E16" i="24"/>
  <c r="D16" i="24"/>
  <c r="G15" i="24"/>
  <c r="F15" i="24"/>
  <c r="E15" i="24"/>
  <c r="D15" i="24"/>
  <c r="G14" i="24"/>
  <c r="F14" i="24"/>
  <c r="E14" i="24"/>
  <c r="D14" i="24"/>
  <c r="F12" i="31"/>
  <c r="G12" i="31"/>
  <c r="D12" i="31"/>
  <c r="C12" i="31"/>
  <c r="F13" i="26"/>
  <c r="F10" i="26"/>
  <c r="F8" i="26"/>
  <c r="F8" i="31"/>
  <c r="G8" i="31"/>
  <c r="F9" i="31"/>
  <c r="G9" i="31"/>
  <c r="F10" i="31"/>
  <c r="G10" i="31"/>
  <c r="F11" i="31"/>
  <c r="G11" i="31"/>
  <c r="F13" i="31"/>
  <c r="G13" i="31"/>
  <c r="F14" i="31"/>
  <c r="G14" i="31"/>
  <c r="F15" i="31"/>
  <c r="G15" i="31"/>
  <c r="F16" i="31"/>
  <c r="G16" i="31"/>
  <c r="F17" i="31"/>
  <c r="G17" i="31"/>
  <c r="F18" i="31"/>
  <c r="G18" i="31"/>
  <c r="C8" i="31"/>
  <c r="D8" i="31"/>
  <c r="C9" i="31"/>
  <c r="D9" i="31"/>
  <c r="C10" i="31"/>
  <c r="D10" i="31"/>
  <c r="C11" i="31"/>
  <c r="D11" i="31"/>
  <c r="C13" i="31"/>
  <c r="D13" i="31"/>
  <c r="C14" i="31"/>
  <c r="D14" i="31"/>
  <c r="C15" i="31"/>
  <c r="D15" i="31"/>
  <c r="C16" i="31"/>
  <c r="D16" i="31"/>
  <c r="C17" i="31"/>
  <c r="D17" i="31"/>
  <c r="C18" i="31"/>
  <c r="D18" i="31"/>
  <c r="G7" i="31"/>
  <c r="F7" i="31"/>
  <c r="D7" i="31"/>
  <c r="C7" i="31"/>
  <c r="G8" i="30"/>
  <c r="H8" i="30"/>
  <c r="G9" i="30"/>
  <c r="H9" i="30"/>
  <c r="G10" i="30"/>
  <c r="H10" i="30"/>
  <c r="G11" i="30"/>
  <c r="H11" i="30"/>
  <c r="G12" i="30"/>
  <c r="H12" i="30"/>
  <c r="G13" i="30"/>
  <c r="H13" i="30"/>
  <c r="G14" i="30"/>
  <c r="H14" i="30"/>
  <c r="G15" i="30"/>
  <c r="H15" i="30"/>
  <c r="G16" i="30"/>
  <c r="H16" i="30"/>
  <c r="G17" i="30"/>
  <c r="H17" i="30"/>
  <c r="G18" i="30"/>
  <c r="H18" i="30"/>
  <c r="D8" i="30"/>
  <c r="E8" i="30"/>
  <c r="D9" i="30"/>
  <c r="E9" i="30"/>
  <c r="D10" i="30"/>
  <c r="E10" i="30"/>
  <c r="D11" i="30"/>
  <c r="E11" i="30"/>
  <c r="D12" i="30"/>
  <c r="E12" i="30"/>
  <c r="D13" i="30"/>
  <c r="E13" i="30"/>
  <c r="D14" i="30"/>
  <c r="E14" i="30"/>
  <c r="D15" i="30"/>
  <c r="E15" i="30"/>
  <c r="D16" i="30"/>
  <c r="E16" i="30"/>
  <c r="D17" i="30"/>
  <c r="E17" i="30"/>
  <c r="D18" i="30"/>
  <c r="E18" i="30"/>
  <c r="H7" i="30"/>
  <c r="G7" i="30"/>
  <c r="E7" i="30"/>
  <c r="D7" i="30"/>
  <c r="C8" i="30"/>
  <c r="C9" i="30"/>
  <c r="C10" i="30"/>
  <c r="C11" i="30"/>
  <c r="C12" i="30"/>
  <c r="C13" i="30"/>
  <c r="C14" i="30"/>
  <c r="C15" i="30"/>
  <c r="C16" i="30"/>
  <c r="C17" i="30"/>
  <c r="C18" i="30"/>
  <c r="C7" i="30"/>
  <c r="F8" i="28"/>
  <c r="G8" i="28"/>
  <c r="F9" i="28"/>
  <c r="G9" i="28"/>
  <c r="F10" i="28"/>
  <c r="G10" i="28"/>
  <c r="F11" i="28"/>
  <c r="G11" i="28"/>
  <c r="F12" i="28"/>
  <c r="G12" i="28"/>
  <c r="F13" i="28"/>
  <c r="G13" i="28"/>
  <c r="F14" i="28"/>
  <c r="G14" i="28"/>
  <c r="F15" i="28"/>
  <c r="G15" i="28"/>
  <c r="F16" i="28"/>
  <c r="G16" i="28"/>
  <c r="F17" i="28"/>
  <c r="G17" i="28"/>
  <c r="F18" i="28"/>
  <c r="G18" i="28"/>
  <c r="C8" i="28"/>
  <c r="D8" i="28"/>
  <c r="C9" i="28"/>
  <c r="D9" i="28"/>
  <c r="C10" i="28"/>
  <c r="D10" i="28"/>
  <c r="C11" i="28"/>
  <c r="D11" i="28"/>
  <c r="C12" i="28"/>
  <c r="D12" i="28"/>
  <c r="C13" i="28"/>
  <c r="D13" i="28"/>
  <c r="C14" i="28"/>
  <c r="D14" i="28"/>
  <c r="C15" i="28"/>
  <c r="D15" i="28"/>
  <c r="C16" i="28"/>
  <c r="D16" i="28"/>
  <c r="C17" i="28"/>
  <c r="D17" i="28"/>
  <c r="C18" i="28"/>
  <c r="D18" i="28"/>
  <c r="G7" i="28"/>
  <c r="F7" i="28"/>
  <c r="D7" i="28"/>
  <c r="C7" i="28"/>
  <c r="F8" i="27"/>
  <c r="G8" i="27"/>
  <c r="F9" i="27"/>
  <c r="G9" i="27"/>
  <c r="F10" i="27"/>
  <c r="G10" i="27"/>
  <c r="F11" i="27"/>
  <c r="G11" i="27"/>
  <c r="F12" i="27"/>
  <c r="G12" i="27"/>
  <c r="F13" i="27"/>
  <c r="G13" i="27"/>
  <c r="F14" i="27"/>
  <c r="G14" i="27"/>
  <c r="F15" i="27"/>
  <c r="G15" i="27"/>
  <c r="F16" i="27"/>
  <c r="G16" i="27"/>
  <c r="F17" i="27"/>
  <c r="G17" i="27"/>
  <c r="F18" i="27"/>
  <c r="G18" i="27"/>
  <c r="C8" i="27"/>
  <c r="D8" i="27"/>
  <c r="C9" i="27"/>
  <c r="D9" i="27"/>
  <c r="C10" i="27"/>
  <c r="D10" i="27"/>
  <c r="C11" i="27"/>
  <c r="D11" i="27"/>
  <c r="C12" i="27"/>
  <c r="D12" i="27"/>
  <c r="C13" i="27"/>
  <c r="D13" i="27"/>
  <c r="C14" i="27"/>
  <c r="D14" i="27"/>
  <c r="C15" i="27"/>
  <c r="D15" i="27"/>
  <c r="C16" i="27"/>
  <c r="D16" i="27"/>
  <c r="C17" i="27"/>
  <c r="D17" i="27"/>
  <c r="C18" i="27"/>
  <c r="D18" i="27"/>
  <c r="G7" i="27"/>
  <c r="F7" i="27"/>
  <c r="D7" i="27"/>
  <c r="C7" i="27"/>
  <c r="G8" i="26"/>
  <c r="F9" i="26"/>
  <c r="G9" i="26"/>
  <c r="G10" i="26"/>
  <c r="F11" i="26"/>
  <c r="G11" i="26"/>
  <c r="F12" i="26"/>
  <c r="G12" i="26"/>
  <c r="G13" i="26"/>
  <c r="F14" i="26"/>
  <c r="G14" i="26"/>
  <c r="F15" i="26"/>
  <c r="G15" i="26"/>
  <c r="F16" i="26"/>
  <c r="G16" i="26"/>
  <c r="F17" i="26"/>
  <c r="G17" i="26"/>
  <c r="F18" i="26"/>
  <c r="G18" i="26"/>
  <c r="C8" i="26"/>
  <c r="D8" i="26"/>
  <c r="C9" i="26"/>
  <c r="D9" i="26"/>
  <c r="C10" i="26"/>
  <c r="D10" i="26"/>
  <c r="C11" i="26"/>
  <c r="D11" i="26"/>
  <c r="C12" i="26"/>
  <c r="D12" i="26"/>
  <c r="C13" i="26"/>
  <c r="D13" i="26"/>
  <c r="C14" i="26"/>
  <c r="D14" i="26"/>
  <c r="C15" i="26"/>
  <c r="D15" i="26"/>
  <c r="C16" i="26"/>
  <c r="D16" i="26"/>
  <c r="C17" i="26"/>
  <c r="D17" i="26"/>
  <c r="C18" i="26"/>
  <c r="D18" i="26"/>
  <c r="G7" i="26"/>
  <c r="F7" i="26"/>
  <c r="D7" i="26"/>
  <c r="C7" i="26"/>
  <c r="F8" i="25"/>
  <c r="G8" i="25"/>
  <c r="F9" i="25"/>
  <c r="G9" i="25"/>
  <c r="F10" i="25"/>
  <c r="G10" i="25"/>
  <c r="F11" i="25"/>
  <c r="G11" i="25"/>
  <c r="F12" i="25"/>
  <c r="G12" i="25"/>
  <c r="F13" i="25"/>
  <c r="G13" i="25"/>
  <c r="F14" i="25"/>
  <c r="G14" i="25"/>
  <c r="F15" i="25"/>
  <c r="G15" i="25"/>
  <c r="F16" i="25"/>
  <c r="G16" i="25"/>
  <c r="F17" i="25"/>
  <c r="G17" i="25"/>
  <c r="F18" i="25"/>
  <c r="G18" i="25"/>
  <c r="C8" i="25"/>
  <c r="D8" i="25"/>
  <c r="C9" i="25"/>
  <c r="D9" i="25"/>
  <c r="C10" i="25"/>
  <c r="D10" i="25"/>
  <c r="C11" i="25"/>
  <c r="D11" i="25"/>
  <c r="C12" i="25"/>
  <c r="D12" i="25"/>
  <c r="C13" i="25"/>
  <c r="D13" i="25"/>
  <c r="C14" i="25"/>
  <c r="D14" i="25"/>
  <c r="C15" i="25"/>
  <c r="D15" i="25"/>
  <c r="C16" i="25"/>
  <c r="D16" i="25"/>
  <c r="C17" i="25"/>
  <c r="D17" i="25"/>
  <c r="C18" i="25"/>
  <c r="D18" i="25"/>
  <c r="G7" i="25"/>
  <c r="F7" i="25"/>
  <c r="D7" i="25"/>
  <c r="C7" i="25"/>
  <c r="F8" i="13"/>
  <c r="G8" i="13"/>
  <c r="F9" i="13"/>
  <c r="G9" i="13"/>
  <c r="F10" i="13"/>
  <c r="G10" i="13"/>
  <c r="F11" i="13"/>
  <c r="G11" i="13"/>
  <c r="F12" i="13"/>
  <c r="G12" i="13"/>
  <c r="F13" i="13"/>
  <c r="G13" i="13"/>
  <c r="F14" i="13"/>
  <c r="G14" i="13"/>
  <c r="F15" i="13"/>
  <c r="G15" i="13"/>
  <c r="F16" i="13"/>
  <c r="G16" i="13"/>
  <c r="F17" i="13"/>
  <c r="G17" i="13"/>
  <c r="F18" i="13"/>
  <c r="G18" i="13"/>
  <c r="C8" i="13"/>
  <c r="D8" i="13"/>
  <c r="C9" i="13"/>
  <c r="D9" i="13"/>
  <c r="C10" i="13"/>
  <c r="D10" i="13"/>
  <c r="C11" i="13"/>
  <c r="D11" i="13"/>
  <c r="C12" i="13"/>
  <c r="D12" i="13"/>
  <c r="C13" i="13"/>
  <c r="D13" i="13"/>
  <c r="C14" i="13"/>
  <c r="D14" i="13"/>
  <c r="C15" i="13"/>
  <c r="D15" i="13"/>
  <c r="C16" i="13"/>
  <c r="D16" i="13"/>
  <c r="C17" i="13"/>
  <c r="D17" i="13"/>
  <c r="C18" i="13"/>
  <c r="D18" i="13"/>
  <c r="G7" i="13"/>
  <c r="F7" i="13"/>
  <c r="D7" i="13"/>
  <c r="C7" i="13"/>
  <c r="G43" i="6"/>
  <c r="H43" i="6" s="1"/>
  <c r="G44" i="6"/>
  <c r="G45" i="6"/>
  <c r="G46" i="6"/>
  <c r="G47" i="6"/>
  <c r="G41" i="6"/>
  <c r="D52" i="6"/>
  <c r="E52" i="6"/>
  <c r="F52" i="6"/>
  <c r="C52" i="6"/>
  <c r="E1" i="5" l="1"/>
  <c r="G12" i="6"/>
  <c r="I20" i="7"/>
  <c r="I21" i="7"/>
  <c r="I22" i="7"/>
  <c r="I12" i="7"/>
  <c r="I13" i="7"/>
  <c r="I14" i="7"/>
  <c r="C15" i="6" l="1"/>
  <c r="H54" i="6" l="1"/>
  <c r="G13" i="6" l="1"/>
  <c r="H13" i="6" s="1"/>
  <c r="G39" i="6"/>
  <c r="E35" i="7" s="1"/>
  <c r="J3" i="31" l="1"/>
  <c r="J3" i="30"/>
  <c r="J3" i="28"/>
  <c r="J3" i="27"/>
  <c r="J3" i="26"/>
  <c r="J3" i="25"/>
  <c r="J3" i="13"/>
  <c r="G16" i="6" l="1"/>
  <c r="G53" i="6" l="1"/>
  <c r="G58" i="6"/>
  <c r="G57" i="6"/>
  <c r="H57" i="6" s="1"/>
  <c r="G56" i="6"/>
  <c r="G54" i="6"/>
  <c r="G50" i="6"/>
  <c r="G51" i="6"/>
  <c r="H53" i="6" l="1"/>
  <c r="I46" i="7"/>
  <c r="H51" i="6"/>
  <c r="D46" i="7"/>
  <c r="H50" i="6"/>
  <c r="C46" i="7"/>
  <c r="G52" i="6"/>
  <c r="H52" i="6" s="1"/>
  <c r="D15" i="6"/>
  <c r="E15" i="6"/>
  <c r="F15" i="6"/>
  <c r="G18"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A1" i="6"/>
  <c r="A1" i="5"/>
  <c r="E1" i="4"/>
  <c r="A1" i="4"/>
  <c r="E1" i="3"/>
  <c r="A1" i="3"/>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O34" i="28"/>
  <c r="N34" i="28"/>
  <c r="M34" i="28"/>
  <c r="L34" i="28"/>
  <c r="O19" i="28"/>
  <c r="N19" i="28"/>
  <c r="M19" i="28"/>
  <c r="L19" i="28"/>
  <c r="A6" i="28"/>
  <c r="O34" i="27"/>
  <c r="N34" i="27"/>
  <c r="M34" i="27"/>
  <c r="L34" i="27"/>
  <c r="O19" i="27"/>
  <c r="N19" i="27"/>
  <c r="M19" i="27"/>
  <c r="L19" i="27"/>
  <c r="A6" i="27"/>
  <c r="O34" i="26"/>
  <c r="N34" i="26"/>
  <c r="M34" i="26"/>
  <c r="L34" i="26"/>
  <c r="O19" i="26"/>
  <c r="N19" i="26"/>
  <c r="M19" i="26"/>
  <c r="L19" i="26"/>
  <c r="A6" i="26"/>
  <c r="O34" i="25"/>
  <c r="N34" i="25"/>
  <c r="M34" i="25"/>
  <c r="L34" i="25"/>
  <c r="O19" i="25"/>
  <c r="N19" i="25"/>
  <c r="M19" i="25"/>
  <c r="L19" i="25"/>
  <c r="A6" i="25"/>
  <c r="O34" i="13"/>
  <c r="N34" i="13"/>
  <c r="M34" i="13"/>
  <c r="L34" i="13"/>
  <c r="O19" i="13"/>
  <c r="N19" i="13"/>
  <c r="M19" i="13"/>
  <c r="L19" i="13"/>
  <c r="A6" i="13"/>
  <c r="J21" i="28" l="1"/>
  <c r="J21" i="27"/>
  <c r="J21" i="26"/>
  <c r="J21" i="25"/>
  <c r="J21" i="13"/>
  <c r="J6" i="13"/>
  <c r="J21" i="31"/>
  <c r="J6" i="31"/>
  <c r="K6" i="30"/>
  <c r="K21" i="30"/>
  <c r="J6" i="28"/>
  <c r="J6" i="27"/>
  <c r="J6" i="26"/>
  <c r="J6" i="25"/>
  <c r="D25" i="6"/>
  <c r="E25" i="6"/>
  <c r="F25" i="6"/>
  <c r="C25" i="6"/>
  <c r="G7" i="8"/>
  <c r="D7" i="8"/>
  <c r="B5" i="8"/>
  <c r="G3" i="8"/>
  <c r="A3" i="8"/>
  <c r="A1" i="8"/>
  <c r="G15" i="7"/>
  <c r="B4" i="7"/>
  <c r="G3" i="7"/>
  <c r="A3" i="7"/>
  <c r="A1" i="7"/>
  <c r="A8" i="7" s="1"/>
  <c r="H58" i="6"/>
  <c r="H56" i="6"/>
  <c r="G42" i="6"/>
  <c r="G40" i="6"/>
  <c r="G38" i="6"/>
  <c r="G37" i="6"/>
  <c r="H37" i="6" s="1"/>
  <c r="G36" i="6"/>
  <c r="G33" i="6"/>
  <c r="G19" i="7" s="1"/>
  <c r="I19" i="7" s="1"/>
  <c r="G32" i="6"/>
  <c r="G31" i="6"/>
  <c r="E11" i="7" s="1"/>
  <c r="I11" i="7" s="1"/>
  <c r="G27" i="6"/>
  <c r="G26" i="6"/>
  <c r="H26" i="6" s="1"/>
  <c r="G24" i="6"/>
  <c r="G23" i="6"/>
  <c r="H23" i="6" s="1"/>
  <c r="G22" i="6"/>
  <c r="G21" i="6"/>
  <c r="H21" i="6" s="1"/>
  <c r="G17" i="6"/>
  <c r="H17" i="6" s="1"/>
  <c r="G14" i="6"/>
  <c r="G11" i="6"/>
  <c r="G10" i="6"/>
  <c r="G9" i="6"/>
  <c r="G8" i="6"/>
  <c r="G18" i="7" l="1"/>
  <c r="I18" i="7" s="1"/>
  <c r="E15" i="7"/>
  <c r="I15" i="7" s="1"/>
  <c r="E23" i="7"/>
  <c r="G23" i="7"/>
  <c r="G24" i="7" s="1"/>
  <c r="D14" i="8"/>
  <c r="H27" i="6"/>
  <c r="D11" i="8"/>
  <c r="H24" i="6"/>
  <c r="D12" i="8"/>
  <c r="H22" i="6"/>
  <c r="E33" i="7"/>
  <c r="H33" i="7" s="1"/>
  <c r="H35" i="7"/>
  <c r="H38" i="6"/>
  <c r="E37" i="7"/>
  <c r="H37" i="7" s="1"/>
  <c r="H41" i="6"/>
  <c r="E36" i="7"/>
  <c r="H36" i="7" s="1"/>
  <c r="G15" i="6"/>
  <c r="G25" i="6"/>
  <c r="E34" i="7"/>
  <c r="H34" i="7" s="1"/>
  <c r="D10" i="8"/>
  <c r="G10" i="8"/>
  <c r="A31" i="7"/>
  <c r="A43" i="7" s="1"/>
  <c r="I23" i="7" l="1"/>
  <c r="H44" i="6"/>
  <c r="H45" i="6"/>
  <c r="H46" i="6"/>
  <c r="H47" i="6"/>
  <c r="E24" i="7"/>
  <c r="I24" i="7" s="1"/>
  <c r="H40" i="6"/>
  <c r="H18" i="6"/>
  <c r="H39" i="6"/>
  <c r="H36" i="6"/>
  <c r="H42" i="6"/>
  <c r="H12" i="6"/>
  <c r="H8" i="6"/>
  <c r="H16" i="6"/>
  <c r="H33" i="6"/>
  <c r="H31" i="6"/>
  <c r="H10" i="6"/>
  <c r="G11" i="8"/>
  <c r="G12" i="8"/>
  <c r="H14" i="6"/>
  <c r="G14" i="8"/>
  <c r="H11" i="6"/>
  <c r="H9" i="6"/>
  <c r="H32" i="6"/>
</calcChain>
</file>

<file path=xl/sharedStrings.xml><?xml version="1.0" encoding="utf-8"?>
<sst xmlns="http://schemas.openxmlformats.org/spreadsheetml/2006/main" count="1124" uniqueCount="450">
  <si>
    <t>North Midlands Operations Ltd</t>
  </si>
  <si>
    <t xml:space="preserve">Version 20.5 </t>
  </si>
  <si>
    <t>Add photo</t>
  </si>
  <si>
    <t>Notes:</t>
  </si>
  <si>
    <t>This template may require adjustments by individual operators to meet specific reporting requirements as defined in the site Permit(s)</t>
  </si>
  <si>
    <t>Annual Performance Report 2022</t>
  </si>
  <si>
    <t>Permit EPR/HP3349QK</t>
  </si>
  <si>
    <t>Wolverhampton Energy from Waste Facility</t>
  </si>
  <si>
    <t>North Midlands Operations Limited</t>
  </si>
  <si>
    <t>Year:</t>
  </si>
  <si>
    <t>Address:</t>
  </si>
  <si>
    <t>Crown Street, Wolverhampton, WV1 1QB</t>
  </si>
  <si>
    <t xml:space="preserve">Tel: </t>
  </si>
  <si>
    <t>01179 372 811</t>
  </si>
  <si>
    <t xml:space="preserve">Email: </t>
  </si>
  <si>
    <t>emily.hingston@sol-environment.co.uk</t>
  </si>
  <si>
    <t>Prepared by:</t>
  </si>
  <si>
    <t>Emily Hingston</t>
  </si>
  <si>
    <t>Position:</t>
  </si>
  <si>
    <t>Consultant</t>
  </si>
  <si>
    <t>Approved by:</t>
  </si>
  <si>
    <t>Kate Harrop</t>
  </si>
  <si>
    <t>Quality &amp; Environment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</si>
  <si>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</si>
  <si>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</si>
  <si>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</si>
  <si>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</si>
  <si>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</si>
  <si>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</si>
  <si>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</si>
  <si>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</si>
  <si>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</si>
  <si>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</si>
  <si>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</si>
  <si>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</si>
  <si>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</si>
  <si>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</si>
  <si>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</si>
  <si>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</si>
  <si>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</si>
  <si>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</si>
  <si>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</si>
  <si>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</si>
  <si>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</si>
  <si>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</si>
  <si>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</si>
  <si>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</si>
  <si>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</si>
  <si>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</si>
  <si>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</si>
  <si>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</si>
  <si>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</si>
  <si>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</si>
  <si>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</si>
  <si>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</si>
  <si>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</si>
  <si>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</si>
  <si>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</si>
  <si>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The Wolverhampton Energy from Waste Facility utilises municipal waste to recover energy in the form of electricity and steam for export to the local grid. The facility processes approximately 118,000 tpa of waste in two combustion streams which operate using moving grate furnace systems with a combined capacity of up to 14 tonnes per hour.  The heat produced during the incineration process is converted to electrical energy by generating steam in high-pressure boilers and expanding the steam through a steam turbine.  When operating at full load, the plant will typically generate around 8 MW of electricity and, after satisfying its own power needs, exports approximately 7.1 MW of electricity to the grid. 
The installation provides a sustainable method of waste disposal and recovery, predominantly for the area within the administrative boundary of Wolverhampton Metropolitan Borough Council, with smaller quantities of wastes accepted, where capacity and demand exists, from other local authorities within the general vicinity of the plant.
The process includes waste reception and storage, combustion, waste heat boilers, abatement of flue gases and the onsite storage of residues produced, namely IBA and APCr.
The plant is operated in accordance with its Environmental Management System which is designed to meet the requirements of ISO14001:2004.  </t>
  </si>
  <si>
    <t xml:space="preserve">Include summary of plant design, design capacity, no. of combustion lines, electrical and heat capacity and any other general information that describes the facility, its location and purpose </t>
  </si>
  <si>
    <t>Summary of Operational Processes and Procedures</t>
  </si>
  <si>
    <r>
      <t xml:space="preserve">The principle components of the process comprise the following:
</t>
    </r>
    <r>
      <rPr>
        <i/>
        <sz val="10"/>
        <color theme="1"/>
        <rFont val="Arial"/>
        <family val="2"/>
      </rPr>
      <t>Waste Acceptance and Reception:</t>
    </r>
    <r>
      <rPr>
        <sz val="10"/>
        <color theme="1"/>
        <rFont val="Arial"/>
        <family val="2"/>
      </rPr>
      <t xml:space="preserve"> All waste is delivered directly into the fuel storage building and unloaded into the storage bunkers. When required, the waste is discharged onto the feedstock feed system, which delivers the waste into the furnaces via feed hoppers. All waste is accepted in accordance to the sites waste acceptance procedures.
</t>
    </r>
    <r>
      <rPr>
        <i/>
        <sz val="10"/>
        <color theme="1"/>
        <rFont val="Arial"/>
        <family val="2"/>
      </rPr>
      <t>Combustion:</t>
    </r>
    <r>
      <rPr>
        <sz val="10"/>
        <color theme="1"/>
        <rFont val="Arial"/>
        <family val="2"/>
      </rPr>
      <t xml:space="preserve"> The feed ram ensures that material falls into the moving grate within the furnace in a controlled manner.  The moving grate ensures the waste is agitated as it progresses down the furnace to the ash discharge.  Primary air is introduced beneath the grate causing the waste to go through a series of drying and burning areas.  Secondary air is introduced from above the grate for combustion control.  Auxiliary oil fired burners are located in the combustion chamber for start up and temperature control.  The produced gases are resident in the combustion chamber at the 850C for at least 2seconds before transfer to the boiler , economiser and abatement plant. 
</t>
    </r>
    <r>
      <rPr>
        <i/>
        <sz val="10"/>
        <color theme="1"/>
        <rFont val="Arial"/>
        <family val="2"/>
      </rPr>
      <t>Electricity Generation</t>
    </r>
    <r>
      <rPr>
        <sz val="10"/>
        <color theme="1"/>
        <rFont val="Arial"/>
        <family val="2"/>
      </rPr>
      <t xml:space="preserve">: Each furnace is equipped with a 2-pass water tube boiler raising steam at 45 bar and 355C. The steam then passes to a Steam Turbine and Generator, which exports electricity to the grid.
</t>
    </r>
    <r>
      <rPr>
        <i/>
        <sz val="10"/>
        <color theme="1"/>
        <rFont val="Arial"/>
        <family val="2"/>
      </rPr>
      <t>Flue-Gas Cleaning</t>
    </r>
    <r>
      <rPr>
        <sz val="10"/>
        <color theme="1"/>
        <rFont val="Arial"/>
        <family val="2"/>
      </rPr>
      <t>: Flue gas cleaning and pollution control consists of urea injection for De-NOx, semi-dry scrubbing using milk of lime spray for acid gas neutralisation and activated carbon powder injection for absorption and removal of heavy metals, dioxins, VOCs and other harmful substances.  Bag filters remove particulates prior to emission to atmosphere via a single 76m high stack.
Process effluent is treated onsite in the effluent treatment plant and recycled through the process. Any surplus is discharged to foul sewer. 
The Plant is regulated under the terms of a Permit issued by the Environment Agency (reference HP3349QK) which contains conditions to ensure that the requirements of the Waste Incineration Directive are incorporated and will be met. 
North Midlands Operations Ltd operates all of its sites under an Integrated Management System certified to ISO 14001:2015 (environmental management), ISO 9001:2015 (quality management), and ISO 45001:2018 (health and safety management).  
In terms of plant operation, the incineration processes have been designed against the background of a detailed assessment of the prevailing environmental conditions at the site location, and are based upon the Best Available Technology (BAT) as detailed both in the original Authorisation application and the application for the Permit issued under the Environmental Permitting (England and Wales) Regulations (As Amended).  These include, but are not limited to, the following:
• Well proven process plant developed specifically for incineration of municipal solid wastes
• Efficient, comprehensive process control and monitoring systems to ensure optimum conditions for complete combustion of the wastes and to minimise emissions from the processes
• Operations confined within buildings under slight negative pressure in order to contain and minimise emissions such as dust and odour
• Qualified and experienced operating and maintenance personnel to implement procedures to ensure that the required high standards are maintained. Operating and Maintenance Procedures are established according to an internationally recognised system of quality assurance
• Multi-stage high efficiency flue gas cleaning systems comprising deNOx Selective Non-Catalytic Reduction (SNCR) for the removal of oxides of nitrogen, activated carbon and lime semi-dry acid gas scrubbing for controlling acid gas, dioxins/furans and mercury emissions
• Final stage flue gas abatement for particulate materials using fabric filtration
• Residues from the combustion process and from the flue gas cleaning system disposed of by approved means, maximising recycling wherever possible
• Waste water from the process is neutralised and recycled as far as is practicable to minimise the quantities released to sewers
• Provision of bunds or double skinned vessels for storage of fuel and chemicals in order to prevent accidental and inappropriate discharge to the public sewers and watercourse. 
• The site is currently working towards compliance with the new Waste Incineration BAT Conclusions, to which compliance is required by 03.12.2023.</t>
    </r>
  </si>
  <si>
    <t>Include summary of key processes and procedures such as (but not limited to); waste reception, control rooms, grate, bed and boiler, energy &amp; heat  generation, cooling systems, residue management, emission controls, health and safety systems, maintenance</t>
  </si>
  <si>
    <t>Wolverhampton EfW</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</si>
  <si>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</si>
  <si>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</si>
  <si>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</si>
  <si>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</si>
  <si>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</si>
  <si>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</si>
  <si>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</si>
  <si>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</si>
  <si>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</si>
  <si>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</si>
  <si>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</si>
  <si>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</si>
  <si>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</si>
  <si>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</si>
  <si>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</si>
  <si>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</si>
  <si>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</si>
  <si>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</si>
  <si>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</si>
  <si>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</si>
  <si>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</si>
  <si>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</si>
  <si>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</si>
  <si>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</si>
  <si>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</si>
  <si>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</si>
  <si>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</si>
  <si>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</si>
  <si>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</si>
  <si>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</si>
  <si>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</si>
  <si>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</si>
  <si>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</si>
  <si>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</si>
  <si>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</si>
  <si>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</si>
  <si>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</si>
  <si>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</si>
  <si>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</si>
  <si>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</si>
  <si>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t>
  </si>
  <si>
    <t>Design / Operational / n/a</t>
  </si>
  <si>
    <t>Waste Disposal &amp; Recovery</t>
  </si>
  <si>
    <t>% inputs</t>
  </si>
  <si>
    <t>APC Residues - produced</t>
  </si>
  <si>
    <t>IBA - produced</t>
  </si>
  <si>
    <t>Metals recycling</t>
  </si>
  <si>
    <t>Raw Material Usage</t>
  </si>
  <si>
    <t>kg or Ltr /te</t>
  </si>
  <si>
    <t>Mains Water</t>
  </si>
  <si>
    <t>M3</t>
  </si>
  <si>
    <t>Other Water</t>
  </si>
  <si>
    <t>ltrs</t>
  </si>
  <si>
    <t>Ammonia</t>
  </si>
  <si>
    <t>kgs</t>
  </si>
  <si>
    <t>Urea</t>
  </si>
  <si>
    <t>Activated Carbon</t>
  </si>
  <si>
    <t>Lime / hydrated lime</t>
  </si>
  <si>
    <t>Fuel oil</t>
  </si>
  <si>
    <t>Gas</t>
  </si>
  <si>
    <t>cf</t>
  </si>
  <si>
    <t>HCL</t>
  </si>
  <si>
    <t>Caustic Soda</t>
  </si>
  <si>
    <t>O2 Reducer</t>
  </si>
  <si>
    <t>Phosphate</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</si>
  <si>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</si>
  <si>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</si>
  <si>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</si>
  <si>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</si>
  <si>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</si>
  <si>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</si>
  <si>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</si>
  <si>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</si>
  <si>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</si>
  <si>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</si>
  <si>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</si>
  <si>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</si>
  <si>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</si>
  <si>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</si>
  <si>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</si>
  <si>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</si>
  <si>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 In 2022 tube leaks have been the main reason of boiler unavailability in Wolverhampton followed by common parts issues. The overall boiler availability for the year was 90%.
The turbine unavailability has been mainly impacted by boilers and by Western Power export disruption. The overall turbine availability for the year was 90%.
• Extensive scheduled maintenance was undertaken at the plants annual planned shutdown period:
o Boilers thorough inspections performed. Thin pipes and worn refractory renewed.
o Soot blowers and air hammers inspected and maintained. 
o Combustion system thoroughly inspected and worn parts replaced. 
o Auxiliary burners inspected and serviced. 
o Hydraulic packs serviced.
o Both boiler pressure relief valves, as well as common vessels and main valves inspected / serviced.
o Bag house filters and scrubbers cleaned, inspected and repaired where needed. The program of bags replacement continued.
o Ducting and expansion joints inspections and repairs made. 
o Fly ash and bottom ash conveyors inspected and serviced. 
o Lime, urea and activated carbon systems cleaned and inspected. 
o Main fans and pumps inspected and serviced. The main electrical motors have been tested. 
o Main instrumentation calibrated. 
o Turbine, generator and gearbox serviced.
o Turbine blading borescope inspection carried out. 
o Generator electrical test performed. 
o Main electrical systems inspected and tested. </t>
  </si>
  <si>
    <t xml:space="preserve">Include summary of key operational and/or maintenance activity undertaken in the year, such as any major component upgrades and/or replacements </t>
  </si>
  <si>
    <t>Summary of Residue Handling for the reporting year</t>
  </si>
  <si>
    <t>There are two main sources of residue that arise from the operation of the plant;  Incinerator Bottom ash (IBA) (which also includes ferrous metals discharged within the ash), and residues from the flue gas treatment system - known as Air Pollution Control residue (APCr).
Residues from the flue gas treatment process (APCr) are discharged into an enclosed system which feed into double-skinned heavy-duty bags prior to removal from site for controlled treatment and disposal.  These residues account for around 5% of the total weight of all refuse processed by the facility.
The bottom ash produced by the site represents around 10% of the original volume of the refuse processed, and around 20% of its weight.  Bottom ash residues are discharged from the lower end of each grate into a water filled ash discharger, where it is quenched and then ejected onto a conveyor system. Larger items are screened out and ferrous metals are removed via magnetic separation.  
The resulting material is stored in the storage bunkers prior to removal from site for recycling - the storage capacity for bottom ash residues and separated ferrous metals is sufficient to ensure 4 days storage. Collections for delivery to further processing or treatment sites are made on Mondays to Fridays and are scheduled to ensure sufficient storage capacity is maintained at all times. Collections are available at weekends if operational conditions require this facility.
Bottom ash is now widely used in the UK and Europe as a substitute for valuable primary aggregate materials in the construction of roads and embankments.  Bottom ash from North Midlands Operations Ltd is currently being reprocessed, with additional ferrous and trace metals being removed, and the remaining material being further processed into usable aggregate in a zero to landfill process.</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</si>
  <si>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</si>
  <si>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</si>
  <si>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</si>
  <si>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</si>
  <si>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</si>
  <si>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</si>
  <si>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</si>
  <si>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</si>
  <si>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</si>
  <si>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</si>
  <si>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</si>
  <si>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</si>
  <si>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</si>
  <si>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</si>
  <si>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</si>
  <si>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</si>
  <si>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</si>
  <si>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</si>
  <si>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</si>
  <si>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</si>
  <si>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</si>
  <si>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</si>
  <si>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</si>
  <si>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</si>
  <si>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</si>
  <si>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</si>
  <si>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</si>
  <si>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</si>
  <si>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</si>
  <si>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</si>
  <si>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</si>
  <si>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</si>
  <si>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</si>
  <si>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</si>
  <si>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</si>
  <si>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</si>
  <si>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</si>
  <si>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</si>
  <si>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</si>
  <si>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</si>
  <si>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Turbine 1</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</si>
  <si>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</si>
  <si>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</si>
  <si>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</si>
  <si>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</si>
  <si>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</si>
  <si>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</si>
  <si>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</si>
  <si>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</si>
  <si>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</si>
  <si>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</si>
  <si>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</si>
  <si>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</si>
  <si>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</si>
  <si>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</si>
  <si>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</si>
  <si>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</si>
  <si>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</si>
  <si>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</si>
  <si>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</si>
  <si>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</si>
  <si>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</si>
  <si>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</si>
  <si>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</si>
  <si>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</si>
  <si>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</si>
  <si>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</si>
  <si>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</si>
  <si>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</si>
  <si>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</si>
  <si>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</si>
  <si>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</si>
  <si>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Average</t>
  </si>
  <si>
    <t>Summary of any notifications or non-compliances under the permit</t>
  </si>
  <si>
    <t>Summary of notification or non-compliance [including Line/Reference]</t>
  </si>
  <si>
    <t xml:space="preserve">Reason </t>
  </si>
  <si>
    <t>Measures taken to prevent reoccurrence</t>
  </si>
  <si>
    <t>HCL 1/2hrly ELV breach (71 mg/m3)</t>
  </si>
  <si>
    <t>Poor quality waste</t>
  </si>
  <si>
    <t>Increased waste mixing</t>
  </si>
  <si>
    <t>HCL 1/2hrly ELV breach (147.21 mg/m3)</t>
  </si>
  <si>
    <t>Catastrophic failure of arch breaker in lime system rotary valve</t>
  </si>
  <si>
    <t>Repaired during September plant shut down</t>
  </si>
  <si>
    <t>HCL Daily ELV breach (35.78 mg/m3)</t>
  </si>
  <si>
    <t>HCL 1/2hrly ELV breach (74.76 mg/m3)</t>
  </si>
  <si>
    <t>HCL Daily ELV breach (23.46 mg/m3)</t>
  </si>
  <si>
    <t>HCL 1/2hrly ELV breach (61.89 mg/m3)</t>
  </si>
  <si>
    <t>Particulate 1/2 hrly ELV breach (90.78 mg/m3)</t>
  </si>
  <si>
    <t>Failure in duty dust probe</t>
  </si>
  <si>
    <t>Analyser changed to standby</t>
  </si>
  <si>
    <t>CO 10 min ELV breach (8 x periods)</t>
  </si>
  <si>
    <t>Bang cleaning and soot blowing caused negative effect on combustion conditions</t>
  </si>
  <si>
    <t>Cleaning scheduled more appropriately</t>
  </si>
  <si>
    <t>HCL Daily ELV breach (10.73 mg/m3)</t>
  </si>
  <si>
    <t>Boiler start up causing excessive HCL production, lime dosing initially too low during start up</t>
  </si>
  <si>
    <t>Increase in lime dosing</t>
  </si>
  <si>
    <t>VOC 1/2 hrly ELV breach (21.33 mg/m3)</t>
  </si>
  <si>
    <t>Large waste build up on clicker resulting in waste not being efficiently moved and poor combustion</t>
  </si>
  <si>
    <t>Improved monitoring of grate thickness levels &amp; adjustment of grate settings</t>
  </si>
  <si>
    <t>VOC daily ELV breach (10.21 mg/m3)</t>
  </si>
  <si>
    <t>CO daily ELV breach (84.87 mg/m3)</t>
  </si>
  <si>
    <t>CO daily ELV breach (50.01 mg/m3)</t>
  </si>
  <si>
    <t>VOC 1/2 hrly ELV breach (197.13 mg/m3)</t>
  </si>
  <si>
    <t>Blocked feeder hopper caused loss of waste onto grate and incomplete combustion</t>
  </si>
  <si>
    <t>Adjustment of grate settings</t>
  </si>
  <si>
    <t>VOC 1/2 hrly ELV breach (38.11 mg/m3)</t>
  </si>
  <si>
    <t>Bang and reclean caused blockage in ash discharger</t>
  </si>
  <si>
    <t>Boiler shutdown</t>
  </si>
  <si>
    <t xml:space="preserve">CO 10 min ELV breach </t>
  </si>
  <si>
    <t>Increase waste inspections</t>
  </si>
  <si>
    <t>VOC 1/2 hrly ELV breach (24.03 mg/m3)</t>
  </si>
  <si>
    <t>Mechanical failure of feed table hydraulics system</t>
  </si>
  <si>
    <t>Summary of any complaints received and actions to taken to resolve them.</t>
  </si>
  <si>
    <t>Summary of complaint [including Line/Reference]</t>
  </si>
  <si>
    <t>Reason *</t>
  </si>
  <si>
    <t>None received in 2022</t>
  </si>
  <si>
    <t>* including whether substantiated by the operator or the EA</t>
  </si>
  <si>
    <t>Summary of Plant Improvements</t>
  </si>
  <si>
    <t>Summary of any efficiency improvements that have been completed within the year.</t>
  </si>
  <si>
    <t>• LED lamp replacement is an ongoing project.
• The enhanced cleaning regime on the ACC is a consolidated practice (now 3 times/year). During the outage, the blades of the ACC fans are cleaned and the blade tip angles checked and adjusted.
• The installation of a new condensate drainage system underneath the turbine has led to improved vacuum, thereby improving turbine efficiency.
• FD fan 2 was fitted with a frequency converter during the 2022 outage.</t>
  </si>
  <si>
    <t>Summary of any permit improvement conditions that have been completed within the year and the resulting environmental benefits.</t>
  </si>
  <si>
    <t>All permit improvement conditions were completed prior to 2021. A draft Permit reflecting the new BREF requirements is currently being reviewed. Work towards the anticipated Improvement Conditions relating to BREF began in 2022, and will continue in 2023.</t>
  </si>
  <si>
    <t>Summary of any changes to the plant or operating techniques which required a variation to the permit and a summary of the resulting environmental impact.</t>
  </si>
  <si>
    <t>No permit variations were required during 2022.</t>
  </si>
  <si>
    <t>Summary of any other improvements made to the plant or planned to be made and a summary of the resulting environmental benefits.</t>
  </si>
  <si>
    <t xml:space="preserve"> • 2 urea ports fitted in support of BREF compliance.
 • Replaced arch breaker and slide valve in lime silo to resolve HCl exceedance issues.
 • Continued replacement of existing lighting with LEDs.
 • FD fan 2 was fitted with a frequency converter during the 2022 outage.
 • Replaced several pumps throughout plant (trace heating, make-up, and switchgear for condensate) to prevent breakdowns.
As the contract for the operation of the site moves to its end, dilapidation work is currently in progress across the site.
If the O&amp;M contract is extended, improvement work shall be planned and carried out.</t>
  </si>
  <si>
    <t>Details of Public &amp; Stakeholder Liasion</t>
  </si>
  <si>
    <t>Summary of events held during the reporting year.</t>
  </si>
  <si>
    <t>Description</t>
  </si>
  <si>
    <t>Jan 22 - Oct 22</t>
  </si>
  <si>
    <t>MESE conducted monthly meetings with its core stakeholders in order discuss operational, health and safety, and environmental performance.</t>
  </si>
  <si>
    <t>Nov 22- Dec 22</t>
  </si>
  <si>
    <t>NMOL conducted monthly meetings with its core stakeholders in order discuss operational, health and safety, and environmental performance.</t>
  </si>
  <si>
    <t>List of events planned for next year</t>
  </si>
  <si>
    <t>NMOL will continue to meet with its core stakeholders on a monthly basis.</t>
  </si>
  <si>
    <t>NMOL to launch company website.</t>
  </si>
  <si>
    <t>If you wish to be involved in the public liasion programme, please contact _________________</t>
  </si>
  <si>
    <t>Residue Quality Monitoring Requirements</t>
  </si>
  <si>
    <t>Summary of monitoring undertaken and compliance</t>
  </si>
  <si>
    <t>Monitoring has been undertaken in line with the permit, quarterly for APC and monthly for IBA.</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</si>
  <si>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</si>
  <si>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</si>
  <si>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</si>
  <si>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</si>
  <si>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</si>
  <si>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</si>
  <si>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</si>
  <si>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</si>
  <si>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</si>
  <si>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</si>
  <si>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</si>
  <si>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</si>
  <si>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</si>
  <si>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</si>
  <si>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</si>
  <si>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Results for December, though undertaken were not available at the time of reporting</t>
  </si>
  <si>
    <t>No monitoring required by the permit, however monitoring on emisions to sewer is undertaken annually</t>
  </si>
  <si>
    <t>Results provided in mg/l</t>
  </si>
  <si>
    <t>Emissions to Water / Sewer</t>
  </si>
  <si>
    <t>Monitoring Frequency</t>
  </si>
  <si>
    <t>Target</t>
  </si>
  <si>
    <t>Max.</t>
  </si>
  <si>
    <t>pH</t>
  </si>
  <si>
    <t>Annual</t>
  </si>
  <si>
    <t>N/A</t>
  </si>
  <si>
    <t>SS</t>
  </si>
  <si>
    <t>Cd</t>
  </si>
  <si>
    <t>Cr</t>
  </si>
  <si>
    <t>Cu</t>
  </si>
  <si>
    <t>Pb</t>
  </si>
  <si>
    <t>Ni</t>
  </si>
  <si>
    <t>Zn</t>
  </si>
  <si>
    <t>P</t>
  </si>
  <si>
    <t>COD</t>
  </si>
  <si>
    <t>&lt;11</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</si>
  <si>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</si>
  <si>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</si>
  <si>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</si>
  <si>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</si>
  <si>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</si>
  <si>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</si>
  <si>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</si>
  <si>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</si>
  <si>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</si>
  <si>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</si>
  <si>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</si>
  <si>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</si>
  <si>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</si>
  <si>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</si>
  <si>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</si>
  <si>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</si>
  <si>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</si>
  <si>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</si>
  <si>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</si>
  <si>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</si>
  <si>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</si>
  <si>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</si>
  <si>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</si>
  <si>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</si>
  <si>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</si>
  <si>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&lt;0.007</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</si>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</sst>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s>
  <fonts count="36">
    <font>
      <sz val="11"/>
      <color theme="1"/>
      <name val="Calibri"/>
      <family val="2"/>
      <scheme val="minor"/>
    </font>
    <font>
      <sz val="12"/>
      <color theme="1"/>
      <name val="Arial"/>
      <family val="2"/>
    </font>
    <font>
      <sz val="10"/>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b/>
      <sz val="12"/>
      <color theme="4"/>
      <name val="Arial"/>
      <family val="2"/>
    </font>
    <font>
      <i/>
      <sz val="10"/>
      <color theme="1"/>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400">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1" fillId="0" borderId="0" xfId="0" applyFont="1"/>
    <xf numFmtId="0" fontId="2" fillId="0" borderId="0" xfId="0" applyFont="1" applyAlignment="1">
      <alignment horizontal="center" vertical="center"/>
    </xf>
    <xf numFmtId="0" fontId="6" fillId="0" borderId="0" xfId="0" applyFont="1" applyAlignment="1">
      <alignment horizontal="left"/>
    </xf>
    <xf numFmtId="0" fontId="2" fillId="0" borderId="0" xfId="0" applyFont="1"/>
    <xf numFmtId="0" fontId="2" fillId="0" borderId="9" xfId="0" applyFont="1" applyBorder="1"/>
    <xf numFmtId="0" fontId="2" fillId="0" borderId="11" xfId="0" applyFont="1" applyBorder="1"/>
    <xf numFmtId="0" fontId="2" fillId="2" borderId="12" xfId="0" applyFont="1" applyFill="1" applyBorder="1" applyAlignment="1">
      <alignment horizontal="center" vertical="center"/>
    </xf>
    <xf numFmtId="0" fontId="2" fillId="5" borderId="6" xfId="0" applyFont="1" applyFill="1" applyBorder="1" applyAlignment="1">
      <alignment horizontal="left" vertical="center" wrapText="1"/>
    </xf>
    <xf numFmtId="0" fontId="2" fillId="5" borderId="3" xfId="0" applyFont="1" applyFill="1" applyBorder="1" applyAlignment="1">
      <alignment horizontal="left" vertical="center" wrapText="1"/>
    </xf>
    <xf numFmtId="0" fontId="2" fillId="5" borderId="2" xfId="0" applyFont="1" applyFill="1" applyBorder="1" applyAlignment="1">
      <alignment horizontal="center" vertical="center" wrapText="1"/>
    </xf>
    <xf numFmtId="2" fontId="6" fillId="5" borderId="2" xfId="0" applyNumberFormat="1" applyFont="1" applyFill="1" applyBorder="1" applyAlignment="1">
      <alignment horizontal="center"/>
    </xf>
    <xf numFmtId="169" fontId="6" fillId="5" borderId="2" xfId="0" applyNumberFormat="1" applyFont="1" applyFill="1" applyBorder="1" applyAlignment="1">
      <alignment horizontal="center"/>
    </xf>
    <xf numFmtId="1" fontId="6" fillId="5" borderId="2" xfId="0" applyNumberFormat="1" applyFont="1" applyFill="1" applyBorder="1" applyAlignment="1">
      <alignment horizontal="center"/>
    </xf>
    <xf numFmtId="1" fontId="19" fillId="5" borderId="2" xfId="0" applyNumberFormat="1" applyFont="1" applyFill="1" applyBorder="1" applyAlignment="1">
      <alignment horizontal="center"/>
    </xf>
    <xf numFmtId="1" fontId="19" fillId="0" borderId="2" xfId="0" applyNumberFormat="1" applyFont="1" applyBorder="1" applyAlignment="1">
      <alignment horizontal="center"/>
    </xf>
    <xf numFmtId="0" fontId="2" fillId="0" borderId="0" xfId="0" applyFont="1" applyAlignment="1">
      <alignment horizontal="center" vertical="center" wrapText="1"/>
    </xf>
    <xf numFmtId="2" fontId="2" fillId="0" borderId="0" xfId="0" applyNumberFormat="1" applyFont="1" applyAlignment="1">
      <alignment horizontal="center" vertical="center" wrapText="1"/>
    </xf>
    <xf numFmtId="2" fontId="6" fillId="0" borderId="2" xfId="0" applyNumberFormat="1" applyFont="1" applyBorder="1"/>
    <xf numFmtId="2" fontId="6" fillId="0" borderId="0" xfId="0" applyNumberFormat="1" applyFont="1"/>
    <xf numFmtId="0" fontId="2" fillId="2" borderId="2" xfId="0" applyFont="1" applyFill="1" applyBorder="1" applyAlignment="1">
      <alignment horizontal="left"/>
    </xf>
    <xf numFmtId="0" fontId="2" fillId="0" borderId="2" xfId="0" applyFont="1" applyBorder="1" applyAlignment="1">
      <alignment horizontal="left" vertical="center" wrapText="1"/>
    </xf>
    <xf numFmtId="0" fontId="1" fillId="2" borderId="0" xfId="0" applyFont="1" applyFill="1" applyAlignment="1">
      <alignment horizontal="center"/>
    </xf>
    <xf numFmtId="14" fontId="1" fillId="2" borderId="0" xfId="0" applyNumberFormat="1" applyFont="1" applyFill="1" applyAlignment="1">
      <alignment horizontal="center"/>
    </xf>
    <xf numFmtId="0" fontId="8" fillId="2" borderId="0" xfId="0" applyFont="1" applyFill="1" applyAlignment="1">
      <alignment horizontal="center"/>
    </xf>
    <xf numFmtId="0" fontId="22" fillId="0" borderId="0" xfId="0" applyFont="1" applyAlignment="1">
      <alignment horizontal="left" wrapText="1"/>
    </xf>
    <xf numFmtId="0" fontId="34" fillId="2" borderId="0" xfId="0" applyFont="1" applyFill="1" applyAlignment="1">
      <alignment horizontal="center" vertical="center"/>
    </xf>
    <xf numFmtId="0" fontId="4" fillId="2" borderId="0" xfId="0" applyFont="1" applyFill="1" applyAlignment="1">
      <alignment horizontal="center" vertical="center"/>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7" fillId="0" borderId="2" xfId="0" applyFont="1" applyBorder="1" applyAlignment="1">
      <alignment horizontal="left"/>
    </xf>
    <xf numFmtId="0" fontId="2" fillId="2" borderId="6" xfId="0" applyFont="1" applyFill="1" applyBorder="1" applyAlignment="1">
      <alignment horizontal="left" vertical="top" wrapText="1"/>
    </xf>
    <xf numFmtId="0" fontId="1" fillId="0" borderId="0" xfId="0" applyFont="1" applyAlignment="1">
      <alignment horizontal="left" vertical="top" wrapText="1"/>
    </xf>
    <xf numFmtId="0" fontId="2" fillId="2" borderId="7" xfId="0" applyFont="1" applyFill="1" applyBorder="1" applyAlignment="1">
      <alignment horizontal="left" vertical="top" wrapText="1"/>
    </xf>
    <xf numFmtId="0" fontId="2" fillId="2" borderId="0" xfId="0" applyFont="1" applyFill="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2" fillId="2" borderId="2" xfId="0" applyFont="1" applyFill="1" applyBorder="1" applyAlignment="1">
      <alignment horizontal="left" vertical="top"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2" fillId="2" borderId="2" xfId="0" applyFont="1" applyFill="1" applyBorder="1" applyAlignment="1">
      <alignment horizontal="left"/>
    </xf>
    <xf numFmtId="0" fontId="2" fillId="2" borderId="2" xfId="0" applyFont="1" applyFill="1" applyBorder="1" applyAlignment="1">
      <alignment horizontal="left" vertical="center"/>
    </xf>
    <xf numFmtId="0" fontId="2" fillId="2" borderId="2" xfId="0" applyFont="1" applyFill="1" applyBorder="1" applyAlignment="1">
      <alignment horizontal="left" vertical="center" wrapText="1"/>
    </xf>
    <xf numFmtId="0" fontId="7" fillId="0" borderId="2" xfId="0" applyFont="1" applyBorder="1" applyAlignment="1">
      <alignment horizontal="left" vertical="center" wrapText="1"/>
    </xf>
    <xf numFmtId="10" fontId="2" fillId="2" borderId="2" xfId="0" applyNumberFormat="1" applyFont="1" applyFill="1" applyBorder="1" applyAlignment="1">
      <alignment horizontal="center" vertical="center"/>
    </xf>
    <xf numFmtId="9" fontId="2" fillId="2" borderId="2" xfId="0" applyNumberFormat="1" applyFont="1" applyFill="1" applyBorder="1" applyAlignment="1">
      <alignment horizontal="center" vertical="center"/>
    </xf>
    <xf numFmtId="0" fontId="6" fillId="7" borderId="3" xfId="0" applyFont="1" applyFill="1" applyBorder="1" applyAlignment="1">
      <alignment horizontal="left" vertical="center"/>
    </xf>
    <xf numFmtId="0" fontId="6" fillId="7" borderId="5" xfId="0" applyFont="1" applyFill="1" applyBorder="1" applyAlignment="1">
      <alignment horizontal="left"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10" fontId="2" fillId="2" borderId="2" xfId="0" applyNumberFormat="1" applyFont="1" applyFill="1" applyBorder="1" applyAlignment="1">
      <alignment horizontal="center" vertical="center" wrapText="1"/>
    </xf>
    <xf numFmtId="0" fontId="2" fillId="2" borderId="6" xfId="0" applyFont="1" applyFill="1" applyBorder="1" applyAlignment="1">
      <alignment horizontal="left" vertical="center" wrapText="1"/>
    </xf>
    <xf numFmtId="0" fontId="2" fillId="2" borderId="8" xfId="0" applyFont="1" applyFill="1" applyBorder="1" applyAlignment="1">
      <alignment horizontal="left" vertical="center" wrapText="1"/>
    </xf>
    <xf numFmtId="0" fontId="2" fillId="2" borderId="9" xfId="0" applyFont="1" applyFill="1" applyBorder="1" applyAlignment="1">
      <alignment horizontal="left" vertical="center" wrapText="1"/>
    </xf>
    <xf numFmtId="0" fontId="2" fillId="2" borderId="10" xfId="0" applyFont="1" applyFill="1" applyBorder="1" applyAlignment="1">
      <alignment horizontal="left" vertical="center" wrapText="1"/>
    </xf>
    <xf numFmtId="0" fontId="2" fillId="2" borderId="11"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12" xfId="0" applyFont="1" applyFill="1" applyBorder="1" applyAlignment="1">
      <alignment horizontal="left" vertic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2" fillId="2" borderId="6" xfId="0" applyFont="1" applyFill="1" applyBorder="1" applyAlignment="1">
      <alignment horizontal="left"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2" fillId="2" borderId="6" xfId="0" applyFont="1" applyFill="1" applyBorder="1" applyAlignment="1">
      <alignment horizontal="left" vertical="top"/>
    </xf>
    <xf numFmtId="0" fontId="2" fillId="2" borderId="8" xfId="0" applyFont="1" applyFill="1" applyBorder="1" applyAlignment="1">
      <alignment horizontal="left" vertical="top"/>
    </xf>
    <xf numFmtId="0" fontId="2" fillId="2" borderId="11" xfId="0" applyFont="1" applyFill="1" applyBorder="1" applyAlignment="1">
      <alignment horizontal="left" vertical="top"/>
    </xf>
    <xf numFmtId="0" fontId="2" fillId="2" borderId="13" xfId="0" applyFont="1" applyFill="1" applyBorder="1" applyAlignment="1">
      <alignment horizontal="left" vertical="top"/>
    </xf>
    <xf numFmtId="0" fontId="2" fillId="2" borderId="7" xfId="0" applyFont="1" applyFill="1" applyBorder="1" applyAlignment="1">
      <alignment horizontal="left" vertical="top"/>
    </xf>
    <xf numFmtId="0" fontId="2" fillId="2" borderId="12" xfId="0" applyFont="1" applyFill="1" applyBorder="1" applyAlignment="1">
      <alignment horizontal="left" vertical="top"/>
    </xf>
    <xf numFmtId="0" fontId="2" fillId="2" borderId="8"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17" fontId="2" fillId="2" borderId="6" xfId="0" applyNumberFormat="1" applyFont="1" applyFill="1" applyBorder="1" applyAlignment="1">
      <alignment horizontal="left" vertical="top"/>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2" fillId="0" borderId="2" xfId="0" applyFont="1" applyBorder="1" applyAlignment="1">
      <alignment horizontal="left" vertical="center" wrapText="1"/>
    </xf>
    <xf numFmtId="0" fontId="18" fillId="0" borderId="2" xfId="0" applyFont="1" applyBorder="1" applyAlignment="1">
      <alignment horizontal="left" vertical="center" wrapText="1"/>
    </xf>
    <xf numFmtId="0" fontId="2" fillId="5" borderId="3" xfId="0" applyFont="1" applyFill="1" applyBorder="1" applyAlignment="1">
      <alignment horizontal="left" vertical="center" wrapText="1"/>
    </xf>
    <xf numFmtId="0" fontId="2" fillId="5" borderId="6"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17" fontId="1" fillId="0" borderId="0" xfId="0" applyNumberFormat="1" applyFont="1"/>
    <xf numFmtId="0" fontId="1" fillId="2" borderId="0" xfId="0" applyFont="1" applyFill="1" applyAlignment="1">
      <alignment horizontal="center" vertical="center"/>
    </xf>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2" fillId="2" borderId="2" xfId="0" applyFont="1" applyFill="1" applyBorder="1" applyAlignment="1">
      <alignment horizontal="center"/>
    </xf>
    <xf numFmtId="0" fontId="2" fillId="2" borderId="2" xfId="0" applyFont="1" applyFill="1" applyBorder="1" applyAlignment="1">
      <alignment horizontal="center" vertical="top"/>
    </xf>
    <xf numFmtId="0" fontId="2" fillId="2" borderId="2" xfId="0" applyFont="1" applyFill="1" applyBorder="1" applyAlignment="1">
      <alignment horizontal="left" vertical="top"/>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2" fillId="2" borderId="9" xfId="0" applyFont="1" applyFill="1" applyBorder="1" applyAlignment="1">
      <alignment horizontal="left" vertical="top" wrapText="1"/>
    </xf>
    <xf numFmtId="0" fontId="2" fillId="2" borderId="10" xfId="0" applyFont="1" applyFill="1" applyBorder="1" applyAlignment="1">
      <alignment horizontal="left" vertical="top" wrapText="1"/>
    </xf>
    <xf numFmtId="0" fontId="2" fillId="0" borderId="0" xfId="0" applyFont="1" applyAlignment="1">
      <alignment horizontal="center"/>
    </xf>
    <xf numFmtId="164" fontId="6" fillId="2" borderId="7" xfId="1" applyNumberFormat="1" applyFont="1" applyFill="1" applyBorder="1" applyAlignment="1"/>
    <xf numFmtId="0" fontId="2" fillId="0" borderId="3" xfId="0" applyFont="1" applyBorder="1"/>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vertical="center"/>
    </xf>
    <xf numFmtId="0" fontId="2" fillId="0" borderId="7" xfId="0" applyFont="1" applyBorder="1" applyAlignment="1">
      <alignment horizontal="center" vertical="center" textRotation="90"/>
    </xf>
    <xf numFmtId="164" fontId="2" fillId="2" borderId="7" xfId="1" applyNumberFormat="1" applyFont="1" applyFill="1" applyBorder="1" applyAlignment="1">
      <alignment horizontal="center"/>
    </xf>
    <xf numFmtId="165" fontId="2" fillId="0" borderId="8" xfId="2" applyNumberFormat="1" applyFont="1" applyBorder="1" applyAlignment="1">
      <alignment horizontal="center"/>
    </xf>
    <xf numFmtId="0" fontId="2" fillId="0" borderId="9" xfId="0" applyFont="1" applyBorder="1" applyAlignment="1">
      <alignment vertical="center"/>
    </xf>
    <xf numFmtId="0" fontId="2" fillId="0" borderId="0" xfId="0" applyFont="1" applyAlignment="1">
      <alignment horizontal="center" vertical="center" textRotation="90"/>
    </xf>
    <xf numFmtId="164" fontId="2" fillId="2" borderId="0" xfId="1" applyNumberFormat="1" applyFont="1" applyFill="1" applyBorder="1" applyAlignment="1">
      <alignment horizontal="center"/>
    </xf>
    <xf numFmtId="165" fontId="2" fillId="0" borderId="10" xfId="2" applyNumberFormat="1" applyFont="1" applyBorder="1" applyAlignment="1">
      <alignment horizontal="center"/>
    </xf>
    <xf numFmtId="165" fontId="2" fillId="0" borderId="10" xfId="2" applyNumberFormat="1" applyFont="1" applyFill="1" applyBorder="1" applyAlignment="1">
      <alignment horizontal="center"/>
    </xf>
    <xf numFmtId="0" fontId="2" fillId="0" borderId="12" xfId="0" applyFont="1" applyBorder="1" applyAlignment="1">
      <alignment horizontal="center" vertical="center" textRotation="90"/>
    </xf>
    <xf numFmtId="165" fontId="2" fillId="0" borderId="13" xfId="2" applyNumberFormat="1"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6" xfId="0" applyFont="1" applyBorder="1"/>
    <xf numFmtId="164" fontId="2" fillId="0" borderId="8" xfId="0" applyNumberFormat="1" applyFont="1" applyBorder="1" applyAlignment="1">
      <alignment horizontal="center"/>
    </xf>
    <xf numFmtId="164" fontId="2" fillId="2" borderId="0" xfId="1" applyNumberFormat="1" applyFont="1" applyFill="1" applyAlignment="1">
      <alignment horizontal="center"/>
    </xf>
    <xf numFmtId="164" fontId="2" fillId="0" borderId="10" xfId="0" applyNumberFormat="1" applyFont="1" applyBorder="1" applyAlignment="1">
      <alignment horizontal="center"/>
    </xf>
    <xf numFmtId="165" fontId="2" fillId="0" borderId="0" xfId="2" applyNumberFormat="1" applyFont="1" applyAlignment="1">
      <alignment horizontal="center" vertical="center"/>
    </xf>
    <xf numFmtId="0" fontId="2" fillId="0" borderId="0" xfId="0" applyFont="1" applyAlignment="1">
      <alignment horizontal="center" textRotation="90"/>
    </xf>
    <xf numFmtId="0" fontId="2" fillId="0" borderId="12" xfId="0" applyFont="1" applyBorder="1"/>
    <xf numFmtId="43" fontId="2" fillId="2" borderId="12" xfId="1" applyFont="1" applyFill="1" applyBorder="1" applyAlignment="1">
      <alignment horizontal="center"/>
    </xf>
    <xf numFmtId="166" fontId="2" fillId="2" borderId="12" xfId="0" applyNumberFormat="1" applyFont="1" applyFill="1" applyBorder="1" applyAlignment="1">
      <alignment horizontal="center"/>
    </xf>
    <xf numFmtId="166" fontId="2" fillId="2" borderId="13" xfId="0" applyNumberFormat="1" applyFont="1" applyFill="1" applyBorder="1" applyAlignment="1">
      <alignment horizontal="center"/>
    </xf>
    <xf numFmtId="0" fontId="2" fillId="0" borderId="6" xfId="0" applyFont="1" applyBorder="1" applyAlignment="1">
      <alignment horizontal="center" vertical="center"/>
    </xf>
    <xf numFmtId="0" fontId="2" fillId="0" borderId="8" xfId="0" quotePrefix="1" applyFont="1" applyBorder="1" applyAlignment="1">
      <alignment horizontal="center"/>
    </xf>
    <xf numFmtId="0" fontId="2" fillId="0" borderId="12" xfId="0" applyFont="1" applyBorder="1" applyAlignment="1">
      <alignment horizontal="center" vertical="center" textRotation="90"/>
    </xf>
    <xf numFmtId="164" fontId="2" fillId="2" borderId="12" xfId="1" applyNumberFormat="1" applyFont="1" applyFill="1" applyBorder="1" applyAlignment="1">
      <alignment horizontal="center"/>
    </xf>
    <xf numFmtId="0" fontId="2" fillId="0" borderId="3" xfId="0" applyFont="1" applyBorder="1" applyAlignment="1">
      <alignment horizontal="center" vertical="center"/>
    </xf>
    <xf numFmtId="43" fontId="2" fillId="0" borderId="10" xfId="0" applyNumberFormat="1" applyFont="1" applyBorder="1" applyAlignment="1">
      <alignment horizontal="center" vertical="center"/>
    </xf>
    <xf numFmtId="43" fontId="2" fillId="0" borderId="13" xfId="0" applyNumberFormat="1" applyFont="1" applyBorder="1" applyAlignment="1">
      <alignment horizontal="center" vertical="center"/>
    </xf>
    <xf numFmtId="0" fontId="2" fillId="0" borderId="6" xfId="0" applyFont="1" applyBorder="1" applyAlignment="1">
      <alignment horizontal="center"/>
    </xf>
    <xf numFmtId="0" fontId="2" fillId="0" borderId="6" xfId="0" applyFont="1" applyBorder="1" applyAlignment="1">
      <alignment horizontal="left" vertical="center" wrapText="1"/>
    </xf>
    <xf numFmtId="0" fontId="2" fillId="0" borderId="9" xfId="0" applyFont="1" applyBorder="1" applyAlignment="1">
      <alignment horizontal="left" vertical="center" wrapText="1"/>
    </xf>
    <xf numFmtId="165" fontId="2" fillId="0" borderId="10" xfId="2" quotePrefix="1" applyNumberFormat="1" applyFont="1" applyBorder="1" applyAlignment="1">
      <alignment horizontal="center"/>
    </xf>
    <xf numFmtId="10" fontId="2" fillId="0" borderId="10" xfId="2" applyNumberFormat="1" applyFont="1" applyBorder="1" applyAlignment="1">
      <alignment horizontal="center"/>
    </xf>
    <xf numFmtId="0" fontId="2" fillId="0" borderId="12" xfId="0" applyFont="1" applyBorder="1" applyAlignment="1">
      <alignment horizontal="center"/>
    </xf>
    <xf numFmtId="164" fontId="2" fillId="0" borderId="13" xfId="0" applyNumberFormat="1" applyFont="1" applyBorder="1" applyAlignment="1">
      <alignment horizontal="center"/>
    </xf>
    <xf numFmtId="0" fontId="1" fillId="0" borderId="0" xfId="0" applyFont="1" applyAlignment="1">
      <alignment vertical="top" wrapText="1"/>
    </xf>
    <xf numFmtId="0" fontId="2" fillId="2" borderId="9" xfId="0" applyFont="1" applyFill="1" applyBorder="1" applyAlignment="1">
      <alignment horizontal="left" vertical="top"/>
    </xf>
    <xf numFmtId="0" fontId="2" fillId="2" borderId="0" xfId="0" applyFont="1" applyFill="1" applyAlignment="1">
      <alignment horizontal="left" vertical="top"/>
    </xf>
    <xf numFmtId="0" fontId="2" fillId="2" borderId="10" xfId="0" applyFont="1" applyFill="1" applyBorder="1" applyAlignment="1">
      <alignment horizontal="left" vertical="top"/>
    </xf>
    <xf numFmtId="0" fontId="2" fillId="2" borderId="2" xfId="0" applyFont="1" applyFill="1" applyBorder="1" applyAlignment="1">
      <alignment horizontal="center" vertical="center" wrapText="1"/>
    </xf>
    <xf numFmtId="168" fontId="2" fillId="2" borderId="1" xfId="0" applyNumberFormat="1" applyFont="1" applyFill="1" applyBorder="1" applyAlignment="1">
      <alignment horizontal="center" vertical="center" wrapText="1"/>
    </xf>
    <xf numFmtId="165" fontId="2" fillId="0" borderId="1" xfId="2" applyNumberFormat="1" applyFont="1" applyBorder="1" applyAlignment="1">
      <alignment horizontal="center" vertical="center" wrapText="1"/>
    </xf>
    <xf numFmtId="0" fontId="2" fillId="0" borderId="1" xfId="0" applyFont="1" applyBorder="1" applyAlignment="1">
      <alignment vertical="center" wrapText="1"/>
    </xf>
    <xf numFmtId="168" fontId="2" fillId="0" borderId="1" xfId="0" applyNumberFormat="1" applyFont="1" applyBorder="1" applyAlignment="1">
      <alignment horizontal="center"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4"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14" xfId="0" applyFont="1" applyBorder="1" applyAlignment="1">
      <alignment vertical="center" wrapText="1"/>
    </xf>
    <xf numFmtId="0" fontId="2" fillId="2" borderId="2" xfId="0" applyFont="1" applyFill="1" applyBorder="1" applyAlignment="1">
      <alignment vertical="center" wrapText="1"/>
    </xf>
    <xf numFmtId="0" fontId="2" fillId="0" borderId="2" xfId="0" applyFont="1" applyBorder="1" applyAlignment="1">
      <alignment vertical="center" wrapText="1"/>
    </xf>
    <xf numFmtId="165" fontId="2" fillId="0" borderId="2" xfId="2" applyNumberFormat="1" applyFont="1" applyBorder="1" applyAlignment="1">
      <alignment horizontal="center" vertical="center" wrapText="1"/>
    </xf>
    <xf numFmtId="0" fontId="2" fillId="0" borderId="0" xfId="0" applyFont="1" applyAlignment="1">
      <alignment vertical="center"/>
    </xf>
    <xf numFmtId="0" fontId="2" fillId="0" borderId="5" xfId="0" applyFont="1" applyBorder="1" applyAlignment="1">
      <alignment horizontal="left" vertical="center" wrapText="1"/>
    </xf>
    <xf numFmtId="0" fontId="2" fillId="0" borderId="3" xfId="0" applyFont="1" applyBorder="1" applyAlignment="1">
      <alignment horizontal="center" vertical="center" wrapText="1"/>
    </xf>
    <xf numFmtId="4" fontId="2" fillId="0" borderId="2" xfId="0" applyNumberFormat="1" applyFont="1" applyBorder="1" applyAlignment="1">
      <alignment horizontal="center" vertical="center" wrapText="1"/>
    </xf>
    <xf numFmtId="4" fontId="2" fillId="0" borderId="3" xfId="0" applyNumberFormat="1" applyFont="1" applyBorder="1" applyAlignment="1">
      <alignment horizontal="center" vertical="center" wrapText="1"/>
    </xf>
    <xf numFmtId="4" fontId="2" fillId="0" borderId="5" xfId="0" applyNumberFormat="1" applyFont="1" applyBorder="1" applyAlignment="1">
      <alignment horizontal="center" vertical="center"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4" fontId="2" fillId="2" borderId="2" xfId="0" applyNumberFormat="1" applyFont="1" applyFill="1" applyBorder="1" applyAlignment="1">
      <alignment horizontal="center" vertical="center" wrapText="1"/>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0" fontId="2" fillId="2" borderId="2" xfId="0" applyFont="1" applyFill="1" applyBorder="1" applyAlignment="1">
      <alignment vertical="center" wrapText="1"/>
    </xf>
    <xf numFmtId="0" fontId="1" fillId="2" borderId="2" xfId="0" applyFont="1" applyFill="1" applyBorder="1"/>
    <xf numFmtId="3" fontId="2" fillId="0" borderId="2" xfId="0" applyNumberFormat="1" applyFont="1" applyBorder="1" applyAlignment="1">
      <alignment horizontal="center" vertical="center" wrapText="1"/>
    </xf>
    <xf numFmtId="0" fontId="2" fillId="0" borderId="2" xfId="0" applyFont="1" applyBorder="1" applyAlignment="1">
      <alignment horizontal="center" vertical="center" wrapText="1"/>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wrapText="1"/>
    </xf>
    <xf numFmtId="0" fontId="2" fillId="5" borderId="2" xfId="0" applyFont="1" applyFill="1" applyBorder="1" applyAlignment="1">
      <alignment horizontal="center" vertical="center" wrapText="1"/>
    </xf>
    <xf numFmtId="0" fontId="2" fillId="0" borderId="2" xfId="0" applyFont="1" applyBorder="1" applyAlignment="1">
      <alignment horizontal="left"/>
    </xf>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14" fontId="2" fillId="2" borderId="2" xfId="0" applyNumberFormat="1" applyFont="1" applyFill="1" applyBorder="1" applyAlignment="1">
      <alignment horizontal="left" vertical="center"/>
    </xf>
    <xf numFmtId="0" fontId="2" fillId="2" borderId="3" xfId="0" applyFont="1" applyFill="1" applyBorder="1" applyAlignment="1">
      <alignment horizontal="left" vertical="center"/>
    </xf>
    <xf numFmtId="0" fontId="2" fillId="2" borderId="3" xfId="0" applyFont="1" applyFill="1" applyBorder="1" applyAlignment="1">
      <alignment horizontal="left" vertical="center"/>
    </xf>
    <xf numFmtId="0" fontId="2" fillId="2" borderId="3" xfId="0" applyFont="1" applyFill="1" applyBorder="1" applyAlignment="1">
      <alignment horizontal="left"/>
    </xf>
    <xf numFmtId="0" fontId="2" fillId="2" borderId="7" xfId="0" applyFont="1" applyFill="1" applyBorder="1" applyAlignment="1">
      <alignment horizontal="left"/>
    </xf>
    <xf numFmtId="0" fontId="2" fillId="2" borderId="8" xfId="0" applyFont="1" applyFill="1" applyBorder="1" applyAlignment="1">
      <alignment horizontal="left"/>
    </xf>
    <xf numFmtId="0" fontId="2" fillId="2" borderId="9" xfId="0" applyFont="1" applyFill="1" applyBorder="1" applyAlignment="1">
      <alignment horizontal="left"/>
    </xf>
    <xf numFmtId="0" fontId="2" fillId="2" borderId="0" xfId="0" applyFont="1" applyFill="1" applyAlignment="1">
      <alignment horizontal="left"/>
    </xf>
    <xf numFmtId="0" fontId="2" fillId="2" borderId="10" xfId="0" applyFont="1" applyFill="1" applyBorder="1" applyAlignment="1">
      <alignment horizontal="left"/>
    </xf>
    <xf numFmtId="0" fontId="2" fillId="2" borderId="11" xfId="0" applyFont="1" applyFill="1" applyBorder="1" applyAlignment="1">
      <alignment horizontal="left"/>
    </xf>
    <xf numFmtId="0" fontId="2" fillId="2" borderId="12" xfId="0" applyFont="1" applyFill="1" applyBorder="1" applyAlignment="1">
      <alignment horizontal="left"/>
    </xf>
    <xf numFmtId="0" fontId="2" fillId="2" borderId="13" xfId="0" applyFont="1" applyFill="1" applyBorder="1" applyAlignment="1">
      <alignment horizontal="left"/>
    </xf>
    <xf numFmtId="9" fontId="2" fillId="0" borderId="2" xfId="0" applyNumberFormat="1" applyFont="1" applyBorder="1" applyAlignment="1">
      <alignment horizontal="center" vertical="center" wrapText="1"/>
    </xf>
    <xf numFmtId="0" fontId="2" fillId="6" borderId="16" xfId="0" applyFont="1" applyFill="1" applyBorder="1" applyAlignment="1">
      <alignment horizontal="center" vertical="center" wrapText="1"/>
    </xf>
    <xf numFmtId="0" fontId="2" fillId="6" borderId="17"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5" xfId="0" applyFont="1" applyFill="1" applyBorder="1" applyAlignment="1">
      <alignment horizontal="left" vertical="center" wrapText="1"/>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5" xfId="0" applyFont="1" applyFill="1" applyBorder="1" applyAlignment="1">
      <alignment horizontal="left" vertical="center" wrapText="1"/>
    </xf>
    <xf numFmtId="0" fontId="2" fillId="0" borderId="2" xfId="0" applyFont="1" applyBorder="1" applyAlignment="1">
      <alignment horizontal="center"/>
    </xf>
    <xf numFmtId="2" fontId="2" fillId="5" borderId="2" xfId="0" applyNumberFormat="1" applyFont="1" applyFill="1" applyBorder="1" applyAlignment="1">
      <alignment horizontal="center" vertical="center" wrapText="1"/>
    </xf>
    <xf numFmtId="0" fontId="2" fillId="0" borderId="2" xfId="0" applyFont="1" applyBorder="1" applyAlignment="1">
      <alignment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2" fontId="2" fillId="5" borderId="1" xfId="0" applyNumberFormat="1" applyFont="1" applyFill="1" applyBorder="1" applyAlignment="1">
      <alignment horizontal="center" vertical="center" wrapText="1"/>
    </xf>
    <xf numFmtId="0" fontId="2" fillId="5" borderId="1" xfId="0" applyFont="1" applyFill="1" applyBorder="1" applyAlignment="1">
      <alignment horizontal="center" vertical="center" wrapText="1"/>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c:formatCode>
                <c:ptCount val="12"/>
                <c:pt idx="0">
                  <c:v>6.5</c:v>
                </c:pt>
                <c:pt idx="1">
                  <c:v>6</c:v>
                </c:pt>
                <c:pt idx="2">
                  <c:v>6</c:v>
                </c:pt>
                <c:pt idx="3">
                  <c:v>5</c:v>
                </c:pt>
                <c:pt idx="4">
                  <c:v>5.5</c:v>
                </c:pt>
                <c:pt idx="5">
                  <c:v>6.5</c:v>
                </c:pt>
                <c:pt idx="6">
                  <c:v>6.5</c:v>
                </c:pt>
                <c:pt idx="7">
                  <c:v>6</c:v>
                </c:pt>
                <c:pt idx="8">
                  <c:v>5.5</c:v>
                </c:pt>
                <c:pt idx="9">
                  <c:v>6.5</c:v>
                </c:pt>
                <c:pt idx="10">
                  <c:v>6</c:v>
                </c:pt>
                <c:pt idx="11">
                  <c:v>6.5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c:formatCode>
                <c:ptCount val="12"/>
                <c:pt idx="0">
                  <c:v>41</c:v>
                </c:pt>
                <c:pt idx="1">
                  <c:v>71</c:v>
                </c:pt>
                <c:pt idx="2">
                  <c:v>147</c:v>
                </c:pt>
                <c:pt idx="3">
                  <c:v>62</c:v>
                </c:pt>
                <c:pt idx="4">
                  <c:v>44</c:v>
                </c:pt>
                <c:pt idx="5">
                  <c:v>48</c:v>
                </c:pt>
                <c:pt idx="6">
                  <c:v>27</c:v>
                </c:pt>
                <c:pt idx="7">
                  <c:v>35</c:v>
                </c:pt>
                <c:pt idx="8">
                  <c:v>36</c:v>
                </c:pt>
                <c:pt idx="9">
                  <c:v>35</c:v>
                </c:pt>
                <c:pt idx="10">
                  <c:v>28</c:v>
                </c:pt>
                <c:pt idx="11">
                  <c:v>38</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c:formatCode>
                <c:ptCount val="12"/>
                <c:pt idx="0">
                  <c:v>6.650537634408602</c:v>
                </c:pt>
                <c:pt idx="1">
                  <c:v>5.8571428571428577</c:v>
                </c:pt>
                <c:pt idx="2">
                  <c:v>5.1339285714285712</c:v>
                </c:pt>
                <c:pt idx="3">
                  <c:v>5.2166666666666668</c:v>
                </c:pt>
                <c:pt idx="4">
                  <c:v>5.6575682382133996</c:v>
                </c:pt>
                <c:pt idx="5">
                  <c:v>6.5333333333333332</c:v>
                </c:pt>
                <c:pt idx="6">
                  <c:v>6.3704301075268823</c:v>
                </c:pt>
                <c:pt idx="7">
                  <c:v>5.95</c:v>
                </c:pt>
                <c:pt idx="8">
                  <c:v>5.5166666666666666</c:v>
                </c:pt>
                <c:pt idx="9">
                  <c:v>6.5097402597402603</c:v>
                </c:pt>
                <c:pt idx="10">
                  <c:v>6.0925925925925926</c:v>
                </c:pt>
                <c:pt idx="11">
                  <c:v>6.4107142857142856</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c:formatCode>
                <c:ptCount val="12"/>
                <c:pt idx="0">
                  <c:v>8</c:v>
                </c:pt>
                <c:pt idx="1">
                  <c:v>8</c:v>
                </c:pt>
                <c:pt idx="2">
                  <c:v>8</c:v>
                </c:pt>
                <c:pt idx="3">
                  <c:v>6</c:v>
                </c:pt>
                <c:pt idx="4">
                  <c:v>7</c:v>
                </c:pt>
                <c:pt idx="5">
                  <c:v>8</c:v>
                </c:pt>
                <c:pt idx="6">
                  <c:v>8</c:v>
                </c:pt>
                <c:pt idx="7">
                  <c:v>8</c:v>
                </c:pt>
                <c:pt idx="8">
                  <c:v>8</c:v>
                </c:pt>
                <c:pt idx="9">
                  <c:v>9</c:v>
                </c:pt>
                <c:pt idx="10">
                  <c:v>7</c:v>
                </c:pt>
                <c:pt idx="11">
                  <c:v>7</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11390368"/>
        <c:axId val="311390760"/>
      </c:lineChart>
      <c:catAx>
        <c:axId val="311390368"/>
        <c:scaling>
          <c:orientation val="minMax"/>
        </c:scaling>
        <c:delete val="0"/>
        <c:axPos val="b"/>
        <c:numFmt formatCode="General" sourceLinked="1"/>
        <c:majorTickMark val="out"/>
        <c:minorTickMark val="none"/>
        <c:tickLblPos val="nextTo"/>
        <c:crossAx val="311390760"/>
        <c:crosses val="autoZero"/>
        <c:auto val="1"/>
        <c:lblAlgn val="ctr"/>
        <c:lblOffset val="100"/>
        <c:noMultiLvlLbl val="0"/>
      </c:catAx>
      <c:valAx>
        <c:axId val="3113907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036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c:formatCode>
                <c:ptCount val="12"/>
                <c:pt idx="0">
                  <c:v>15.5</c:v>
                </c:pt>
                <c:pt idx="1">
                  <c:v>16.5</c:v>
                </c:pt>
                <c:pt idx="2">
                  <c:v>18.5</c:v>
                </c:pt>
                <c:pt idx="3">
                  <c:v>19.5</c:v>
                </c:pt>
                <c:pt idx="4">
                  <c:v>17.5</c:v>
                </c:pt>
                <c:pt idx="5">
                  <c:v>17</c:v>
                </c:pt>
                <c:pt idx="6">
                  <c:v>13</c:v>
                </c:pt>
                <c:pt idx="7">
                  <c:v>13.5</c:v>
                </c:pt>
                <c:pt idx="8">
                  <c:v>14.5</c:v>
                </c:pt>
                <c:pt idx="9">
                  <c:v>17.5</c:v>
                </c:pt>
                <c:pt idx="10">
                  <c:v>17</c:v>
                </c:pt>
                <c:pt idx="11">
                  <c:v>19.5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c:formatCode>
                <c:ptCount val="12"/>
                <c:pt idx="0">
                  <c:v>68</c:v>
                </c:pt>
                <c:pt idx="1">
                  <c:v>76</c:v>
                </c:pt>
                <c:pt idx="2">
                  <c:v>101</c:v>
                </c:pt>
                <c:pt idx="3">
                  <c:v>130</c:v>
                </c:pt>
                <c:pt idx="4">
                  <c:v>132</c:v>
                </c:pt>
                <c:pt idx="5">
                  <c:v>94</c:v>
                </c:pt>
                <c:pt idx="6">
                  <c:v>153</c:v>
                </c:pt>
                <c:pt idx="7">
                  <c:v>97</c:v>
                </c:pt>
                <c:pt idx="8">
                  <c:v>96</c:v>
                </c:pt>
                <c:pt idx="9">
                  <c:v>102</c:v>
                </c:pt>
                <c:pt idx="10">
                  <c:v>110</c:v>
                </c:pt>
                <c:pt idx="11">
                  <c:v>98</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0</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c:formatCode>
                <c:ptCount val="12"/>
                <c:pt idx="0">
                  <c:v>15.349462365591396</c:v>
                </c:pt>
                <c:pt idx="1">
                  <c:v>16.696428571428569</c:v>
                </c:pt>
                <c:pt idx="2">
                  <c:v>17.99404761904762</c:v>
                </c:pt>
                <c:pt idx="3">
                  <c:v>19.566666666666666</c:v>
                </c:pt>
                <c:pt idx="4">
                  <c:v>17.598635235732011</c:v>
                </c:pt>
                <c:pt idx="5">
                  <c:v>16.716666666666669</c:v>
                </c:pt>
                <c:pt idx="6">
                  <c:v>13.130645161290325</c:v>
                </c:pt>
                <c:pt idx="7">
                  <c:v>13.456410256410257</c:v>
                </c:pt>
                <c:pt idx="8">
                  <c:v>15.058333333333334</c:v>
                </c:pt>
                <c:pt idx="9">
                  <c:v>16.504870129870131</c:v>
                </c:pt>
                <c:pt idx="10">
                  <c:v>17</c:v>
                </c:pt>
                <c:pt idx="11">
                  <c:v>19.245714285714286</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c:formatCode>
                <c:ptCount val="12"/>
                <c:pt idx="0">
                  <c:v>26</c:v>
                </c:pt>
                <c:pt idx="1">
                  <c:v>23</c:v>
                </c:pt>
                <c:pt idx="2">
                  <c:v>28</c:v>
                </c:pt>
                <c:pt idx="3">
                  <c:v>27</c:v>
                </c:pt>
                <c:pt idx="4">
                  <c:v>30</c:v>
                </c:pt>
                <c:pt idx="5">
                  <c:v>29</c:v>
                </c:pt>
                <c:pt idx="6">
                  <c:v>25</c:v>
                </c:pt>
                <c:pt idx="7">
                  <c:v>27</c:v>
                </c:pt>
                <c:pt idx="8">
                  <c:v>26</c:v>
                </c:pt>
                <c:pt idx="9">
                  <c:v>27</c:v>
                </c:pt>
                <c:pt idx="10">
                  <c:v>24</c:v>
                </c:pt>
                <c:pt idx="11">
                  <c:v>31</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1391936"/>
        <c:axId val="311392328"/>
      </c:lineChart>
      <c:catAx>
        <c:axId val="311391936"/>
        <c:scaling>
          <c:orientation val="minMax"/>
        </c:scaling>
        <c:delete val="0"/>
        <c:axPos val="b"/>
        <c:numFmt formatCode="General" sourceLinked="1"/>
        <c:majorTickMark val="out"/>
        <c:minorTickMark val="none"/>
        <c:tickLblPos val="nextTo"/>
        <c:crossAx val="311392328"/>
        <c:crosses val="autoZero"/>
        <c:auto val="1"/>
        <c:lblAlgn val="ctr"/>
        <c:lblOffset val="100"/>
        <c:noMultiLvlLbl val="0"/>
      </c:catAx>
      <c:valAx>
        <c:axId val="3113923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19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c:formatCode>
                <c:ptCount val="12"/>
                <c:pt idx="0">
                  <c:v>184</c:v>
                </c:pt>
                <c:pt idx="1">
                  <c:v>184</c:v>
                </c:pt>
                <c:pt idx="2">
                  <c:v>185</c:v>
                </c:pt>
                <c:pt idx="3">
                  <c:v>185</c:v>
                </c:pt>
                <c:pt idx="4">
                  <c:v>184</c:v>
                </c:pt>
                <c:pt idx="5">
                  <c:v>185</c:v>
                </c:pt>
                <c:pt idx="6">
                  <c:v>184.5</c:v>
                </c:pt>
                <c:pt idx="7">
                  <c:v>185</c:v>
                </c:pt>
                <c:pt idx="8">
                  <c:v>173</c:v>
                </c:pt>
                <c:pt idx="9">
                  <c:v>172</c:v>
                </c:pt>
                <c:pt idx="10">
                  <c:v>175.5</c:v>
                </c:pt>
                <c:pt idx="11">
                  <c:v>180.5</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c:formatCode>
                <c:ptCount val="12"/>
                <c:pt idx="0">
                  <c:v>262</c:v>
                </c:pt>
                <c:pt idx="1">
                  <c:v>292</c:v>
                </c:pt>
                <c:pt idx="2">
                  <c:v>336</c:v>
                </c:pt>
                <c:pt idx="3">
                  <c:v>324</c:v>
                </c:pt>
                <c:pt idx="4">
                  <c:v>379</c:v>
                </c:pt>
                <c:pt idx="5">
                  <c:v>255</c:v>
                </c:pt>
                <c:pt idx="6">
                  <c:v>291</c:v>
                </c:pt>
                <c:pt idx="7">
                  <c:v>250</c:v>
                </c:pt>
                <c:pt idx="8">
                  <c:v>247</c:v>
                </c:pt>
                <c:pt idx="9">
                  <c:v>317</c:v>
                </c:pt>
                <c:pt idx="10">
                  <c:v>305</c:v>
                </c:pt>
                <c:pt idx="11">
                  <c:v>315</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0</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c:formatCode>
                <c:ptCount val="12"/>
                <c:pt idx="0">
                  <c:v>184.37514934289129</c:v>
                </c:pt>
                <c:pt idx="1">
                  <c:v>184.26785714285714</c:v>
                </c:pt>
                <c:pt idx="2">
                  <c:v>185.09821428571428</c:v>
                </c:pt>
                <c:pt idx="3">
                  <c:v>184.95</c:v>
                </c:pt>
                <c:pt idx="4">
                  <c:v>183.62158808933003</c:v>
                </c:pt>
                <c:pt idx="5">
                  <c:v>185.16666666666669</c:v>
                </c:pt>
                <c:pt idx="6">
                  <c:v>184.50752688172042</c:v>
                </c:pt>
                <c:pt idx="7">
                  <c:v>185.03333333333333</c:v>
                </c:pt>
                <c:pt idx="8">
                  <c:v>177.40833333333333</c:v>
                </c:pt>
                <c:pt idx="9">
                  <c:v>171.70292207792207</c:v>
                </c:pt>
                <c:pt idx="10">
                  <c:v>177.44444444444446</c:v>
                </c:pt>
                <c:pt idx="11">
                  <c:v>180.76214285714286</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c:formatCode>
                <c:ptCount val="12"/>
                <c:pt idx="0">
                  <c:v>191</c:v>
                </c:pt>
                <c:pt idx="1">
                  <c:v>189</c:v>
                </c:pt>
                <c:pt idx="2">
                  <c:v>188</c:v>
                </c:pt>
                <c:pt idx="3">
                  <c:v>190</c:v>
                </c:pt>
                <c:pt idx="4">
                  <c:v>190</c:v>
                </c:pt>
                <c:pt idx="5">
                  <c:v>187</c:v>
                </c:pt>
                <c:pt idx="6">
                  <c:v>189</c:v>
                </c:pt>
                <c:pt idx="7">
                  <c:v>190</c:v>
                </c:pt>
                <c:pt idx="8">
                  <c:v>187</c:v>
                </c:pt>
                <c:pt idx="9">
                  <c:v>188</c:v>
                </c:pt>
                <c:pt idx="10">
                  <c:v>198</c:v>
                </c:pt>
                <c:pt idx="11">
                  <c:v>190</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1393504"/>
        <c:axId val="315846440"/>
      </c:lineChart>
      <c:catAx>
        <c:axId val="311393504"/>
        <c:scaling>
          <c:orientation val="minMax"/>
        </c:scaling>
        <c:delete val="0"/>
        <c:axPos val="b"/>
        <c:numFmt formatCode="General" sourceLinked="1"/>
        <c:majorTickMark val="out"/>
        <c:minorTickMark val="none"/>
        <c:tickLblPos val="nextTo"/>
        <c:crossAx val="315846440"/>
        <c:crosses val="autoZero"/>
        <c:auto val="1"/>
        <c:lblAlgn val="ctr"/>
        <c:lblOffset val="100"/>
        <c:noMultiLvlLbl val="0"/>
      </c:catAx>
      <c:valAx>
        <c:axId val="315846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35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c:formatCode>
                <c:ptCount val="12"/>
                <c:pt idx="0">
                  <c:v>0</c:v>
                </c:pt>
                <c:pt idx="1">
                  <c:v>0</c:v>
                </c:pt>
                <c:pt idx="2">
                  <c:v>0</c:v>
                </c:pt>
                <c:pt idx="3">
                  <c:v>0</c:v>
                </c:pt>
                <c:pt idx="4">
                  <c:v>0</c:v>
                </c:pt>
                <c:pt idx="5">
                  <c:v>0</c:v>
                </c:pt>
                <c:pt idx="6">
                  <c:v>0</c:v>
                </c:pt>
                <c:pt idx="7">
                  <c:v>0</c:v>
                </c:pt>
                <c:pt idx="8">
                  <c:v>0</c:v>
                </c:pt>
                <c:pt idx="9">
                  <c:v>0</c:v>
                </c:pt>
                <c:pt idx="10">
                  <c:v>0</c:v>
                </c:pt>
                <c:pt idx="11">
                  <c:v>0.5</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0</c:formatCode>
                <c:ptCount val="12"/>
                <c:pt idx="0">
                  <c:v>11</c:v>
                </c:pt>
                <c:pt idx="1">
                  <c:v>7</c:v>
                </c:pt>
                <c:pt idx="2">
                  <c:v>6</c:v>
                </c:pt>
                <c:pt idx="3">
                  <c:v>4</c:v>
                </c:pt>
                <c:pt idx="4">
                  <c:v>18</c:v>
                </c:pt>
                <c:pt idx="5">
                  <c:v>4</c:v>
                </c:pt>
                <c:pt idx="6">
                  <c:v>15</c:v>
                </c:pt>
                <c:pt idx="7">
                  <c:v>15</c:v>
                </c:pt>
                <c:pt idx="8">
                  <c:v>12</c:v>
                </c:pt>
                <c:pt idx="9">
                  <c:v>384</c:v>
                </c:pt>
                <c:pt idx="10">
                  <c:v>50</c:v>
                </c:pt>
                <c:pt idx="11">
                  <c:v>24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c:formatCode>
                <c:ptCount val="12"/>
                <c:pt idx="0">
                  <c:v>0.28136200716845877</c:v>
                </c:pt>
                <c:pt idx="1">
                  <c:v>0.14285714285714285</c:v>
                </c:pt>
                <c:pt idx="2">
                  <c:v>0</c:v>
                </c:pt>
                <c:pt idx="3">
                  <c:v>6.6666666666666666E-2</c:v>
                </c:pt>
                <c:pt idx="4">
                  <c:v>0</c:v>
                </c:pt>
                <c:pt idx="5">
                  <c:v>0</c:v>
                </c:pt>
                <c:pt idx="6">
                  <c:v>0.17849462365591398</c:v>
                </c:pt>
                <c:pt idx="7">
                  <c:v>0.1294871794871795</c:v>
                </c:pt>
                <c:pt idx="8">
                  <c:v>4.1666666666666664E-2</c:v>
                </c:pt>
                <c:pt idx="9">
                  <c:v>0.11201298701298701</c:v>
                </c:pt>
                <c:pt idx="10">
                  <c:v>0.18518518518518517</c:v>
                </c:pt>
                <c:pt idx="11">
                  <c:v>0.35571428571428571</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0</c:formatCode>
                <c:ptCount val="12"/>
                <c:pt idx="0">
                  <c:v>1</c:v>
                </c:pt>
                <c:pt idx="1">
                  <c:v>2</c:v>
                </c:pt>
                <c:pt idx="2">
                  <c:v>0</c:v>
                </c:pt>
                <c:pt idx="3">
                  <c:v>2</c:v>
                </c:pt>
                <c:pt idx="4">
                  <c:v>0</c:v>
                </c:pt>
                <c:pt idx="5">
                  <c:v>0</c:v>
                </c:pt>
                <c:pt idx="6">
                  <c:v>1</c:v>
                </c:pt>
                <c:pt idx="7">
                  <c:v>1</c:v>
                </c:pt>
                <c:pt idx="8">
                  <c:v>1</c:v>
                </c:pt>
                <c:pt idx="9">
                  <c:v>4</c:v>
                </c:pt>
                <c:pt idx="10">
                  <c:v>1</c:v>
                </c:pt>
                <c:pt idx="11">
                  <c:v>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5849184"/>
        <c:axId val="315849576"/>
      </c:lineChart>
      <c:catAx>
        <c:axId val="315849184"/>
        <c:scaling>
          <c:orientation val="minMax"/>
        </c:scaling>
        <c:delete val="0"/>
        <c:axPos val="b"/>
        <c:numFmt formatCode="General" sourceLinked="1"/>
        <c:majorTickMark val="out"/>
        <c:minorTickMark val="none"/>
        <c:tickLblPos val="nextTo"/>
        <c:crossAx val="315849576"/>
        <c:crosses val="autoZero"/>
        <c:auto val="1"/>
        <c:lblAlgn val="ctr"/>
        <c:lblOffset val="100"/>
        <c:noMultiLvlLbl val="0"/>
      </c:catAx>
      <c:valAx>
        <c:axId val="31584957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4918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c:formatCode>
                <c:ptCount val="12"/>
                <c:pt idx="0">
                  <c:v>1</c:v>
                </c:pt>
                <c:pt idx="1">
                  <c:v>0.5</c:v>
                </c:pt>
                <c:pt idx="2">
                  <c:v>1</c:v>
                </c:pt>
                <c:pt idx="3">
                  <c:v>2</c:v>
                </c:pt>
                <c:pt idx="4">
                  <c:v>2</c:v>
                </c:pt>
                <c:pt idx="5">
                  <c:v>1.5</c:v>
                </c:pt>
                <c:pt idx="6">
                  <c:v>1</c:v>
                </c:pt>
                <c:pt idx="7">
                  <c:v>1.5</c:v>
                </c:pt>
                <c:pt idx="8">
                  <c:v>1</c:v>
                </c:pt>
                <c:pt idx="9">
                  <c:v>0.5</c:v>
                </c:pt>
                <c:pt idx="10">
                  <c:v>0.5</c:v>
                </c:pt>
                <c:pt idx="11">
                  <c:v>0.5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0</c:formatCode>
                <c:ptCount val="12"/>
                <c:pt idx="0">
                  <c:v>3</c:v>
                </c:pt>
                <c:pt idx="1">
                  <c:v>4</c:v>
                </c:pt>
                <c:pt idx="2">
                  <c:v>4</c:v>
                </c:pt>
                <c:pt idx="3">
                  <c:v>8</c:v>
                </c:pt>
                <c:pt idx="4">
                  <c:v>4</c:v>
                </c:pt>
                <c:pt idx="5">
                  <c:v>91</c:v>
                </c:pt>
                <c:pt idx="6">
                  <c:v>15</c:v>
                </c:pt>
                <c:pt idx="7">
                  <c:v>7</c:v>
                </c:pt>
                <c:pt idx="8">
                  <c:v>4</c:v>
                </c:pt>
                <c:pt idx="9">
                  <c:v>7</c:v>
                </c:pt>
                <c:pt idx="10">
                  <c:v>2</c:v>
                </c:pt>
                <c:pt idx="11">
                  <c:v>17</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c:formatCode>
                <c:ptCount val="12"/>
                <c:pt idx="0">
                  <c:v>1.0925925925925926</c:v>
                </c:pt>
                <c:pt idx="1">
                  <c:v>0.9642857142857143</c:v>
                </c:pt>
                <c:pt idx="2">
                  <c:v>1.0505952380952381</c:v>
                </c:pt>
                <c:pt idx="3">
                  <c:v>2.3333333333333335</c:v>
                </c:pt>
                <c:pt idx="4">
                  <c:v>1.8418114143920596</c:v>
                </c:pt>
                <c:pt idx="5">
                  <c:v>1.4166666666666667</c:v>
                </c:pt>
                <c:pt idx="6">
                  <c:v>1.1301075268817204</c:v>
                </c:pt>
                <c:pt idx="7">
                  <c:v>1.0051282051282051</c:v>
                </c:pt>
                <c:pt idx="8">
                  <c:v>0.17499999999999999</c:v>
                </c:pt>
                <c:pt idx="9">
                  <c:v>0.26785714285714285</c:v>
                </c:pt>
                <c:pt idx="10">
                  <c:v>0.25925925925925924</c:v>
                </c:pt>
                <c:pt idx="11">
                  <c:v>0.27571428571428569</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0</c:formatCode>
                <c:ptCount val="12"/>
                <c:pt idx="0">
                  <c:v>2</c:v>
                </c:pt>
                <c:pt idx="1">
                  <c:v>4</c:v>
                </c:pt>
                <c:pt idx="2">
                  <c:v>3</c:v>
                </c:pt>
                <c:pt idx="3">
                  <c:v>6</c:v>
                </c:pt>
                <c:pt idx="4">
                  <c:v>3</c:v>
                </c:pt>
                <c:pt idx="5">
                  <c:v>3</c:v>
                </c:pt>
                <c:pt idx="6">
                  <c:v>8</c:v>
                </c:pt>
                <c:pt idx="7">
                  <c:v>3</c:v>
                </c:pt>
                <c:pt idx="8">
                  <c:v>1</c:v>
                </c:pt>
                <c:pt idx="9">
                  <c:v>1</c:v>
                </c:pt>
                <c:pt idx="10">
                  <c:v>1</c:v>
                </c:pt>
                <c:pt idx="11">
                  <c:v>2</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5851144"/>
        <c:axId val="315851536"/>
      </c:lineChart>
      <c:catAx>
        <c:axId val="315851144"/>
        <c:scaling>
          <c:orientation val="minMax"/>
        </c:scaling>
        <c:delete val="0"/>
        <c:axPos val="b"/>
        <c:numFmt formatCode="General" sourceLinked="1"/>
        <c:majorTickMark val="out"/>
        <c:minorTickMark val="none"/>
        <c:tickLblPos val="nextTo"/>
        <c:crossAx val="315851536"/>
        <c:crosses val="autoZero"/>
        <c:auto val="1"/>
        <c:lblAlgn val="ctr"/>
        <c:lblOffset val="100"/>
        <c:noMultiLvlLbl val="0"/>
      </c:catAx>
      <c:valAx>
        <c:axId val="3158515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11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0</c:formatCode>
                <c:ptCount val="12"/>
                <c:pt idx="0">
                  <c:v>39</c:v>
                </c:pt>
                <c:pt idx="1">
                  <c:v>52</c:v>
                </c:pt>
                <c:pt idx="2">
                  <c:v>88</c:v>
                </c:pt>
                <c:pt idx="3">
                  <c:v>33</c:v>
                </c:pt>
                <c:pt idx="4">
                  <c:v>51</c:v>
                </c:pt>
                <c:pt idx="5">
                  <c:v>31</c:v>
                </c:pt>
                <c:pt idx="6">
                  <c:v>171</c:v>
                </c:pt>
                <c:pt idx="7">
                  <c:v>48</c:v>
                </c:pt>
                <c:pt idx="8">
                  <c:v>190</c:v>
                </c:pt>
                <c:pt idx="9">
                  <c:v>129</c:v>
                </c:pt>
                <c:pt idx="10">
                  <c:v>194</c:v>
                </c:pt>
                <c:pt idx="11">
                  <c:v>57</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0</c:formatCode>
                <c:ptCount val="12"/>
                <c:pt idx="0">
                  <c:v>21</c:v>
                </c:pt>
                <c:pt idx="1">
                  <c:v>18</c:v>
                </c:pt>
                <c:pt idx="2">
                  <c:v>24</c:v>
                </c:pt>
                <c:pt idx="3">
                  <c:v>12</c:v>
                </c:pt>
                <c:pt idx="4">
                  <c:v>14</c:v>
                </c:pt>
                <c:pt idx="5">
                  <c:v>11</c:v>
                </c:pt>
                <c:pt idx="6">
                  <c:v>33</c:v>
                </c:pt>
                <c:pt idx="7">
                  <c:v>14</c:v>
                </c:pt>
                <c:pt idx="8">
                  <c:v>36</c:v>
                </c:pt>
                <c:pt idx="9">
                  <c:v>85</c:v>
                </c:pt>
                <c:pt idx="10">
                  <c:v>41</c:v>
                </c:pt>
                <c:pt idx="11">
                  <c:v>23</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0</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c:formatCode>
                <c:ptCount val="12"/>
                <c:pt idx="0">
                  <c:v>9.712664277180405</c:v>
                </c:pt>
                <c:pt idx="1">
                  <c:v>7.5535714285714288</c:v>
                </c:pt>
                <c:pt idx="2">
                  <c:v>6.9178571428571427</c:v>
                </c:pt>
                <c:pt idx="3">
                  <c:v>6.05</c:v>
                </c:pt>
                <c:pt idx="4">
                  <c:v>5.5471464019851116</c:v>
                </c:pt>
                <c:pt idx="5">
                  <c:v>4.158620689655173</c:v>
                </c:pt>
                <c:pt idx="6">
                  <c:v>5.5268817204301079</c:v>
                </c:pt>
                <c:pt idx="7">
                  <c:v>6.8384615384615381</c:v>
                </c:pt>
                <c:pt idx="8">
                  <c:v>10.445454545454545</c:v>
                </c:pt>
                <c:pt idx="9">
                  <c:v>13.69001610305958</c:v>
                </c:pt>
                <c:pt idx="10">
                  <c:v>11.238603988603989</c:v>
                </c:pt>
                <c:pt idx="11">
                  <c:v>9.4407142857142858</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0</c:formatCode>
                <c:ptCount val="12"/>
                <c:pt idx="0">
                  <c:v>21</c:v>
                </c:pt>
                <c:pt idx="1">
                  <c:v>18</c:v>
                </c:pt>
                <c:pt idx="2">
                  <c:v>24</c:v>
                </c:pt>
                <c:pt idx="3">
                  <c:v>12</c:v>
                </c:pt>
                <c:pt idx="4">
                  <c:v>14</c:v>
                </c:pt>
                <c:pt idx="5">
                  <c:v>11</c:v>
                </c:pt>
                <c:pt idx="6">
                  <c:v>33</c:v>
                </c:pt>
                <c:pt idx="7">
                  <c:v>14</c:v>
                </c:pt>
                <c:pt idx="8">
                  <c:v>20</c:v>
                </c:pt>
                <c:pt idx="9">
                  <c:v>50</c:v>
                </c:pt>
                <c:pt idx="10">
                  <c:v>41</c:v>
                </c:pt>
                <c:pt idx="11">
                  <c:v>23</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847616"/>
        <c:axId val="315852712"/>
      </c:lineChart>
      <c:catAx>
        <c:axId val="315847616"/>
        <c:scaling>
          <c:orientation val="minMax"/>
        </c:scaling>
        <c:delete val="0"/>
        <c:axPos val="b"/>
        <c:numFmt formatCode="General" sourceLinked="1"/>
        <c:majorTickMark val="out"/>
        <c:minorTickMark val="none"/>
        <c:tickLblPos val="nextTo"/>
        <c:crossAx val="315852712"/>
        <c:crosses val="autoZero"/>
        <c:auto val="1"/>
        <c:lblAlgn val="ctr"/>
        <c:lblOffset val="100"/>
        <c:noMultiLvlLbl val="0"/>
      </c:catAx>
      <c:valAx>
        <c:axId val="31585271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47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c:formatCode>
                <c:ptCount val="12"/>
                <c:pt idx="0">
                  <c:v>0</c:v>
                </c:pt>
                <c:pt idx="1">
                  <c:v>2</c:v>
                </c:pt>
                <c:pt idx="2">
                  <c:v>2.5</c:v>
                </c:pt>
                <c:pt idx="3">
                  <c:v>2.5</c:v>
                </c:pt>
                <c:pt idx="4">
                  <c:v>2</c:v>
                </c:pt>
                <c:pt idx="5">
                  <c:v>2</c:v>
                </c:pt>
                <c:pt idx="6">
                  <c:v>2</c:v>
                </c:pt>
                <c:pt idx="7">
                  <c:v>2.5</c:v>
                </c:pt>
                <c:pt idx="8">
                  <c:v>5</c:v>
                </c:pt>
                <c:pt idx="9">
                  <c:v>3.5</c:v>
                </c:pt>
                <c:pt idx="10">
                  <c:v>3</c:v>
                </c:pt>
                <c:pt idx="11">
                  <c:v>3</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0</c:formatCode>
                <c:ptCount val="12"/>
                <c:pt idx="0">
                  <c:v>41</c:v>
                </c:pt>
                <c:pt idx="1">
                  <c:v>55</c:v>
                </c:pt>
                <c:pt idx="2">
                  <c:v>48</c:v>
                </c:pt>
                <c:pt idx="3">
                  <c:v>46</c:v>
                </c:pt>
                <c:pt idx="4">
                  <c:v>41</c:v>
                </c:pt>
                <c:pt idx="5">
                  <c:v>141</c:v>
                </c:pt>
                <c:pt idx="6">
                  <c:v>141</c:v>
                </c:pt>
                <c:pt idx="7">
                  <c:v>24</c:v>
                </c:pt>
                <c:pt idx="8">
                  <c:v>82</c:v>
                </c:pt>
                <c:pt idx="9">
                  <c:v>617</c:v>
                </c:pt>
                <c:pt idx="10">
                  <c:v>51</c:v>
                </c:pt>
                <c:pt idx="11">
                  <c:v>40</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c:formatCode>
                <c:ptCount val="12"/>
                <c:pt idx="0">
                  <c:v>0.30227001194743131</c:v>
                </c:pt>
                <c:pt idx="1">
                  <c:v>2</c:v>
                </c:pt>
                <c:pt idx="2">
                  <c:v>2.4107142857142856</c:v>
                </c:pt>
                <c:pt idx="3">
                  <c:v>2.6833333333333336</c:v>
                </c:pt>
                <c:pt idx="4">
                  <c:v>1.9236972704714639</c:v>
                </c:pt>
                <c:pt idx="5">
                  <c:v>1.7</c:v>
                </c:pt>
                <c:pt idx="6">
                  <c:v>2.0446236559139788</c:v>
                </c:pt>
                <c:pt idx="7">
                  <c:v>2.4025641025641025</c:v>
                </c:pt>
                <c:pt idx="8">
                  <c:v>2.9833333333333334</c:v>
                </c:pt>
                <c:pt idx="9">
                  <c:v>3.1899350649350646</c:v>
                </c:pt>
                <c:pt idx="10">
                  <c:v>2.9629629629629632</c:v>
                </c:pt>
                <c:pt idx="11">
                  <c:v>3.0300000000000002</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0</c:formatCode>
                <c:ptCount val="12"/>
                <c:pt idx="0">
                  <c:v>4</c:v>
                </c:pt>
                <c:pt idx="1">
                  <c:v>8</c:v>
                </c:pt>
                <c:pt idx="2">
                  <c:v>7</c:v>
                </c:pt>
                <c:pt idx="3">
                  <c:v>5</c:v>
                </c:pt>
                <c:pt idx="4">
                  <c:v>6</c:v>
                </c:pt>
                <c:pt idx="5">
                  <c:v>9</c:v>
                </c:pt>
                <c:pt idx="6">
                  <c:v>9</c:v>
                </c:pt>
                <c:pt idx="7">
                  <c:v>8</c:v>
                </c:pt>
                <c:pt idx="8">
                  <c:v>8</c:v>
                </c:pt>
                <c:pt idx="9">
                  <c:v>8</c:v>
                </c:pt>
                <c:pt idx="10">
                  <c:v>7</c:v>
                </c:pt>
                <c:pt idx="11">
                  <c:v>11</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5853888"/>
        <c:axId val="317518896"/>
      </c:lineChart>
      <c:catAx>
        <c:axId val="315853888"/>
        <c:scaling>
          <c:orientation val="minMax"/>
        </c:scaling>
        <c:delete val="0"/>
        <c:axPos val="b"/>
        <c:numFmt formatCode="General" sourceLinked="1"/>
        <c:majorTickMark val="out"/>
        <c:minorTickMark val="none"/>
        <c:tickLblPos val="nextTo"/>
        <c:crossAx val="317518896"/>
        <c:crosses val="autoZero"/>
        <c:auto val="1"/>
        <c:lblAlgn val="ctr"/>
        <c:lblOffset val="100"/>
        <c:noMultiLvlLbl val="0"/>
      </c:catAx>
      <c:valAx>
        <c:axId val="3175188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38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11430</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30" zoomScaleNormal="100" workbookViewId="0">
      <selection activeCell="I51" sqref="I51"/>
    </sheetView>
  </sheetViews>
  <sheetFormatPr defaultColWidth="9.28515625" defaultRowHeight="15"/>
  <cols>
    <col min="1" max="1" width="9.28515625" style="2" customWidth="1"/>
    <col min="2" max="2" width="14.5703125" style="2" bestFit="1" customWidth="1"/>
    <col min="3" max="4" width="9.28515625" style="2"/>
    <col min="5" max="5" width="23.28515625" style="2" customWidth="1"/>
    <col min="6" max="8" width="9.28515625" style="2"/>
    <col min="9" max="9" width="12.7109375" style="2" customWidth="1"/>
    <col min="10" max="10" width="11.5703125" style="2" customWidth="1"/>
    <col min="11" max="14" width="9.28515625" style="2"/>
    <col min="15" max="15" width="9.28515625" style="2" customWidth="1"/>
    <col min="16" max="16384" width="9.28515625" style="2"/>
  </cols>
  <sheetData>
    <row r="1" spans="2:16">
      <c r="B1" s="93"/>
      <c r="C1" s="93"/>
      <c r="D1" s="118" t="s">
        <v>0</v>
      </c>
      <c r="E1" s="119"/>
      <c r="F1" s="119"/>
      <c r="G1" s="119"/>
      <c r="H1" s="93"/>
      <c r="I1" s="93"/>
      <c r="J1" s="93"/>
      <c r="K1" s="93"/>
      <c r="L1" s="93"/>
      <c r="M1" s="93"/>
      <c r="N1" s="93"/>
      <c r="O1" s="93"/>
      <c r="P1" s="93"/>
    </row>
    <row r="2" spans="2:16">
      <c r="B2" s="93"/>
      <c r="C2" s="93"/>
      <c r="D2" s="119"/>
      <c r="E2" s="119"/>
      <c r="F2" s="119"/>
      <c r="G2" s="119"/>
      <c r="H2" s="93"/>
      <c r="I2" s="93"/>
      <c r="J2" s="93"/>
      <c r="K2" s="93"/>
      <c r="L2" s="93"/>
      <c r="M2" s="93"/>
      <c r="N2" s="93" t="s">
        <v>1</v>
      </c>
      <c r="O2" s="93"/>
      <c r="P2" s="259"/>
    </row>
    <row r="3" spans="2:16">
      <c r="B3" s="93"/>
      <c r="C3" s="93"/>
      <c r="D3" s="119"/>
      <c r="E3" s="119"/>
      <c r="F3" s="119"/>
      <c r="G3" s="119"/>
      <c r="H3" s="93"/>
      <c r="I3" s="93"/>
      <c r="J3" s="93"/>
      <c r="K3" s="93"/>
      <c r="L3" s="93"/>
      <c r="M3" s="93"/>
      <c r="N3" s="259"/>
      <c r="O3" s="93"/>
      <c r="P3" s="93"/>
    </row>
    <row r="4" spans="2:16">
      <c r="B4" s="93"/>
      <c r="C4" s="93"/>
      <c r="D4" s="119"/>
      <c r="E4" s="119"/>
      <c r="F4" s="119"/>
      <c r="G4" s="119"/>
      <c r="H4" s="93"/>
      <c r="I4" s="93"/>
      <c r="J4" s="93"/>
      <c r="K4" s="93"/>
      <c r="L4" s="93"/>
      <c r="M4" s="93"/>
      <c r="N4" s="93"/>
      <c r="O4" s="93"/>
      <c r="P4" s="93"/>
    </row>
    <row r="5" spans="2:16">
      <c r="B5" s="93"/>
      <c r="C5" s="93"/>
      <c r="D5" s="119"/>
      <c r="E5" s="119"/>
      <c r="F5" s="119"/>
      <c r="G5" s="119"/>
      <c r="H5" s="93"/>
      <c r="I5" s="93"/>
      <c r="J5" s="93"/>
      <c r="K5" s="93"/>
      <c r="L5" s="93"/>
      <c r="M5" s="93"/>
      <c r="N5" s="93"/>
      <c r="O5" s="93"/>
      <c r="P5" s="93"/>
    </row>
    <row r="6" spans="2:16">
      <c r="B6" s="93"/>
      <c r="C6" s="93"/>
      <c r="D6" s="119"/>
      <c r="E6" s="119"/>
      <c r="F6" s="119"/>
      <c r="G6" s="119"/>
      <c r="H6" s="93"/>
      <c r="I6" s="93"/>
      <c r="J6" s="93"/>
      <c r="K6" s="93"/>
      <c r="L6" s="93"/>
      <c r="M6" s="93"/>
      <c r="N6" s="93"/>
      <c r="O6" s="93"/>
      <c r="P6" s="93"/>
    </row>
    <row r="8" spans="2:16" ht="15.75" customHeight="1">
      <c r="B8" s="260" t="s">
        <v>2</v>
      </c>
      <c r="C8" s="260"/>
      <c r="D8" s="260"/>
      <c r="E8" s="260"/>
      <c r="F8" s="260"/>
      <c r="G8" s="260"/>
      <c r="H8" s="260"/>
      <c r="I8" s="260"/>
      <c r="J8" s="93"/>
      <c r="K8" s="93"/>
      <c r="L8" s="93"/>
      <c r="M8" s="93"/>
      <c r="N8" s="71"/>
      <c r="O8" s="93"/>
      <c r="P8" s="93"/>
    </row>
    <row r="9" spans="2:16">
      <c r="B9" s="260"/>
      <c r="C9" s="260"/>
      <c r="D9" s="260"/>
      <c r="E9" s="260"/>
      <c r="F9" s="260"/>
      <c r="G9" s="260"/>
      <c r="H9" s="260"/>
      <c r="I9" s="260"/>
      <c r="J9" s="93"/>
      <c r="K9" s="93"/>
      <c r="L9" s="93"/>
      <c r="M9" s="93"/>
      <c r="N9" s="93"/>
      <c r="O9" s="93"/>
      <c r="P9" s="93"/>
    </row>
    <row r="10" spans="2:16">
      <c r="B10" s="260"/>
      <c r="C10" s="260"/>
      <c r="D10" s="260"/>
      <c r="E10" s="260"/>
      <c r="F10" s="260"/>
      <c r="G10" s="260"/>
      <c r="H10" s="260"/>
      <c r="I10" s="260"/>
      <c r="J10" s="93"/>
      <c r="K10" s="93"/>
      <c r="L10" s="93"/>
      <c r="M10" s="93"/>
      <c r="N10" s="93"/>
      <c r="O10" s="93"/>
      <c r="P10" s="93"/>
    </row>
    <row r="11" spans="2:16">
      <c r="B11" s="260"/>
      <c r="C11" s="260"/>
      <c r="D11" s="260"/>
      <c r="E11" s="260"/>
      <c r="F11" s="260"/>
      <c r="G11" s="260"/>
      <c r="H11" s="260"/>
      <c r="I11" s="260"/>
      <c r="J11" s="93"/>
      <c r="K11" s="93"/>
      <c r="L11" s="93"/>
      <c r="M11" s="93"/>
      <c r="N11" s="93"/>
      <c r="O11" s="93"/>
      <c r="P11" s="93"/>
    </row>
    <row r="12" spans="2:16">
      <c r="B12" s="260"/>
      <c r="C12" s="260"/>
      <c r="D12" s="260"/>
      <c r="E12" s="260"/>
      <c r="F12" s="260"/>
      <c r="G12" s="260"/>
      <c r="H12" s="260"/>
      <c r="I12" s="260"/>
      <c r="J12" s="93"/>
      <c r="K12" s="93"/>
      <c r="L12" s="93"/>
      <c r="M12" s="93"/>
      <c r="N12" s="93"/>
      <c r="O12" s="93"/>
      <c r="P12" s="93"/>
    </row>
    <row r="13" spans="2:16" ht="15.6">
      <c r="B13" s="260"/>
      <c r="C13" s="260"/>
      <c r="D13" s="260"/>
      <c r="E13" s="260"/>
      <c r="F13" s="260"/>
      <c r="G13" s="260"/>
      <c r="H13" s="260"/>
      <c r="I13" s="260"/>
      <c r="J13" s="93"/>
      <c r="K13" s="93"/>
      <c r="L13" s="93"/>
      <c r="M13" s="93"/>
      <c r="N13" s="75" t="s">
        <v>3</v>
      </c>
      <c r="O13" s="73"/>
      <c r="P13" s="73"/>
    </row>
    <row r="14" spans="2:16" ht="15.6" customHeight="1">
      <c r="B14" s="260"/>
      <c r="C14" s="260"/>
      <c r="D14" s="260"/>
      <c r="E14" s="260"/>
      <c r="F14" s="260"/>
      <c r="G14" s="260"/>
      <c r="H14" s="260"/>
      <c r="I14" s="260"/>
      <c r="J14" s="93"/>
      <c r="K14" s="93"/>
      <c r="L14" s="93"/>
      <c r="M14" s="93"/>
      <c r="N14" s="117" t="s">
        <v>4</v>
      </c>
      <c r="O14" s="117"/>
      <c r="P14" s="117"/>
    </row>
    <row r="15" spans="2:16">
      <c r="B15" s="260"/>
      <c r="C15" s="260"/>
      <c r="D15" s="260"/>
      <c r="E15" s="260"/>
      <c r="F15" s="260"/>
      <c r="G15" s="260"/>
      <c r="H15" s="260"/>
      <c r="I15" s="260"/>
      <c r="J15" s="93"/>
      <c r="K15" s="93"/>
      <c r="L15" s="93"/>
      <c r="M15" s="93"/>
      <c r="N15" s="117"/>
      <c r="O15" s="117"/>
      <c r="P15" s="117"/>
    </row>
    <row r="16" spans="2:16">
      <c r="B16" s="260"/>
      <c r="C16" s="260"/>
      <c r="D16" s="260"/>
      <c r="E16" s="260"/>
      <c r="F16" s="260"/>
      <c r="G16" s="260"/>
      <c r="H16" s="260"/>
      <c r="I16" s="260"/>
      <c r="J16" s="93"/>
      <c r="K16" s="93"/>
      <c r="L16" s="93"/>
      <c r="M16" s="93"/>
      <c r="N16" s="117"/>
      <c r="O16" s="117"/>
      <c r="P16" s="117"/>
    </row>
    <row r="17" spans="2:16">
      <c r="B17" s="260"/>
      <c r="C17" s="260"/>
      <c r="D17" s="260"/>
      <c r="E17" s="260"/>
      <c r="F17" s="260"/>
      <c r="G17" s="260"/>
      <c r="H17" s="260"/>
      <c r="I17" s="260"/>
      <c r="J17" s="93"/>
      <c r="K17" s="93"/>
      <c r="L17" s="93"/>
      <c r="M17" s="93"/>
      <c r="N17" s="117"/>
      <c r="O17" s="117"/>
      <c r="P17" s="117"/>
    </row>
    <row r="18" spans="2:16">
      <c r="B18" s="260"/>
      <c r="C18" s="260"/>
      <c r="D18" s="260"/>
      <c r="E18" s="260"/>
      <c r="F18" s="260"/>
      <c r="G18" s="260"/>
      <c r="H18" s="260"/>
      <c r="I18" s="260"/>
      <c r="J18" s="93"/>
      <c r="K18" s="93"/>
      <c r="L18" s="93"/>
      <c r="M18" s="93"/>
      <c r="N18" s="117"/>
      <c r="O18" s="117"/>
      <c r="P18" s="117"/>
    </row>
    <row r="19" spans="2:16">
      <c r="B19" s="260"/>
      <c r="C19" s="260"/>
      <c r="D19" s="260"/>
      <c r="E19" s="260"/>
      <c r="F19" s="260"/>
      <c r="G19" s="260"/>
      <c r="H19" s="260"/>
      <c r="I19" s="260"/>
      <c r="J19" s="93"/>
      <c r="K19" s="93"/>
      <c r="L19" s="93"/>
      <c r="M19" s="93"/>
      <c r="N19" s="117"/>
      <c r="O19" s="117"/>
      <c r="P19" s="117"/>
    </row>
    <row r="20" spans="2:16">
      <c r="B20" s="260"/>
      <c r="C20" s="260"/>
      <c r="D20" s="260"/>
      <c r="E20" s="260"/>
      <c r="F20" s="260"/>
      <c r="G20" s="260"/>
      <c r="H20" s="260"/>
      <c r="I20" s="260"/>
      <c r="J20" s="93"/>
      <c r="K20" s="93"/>
      <c r="L20" s="93"/>
      <c r="M20" s="93"/>
      <c r="N20" s="93"/>
      <c r="O20" s="93"/>
      <c r="P20" s="93"/>
    </row>
    <row r="21" spans="2:16">
      <c r="B21" s="260"/>
      <c r="C21" s="260"/>
      <c r="D21" s="260"/>
      <c r="E21" s="260"/>
      <c r="F21" s="260"/>
      <c r="G21" s="260"/>
      <c r="H21" s="260"/>
      <c r="I21" s="260"/>
      <c r="J21" s="93"/>
      <c r="K21" s="93"/>
      <c r="L21" s="93"/>
      <c r="M21" s="93"/>
      <c r="N21" s="93"/>
      <c r="O21" s="93"/>
      <c r="P21" s="93"/>
    </row>
    <row r="22" spans="2:16">
      <c r="B22" s="260"/>
      <c r="C22" s="260"/>
      <c r="D22" s="260"/>
      <c r="E22" s="260"/>
      <c r="F22" s="260"/>
      <c r="G22" s="260"/>
      <c r="H22" s="260"/>
      <c r="I22" s="260"/>
      <c r="J22" s="93"/>
      <c r="K22" s="93"/>
      <c r="L22" s="93"/>
      <c r="M22" s="93"/>
      <c r="N22" s="93"/>
      <c r="O22" s="93"/>
      <c r="P22" s="93"/>
    </row>
    <row r="23" spans="2:16">
      <c r="B23" s="260"/>
      <c r="C23" s="260"/>
      <c r="D23" s="260"/>
      <c r="E23" s="260"/>
      <c r="F23" s="260"/>
      <c r="G23" s="260"/>
      <c r="H23" s="260"/>
      <c r="I23" s="260"/>
      <c r="J23" s="93"/>
      <c r="K23" s="93"/>
      <c r="L23" s="93"/>
      <c r="M23" s="93"/>
      <c r="N23" s="93"/>
      <c r="O23" s="93"/>
      <c r="P23" s="93"/>
    </row>
    <row r="24" spans="2:16">
      <c r="B24" s="260"/>
      <c r="C24" s="260"/>
      <c r="D24" s="260"/>
      <c r="E24" s="260"/>
      <c r="F24" s="260"/>
      <c r="G24" s="260"/>
      <c r="H24" s="260"/>
      <c r="I24" s="260"/>
      <c r="J24" s="93"/>
      <c r="K24" s="93"/>
      <c r="L24" s="93"/>
      <c r="M24" s="93"/>
      <c r="N24" s="93"/>
      <c r="O24" s="93"/>
      <c r="P24" s="93"/>
    </row>
    <row r="29" spans="2:16" ht="17.45">
      <c r="B29" s="116" t="s">
        <v>5</v>
      </c>
      <c r="C29" s="116"/>
      <c r="D29" s="116"/>
      <c r="E29" s="116"/>
      <c r="F29" s="116"/>
      <c r="G29" s="116"/>
      <c r="H29" s="116"/>
      <c r="I29" s="116"/>
      <c r="J29" s="93"/>
      <c r="K29" s="93"/>
      <c r="L29" s="93"/>
      <c r="M29" s="93"/>
      <c r="N29" s="93"/>
      <c r="O29" s="93"/>
      <c r="P29" s="93"/>
    </row>
    <row r="30" spans="2:16" ht="17.45">
      <c r="B30" s="93"/>
      <c r="C30" s="7"/>
      <c r="D30" s="8"/>
      <c r="E30" s="8"/>
      <c r="F30" s="8"/>
      <c r="G30" s="8"/>
      <c r="H30" s="8"/>
      <c r="I30" s="8"/>
      <c r="J30" s="93"/>
      <c r="K30" s="93"/>
      <c r="L30" s="93"/>
      <c r="M30" s="93"/>
      <c r="N30" s="93"/>
      <c r="O30" s="93"/>
      <c r="P30" s="93"/>
    </row>
    <row r="31" spans="2:16" ht="17.45">
      <c r="B31" s="116" t="s">
        <v>6</v>
      </c>
      <c r="C31" s="116"/>
      <c r="D31" s="116"/>
      <c r="E31" s="116"/>
      <c r="F31" s="116"/>
      <c r="G31" s="116"/>
      <c r="H31" s="116"/>
      <c r="I31" s="116"/>
      <c r="J31" s="93"/>
      <c r="K31" s="93"/>
      <c r="L31" s="93"/>
      <c r="M31" s="93"/>
      <c r="N31" s="93"/>
      <c r="O31" s="93"/>
      <c r="P31" s="93"/>
    </row>
    <row r="32" spans="2:16" ht="17.45">
      <c r="B32" s="93"/>
      <c r="C32" s="7"/>
      <c r="D32" s="8"/>
      <c r="E32" s="8"/>
      <c r="F32" s="8"/>
      <c r="G32" s="8"/>
      <c r="H32" s="8"/>
      <c r="I32" s="8"/>
      <c r="J32" s="93"/>
      <c r="K32" s="93"/>
      <c r="L32" s="93"/>
      <c r="M32" s="93"/>
      <c r="N32" s="93"/>
      <c r="O32" s="93"/>
      <c r="P32" s="93"/>
    </row>
    <row r="33" spans="2:9" ht="17.45">
      <c r="B33" s="116" t="s">
        <v>7</v>
      </c>
      <c r="C33" s="116"/>
      <c r="D33" s="116"/>
      <c r="E33" s="116"/>
      <c r="F33" s="116"/>
      <c r="G33" s="116"/>
      <c r="H33" s="116"/>
      <c r="I33" s="116"/>
    </row>
    <row r="34" spans="2:9" ht="17.45">
      <c r="B34" s="93"/>
      <c r="C34" s="7"/>
      <c r="D34" s="8"/>
      <c r="E34" s="8"/>
      <c r="F34" s="8"/>
      <c r="G34" s="8"/>
      <c r="H34" s="8"/>
      <c r="I34" s="8"/>
    </row>
    <row r="35" spans="2:9" ht="17.45">
      <c r="B35" s="116" t="s">
        <v>8</v>
      </c>
      <c r="C35" s="116"/>
      <c r="D35" s="116"/>
      <c r="E35" s="116"/>
      <c r="F35" s="116"/>
      <c r="G35" s="116"/>
      <c r="H35" s="116"/>
      <c r="I35" s="116"/>
    </row>
    <row r="37" spans="2:9" ht="17.45">
      <c r="B37" s="116"/>
      <c r="C37" s="116"/>
      <c r="D37" s="116"/>
      <c r="E37" s="116"/>
      <c r="F37" s="116"/>
      <c r="G37" s="116"/>
      <c r="H37" s="116"/>
      <c r="I37" s="116"/>
    </row>
    <row r="39" spans="2:9">
      <c r="B39" s="93" t="s">
        <v>9</v>
      </c>
      <c r="C39" s="261">
        <v>2022</v>
      </c>
      <c r="D39" s="93"/>
      <c r="E39" s="93"/>
      <c r="F39" s="93"/>
      <c r="G39" s="93"/>
      <c r="H39" s="93"/>
      <c r="I39" s="93"/>
    </row>
    <row r="40" spans="2:9" ht="14.25" customHeight="1">
      <c r="B40" s="93"/>
      <c r="C40" s="93"/>
      <c r="D40" s="93"/>
      <c r="E40" s="93"/>
      <c r="F40" s="93"/>
      <c r="G40" s="93"/>
      <c r="H40" s="93"/>
      <c r="I40" s="93"/>
    </row>
    <row r="41" spans="2:9">
      <c r="B41" s="262" t="s">
        <v>10</v>
      </c>
      <c r="C41" s="114" t="s">
        <v>11</v>
      </c>
      <c r="D41" s="114"/>
      <c r="E41" s="114"/>
      <c r="F41" s="114"/>
      <c r="G41" s="114"/>
      <c r="H41" s="114"/>
      <c r="I41" s="114"/>
    </row>
    <row r="42" spans="2:9">
      <c r="B42" s="262"/>
      <c r="C42" s="93"/>
      <c r="D42" s="93"/>
      <c r="E42" s="93"/>
      <c r="F42" s="93"/>
      <c r="G42" s="93"/>
      <c r="H42" s="93"/>
      <c r="I42" s="93"/>
    </row>
    <row r="43" spans="2:9">
      <c r="B43" s="262" t="s">
        <v>12</v>
      </c>
      <c r="C43" s="114" t="s">
        <v>13</v>
      </c>
      <c r="D43" s="114"/>
      <c r="E43" s="114"/>
      <c r="F43" s="93"/>
      <c r="G43" s="93"/>
      <c r="H43" s="93"/>
      <c r="I43" s="93"/>
    </row>
    <row r="44" spans="2:9">
      <c r="B44" s="262"/>
      <c r="C44" s="93"/>
      <c r="D44" s="93"/>
      <c r="E44" s="93"/>
      <c r="F44" s="93"/>
      <c r="G44" s="93"/>
      <c r="H44" s="93"/>
      <c r="I44" s="93"/>
    </row>
    <row r="45" spans="2:9">
      <c r="B45" s="262" t="s">
        <v>14</v>
      </c>
      <c r="C45" s="114" t="s">
        <v>15</v>
      </c>
      <c r="D45" s="114"/>
      <c r="E45" s="114"/>
      <c r="F45" s="93"/>
      <c r="G45" s="93"/>
      <c r="H45" s="93"/>
      <c r="I45" s="93"/>
    </row>
    <row r="46" spans="2:9">
      <c r="B46" s="262"/>
      <c r="C46" s="93"/>
      <c r="D46" s="93"/>
      <c r="E46" s="93"/>
      <c r="F46" s="93"/>
      <c r="G46" s="93"/>
      <c r="H46" s="93"/>
      <c r="I46" s="93"/>
    </row>
    <row r="47" spans="2:9">
      <c r="B47" s="262" t="s">
        <v>16</v>
      </c>
      <c r="C47" s="114" t="s">
        <v>17</v>
      </c>
      <c r="D47" s="114"/>
      <c r="E47" s="93"/>
      <c r="F47" s="93" t="s">
        <v>18</v>
      </c>
      <c r="G47" s="114" t="s">
        <v>19</v>
      </c>
      <c r="H47" s="114"/>
      <c r="I47" s="114"/>
    </row>
    <row r="48" spans="2:9">
      <c r="B48" s="262"/>
      <c r="C48" s="93"/>
      <c r="D48" s="93"/>
      <c r="E48" s="93"/>
      <c r="F48" s="93"/>
      <c r="G48" s="93"/>
      <c r="H48" s="93"/>
      <c r="I48" s="93"/>
    </row>
    <row r="49" spans="2:9">
      <c r="B49" s="262" t="s">
        <v>20</v>
      </c>
      <c r="C49" s="114" t="s">
        <v>21</v>
      </c>
      <c r="D49" s="114"/>
      <c r="E49" s="93"/>
      <c r="F49" s="93" t="s">
        <v>18</v>
      </c>
      <c r="G49" s="114" t="s">
        <v>22</v>
      </c>
      <c r="H49" s="114"/>
      <c r="I49" s="114"/>
    </row>
    <row r="50" spans="2:9">
      <c r="B50" s="262"/>
      <c r="C50" s="93"/>
      <c r="D50" s="93"/>
      <c r="E50" s="93"/>
      <c r="F50" s="93"/>
      <c r="G50" s="93"/>
      <c r="H50" s="93"/>
      <c r="I50" s="93"/>
    </row>
    <row r="51" spans="2:9">
      <c r="B51" s="262" t="s">
        <v>23</v>
      </c>
      <c r="C51" s="261">
        <v>1</v>
      </c>
      <c r="D51" s="93"/>
      <c r="E51" s="93"/>
      <c r="F51" s="93"/>
      <c r="G51" s="93"/>
      <c r="H51" s="93"/>
      <c r="I51" s="93"/>
    </row>
    <row r="52" spans="2:9">
      <c r="B52" s="262"/>
      <c r="C52" s="93"/>
      <c r="D52" s="93"/>
      <c r="E52" s="93"/>
      <c r="F52" s="93"/>
      <c r="G52" s="93"/>
      <c r="H52" s="93"/>
      <c r="I52" s="93"/>
    </row>
    <row r="53" spans="2:9">
      <c r="B53" s="262" t="s">
        <v>24</v>
      </c>
      <c r="C53" s="115">
        <v>44957</v>
      </c>
      <c r="D53" s="114"/>
      <c r="E53" s="93"/>
      <c r="F53" s="93"/>
      <c r="G53" s="93"/>
      <c r="H53" s="93"/>
      <c r="I53" s="93"/>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pageMargins left="1.0899999999999999" right="0.7" top="0.75" bottom="0.75" header="0.3" footer="0.3"/>
  <pageSetup scale="80" orientation="portrait" r:id="rId1"/>
  <headerFooter differentFirst="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5"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zoomScaleNormal="100" workbookViewId="0">
      <selection activeCell="K21" sqref="K2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3" t="str">
        <f>+'Cover Page'!$B$29</f>
        <v>Annual Performance Report 2022</v>
      </c>
      <c r="B1" s="93"/>
      <c r="C1" s="93"/>
      <c r="D1" s="93"/>
      <c r="E1" s="93" t="str">
        <f>+'Cover Page'!$B$33</f>
        <v>Wolverhampton Energy from Waste Facility</v>
      </c>
      <c r="F1" s="93"/>
      <c r="G1" s="93"/>
      <c r="H1" s="93"/>
      <c r="I1" s="93"/>
      <c r="J1" s="93"/>
      <c r="K1" s="93"/>
      <c r="L1" s="93"/>
      <c r="M1" s="93"/>
      <c r="N1" s="93"/>
      <c r="O1" s="93"/>
    </row>
    <row r="3" spans="1:15" ht="15.6">
      <c r="A3" s="53" t="s">
        <v>25</v>
      </c>
      <c r="B3" s="263"/>
      <c r="C3" s="263"/>
      <c r="D3" s="263"/>
      <c r="E3" s="263"/>
      <c r="F3" s="263"/>
      <c r="G3" s="263"/>
      <c r="H3" s="264"/>
      <c r="I3" s="93"/>
      <c r="J3" s="93"/>
      <c r="K3" s="75" t="s">
        <v>3</v>
      </c>
      <c r="L3" s="93"/>
      <c r="M3" s="93"/>
      <c r="N3" s="93"/>
      <c r="O3" s="93"/>
    </row>
    <row r="4" spans="1:15" ht="15.6">
      <c r="A4" s="5" t="s">
        <v>26</v>
      </c>
      <c r="B4" s="127" t="s">
        <v>27</v>
      </c>
      <c r="C4" s="127"/>
      <c r="D4" s="127"/>
      <c r="E4" s="127"/>
      <c r="F4" s="127"/>
      <c r="G4" s="127"/>
      <c r="H4" s="6" t="s">
        <v>28</v>
      </c>
      <c r="I4" s="93"/>
      <c r="J4" s="93"/>
      <c r="K4" s="73" t="s">
        <v>29</v>
      </c>
      <c r="L4" s="93"/>
      <c r="M4" s="93"/>
      <c r="N4" s="93"/>
      <c r="O4" s="93"/>
    </row>
    <row r="5" spans="1:15" ht="15.6" customHeight="1">
      <c r="A5" s="4"/>
      <c r="B5" s="126" t="s">
        <v>30</v>
      </c>
      <c r="C5" s="126"/>
      <c r="D5" s="126"/>
      <c r="E5" s="126"/>
      <c r="F5" s="126"/>
      <c r="G5" s="126"/>
      <c r="H5" s="4">
        <v>4</v>
      </c>
      <c r="I5" s="93"/>
      <c r="J5" s="93"/>
      <c r="K5" s="117" t="s">
        <v>31</v>
      </c>
      <c r="L5" s="117"/>
      <c r="M5" s="117"/>
      <c r="N5" s="117"/>
      <c r="O5" s="117"/>
    </row>
    <row r="6" spans="1:15">
      <c r="A6" s="4"/>
      <c r="B6" s="126" t="s">
        <v>32</v>
      </c>
      <c r="C6" s="126"/>
      <c r="D6" s="126"/>
      <c r="E6" s="126"/>
      <c r="F6" s="126"/>
      <c r="G6" s="126"/>
      <c r="H6" s="4">
        <v>6</v>
      </c>
      <c r="I6" s="93"/>
      <c r="J6" s="93"/>
      <c r="K6" s="117"/>
      <c r="L6" s="117"/>
      <c r="M6" s="117"/>
      <c r="N6" s="117"/>
      <c r="O6" s="117"/>
    </row>
    <row r="7" spans="1:15" ht="15.75" customHeight="1">
      <c r="A7" s="4"/>
      <c r="B7" s="126" t="s">
        <v>33</v>
      </c>
      <c r="C7" s="126"/>
      <c r="D7" s="126"/>
      <c r="E7" s="126"/>
      <c r="F7" s="126"/>
      <c r="G7" s="126"/>
      <c r="H7" s="4">
        <v>5</v>
      </c>
      <c r="I7" s="93"/>
      <c r="J7" s="93"/>
      <c r="K7" s="117"/>
      <c r="L7" s="117"/>
      <c r="M7" s="117"/>
      <c r="N7" s="117"/>
      <c r="O7" s="117"/>
    </row>
    <row r="8" spans="1:15">
      <c r="A8" s="4"/>
      <c r="B8" s="126" t="s">
        <v>34</v>
      </c>
      <c r="C8" s="126"/>
      <c r="D8" s="126"/>
      <c r="E8" s="126"/>
      <c r="F8" s="126"/>
      <c r="G8" s="126"/>
      <c r="H8" s="4">
        <v>7</v>
      </c>
      <c r="I8" s="93"/>
      <c r="J8" s="93"/>
      <c r="K8" s="117"/>
      <c r="L8" s="117"/>
      <c r="M8" s="117"/>
      <c r="N8" s="117"/>
      <c r="O8" s="117"/>
    </row>
    <row r="9" spans="1:15">
      <c r="A9" s="4"/>
      <c r="B9" s="126" t="s">
        <v>35</v>
      </c>
      <c r="C9" s="126"/>
      <c r="D9" s="126"/>
      <c r="E9" s="126"/>
      <c r="F9" s="126"/>
      <c r="G9" s="126"/>
      <c r="H9" s="4">
        <v>8</v>
      </c>
      <c r="I9" s="93"/>
      <c r="J9" s="93"/>
      <c r="K9" s="93"/>
      <c r="L9" s="93"/>
      <c r="M9" s="93"/>
      <c r="N9" s="93"/>
      <c r="O9" s="93"/>
    </row>
    <row r="10" spans="1:15">
      <c r="A10" s="4"/>
      <c r="B10" s="126" t="s">
        <v>36</v>
      </c>
      <c r="C10" s="126"/>
      <c r="D10" s="126"/>
      <c r="E10" s="126"/>
      <c r="F10" s="126"/>
      <c r="G10" s="126"/>
      <c r="H10" s="4">
        <v>9</v>
      </c>
      <c r="I10" s="93"/>
      <c r="J10" s="93"/>
      <c r="K10" s="93"/>
      <c r="L10" s="93"/>
      <c r="M10" s="93"/>
      <c r="N10" s="93"/>
      <c r="O10" s="93"/>
    </row>
    <row r="11" spans="1:15">
      <c r="A11" s="4"/>
      <c r="B11" s="126" t="s">
        <v>37</v>
      </c>
      <c r="C11" s="126"/>
      <c r="D11" s="126"/>
      <c r="E11" s="126"/>
      <c r="F11" s="126"/>
      <c r="G11" s="126"/>
      <c r="H11" s="4">
        <v>11</v>
      </c>
      <c r="I11" s="93"/>
      <c r="J11" s="93"/>
      <c r="K11" s="93"/>
      <c r="L11" s="93"/>
      <c r="M11" s="93"/>
      <c r="N11" s="93"/>
      <c r="O11" s="93"/>
    </row>
    <row r="12" spans="1:15">
      <c r="A12" s="4"/>
      <c r="B12" s="126" t="s">
        <v>38</v>
      </c>
      <c r="C12" s="126"/>
      <c r="D12" s="126"/>
      <c r="E12" s="126"/>
      <c r="F12" s="126"/>
      <c r="G12" s="126"/>
      <c r="H12" s="4">
        <v>12</v>
      </c>
      <c r="I12" s="93"/>
      <c r="J12" s="93"/>
      <c r="K12" s="93"/>
      <c r="L12" s="93"/>
      <c r="M12" s="93"/>
      <c r="N12" s="93"/>
      <c r="O12" s="93"/>
    </row>
    <row r="13" spans="1:15">
      <c r="A13" s="4"/>
      <c r="B13" s="126" t="s">
        <v>39</v>
      </c>
      <c r="C13" s="126"/>
      <c r="D13" s="126"/>
      <c r="E13" s="126"/>
      <c r="F13" s="126"/>
      <c r="G13" s="126"/>
      <c r="H13" s="4">
        <v>13</v>
      </c>
      <c r="I13" s="93"/>
      <c r="J13" s="93"/>
      <c r="K13" s="93"/>
      <c r="L13" s="93"/>
      <c r="M13" s="93"/>
      <c r="N13" s="93"/>
      <c r="O13" s="93"/>
    </row>
    <row r="14" spans="1:15">
      <c r="A14" s="4"/>
      <c r="B14" s="126" t="s">
        <v>40</v>
      </c>
      <c r="C14" s="126"/>
      <c r="D14" s="126"/>
      <c r="E14" s="126"/>
      <c r="F14" s="126"/>
      <c r="G14" s="126"/>
      <c r="H14" s="4">
        <v>14</v>
      </c>
      <c r="I14" s="93"/>
      <c r="J14" s="93"/>
      <c r="K14" s="93"/>
      <c r="L14" s="93"/>
      <c r="M14" s="93"/>
      <c r="N14" s="93"/>
      <c r="O14" s="93"/>
    </row>
    <row r="15" spans="1:15">
      <c r="A15" s="4"/>
      <c r="B15" s="126" t="s">
        <v>41</v>
      </c>
      <c r="C15" s="126"/>
      <c r="D15" s="126"/>
      <c r="E15" s="126"/>
      <c r="F15" s="126"/>
      <c r="G15" s="126"/>
      <c r="H15" s="4">
        <v>15</v>
      </c>
      <c r="I15" s="93"/>
      <c r="J15" s="93"/>
      <c r="K15" s="93"/>
      <c r="L15" s="93"/>
      <c r="M15" s="93"/>
      <c r="N15" s="93"/>
      <c r="O15" s="93"/>
    </row>
    <row r="16" spans="1:15">
      <c r="A16" s="4"/>
      <c r="B16" s="126" t="s">
        <v>42</v>
      </c>
      <c r="C16" s="126"/>
      <c r="D16" s="126"/>
      <c r="E16" s="126"/>
      <c r="F16" s="126"/>
      <c r="G16" s="126"/>
      <c r="H16" s="4">
        <v>16</v>
      </c>
      <c r="I16" s="93"/>
      <c r="J16" s="93"/>
      <c r="K16" s="93"/>
      <c r="L16" s="93"/>
      <c r="M16" s="93"/>
      <c r="N16" s="93"/>
      <c r="O16" s="93"/>
    </row>
    <row r="17" spans="1:8">
      <c r="A17" s="4"/>
      <c r="B17" s="126" t="s">
        <v>43</v>
      </c>
      <c r="C17" s="126"/>
      <c r="D17" s="126"/>
      <c r="E17" s="126"/>
      <c r="F17" s="126"/>
      <c r="G17" s="126"/>
      <c r="H17" s="4">
        <v>17</v>
      </c>
    </row>
    <row r="18" spans="1:8">
      <c r="A18" s="4"/>
      <c r="B18" s="126" t="s">
        <v>44</v>
      </c>
      <c r="C18" s="126"/>
      <c r="D18" s="126"/>
      <c r="E18" s="126"/>
      <c r="F18" s="126"/>
      <c r="G18" s="126"/>
      <c r="H18" s="4">
        <v>18</v>
      </c>
    </row>
    <row r="19" spans="1:8">
      <c r="A19" s="4"/>
      <c r="B19" s="126" t="s">
        <v>45</v>
      </c>
      <c r="C19" s="126"/>
      <c r="D19" s="126"/>
      <c r="E19" s="126"/>
      <c r="F19" s="126"/>
      <c r="G19" s="126"/>
      <c r="H19" s="4">
        <v>19</v>
      </c>
    </row>
    <row r="20" spans="1:8">
      <c r="A20" s="4"/>
      <c r="B20" s="126" t="s">
        <v>46</v>
      </c>
      <c r="C20" s="126"/>
      <c r="D20" s="126"/>
      <c r="E20" s="126"/>
      <c r="F20" s="126"/>
      <c r="G20" s="126"/>
      <c r="H20" s="4">
        <v>20</v>
      </c>
    </row>
    <row r="21" spans="1:8">
      <c r="A21" s="4"/>
      <c r="B21" s="126" t="s">
        <v>47</v>
      </c>
      <c r="C21" s="126"/>
      <c r="D21" s="126"/>
      <c r="E21" s="126"/>
      <c r="F21" s="126"/>
      <c r="G21" s="126"/>
      <c r="H21" s="4">
        <v>21</v>
      </c>
    </row>
    <row r="22" spans="1:8">
      <c r="A22" s="4"/>
      <c r="B22" s="120" t="s">
        <v>48</v>
      </c>
      <c r="C22" s="121"/>
      <c r="D22" s="121"/>
      <c r="E22" s="121"/>
      <c r="F22" s="121"/>
      <c r="G22" s="122"/>
      <c r="H22" s="4">
        <v>22</v>
      </c>
    </row>
    <row r="23" spans="1:8">
      <c r="A23" s="4"/>
      <c r="B23" s="120" t="s">
        <v>49</v>
      </c>
      <c r="C23" s="121"/>
      <c r="D23" s="121"/>
      <c r="E23" s="121"/>
      <c r="F23" s="121"/>
      <c r="G23" s="122"/>
      <c r="H23" s="4">
        <v>23</v>
      </c>
    </row>
    <row r="24" spans="1:8">
      <c r="A24" s="4"/>
      <c r="B24" s="123"/>
      <c r="C24" s="123"/>
      <c r="D24" s="123"/>
      <c r="E24" s="123"/>
      <c r="F24" s="123"/>
      <c r="G24" s="123"/>
      <c r="H24" s="4"/>
    </row>
    <row r="26" spans="1:8">
      <c r="A26" s="52" t="s">
        <v>50</v>
      </c>
      <c r="B26" s="263"/>
      <c r="C26" s="263"/>
      <c r="D26" s="263"/>
      <c r="E26" s="263"/>
      <c r="F26" s="263"/>
      <c r="G26" s="263"/>
      <c r="H26" s="264"/>
    </row>
    <row r="27" spans="1:8">
      <c r="A27" s="10" t="s">
        <v>26</v>
      </c>
      <c r="B27" s="124" t="s">
        <v>51</v>
      </c>
      <c r="C27" s="124"/>
      <c r="D27" s="124"/>
      <c r="E27" s="124"/>
      <c r="F27" s="124"/>
      <c r="G27" s="124"/>
      <c r="H27" s="11" t="s">
        <v>52</v>
      </c>
    </row>
    <row r="28" spans="1:8">
      <c r="A28" s="265"/>
      <c r="B28" s="156"/>
      <c r="C28" s="156"/>
      <c r="D28" s="156"/>
      <c r="E28" s="156"/>
      <c r="F28" s="156"/>
      <c r="G28" s="156"/>
      <c r="H28" s="265"/>
    </row>
    <row r="29" spans="1:8">
      <c r="A29" s="265"/>
      <c r="B29" s="156"/>
      <c r="C29" s="156"/>
      <c r="D29" s="156"/>
      <c r="E29" s="156"/>
      <c r="F29" s="156"/>
      <c r="G29" s="156"/>
      <c r="H29" s="265"/>
    </row>
    <row r="30" spans="1:8">
      <c r="A30" s="265"/>
      <c r="B30" s="156"/>
      <c r="C30" s="156"/>
      <c r="D30" s="156"/>
      <c r="E30" s="156"/>
      <c r="F30" s="156"/>
      <c r="G30" s="156"/>
      <c r="H30" s="265"/>
    </row>
    <row r="31" spans="1:8">
      <c r="A31" s="265"/>
      <c r="B31" s="156"/>
      <c r="C31" s="156"/>
      <c r="D31" s="156"/>
      <c r="E31" s="156"/>
      <c r="F31" s="156"/>
      <c r="G31" s="156"/>
      <c r="H31" s="265"/>
    </row>
    <row r="32" spans="1:8">
      <c r="A32" s="265"/>
      <c r="B32" s="156"/>
      <c r="C32" s="156"/>
      <c r="D32" s="156"/>
      <c r="E32" s="156"/>
      <c r="F32" s="156"/>
      <c r="G32" s="156"/>
      <c r="H32" s="265"/>
    </row>
    <row r="34" spans="1:10" ht="14.25" customHeight="1">
      <c r="A34" s="52" t="s">
        <v>53</v>
      </c>
      <c r="B34" s="263"/>
      <c r="C34" s="263"/>
      <c r="D34" s="263"/>
      <c r="E34" s="263"/>
      <c r="F34" s="263"/>
      <c r="G34" s="263"/>
      <c r="H34" s="264"/>
      <c r="I34" s="93"/>
      <c r="J34" s="93"/>
    </row>
    <row r="35" spans="1:10">
      <c r="A35" s="13" t="s">
        <v>54</v>
      </c>
      <c r="B35" s="125" t="s">
        <v>8</v>
      </c>
      <c r="C35" s="125"/>
      <c r="D35" s="125"/>
      <c r="E35" s="125"/>
      <c r="F35" s="125"/>
      <c r="G35" s="125"/>
      <c r="H35" s="14" t="s">
        <v>55</v>
      </c>
      <c r="I35" s="93"/>
      <c r="J35" s="93"/>
    </row>
    <row r="36" spans="1:10">
      <c r="A36" s="266"/>
      <c r="B36" s="267"/>
      <c r="C36" s="267"/>
      <c r="D36" s="267"/>
      <c r="E36" s="267"/>
      <c r="F36" s="267"/>
      <c r="G36" s="267"/>
      <c r="H36" s="266"/>
      <c r="I36" s="93"/>
      <c r="J36" s="93"/>
    </row>
    <row r="37" spans="1:10">
      <c r="A37" s="266"/>
      <c r="B37" s="267"/>
      <c r="C37" s="267"/>
      <c r="D37" s="267"/>
      <c r="E37" s="267"/>
      <c r="F37" s="267"/>
      <c r="G37" s="267"/>
      <c r="H37" s="266"/>
      <c r="I37" s="93"/>
      <c r="J37" s="93"/>
    </row>
    <row r="38" spans="1:10">
      <c r="A38" s="266"/>
      <c r="B38" s="267"/>
      <c r="C38" s="267"/>
      <c r="D38" s="267"/>
      <c r="E38" s="267"/>
      <c r="F38" s="267"/>
      <c r="G38" s="267"/>
      <c r="H38" s="266"/>
      <c r="I38" s="93"/>
      <c r="J38" s="93"/>
    </row>
    <row r="39" spans="1:10">
      <c r="A39" s="266"/>
      <c r="B39" s="267"/>
      <c r="C39" s="267"/>
      <c r="D39" s="267"/>
      <c r="E39" s="267"/>
      <c r="F39" s="267"/>
      <c r="G39" s="267"/>
      <c r="H39" s="266"/>
      <c r="I39" s="93"/>
      <c r="J39" s="93"/>
    </row>
    <row r="40" spans="1:10">
      <c r="A40" s="266"/>
      <c r="B40" s="267"/>
      <c r="C40" s="267"/>
      <c r="D40" s="267"/>
      <c r="E40" s="267"/>
      <c r="F40" s="267"/>
      <c r="G40" s="267"/>
      <c r="H40" s="266"/>
      <c r="I40" s="93"/>
      <c r="J40" s="93"/>
    </row>
    <row r="41" spans="1:10">
      <c r="A41" s="266"/>
      <c r="B41" s="267"/>
      <c r="C41" s="267"/>
      <c r="D41" s="267"/>
      <c r="E41" s="267"/>
      <c r="F41" s="267"/>
      <c r="G41" s="267"/>
      <c r="H41" s="266"/>
      <c r="I41" s="93"/>
      <c r="J41" s="93"/>
    </row>
    <row r="42" spans="1:10">
      <c r="A42" s="266"/>
      <c r="B42" s="267"/>
      <c r="C42" s="267"/>
      <c r="D42" s="267"/>
      <c r="E42" s="267"/>
      <c r="F42" s="267"/>
      <c r="G42" s="267"/>
      <c r="H42" s="266"/>
      <c r="I42" s="93"/>
      <c r="J42" s="93"/>
    </row>
    <row r="44" spans="1:10">
      <c r="A44" s="268" t="s">
        <v>56</v>
      </c>
      <c r="B44" s="269"/>
      <c r="C44" s="269"/>
      <c r="D44" s="269"/>
      <c r="E44" s="269"/>
      <c r="F44" s="269"/>
      <c r="G44" s="269"/>
      <c r="H44" s="269"/>
      <c r="I44" s="269"/>
      <c r="J44" s="270"/>
    </row>
    <row r="45" spans="1:10">
      <c r="A45" s="271"/>
      <c r="B45" s="272"/>
      <c r="C45" s="272"/>
      <c r="D45" s="272"/>
      <c r="E45" s="272"/>
      <c r="F45" s="272"/>
      <c r="G45" s="272"/>
      <c r="H45" s="272"/>
      <c r="I45" s="272"/>
      <c r="J45" s="273"/>
    </row>
    <row r="46" spans="1:10">
      <c r="A46" s="271"/>
      <c r="B46" s="272"/>
      <c r="C46" s="272"/>
      <c r="D46" s="272"/>
      <c r="E46" s="272"/>
      <c r="F46" s="272"/>
      <c r="G46" s="272"/>
      <c r="H46" s="272"/>
      <c r="I46" s="272"/>
      <c r="J46" s="273"/>
    </row>
    <row r="47" spans="1:10">
      <c r="A47" s="274"/>
      <c r="B47" s="275"/>
      <c r="C47" s="275"/>
      <c r="D47" s="275"/>
      <c r="E47" s="275"/>
      <c r="F47" s="275"/>
      <c r="G47" s="275"/>
      <c r="H47" s="275"/>
      <c r="I47" s="275"/>
      <c r="J47" s="276"/>
    </row>
    <row r="65" spans="6:6">
      <c r="F65" s="3"/>
    </row>
  </sheetData>
  <mergeCells count="37">
    <mergeCell ref="K5:O8"/>
    <mergeCell ref="B9:G9"/>
    <mergeCell ref="B4:G4"/>
    <mergeCell ref="B5:G5"/>
    <mergeCell ref="B6:G6"/>
    <mergeCell ref="B7:G7"/>
    <mergeCell ref="B8:G8"/>
    <mergeCell ref="B21:G21"/>
    <mergeCell ref="B10:G10"/>
    <mergeCell ref="B11:G11"/>
    <mergeCell ref="B12:G12"/>
    <mergeCell ref="B13:G13"/>
    <mergeCell ref="B14:G14"/>
    <mergeCell ref="B15:G15"/>
    <mergeCell ref="B16:G16"/>
    <mergeCell ref="B17:G17"/>
    <mergeCell ref="B18:G18"/>
    <mergeCell ref="B19:G19"/>
    <mergeCell ref="B20:G20"/>
    <mergeCell ref="B36:G36"/>
    <mergeCell ref="B22:G22"/>
    <mergeCell ref="B23:G23"/>
    <mergeCell ref="B24:G24"/>
    <mergeCell ref="B27:G27"/>
    <mergeCell ref="B28:G28"/>
    <mergeCell ref="B29:G29"/>
    <mergeCell ref="B30:G30"/>
    <mergeCell ref="B31:G31"/>
    <mergeCell ref="B32:G32"/>
    <mergeCell ref="B35:G35"/>
    <mergeCell ref="A44:J47"/>
    <mergeCell ref="B37:G37"/>
    <mergeCell ref="B38:G38"/>
    <mergeCell ref="B39:G39"/>
    <mergeCell ref="B40:G40"/>
    <mergeCell ref="B41:G41"/>
    <mergeCell ref="B42:G42"/>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78"/>
  <sheetViews>
    <sheetView showGridLines="0" view="pageBreakPreview" topLeftCell="A33" zoomScale="60" zoomScaleNormal="100" workbookViewId="0">
      <selection activeCell="A79" sqref="A79"/>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+'Cover Page'!$B$33</f>
        <v>Wolverhampton Energy from Waste Facility</v>
      </c>
      <c r="F1" s="93"/>
      <c r="G1" s="93"/>
      <c r="H1" s="93"/>
      <c r="I1" s="93"/>
      <c r="J1" s="93"/>
      <c r="K1" s="93"/>
      <c r="L1" s="93"/>
      <c r="M1" s="93"/>
      <c r="N1" s="93"/>
    </row>
    <row r="3" spans="1:14" ht="15.6">
      <c r="A3" s="51" t="s">
        <v>57</v>
      </c>
      <c r="B3" s="277"/>
      <c r="C3" s="277"/>
      <c r="D3" s="277"/>
      <c r="E3" s="277"/>
      <c r="F3" s="277"/>
      <c r="G3" s="277"/>
      <c r="H3" s="277"/>
      <c r="I3" s="278"/>
      <c r="J3" s="93"/>
      <c r="K3" s="81" t="s">
        <v>3</v>
      </c>
      <c r="L3" s="93"/>
      <c r="M3" s="93"/>
      <c r="N3" s="93"/>
    </row>
    <row r="4" spans="1:14">
      <c r="A4" s="279"/>
      <c r="B4" s="280"/>
      <c r="C4" s="280"/>
      <c r="D4" s="280"/>
      <c r="E4" s="280"/>
      <c r="F4" s="280"/>
      <c r="G4" s="280"/>
      <c r="H4" s="280"/>
      <c r="I4" s="281"/>
      <c r="J4" s="93"/>
      <c r="K4" s="93"/>
      <c r="L4" s="93"/>
      <c r="M4" s="93"/>
      <c r="N4" s="93"/>
    </row>
    <row r="5" spans="1:14" ht="15.75" customHeight="1">
      <c r="A5" s="128" t="s">
        <v>58</v>
      </c>
      <c r="B5" s="130"/>
      <c r="C5" s="130"/>
      <c r="D5" s="130"/>
      <c r="E5" s="130"/>
      <c r="F5" s="130"/>
      <c r="G5" s="130"/>
      <c r="H5" s="130"/>
      <c r="I5" s="194"/>
      <c r="J5" s="93"/>
      <c r="K5" s="129" t="s">
        <v>59</v>
      </c>
      <c r="L5" s="129"/>
      <c r="M5" s="129"/>
      <c r="N5" s="129"/>
    </row>
    <row r="6" spans="1:14">
      <c r="A6" s="282"/>
      <c r="B6" s="131"/>
      <c r="C6" s="131"/>
      <c r="D6" s="131"/>
      <c r="E6" s="131"/>
      <c r="F6" s="131"/>
      <c r="G6" s="131"/>
      <c r="H6" s="131"/>
      <c r="I6" s="283"/>
      <c r="J6" s="93"/>
      <c r="K6" s="129"/>
      <c r="L6" s="129"/>
      <c r="M6" s="129"/>
      <c r="N6" s="129"/>
    </row>
    <row r="7" spans="1:14">
      <c r="A7" s="282"/>
      <c r="B7" s="131"/>
      <c r="C7" s="131"/>
      <c r="D7" s="131"/>
      <c r="E7" s="131"/>
      <c r="F7" s="131"/>
      <c r="G7" s="131"/>
      <c r="H7" s="131"/>
      <c r="I7" s="283"/>
      <c r="J7" s="93"/>
      <c r="K7" s="129"/>
      <c r="L7" s="129"/>
      <c r="M7" s="129"/>
      <c r="N7" s="129"/>
    </row>
    <row r="8" spans="1:14" ht="15.75" customHeight="1">
      <c r="A8" s="282"/>
      <c r="B8" s="131"/>
      <c r="C8" s="131"/>
      <c r="D8" s="131"/>
      <c r="E8" s="131"/>
      <c r="F8" s="131"/>
      <c r="G8" s="131"/>
      <c r="H8" s="131"/>
      <c r="I8" s="283"/>
      <c r="J8" s="93"/>
      <c r="K8" s="129"/>
      <c r="L8" s="129"/>
      <c r="M8" s="129"/>
      <c r="N8" s="129"/>
    </row>
    <row r="9" spans="1:14">
      <c r="A9" s="282"/>
      <c r="B9" s="131"/>
      <c r="C9" s="131"/>
      <c r="D9" s="131"/>
      <c r="E9" s="131"/>
      <c r="F9" s="131"/>
      <c r="G9" s="131"/>
      <c r="H9" s="131"/>
      <c r="I9" s="283"/>
      <c r="J9" s="93"/>
      <c r="K9" s="129"/>
      <c r="L9" s="129"/>
      <c r="M9" s="129"/>
      <c r="N9" s="129"/>
    </row>
    <row r="10" spans="1:14">
      <c r="A10" s="282"/>
      <c r="B10" s="131"/>
      <c r="C10" s="131"/>
      <c r="D10" s="131"/>
      <c r="E10" s="131"/>
      <c r="F10" s="131"/>
      <c r="G10" s="131"/>
      <c r="H10" s="131"/>
      <c r="I10" s="283"/>
      <c r="J10" s="93"/>
      <c r="K10" s="129"/>
      <c r="L10" s="129"/>
      <c r="M10" s="129"/>
      <c r="N10" s="129"/>
    </row>
    <row r="11" spans="1:14">
      <c r="A11" s="282"/>
      <c r="B11" s="131"/>
      <c r="C11" s="131"/>
      <c r="D11" s="131"/>
      <c r="E11" s="131"/>
      <c r="F11" s="131"/>
      <c r="G11" s="131"/>
      <c r="H11" s="131"/>
      <c r="I11" s="283"/>
      <c r="J11" s="93"/>
      <c r="K11" s="129"/>
      <c r="L11" s="129"/>
      <c r="M11" s="129"/>
      <c r="N11" s="129"/>
    </row>
    <row r="12" spans="1:14">
      <c r="A12" s="282"/>
      <c r="B12" s="131"/>
      <c r="C12" s="131"/>
      <c r="D12" s="131"/>
      <c r="E12" s="131"/>
      <c r="F12" s="131"/>
      <c r="G12" s="131"/>
      <c r="H12" s="131"/>
      <c r="I12" s="283"/>
      <c r="J12" s="93"/>
      <c r="K12" s="129"/>
      <c r="L12" s="129"/>
      <c r="M12" s="129"/>
      <c r="N12" s="129"/>
    </row>
    <row r="13" spans="1:14">
      <c r="A13" s="282"/>
      <c r="B13" s="131"/>
      <c r="C13" s="131"/>
      <c r="D13" s="131"/>
      <c r="E13" s="131"/>
      <c r="F13" s="131"/>
      <c r="G13" s="131"/>
      <c r="H13" s="131"/>
      <c r="I13" s="283"/>
      <c r="J13" s="93"/>
      <c r="K13" s="129"/>
      <c r="L13" s="129"/>
      <c r="M13" s="129"/>
      <c r="N13" s="129"/>
    </row>
    <row r="14" spans="1:14">
      <c r="A14" s="282"/>
      <c r="B14" s="131"/>
      <c r="C14" s="131"/>
      <c r="D14" s="131"/>
      <c r="E14" s="131"/>
      <c r="F14" s="131"/>
      <c r="G14" s="131"/>
      <c r="H14" s="131"/>
      <c r="I14" s="283"/>
      <c r="J14" s="93"/>
      <c r="K14" s="129"/>
      <c r="L14" s="129"/>
      <c r="M14" s="129"/>
      <c r="N14" s="129"/>
    </row>
    <row r="15" spans="1:14">
      <c r="A15" s="282"/>
      <c r="B15" s="131"/>
      <c r="C15" s="131"/>
      <c r="D15" s="131"/>
      <c r="E15" s="131"/>
      <c r="F15" s="131"/>
      <c r="G15" s="131"/>
      <c r="H15" s="131"/>
      <c r="I15" s="283"/>
      <c r="J15" s="93"/>
      <c r="K15" s="93"/>
      <c r="L15" s="93"/>
      <c r="M15" s="93"/>
      <c r="N15" s="93"/>
    </row>
    <row r="16" spans="1:14">
      <c r="A16" s="282"/>
      <c r="B16" s="131"/>
      <c r="C16" s="131"/>
      <c r="D16" s="131"/>
      <c r="E16" s="131"/>
      <c r="F16" s="131"/>
      <c r="G16" s="131"/>
      <c r="H16" s="131"/>
      <c r="I16" s="283"/>
      <c r="J16" s="93"/>
      <c r="K16" s="93"/>
      <c r="L16" s="93"/>
      <c r="M16" s="93"/>
      <c r="N16" s="93"/>
    </row>
    <row r="17" spans="1:14">
      <c r="A17" s="282"/>
      <c r="B17" s="131"/>
      <c r="C17" s="131"/>
      <c r="D17" s="131"/>
      <c r="E17" s="131"/>
      <c r="F17" s="131"/>
      <c r="G17" s="131"/>
      <c r="H17" s="131"/>
      <c r="I17" s="283"/>
      <c r="J17" s="93"/>
      <c r="K17" s="93"/>
      <c r="L17" s="93"/>
      <c r="M17" s="93"/>
      <c r="N17" s="93"/>
    </row>
    <row r="18" spans="1:14">
      <c r="A18" s="195"/>
      <c r="B18" s="196"/>
      <c r="C18" s="196"/>
      <c r="D18" s="196"/>
      <c r="E18" s="196"/>
      <c r="F18" s="196"/>
      <c r="G18" s="196"/>
      <c r="H18" s="196"/>
      <c r="I18" s="197"/>
      <c r="J18" s="93"/>
      <c r="K18" s="93"/>
      <c r="L18" s="93"/>
      <c r="M18" s="93"/>
      <c r="N18" s="93"/>
    </row>
    <row r="20" spans="1:14">
      <c r="A20" s="51" t="s">
        <v>60</v>
      </c>
      <c r="B20" s="277"/>
      <c r="C20" s="277"/>
      <c r="D20" s="277"/>
      <c r="E20" s="277"/>
      <c r="F20" s="277"/>
      <c r="G20" s="277"/>
      <c r="H20" s="277"/>
      <c r="I20" s="278"/>
      <c r="J20" s="93"/>
      <c r="K20" s="93"/>
      <c r="L20" s="93"/>
      <c r="M20" s="93"/>
      <c r="N20" s="93"/>
    </row>
    <row r="21" spans="1:14">
      <c r="A21" s="279"/>
      <c r="B21" s="280"/>
      <c r="C21" s="280"/>
      <c r="D21" s="280"/>
      <c r="E21" s="280"/>
      <c r="F21" s="280"/>
      <c r="G21" s="280"/>
      <c r="H21" s="280"/>
      <c r="I21" s="281"/>
      <c r="J21" s="93"/>
      <c r="K21" s="93"/>
      <c r="L21" s="93"/>
      <c r="M21" s="93"/>
      <c r="N21" s="93"/>
    </row>
    <row r="22" spans="1:14" ht="15" customHeight="1">
      <c r="A22" s="130" t="s">
        <v>61</v>
      </c>
      <c r="B22" s="130"/>
      <c r="C22" s="130"/>
      <c r="D22" s="130"/>
      <c r="E22" s="130"/>
      <c r="F22" s="130"/>
      <c r="G22" s="130"/>
      <c r="H22" s="130"/>
      <c r="I22" s="130"/>
      <c r="J22" s="93"/>
      <c r="K22" s="129" t="s">
        <v>62</v>
      </c>
      <c r="L22" s="129"/>
      <c r="M22" s="129"/>
      <c r="N22" s="129"/>
    </row>
    <row r="23" spans="1:14">
      <c r="A23" s="131"/>
      <c r="B23" s="131"/>
      <c r="C23" s="131"/>
      <c r="D23" s="131"/>
      <c r="E23" s="131"/>
      <c r="F23" s="131"/>
      <c r="G23" s="131"/>
      <c r="H23" s="131"/>
      <c r="I23" s="131"/>
      <c r="J23" s="93"/>
      <c r="K23" s="129"/>
      <c r="L23" s="129"/>
      <c r="M23" s="129"/>
      <c r="N23" s="129"/>
    </row>
    <row r="24" spans="1:14">
      <c r="A24" s="131"/>
      <c r="B24" s="131"/>
      <c r="C24" s="131"/>
      <c r="D24" s="131"/>
      <c r="E24" s="131"/>
      <c r="F24" s="131"/>
      <c r="G24" s="131"/>
      <c r="H24" s="131"/>
      <c r="I24" s="131"/>
      <c r="J24" s="93"/>
      <c r="K24" s="129"/>
      <c r="L24" s="129"/>
      <c r="M24" s="129"/>
      <c r="N24" s="129"/>
    </row>
    <row r="25" spans="1:14">
      <c r="A25" s="131"/>
      <c r="B25" s="131"/>
      <c r="C25" s="131"/>
      <c r="D25" s="131"/>
      <c r="E25" s="131"/>
      <c r="F25" s="131"/>
      <c r="G25" s="131"/>
      <c r="H25" s="131"/>
      <c r="I25" s="131"/>
      <c r="J25" s="93"/>
      <c r="K25" s="129"/>
      <c r="L25" s="129"/>
      <c r="M25" s="129"/>
      <c r="N25" s="129"/>
    </row>
    <row r="26" spans="1:14">
      <c r="A26" s="131"/>
      <c r="B26" s="131"/>
      <c r="C26" s="131"/>
      <c r="D26" s="131"/>
      <c r="E26" s="131"/>
      <c r="F26" s="131"/>
      <c r="G26" s="131"/>
      <c r="H26" s="131"/>
      <c r="I26" s="131"/>
      <c r="J26" s="93"/>
      <c r="K26" s="129"/>
      <c r="L26" s="129"/>
      <c r="M26" s="129"/>
      <c r="N26" s="129"/>
    </row>
    <row r="27" spans="1:14">
      <c r="A27" s="131"/>
      <c r="B27" s="131"/>
      <c r="C27" s="131"/>
      <c r="D27" s="131"/>
      <c r="E27" s="131"/>
      <c r="F27" s="131"/>
      <c r="G27" s="131"/>
      <c r="H27" s="131"/>
      <c r="I27" s="131"/>
      <c r="J27" s="93"/>
      <c r="K27" s="129"/>
      <c r="L27" s="129"/>
      <c r="M27" s="129"/>
      <c r="N27" s="129"/>
    </row>
    <row r="28" spans="1:14">
      <c r="A28" s="131"/>
      <c r="B28" s="131"/>
      <c r="C28" s="131"/>
      <c r="D28" s="131"/>
      <c r="E28" s="131"/>
      <c r="F28" s="131"/>
      <c r="G28" s="131"/>
      <c r="H28" s="131"/>
      <c r="I28" s="131"/>
      <c r="J28" s="93"/>
      <c r="K28" s="129"/>
      <c r="L28" s="129"/>
      <c r="M28" s="129"/>
      <c r="N28" s="129"/>
    </row>
    <row r="29" spans="1:14">
      <c r="A29" s="131"/>
      <c r="B29" s="131"/>
      <c r="C29" s="131"/>
      <c r="D29" s="131"/>
      <c r="E29" s="131"/>
      <c r="F29" s="131"/>
      <c r="G29" s="131"/>
      <c r="H29" s="131"/>
      <c r="I29" s="131"/>
      <c r="J29" s="93"/>
      <c r="K29" s="129"/>
      <c r="L29" s="129"/>
      <c r="M29" s="129"/>
      <c r="N29" s="129"/>
    </row>
    <row r="30" spans="1:14">
      <c r="A30" s="131"/>
      <c r="B30" s="131"/>
      <c r="C30" s="131"/>
      <c r="D30" s="131"/>
      <c r="E30" s="131"/>
      <c r="F30" s="131"/>
      <c r="G30" s="131"/>
      <c r="H30" s="131"/>
      <c r="I30" s="131"/>
      <c r="J30" s="93"/>
      <c r="K30" s="129"/>
      <c r="L30" s="129"/>
      <c r="M30" s="129"/>
      <c r="N30" s="129"/>
    </row>
    <row r="31" spans="1:14">
      <c r="A31" s="131"/>
      <c r="B31" s="131"/>
      <c r="C31" s="131"/>
      <c r="D31" s="131"/>
      <c r="E31" s="131"/>
      <c r="F31" s="131"/>
      <c r="G31" s="131"/>
      <c r="H31" s="131"/>
      <c r="I31" s="131"/>
      <c r="J31" s="93"/>
      <c r="K31" s="129"/>
      <c r="L31" s="129"/>
      <c r="M31" s="129"/>
      <c r="N31" s="129"/>
    </row>
    <row r="32" spans="1:14">
      <c r="A32" s="131"/>
      <c r="B32" s="131"/>
      <c r="C32" s="131"/>
      <c r="D32" s="131"/>
      <c r="E32" s="131"/>
      <c r="F32" s="131"/>
      <c r="G32" s="131"/>
      <c r="H32" s="131"/>
      <c r="I32" s="131"/>
      <c r="J32" s="93"/>
      <c r="K32" s="93"/>
      <c r="L32" s="93"/>
      <c r="M32" s="93"/>
      <c r="N32" s="93"/>
    </row>
    <row r="33" spans="1:9">
      <c r="A33" s="131"/>
      <c r="B33" s="131"/>
      <c r="C33" s="131"/>
      <c r="D33" s="131"/>
      <c r="E33" s="131"/>
      <c r="F33" s="131"/>
      <c r="G33" s="131"/>
      <c r="H33" s="131"/>
      <c r="I33" s="131"/>
    </row>
    <row r="34" spans="1:9">
      <c r="A34" s="131"/>
      <c r="B34" s="131"/>
      <c r="C34" s="131"/>
      <c r="D34" s="131"/>
      <c r="E34" s="131"/>
      <c r="F34" s="131"/>
      <c r="G34" s="131"/>
      <c r="H34" s="131"/>
      <c r="I34" s="131"/>
    </row>
    <row r="35" spans="1:9">
      <c r="A35" s="131"/>
      <c r="B35" s="131"/>
      <c r="C35" s="131"/>
      <c r="D35" s="131"/>
      <c r="E35" s="131"/>
      <c r="F35" s="131"/>
      <c r="G35" s="131"/>
      <c r="H35" s="131"/>
      <c r="I35" s="131"/>
    </row>
    <row r="36" spans="1:9">
      <c r="A36" s="131"/>
      <c r="B36" s="131"/>
      <c r="C36" s="131"/>
      <c r="D36" s="131"/>
      <c r="E36" s="131"/>
      <c r="F36" s="131"/>
      <c r="G36" s="131"/>
      <c r="H36" s="131"/>
      <c r="I36" s="131"/>
    </row>
    <row r="37" spans="1:9">
      <c r="A37" s="131"/>
      <c r="B37" s="131"/>
      <c r="C37" s="131"/>
      <c r="D37" s="131"/>
      <c r="E37" s="131"/>
      <c r="F37" s="131"/>
      <c r="G37" s="131"/>
      <c r="H37" s="131"/>
      <c r="I37" s="131"/>
    </row>
    <row r="38" spans="1:9">
      <c r="A38" s="131"/>
      <c r="B38" s="131"/>
      <c r="C38" s="131"/>
      <c r="D38" s="131"/>
      <c r="E38" s="131"/>
      <c r="F38" s="131"/>
      <c r="G38" s="131"/>
      <c r="H38" s="131"/>
      <c r="I38" s="131"/>
    </row>
    <row r="39" spans="1:9">
      <c r="A39" s="131"/>
      <c r="B39" s="131"/>
      <c r="C39" s="131"/>
      <c r="D39" s="131"/>
      <c r="E39" s="131"/>
      <c r="F39" s="131"/>
      <c r="G39" s="131"/>
      <c r="H39" s="131"/>
      <c r="I39" s="131"/>
    </row>
    <row r="40" spans="1:9" ht="14.25" customHeight="1">
      <c r="A40" s="131"/>
      <c r="B40" s="131"/>
      <c r="C40" s="131"/>
      <c r="D40" s="131"/>
      <c r="E40" s="131"/>
      <c r="F40" s="131"/>
      <c r="G40" s="131"/>
      <c r="H40" s="131"/>
      <c r="I40" s="131"/>
    </row>
    <row r="41" spans="1:9">
      <c r="A41" s="131"/>
      <c r="B41" s="131"/>
      <c r="C41" s="131"/>
      <c r="D41" s="131"/>
      <c r="E41" s="131"/>
      <c r="F41" s="131"/>
      <c r="G41" s="131"/>
      <c r="H41" s="131"/>
      <c r="I41" s="131"/>
    </row>
    <row r="42" spans="1:9">
      <c r="A42" s="131"/>
      <c r="B42" s="131"/>
      <c r="C42" s="131"/>
      <c r="D42" s="131"/>
      <c r="E42" s="131"/>
      <c r="F42" s="131"/>
      <c r="G42" s="131"/>
      <c r="H42" s="131"/>
      <c r="I42" s="131"/>
    </row>
    <row r="43" spans="1:9">
      <c r="A43" s="131"/>
      <c r="B43" s="131"/>
      <c r="C43" s="131"/>
      <c r="D43" s="131"/>
      <c r="E43" s="131"/>
      <c r="F43" s="131"/>
      <c r="G43" s="131"/>
      <c r="H43" s="131"/>
      <c r="I43" s="131"/>
    </row>
    <row r="44" spans="1:9">
      <c r="A44" s="131"/>
      <c r="B44" s="131"/>
      <c r="C44" s="131"/>
      <c r="D44" s="131"/>
      <c r="E44" s="131"/>
      <c r="F44" s="131"/>
      <c r="G44" s="131"/>
      <c r="H44" s="131"/>
      <c r="I44" s="131"/>
    </row>
    <row r="45" spans="1:9">
      <c r="A45" s="131"/>
      <c r="B45" s="131"/>
      <c r="C45" s="131"/>
      <c r="D45" s="131"/>
      <c r="E45" s="131"/>
      <c r="F45" s="131"/>
      <c r="G45" s="131"/>
      <c r="H45" s="131"/>
      <c r="I45" s="131"/>
    </row>
    <row r="46" spans="1:9">
      <c r="A46" s="131"/>
      <c r="B46" s="131"/>
      <c r="C46" s="131"/>
      <c r="D46" s="131"/>
      <c r="E46" s="131"/>
      <c r="F46" s="131"/>
      <c r="G46" s="131"/>
      <c r="H46" s="131"/>
      <c r="I46" s="131"/>
    </row>
    <row r="47" spans="1:9">
      <c r="A47" s="131"/>
      <c r="B47" s="131"/>
      <c r="C47" s="131"/>
      <c r="D47" s="131"/>
      <c r="E47" s="131"/>
      <c r="F47" s="131"/>
      <c r="G47" s="131"/>
      <c r="H47" s="131"/>
      <c r="I47" s="131"/>
    </row>
    <row r="48" spans="1:9">
      <c r="A48" s="131"/>
      <c r="B48" s="131"/>
      <c r="C48" s="131"/>
      <c r="D48" s="131"/>
      <c r="E48" s="131"/>
      <c r="F48" s="131"/>
      <c r="G48" s="131"/>
      <c r="H48" s="131"/>
      <c r="I48" s="131"/>
    </row>
    <row r="49" spans="1:9">
      <c r="A49" s="131"/>
      <c r="B49" s="131"/>
      <c r="C49" s="131"/>
      <c r="D49" s="131"/>
      <c r="E49" s="131"/>
      <c r="F49" s="131"/>
      <c r="G49" s="131"/>
      <c r="H49" s="131"/>
      <c r="I49" s="131"/>
    </row>
    <row r="50" spans="1:9">
      <c r="A50" s="131"/>
      <c r="B50" s="131"/>
      <c r="C50" s="131"/>
      <c r="D50" s="131"/>
      <c r="E50" s="131"/>
      <c r="F50" s="131"/>
      <c r="G50" s="131"/>
      <c r="H50" s="131"/>
      <c r="I50" s="131"/>
    </row>
    <row r="51" spans="1:9">
      <c r="A51" s="131"/>
      <c r="B51" s="131"/>
      <c r="C51" s="131"/>
      <c r="D51" s="131"/>
      <c r="E51" s="131"/>
      <c r="F51" s="131"/>
      <c r="G51" s="131"/>
      <c r="H51" s="131"/>
      <c r="I51" s="131"/>
    </row>
    <row r="52" spans="1:9">
      <c r="A52" s="131"/>
      <c r="B52" s="131"/>
      <c r="C52" s="131"/>
      <c r="D52" s="131"/>
      <c r="E52" s="131"/>
      <c r="F52" s="131"/>
      <c r="G52" s="131"/>
      <c r="H52" s="131"/>
      <c r="I52" s="131"/>
    </row>
    <row r="53" spans="1:9">
      <c r="A53" s="131"/>
      <c r="B53" s="131"/>
      <c r="C53" s="131"/>
      <c r="D53" s="131"/>
      <c r="E53" s="131"/>
      <c r="F53" s="131"/>
      <c r="G53" s="131"/>
      <c r="H53" s="131"/>
      <c r="I53" s="131"/>
    </row>
    <row r="54" spans="1:9">
      <c r="A54" s="131"/>
      <c r="B54" s="131"/>
      <c r="C54" s="131"/>
      <c r="D54" s="131"/>
      <c r="E54" s="131"/>
      <c r="F54" s="131"/>
      <c r="G54" s="131"/>
      <c r="H54" s="131"/>
      <c r="I54" s="131"/>
    </row>
    <row r="55" spans="1:9">
      <c r="A55" s="131"/>
      <c r="B55" s="131"/>
      <c r="C55" s="131"/>
      <c r="D55" s="131"/>
      <c r="E55" s="131"/>
      <c r="F55" s="131"/>
      <c r="G55" s="131"/>
      <c r="H55" s="131"/>
      <c r="I55" s="131"/>
    </row>
    <row r="56" spans="1:9">
      <c r="A56" s="131"/>
      <c r="B56" s="131"/>
      <c r="C56" s="131"/>
      <c r="D56" s="131"/>
      <c r="E56" s="131"/>
      <c r="F56" s="131"/>
      <c r="G56" s="131"/>
      <c r="H56" s="131"/>
      <c r="I56" s="131"/>
    </row>
    <row r="57" spans="1:9">
      <c r="A57" s="131"/>
      <c r="B57" s="131"/>
      <c r="C57" s="131"/>
      <c r="D57" s="131"/>
      <c r="E57" s="131"/>
      <c r="F57" s="131"/>
      <c r="G57" s="131"/>
      <c r="H57" s="131"/>
      <c r="I57" s="131"/>
    </row>
    <row r="58" spans="1:9">
      <c r="A58" s="131"/>
      <c r="B58" s="131"/>
      <c r="C58" s="131"/>
      <c r="D58" s="131"/>
      <c r="E58" s="131"/>
      <c r="F58" s="131"/>
      <c r="G58" s="131"/>
      <c r="H58" s="131"/>
      <c r="I58" s="131"/>
    </row>
    <row r="59" spans="1:9">
      <c r="A59" s="131"/>
      <c r="B59" s="131"/>
      <c r="C59" s="131"/>
      <c r="D59" s="131"/>
      <c r="E59" s="131"/>
      <c r="F59" s="131"/>
      <c r="G59" s="131"/>
      <c r="H59" s="131"/>
      <c r="I59" s="131"/>
    </row>
    <row r="60" spans="1:9">
      <c r="A60" s="131"/>
      <c r="B60" s="131"/>
      <c r="C60" s="131"/>
      <c r="D60" s="131"/>
      <c r="E60" s="131"/>
      <c r="F60" s="131"/>
      <c r="G60" s="131"/>
      <c r="H60" s="131"/>
      <c r="I60" s="131"/>
    </row>
    <row r="61" spans="1:9">
      <c r="A61" s="131"/>
      <c r="B61" s="131"/>
      <c r="C61" s="131"/>
      <c r="D61" s="131"/>
      <c r="E61" s="131"/>
      <c r="F61" s="131"/>
      <c r="G61" s="131"/>
      <c r="H61" s="131"/>
      <c r="I61" s="131"/>
    </row>
    <row r="62" spans="1:9">
      <c r="A62" s="131"/>
      <c r="B62" s="131"/>
      <c r="C62" s="131"/>
      <c r="D62" s="131"/>
      <c r="E62" s="131"/>
      <c r="F62" s="131"/>
      <c r="G62" s="131"/>
      <c r="H62" s="131"/>
      <c r="I62" s="131"/>
    </row>
    <row r="63" spans="1:9">
      <c r="A63" s="131"/>
      <c r="B63" s="131"/>
      <c r="C63" s="131"/>
      <c r="D63" s="131"/>
      <c r="E63" s="131"/>
      <c r="F63" s="131"/>
      <c r="G63" s="131"/>
      <c r="H63" s="131"/>
      <c r="I63" s="131"/>
    </row>
    <row r="64" spans="1:9">
      <c r="A64" s="131"/>
      <c r="B64" s="131"/>
      <c r="C64" s="131"/>
      <c r="D64" s="131"/>
      <c r="E64" s="131"/>
      <c r="F64" s="131"/>
      <c r="G64" s="131"/>
      <c r="H64" s="131"/>
      <c r="I64" s="131"/>
    </row>
    <row r="65" spans="1:9">
      <c r="A65" s="131"/>
      <c r="B65" s="131"/>
      <c r="C65" s="131"/>
      <c r="D65" s="131"/>
      <c r="E65" s="131"/>
      <c r="F65" s="131"/>
      <c r="G65" s="131"/>
      <c r="H65" s="131"/>
      <c r="I65" s="131"/>
    </row>
    <row r="66" spans="1:9">
      <c r="A66" s="131"/>
      <c r="B66" s="131"/>
      <c r="C66" s="131"/>
      <c r="D66" s="131"/>
      <c r="E66" s="131"/>
      <c r="F66" s="131"/>
      <c r="G66" s="131"/>
      <c r="H66" s="131"/>
      <c r="I66" s="131"/>
    </row>
    <row r="67" spans="1:9">
      <c r="A67" s="131"/>
      <c r="B67" s="131"/>
      <c r="C67" s="131"/>
      <c r="D67" s="131"/>
      <c r="E67" s="131"/>
      <c r="F67" s="131"/>
      <c r="G67" s="131"/>
      <c r="H67" s="131"/>
      <c r="I67" s="131"/>
    </row>
    <row r="68" spans="1:9">
      <c r="A68" s="131"/>
      <c r="B68" s="131"/>
      <c r="C68" s="131"/>
      <c r="D68" s="131"/>
      <c r="E68" s="131"/>
      <c r="F68" s="131"/>
      <c r="G68" s="131"/>
      <c r="H68" s="131"/>
      <c r="I68" s="131"/>
    </row>
    <row r="69" spans="1:9">
      <c r="A69" s="131"/>
      <c r="B69" s="131"/>
      <c r="C69" s="131"/>
      <c r="D69" s="131"/>
      <c r="E69" s="131"/>
      <c r="F69" s="131"/>
      <c r="G69" s="131"/>
      <c r="H69" s="131"/>
      <c r="I69" s="131"/>
    </row>
    <row r="70" spans="1:9">
      <c r="A70" s="131"/>
      <c r="B70" s="131"/>
      <c r="C70" s="131"/>
      <c r="D70" s="131"/>
      <c r="E70" s="131"/>
      <c r="F70" s="131"/>
      <c r="G70" s="131"/>
      <c r="H70" s="131"/>
      <c r="I70" s="131"/>
    </row>
    <row r="71" spans="1:9">
      <c r="A71" s="131"/>
      <c r="B71" s="131"/>
      <c r="C71" s="131"/>
      <c r="D71" s="131"/>
      <c r="E71" s="131"/>
      <c r="F71" s="131"/>
      <c r="G71" s="131"/>
      <c r="H71" s="131"/>
      <c r="I71" s="131"/>
    </row>
    <row r="72" spans="1:9">
      <c r="A72" s="131"/>
      <c r="B72" s="131"/>
      <c r="C72" s="131"/>
      <c r="D72" s="131"/>
      <c r="E72" s="131"/>
      <c r="F72" s="131"/>
      <c r="G72" s="131"/>
      <c r="H72" s="131"/>
      <c r="I72" s="131"/>
    </row>
    <row r="73" spans="1:9">
      <c r="A73" s="131"/>
      <c r="B73" s="131"/>
      <c r="C73" s="131"/>
      <c r="D73" s="131"/>
      <c r="E73" s="131"/>
      <c r="F73" s="131"/>
      <c r="G73" s="131"/>
      <c r="H73" s="131"/>
      <c r="I73" s="131"/>
    </row>
    <row r="74" spans="1:9">
      <c r="A74" s="131"/>
      <c r="B74" s="131"/>
      <c r="C74" s="131"/>
      <c r="D74" s="131"/>
      <c r="E74" s="131"/>
      <c r="F74" s="131"/>
      <c r="G74" s="131"/>
      <c r="H74" s="131"/>
      <c r="I74" s="131"/>
    </row>
    <row r="75" spans="1:9">
      <c r="A75" s="131"/>
      <c r="B75" s="131"/>
      <c r="C75" s="131"/>
      <c r="D75" s="131"/>
      <c r="E75" s="131"/>
      <c r="F75" s="131"/>
      <c r="G75" s="131"/>
      <c r="H75" s="131"/>
      <c r="I75" s="131"/>
    </row>
    <row r="76" spans="1:9">
      <c r="A76" s="131"/>
      <c r="B76" s="131"/>
      <c r="C76" s="131"/>
      <c r="D76" s="131"/>
      <c r="E76" s="131"/>
      <c r="F76" s="131"/>
      <c r="G76" s="131"/>
      <c r="H76" s="131"/>
      <c r="I76" s="131"/>
    </row>
    <row r="77" spans="1:9">
      <c r="A77" s="131"/>
      <c r="B77" s="131"/>
      <c r="C77" s="131"/>
      <c r="D77" s="131"/>
      <c r="E77" s="131"/>
      <c r="F77" s="131"/>
      <c r="G77" s="131"/>
      <c r="H77" s="131"/>
      <c r="I77" s="131"/>
    </row>
    <row r="78" spans="1:9">
      <c r="A78" s="131"/>
      <c r="B78" s="131"/>
      <c r="C78" s="131"/>
      <c r="D78" s="131"/>
      <c r="E78" s="131"/>
      <c r="F78" s="131"/>
      <c r="G78" s="131"/>
      <c r="H78" s="131"/>
      <c r="I78" s="131"/>
    </row>
  </sheetData>
  <mergeCells count="4">
    <mergeCell ref="A5:I18"/>
    <mergeCell ref="K5:N14"/>
    <mergeCell ref="K22:N31"/>
    <mergeCell ref="A22:I78"/>
  </mergeCells>
  <pageMargins left="0.7" right="0.7" top="0.75" bottom="0.75" header="0.3" footer="0.3"/>
  <pageSetup paperSize="9" scale="64"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1"/>
  <sheetViews>
    <sheetView showGridLines="0" view="pageBreakPreview" zoomScale="60" zoomScaleNormal="100" workbookViewId="0">
      <selection activeCell="B35" sqref="B35:I35"/>
    </sheetView>
  </sheetViews>
  <sheetFormatPr defaultColWidth="9.28515625" defaultRowHeight="15"/>
  <cols>
    <col min="1" max="1" width="28.42578125" style="2" customWidth="1"/>
    <col min="2" max="2" width="8.28515625" style="12" customWidth="1"/>
    <col min="3" max="3" width="9.7109375" style="12" bestFit="1" customWidth="1"/>
    <col min="4" max="5" width="9.7109375" style="12" customWidth="1"/>
    <col min="6" max="6" width="10.57031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93" t="str">
        <f>+'Cover Page'!$B$29</f>
        <v>Annual Performance Report 2022</v>
      </c>
      <c r="B1" s="93"/>
      <c r="C1" s="93"/>
      <c r="D1" s="93"/>
      <c r="E1" s="93" t="s">
        <v>63</v>
      </c>
      <c r="F1" s="93"/>
      <c r="G1" s="93"/>
      <c r="H1" s="93"/>
      <c r="I1" s="93"/>
      <c r="J1" s="93"/>
      <c r="K1" s="93"/>
    </row>
    <row r="3" spans="1:11" ht="15.6">
      <c r="A3" s="1" t="s">
        <v>33</v>
      </c>
      <c r="B3" s="96"/>
      <c r="C3" s="96"/>
      <c r="D3" s="96"/>
      <c r="E3" s="96"/>
      <c r="F3" s="96"/>
      <c r="H3" s="284"/>
      <c r="I3" s="93"/>
      <c r="J3" s="93"/>
      <c r="K3" s="81" t="s">
        <v>3</v>
      </c>
    </row>
    <row r="4" spans="1:11">
      <c r="A4" s="18" t="s">
        <v>64</v>
      </c>
      <c r="B4" s="285">
        <v>118000</v>
      </c>
      <c r="C4" s="285"/>
      <c r="D4" s="20" t="s">
        <v>65</v>
      </c>
      <c r="E4" s="19"/>
      <c r="F4" s="20" t="s">
        <v>66</v>
      </c>
      <c r="G4" s="19">
        <v>8</v>
      </c>
      <c r="H4" s="70" t="s">
        <v>67</v>
      </c>
      <c r="I4" s="93"/>
      <c r="J4" s="93"/>
      <c r="K4" s="17" t="s">
        <v>68</v>
      </c>
    </row>
    <row r="5" spans="1:11">
      <c r="A5" s="21" t="s">
        <v>69</v>
      </c>
      <c r="B5" s="22">
        <v>2</v>
      </c>
      <c r="C5" s="23"/>
      <c r="D5" s="23" t="s">
        <v>70</v>
      </c>
      <c r="E5" s="23"/>
      <c r="F5" s="24">
        <v>1</v>
      </c>
      <c r="G5" s="25"/>
      <c r="H5" s="26"/>
      <c r="I5" s="93"/>
      <c r="J5" s="93"/>
      <c r="K5" s="17" t="s">
        <v>71</v>
      </c>
    </row>
    <row r="6" spans="1:11">
      <c r="A6" s="3"/>
      <c r="B6" s="96"/>
      <c r="C6" s="96"/>
      <c r="D6" s="96"/>
      <c r="E6" s="96"/>
      <c r="F6" s="96"/>
      <c r="H6" s="284"/>
      <c r="I6" s="93"/>
      <c r="J6" s="93"/>
      <c r="K6" s="132" t="s">
        <v>72</v>
      </c>
    </row>
    <row r="7" spans="1:11">
      <c r="A7" s="9" t="s">
        <v>73</v>
      </c>
      <c r="B7" s="286" t="s">
        <v>74</v>
      </c>
      <c r="C7" s="287" t="s">
        <v>75</v>
      </c>
      <c r="D7" s="287" t="s">
        <v>76</v>
      </c>
      <c r="E7" s="287" t="s">
        <v>77</v>
      </c>
      <c r="F7" s="287" t="s">
        <v>78</v>
      </c>
      <c r="G7" s="27" t="s">
        <v>79</v>
      </c>
      <c r="H7" s="288" t="s">
        <v>80</v>
      </c>
      <c r="I7" s="93"/>
      <c r="J7" s="93"/>
      <c r="K7" s="132"/>
    </row>
    <row r="8" spans="1:11" ht="15.75" customHeight="1">
      <c r="A8" s="289" t="s">
        <v>81</v>
      </c>
      <c r="B8" s="290" t="s">
        <v>82</v>
      </c>
      <c r="C8" s="291">
        <v>28056</v>
      </c>
      <c r="D8" s="291">
        <v>29182</v>
      </c>
      <c r="E8" s="291">
        <v>22671</v>
      </c>
      <c r="F8" s="291">
        <v>27242</v>
      </c>
      <c r="G8" s="28">
        <f>SUM(C8:F8)</f>
        <v>107151</v>
      </c>
      <c r="H8" s="292">
        <f t="shared" ref="H8:H14" si="0">IF(G8&gt;0,G8/$G$15,"-")</f>
        <v>0.96633418707838825</v>
      </c>
      <c r="I8" s="93"/>
      <c r="J8" s="93"/>
      <c r="K8" s="133" t="s">
        <v>83</v>
      </c>
    </row>
    <row r="9" spans="1:11">
      <c r="A9" s="293" t="s">
        <v>84</v>
      </c>
      <c r="B9" s="294"/>
      <c r="C9" s="295">
        <v>828</v>
      </c>
      <c r="D9" s="295">
        <v>1594</v>
      </c>
      <c r="E9" s="295">
        <v>557</v>
      </c>
      <c r="F9" s="295">
        <v>754</v>
      </c>
      <c r="G9" s="89">
        <f t="shared" ref="G9:G14" si="1">SUM(C9:F9)</f>
        <v>3733</v>
      </c>
      <c r="H9" s="296">
        <f t="shared" si="0"/>
        <v>3.3665812921611776E-2</v>
      </c>
      <c r="I9" s="93"/>
      <c r="J9" s="93"/>
      <c r="K9" s="133"/>
    </row>
    <row r="10" spans="1:11">
      <c r="A10" s="293" t="s">
        <v>85</v>
      </c>
      <c r="B10" s="294"/>
      <c r="C10" s="295">
        <v>0</v>
      </c>
      <c r="D10" s="295">
        <v>0</v>
      </c>
      <c r="E10" s="295">
        <v>0</v>
      </c>
      <c r="F10" s="295">
        <v>0</v>
      </c>
      <c r="G10" s="89">
        <f t="shared" si="1"/>
        <v>0</v>
      </c>
      <c r="H10" s="296" t="str">
        <f t="shared" si="0"/>
        <v>-</v>
      </c>
      <c r="I10" s="93"/>
      <c r="J10" s="93"/>
      <c r="K10" s="133"/>
    </row>
    <row r="11" spans="1:11">
      <c r="A11" s="293" t="s">
        <v>86</v>
      </c>
      <c r="B11" s="294"/>
      <c r="C11" s="295">
        <v>0</v>
      </c>
      <c r="D11" s="295">
        <v>0</v>
      </c>
      <c r="E11" s="295">
        <v>0</v>
      </c>
      <c r="F11" s="295">
        <v>0</v>
      </c>
      <c r="G11" s="89">
        <f t="shared" si="1"/>
        <v>0</v>
      </c>
      <c r="H11" s="296" t="str">
        <f t="shared" si="0"/>
        <v>-</v>
      </c>
      <c r="I11" s="93"/>
      <c r="J11" s="93"/>
      <c r="K11" s="133"/>
    </row>
    <row r="12" spans="1:11">
      <c r="A12" s="293" t="s">
        <v>87</v>
      </c>
      <c r="B12" s="294"/>
      <c r="C12" s="295">
        <v>0</v>
      </c>
      <c r="D12" s="295">
        <v>0</v>
      </c>
      <c r="E12" s="295">
        <v>0</v>
      </c>
      <c r="F12" s="295">
        <v>0</v>
      </c>
      <c r="G12" s="89">
        <f t="shared" si="1"/>
        <v>0</v>
      </c>
      <c r="H12" s="296" t="str">
        <f t="shared" si="0"/>
        <v>-</v>
      </c>
      <c r="I12" s="93"/>
      <c r="J12" s="93"/>
      <c r="K12" s="133"/>
    </row>
    <row r="13" spans="1:11">
      <c r="A13" s="293" t="s">
        <v>88</v>
      </c>
      <c r="B13" s="294"/>
      <c r="C13" s="295">
        <v>0</v>
      </c>
      <c r="D13" s="295">
        <v>0</v>
      </c>
      <c r="E13" s="295">
        <v>0</v>
      </c>
      <c r="F13" s="295">
        <v>0</v>
      </c>
      <c r="G13" s="89">
        <f t="shared" ref="G13" si="2">SUM(C13:F13)</f>
        <v>0</v>
      </c>
      <c r="H13" s="296" t="str">
        <f t="shared" si="0"/>
        <v>-</v>
      </c>
      <c r="I13" s="93"/>
      <c r="J13" s="93"/>
      <c r="K13" s="133"/>
    </row>
    <row r="14" spans="1:11">
      <c r="A14" s="293" t="s">
        <v>89</v>
      </c>
      <c r="B14" s="294"/>
      <c r="C14" s="295">
        <v>0</v>
      </c>
      <c r="D14" s="295">
        <v>0</v>
      </c>
      <c r="E14" s="295">
        <v>0</v>
      </c>
      <c r="F14" s="295">
        <v>0</v>
      </c>
      <c r="G14" s="89">
        <f t="shared" si="1"/>
        <v>0</v>
      </c>
      <c r="H14" s="296" t="str">
        <f t="shared" si="0"/>
        <v>-</v>
      </c>
      <c r="I14" s="93"/>
      <c r="J14" s="93"/>
      <c r="K14" s="133"/>
    </row>
    <row r="15" spans="1:11">
      <c r="A15" s="91" t="s">
        <v>90</v>
      </c>
      <c r="B15" s="294"/>
      <c r="C15" s="89">
        <f>SUM(C8:C14)</f>
        <v>28884</v>
      </c>
      <c r="D15" s="89">
        <f>SUM(D8:D14)</f>
        <v>30776</v>
      </c>
      <c r="E15" s="89">
        <f>SUM(E8:E14)</f>
        <v>23228</v>
      </c>
      <c r="F15" s="89">
        <f>SUM(F8:F14)</f>
        <v>27996</v>
      </c>
      <c r="G15" s="89">
        <f>SUM(G8:G14)</f>
        <v>110884</v>
      </c>
      <c r="H15" s="297">
        <v>1</v>
      </c>
      <c r="I15" s="93"/>
      <c r="J15" s="93"/>
      <c r="K15" s="133"/>
    </row>
    <row r="16" spans="1:11">
      <c r="A16" s="293" t="s">
        <v>91</v>
      </c>
      <c r="B16" s="294"/>
      <c r="C16" s="295"/>
      <c r="D16" s="295"/>
      <c r="E16" s="295"/>
      <c r="F16" s="295"/>
      <c r="G16" s="89">
        <f t="shared" ref="G16" si="3">SUM(C16:F16)</f>
        <v>0</v>
      </c>
      <c r="H16" s="296" t="str">
        <f t="shared" ref="H16" si="4">IF(G16&gt;0,G16/$G$15,"-")</f>
        <v>-</v>
      </c>
      <c r="I16" s="93"/>
      <c r="J16" s="93"/>
      <c r="K16" s="133"/>
    </row>
    <row r="17" spans="1:12">
      <c r="A17" s="293" t="s">
        <v>92</v>
      </c>
      <c r="B17" s="294"/>
      <c r="C17" s="295"/>
      <c r="D17" s="295"/>
      <c r="E17" s="295"/>
      <c r="F17" s="295"/>
      <c r="G17" s="89">
        <f t="shared" ref="G17" si="5">SUM(C17:F17)</f>
        <v>0</v>
      </c>
      <c r="H17" s="296" t="str">
        <f>IF(G17&gt;0,G17/$G$15,"-")</f>
        <v>-</v>
      </c>
      <c r="I17" s="93"/>
      <c r="J17" s="93"/>
      <c r="K17" s="93"/>
      <c r="L17" s="93"/>
    </row>
    <row r="18" spans="1:12">
      <c r="A18" s="92" t="s">
        <v>93</v>
      </c>
      <c r="B18" s="298"/>
      <c r="C18" s="90">
        <v>28553.05</v>
      </c>
      <c r="D18" s="90">
        <v>29650.82</v>
      </c>
      <c r="E18" s="90">
        <v>23112.92</v>
      </c>
      <c r="F18" s="90">
        <v>28599.86</v>
      </c>
      <c r="G18" s="30">
        <f>SUM(C18:F18)</f>
        <v>109916.65</v>
      </c>
      <c r="H18" s="299">
        <f>IF(G18&gt;0,G18/$G$15,"-")</f>
        <v>0.99127601818116229</v>
      </c>
      <c r="I18" s="93"/>
      <c r="J18" s="93"/>
      <c r="K18" s="93"/>
      <c r="L18" s="93"/>
    </row>
    <row r="19" spans="1:12">
      <c r="A19" s="3"/>
      <c r="B19" s="96"/>
      <c r="C19" s="284"/>
      <c r="D19" s="284"/>
      <c r="E19" s="284"/>
      <c r="F19" s="284"/>
      <c r="G19" s="31"/>
      <c r="H19" s="284"/>
      <c r="I19" s="93"/>
      <c r="J19" s="93"/>
      <c r="K19" s="93"/>
      <c r="L19" s="93"/>
    </row>
    <row r="20" spans="1:12">
      <c r="A20" s="9" t="s">
        <v>94</v>
      </c>
      <c r="B20" s="286" t="s">
        <v>74</v>
      </c>
      <c r="C20" s="300" t="s">
        <v>75</v>
      </c>
      <c r="D20" s="300" t="s">
        <v>76</v>
      </c>
      <c r="E20" s="300" t="s">
        <v>77</v>
      </c>
      <c r="F20" s="300" t="s">
        <v>78</v>
      </c>
      <c r="G20" s="32" t="s">
        <v>79</v>
      </c>
      <c r="H20" s="301" t="s">
        <v>95</v>
      </c>
      <c r="I20" s="93"/>
      <c r="J20" s="93"/>
      <c r="K20" s="93"/>
      <c r="L20" s="93"/>
    </row>
    <row r="21" spans="1:12" ht="15" customHeight="1">
      <c r="A21" s="302" t="s">
        <v>96</v>
      </c>
      <c r="B21" s="290" t="s">
        <v>97</v>
      </c>
      <c r="C21" s="291">
        <v>13300</v>
      </c>
      <c r="D21" s="291">
        <v>12801</v>
      </c>
      <c r="E21" s="291">
        <v>9117</v>
      </c>
      <c r="F21" s="291">
        <v>10451</v>
      </c>
      <c r="G21" s="28">
        <f t="shared" ref="G21:G24" si="6">SUM(C21:F21)</f>
        <v>45669</v>
      </c>
      <c r="H21" s="303">
        <f>IF(G21&gt;0,G21*1000/$G$18,"-")</f>
        <v>415.48755352351077</v>
      </c>
      <c r="I21" s="93"/>
      <c r="J21" s="93"/>
      <c r="K21" s="93"/>
      <c r="L21" s="93"/>
    </row>
    <row r="22" spans="1:12">
      <c r="A22" s="97" t="s">
        <v>98</v>
      </c>
      <c r="B22" s="294"/>
      <c r="C22" s="304">
        <v>10978.9</v>
      </c>
      <c r="D22" s="304">
        <v>10441</v>
      </c>
      <c r="E22" s="304">
        <v>7277.7</v>
      </c>
      <c r="F22" s="304">
        <v>8482.7999999999993</v>
      </c>
      <c r="G22" s="29">
        <f>SUM(C22:F22)</f>
        <v>37180.400000000001</v>
      </c>
      <c r="H22" s="305">
        <f>IF(G22&gt;0,G22*1000/$G$18,"-")</f>
        <v>338.25994514934729</v>
      </c>
      <c r="I22" s="93"/>
      <c r="J22" s="93"/>
      <c r="K22" s="93"/>
      <c r="L22" s="93"/>
    </row>
    <row r="23" spans="1:12">
      <c r="A23" s="97" t="s">
        <v>99</v>
      </c>
      <c r="B23" s="294"/>
      <c r="C23" s="304">
        <v>2321.1</v>
      </c>
      <c r="D23" s="304">
        <v>2360</v>
      </c>
      <c r="E23" s="304">
        <v>1839.3</v>
      </c>
      <c r="F23" s="304">
        <v>1968.2</v>
      </c>
      <c r="G23" s="29">
        <f>SUM(C23:F23)</f>
        <v>8488.6</v>
      </c>
      <c r="H23" s="305">
        <f>IF(G23&gt;0,G23*1000/$G$18,"-")</f>
        <v>77.227608374163523</v>
      </c>
      <c r="I23" s="93"/>
      <c r="J23" s="93"/>
      <c r="K23" s="93"/>
      <c r="L23" s="93"/>
    </row>
    <row r="24" spans="1:12">
      <c r="A24" s="97" t="s">
        <v>100</v>
      </c>
      <c r="B24" s="294"/>
      <c r="C24" s="304">
        <v>41.1</v>
      </c>
      <c r="D24" s="304">
        <v>7.3</v>
      </c>
      <c r="E24" s="304">
        <v>166.7</v>
      </c>
      <c r="F24" s="304">
        <v>346.1</v>
      </c>
      <c r="G24" s="29">
        <f t="shared" si="6"/>
        <v>561.20000000000005</v>
      </c>
      <c r="H24" s="305">
        <f>IF(G24&gt;0,G24*1000/$G$18,"-")</f>
        <v>5.1056869000283402</v>
      </c>
      <c r="I24" s="93"/>
      <c r="J24" s="93"/>
      <c r="K24" s="93"/>
      <c r="L24" s="93"/>
    </row>
    <row r="25" spans="1:12">
      <c r="A25" s="97" t="s">
        <v>101</v>
      </c>
      <c r="B25" s="94" t="s">
        <v>80</v>
      </c>
      <c r="C25" s="306">
        <f>IF(C21&gt;0,1-C22/(C21+C24),"-")</f>
        <v>0.17706186146569625</v>
      </c>
      <c r="D25" s="306">
        <f>IF(D21&gt;0,1-D22/(D21+D24),"-")</f>
        <v>0.18482546473770911</v>
      </c>
      <c r="E25" s="306">
        <f>IF(E21&gt;0,1-E22/(E21+E24),"-")</f>
        <v>0.21607764145760855</v>
      </c>
      <c r="F25" s="306">
        <f>IF(F21&gt;0,1-F22/(F21+F24),"-")</f>
        <v>0.21434459252947557</v>
      </c>
      <c r="G25" s="306">
        <f>IF(G21&gt;0,1-G22/(G21+G24),"-")</f>
        <v>0.19575515572071922</v>
      </c>
      <c r="H25" s="305"/>
      <c r="I25" s="93"/>
      <c r="J25" s="93"/>
      <c r="K25" s="93"/>
      <c r="L25" s="93"/>
    </row>
    <row r="26" spans="1:12">
      <c r="A26" s="97" t="s">
        <v>102</v>
      </c>
      <c r="B26" s="307" t="s">
        <v>97</v>
      </c>
      <c r="C26" s="304"/>
      <c r="D26" s="304"/>
      <c r="E26" s="304"/>
      <c r="F26" s="304"/>
      <c r="G26" s="29">
        <f t="shared" ref="G26:G27" si="7">SUM(C26:F26)</f>
        <v>0</v>
      </c>
      <c r="H26" s="305" t="str">
        <f>IF(G26&gt;0,G26*1000/$G$18,"-")</f>
        <v>-</v>
      </c>
      <c r="I26" s="93"/>
      <c r="J26" s="93"/>
      <c r="K26" s="93"/>
      <c r="L26" s="93"/>
    </row>
    <row r="27" spans="1:12">
      <c r="A27" s="97" t="s">
        <v>103</v>
      </c>
      <c r="B27" s="307"/>
      <c r="C27" s="304"/>
      <c r="D27" s="304"/>
      <c r="E27" s="304"/>
      <c r="F27" s="304"/>
      <c r="G27" s="29">
        <f t="shared" si="7"/>
        <v>0</v>
      </c>
      <c r="H27" s="305" t="str">
        <f>IF(G27&gt;0,G27*1000/$G$18,"-")</f>
        <v>-</v>
      </c>
      <c r="I27" s="93"/>
      <c r="J27" s="93"/>
      <c r="K27" s="17"/>
      <c r="L27" s="17"/>
    </row>
    <row r="28" spans="1:12">
      <c r="A28" s="98" t="s">
        <v>104</v>
      </c>
      <c r="B28" s="308"/>
      <c r="C28" s="309"/>
      <c r="D28" s="309"/>
      <c r="E28" s="309"/>
      <c r="F28" s="309"/>
      <c r="G28" s="310" t="s">
        <v>105</v>
      </c>
      <c r="H28" s="311"/>
      <c r="I28" s="93"/>
      <c r="J28" s="93"/>
      <c r="K28" s="93"/>
      <c r="L28" s="17"/>
    </row>
    <row r="29" spans="1:12">
      <c r="A29" s="3"/>
      <c r="B29" s="96"/>
      <c r="C29" s="284"/>
      <c r="D29" s="284"/>
      <c r="E29" s="284"/>
      <c r="F29" s="284"/>
      <c r="G29" s="31"/>
      <c r="H29" s="284"/>
      <c r="I29" s="93"/>
      <c r="J29" s="93"/>
      <c r="K29" s="93"/>
      <c r="L29" s="17"/>
    </row>
    <row r="30" spans="1:12">
      <c r="A30" s="9" t="s">
        <v>106</v>
      </c>
      <c r="B30" s="312" t="s">
        <v>74</v>
      </c>
      <c r="C30" s="300" t="s">
        <v>75</v>
      </c>
      <c r="D30" s="300" t="s">
        <v>76</v>
      </c>
      <c r="E30" s="300" t="s">
        <v>77</v>
      </c>
      <c r="F30" s="300" t="s">
        <v>78</v>
      </c>
      <c r="G30" s="32" t="s">
        <v>79</v>
      </c>
      <c r="H30" s="313" t="s">
        <v>107</v>
      </c>
      <c r="I30" s="93"/>
      <c r="J30" s="93"/>
      <c r="K30" s="93"/>
      <c r="L30" s="17"/>
    </row>
    <row r="31" spans="1:12" ht="15" customHeight="1">
      <c r="A31" s="302" t="s">
        <v>108</v>
      </c>
      <c r="B31" s="290" t="s">
        <v>82</v>
      </c>
      <c r="C31" s="291">
        <v>882.58</v>
      </c>
      <c r="D31" s="291">
        <v>780.74</v>
      </c>
      <c r="E31" s="291">
        <v>645.32000000000005</v>
      </c>
      <c r="F31" s="291">
        <v>755.72</v>
      </c>
      <c r="G31" s="28">
        <f t="shared" ref="G31:G32" si="8">SUM(C31:F31)</f>
        <v>3064.3600000000006</v>
      </c>
      <c r="H31" s="292">
        <f>IF(G31&gt;0,G31/$G$15,"-")</f>
        <v>2.7635727426860508E-2</v>
      </c>
      <c r="I31" s="93"/>
      <c r="J31" s="93"/>
      <c r="K31" s="17"/>
      <c r="L31" s="17"/>
    </row>
    <row r="32" spans="1:12" ht="15" customHeight="1">
      <c r="A32" s="97" t="s">
        <v>109</v>
      </c>
      <c r="B32" s="294"/>
      <c r="C32" s="295">
        <v>4601.62</v>
      </c>
      <c r="D32" s="295">
        <v>5015.47</v>
      </c>
      <c r="E32" s="295">
        <v>3914.48</v>
      </c>
      <c r="F32" s="295">
        <v>444.79</v>
      </c>
      <c r="G32" s="89">
        <f t="shared" si="8"/>
        <v>13976.36</v>
      </c>
      <c r="H32" s="296">
        <f>IF(G32&gt;0,G32/$G$15,"-")</f>
        <v>0.12604487572598391</v>
      </c>
      <c r="I32" s="93"/>
      <c r="J32" s="93"/>
      <c r="K32" s="17"/>
      <c r="L32" s="17"/>
    </row>
    <row r="33" spans="1:8" ht="15" customHeight="1">
      <c r="A33" s="98" t="s">
        <v>110</v>
      </c>
      <c r="B33" s="314"/>
      <c r="C33" s="315">
        <v>381.58</v>
      </c>
      <c r="D33" s="315">
        <v>459.4</v>
      </c>
      <c r="E33" s="315">
        <v>298.38</v>
      </c>
      <c r="F33" s="315">
        <v>400.96</v>
      </c>
      <c r="G33" s="30">
        <f t="shared" ref="G33" si="9">SUM(C33:F33)</f>
        <v>1540.3200000000002</v>
      </c>
      <c r="H33" s="299">
        <f>IF(G33&gt;0,G33/$G$15,"-")</f>
        <v>1.3891273763572744E-2</v>
      </c>
    </row>
    <row r="34" spans="1:8">
      <c r="A34" s="96"/>
      <c r="B34" s="96"/>
      <c r="C34" s="284"/>
      <c r="D34" s="284"/>
      <c r="E34" s="284"/>
      <c r="F34" s="284"/>
      <c r="G34" s="31"/>
      <c r="H34" s="284"/>
    </row>
    <row r="35" spans="1:8">
      <c r="A35" s="9" t="s">
        <v>111</v>
      </c>
      <c r="B35" s="316" t="s">
        <v>8</v>
      </c>
      <c r="C35" s="287" t="s">
        <v>75</v>
      </c>
      <c r="D35" s="287" t="s">
        <v>76</v>
      </c>
      <c r="E35" s="287" t="s">
        <v>77</v>
      </c>
      <c r="F35" s="287" t="s">
        <v>78</v>
      </c>
      <c r="G35" s="27" t="s">
        <v>79</v>
      </c>
      <c r="H35" s="301" t="s">
        <v>112</v>
      </c>
    </row>
    <row r="36" spans="1:8" ht="15.6" customHeight="1">
      <c r="A36" s="302" t="s">
        <v>113</v>
      </c>
      <c r="B36" s="94" t="s">
        <v>114</v>
      </c>
      <c r="C36" s="291">
        <v>21891</v>
      </c>
      <c r="D36" s="291">
        <v>21716</v>
      </c>
      <c r="E36" s="291">
        <v>19794</v>
      </c>
      <c r="F36" s="291">
        <v>24266</v>
      </c>
      <c r="G36" s="28">
        <f t="shared" ref="G36:G47" si="10">SUM(C36:F36)</f>
        <v>87667</v>
      </c>
      <c r="H36" s="317">
        <f>IF(G36&gt;0,G36/$G$15,"-")</f>
        <v>0.79061902528768802</v>
      </c>
    </row>
    <row r="37" spans="1:8">
      <c r="A37" s="97" t="s">
        <v>115</v>
      </c>
      <c r="B37" s="94" t="s">
        <v>116</v>
      </c>
      <c r="C37" s="304">
        <v>0</v>
      </c>
      <c r="D37" s="304">
        <v>0</v>
      </c>
      <c r="E37" s="304">
        <v>0</v>
      </c>
      <c r="F37" s="304">
        <v>0</v>
      </c>
      <c r="G37" s="29">
        <f t="shared" si="10"/>
        <v>0</v>
      </c>
      <c r="H37" s="317" t="str">
        <f>IF(G37&gt;0,G37/$G$15,"-")</f>
        <v>-</v>
      </c>
    </row>
    <row r="38" spans="1:8" ht="15.6" customHeight="1">
      <c r="A38" s="97" t="s">
        <v>117</v>
      </c>
      <c r="B38" s="94" t="s">
        <v>118</v>
      </c>
      <c r="C38" s="304">
        <v>0</v>
      </c>
      <c r="D38" s="304">
        <v>0</v>
      </c>
      <c r="E38" s="304">
        <v>0</v>
      </c>
      <c r="F38" s="304">
        <v>0</v>
      </c>
      <c r="G38" s="29">
        <f t="shared" si="10"/>
        <v>0</v>
      </c>
      <c r="H38" s="317" t="str">
        <f>IF(G38&gt;0,G38/$G$15,"-")</f>
        <v>-</v>
      </c>
    </row>
    <row r="39" spans="1:8" ht="15.6" customHeight="1">
      <c r="A39" s="97" t="s">
        <v>119</v>
      </c>
      <c r="B39" s="94" t="s">
        <v>118</v>
      </c>
      <c r="C39" s="304">
        <v>70000</v>
      </c>
      <c r="D39" s="304">
        <v>69000</v>
      </c>
      <c r="E39" s="304">
        <v>38000</v>
      </c>
      <c r="F39" s="304">
        <v>37000</v>
      </c>
      <c r="G39" s="29">
        <f t="shared" ref="G39" si="11">SUM(C39:F39)</f>
        <v>214000</v>
      </c>
      <c r="H39" s="317">
        <f>IF(G39&gt;0,G39/$G$15,"-")</f>
        <v>1.929944807185888</v>
      </c>
    </row>
    <row r="40" spans="1:8">
      <c r="A40" s="97" t="s">
        <v>120</v>
      </c>
      <c r="B40" s="94" t="s">
        <v>118</v>
      </c>
      <c r="C40" s="304">
        <v>3000</v>
      </c>
      <c r="D40" s="304">
        <v>2000</v>
      </c>
      <c r="E40" s="304">
        <v>4000</v>
      </c>
      <c r="F40" s="304">
        <v>6000</v>
      </c>
      <c r="G40" s="29">
        <f t="shared" si="10"/>
        <v>15000</v>
      </c>
      <c r="H40" s="317">
        <f t="shared" ref="H40:H47" si="12">IF(G40&gt;0,G40/$G$15,"-")</f>
        <v>0.13527650517658094</v>
      </c>
    </row>
    <row r="41" spans="1:8">
      <c r="A41" s="97" t="s">
        <v>121</v>
      </c>
      <c r="B41" s="94" t="s">
        <v>118</v>
      </c>
      <c r="C41" s="304">
        <v>256860</v>
      </c>
      <c r="D41" s="304">
        <v>200620</v>
      </c>
      <c r="E41" s="304">
        <v>167520</v>
      </c>
      <c r="F41" s="304">
        <v>200760</v>
      </c>
      <c r="G41" s="29">
        <f t="shared" si="10"/>
        <v>825760</v>
      </c>
      <c r="H41" s="317">
        <f t="shared" si="12"/>
        <v>7.4470617943075643</v>
      </c>
    </row>
    <row r="42" spans="1:8">
      <c r="A42" s="97" t="s">
        <v>122</v>
      </c>
      <c r="B42" s="94" t="s">
        <v>116</v>
      </c>
      <c r="C42" s="304">
        <v>30060</v>
      </c>
      <c r="D42" s="304">
        <v>21830</v>
      </c>
      <c r="E42" s="304">
        <v>35880</v>
      </c>
      <c r="F42" s="304">
        <v>31140</v>
      </c>
      <c r="G42" s="29">
        <f t="shared" si="10"/>
        <v>118910</v>
      </c>
      <c r="H42" s="317">
        <f t="shared" si="12"/>
        <v>1.0723819487031492</v>
      </c>
    </row>
    <row r="43" spans="1:8">
      <c r="A43" s="97" t="s">
        <v>123</v>
      </c>
      <c r="B43" s="94" t="s">
        <v>124</v>
      </c>
      <c r="C43" s="304"/>
      <c r="D43" s="304">
        <v>0</v>
      </c>
      <c r="E43" s="304">
        <v>0</v>
      </c>
      <c r="F43" s="304">
        <v>0</v>
      </c>
      <c r="G43" s="29">
        <f t="shared" si="10"/>
        <v>0</v>
      </c>
      <c r="H43" s="317" t="str">
        <f t="shared" si="12"/>
        <v>-</v>
      </c>
    </row>
    <row r="44" spans="1:8">
      <c r="A44" s="97" t="s">
        <v>125</v>
      </c>
      <c r="B44" s="94" t="s">
        <v>116</v>
      </c>
      <c r="C44" s="304">
        <v>3142</v>
      </c>
      <c r="D44" s="304">
        <v>3551</v>
      </c>
      <c r="E44" s="304">
        <v>4258</v>
      </c>
      <c r="F44" s="304">
        <v>4717</v>
      </c>
      <c r="G44" s="29">
        <f t="shared" si="10"/>
        <v>15668</v>
      </c>
      <c r="H44" s="317">
        <f t="shared" si="12"/>
        <v>0.14130081887377799</v>
      </c>
    </row>
    <row r="45" spans="1:8">
      <c r="A45" s="97" t="s">
        <v>126</v>
      </c>
      <c r="B45" s="94" t="s">
        <v>116</v>
      </c>
      <c r="C45" s="304">
        <v>3143</v>
      </c>
      <c r="D45" s="304">
        <v>3119</v>
      </c>
      <c r="E45" s="304">
        <v>3840</v>
      </c>
      <c r="F45" s="304">
        <v>4252</v>
      </c>
      <c r="G45" s="29">
        <f t="shared" si="10"/>
        <v>14354</v>
      </c>
      <c r="H45" s="317">
        <f t="shared" si="12"/>
        <v>0.1294505970203095</v>
      </c>
    </row>
    <row r="46" spans="1:8">
      <c r="A46" s="97" t="s">
        <v>127</v>
      </c>
      <c r="B46" s="94" t="s">
        <v>116</v>
      </c>
      <c r="C46" s="304">
        <v>115.5</v>
      </c>
      <c r="D46" s="304">
        <v>123</v>
      </c>
      <c r="E46" s="304">
        <v>69</v>
      </c>
      <c r="F46" s="304">
        <v>86.5</v>
      </c>
      <c r="G46" s="29">
        <f t="shared" si="10"/>
        <v>394</v>
      </c>
      <c r="H46" s="317">
        <f t="shared" si="12"/>
        <v>3.5532628693048592E-3</v>
      </c>
    </row>
    <row r="47" spans="1:8">
      <c r="A47" s="98" t="s">
        <v>128</v>
      </c>
      <c r="B47" s="99" t="s">
        <v>116</v>
      </c>
      <c r="C47" s="315">
        <v>88.5</v>
      </c>
      <c r="D47" s="315">
        <v>38</v>
      </c>
      <c r="E47" s="315">
        <v>50.5</v>
      </c>
      <c r="F47" s="315">
        <v>52</v>
      </c>
      <c r="G47" s="30">
        <f t="shared" si="10"/>
        <v>229</v>
      </c>
      <c r="H47" s="318">
        <f t="shared" si="12"/>
        <v>2.0652213123624687E-3</v>
      </c>
    </row>
    <row r="48" spans="1:8">
      <c r="A48" s="96"/>
      <c r="B48" s="96"/>
      <c r="C48" s="284">
        <v>1</v>
      </c>
      <c r="D48" s="284"/>
      <c r="E48" s="284"/>
      <c r="F48" s="284"/>
      <c r="G48" s="31"/>
      <c r="H48" s="284"/>
    </row>
    <row r="49" spans="1:10">
      <c r="A49" s="9" t="s">
        <v>129</v>
      </c>
      <c r="B49" s="319" t="s">
        <v>130</v>
      </c>
      <c r="C49" s="300" t="s">
        <v>75</v>
      </c>
      <c r="D49" s="300" t="s">
        <v>76</v>
      </c>
      <c r="E49" s="300" t="s">
        <v>77</v>
      </c>
      <c r="F49" s="300" t="s">
        <v>78</v>
      </c>
      <c r="G49" s="32" t="s">
        <v>79</v>
      </c>
      <c r="H49" s="301"/>
      <c r="I49" s="93"/>
      <c r="J49" s="86" t="s">
        <v>131</v>
      </c>
    </row>
    <row r="50" spans="1:10" ht="14.25" customHeight="1">
      <c r="A50" s="320" t="s">
        <v>132</v>
      </c>
      <c r="B50" s="300">
        <v>1</v>
      </c>
      <c r="C50" s="291">
        <v>2030</v>
      </c>
      <c r="D50" s="291">
        <v>2183</v>
      </c>
      <c r="E50" s="291">
        <v>1798</v>
      </c>
      <c r="F50" s="291">
        <v>1960</v>
      </c>
      <c r="G50" s="28">
        <f t="shared" ref="G50:G58" si="13">SUM(C50:F50)</f>
        <v>7971</v>
      </c>
      <c r="H50" s="292">
        <f>(G50)/J50</f>
        <v>0.90993150684931512</v>
      </c>
      <c r="I50" s="93"/>
      <c r="J50" s="88">
        <v>8760</v>
      </c>
    </row>
    <row r="51" spans="1:10" ht="14.25" customHeight="1">
      <c r="A51" s="321"/>
      <c r="B51" s="284">
        <v>2</v>
      </c>
      <c r="C51" s="295">
        <v>2056.5</v>
      </c>
      <c r="D51" s="295">
        <v>2094</v>
      </c>
      <c r="E51" s="295">
        <v>1688</v>
      </c>
      <c r="F51" s="295">
        <v>2036.5</v>
      </c>
      <c r="G51" s="29">
        <f t="shared" si="13"/>
        <v>7875</v>
      </c>
      <c r="H51" s="296">
        <f>(G51)/J50</f>
        <v>0.89897260273972601</v>
      </c>
      <c r="I51" s="93"/>
      <c r="J51" s="93"/>
    </row>
    <row r="52" spans="1:10" ht="14.25" customHeight="1">
      <c r="A52" s="97" t="s">
        <v>133</v>
      </c>
      <c r="B52" s="284"/>
      <c r="C52" s="295">
        <f>AVERAGE(C50:C51)</f>
        <v>2043.25</v>
      </c>
      <c r="D52" s="295">
        <f t="shared" ref="D52:F52" si="14">AVERAGE(D50:D51)</f>
        <v>2138.5</v>
      </c>
      <c r="E52" s="295">
        <f t="shared" si="14"/>
        <v>1743</v>
      </c>
      <c r="F52" s="295">
        <f t="shared" si="14"/>
        <v>1998.25</v>
      </c>
      <c r="G52" s="29">
        <f>AVERAGE(G50:G51)</f>
        <v>7923</v>
      </c>
      <c r="H52" s="87">
        <f>(G52)/J50</f>
        <v>0.90445205479452051</v>
      </c>
      <c r="I52" s="93"/>
      <c r="J52" s="93"/>
    </row>
    <row r="53" spans="1:10" ht="14.25" customHeight="1">
      <c r="A53" s="97" t="s">
        <v>134</v>
      </c>
      <c r="B53" s="284">
        <v>1</v>
      </c>
      <c r="C53" s="295">
        <v>2092</v>
      </c>
      <c r="D53" s="295">
        <v>2176</v>
      </c>
      <c r="E53" s="295">
        <v>1818.5</v>
      </c>
      <c r="F53" s="295">
        <v>1817.5</v>
      </c>
      <c r="G53" s="29">
        <f t="shared" si="13"/>
        <v>7904</v>
      </c>
      <c r="H53" s="296">
        <f>(G53)/J50</f>
        <v>0.90228310502283104</v>
      </c>
      <c r="I53" s="93"/>
      <c r="J53" s="93"/>
    </row>
    <row r="54" spans="1:10">
      <c r="A54" s="97" t="s">
        <v>135</v>
      </c>
      <c r="B54" s="284"/>
      <c r="C54" s="304"/>
      <c r="D54" s="304"/>
      <c r="E54" s="304"/>
      <c r="F54" s="304"/>
      <c r="G54" s="29">
        <f t="shared" si="13"/>
        <v>0</v>
      </c>
      <c r="H54" s="296" t="str">
        <f>IF(B54&gt;0,#REF!/J50,"n/a")</f>
        <v>n/a</v>
      </c>
      <c r="I54" s="93"/>
      <c r="J54" s="93"/>
    </row>
    <row r="55" spans="1:10">
      <c r="A55" s="97" t="s">
        <v>136</v>
      </c>
      <c r="B55" s="284" t="s">
        <v>137</v>
      </c>
      <c r="C55" s="304">
        <v>24.67</v>
      </c>
      <c r="D55" s="304">
        <v>24.77</v>
      </c>
      <c r="E55" s="304">
        <v>26.09</v>
      </c>
      <c r="F55" s="304">
        <v>23.95</v>
      </c>
      <c r="G55" s="29"/>
      <c r="H55" s="322" t="s">
        <v>138</v>
      </c>
      <c r="I55" s="93"/>
      <c r="J55" s="93"/>
    </row>
    <row r="56" spans="1:10">
      <c r="A56" s="97" t="s">
        <v>139</v>
      </c>
      <c r="B56" s="284" t="s">
        <v>140</v>
      </c>
      <c r="C56" s="304">
        <v>2</v>
      </c>
      <c r="D56" s="304">
        <v>1</v>
      </c>
      <c r="E56" s="304">
        <v>0</v>
      </c>
      <c r="F56" s="304">
        <v>0</v>
      </c>
      <c r="G56" s="29">
        <f t="shared" si="13"/>
        <v>3</v>
      </c>
      <c r="H56" s="305" t="str">
        <f>IF(G56&gt;0,"yes","no")</f>
        <v>yes</v>
      </c>
      <c r="I56" s="93"/>
      <c r="J56" s="93"/>
    </row>
    <row r="57" spans="1:10">
      <c r="A57" s="97" t="s">
        <v>141</v>
      </c>
      <c r="B57" s="284" t="s">
        <v>142</v>
      </c>
      <c r="C57" s="304">
        <v>6</v>
      </c>
      <c r="D57" s="304">
        <v>1</v>
      </c>
      <c r="E57" s="304">
        <v>0</v>
      </c>
      <c r="F57" s="304">
        <v>0</v>
      </c>
      <c r="G57" s="29">
        <f t="shared" si="13"/>
        <v>7</v>
      </c>
      <c r="H57" s="323">
        <f>+(G57)/J50</f>
        <v>7.9908675799086762E-4</v>
      </c>
      <c r="I57" s="93"/>
      <c r="J57" s="93"/>
    </row>
    <row r="58" spans="1:10">
      <c r="A58" s="98" t="s">
        <v>143</v>
      </c>
      <c r="B58" s="324" t="s">
        <v>140</v>
      </c>
      <c r="C58" s="315">
        <v>5</v>
      </c>
      <c r="D58" s="315">
        <v>2</v>
      </c>
      <c r="E58" s="315">
        <v>1</v>
      </c>
      <c r="F58" s="315">
        <v>10</v>
      </c>
      <c r="G58" s="30">
        <f t="shared" si="13"/>
        <v>18</v>
      </c>
      <c r="H58" s="325" t="str">
        <f>IF(G58&gt;0,"yes","no")</f>
        <v>yes</v>
      </c>
      <c r="I58" s="93"/>
      <c r="J58" s="93"/>
    </row>
    <row r="71" spans="6:6">
      <c r="F71" s="3"/>
    </row>
  </sheetData>
  <mergeCells count="10">
    <mergeCell ref="B4:C4"/>
    <mergeCell ref="B8:B17"/>
    <mergeCell ref="B21:B24"/>
    <mergeCell ref="B26:B27"/>
    <mergeCell ref="A50:A51"/>
    <mergeCell ref="K6:K7"/>
    <mergeCell ref="K8:K16"/>
    <mergeCell ref="B31:B33"/>
    <mergeCell ref="C28:F28"/>
    <mergeCell ref="G28:H28"/>
  </mergeCells>
  <phoneticPr fontId="25" type="noConversion"/>
  <pageMargins left="0.7" right="0.7" top="0.75" bottom="0.75" header="0.3" footer="0.3"/>
  <pageSetup paperSize="9" scale="83" orientation="portrait" r:id="rId1"/>
  <headerFooter scaleWithDoc="0">
    <oddFooter>&amp;C&amp;"Arial,Regular"Page &amp;P</oddFooter>
  </headerFooter>
  <ignoredErrors>
    <ignoredError sqref="G53 G51"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view="pageBreakPreview" zoomScale="60" zoomScaleNormal="100" workbookViewId="0">
      <selection activeCell="A31" sqref="A31:I52"/>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'Operational Data'!E1</f>
        <v>Wolverhampton EfW</v>
      </c>
      <c r="F1" s="93"/>
      <c r="G1" s="93"/>
      <c r="H1" s="93"/>
      <c r="I1" s="93"/>
      <c r="J1" s="93"/>
      <c r="K1" s="93"/>
      <c r="L1" s="93"/>
      <c r="M1" s="93"/>
      <c r="N1" s="93"/>
    </row>
    <row r="3" spans="1:14" ht="15.6">
      <c r="A3" s="51" t="s">
        <v>144</v>
      </c>
      <c r="B3" s="277"/>
      <c r="C3" s="277"/>
      <c r="D3" s="277"/>
      <c r="E3" s="277"/>
      <c r="F3" s="277"/>
      <c r="G3" s="277"/>
      <c r="H3" s="277"/>
      <c r="I3" s="278"/>
      <c r="J3" s="93"/>
      <c r="K3" s="81" t="s">
        <v>3</v>
      </c>
      <c r="L3" s="93"/>
      <c r="M3" s="93"/>
      <c r="N3" s="93"/>
    </row>
    <row r="4" spans="1:14">
      <c r="A4" s="279"/>
      <c r="B4" s="280"/>
      <c r="C4" s="280"/>
      <c r="D4" s="280"/>
      <c r="E4" s="280"/>
      <c r="F4" s="280"/>
      <c r="G4" s="280"/>
      <c r="H4" s="280"/>
      <c r="I4" s="281"/>
      <c r="J4" s="93"/>
      <c r="K4" s="93"/>
      <c r="L4" s="93"/>
      <c r="M4" s="93"/>
      <c r="N4" s="93"/>
    </row>
    <row r="5" spans="1:14" ht="15.75" customHeight="1">
      <c r="A5" s="128" t="s">
        <v>145</v>
      </c>
      <c r="B5" s="130"/>
      <c r="C5" s="130"/>
      <c r="D5" s="130"/>
      <c r="E5" s="130"/>
      <c r="F5" s="130"/>
      <c r="G5" s="130"/>
      <c r="H5" s="130"/>
      <c r="I5" s="194"/>
      <c r="J5" s="93"/>
      <c r="K5" s="129" t="s">
        <v>146</v>
      </c>
      <c r="L5" s="129"/>
      <c r="M5" s="129"/>
      <c r="N5" s="129"/>
    </row>
    <row r="6" spans="1:14">
      <c r="A6" s="282"/>
      <c r="B6" s="131"/>
      <c r="C6" s="131"/>
      <c r="D6" s="131"/>
      <c r="E6" s="131"/>
      <c r="F6" s="131"/>
      <c r="G6" s="131"/>
      <c r="H6" s="131"/>
      <c r="I6" s="283"/>
      <c r="J6" s="93"/>
      <c r="K6" s="129"/>
      <c r="L6" s="129"/>
      <c r="M6" s="129"/>
      <c r="N6" s="129"/>
    </row>
    <row r="7" spans="1:14">
      <c r="A7" s="282"/>
      <c r="B7" s="131"/>
      <c r="C7" s="131"/>
      <c r="D7" s="131"/>
      <c r="E7" s="131"/>
      <c r="F7" s="131"/>
      <c r="G7" s="131"/>
      <c r="H7" s="131"/>
      <c r="I7" s="283"/>
      <c r="J7" s="93"/>
      <c r="K7" s="129"/>
      <c r="L7" s="129"/>
      <c r="M7" s="129"/>
      <c r="N7" s="129"/>
    </row>
    <row r="8" spans="1:14" ht="15.75" customHeight="1">
      <c r="A8" s="282"/>
      <c r="B8" s="131"/>
      <c r="C8" s="131"/>
      <c r="D8" s="131"/>
      <c r="E8" s="131"/>
      <c r="F8" s="131"/>
      <c r="G8" s="131"/>
      <c r="H8" s="131"/>
      <c r="I8" s="283"/>
      <c r="J8" s="93"/>
      <c r="K8" s="129"/>
      <c r="L8" s="129"/>
      <c r="M8" s="129"/>
      <c r="N8" s="129"/>
    </row>
    <row r="9" spans="1:14" ht="15.75" customHeight="1">
      <c r="A9" s="282"/>
      <c r="B9" s="131"/>
      <c r="C9" s="131"/>
      <c r="D9" s="131"/>
      <c r="E9" s="131"/>
      <c r="F9" s="131"/>
      <c r="G9" s="131"/>
      <c r="H9" s="131"/>
      <c r="I9" s="283"/>
      <c r="J9" s="93"/>
      <c r="K9" s="129"/>
      <c r="L9" s="129"/>
      <c r="M9" s="129"/>
      <c r="N9" s="129"/>
    </row>
    <row r="10" spans="1:14" ht="15.75" customHeight="1">
      <c r="A10" s="282"/>
      <c r="B10" s="131"/>
      <c r="C10" s="131"/>
      <c r="D10" s="131"/>
      <c r="E10" s="131"/>
      <c r="F10" s="131"/>
      <c r="G10" s="131"/>
      <c r="H10" s="131"/>
      <c r="I10" s="283"/>
      <c r="J10" s="93"/>
      <c r="K10" s="129"/>
      <c r="L10" s="129"/>
      <c r="M10" s="129"/>
      <c r="N10" s="129"/>
    </row>
    <row r="11" spans="1:14" ht="15.75" customHeight="1">
      <c r="A11" s="282"/>
      <c r="B11" s="131"/>
      <c r="C11" s="131"/>
      <c r="D11" s="131"/>
      <c r="E11" s="131"/>
      <c r="F11" s="131"/>
      <c r="G11" s="131"/>
      <c r="H11" s="131"/>
      <c r="I11" s="283"/>
      <c r="J11" s="93"/>
      <c r="K11" s="129"/>
      <c r="L11" s="129"/>
      <c r="M11" s="129"/>
      <c r="N11" s="129"/>
    </row>
    <row r="12" spans="1:14" ht="15.75" customHeight="1">
      <c r="A12" s="282"/>
      <c r="B12" s="131"/>
      <c r="C12" s="131"/>
      <c r="D12" s="131"/>
      <c r="E12" s="131"/>
      <c r="F12" s="131"/>
      <c r="G12" s="131"/>
      <c r="H12" s="131"/>
      <c r="I12" s="283"/>
      <c r="J12" s="93"/>
      <c r="K12" s="129"/>
      <c r="L12" s="129"/>
      <c r="M12" s="129"/>
      <c r="N12" s="129"/>
    </row>
    <row r="13" spans="1:14" ht="15.75" customHeight="1">
      <c r="A13" s="282"/>
      <c r="B13" s="131"/>
      <c r="C13" s="131"/>
      <c r="D13" s="131"/>
      <c r="E13" s="131"/>
      <c r="F13" s="131"/>
      <c r="G13" s="131"/>
      <c r="H13" s="131"/>
      <c r="I13" s="283"/>
      <c r="J13" s="93"/>
      <c r="K13" s="129"/>
      <c r="L13" s="129"/>
      <c r="M13" s="129"/>
      <c r="N13" s="129"/>
    </row>
    <row r="14" spans="1:14" ht="15.75" customHeight="1">
      <c r="A14" s="282"/>
      <c r="B14" s="131"/>
      <c r="C14" s="131"/>
      <c r="D14" s="131"/>
      <c r="E14" s="131"/>
      <c r="F14" s="131"/>
      <c r="G14" s="131"/>
      <c r="H14" s="131"/>
      <c r="I14" s="283"/>
      <c r="J14" s="93"/>
      <c r="K14" s="129"/>
      <c r="L14" s="129"/>
      <c r="M14" s="129"/>
      <c r="N14" s="129"/>
    </row>
    <row r="15" spans="1:14" ht="15.75" customHeight="1">
      <c r="A15" s="282"/>
      <c r="B15" s="131"/>
      <c r="C15" s="131"/>
      <c r="D15" s="131"/>
      <c r="E15" s="131"/>
      <c r="F15" s="131"/>
      <c r="G15" s="131"/>
      <c r="H15" s="131"/>
      <c r="I15" s="283"/>
      <c r="J15" s="93"/>
      <c r="K15" s="93"/>
      <c r="L15" s="93"/>
      <c r="M15" s="93"/>
      <c r="N15" s="93"/>
    </row>
    <row r="16" spans="1:14" ht="15.75" customHeight="1">
      <c r="A16" s="282"/>
      <c r="B16" s="131"/>
      <c r="C16" s="131"/>
      <c r="D16" s="131"/>
      <c r="E16" s="131"/>
      <c r="F16" s="131"/>
      <c r="G16" s="131"/>
      <c r="H16" s="131"/>
      <c r="I16" s="283"/>
      <c r="J16" s="93"/>
      <c r="K16" s="93"/>
      <c r="L16" s="93"/>
      <c r="M16" s="93"/>
      <c r="N16" s="93"/>
    </row>
    <row r="17" spans="1:14" ht="15.75" customHeight="1">
      <c r="A17" s="282"/>
      <c r="B17" s="131"/>
      <c r="C17" s="131"/>
      <c r="D17" s="131"/>
      <c r="E17" s="131"/>
      <c r="F17" s="131"/>
      <c r="G17" s="131"/>
      <c r="H17" s="131"/>
      <c r="I17" s="283"/>
      <c r="J17" s="93"/>
      <c r="K17" s="93"/>
      <c r="L17" s="93"/>
      <c r="M17" s="93"/>
      <c r="N17" s="93"/>
    </row>
    <row r="18" spans="1:14">
      <c r="A18" s="282"/>
      <c r="B18" s="131"/>
      <c r="C18" s="131"/>
      <c r="D18" s="131"/>
      <c r="E18" s="131"/>
      <c r="F18" s="131"/>
      <c r="G18" s="131"/>
      <c r="H18" s="131"/>
      <c r="I18" s="283"/>
      <c r="J18" s="93"/>
      <c r="K18" s="93"/>
      <c r="L18" s="93"/>
      <c r="M18" s="93"/>
      <c r="N18" s="93"/>
    </row>
    <row r="19" spans="1:14">
      <c r="A19" s="282"/>
      <c r="B19" s="131"/>
      <c r="C19" s="131"/>
      <c r="D19" s="131"/>
      <c r="E19" s="131"/>
      <c r="F19" s="131"/>
      <c r="G19" s="131"/>
      <c r="H19" s="131"/>
      <c r="I19" s="283"/>
      <c r="J19" s="93"/>
      <c r="K19" s="93"/>
      <c r="L19" s="93"/>
      <c r="M19" s="93"/>
      <c r="N19" s="93"/>
    </row>
    <row r="20" spans="1:14">
      <c r="A20" s="282"/>
      <c r="B20" s="131"/>
      <c r="C20" s="131"/>
      <c r="D20" s="131"/>
      <c r="E20" s="131"/>
      <c r="F20" s="131"/>
      <c r="G20" s="131"/>
      <c r="H20" s="131"/>
      <c r="I20" s="283"/>
      <c r="J20" s="93"/>
      <c r="K20" s="93"/>
      <c r="L20" s="93"/>
      <c r="M20" s="93"/>
      <c r="N20" s="93"/>
    </row>
    <row r="21" spans="1:14">
      <c r="A21" s="282"/>
      <c r="B21" s="131"/>
      <c r="C21" s="131"/>
      <c r="D21" s="131"/>
      <c r="E21" s="131"/>
      <c r="F21" s="131"/>
      <c r="G21" s="131"/>
      <c r="H21" s="131"/>
      <c r="I21" s="283"/>
      <c r="J21" s="93"/>
      <c r="K21" s="93"/>
      <c r="L21" s="93"/>
      <c r="M21" s="93"/>
      <c r="N21" s="93"/>
    </row>
    <row r="22" spans="1:14" ht="15.4" customHeight="1">
      <c r="A22" s="282"/>
      <c r="B22" s="131"/>
      <c r="C22" s="131"/>
      <c r="D22" s="131"/>
      <c r="E22" s="131"/>
      <c r="F22" s="131"/>
      <c r="G22" s="131"/>
      <c r="H22" s="131"/>
      <c r="I22" s="283"/>
      <c r="J22" s="93"/>
      <c r="K22" s="326"/>
      <c r="L22" s="326"/>
      <c r="M22" s="326"/>
      <c r="N22" s="326"/>
    </row>
    <row r="23" spans="1:14">
      <c r="A23" s="282"/>
      <c r="B23" s="131"/>
      <c r="C23" s="131"/>
      <c r="D23" s="131"/>
      <c r="E23" s="131"/>
      <c r="F23" s="131"/>
      <c r="G23" s="131"/>
      <c r="H23" s="131"/>
      <c r="I23" s="283"/>
      <c r="J23" s="93"/>
      <c r="K23" s="326"/>
      <c r="L23" s="326"/>
      <c r="M23" s="326"/>
      <c r="N23" s="326"/>
    </row>
    <row r="24" spans="1:14">
      <c r="A24" s="282"/>
      <c r="B24" s="131"/>
      <c r="C24" s="131"/>
      <c r="D24" s="131"/>
      <c r="E24" s="131"/>
      <c r="F24" s="131"/>
      <c r="G24" s="131"/>
      <c r="H24" s="131"/>
      <c r="I24" s="283"/>
      <c r="J24" s="93"/>
      <c r="K24" s="326"/>
      <c r="L24" s="326"/>
      <c r="M24" s="326"/>
      <c r="N24" s="326"/>
    </row>
    <row r="25" spans="1:14">
      <c r="A25" s="282"/>
      <c r="B25" s="131"/>
      <c r="C25" s="131"/>
      <c r="D25" s="131"/>
      <c r="E25" s="131"/>
      <c r="F25" s="131"/>
      <c r="G25" s="131"/>
      <c r="H25" s="131"/>
      <c r="I25" s="283"/>
      <c r="J25" s="93"/>
      <c r="K25" s="326"/>
      <c r="L25" s="326"/>
      <c r="M25" s="326"/>
      <c r="N25" s="326"/>
    </row>
    <row r="26" spans="1:14">
      <c r="A26" s="282"/>
      <c r="B26" s="131"/>
      <c r="C26" s="131"/>
      <c r="D26" s="131"/>
      <c r="E26" s="131"/>
      <c r="F26" s="131"/>
      <c r="G26" s="131"/>
      <c r="H26" s="131"/>
      <c r="I26" s="283"/>
      <c r="J26" s="93"/>
      <c r="K26" s="326"/>
      <c r="L26" s="326"/>
      <c r="M26" s="326"/>
      <c r="N26" s="326"/>
    </row>
    <row r="27" spans="1:14">
      <c r="A27" s="195"/>
      <c r="B27" s="196"/>
      <c r="C27" s="196"/>
      <c r="D27" s="196"/>
      <c r="E27" s="196"/>
      <c r="F27" s="196"/>
      <c r="G27" s="196"/>
      <c r="H27" s="196"/>
      <c r="I27" s="197"/>
      <c r="J27" s="93"/>
      <c r="K27" s="326"/>
      <c r="L27" s="326"/>
      <c r="M27" s="326"/>
      <c r="N27" s="326"/>
    </row>
    <row r="28" spans="1:14">
      <c r="A28" s="93"/>
      <c r="B28" s="93"/>
      <c r="C28" s="93"/>
      <c r="D28" s="93"/>
      <c r="E28" s="93"/>
      <c r="F28" s="93"/>
      <c r="G28" s="93"/>
      <c r="H28" s="93"/>
      <c r="I28" s="93"/>
      <c r="J28" s="93"/>
      <c r="K28" s="326"/>
      <c r="L28" s="326"/>
      <c r="M28" s="326"/>
      <c r="N28" s="326"/>
    </row>
    <row r="29" spans="1:14">
      <c r="A29" s="51" t="s">
        <v>147</v>
      </c>
      <c r="B29" s="277"/>
      <c r="C29" s="277"/>
      <c r="D29" s="277"/>
      <c r="E29" s="277"/>
      <c r="F29" s="277"/>
      <c r="G29" s="277"/>
      <c r="H29" s="277"/>
      <c r="I29" s="278"/>
      <c r="J29" s="93"/>
      <c r="K29" s="326"/>
      <c r="L29" s="326"/>
      <c r="M29" s="326"/>
      <c r="N29" s="326"/>
    </row>
    <row r="30" spans="1:14">
      <c r="A30" s="279"/>
      <c r="B30" s="280"/>
      <c r="C30" s="280"/>
      <c r="D30" s="280"/>
      <c r="E30" s="280"/>
      <c r="F30" s="280"/>
      <c r="G30" s="280"/>
      <c r="H30" s="280"/>
      <c r="I30" s="281"/>
      <c r="J30" s="93"/>
      <c r="K30" s="326"/>
      <c r="L30" s="326"/>
      <c r="M30" s="326"/>
      <c r="N30" s="326"/>
    </row>
    <row r="31" spans="1:14">
      <c r="A31" s="128" t="s">
        <v>148</v>
      </c>
      <c r="B31" s="192"/>
      <c r="C31" s="192"/>
      <c r="D31" s="192"/>
      <c r="E31" s="192"/>
      <c r="F31" s="192"/>
      <c r="G31" s="192"/>
      <c r="H31" s="192"/>
      <c r="I31" s="189"/>
      <c r="J31" s="93"/>
      <c r="K31" s="129" t="s">
        <v>149</v>
      </c>
      <c r="L31" s="129"/>
      <c r="M31" s="129"/>
      <c r="N31" s="129"/>
    </row>
    <row r="32" spans="1:14">
      <c r="A32" s="327"/>
      <c r="B32" s="328"/>
      <c r="C32" s="328"/>
      <c r="D32" s="328"/>
      <c r="E32" s="328"/>
      <c r="F32" s="328"/>
      <c r="G32" s="328"/>
      <c r="H32" s="328"/>
      <c r="I32" s="329"/>
      <c r="J32" s="93"/>
      <c r="K32" s="129"/>
      <c r="L32" s="129"/>
      <c r="M32" s="129"/>
      <c r="N32" s="129"/>
    </row>
    <row r="33" spans="1:14">
      <c r="A33" s="327"/>
      <c r="B33" s="328"/>
      <c r="C33" s="328"/>
      <c r="D33" s="328"/>
      <c r="E33" s="328"/>
      <c r="F33" s="328"/>
      <c r="G33" s="328"/>
      <c r="H33" s="328"/>
      <c r="I33" s="329"/>
      <c r="J33" s="93"/>
      <c r="K33" s="129"/>
      <c r="L33" s="129"/>
      <c r="M33" s="129"/>
      <c r="N33" s="129"/>
    </row>
    <row r="34" spans="1:14">
      <c r="A34" s="327"/>
      <c r="B34" s="328"/>
      <c r="C34" s="328"/>
      <c r="D34" s="328"/>
      <c r="E34" s="328"/>
      <c r="F34" s="328"/>
      <c r="G34" s="328"/>
      <c r="H34" s="328"/>
      <c r="I34" s="329"/>
      <c r="J34" s="93"/>
      <c r="K34" s="129"/>
      <c r="L34" s="129"/>
      <c r="M34" s="129"/>
      <c r="N34" s="129"/>
    </row>
    <row r="35" spans="1:14">
      <c r="A35" s="327"/>
      <c r="B35" s="328"/>
      <c r="C35" s="328"/>
      <c r="D35" s="328"/>
      <c r="E35" s="328"/>
      <c r="F35" s="328"/>
      <c r="G35" s="328"/>
      <c r="H35" s="328"/>
      <c r="I35" s="329"/>
      <c r="J35" s="93"/>
      <c r="K35" s="129"/>
      <c r="L35" s="129"/>
      <c r="M35" s="129"/>
      <c r="N35" s="129"/>
    </row>
    <row r="36" spans="1:14">
      <c r="A36" s="327"/>
      <c r="B36" s="328"/>
      <c r="C36" s="328"/>
      <c r="D36" s="328"/>
      <c r="E36" s="328"/>
      <c r="F36" s="328"/>
      <c r="G36" s="328"/>
      <c r="H36" s="328"/>
      <c r="I36" s="329"/>
      <c r="J36" s="93"/>
      <c r="K36" s="129"/>
      <c r="L36" s="129"/>
      <c r="M36" s="129"/>
      <c r="N36" s="129"/>
    </row>
    <row r="37" spans="1:14">
      <c r="A37" s="327"/>
      <c r="B37" s="328"/>
      <c r="C37" s="328"/>
      <c r="D37" s="328"/>
      <c r="E37" s="328"/>
      <c r="F37" s="328"/>
      <c r="G37" s="328"/>
      <c r="H37" s="328"/>
      <c r="I37" s="329"/>
      <c r="J37" s="93"/>
      <c r="K37" s="129"/>
      <c r="L37" s="129"/>
      <c r="M37" s="129"/>
      <c r="N37" s="129"/>
    </row>
    <row r="38" spans="1:14" ht="14.25" customHeight="1">
      <c r="A38" s="327"/>
      <c r="B38" s="328"/>
      <c r="C38" s="328"/>
      <c r="D38" s="328"/>
      <c r="E38" s="328"/>
      <c r="F38" s="328"/>
      <c r="G38" s="328"/>
      <c r="H38" s="328"/>
      <c r="I38" s="329"/>
      <c r="J38" s="93"/>
      <c r="K38" s="129"/>
      <c r="L38" s="129"/>
      <c r="M38" s="129"/>
      <c r="N38" s="129"/>
    </row>
    <row r="39" spans="1:14">
      <c r="A39" s="327"/>
      <c r="B39" s="328"/>
      <c r="C39" s="328"/>
      <c r="D39" s="328"/>
      <c r="E39" s="328"/>
      <c r="F39" s="328"/>
      <c r="G39" s="328"/>
      <c r="H39" s="328"/>
      <c r="I39" s="329"/>
      <c r="J39" s="93"/>
      <c r="K39" s="129"/>
      <c r="L39" s="129"/>
      <c r="M39" s="129"/>
      <c r="N39" s="129"/>
    </row>
    <row r="40" spans="1:14">
      <c r="A40" s="327"/>
      <c r="B40" s="328"/>
      <c r="C40" s="328"/>
      <c r="D40" s="328"/>
      <c r="E40" s="328"/>
      <c r="F40" s="328"/>
      <c r="G40" s="328"/>
      <c r="H40" s="328"/>
      <c r="I40" s="329"/>
      <c r="J40" s="93"/>
      <c r="K40" s="129"/>
      <c r="L40" s="129"/>
      <c r="M40" s="129"/>
      <c r="N40" s="129"/>
    </row>
    <row r="41" spans="1:14">
      <c r="A41" s="327"/>
      <c r="B41" s="328"/>
      <c r="C41" s="328"/>
      <c r="D41" s="328"/>
      <c r="E41" s="328"/>
      <c r="F41" s="328"/>
      <c r="G41" s="328"/>
      <c r="H41" s="328"/>
      <c r="I41" s="329"/>
      <c r="J41" s="93"/>
      <c r="K41" s="93"/>
      <c r="L41" s="93"/>
      <c r="M41" s="93"/>
      <c r="N41" s="93"/>
    </row>
    <row r="42" spans="1:14">
      <c r="A42" s="327"/>
      <c r="B42" s="328"/>
      <c r="C42" s="328"/>
      <c r="D42" s="328"/>
      <c r="E42" s="328"/>
      <c r="F42" s="328"/>
      <c r="G42" s="328"/>
      <c r="H42" s="328"/>
      <c r="I42" s="329"/>
      <c r="J42" s="93"/>
      <c r="K42" s="93"/>
      <c r="L42" s="93"/>
      <c r="M42" s="93"/>
      <c r="N42" s="93"/>
    </row>
    <row r="43" spans="1:14">
      <c r="A43" s="327"/>
      <c r="B43" s="328"/>
      <c r="C43" s="328"/>
      <c r="D43" s="328"/>
      <c r="E43" s="328"/>
      <c r="F43" s="328"/>
      <c r="G43" s="328"/>
      <c r="H43" s="328"/>
      <c r="I43" s="329"/>
      <c r="J43" s="93"/>
      <c r="K43" s="93"/>
      <c r="L43" s="93"/>
      <c r="M43" s="93"/>
      <c r="N43" s="93"/>
    </row>
    <row r="44" spans="1:14">
      <c r="A44" s="327"/>
      <c r="B44" s="328"/>
      <c r="C44" s="328"/>
      <c r="D44" s="328"/>
      <c r="E44" s="328"/>
      <c r="F44" s="328"/>
      <c r="G44" s="328"/>
      <c r="H44" s="328"/>
      <c r="I44" s="329"/>
      <c r="J44" s="93"/>
      <c r="K44" s="93"/>
      <c r="L44" s="93"/>
      <c r="M44" s="93"/>
      <c r="N44" s="93"/>
    </row>
    <row r="45" spans="1:14">
      <c r="A45" s="327"/>
      <c r="B45" s="328"/>
      <c r="C45" s="328"/>
      <c r="D45" s="328"/>
      <c r="E45" s="328"/>
      <c r="F45" s="328"/>
      <c r="G45" s="328"/>
      <c r="H45" s="328"/>
      <c r="I45" s="329"/>
      <c r="J45" s="93"/>
      <c r="K45" s="93"/>
      <c r="L45" s="93"/>
      <c r="M45" s="93"/>
      <c r="N45" s="93"/>
    </row>
    <row r="46" spans="1:14">
      <c r="A46" s="327"/>
      <c r="B46" s="328"/>
      <c r="C46" s="328"/>
      <c r="D46" s="328"/>
      <c r="E46" s="328"/>
      <c r="F46" s="328"/>
      <c r="G46" s="328"/>
      <c r="H46" s="328"/>
      <c r="I46" s="329"/>
      <c r="J46" s="93"/>
      <c r="K46" s="93"/>
      <c r="L46" s="93"/>
      <c r="M46" s="93"/>
      <c r="N46" s="93"/>
    </row>
    <row r="47" spans="1:14">
      <c r="A47" s="327"/>
      <c r="B47" s="328"/>
      <c r="C47" s="328"/>
      <c r="D47" s="328"/>
      <c r="E47" s="328"/>
      <c r="F47" s="328"/>
      <c r="G47" s="328"/>
      <c r="H47" s="328"/>
      <c r="I47" s="329"/>
      <c r="J47" s="93"/>
      <c r="K47" s="93"/>
      <c r="L47" s="93"/>
      <c r="M47" s="93"/>
      <c r="N47" s="93"/>
    </row>
    <row r="48" spans="1:14">
      <c r="A48" s="327"/>
      <c r="B48" s="328"/>
      <c r="C48" s="328"/>
      <c r="D48" s="328"/>
      <c r="E48" s="328"/>
      <c r="F48" s="328"/>
      <c r="G48" s="328"/>
      <c r="H48" s="328"/>
      <c r="I48" s="329"/>
      <c r="J48" s="93"/>
      <c r="K48" s="93"/>
      <c r="L48" s="93"/>
      <c r="M48" s="93"/>
      <c r="N48" s="93"/>
    </row>
    <row r="49" spans="1:9">
      <c r="A49" s="327"/>
      <c r="B49" s="328"/>
      <c r="C49" s="328"/>
      <c r="D49" s="328"/>
      <c r="E49" s="328"/>
      <c r="F49" s="328"/>
      <c r="G49" s="328"/>
      <c r="H49" s="328"/>
      <c r="I49" s="329"/>
    </row>
    <row r="50" spans="1:9">
      <c r="A50" s="327"/>
      <c r="B50" s="328"/>
      <c r="C50" s="328"/>
      <c r="D50" s="328"/>
      <c r="E50" s="328"/>
      <c r="F50" s="328"/>
      <c r="G50" s="328"/>
      <c r="H50" s="328"/>
      <c r="I50" s="329"/>
    </row>
    <row r="51" spans="1:9">
      <c r="A51" s="327"/>
      <c r="B51" s="328"/>
      <c r="C51" s="328"/>
      <c r="D51" s="328"/>
      <c r="E51" s="328"/>
      <c r="F51" s="328"/>
      <c r="G51" s="328"/>
      <c r="H51" s="328"/>
      <c r="I51" s="329"/>
    </row>
    <row r="52" spans="1:9">
      <c r="A52" s="190"/>
      <c r="B52" s="193"/>
      <c r="C52" s="193"/>
      <c r="D52" s="193"/>
      <c r="E52" s="193"/>
      <c r="F52" s="193"/>
      <c r="G52" s="193"/>
      <c r="H52" s="193"/>
      <c r="I52" s="191"/>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view="pageBreakPreview" zoomScale="60" zoomScaleNormal="100" workbookViewId="0">
      <selection activeCell="B35" sqref="B35:I35"/>
    </sheetView>
  </sheetViews>
  <sheetFormatPr defaultColWidth="9.28515625" defaultRowHeight="15"/>
  <cols>
    <col min="1" max="16384" width="9.28515625" style="2"/>
  </cols>
  <sheetData>
    <row r="1" spans="1:10" ht="15.6">
      <c r="A1" s="33">
        <f>+'Cover Page'!C39</f>
        <v>2022</v>
      </c>
      <c r="B1" s="34" t="s">
        <v>150</v>
      </c>
      <c r="C1" s="34"/>
      <c r="D1" s="34"/>
      <c r="E1" s="34"/>
      <c r="F1" s="34"/>
      <c r="G1" s="34"/>
      <c r="H1" s="34"/>
      <c r="I1" s="34"/>
      <c r="J1" s="34"/>
    </row>
    <row r="2" spans="1:10" ht="8.25" customHeight="1">
      <c r="A2" s="93"/>
      <c r="B2" s="93"/>
      <c r="C2" s="93"/>
      <c r="D2" s="93"/>
      <c r="E2" s="93"/>
      <c r="F2" s="93"/>
      <c r="G2" s="93"/>
      <c r="H2" s="93"/>
      <c r="I2" s="93"/>
      <c r="J2" s="93"/>
    </row>
    <row r="3" spans="1:10" s="3" customFormat="1" ht="13.9">
      <c r="A3" s="144" t="str">
        <f>+'Cover Page'!B31</f>
        <v>Permit EPR/HP3349QK</v>
      </c>
      <c r="B3" s="144"/>
      <c r="C3" s="144"/>
      <c r="D3" s="144"/>
      <c r="E3" s="144"/>
      <c r="F3" s="3" t="s">
        <v>151</v>
      </c>
      <c r="G3" s="145">
        <f>+'Cover Page'!B37:I37</f>
        <v>0</v>
      </c>
      <c r="H3" s="145"/>
      <c r="I3" s="145"/>
    </row>
    <row r="4" spans="1:10" s="3" customFormat="1" ht="13.9">
      <c r="A4" s="3" t="s">
        <v>152</v>
      </c>
      <c r="B4" s="144" t="str">
        <f>+'Cover Page'!B33:I33</f>
        <v>Wolverhampton Energy from Waste Facility</v>
      </c>
      <c r="C4" s="144"/>
      <c r="D4" s="144"/>
      <c r="E4" s="144"/>
      <c r="F4" s="3" t="s">
        <v>153</v>
      </c>
      <c r="G4" s="3" t="s">
        <v>154</v>
      </c>
    </row>
    <row r="5" spans="1:10" s="3" customFormat="1" ht="6.75" customHeight="1"/>
    <row r="6" spans="1:10" s="3" customFormat="1" ht="15.75" customHeight="1">
      <c r="A6" s="3" t="s">
        <v>155</v>
      </c>
      <c r="D6" s="146">
        <v>44562</v>
      </c>
      <c r="E6" s="146"/>
      <c r="F6" s="35" t="s">
        <v>156</v>
      </c>
      <c r="G6" s="146">
        <v>44926</v>
      </c>
      <c r="H6" s="146"/>
    </row>
    <row r="7" spans="1:10" s="3" customFormat="1" ht="7.5" customHeight="1"/>
    <row r="8" spans="1:10" s="3" customFormat="1" ht="15.6">
      <c r="A8" s="9">
        <f>+A1</f>
        <v>2022</v>
      </c>
      <c r="B8" s="34" t="s">
        <v>157</v>
      </c>
      <c r="C8"/>
      <c r="D8"/>
      <c r="E8"/>
      <c r="F8"/>
      <c r="G8"/>
    </row>
    <row r="9" spans="1:10" s="3" customFormat="1" ht="28.5" customHeight="1">
      <c r="A9" s="147" t="s">
        <v>158</v>
      </c>
      <c r="B9" s="147"/>
      <c r="C9" s="147" t="s">
        <v>159</v>
      </c>
      <c r="D9" s="147"/>
      <c r="E9" s="147" t="s">
        <v>160</v>
      </c>
      <c r="F9" s="147"/>
      <c r="G9" s="147" t="s">
        <v>161</v>
      </c>
      <c r="H9" s="147"/>
      <c r="I9" s="147" t="s">
        <v>162</v>
      </c>
      <c r="J9" s="147"/>
    </row>
    <row r="10" spans="1:10" s="3" customFormat="1" ht="14.25" customHeight="1">
      <c r="A10" s="201" t="s">
        <v>163</v>
      </c>
      <c r="B10" s="201"/>
      <c r="C10" s="201"/>
      <c r="D10" s="201"/>
      <c r="E10" s="201"/>
      <c r="F10" s="201"/>
      <c r="G10" s="201"/>
      <c r="H10" s="201"/>
      <c r="I10" s="201"/>
      <c r="J10" s="201"/>
    </row>
    <row r="11" spans="1:10" s="3" customFormat="1" ht="14.25" customHeight="1">
      <c r="A11" s="201" t="s">
        <v>164</v>
      </c>
      <c r="B11" s="201"/>
      <c r="C11" s="330"/>
      <c r="D11" s="330"/>
      <c r="E11" s="331">
        <f>'Operational Data'!G31</f>
        <v>3064.3600000000006</v>
      </c>
      <c r="F11" s="331"/>
      <c r="G11" s="331">
        <v>0</v>
      </c>
      <c r="H11" s="331"/>
      <c r="I11" s="332">
        <f>IF((E11+G11)&gt;0,(E11+G11)/'Operational Data'!$G$18, "-")</f>
        <v>2.7878942817125527E-2</v>
      </c>
      <c r="J11" s="332"/>
    </row>
    <row r="12" spans="1:10" s="3" customFormat="1" ht="14.25" customHeight="1">
      <c r="A12" s="201" t="s">
        <v>165</v>
      </c>
      <c r="B12" s="201"/>
      <c r="C12" s="330"/>
      <c r="D12" s="330"/>
      <c r="E12" s="331">
        <v>0</v>
      </c>
      <c r="F12" s="331"/>
      <c r="G12" s="331">
        <v>0</v>
      </c>
      <c r="H12" s="331"/>
      <c r="I12" s="332" t="str">
        <f>IF((E12+G12)&gt;0,(E12+G12)/'Operational Data'!$G$18, "-")</f>
        <v>-</v>
      </c>
      <c r="J12" s="332"/>
    </row>
    <row r="13" spans="1:10" s="3" customFormat="1" ht="14.25" customHeight="1">
      <c r="A13" s="158"/>
      <c r="B13" s="158"/>
      <c r="C13" s="330"/>
      <c r="D13" s="330"/>
      <c r="E13" s="331"/>
      <c r="F13" s="331"/>
      <c r="G13" s="331"/>
      <c r="H13" s="331"/>
      <c r="I13" s="332" t="str">
        <f>IF((E13+G13)&gt;0,(E13+G13)/'Operational Data'!$G$18, "-")</f>
        <v>-</v>
      </c>
      <c r="J13" s="332"/>
    </row>
    <row r="14" spans="1:10" s="3" customFormat="1" ht="14.25" customHeight="1">
      <c r="A14" s="158"/>
      <c r="B14" s="158"/>
      <c r="C14" s="330"/>
      <c r="D14" s="330"/>
      <c r="E14" s="331"/>
      <c r="F14" s="331"/>
      <c r="G14" s="331"/>
      <c r="H14" s="331"/>
      <c r="I14" s="332" t="str">
        <f>IF((E14+G14)&gt;0,(E14+G14)/'Operational Data'!$G$18, "-")</f>
        <v>-</v>
      </c>
      <c r="J14" s="332"/>
    </row>
    <row r="15" spans="1:10" s="3" customFormat="1" ht="14.25" customHeight="1">
      <c r="A15" s="333" t="s">
        <v>166</v>
      </c>
      <c r="B15" s="333"/>
      <c r="C15" s="333"/>
      <c r="D15" s="333"/>
      <c r="E15" s="334">
        <f>SUM(E11:F14)</f>
        <v>3064.3600000000006</v>
      </c>
      <c r="F15" s="334"/>
      <c r="G15" s="334">
        <f>SUM(G11:H14)</f>
        <v>0</v>
      </c>
      <c r="H15" s="334"/>
      <c r="I15" s="332">
        <f>IF((E15+G15)&gt;0,(E15+G15)/'Operational Data'!$G$18, "-")</f>
        <v>2.7878942817125527E-2</v>
      </c>
      <c r="J15" s="332"/>
    </row>
    <row r="16" spans="1:10" s="3" customFormat="1" ht="14.25" customHeight="1">
      <c r="A16" s="335"/>
      <c r="B16" s="336"/>
      <c r="C16" s="336"/>
      <c r="D16" s="336"/>
      <c r="E16" s="337"/>
      <c r="F16" s="337"/>
      <c r="G16" s="337"/>
      <c r="H16" s="337"/>
      <c r="I16" s="338"/>
      <c r="J16" s="339"/>
    </row>
    <row r="17" spans="1:10" s="3" customFormat="1" ht="14.25" customHeight="1">
      <c r="A17" s="340" t="s">
        <v>167</v>
      </c>
      <c r="B17" s="340"/>
      <c r="C17" s="340"/>
      <c r="D17" s="340"/>
      <c r="E17" s="340"/>
      <c r="F17" s="340"/>
      <c r="G17" s="340"/>
      <c r="H17" s="340"/>
      <c r="I17" s="340"/>
      <c r="J17" s="340"/>
    </row>
    <row r="18" spans="1:10" ht="14.25" customHeight="1">
      <c r="A18" s="201" t="s">
        <v>165</v>
      </c>
      <c r="B18" s="201"/>
      <c r="C18" s="330"/>
      <c r="D18" s="330"/>
      <c r="E18" s="331">
        <v>0</v>
      </c>
      <c r="F18" s="331"/>
      <c r="G18" s="331">
        <f>'Operational Data'!G32</f>
        <v>13976.36</v>
      </c>
      <c r="H18" s="331"/>
      <c r="I18" s="332">
        <f>IF((E18+G18)&gt;0,(E18+G18)/'Operational Data'!$G$18, "-")</f>
        <v>0.12715416636151122</v>
      </c>
      <c r="J18" s="332"/>
    </row>
    <row r="19" spans="1:10" s="3" customFormat="1" ht="14.25" customHeight="1">
      <c r="A19" s="201" t="s">
        <v>168</v>
      </c>
      <c r="B19" s="201"/>
      <c r="C19" s="330"/>
      <c r="D19" s="330"/>
      <c r="E19" s="331">
        <v>0</v>
      </c>
      <c r="F19" s="331"/>
      <c r="G19" s="331">
        <f>'Operational Data'!G33</f>
        <v>1540.3200000000002</v>
      </c>
      <c r="H19" s="331"/>
      <c r="I19" s="332">
        <f>IF((E19+G19)&gt;0,(E19+G19)/'Operational Data'!$G$18, "-")</f>
        <v>1.4013527522900309E-2</v>
      </c>
      <c r="J19" s="332"/>
    </row>
    <row r="20" spans="1:10" s="3" customFormat="1" ht="14.25" customHeight="1">
      <c r="A20" s="201" t="s">
        <v>169</v>
      </c>
      <c r="B20" s="201"/>
      <c r="C20" s="330"/>
      <c r="D20" s="330"/>
      <c r="E20" s="331">
        <v>0</v>
      </c>
      <c r="F20" s="331"/>
      <c r="G20" s="331">
        <v>0</v>
      </c>
      <c r="H20" s="331"/>
      <c r="I20" s="332" t="str">
        <f>IF((E20+G20)&gt;0,(E20+G20)/'Operational Data'!$G$18, "-")</f>
        <v>-</v>
      </c>
      <c r="J20" s="332"/>
    </row>
    <row r="21" spans="1:10" s="3" customFormat="1" ht="14.25" customHeight="1">
      <c r="A21" s="341"/>
      <c r="B21" s="341"/>
      <c r="C21" s="330"/>
      <c r="D21" s="330"/>
      <c r="E21" s="331"/>
      <c r="F21" s="331"/>
      <c r="G21" s="331"/>
      <c r="H21" s="331"/>
      <c r="I21" s="332" t="str">
        <f>IF((E21+G21)&gt;0,(E21+G21)/'Operational Data'!$G$18, "-")</f>
        <v>-</v>
      </c>
      <c r="J21" s="332"/>
    </row>
    <row r="22" spans="1:10" s="3" customFormat="1" ht="14.25" customHeight="1">
      <c r="A22" s="341"/>
      <c r="B22" s="341"/>
      <c r="C22" s="330"/>
      <c r="D22" s="330"/>
      <c r="E22" s="331"/>
      <c r="F22" s="331"/>
      <c r="G22" s="331"/>
      <c r="H22" s="331"/>
      <c r="I22" s="332" t="str">
        <f>IF((E22+G22)&gt;0,(E22+G22)/'Operational Data'!$G$18, "-")</f>
        <v>-</v>
      </c>
      <c r="J22" s="332"/>
    </row>
    <row r="23" spans="1:10" s="3" customFormat="1" ht="14.25" customHeight="1">
      <c r="A23" s="342" t="s">
        <v>170</v>
      </c>
      <c r="B23" s="342"/>
      <c r="C23" s="342"/>
      <c r="D23" s="342"/>
      <c r="E23" s="334">
        <f>SUM(E18:F22)</f>
        <v>0</v>
      </c>
      <c r="F23" s="334"/>
      <c r="G23" s="334">
        <f>SUM(G18:H22)</f>
        <v>15516.68</v>
      </c>
      <c r="H23" s="334"/>
      <c r="I23" s="332">
        <f>IF((E23+G23)&gt;0,(E23+G23)/'Operational Data'!$G$18, "-")</f>
        <v>0.14116769388441153</v>
      </c>
      <c r="J23" s="332"/>
    </row>
    <row r="24" spans="1:10" s="3" customFormat="1" ht="14.25" customHeight="1">
      <c r="A24" s="142" t="s">
        <v>171</v>
      </c>
      <c r="B24" s="142"/>
      <c r="C24" s="142"/>
      <c r="D24" s="142"/>
      <c r="E24" s="143">
        <f>+E23+E15</f>
        <v>3064.3600000000006</v>
      </c>
      <c r="F24" s="143"/>
      <c r="G24" s="143">
        <f>+G23+G15</f>
        <v>15516.68</v>
      </c>
      <c r="H24" s="143"/>
      <c r="I24" s="343">
        <f>IF((E24+G24)&gt;0,(E24+G24)/'Operational Data'!$G$18, "-")</f>
        <v>0.16904663670153705</v>
      </c>
      <c r="J24" s="343"/>
    </row>
    <row r="25" spans="1:10" s="3" customFormat="1" ht="8.25" customHeight="1">
      <c r="A25" s="344"/>
      <c r="B25"/>
      <c r="C25"/>
      <c r="D25"/>
      <c r="E25"/>
      <c r="F25"/>
      <c r="G25"/>
    </row>
    <row r="26" spans="1:10" s="3" customFormat="1" ht="14.25" customHeight="1">
      <c r="A26" s="134" t="s">
        <v>172</v>
      </c>
      <c r="B26" s="134"/>
      <c r="C26" s="134"/>
      <c r="D26" s="134"/>
      <c r="E26" s="134"/>
      <c r="F26" s="134"/>
      <c r="G26" s="134"/>
      <c r="H26" s="134"/>
      <c r="I26" s="134"/>
      <c r="J26" s="134"/>
    </row>
    <row r="27" spans="1:10" s="3" customFormat="1" ht="14.25" customHeight="1">
      <c r="A27" s="135"/>
      <c r="B27" s="135"/>
      <c r="C27" s="135"/>
      <c r="D27" s="135"/>
      <c r="E27" s="135"/>
      <c r="F27" s="135"/>
      <c r="G27" s="135"/>
      <c r="H27" s="135"/>
      <c r="I27" s="135"/>
      <c r="J27" s="135"/>
    </row>
    <row r="28" spans="1:10" s="3" customFormat="1" ht="14.25" customHeight="1">
      <c r="A28" s="135"/>
      <c r="B28" s="135"/>
      <c r="C28" s="135"/>
      <c r="D28" s="135"/>
      <c r="E28" s="135"/>
      <c r="F28" s="135"/>
      <c r="G28" s="135"/>
      <c r="H28" s="135"/>
      <c r="I28" s="135"/>
      <c r="J28" s="135"/>
    </row>
    <row r="29" spans="1:10" s="3" customFormat="1" ht="14.25" customHeight="1">
      <c r="A29" s="135"/>
      <c r="B29" s="135"/>
      <c r="C29" s="135"/>
      <c r="D29" s="135"/>
      <c r="E29" s="135"/>
      <c r="F29" s="135"/>
      <c r="G29" s="135"/>
      <c r="H29" s="135"/>
      <c r="I29" s="135"/>
      <c r="J29" s="135"/>
    </row>
    <row r="30" spans="1:10" s="3" customFormat="1" ht="14.25" customHeight="1">
      <c r="A30" s="344"/>
      <c r="B30"/>
      <c r="C30"/>
      <c r="D30"/>
      <c r="E30"/>
      <c r="F30"/>
      <c r="G30"/>
    </row>
    <row r="31" spans="1:10" s="3" customFormat="1" ht="14.25" customHeight="1">
      <c r="A31" s="1">
        <f>+A1</f>
        <v>2022</v>
      </c>
      <c r="B31" s="34" t="s">
        <v>173</v>
      </c>
      <c r="C31" s="34"/>
      <c r="D31" s="34"/>
      <c r="E31" s="34"/>
      <c r="F31" s="34"/>
    </row>
    <row r="32" spans="1:10" s="3" customFormat="1" ht="24.75" customHeight="1">
      <c r="A32" s="137" t="s">
        <v>174</v>
      </c>
      <c r="B32" s="138"/>
      <c r="C32" s="138"/>
      <c r="D32" s="139"/>
      <c r="E32" s="38" t="s">
        <v>175</v>
      </c>
      <c r="F32" s="39"/>
      <c r="G32" s="40" t="s">
        <v>74</v>
      </c>
      <c r="H32" s="140" t="s">
        <v>176</v>
      </c>
      <c r="I32" s="141"/>
      <c r="J32" s="41" t="s">
        <v>74</v>
      </c>
    </row>
    <row r="33" spans="1:10" s="3" customFormat="1" ht="14.25" customHeight="1">
      <c r="A33" s="335" t="s">
        <v>113</v>
      </c>
      <c r="B33" s="336"/>
      <c r="C33" s="336"/>
      <c r="D33" s="345"/>
      <c r="E33" s="346">
        <f>+'Operational Data'!G36</f>
        <v>87667</v>
      </c>
      <c r="F33" s="339"/>
      <c r="G33" s="347" t="s">
        <v>177</v>
      </c>
      <c r="H33" s="348">
        <f>IF(E33&gt;0,E33/'Operational Data'!$G$18,"-")</f>
        <v>0.79757707317317261</v>
      </c>
      <c r="I33" s="349"/>
      <c r="J33" s="347" t="s">
        <v>178</v>
      </c>
    </row>
    <row r="34" spans="1:10" s="3" customFormat="1" ht="14.25" customHeight="1">
      <c r="A34" s="335" t="s">
        <v>179</v>
      </c>
      <c r="B34" s="336"/>
      <c r="C34" s="336"/>
      <c r="D34" s="345"/>
      <c r="E34" s="346">
        <f>+'Operational Data'!G37+'Operational Data'!G36</f>
        <v>87667</v>
      </c>
      <c r="F34" s="339"/>
      <c r="G34" s="347" t="s">
        <v>177</v>
      </c>
      <c r="H34" s="348">
        <f>IF(E34&gt;0,E34/'Operational Data'!$G$18,"-")</f>
        <v>0.79757707317317261</v>
      </c>
      <c r="I34" s="349"/>
      <c r="J34" s="347" t="s">
        <v>178</v>
      </c>
    </row>
    <row r="35" spans="1:10" s="3" customFormat="1" ht="14.25" customHeight="1">
      <c r="A35" s="335" t="s">
        <v>180</v>
      </c>
      <c r="B35" s="336"/>
      <c r="C35" s="336"/>
      <c r="D35" s="345"/>
      <c r="E35" s="346">
        <f>'Operational Data'!G39</f>
        <v>214000</v>
      </c>
      <c r="F35" s="339"/>
      <c r="G35" s="347" t="s">
        <v>181</v>
      </c>
      <c r="H35" s="348">
        <f>IF(E35&gt;0,E35/'Operational Data'!$G$18,"-")</f>
        <v>1.9469297872524318</v>
      </c>
      <c r="I35" s="349"/>
      <c r="J35" s="347" t="s">
        <v>182</v>
      </c>
    </row>
    <row r="36" spans="1:10" s="3" customFormat="1" ht="14.25" customHeight="1">
      <c r="A36" s="335" t="s">
        <v>120</v>
      </c>
      <c r="B36" s="336"/>
      <c r="C36" s="336"/>
      <c r="D36" s="345"/>
      <c r="E36" s="346">
        <f>+'Operational Data'!G40</f>
        <v>15000</v>
      </c>
      <c r="F36" s="339"/>
      <c r="G36" s="347" t="s">
        <v>181</v>
      </c>
      <c r="H36" s="348">
        <f>IF(E36&gt;0,E36/'Operational Data'!$G$18,"-")</f>
        <v>0.13646704116255362</v>
      </c>
      <c r="I36" s="349"/>
      <c r="J36" s="347" t="s">
        <v>182</v>
      </c>
    </row>
    <row r="37" spans="1:10" s="3" customFormat="1" ht="14.25" customHeight="1">
      <c r="A37" s="335" t="s">
        <v>183</v>
      </c>
      <c r="B37" s="336"/>
      <c r="C37" s="336"/>
      <c r="D37" s="345"/>
      <c r="E37" s="346">
        <f>+'Operational Data'!G41</f>
        <v>825760</v>
      </c>
      <c r="F37" s="339"/>
      <c r="G37" s="347" t="s">
        <v>181</v>
      </c>
      <c r="H37" s="348">
        <f>IF(E37&gt;0,E37/'Operational Data'!$G$18,"-")</f>
        <v>7.5126015940260196</v>
      </c>
      <c r="I37" s="349"/>
      <c r="J37" s="347" t="s">
        <v>182</v>
      </c>
    </row>
    <row r="38" spans="1:10" s="3" customFormat="1" ht="14.25" customHeight="1">
      <c r="A38" s="350"/>
      <c r="B38" s="351"/>
      <c r="C38" s="351"/>
      <c r="D38" s="352"/>
      <c r="E38" s="353"/>
      <c r="F38" s="354"/>
      <c r="G38" s="355"/>
      <c r="H38" s="356"/>
      <c r="I38" s="357"/>
      <c r="J38" s="355"/>
    </row>
    <row r="39" spans="1:10" s="3" customFormat="1" ht="14.25" customHeight="1">
      <c r="A39" s="134" t="s">
        <v>172</v>
      </c>
      <c r="B39" s="134"/>
      <c r="C39" s="134"/>
      <c r="D39" s="134"/>
      <c r="E39" s="134"/>
      <c r="F39" s="134"/>
      <c r="G39" s="134"/>
      <c r="H39" s="134"/>
      <c r="I39" s="134"/>
      <c r="J39" s="134"/>
    </row>
    <row r="40" spans="1:10" s="3" customFormat="1" ht="14.25" customHeight="1">
      <c r="A40" s="135"/>
      <c r="B40" s="135"/>
      <c r="C40" s="135"/>
      <c r="D40" s="135"/>
      <c r="E40" s="135"/>
      <c r="F40" s="135"/>
      <c r="G40" s="135"/>
      <c r="H40" s="135"/>
      <c r="I40" s="135"/>
      <c r="J40" s="135"/>
    </row>
    <row r="41" spans="1:10" s="3" customFormat="1" ht="14.25" customHeight="1">
      <c r="A41" s="135"/>
      <c r="B41" s="135"/>
      <c r="C41" s="135"/>
      <c r="D41" s="135"/>
      <c r="E41" s="135"/>
      <c r="F41" s="135"/>
      <c r="G41" s="135"/>
      <c r="H41" s="135"/>
      <c r="I41" s="135"/>
      <c r="J41" s="135"/>
    </row>
    <row r="42" spans="1:10" s="3" customFormat="1" ht="14.25" customHeight="1">
      <c r="A42" s="42"/>
      <c r="B42" s="42"/>
      <c r="C42" s="42"/>
      <c r="D42" s="42"/>
      <c r="E42" s="42"/>
      <c r="F42" s="42"/>
      <c r="G42" s="42"/>
      <c r="H42" s="42"/>
      <c r="I42" s="42"/>
      <c r="J42" s="42"/>
    </row>
    <row r="43" spans="1:10" s="3" customFormat="1" ht="14.25" customHeight="1">
      <c r="A43" s="34">
        <f>+A31</f>
        <v>2022</v>
      </c>
      <c r="B43" s="34" t="s">
        <v>184</v>
      </c>
      <c r="C43" s="34"/>
      <c r="D43" s="34"/>
      <c r="E43" s="34"/>
      <c r="F43" s="34"/>
      <c r="G43" s="93"/>
    </row>
    <row r="44" spans="1:10" ht="14.25" customHeight="1">
      <c r="A44" s="136" t="s">
        <v>185</v>
      </c>
      <c r="B44" s="136"/>
      <c r="C44" s="136" t="s">
        <v>186</v>
      </c>
      <c r="D44" s="136"/>
      <c r="E44" s="136"/>
      <c r="F44" s="136"/>
      <c r="G44" s="136"/>
      <c r="H44" s="136"/>
      <c r="I44" s="136"/>
      <c r="J44" s="136"/>
    </row>
    <row r="45" spans="1:10" ht="14.25" customHeight="1">
      <c r="A45" s="43"/>
      <c r="B45" s="43"/>
      <c r="C45" s="36" t="s">
        <v>187</v>
      </c>
      <c r="D45" s="36" t="s">
        <v>188</v>
      </c>
      <c r="E45" s="36"/>
      <c r="F45" s="36"/>
      <c r="G45" s="36"/>
      <c r="H45" s="36"/>
      <c r="I45" s="36" t="s">
        <v>189</v>
      </c>
      <c r="J45" s="36"/>
    </row>
    <row r="46" spans="1:10" ht="31.5" customHeight="1">
      <c r="A46" s="201" t="s">
        <v>190</v>
      </c>
      <c r="B46" s="201"/>
      <c r="C46" s="358">
        <f>'Operational Data'!G50</f>
        <v>7971</v>
      </c>
      <c r="D46" s="358">
        <f>'Operational Data'!G51</f>
        <v>7875</v>
      </c>
      <c r="E46" s="358"/>
      <c r="F46" s="359"/>
      <c r="G46" s="359"/>
      <c r="H46" s="359"/>
      <c r="I46" s="359">
        <f>'Operational Data'!G53</f>
        <v>7904</v>
      </c>
      <c r="J46" s="359"/>
    </row>
    <row r="47" spans="1:10" ht="43.5" customHeight="1">
      <c r="A47" s="201" t="s">
        <v>191</v>
      </c>
      <c r="B47" s="201"/>
      <c r="C47" s="358">
        <v>2</v>
      </c>
      <c r="D47" s="358">
        <v>1</v>
      </c>
      <c r="E47" s="358"/>
      <c r="F47" s="359"/>
      <c r="G47" s="359"/>
      <c r="H47" s="359"/>
      <c r="I47" s="359"/>
      <c r="J47" s="359"/>
    </row>
    <row r="48" spans="1:10" ht="42.75" customHeight="1">
      <c r="A48" s="201" t="s">
        <v>192</v>
      </c>
      <c r="B48" s="201"/>
      <c r="C48" s="358">
        <v>3.5</v>
      </c>
      <c r="D48" s="358">
        <v>3.5</v>
      </c>
      <c r="E48" s="358"/>
      <c r="F48" s="359"/>
      <c r="G48" s="359"/>
      <c r="H48" s="359"/>
      <c r="I48" s="359"/>
      <c r="J48" s="359"/>
    </row>
    <row r="49" spans="1:10" ht="8.25" customHeight="1">
      <c r="A49" s="93"/>
      <c r="B49" s="93"/>
      <c r="C49" s="93"/>
      <c r="D49" s="93"/>
      <c r="E49" s="93"/>
      <c r="F49" s="93"/>
      <c r="G49" s="93"/>
      <c r="H49" s="93"/>
      <c r="I49" s="93"/>
      <c r="J49" s="93"/>
    </row>
    <row r="50" spans="1:10">
      <c r="A50" s="134" t="s">
        <v>172</v>
      </c>
      <c r="B50" s="134"/>
      <c r="C50" s="134"/>
      <c r="D50" s="134"/>
      <c r="E50" s="134"/>
      <c r="F50" s="134"/>
      <c r="G50" s="134"/>
      <c r="H50" s="134"/>
      <c r="I50" s="134"/>
      <c r="J50" s="134"/>
    </row>
    <row r="51" spans="1:10">
      <c r="A51" s="135"/>
      <c r="B51" s="135"/>
      <c r="C51" s="135"/>
      <c r="D51" s="135"/>
      <c r="E51" s="135"/>
      <c r="F51" s="135"/>
      <c r="G51" s="135"/>
      <c r="H51" s="135"/>
      <c r="I51" s="135"/>
      <c r="J51" s="135"/>
    </row>
    <row r="52" spans="1:10">
      <c r="A52" s="135"/>
      <c r="B52" s="135"/>
      <c r="C52" s="135"/>
      <c r="D52" s="135"/>
      <c r="E52" s="135"/>
      <c r="F52" s="135"/>
      <c r="G52" s="135"/>
      <c r="H52" s="135"/>
      <c r="I52" s="135"/>
      <c r="J52" s="135"/>
    </row>
    <row r="54" spans="1:10">
      <c r="A54" s="3" t="s">
        <v>193</v>
      </c>
      <c r="B54" s="44"/>
      <c r="C54" s="44"/>
      <c r="D54" s="44"/>
      <c r="E54" s="44"/>
      <c r="F54" s="3"/>
      <c r="G54" s="3" t="s">
        <v>194</v>
      </c>
      <c r="H54" s="44"/>
      <c r="I54" s="44"/>
      <c r="J54" s="93"/>
    </row>
    <row r="62" spans="1:10">
      <c r="A62" s="93"/>
      <c r="B62" s="93"/>
      <c r="C62" s="93"/>
      <c r="D62" s="93"/>
      <c r="E62" s="93"/>
      <c r="F62" s="3"/>
      <c r="G62" s="93"/>
      <c r="H62" s="93"/>
      <c r="I62" s="93"/>
      <c r="J62" s="93"/>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7" right="0.7" top="0.75" bottom="0.75" header="0.3" footer="0.3"/>
  <pageSetup paperSize="9" scale="84"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view="pageBreakPreview" zoomScale="60" zoomScaleNormal="100" workbookViewId="0">
      <selection activeCell="B35" sqref="B35:I35"/>
    </sheetView>
  </sheetViews>
  <sheetFormatPr defaultColWidth="9.28515625" defaultRowHeight="15"/>
  <cols>
    <col min="1" max="1" width="9.42578125" style="2" bestFit="1" customWidth="1"/>
    <col min="2" max="16384" width="9.28515625" style="2"/>
  </cols>
  <sheetData>
    <row r="1" spans="1:10" ht="15.6">
      <c r="A1" s="33">
        <f>+'Cover Page'!C39</f>
        <v>2022</v>
      </c>
      <c r="B1" s="34" t="s">
        <v>195</v>
      </c>
      <c r="C1" s="34"/>
      <c r="D1" s="34"/>
      <c r="E1" s="34"/>
      <c r="F1" s="34"/>
      <c r="G1" s="34"/>
      <c r="H1" s="34"/>
      <c r="I1" s="34"/>
      <c r="J1" s="34"/>
    </row>
    <row r="3" spans="1:10" s="3" customFormat="1" ht="15" customHeight="1">
      <c r="A3" s="3" t="str">
        <f>+'Cover Page'!B31</f>
        <v>Permit EPR/HP3349QK</v>
      </c>
      <c r="F3" s="3" t="s">
        <v>151</v>
      </c>
      <c r="G3" s="149">
        <f>+'Cover Page'!B37:I37</f>
        <v>0</v>
      </c>
      <c r="H3" s="149"/>
      <c r="I3" s="149"/>
    </row>
    <row r="4" spans="1:10" s="3" customFormat="1" ht="13.9"/>
    <row r="5" spans="1:10" s="3" customFormat="1" ht="13.9">
      <c r="A5" s="3" t="s">
        <v>152</v>
      </c>
      <c r="B5" s="144" t="str">
        <f>+'Cover Page'!B33:I33</f>
        <v>Wolverhampton Energy from Waste Facility</v>
      </c>
      <c r="C5" s="144"/>
      <c r="D5" s="144"/>
      <c r="E5" s="144"/>
      <c r="F5" s="3" t="s">
        <v>153</v>
      </c>
      <c r="G5" s="3" t="s">
        <v>196</v>
      </c>
    </row>
    <row r="6" spans="1:10" s="3" customFormat="1" ht="13.9"/>
    <row r="7" spans="1:10" s="3" customFormat="1" ht="15.75" customHeight="1">
      <c r="A7" s="3" t="s">
        <v>155</v>
      </c>
      <c r="D7" s="150">
        <f>+'Perf. Form 1'!D6:E6</f>
        <v>44562</v>
      </c>
      <c r="E7" s="150"/>
      <c r="F7" s="35" t="s">
        <v>156</v>
      </c>
      <c r="G7" s="150">
        <f>+'Perf. Form 1'!G6:H6</f>
        <v>44926</v>
      </c>
      <c r="H7" s="150"/>
    </row>
    <row r="8" spans="1:10" s="3" customFormat="1" ht="14.45">
      <c r="B8"/>
      <c r="C8"/>
      <c r="D8"/>
    </row>
    <row r="9" spans="1:10" s="3" customFormat="1" ht="37.5" customHeight="1">
      <c r="A9" s="136" t="s">
        <v>197</v>
      </c>
      <c r="B9" s="136"/>
      <c r="C9" s="136"/>
      <c r="D9" s="147" t="s">
        <v>198</v>
      </c>
      <c r="E9" s="147"/>
      <c r="F9" s="36" t="s">
        <v>74</v>
      </c>
      <c r="G9" s="136" t="s">
        <v>199</v>
      </c>
      <c r="H9" s="136"/>
      <c r="I9" s="136"/>
    </row>
    <row r="10" spans="1:10" s="3" customFormat="1" ht="24.75" customHeight="1">
      <c r="A10" s="201" t="s">
        <v>200</v>
      </c>
      <c r="B10" s="201"/>
      <c r="C10" s="201"/>
      <c r="D10" s="360">
        <f>+'Operational Data'!G21</f>
        <v>45669</v>
      </c>
      <c r="E10" s="360"/>
      <c r="F10" s="361" t="s">
        <v>97</v>
      </c>
      <c r="G10" s="362">
        <f>+'Operational Data'!H21</f>
        <v>415.48755352351077</v>
      </c>
      <c r="H10" s="362"/>
      <c r="I10" s="362"/>
    </row>
    <row r="11" spans="1:10" s="3" customFormat="1" ht="24.75" customHeight="1">
      <c r="A11" s="201" t="s">
        <v>201</v>
      </c>
      <c r="B11" s="201"/>
      <c r="C11" s="201"/>
      <c r="D11" s="363">
        <f>+'Operational Data'!G24</f>
        <v>561.20000000000005</v>
      </c>
      <c r="E11" s="363"/>
      <c r="F11" s="361" t="s">
        <v>97</v>
      </c>
      <c r="G11" s="362">
        <f>+'Operational Data'!H24</f>
        <v>5.1056869000283402</v>
      </c>
      <c r="H11" s="362"/>
      <c r="I11" s="362"/>
    </row>
    <row r="12" spans="1:10" s="3" customFormat="1" ht="24.75" customHeight="1">
      <c r="A12" s="201" t="s">
        <v>202</v>
      </c>
      <c r="B12" s="201"/>
      <c r="C12" s="201"/>
      <c r="D12" s="360">
        <f>+'Operational Data'!G22</f>
        <v>37180.400000000001</v>
      </c>
      <c r="E12" s="360"/>
      <c r="F12" s="361" t="s">
        <v>97</v>
      </c>
      <c r="G12" s="362">
        <f>+'Operational Data'!H22</f>
        <v>338.25994514934729</v>
      </c>
      <c r="H12" s="362"/>
      <c r="I12" s="362"/>
    </row>
    <row r="13" spans="1:10" s="3" customFormat="1" ht="24.75" customHeight="1">
      <c r="A13" s="201" t="s">
        <v>203</v>
      </c>
      <c r="B13" s="201"/>
      <c r="C13" s="201"/>
      <c r="D13" s="364"/>
      <c r="E13" s="364"/>
      <c r="F13" s="361" t="s">
        <v>82</v>
      </c>
      <c r="G13" s="365"/>
      <c r="H13" s="365"/>
      <c r="I13" s="365"/>
    </row>
    <row r="14" spans="1:10" s="3" customFormat="1" ht="24.75" customHeight="1">
      <c r="A14" s="201" t="s">
        <v>204</v>
      </c>
      <c r="B14" s="201"/>
      <c r="C14" s="201"/>
      <c r="D14" s="360">
        <f>+'Operational Data'!G27</f>
        <v>0</v>
      </c>
      <c r="E14" s="360"/>
      <c r="F14" s="361" t="s">
        <v>205</v>
      </c>
      <c r="G14" s="362" t="str">
        <f>+'Operational Data'!H27</f>
        <v>-</v>
      </c>
      <c r="H14" s="362"/>
      <c r="I14" s="362"/>
    </row>
    <row r="15" spans="1:10" s="3" customFormat="1" ht="24.75" customHeight="1">
      <c r="A15" s="158"/>
      <c r="B15" s="158"/>
      <c r="C15" s="158"/>
      <c r="D15" s="158"/>
      <c r="E15" s="158"/>
      <c r="F15" s="366"/>
      <c r="G15" s="156"/>
      <c r="H15" s="156"/>
      <c r="I15" s="156"/>
    </row>
    <row r="16" spans="1:10" s="3" customFormat="1" ht="24.75" customHeight="1">
      <c r="A16" s="158"/>
      <c r="B16" s="158"/>
      <c r="C16" s="158"/>
      <c r="D16" s="158"/>
      <c r="E16" s="158"/>
      <c r="F16" s="366"/>
      <c r="G16" s="156"/>
      <c r="H16" s="156"/>
      <c r="I16" s="156"/>
    </row>
    <row r="17" spans="1:9" s="3" customFormat="1" ht="14.45">
      <c r="A17" s="45"/>
      <c r="B17"/>
      <c r="C17"/>
      <c r="D17"/>
    </row>
    <row r="18" spans="1:9" s="3" customFormat="1" ht="24" customHeight="1">
      <c r="A18" s="134" t="s">
        <v>172</v>
      </c>
      <c r="B18" s="134"/>
      <c r="C18" s="134"/>
      <c r="D18" s="134"/>
      <c r="E18" s="134"/>
      <c r="F18" s="134"/>
      <c r="G18" s="134"/>
      <c r="H18" s="134"/>
      <c r="I18" s="134"/>
    </row>
    <row r="19" spans="1:9" s="3" customFormat="1" ht="13.9">
      <c r="A19" s="148"/>
      <c r="B19" s="148"/>
      <c r="C19" s="148"/>
      <c r="D19" s="148"/>
      <c r="E19" s="148"/>
      <c r="F19" s="148"/>
      <c r="G19" s="148"/>
      <c r="H19" s="148"/>
      <c r="I19" s="148"/>
    </row>
    <row r="20" spans="1:9" s="3" customFormat="1" ht="13.9">
      <c r="A20" s="148"/>
      <c r="B20" s="148"/>
      <c r="C20" s="148"/>
      <c r="D20" s="148"/>
      <c r="E20" s="148"/>
      <c r="F20" s="148"/>
      <c r="G20" s="148"/>
      <c r="H20" s="148"/>
      <c r="I20" s="148"/>
    </row>
    <row r="21" spans="1:9" s="3" customFormat="1" ht="13.9">
      <c r="A21" s="148"/>
      <c r="B21" s="148"/>
      <c r="C21" s="148"/>
      <c r="D21" s="148"/>
      <c r="E21" s="148"/>
      <c r="F21" s="148"/>
      <c r="G21" s="148"/>
      <c r="H21" s="148"/>
      <c r="I21" s="148"/>
    </row>
    <row r="22" spans="1:9" s="3" customFormat="1" ht="13.9">
      <c r="A22" s="148"/>
      <c r="B22" s="148"/>
      <c r="C22" s="148"/>
      <c r="D22" s="148"/>
      <c r="E22" s="148"/>
      <c r="F22" s="148"/>
      <c r="G22" s="148"/>
      <c r="H22" s="148"/>
      <c r="I22" s="148"/>
    </row>
    <row r="23" spans="1:9" s="3" customFormat="1" ht="13.9">
      <c r="A23" s="148"/>
      <c r="B23" s="148"/>
      <c r="C23" s="148"/>
      <c r="D23" s="148"/>
      <c r="E23" s="148"/>
      <c r="F23" s="148"/>
      <c r="G23" s="148"/>
      <c r="H23" s="148"/>
      <c r="I23" s="148"/>
    </row>
    <row r="24" spans="1:9" s="3" customFormat="1" ht="13.9">
      <c r="A24" s="148"/>
      <c r="B24" s="148"/>
      <c r="C24" s="148"/>
      <c r="D24" s="148"/>
      <c r="E24" s="148"/>
      <c r="F24" s="148"/>
      <c r="G24" s="148"/>
      <c r="H24" s="148"/>
      <c r="I24" s="148"/>
    </row>
    <row r="25" spans="1:9" s="3" customFormat="1" ht="13.9">
      <c r="A25" s="148"/>
      <c r="B25" s="148"/>
      <c r="C25" s="148"/>
      <c r="D25" s="148"/>
      <c r="E25" s="148"/>
      <c r="F25" s="148"/>
      <c r="G25" s="148"/>
      <c r="H25" s="148"/>
      <c r="I25" s="148"/>
    </row>
    <row r="26" spans="1:9" s="3" customFormat="1" ht="13.9">
      <c r="A26" s="42"/>
      <c r="B26" s="42"/>
      <c r="C26" s="42"/>
      <c r="D26" s="42"/>
      <c r="E26" s="42"/>
      <c r="F26" s="42"/>
      <c r="G26" s="42"/>
      <c r="H26" s="42"/>
      <c r="I26" s="42"/>
    </row>
    <row r="27" spans="1:9" s="3" customFormat="1" ht="13.9"/>
    <row r="28" spans="1:9" s="3" customFormat="1" ht="13.9"/>
    <row r="29" spans="1:9" s="3" customFormat="1" ht="13.9">
      <c r="A29" s="3" t="s">
        <v>193</v>
      </c>
      <c r="B29" s="44"/>
      <c r="C29" s="44"/>
      <c r="D29" s="44"/>
      <c r="E29" s="44"/>
      <c r="G29" s="3" t="s">
        <v>194</v>
      </c>
      <c r="H29" s="44"/>
      <c r="I29" s="44"/>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93"/>
      <c r="B34" s="93"/>
      <c r="C34" s="93"/>
      <c r="D34" s="93"/>
      <c r="E34" s="93"/>
      <c r="F34" s="93"/>
      <c r="G34" s="93"/>
      <c r="H34" s="93"/>
      <c r="I34" s="93"/>
    </row>
    <row r="35" spans="1:9" s="3" customFormat="1" ht="13.9">
      <c r="B35" s="3" t="s">
        <v>8</v>
      </c>
    </row>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80"/>
  <sheetViews>
    <sheetView showGridLines="0" view="pageBreakPreview" zoomScale="60" zoomScaleNormal="100" workbookViewId="0">
      <selection activeCell="B35" sqref="B35:I35"/>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3" t="str">
        <f>+'Cover Page'!$B$29</f>
        <v>Annual Performance Report 2022</v>
      </c>
      <c r="B1" s="93"/>
      <c r="C1" s="93"/>
      <c r="D1" s="93"/>
      <c r="E1" s="93" t="str">
        <f>+'Cover Page'!$B$33</f>
        <v>Wolverhampton Energy from Waste Facility</v>
      </c>
      <c r="F1" s="93"/>
      <c r="G1" s="93"/>
      <c r="H1" s="93"/>
      <c r="I1" s="93"/>
      <c r="J1" s="93"/>
      <c r="K1" s="93"/>
      <c r="L1" s="93"/>
      <c r="M1" s="93"/>
      <c r="N1" s="93"/>
      <c r="O1" s="93"/>
    </row>
    <row r="3" spans="1:15" ht="15.6">
      <c r="A3" s="1" t="s">
        <v>206</v>
      </c>
      <c r="B3" s="93"/>
      <c r="C3" s="93"/>
      <c r="D3" s="93"/>
      <c r="E3" s="93"/>
      <c r="F3" s="93"/>
      <c r="G3" s="93"/>
      <c r="H3" s="93"/>
      <c r="I3" s="93"/>
      <c r="J3" s="93"/>
      <c r="K3" s="93"/>
      <c r="L3" s="93"/>
      <c r="M3" s="93"/>
      <c r="N3" s="93"/>
      <c r="O3" s="93"/>
    </row>
    <row r="4" spans="1:15" ht="15.6">
      <c r="A4" s="1"/>
      <c r="B4" s="93"/>
      <c r="C4" s="93"/>
      <c r="D4" s="93"/>
      <c r="E4" s="93"/>
      <c r="F4" s="93"/>
      <c r="G4" s="93"/>
      <c r="H4" s="93"/>
      <c r="I4" s="93"/>
      <c r="J4" s="93"/>
      <c r="K4" s="93"/>
      <c r="L4" s="93"/>
      <c r="M4" s="93"/>
      <c r="N4" s="93"/>
      <c r="O4" s="93"/>
    </row>
    <row r="5" spans="1:15">
      <c r="A5" s="9" t="s">
        <v>207</v>
      </c>
      <c r="B5" s="93"/>
      <c r="C5" s="93"/>
      <c r="D5" s="93"/>
      <c r="E5" s="93"/>
      <c r="F5" s="93"/>
      <c r="G5" s="93"/>
      <c r="H5" s="93"/>
      <c r="I5" s="93"/>
      <c r="J5" s="93"/>
      <c r="K5" s="93"/>
      <c r="L5" s="93"/>
      <c r="M5" s="93"/>
      <c r="N5" s="93"/>
      <c r="O5" s="93"/>
    </row>
    <row r="6" spans="1:15">
      <c r="A6" s="9"/>
      <c r="B6" s="93"/>
      <c r="C6" s="93"/>
      <c r="D6" s="93"/>
      <c r="E6" s="93"/>
      <c r="F6" s="93"/>
      <c r="G6" s="93"/>
      <c r="H6" s="93"/>
      <c r="I6" s="93"/>
      <c r="J6" s="93"/>
      <c r="K6" s="93"/>
      <c r="L6" s="93"/>
      <c r="M6" s="93"/>
      <c r="N6" s="93"/>
      <c r="O6" s="93"/>
    </row>
    <row r="7" spans="1:15">
      <c r="A7" s="96" t="s">
        <v>208</v>
      </c>
      <c r="B7" s="93"/>
      <c r="C7" s="93"/>
      <c r="D7" s="93"/>
      <c r="E7" s="93"/>
      <c r="F7" s="93"/>
      <c r="G7" s="93"/>
      <c r="H7" s="93"/>
      <c r="I7" s="93"/>
      <c r="J7" s="93"/>
      <c r="K7" s="93"/>
      <c r="L7" s="93"/>
      <c r="M7" s="93"/>
      <c r="N7" s="93"/>
      <c r="O7" s="93"/>
    </row>
    <row r="8" spans="1:15" s="3" customFormat="1" ht="25.5" customHeight="1">
      <c r="A8" s="164" t="s">
        <v>209</v>
      </c>
      <c r="B8" s="165"/>
      <c r="C8" s="164" t="s">
        <v>210</v>
      </c>
      <c r="D8" s="166"/>
      <c r="E8" s="166"/>
      <c r="F8" s="166"/>
      <c r="G8" s="166"/>
      <c r="H8" s="166"/>
      <c r="I8" s="165"/>
      <c r="L8" s="81" t="s">
        <v>3</v>
      </c>
    </row>
    <row r="9" spans="1:15" s="3" customFormat="1" ht="22.5" customHeight="1">
      <c r="A9" s="167"/>
      <c r="B9" s="168"/>
      <c r="C9" s="169" t="s">
        <v>211</v>
      </c>
      <c r="D9" s="169"/>
      <c r="E9" s="169"/>
      <c r="F9" s="169" t="s">
        <v>212</v>
      </c>
      <c r="G9" s="169"/>
      <c r="H9" s="169"/>
      <c r="I9" s="169"/>
      <c r="L9" s="129" t="s">
        <v>213</v>
      </c>
      <c r="M9" s="129"/>
      <c r="N9" s="129"/>
      <c r="O9" s="129"/>
    </row>
    <row r="10" spans="1:15" s="3" customFormat="1" ht="22.5" customHeight="1">
      <c r="A10" s="159" t="s">
        <v>214</v>
      </c>
      <c r="B10" s="159"/>
      <c r="C10" s="160">
        <v>0.99990000000000001</v>
      </c>
      <c r="D10" s="367"/>
      <c r="E10" s="367"/>
      <c r="F10" s="160">
        <v>1</v>
      </c>
      <c r="G10" s="367"/>
      <c r="H10" s="367"/>
      <c r="I10" s="367"/>
      <c r="L10" s="129"/>
      <c r="M10" s="129"/>
      <c r="N10" s="129"/>
      <c r="O10" s="129"/>
    </row>
    <row r="11" spans="1:15" s="3" customFormat="1" ht="22.5" customHeight="1">
      <c r="A11" s="159" t="s">
        <v>215</v>
      </c>
      <c r="B11" s="159"/>
      <c r="C11" s="160">
        <v>1</v>
      </c>
      <c r="D11" s="367"/>
      <c r="E11" s="367"/>
      <c r="F11" s="160">
        <v>1</v>
      </c>
      <c r="G11" s="367"/>
      <c r="H11" s="367"/>
      <c r="I11" s="367"/>
      <c r="L11" s="129"/>
      <c r="M11" s="129"/>
      <c r="N11" s="129"/>
      <c r="O11" s="129"/>
    </row>
    <row r="12" spans="1:15" s="3" customFormat="1" ht="22.5" customHeight="1">
      <c r="A12" s="159" t="s">
        <v>216</v>
      </c>
      <c r="B12" s="159"/>
      <c r="C12" s="160">
        <v>1</v>
      </c>
      <c r="D12" s="367"/>
      <c r="E12" s="367"/>
      <c r="F12" s="160">
        <v>1</v>
      </c>
      <c r="G12" s="367"/>
      <c r="H12" s="367"/>
      <c r="I12" s="367"/>
      <c r="L12" s="129"/>
      <c r="M12" s="129"/>
      <c r="N12" s="129"/>
      <c r="O12" s="129"/>
    </row>
    <row r="13" spans="1:15" s="3" customFormat="1" ht="22.5" customHeight="1">
      <c r="A13" s="159" t="s">
        <v>217</v>
      </c>
      <c r="B13" s="159"/>
      <c r="C13" s="171">
        <v>0.99970000000000003</v>
      </c>
      <c r="D13" s="367"/>
      <c r="E13" s="367"/>
      <c r="F13" s="160">
        <v>0.99450000000000005</v>
      </c>
      <c r="G13" s="367"/>
      <c r="H13" s="367"/>
      <c r="I13" s="367"/>
      <c r="L13" s="129"/>
      <c r="M13" s="129"/>
      <c r="N13" s="129"/>
      <c r="O13" s="129"/>
    </row>
    <row r="14" spans="1:15" s="3" customFormat="1" ht="22.5" customHeight="1">
      <c r="A14" s="159" t="s">
        <v>218</v>
      </c>
      <c r="B14" s="159"/>
      <c r="C14" s="160">
        <v>0.99970000000000003</v>
      </c>
      <c r="D14" s="367"/>
      <c r="E14" s="367"/>
      <c r="F14" s="160">
        <v>0.99729999999999996</v>
      </c>
      <c r="G14" s="367"/>
      <c r="H14" s="367"/>
      <c r="I14" s="367"/>
      <c r="L14" s="129"/>
      <c r="M14" s="129"/>
      <c r="N14" s="129"/>
      <c r="O14" s="129"/>
    </row>
    <row r="15" spans="1:15" s="3" customFormat="1" ht="22.5" customHeight="1">
      <c r="A15" s="159" t="s">
        <v>219</v>
      </c>
      <c r="B15" s="159"/>
      <c r="C15" s="160">
        <v>0.99980000000000002</v>
      </c>
      <c r="D15" s="367"/>
      <c r="E15" s="367"/>
      <c r="F15" s="160">
        <v>0.99729999999999996</v>
      </c>
      <c r="G15" s="367"/>
      <c r="H15" s="367"/>
      <c r="I15" s="367"/>
      <c r="L15" s="129"/>
      <c r="M15" s="129"/>
      <c r="N15" s="129"/>
      <c r="O15" s="129"/>
    </row>
    <row r="16" spans="1:15" s="3" customFormat="1" ht="22.5" customHeight="1">
      <c r="A16" s="159" t="s">
        <v>220</v>
      </c>
      <c r="B16" s="159"/>
      <c r="C16" s="161">
        <v>1</v>
      </c>
      <c r="D16" s="367"/>
      <c r="E16" s="367"/>
      <c r="F16" s="160">
        <v>1</v>
      </c>
      <c r="G16" s="367"/>
      <c r="H16" s="367"/>
      <c r="I16" s="367"/>
      <c r="L16" s="129"/>
      <c r="M16" s="129"/>
      <c r="N16" s="129"/>
      <c r="O16" s="129"/>
    </row>
    <row r="17" spans="1:15" s="3" customFormat="1" ht="22.5" customHeight="1">
      <c r="A17" s="162" t="s">
        <v>221</v>
      </c>
      <c r="B17" s="163"/>
      <c r="C17" s="160">
        <v>0.99990000000000001</v>
      </c>
      <c r="D17" s="367"/>
      <c r="E17" s="367"/>
      <c r="F17" s="160">
        <v>0.99839999999999995</v>
      </c>
      <c r="G17" s="367"/>
      <c r="H17" s="367"/>
      <c r="I17" s="367"/>
      <c r="L17" s="129"/>
      <c r="M17" s="129"/>
      <c r="N17" s="129"/>
      <c r="O17" s="129"/>
    </row>
    <row r="18" spans="1:15" s="3" customFormat="1" ht="13.9">
      <c r="L18" s="129"/>
      <c r="M18" s="129"/>
      <c r="N18" s="129"/>
      <c r="O18" s="129"/>
    </row>
    <row r="19" spans="1:15" s="45" customFormat="1" ht="21.75" customHeight="1">
      <c r="A19" s="151" t="s">
        <v>222</v>
      </c>
      <c r="B19" s="152"/>
      <c r="C19" s="152"/>
      <c r="D19" s="152"/>
      <c r="E19" s="152"/>
      <c r="F19" s="152"/>
      <c r="G19" s="152"/>
      <c r="H19" s="152"/>
      <c r="I19" s="152"/>
      <c r="J19" s="152"/>
      <c r="K19" s="153"/>
    </row>
    <row r="20" spans="1:15" s="3" customFormat="1" ht="38.25" customHeight="1">
      <c r="A20" s="46" t="s">
        <v>52</v>
      </c>
      <c r="B20" s="154" t="s">
        <v>223</v>
      </c>
      <c r="C20" s="154"/>
      <c r="D20" s="154"/>
      <c r="E20" s="154" t="s">
        <v>224</v>
      </c>
      <c r="F20" s="154"/>
      <c r="G20" s="154"/>
      <c r="H20" s="154" t="s">
        <v>225</v>
      </c>
      <c r="I20" s="154"/>
      <c r="J20" s="155"/>
      <c r="K20" s="72"/>
    </row>
    <row r="21" spans="1:15" s="3" customFormat="1" ht="34.9" customHeight="1">
      <c r="A21" s="368">
        <v>44610</v>
      </c>
      <c r="B21" s="157" t="s">
        <v>226</v>
      </c>
      <c r="C21" s="157"/>
      <c r="D21" s="157"/>
      <c r="E21" s="157" t="s">
        <v>227</v>
      </c>
      <c r="F21" s="157"/>
      <c r="G21" s="157"/>
      <c r="H21" s="158" t="s">
        <v>228</v>
      </c>
      <c r="I21" s="158"/>
      <c r="J21" s="350"/>
      <c r="K21" s="72"/>
    </row>
    <row r="22" spans="1:15" s="3" customFormat="1" ht="13.9">
      <c r="A22" s="368">
        <v>44623</v>
      </c>
      <c r="B22" s="157" t="s">
        <v>229</v>
      </c>
      <c r="C22" s="157"/>
      <c r="D22" s="157"/>
      <c r="E22" s="172" t="s">
        <v>230</v>
      </c>
      <c r="F22" s="178"/>
      <c r="G22" s="173"/>
      <c r="H22" s="172" t="s">
        <v>231</v>
      </c>
      <c r="I22" s="173"/>
      <c r="J22" s="369"/>
      <c r="K22" s="72"/>
    </row>
    <row r="23" spans="1:15" s="3" customFormat="1" ht="13.9">
      <c r="A23" s="368">
        <v>44623</v>
      </c>
      <c r="B23" s="157" t="s">
        <v>232</v>
      </c>
      <c r="C23" s="157"/>
      <c r="D23" s="157"/>
      <c r="E23" s="174"/>
      <c r="F23" s="179"/>
      <c r="G23" s="175"/>
      <c r="H23" s="174"/>
      <c r="I23" s="175"/>
      <c r="J23" s="369"/>
      <c r="K23" s="72"/>
    </row>
    <row r="24" spans="1:15" s="3" customFormat="1" ht="13.9">
      <c r="A24" s="368">
        <v>44623</v>
      </c>
      <c r="B24" s="157" t="s">
        <v>233</v>
      </c>
      <c r="C24" s="157"/>
      <c r="D24" s="157"/>
      <c r="E24" s="174"/>
      <c r="F24" s="179"/>
      <c r="G24" s="175"/>
      <c r="H24" s="174"/>
      <c r="I24" s="175"/>
      <c r="J24" s="369"/>
      <c r="K24" s="72"/>
    </row>
    <row r="25" spans="1:15" s="3" customFormat="1" ht="13.9">
      <c r="A25" s="368">
        <v>44623</v>
      </c>
      <c r="B25" s="157" t="s">
        <v>234</v>
      </c>
      <c r="C25" s="157"/>
      <c r="D25" s="157"/>
      <c r="E25" s="176"/>
      <c r="F25" s="180"/>
      <c r="G25" s="177"/>
      <c r="H25" s="176"/>
      <c r="I25" s="177"/>
      <c r="J25" s="369"/>
      <c r="K25" s="72"/>
    </row>
    <row r="26" spans="1:15" s="3" customFormat="1" ht="30" customHeight="1">
      <c r="A26" s="368">
        <v>44672</v>
      </c>
      <c r="B26" s="157" t="s">
        <v>235</v>
      </c>
      <c r="C26" s="157"/>
      <c r="D26" s="157"/>
      <c r="E26" s="157" t="s">
        <v>227</v>
      </c>
      <c r="F26" s="157"/>
      <c r="G26" s="157"/>
      <c r="H26" s="158" t="s">
        <v>228</v>
      </c>
      <c r="I26" s="158"/>
      <c r="J26" s="369"/>
      <c r="K26" s="72"/>
    </row>
    <row r="27" spans="1:15" s="3" customFormat="1" ht="33" customHeight="1">
      <c r="A27" s="368">
        <v>44740</v>
      </c>
      <c r="B27" s="157" t="s">
        <v>236</v>
      </c>
      <c r="C27" s="157"/>
      <c r="D27" s="157"/>
      <c r="E27" s="158" t="s">
        <v>237</v>
      </c>
      <c r="F27" s="158"/>
      <c r="G27" s="158"/>
      <c r="H27" s="158" t="s">
        <v>238</v>
      </c>
      <c r="I27" s="158"/>
      <c r="J27" s="369"/>
      <c r="K27" s="72"/>
    </row>
    <row r="28" spans="1:15" s="3" customFormat="1" ht="58.9" customHeight="1">
      <c r="A28" s="368">
        <v>44762</v>
      </c>
      <c r="B28" s="157" t="s">
        <v>239</v>
      </c>
      <c r="C28" s="157"/>
      <c r="D28" s="157"/>
      <c r="E28" s="158" t="s">
        <v>240</v>
      </c>
      <c r="F28" s="158"/>
      <c r="G28" s="158"/>
      <c r="H28" s="158" t="s">
        <v>241</v>
      </c>
      <c r="I28" s="158"/>
      <c r="J28" s="369"/>
      <c r="K28" s="72"/>
    </row>
    <row r="29" spans="1:15" s="3" customFormat="1" ht="69" customHeight="1">
      <c r="A29" s="368">
        <v>44830</v>
      </c>
      <c r="B29" s="157" t="s">
        <v>242</v>
      </c>
      <c r="C29" s="157"/>
      <c r="D29" s="157"/>
      <c r="E29" s="158" t="s">
        <v>243</v>
      </c>
      <c r="F29" s="158"/>
      <c r="G29" s="158"/>
      <c r="H29" s="158" t="s">
        <v>244</v>
      </c>
      <c r="I29" s="158"/>
      <c r="J29" s="369"/>
      <c r="K29" s="72"/>
    </row>
    <row r="30" spans="1:15" s="3" customFormat="1" ht="13.9">
      <c r="A30" s="368">
        <v>44856</v>
      </c>
      <c r="B30" s="157" t="s">
        <v>245</v>
      </c>
      <c r="C30" s="157"/>
      <c r="D30" s="157"/>
      <c r="E30" s="172" t="s">
        <v>246</v>
      </c>
      <c r="F30" s="178"/>
      <c r="G30" s="173"/>
      <c r="H30" s="172" t="s">
        <v>247</v>
      </c>
      <c r="I30" s="173"/>
      <c r="J30" s="369"/>
      <c r="K30" s="72"/>
    </row>
    <row r="31" spans="1:15" s="3" customFormat="1" ht="13.9">
      <c r="A31" s="368">
        <v>44857</v>
      </c>
      <c r="B31" s="157" t="s">
        <v>248</v>
      </c>
      <c r="C31" s="157"/>
      <c r="D31" s="157"/>
      <c r="E31" s="174"/>
      <c r="F31" s="179"/>
      <c r="G31" s="175"/>
      <c r="H31" s="174"/>
      <c r="I31" s="175"/>
      <c r="J31" s="369"/>
      <c r="K31" s="72"/>
    </row>
    <row r="32" spans="1:15" s="3" customFormat="1" ht="13.9">
      <c r="A32" s="368">
        <v>44857</v>
      </c>
      <c r="B32" s="157" t="s">
        <v>249</v>
      </c>
      <c r="C32" s="157"/>
      <c r="D32" s="157"/>
      <c r="E32" s="174"/>
      <c r="F32" s="179"/>
      <c r="G32" s="175"/>
      <c r="H32" s="174"/>
      <c r="I32" s="175"/>
      <c r="J32" s="369"/>
      <c r="K32" s="72"/>
    </row>
    <row r="33" spans="1:11" s="3" customFormat="1" ht="13.9">
      <c r="A33" s="368">
        <v>44861</v>
      </c>
      <c r="B33" s="157" t="s">
        <v>250</v>
      </c>
      <c r="C33" s="157"/>
      <c r="D33" s="157"/>
      <c r="E33" s="174"/>
      <c r="F33" s="179"/>
      <c r="G33" s="175"/>
      <c r="H33" s="174"/>
      <c r="I33" s="175"/>
      <c r="J33" s="369"/>
      <c r="K33" s="72"/>
    </row>
    <row r="34" spans="1:11" s="3" customFormat="1" ht="13.9">
      <c r="A34" s="368">
        <v>44865</v>
      </c>
      <c r="B34" s="157" t="s">
        <v>251</v>
      </c>
      <c r="C34" s="157"/>
      <c r="D34" s="157"/>
      <c r="E34" s="176"/>
      <c r="F34" s="180"/>
      <c r="G34" s="177"/>
      <c r="H34" s="176"/>
      <c r="I34" s="177"/>
      <c r="J34" s="369"/>
      <c r="K34" s="72"/>
    </row>
    <row r="35" spans="1:11" s="3" customFormat="1" ht="57.6" customHeight="1">
      <c r="A35" s="368">
        <v>44866</v>
      </c>
      <c r="B35" s="157" t="s">
        <v>8</v>
      </c>
      <c r="C35" s="157"/>
      <c r="D35" s="157"/>
      <c r="E35" s="158" t="s">
        <v>252</v>
      </c>
      <c r="F35" s="158"/>
      <c r="G35" s="158"/>
      <c r="H35" s="158" t="s">
        <v>253</v>
      </c>
      <c r="I35" s="158"/>
      <c r="J35" s="369"/>
      <c r="K35" s="72"/>
    </row>
    <row r="36" spans="1:11" s="3" customFormat="1" ht="43.9" customHeight="1">
      <c r="A36" s="368">
        <v>44868</v>
      </c>
      <c r="B36" s="157" t="s">
        <v>254</v>
      </c>
      <c r="C36" s="157"/>
      <c r="D36" s="157"/>
      <c r="E36" s="158" t="s">
        <v>255</v>
      </c>
      <c r="F36" s="158"/>
      <c r="G36" s="158"/>
      <c r="H36" s="157" t="s">
        <v>256</v>
      </c>
      <c r="I36" s="157"/>
      <c r="J36" s="369"/>
      <c r="K36" s="72"/>
    </row>
    <row r="37" spans="1:11" s="3" customFormat="1" ht="39" customHeight="1">
      <c r="A37" s="368">
        <v>44870</v>
      </c>
      <c r="B37" s="157" t="s">
        <v>257</v>
      </c>
      <c r="C37" s="157"/>
      <c r="D37" s="157"/>
      <c r="E37" s="157" t="s">
        <v>227</v>
      </c>
      <c r="F37" s="157"/>
      <c r="G37" s="157"/>
      <c r="H37" s="158" t="s">
        <v>258</v>
      </c>
      <c r="I37" s="158"/>
      <c r="J37" s="350"/>
      <c r="K37" s="72"/>
    </row>
    <row r="38" spans="1:11" s="3" customFormat="1" ht="38.450000000000003" customHeight="1">
      <c r="A38" s="368">
        <v>44905</v>
      </c>
      <c r="B38" s="157" t="s">
        <v>259</v>
      </c>
      <c r="C38" s="157"/>
      <c r="D38" s="157"/>
      <c r="E38" s="158" t="s">
        <v>260</v>
      </c>
      <c r="F38" s="158"/>
      <c r="G38" s="158"/>
      <c r="H38" s="157" t="s">
        <v>256</v>
      </c>
      <c r="I38" s="157"/>
      <c r="J38" s="370"/>
      <c r="K38" s="72"/>
    </row>
    <row r="39" spans="1:11" s="3" customFormat="1" ht="13.9"/>
    <row r="40" spans="1:11" s="45" customFormat="1" ht="22.5" customHeight="1">
      <c r="A40" s="151" t="s">
        <v>261</v>
      </c>
      <c r="B40" s="152"/>
      <c r="C40" s="152"/>
      <c r="D40" s="152"/>
      <c r="E40" s="152"/>
      <c r="F40" s="152"/>
      <c r="G40" s="152"/>
      <c r="H40" s="152"/>
      <c r="I40" s="152"/>
      <c r="J40" s="152"/>
      <c r="K40" s="153"/>
    </row>
    <row r="41" spans="1:11" s="3" customFormat="1" ht="39" customHeight="1">
      <c r="A41" s="46" t="s">
        <v>52</v>
      </c>
      <c r="B41" s="154" t="s">
        <v>262</v>
      </c>
      <c r="C41" s="154"/>
      <c r="D41" s="154"/>
      <c r="E41" s="154" t="s">
        <v>263</v>
      </c>
      <c r="F41" s="154"/>
      <c r="G41" s="154"/>
      <c r="H41" s="154" t="s">
        <v>225</v>
      </c>
      <c r="I41" s="154"/>
      <c r="J41" s="155"/>
      <c r="K41" s="72"/>
    </row>
    <row r="42" spans="1:11" s="3" customFormat="1" ht="13.9">
      <c r="A42" s="112"/>
      <c r="B42" s="156" t="s">
        <v>264</v>
      </c>
      <c r="C42" s="156"/>
      <c r="D42" s="156"/>
      <c r="E42" s="156"/>
      <c r="F42" s="156"/>
      <c r="G42" s="156"/>
      <c r="H42" s="156"/>
      <c r="I42" s="156"/>
      <c r="J42" s="371"/>
      <c r="K42" s="72"/>
    </row>
    <row r="43" spans="1:11" s="3" customFormat="1" ht="13.9">
      <c r="A43" s="112"/>
      <c r="B43" s="156"/>
      <c r="C43" s="156"/>
      <c r="D43" s="156"/>
      <c r="E43" s="156"/>
      <c r="F43" s="156"/>
      <c r="G43" s="156"/>
      <c r="H43" s="156"/>
      <c r="I43" s="156"/>
      <c r="J43" s="371"/>
      <c r="K43" s="72"/>
    </row>
    <row r="44" spans="1:11" ht="14.25" customHeight="1">
      <c r="A44" s="112"/>
      <c r="B44" s="156"/>
      <c r="C44" s="156"/>
      <c r="D44" s="156"/>
      <c r="E44" s="156"/>
      <c r="F44" s="156"/>
      <c r="G44" s="156"/>
      <c r="H44" s="156"/>
      <c r="I44" s="156"/>
      <c r="J44" s="371"/>
      <c r="K44" s="72"/>
    </row>
    <row r="45" spans="1:11" s="3" customFormat="1" ht="13.9">
      <c r="A45" s="112"/>
      <c r="B45" s="156"/>
      <c r="C45" s="156"/>
      <c r="D45" s="156"/>
      <c r="E45" s="156"/>
      <c r="F45" s="156"/>
      <c r="G45" s="156"/>
      <c r="H45" s="156"/>
      <c r="I45" s="156"/>
      <c r="J45" s="371"/>
      <c r="K45" s="72"/>
    </row>
    <row r="46" spans="1:11" s="3" customFormat="1" ht="13.9">
      <c r="A46" s="112"/>
      <c r="B46" s="156"/>
      <c r="C46" s="156"/>
      <c r="D46" s="156"/>
      <c r="E46" s="156"/>
      <c r="F46" s="156"/>
      <c r="G46" s="156"/>
      <c r="H46" s="156"/>
      <c r="I46" s="156"/>
      <c r="J46" s="371"/>
      <c r="K46" s="72"/>
    </row>
    <row r="47" spans="1:11" s="3" customFormat="1" ht="29.25" customHeight="1">
      <c r="A47" s="96"/>
      <c r="E47" s="170" t="s">
        <v>265</v>
      </c>
      <c r="F47" s="170"/>
      <c r="G47" s="170"/>
      <c r="H47" s="170"/>
      <c r="I47" s="170"/>
      <c r="J47" s="96"/>
    </row>
    <row r="80" spans="6:6">
      <c r="F80" s="3"/>
    </row>
  </sheetData>
  <mergeCells count="94">
    <mergeCell ref="B36:D36"/>
    <mergeCell ref="H26:I26"/>
    <mergeCell ref="H22:I25"/>
    <mergeCell ref="E35:G35"/>
    <mergeCell ref="E36:G36"/>
    <mergeCell ref="E30:G34"/>
    <mergeCell ref="E27:G27"/>
    <mergeCell ref="E28:G28"/>
    <mergeCell ref="E29:G29"/>
    <mergeCell ref="E26:G26"/>
    <mergeCell ref="E22:G25"/>
    <mergeCell ref="H35:I35"/>
    <mergeCell ref="H36:I36"/>
    <mergeCell ref="H30:I34"/>
    <mergeCell ref="H27:I27"/>
    <mergeCell ref="H28:I28"/>
    <mergeCell ref="B31:D31"/>
    <mergeCell ref="B32:D32"/>
    <mergeCell ref="B33:D33"/>
    <mergeCell ref="B34:D34"/>
    <mergeCell ref="H29:I29"/>
    <mergeCell ref="B35:D35"/>
    <mergeCell ref="L9:O18"/>
    <mergeCell ref="E47:I47"/>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H38:J38"/>
    <mergeCell ref="B20:D20"/>
    <mergeCell ref="E20:G20"/>
    <mergeCell ref="H20:J20"/>
    <mergeCell ref="B21:D21"/>
    <mergeCell ref="E21:G21"/>
    <mergeCell ref="H21:J21"/>
    <mergeCell ref="B22:D22"/>
    <mergeCell ref="B23:D23"/>
    <mergeCell ref="B24:D24"/>
    <mergeCell ref="B25:D25"/>
    <mergeCell ref="B26:D26"/>
    <mergeCell ref="B27:D27"/>
    <mergeCell ref="B28:D28"/>
    <mergeCell ref="B29:D29"/>
    <mergeCell ref="B30:D30"/>
    <mergeCell ref="B46:D46"/>
    <mergeCell ref="E46:G46"/>
    <mergeCell ref="H46:J46"/>
    <mergeCell ref="B43:D43"/>
    <mergeCell ref="E43:G43"/>
    <mergeCell ref="H43:J43"/>
    <mergeCell ref="B44:D44"/>
    <mergeCell ref="E44:G44"/>
    <mergeCell ref="H44:J44"/>
    <mergeCell ref="A40:K40"/>
    <mergeCell ref="A19:K19"/>
    <mergeCell ref="B45:D45"/>
    <mergeCell ref="E45:G45"/>
    <mergeCell ref="H45:J45"/>
    <mergeCell ref="B41:D41"/>
    <mergeCell ref="E41:G41"/>
    <mergeCell ref="H41:J41"/>
    <mergeCell ref="B42:D42"/>
    <mergeCell ref="E42:G42"/>
    <mergeCell ref="H42:J42"/>
    <mergeCell ref="B37:D37"/>
    <mergeCell ref="E37:G37"/>
    <mergeCell ref="H37:J37"/>
    <mergeCell ref="B38:D38"/>
    <mergeCell ref="E38:G38"/>
  </mergeCells>
  <pageMargins left="0.7" right="0.7" top="0.75" bottom="0.75" header="0.3" footer="0.3"/>
  <pageSetup paperSize="9" scale="82" orientation="portrait" r:id="rId1"/>
  <headerFooter scaleWithDoc="0">
    <oddFooter>&amp;C&amp;"Arial,Regular"Page &amp;P</oddFooter>
  </headerFooter>
  <rowBreaks count="1" manualBreakCount="1">
    <brk id="34" max="10"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view="pageBreakPreview" zoomScale="60" zoomScaleNormal="100" workbookViewId="0">
      <selection activeCell="B35" sqref="B35:I3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93" t="str">
        <f>+'Cover Page'!$B$29</f>
        <v>Annual Performance Report 2022</v>
      </c>
      <c r="B1" s="93"/>
      <c r="C1" s="93"/>
      <c r="D1" s="93"/>
      <c r="E1" s="93" t="str">
        <f>+'Cover Page'!$B$33</f>
        <v>Wolverhampton Energy from Waste Facility</v>
      </c>
      <c r="F1" s="93"/>
      <c r="G1" s="93"/>
      <c r="H1" s="93"/>
      <c r="I1" s="93"/>
      <c r="J1" s="93"/>
    </row>
    <row r="3" spans="1:10" ht="15.6">
      <c r="A3" s="1" t="s">
        <v>266</v>
      </c>
      <c r="B3" s="93"/>
      <c r="C3" s="93"/>
      <c r="D3" s="93"/>
      <c r="E3" s="93"/>
      <c r="F3" s="93"/>
      <c r="G3" s="93"/>
      <c r="H3" s="93"/>
      <c r="I3" s="93"/>
      <c r="J3" s="93"/>
    </row>
    <row r="4" spans="1:10" ht="15.6">
      <c r="A4" s="1"/>
      <c r="B4" s="93"/>
      <c r="C4" s="93"/>
      <c r="D4" s="93"/>
      <c r="E4" s="93"/>
      <c r="F4" s="93"/>
      <c r="G4" s="93"/>
      <c r="H4" s="93"/>
      <c r="I4" s="93"/>
      <c r="J4" s="93"/>
    </row>
    <row r="5" spans="1:10" s="3" customFormat="1" ht="13.9">
      <c r="A5" s="185" t="s">
        <v>267</v>
      </c>
      <c r="B5" s="186"/>
      <c r="C5" s="186"/>
      <c r="D5" s="186"/>
      <c r="E5" s="186"/>
      <c r="F5" s="186"/>
      <c r="G5" s="186"/>
      <c r="H5" s="186"/>
      <c r="I5" s="186"/>
      <c r="J5" s="187"/>
    </row>
    <row r="6" spans="1:10" s="3" customFormat="1" ht="15.75" customHeight="1">
      <c r="A6" s="128" t="s">
        <v>268</v>
      </c>
      <c r="B6" s="130"/>
      <c r="C6" s="130"/>
      <c r="D6" s="130"/>
      <c r="E6" s="130"/>
      <c r="F6" s="130"/>
      <c r="G6" s="130"/>
      <c r="H6" s="130"/>
      <c r="I6" s="130"/>
      <c r="J6" s="194"/>
    </row>
    <row r="7" spans="1:10" s="3" customFormat="1" ht="15.75" customHeight="1">
      <c r="A7" s="282"/>
      <c r="B7" s="131"/>
      <c r="C7" s="131"/>
      <c r="D7" s="131"/>
      <c r="E7" s="131"/>
      <c r="F7" s="131"/>
      <c r="G7" s="131"/>
      <c r="H7" s="131"/>
      <c r="I7" s="131"/>
      <c r="J7" s="283"/>
    </row>
    <row r="8" spans="1:10" s="3" customFormat="1" ht="15.75" customHeight="1">
      <c r="A8" s="282"/>
      <c r="B8" s="131"/>
      <c r="C8" s="131"/>
      <c r="D8" s="131"/>
      <c r="E8" s="131"/>
      <c r="F8" s="131"/>
      <c r="G8" s="131"/>
      <c r="H8" s="131"/>
      <c r="I8" s="131"/>
      <c r="J8" s="283"/>
    </row>
    <row r="9" spans="1:10" s="3" customFormat="1" ht="15.75" customHeight="1">
      <c r="A9" s="282"/>
      <c r="B9" s="131"/>
      <c r="C9" s="131"/>
      <c r="D9" s="131"/>
      <c r="E9" s="131"/>
      <c r="F9" s="131"/>
      <c r="G9" s="131"/>
      <c r="H9" s="131"/>
      <c r="I9" s="131"/>
      <c r="J9" s="283"/>
    </row>
    <row r="10" spans="1:10" s="3" customFormat="1" ht="15.75" customHeight="1">
      <c r="A10" s="282"/>
      <c r="B10" s="131"/>
      <c r="C10" s="131"/>
      <c r="D10" s="131"/>
      <c r="E10" s="131"/>
      <c r="F10" s="131"/>
      <c r="G10" s="131"/>
      <c r="H10" s="131"/>
      <c r="I10" s="131"/>
      <c r="J10" s="283"/>
    </row>
    <row r="11" spans="1:10" s="3" customFormat="1" ht="15.75" customHeight="1">
      <c r="A11" s="282"/>
      <c r="B11" s="131"/>
      <c r="C11" s="131"/>
      <c r="D11" s="131"/>
      <c r="E11" s="131"/>
      <c r="F11" s="131"/>
      <c r="G11" s="131"/>
      <c r="H11" s="131"/>
      <c r="I11" s="131"/>
      <c r="J11" s="283"/>
    </row>
    <row r="12" spans="1:10" s="3" customFormat="1" ht="15.75" customHeight="1">
      <c r="A12" s="282"/>
      <c r="B12" s="131"/>
      <c r="C12" s="131"/>
      <c r="D12" s="131"/>
      <c r="E12" s="131"/>
      <c r="F12" s="131"/>
      <c r="G12" s="131"/>
      <c r="H12" s="131"/>
      <c r="I12" s="131"/>
      <c r="J12" s="283"/>
    </row>
    <row r="13" spans="1:10" s="3" customFormat="1" ht="15.75" customHeight="1">
      <c r="A13" s="282"/>
      <c r="B13" s="131"/>
      <c r="C13" s="131"/>
      <c r="D13" s="131"/>
      <c r="E13" s="131"/>
      <c r="F13" s="131"/>
      <c r="G13" s="131"/>
      <c r="H13" s="131"/>
      <c r="I13" s="131"/>
      <c r="J13" s="283"/>
    </row>
    <row r="14" spans="1:10" s="3" customFormat="1" ht="15.75" customHeight="1">
      <c r="A14" s="195"/>
      <c r="B14" s="196"/>
      <c r="C14" s="196"/>
      <c r="D14" s="196"/>
      <c r="E14" s="196"/>
      <c r="F14" s="196"/>
      <c r="G14" s="196"/>
      <c r="H14" s="196"/>
      <c r="I14" s="196"/>
      <c r="J14" s="197"/>
    </row>
    <row r="15" spans="1:10" s="3" customFormat="1" ht="13.9"/>
    <row r="16" spans="1:10" s="47" customFormat="1" ht="33.75" customHeight="1">
      <c r="A16" s="181" t="s">
        <v>269</v>
      </c>
      <c r="B16" s="182"/>
      <c r="C16" s="182"/>
      <c r="D16" s="182"/>
      <c r="E16" s="182"/>
      <c r="F16" s="182"/>
      <c r="G16" s="182"/>
      <c r="H16" s="182"/>
      <c r="I16" s="182"/>
      <c r="J16" s="183"/>
    </row>
    <row r="17" spans="1:10" ht="15.75" customHeight="1">
      <c r="A17" s="128" t="s">
        <v>270</v>
      </c>
      <c r="B17" s="192"/>
      <c r="C17" s="192"/>
      <c r="D17" s="192"/>
      <c r="E17" s="192"/>
      <c r="F17" s="192"/>
      <c r="G17" s="192"/>
      <c r="H17" s="192"/>
      <c r="I17" s="192"/>
      <c r="J17" s="189"/>
    </row>
    <row r="18" spans="1:10" ht="15.75" customHeight="1">
      <c r="A18" s="327"/>
      <c r="B18" s="328"/>
      <c r="C18" s="328"/>
      <c r="D18" s="328"/>
      <c r="E18" s="328"/>
      <c r="F18" s="328"/>
      <c r="G18" s="328"/>
      <c r="H18" s="328"/>
      <c r="I18" s="328"/>
      <c r="J18" s="329"/>
    </row>
    <row r="19" spans="1:10" ht="15.75" customHeight="1">
      <c r="A19" s="327"/>
      <c r="B19" s="328"/>
      <c r="C19" s="328"/>
      <c r="D19" s="328"/>
      <c r="E19" s="328"/>
      <c r="F19" s="328"/>
      <c r="G19" s="328"/>
      <c r="H19" s="328"/>
      <c r="I19" s="328"/>
      <c r="J19" s="329"/>
    </row>
    <row r="20" spans="1:10" ht="15.75" customHeight="1">
      <c r="A20" s="327"/>
      <c r="B20" s="328"/>
      <c r="C20" s="328"/>
      <c r="D20" s="328"/>
      <c r="E20" s="328"/>
      <c r="F20" s="328"/>
      <c r="G20" s="328"/>
      <c r="H20" s="328"/>
      <c r="I20" s="328"/>
      <c r="J20" s="329"/>
    </row>
    <row r="21" spans="1:10" ht="15.75" customHeight="1">
      <c r="A21" s="327"/>
      <c r="B21" s="328"/>
      <c r="C21" s="328"/>
      <c r="D21" s="328"/>
      <c r="E21" s="328"/>
      <c r="F21" s="328"/>
      <c r="G21" s="328"/>
      <c r="H21" s="328"/>
      <c r="I21" s="328"/>
      <c r="J21" s="329"/>
    </row>
    <row r="22" spans="1:10" ht="15.75" customHeight="1">
      <c r="A22" s="327"/>
      <c r="B22" s="328"/>
      <c r="C22" s="328"/>
      <c r="D22" s="328"/>
      <c r="E22" s="328"/>
      <c r="F22" s="328"/>
      <c r="G22" s="328"/>
      <c r="H22" s="328"/>
      <c r="I22" s="328"/>
      <c r="J22" s="329"/>
    </row>
    <row r="23" spans="1:10" ht="15.75" customHeight="1">
      <c r="A23" s="327"/>
      <c r="B23" s="328"/>
      <c r="C23" s="328"/>
      <c r="D23" s="328"/>
      <c r="E23" s="328"/>
      <c r="F23" s="328"/>
      <c r="G23" s="328"/>
      <c r="H23" s="328"/>
      <c r="I23" s="328"/>
      <c r="J23" s="329"/>
    </row>
    <row r="24" spans="1:10" ht="15.75" customHeight="1">
      <c r="A24" s="327"/>
      <c r="B24" s="328"/>
      <c r="C24" s="328"/>
      <c r="D24" s="328"/>
      <c r="E24" s="328"/>
      <c r="F24" s="328"/>
      <c r="G24" s="328"/>
      <c r="H24" s="328"/>
      <c r="I24" s="328"/>
      <c r="J24" s="329"/>
    </row>
    <row r="25" spans="1:10" ht="15.75" customHeight="1">
      <c r="A25" s="190"/>
      <c r="B25" s="193"/>
      <c r="C25" s="193"/>
      <c r="D25" s="193"/>
      <c r="E25" s="193"/>
      <c r="F25" s="193"/>
      <c r="G25" s="193"/>
      <c r="H25" s="193"/>
      <c r="I25" s="193"/>
      <c r="J25" s="191"/>
    </row>
    <row r="26" spans="1:10" ht="15.6">
      <c r="A26" s="1"/>
      <c r="B26" s="93"/>
      <c r="C26" s="93"/>
      <c r="D26" s="93"/>
      <c r="E26" s="93"/>
      <c r="F26" s="93"/>
      <c r="G26" s="93"/>
      <c r="H26" s="93"/>
      <c r="I26" s="93"/>
      <c r="J26" s="93"/>
    </row>
    <row r="27" spans="1:10" ht="36.75" customHeight="1">
      <c r="A27" s="181" t="s">
        <v>271</v>
      </c>
      <c r="B27" s="182"/>
      <c r="C27" s="182"/>
      <c r="D27" s="182"/>
      <c r="E27" s="182"/>
      <c r="F27" s="182"/>
      <c r="G27" s="182"/>
      <c r="H27" s="182"/>
      <c r="I27" s="182"/>
      <c r="J27" s="183"/>
    </row>
    <row r="28" spans="1:10" ht="15.75" customHeight="1">
      <c r="A28" s="188" t="s">
        <v>272</v>
      </c>
      <c r="B28" s="192"/>
      <c r="C28" s="192"/>
      <c r="D28" s="192"/>
      <c r="E28" s="192"/>
      <c r="F28" s="192"/>
      <c r="G28" s="192"/>
      <c r="H28" s="192"/>
      <c r="I28" s="192"/>
      <c r="J28" s="189"/>
    </row>
    <row r="29" spans="1:10" ht="15.75" customHeight="1">
      <c r="A29" s="327"/>
      <c r="B29" s="328"/>
      <c r="C29" s="328"/>
      <c r="D29" s="328"/>
      <c r="E29" s="328"/>
      <c r="F29" s="328"/>
      <c r="G29" s="328"/>
      <c r="H29" s="328"/>
      <c r="I29" s="328"/>
      <c r="J29" s="329"/>
    </row>
    <row r="30" spans="1:10" ht="15.75" customHeight="1">
      <c r="A30" s="327"/>
      <c r="B30" s="328"/>
      <c r="C30" s="328"/>
      <c r="D30" s="328"/>
      <c r="E30" s="328"/>
      <c r="F30" s="328"/>
      <c r="G30" s="328"/>
      <c r="H30" s="328"/>
      <c r="I30" s="328"/>
      <c r="J30" s="329"/>
    </row>
    <row r="31" spans="1:10" ht="15.75" customHeight="1">
      <c r="A31" s="327"/>
      <c r="B31" s="328"/>
      <c r="C31" s="328"/>
      <c r="D31" s="328"/>
      <c r="E31" s="328"/>
      <c r="F31" s="328"/>
      <c r="G31" s="328"/>
      <c r="H31" s="328"/>
      <c r="I31" s="328"/>
      <c r="J31" s="329"/>
    </row>
    <row r="32" spans="1:10" ht="15.75" customHeight="1">
      <c r="A32" s="327"/>
      <c r="B32" s="328"/>
      <c r="C32" s="328"/>
      <c r="D32" s="328"/>
      <c r="E32" s="328"/>
      <c r="F32" s="328"/>
      <c r="G32" s="328"/>
      <c r="H32" s="328"/>
      <c r="I32" s="328"/>
      <c r="J32" s="329"/>
    </row>
    <row r="33" spans="1:10" ht="15.75" customHeight="1">
      <c r="A33" s="327"/>
      <c r="B33" s="328"/>
      <c r="C33" s="328"/>
      <c r="D33" s="328"/>
      <c r="E33" s="328"/>
      <c r="F33" s="328"/>
      <c r="G33" s="328"/>
      <c r="H33" s="328"/>
      <c r="I33" s="328"/>
      <c r="J33" s="329"/>
    </row>
    <row r="34" spans="1:10" ht="15.75" customHeight="1">
      <c r="A34" s="327"/>
      <c r="B34" s="328"/>
      <c r="C34" s="328"/>
      <c r="D34" s="328"/>
      <c r="E34" s="328"/>
      <c r="F34" s="328"/>
      <c r="G34" s="328"/>
      <c r="H34" s="328"/>
      <c r="I34" s="328"/>
      <c r="J34" s="329"/>
    </row>
    <row r="35" spans="1:10" ht="15.75" customHeight="1">
      <c r="A35" s="327"/>
      <c r="B35" s="328"/>
      <c r="C35" s="328"/>
      <c r="D35" s="328"/>
      <c r="E35" s="328"/>
      <c r="F35" s="328"/>
      <c r="G35" s="328"/>
      <c r="H35" s="328"/>
      <c r="I35" s="328"/>
      <c r="J35" s="329"/>
    </row>
    <row r="36" spans="1:10" ht="15.75" customHeight="1">
      <c r="A36" s="190"/>
      <c r="B36" s="193"/>
      <c r="C36" s="193"/>
      <c r="D36" s="193"/>
      <c r="E36" s="193"/>
      <c r="F36" s="193"/>
      <c r="G36" s="193"/>
      <c r="H36" s="193"/>
      <c r="I36" s="193"/>
      <c r="J36" s="191"/>
    </row>
    <row r="38" spans="1:10" ht="33" customHeight="1">
      <c r="A38" s="181" t="s">
        <v>273</v>
      </c>
      <c r="B38" s="182"/>
      <c r="C38" s="182"/>
      <c r="D38" s="182"/>
      <c r="E38" s="182"/>
      <c r="F38" s="182"/>
      <c r="G38" s="182"/>
      <c r="H38" s="182"/>
      <c r="I38" s="182"/>
      <c r="J38" s="183"/>
    </row>
    <row r="39" spans="1:10" ht="15.75" customHeight="1">
      <c r="A39" s="184" t="s">
        <v>274</v>
      </c>
      <c r="B39" s="372"/>
      <c r="C39" s="372"/>
      <c r="D39" s="372"/>
      <c r="E39" s="372"/>
      <c r="F39" s="372"/>
      <c r="G39" s="372"/>
      <c r="H39" s="372"/>
      <c r="I39" s="372"/>
      <c r="J39" s="373"/>
    </row>
    <row r="40" spans="1:10" ht="15.75" customHeight="1">
      <c r="A40" s="374"/>
      <c r="B40" s="375"/>
      <c r="C40" s="375"/>
      <c r="D40" s="375"/>
      <c r="E40" s="375"/>
      <c r="F40" s="375"/>
      <c r="G40" s="375"/>
      <c r="H40" s="375"/>
      <c r="I40" s="375"/>
      <c r="J40" s="376"/>
    </row>
    <row r="41" spans="1:10" ht="15.75" customHeight="1">
      <c r="A41" s="374"/>
      <c r="B41" s="375"/>
      <c r="C41" s="375"/>
      <c r="D41" s="375"/>
      <c r="E41" s="375"/>
      <c r="F41" s="375"/>
      <c r="G41" s="375"/>
      <c r="H41" s="375"/>
      <c r="I41" s="375"/>
      <c r="J41" s="376"/>
    </row>
    <row r="42" spans="1:10" ht="15.75" customHeight="1">
      <c r="A42" s="374"/>
      <c r="B42" s="375"/>
      <c r="C42" s="375"/>
      <c r="D42" s="375"/>
      <c r="E42" s="375"/>
      <c r="F42" s="375"/>
      <c r="G42" s="375"/>
      <c r="H42" s="375"/>
      <c r="I42" s="375"/>
      <c r="J42" s="376"/>
    </row>
    <row r="43" spans="1:10" ht="15.75" customHeight="1">
      <c r="A43" s="374"/>
      <c r="B43" s="375"/>
      <c r="C43" s="375"/>
      <c r="D43" s="375"/>
      <c r="E43" s="375"/>
      <c r="F43" s="375"/>
      <c r="G43" s="375"/>
      <c r="H43" s="375"/>
      <c r="I43" s="375"/>
      <c r="J43" s="376"/>
    </row>
    <row r="44" spans="1:10" ht="15.75" customHeight="1">
      <c r="A44" s="374"/>
      <c r="B44" s="375"/>
      <c r="C44" s="375"/>
      <c r="D44" s="375"/>
      <c r="E44" s="375"/>
      <c r="F44" s="375"/>
      <c r="G44" s="375"/>
      <c r="H44" s="375"/>
      <c r="I44" s="375"/>
      <c r="J44" s="376"/>
    </row>
    <row r="45" spans="1:10" ht="15.75" customHeight="1">
      <c r="A45" s="374"/>
      <c r="B45" s="375"/>
      <c r="C45" s="375"/>
      <c r="D45" s="375"/>
      <c r="E45" s="375"/>
      <c r="F45" s="375"/>
      <c r="G45" s="375"/>
      <c r="H45" s="375"/>
      <c r="I45" s="375"/>
      <c r="J45" s="376"/>
    </row>
    <row r="46" spans="1:10" ht="15.75" customHeight="1">
      <c r="A46" s="374"/>
      <c r="B46" s="375"/>
      <c r="C46" s="375"/>
      <c r="D46" s="375"/>
      <c r="E46" s="375"/>
      <c r="F46" s="375"/>
      <c r="G46" s="375"/>
      <c r="H46" s="375"/>
      <c r="I46" s="375"/>
      <c r="J46" s="376"/>
    </row>
    <row r="47" spans="1:10" ht="15.75" customHeight="1">
      <c r="A47" s="374"/>
      <c r="B47" s="375"/>
      <c r="C47" s="375"/>
      <c r="D47" s="375"/>
      <c r="E47" s="375"/>
      <c r="F47" s="375"/>
      <c r="G47" s="375"/>
      <c r="H47" s="375"/>
      <c r="I47" s="375"/>
      <c r="J47" s="376"/>
    </row>
    <row r="48" spans="1:10" ht="15.75" customHeight="1">
      <c r="A48" s="377"/>
      <c r="B48" s="378"/>
      <c r="C48" s="378"/>
      <c r="D48" s="378"/>
      <c r="E48" s="378"/>
      <c r="F48" s="378"/>
      <c r="G48" s="378"/>
      <c r="H48" s="378"/>
      <c r="I48" s="378"/>
      <c r="J48" s="379"/>
    </row>
    <row r="66" spans="6:6">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79"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view="pageBreakPreview" zoomScale="60" zoomScaleNormal="100" workbookViewId="0">
      <selection activeCell="B35" sqref="B35:I3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93" t="str">
        <f>+'Cover Page'!$B$29</f>
        <v>Annual Performance Report 2022</v>
      </c>
      <c r="B1" s="93"/>
      <c r="C1" s="93"/>
      <c r="D1" s="93"/>
      <c r="E1" s="93" t="str">
        <f>+'Cover Page'!$B$33</f>
        <v>Wolverhampton Energy from Waste Facility</v>
      </c>
      <c r="F1" s="93"/>
      <c r="G1" s="93"/>
      <c r="H1" s="93"/>
      <c r="I1" s="93"/>
      <c r="J1" s="93"/>
    </row>
    <row r="3" spans="1:10" ht="15.6">
      <c r="A3" s="1" t="s">
        <v>275</v>
      </c>
      <c r="B3" s="93"/>
      <c r="C3" s="93"/>
      <c r="D3" s="93"/>
      <c r="E3" s="93"/>
      <c r="F3" s="93"/>
      <c r="G3" s="93"/>
      <c r="H3" s="93"/>
      <c r="I3" s="93"/>
      <c r="J3" s="93"/>
    </row>
    <row r="4" spans="1:10" ht="15.6">
      <c r="A4" s="1"/>
      <c r="B4" s="93"/>
      <c r="C4" s="93"/>
      <c r="D4" s="93"/>
      <c r="E4" s="93"/>
      <c r="F4" s="93"/>
      <c r="G4" s="93"/>
      <c r="H4" s="93"/>
      <c r="I4" s="93"/>
      <c r="J4" s="93"/>
    </row>
    <row r="5" spans="1:10" s="3" customFormat="1" ht="28.5" customHeight="1">
      <c r="A5" s="48" t="s">
        <v>276</v>
      </c>
      <c r="B5" s="49"/>
      <c r="C5" s="49"/>
      <c r="D5" s="49"/>
      <c r="E5" s="49"/>
      <c r="F5" s="49"/>
      <c r="G5" s="49"/>
      <c r="H5" s="49"/>
      <c r="I5" s="49"/>
      <c r="J5" s="50"/>
    </row>
    <row r="6" spans="1:10" s="3" customFormat="1" ht="15.75" customHeight="1">
      <c r="A6" s="185" t="s">
        <v>52</v>
      </c>
      <c r="B6" s="187"/>
      <c r="C6" s="185" t="s">
        <v>277</v>
      </c>
      <c r="D6" s="186"/>
      <c r="E6" s="186"/>
      <c r="F6" s="186"/>
      <c r="G6" s="186"/>
      <c r="H6" s="186"/>
      <c r="I6" s="186"/>
      <c r="J6" s="187"/>
    </row>
    <row r="7" spans="1:10" s="3" customFormat="1" ht="15.75" customHeight="1">
      <c r="A7" s="188" t="s">
        <v>278</v>
      </c>
      <c r="B7" s="189"/>
      <c r="C7" s="128" t="s">
        <v>279</v>
      </c>
      <c r="D7" s="130"/>
      <c r="E7" s="130"/>
      <c r="F7" s="130"/>
      <c r="G7" s="130"/>
      <c r="H7" s="130"/>
      <c r="I7" s="130"/>
      <c r="J7" s="194"/>
    </row>
    <row r="8" spans="1:10" s="3" customFormat="1" ht="15.75" customHeight="1">
      <c r="A8" s="190"/>
      <c r="B8" s="191"/>
      <c r="C8" s="195"/>
      <c r="D8" s="196"/>
      <c r="E8" s="196"/>
      <c r="F8" s="196"/>
      <c r="G8" s="196"/>
      <c r="H8" s="196"/>
      <c r="I8" s="196"/>
      <c r="J8" s="197"/>
    </row>
    <row r="9" spans="1:10" s="3" customFormat="1" ht="15.75" customHeight="1">
      <c r="A9" s="198" t="s">
        <v>280</v>
      </c>
      <c r="B9" s="189"/>
      <c r="C9" s="128" t="s">
        <v>281</v>
      </c>
      <c r="D9" s="130"/>
      <c r="E9" s="130"/>
      <c r="F9" s="130"/>
      <c r="G9" s="130"/>
      <c r="H9" s="130"/>
      <c r="I9" s="130"/>
      <c r="J9" s="194"/>
    </row>
    <row r="10" spans="1:10" s="3" customFormat="1" ht="15.75" customHeight="1">
      <c r="A10" s="190"/>
      <c r="B10" s="191"/>
      <c r="C10" s="195"/>
      <c r="D10" s="196"/>
      <c r="E10" s="196"/>
      <c r="F10" s="196"/>
      <c r="G10" s="196"/>
      <c r="H10" s="196"/>
      <c r="I10" s="196"/>
      <c r="J10" s="197"/>
    </row>
    <row r="11" spans="1:10" s="3" customFormat="1" ht="15.75" customHeight="1">
      <c r="A11" s="188"/>
      <c r="B11" s="189"/>
      <c r="C11" s="188"/>
      <c r="D11" s="192"/>
      <c r="E11" s="192"/>
      <c r="F11" s="192"/>
      <c r="G11" s="192"/>
      <c r="H11" s="192"/>
      <c r="I11" s="192"/>
      <c r="J11" s="189"/>
    </row>
    <row r="12" spans="1:10" s="3" customFormat="1" ht="15.75" customHeight="1">
      <c r="A12" s="190"/>
      <c r="B12" s="191"/>
      <c r="C12" s="190"/>
      <c r="D12" s="193"/>
      <c r="E12" s="193"/>
      <c r="F12" s="193"/>
      <c r="G12" s="193"/>
      <c r="H12" s="193"/>
      <c r="I12" s="193"/>
      <c r="J12" s="191"/>
    </row>
    <row r="13" spans="1:10" s="3" customFormat="1" ht="15.75" customHeight="1">
      <c r="A13" s="188"/>
      <c r="B13" s="189"/>
      <c r="C13" s="188"/>
      <c r="D13" s="192"/>
      <c r="E13" s="192"/>
      <c r="F13" s="192"/>
      <c r="G13" s="192"/>
      <c r="H13" s="192"/>
      <c r="I13" s="192"/>
      <c r="J13" s="189"/>
    </row>
    <row r="14" spans="1:10" s="3" customFormat="1" ht="15.75" customHeight="1">
      <c r="A14" s="190"/>
      <c r="B14" s="191"/>
      <c r="C14" s="190"/>
      <c r="D14" s="193"/>
      <c r="E14" s="193"/>
      <c r="F14" s="193"/>
      <c r="G14" s="193"/>
      <c r="H14" s="193"/>
      <c r="I14" s="193"/>
      <c r="J14" s="191"/>
    </row>
    <row r="15" spans="1:10" s="3" customFormat="1" ht="13.9"/>
    <row r="16" spans="1:10" s="47" customFormat="1" ht="33.75" customHeight="1">
      <c r="A16" s="181" t="s">
        <v>282</v>
      </c>
      <c r="B16" s="182"/>
      <c r="C16" s="182"/>
      <c r="D16" s="182"/>
      <c r="E16" s="182"/>
      <c r="F16" s="182"/>
      <c r="G16" s="182"/>
      <c r="H16" s="182"/>
      <c r="I16" s="182"/>
      <c r="J16" s="183"/>
    </row>
    <row r="17" spans="1:10" ht="15.75" customHeight="1">
      <c r="A17" s="185" t="s">
        <v>52</v>
      </c>
      <c r="B17" s="187"/>
      <c r="C17" s="185" t="s">
        <v>277</v>
      </c>
      <c r="D17" s="186"/>
      <c r="E17" s="186"/>
      <c r="F17" s="186"/>
      <c r="G17" s="186"/>
      <c r="H17" s="186"/>
      <c r="I17" s="186"/>
      <c r="J17" s="186"/>
    </row>
    <row r="18" spans="1:10" ht="15.75" customHeight="1">
      <c r="A18" s="188">
        <v>2023</v>
      </c>
      <c r="B18" s="189"/>
      <c r="C18" s="188" t="s">
        <v>283</v>
      </c>
      <c r="D18" s="192"/>
      <c r="E18" s="192"/>
      <c r="F18" s="192"/>
      <c r="G18" s="192"/>
      <c r="H18" s="192"/>
      <c r="I18" s="192"/>
      <c r="J18" s="189"/>
    </row>
    <row r="19" spans="1:10" ht="15.75" customHeight="1">
      <c r="A19" s="190"/>
      <c r="B19" s="191"/>
      <c r="C19" s="190"/>
      <c r="D19" s="193"/>
      <c r="E19" s="193"/>
      <c r="F19" s="193"/>
      <c r="G19" s="193"/>
      <c r="H19" s="193"/>
      <c r="I19" s="193"/>
      <c r="J19" s="191"/>
    </row>
    <row r="20" spans="1:10" ht="15.75" customHeight="1">
      <c r="A20" s="188">
        <v>2023</v>
      </c>
      <c r="B20" s="189"/>
      <c r="C20" s="188" t="s">
        <v>284</v>
      </c>
      <c r="D20" s="192"/>
      <c r="E20" s="192"/>
      <c r="F20" s="192"/>
      <c r="G20" s="192"/>
      <c r="H20" s="192"/>
      <c r="I20" s="192"/>
      <c r="J20" s="189"/>
    </row>
    <row r="21" spans="1:10" ht="15.75" customHeight="1">
      <c r="A21" s="190"/>
      <c r="B21" s="191"/>
      <c r="C21" s="190"/>
      <c r="D21" s="193"/>
      <c r="E21" s="193"/>
      <c r="F21" s="193"/>
      <c r="G21" s="193"/>
      <c r="H21" s="193"/>
      <c r="I21" s="193"/>
      <c r="J21" s="191"/>
    </row>
    <row r="22" spans="1:10" ht="15.75" customHeight="1">
      <c r="A22" s="188"/>
      <c r="B22" s="189"/>
      <c r="C22" s="188"/>
      <c r="D22" s="192"/>
      <c r="E22" s="192"/>
      <c r="F22" s="192"/>
      <c r="G22" s="192"/>
      <c r="H22" s="192"/>
      <c r="I22" s="192"/>
      <c r="J22" s="189"/>
    </row>
    <row r="23" spans="1:10" ht="15.75" customHeight="1">
      <c r="A23" s="190"/>
      <c r="B23" s="191"/>
      <c r="C23" s="190"/>
      <c r="D23" s="193"/>
      <c r="E23" s="193"/>
      <c r="F23" s="193"/>
      <c r="G23" s="193"/>
      <c r="H23" s="193"/>
      <c r="I23" s="193"/>
      <c r="J23" s="191"/>
    </row>
    <row r="24" spans="1:10" ht="15.75" customHeight="1">
      <c r="A24" s="188"/>
      <c r="B24" s="189"/>
      <c r="C24" s="188"/>
      <c r="D24" s="192"/>
      <c r="E24" s="192"/>
      <c r="F24" s="192"/>
      <c r="G24" s="192"/>
      <c r="H24" s="192"/>
      <c r="I24" s="192"/>
      <c r="J24" s="189"/>
    </row>
    <row r="25" spans="1:10" ht="15.75" customHeight="1">
      <c r="A25" s="190"/>
      <c r="B25" s="191"/>
      <c r="C25" s="190"/>
      <c r="D25" s="193"/>
      <c r="E25" s="193"/>
      <c r="F25" s="193"/>
      <c r="G25" s="193"/>
      <c r="H25" s="193"/>
      <c r="I25" s="193"/>
      <c r="J25" s="191"/>
    </row>
    <row r="26" spans="1:10" ht="15.75" customHeight="1">
      <c r="A26" s="188"/>
      <c r="B26" s="189"/>
      <c r="C26" s="188"/>
      <c r="D26" s="192"/>
      <c r="E26" s="192"/>
      <c r="F26" s="192"/>
      <c r="G26" s="192"/>
      <c r="H26" s="192"/>
      <c r="I26" s="192"/>
      <c r="J26" s="189"/>
    </row>
    <row r="27" spans="1:10" ht="15.75" customHeight="1">
      <c r="A27" s="190"/>
      <c r="B27" s="191"/>
      <c r="C27" s="190"/>
      <c r="D27" s="193"/>
      <c r="E27" s="193"/>
      <c r="F27" s="193"/>
      <c r="G27" s="193"/>
      <c r="H27" s="193"/>
      <c r="I27" s="193"/>
      <c r="J27" s="191"/>
    </row>
    <row r="28" spans="1:10" ht="15.6">
      <c r="A28" s="1"/>
      <c r="B28" s="93"/>
      <c r="C28" s="93"/>
      <c r="D28" s="93"/>
      <c r="E28" s="93"/>
      <c r="F28" s="93"/>
      <c r="G28" s="93"/>
      <c r="H28" s="93"/>
      <c r="I28" s="93"/>
      <c r="J28" s="93"/>
    </row>
    <row r="29" spans="1:10" ht="36.75" customHeight="1">
      <c r="A29" s="181" t="s">
        <v>285</v>
      </c>
      <c r="B29" s="182"/>
      <c r="C29" s="182"/>
      <c r="D29" s="182"/>
      <c r="E29" s="182"/>
      <c r="F29" s="182"/>
      <c r="G29" s="182"/>
      <c r="H29" s="182"/>
      <c r="I29" s="182"/>
      <c r="J29" s="183"/>
    </row>
    <row r="35" spans="2:2">
      <c r="B35" s="93" t="s">
        <v>8</v>
      </c>
    </row>
    <row r="66" spans="6:6">
      <c r="F66" s="3"/>
    </row>
  </sheetData>
  <mergeCells count="24">
    <mergeCell ref="A17:B17"/>
    <mergeCell ref="C17:J17"/>
    <mergeCell ref="A6:B6"/>
    <mergeCell ref="C6:J6"/>
    <mergeCell ref="A7:B8"/>
    <mergeCell ref="C7:J8"/>
    <mergeCell ref="A9:B10"/>
    <mergeCell ref="C9:J10"/>
    <mergeCell ref="A11:B12"/>
    <mergeCell ref="C11:J12"/>
    <mergeCell ref="A13:B14"/>
    <mergeCell ref="C13:J14"/>
    <mergeCell ref="A16:J16"/>
    <mergeCell ref="A18:B19"/>
    <mergeCell ref="C18:J19"/>
    <mergeCell ref="A20:B21"/>
    <mergeCell ref="C20:J21"/>
    <mergeCell ref="A22:B23"/>
    <mergeCell ref="C22:J23"/>
    <mergeCell ref="A24:B25"/>
    <mergeCell ref="C24:J25"/>
    <mergeCell ref="A26:B27"/>
    <mergeCell ref="C26:J27"/>
    <mergeCell ref="A29:J29"/>
  </mergeCells>
  <pageMargins left="0.7" right="0.7" top="0.75" bottom="0.75" header="0.3" footer="0.3"/>
  <pageSetup paperSize="9" scale="86"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view="pageBreakPreview" zoomScale="60" zoomScaleNormal="100" workbookViewId="0">
      <selection activeCell="B35" sqref="B35:I35"/>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3" t="str">
        <f>+'Cover Page'!$B$29</f>
        <v>Annual Performance Report 2022</v>
      </c>
      <c r="B1" s="93"/>
      <c r="C1" s="93"/>
      <c r="D1" s="93"/>
      <c r="E1" s="93" t="str">
        <f>+'Cover Page'!$B$33</f>
        <v>Wolverhampton Energy from Waste Facility</v>
      </c>
      <c r="F1" s="93"/>
      <c r="G1" s="93"/>
    </row>
    <row r="3" spans="1:7" ht="15.6">
      <c r="A3" s="1" t="s">
        <v>286</v>
      </c>
      <c r="B3" s="93"/>
      <c r="C3" s="93"/>
      <c r="D3" s="93"/>
      <c r="E3" s="93"/>
      <c r="F3" s="93"/>
      <c r="G3" s="93"/>
    </row>
    <row r="4" spans="1:7" ht="15.6">
      <c r="A4" s="1"/>
      <c r="B4" s="93"/>
      <c r="C4" s="93"/>
      <c r="D4" s="93"/>
      <c r="E4" s="93"/>
      <c r="F4" s="93"/>
      <c r="G4" s="93"/>
    </row>
    <row r="5" spans="1:7" s="3" customFormat="1" ht="21.75" customHeight="1">
      <c r="A5" s="48" t="s">
        <v>287</v>
      </c>
      <c r="B5" s="49"/>
      <c r="C5" s="49"/>
      <c r="D5" s="49"/>
      <c r="E5" s="49"/>
      <c r="F5" s="49"/>
      <c r="G5" s="50"/>
    </row>
    <row r="6" spans="1:7" s="3" customFormat="1" ht="15.75" customHeight="1">
      <c r="A6" s="188" t="s">
        <v>288</v>
      </c>
      <c r="B6" s="192"/>
      <c r="C6" s="192"/>
      <c r="D6" s="192"/>
      <c r="E6" s="192"/>
      <c r="F6" s="192"/>
      <c r="G6" s="189"/>
    </row>
    <row r="7" spans="1:7" s="3" customFormat="1" ht="15.75" customHeight="1">
      <c r="A7" s="190"/>
      <c r="B7" s="193"/>
      <c r="C7" s="193"/>
      <c r="D7" s="193"/>
      <c r="E7" s="193"/>
      <c r="F7" s="193"/>
      <c r="G7" s="191"/>
    </row>
    <row r="8" spans="1:7" s="3" customFormat="1" ht="15.75" customHeight="1">
      <c r="A8" s="128"/>
      <c r="B8" s="130"/>
      <c r="C8" s="130"/>
      <c r="D8" s="130"/>
      <c r="E8" s="130"/>
      <c r="F8" s="130"/>
      <c r="G8" s="194"/>
    </row>
    <row r="9" spans="1:7" s="3" customFormat="1" ht="15.75" customHeight="1">
      <c r="A9" s="195"/>
      <c r="B9" s="196"/>
      <c r="C9" s="196"/>
      <c r="D9" s="196"/>
      <c r="E9" s="196"/>
      <c r="F9" s="196"/>
      <c r="G9" s="197"/>
    </row>
    <row r="10" spans="1:7" s="3" customFormat="1" ht="15.75" customHeight="1">
      <c r="A10" s="128"/>
      <c r="B10" s="130"/>
      <c r="C10" s="130"/>
      <c r="D10" s="130"/>
      <c r="E10" s="130"/>
      <c r="F10" s="130"/>
      <c r="G10" s="194"/>
    </row>
    <row r="11" spans="1:7" s="3" customFormat="1" ht="15.75" customHeight="1">
      <c r="A11" s="195"/>
      <c r="B11" s="196"/>
      <c r="C11" s="196"/>
      <c r="D11" s="196"/>
      <c r="E11" s="196"/>
      <c r="F11" s="196"/>
      <c r="G11" s="197"/>
    </row>
    <row r="12" spans="1:7" s="3" customFormat="1" ht="13.9"/>
    <row r="13" spans="1:7" s="47" customFormat="1" ht="33.75" customHeight="1">
      <c r="A13" s="181" t="s">
        <v>289</v>
      </c>
      <c r="B13" s="182"/>
      <c r="C13" s="182"/>
      <c r="D13" s="182"/>
      <c r="E13" s="182"/>
      <c r="F13" s="182"/>
      <c r="G13" s="183"/>
    </row>
    <row r="14" spans="1:7" ht="15.75" customHeight="1">
      <c r="A14" s="185" t="s">
        <v>290</v>
      </c>
      <c r="B14" s="187"/>
      <c r="C14" s="185" t="s">
        <v>277</v>
      </c>
      <c r="D14" s="186"/>
      <c r="E14" s="186"/>
      <c r="F14" s="186"/>
      <c r="G14" s="186"/>
    </row>
    <row r="15" spans="1:7" ht="15.75" customHeight="1">
      <c r="A15" s="128"/>
      <c r="B15" s="194"/>
      <c r="C15" s="188"/>
      <c r="D15" s="192"/>
      <c r="E15" s="192"/>
      <c r="F15" s="192"/>
      <c r="G15" s="189"/>
    </row>
    <row r="16" spans="1:7" ht="15.75" customHeight="1">
      <c r="A16" s="195"/>
      <c r="B16" s="197"/>
      <c r="C16" s="190"/>
      <c r="D16" s="193"/>
      <c r="E16" s="193"/>
      <c r="F16" s="193"/>
      <c r="G16" s="191"/>
    </row>
    <row r="17" spans="1:11" ht="15.75" customHeight="1">
      <c r="A17" s="188"/>
      <c r="B17" s="189"/>
      <c r="C17" s="188"/>
      <c r="D17" s="192"/>
      <c r="E17" s="192"/>
      <c r="F17" s="192"/>
      <c r="G17" s="189"/>
      <c r="H17" s="93"/>
      <c r="I17" s="93"/>
      <c r="J17" s="93"/>
      <c r="K17" s="93"/>
    </row>
    <row r="18" spans="1:11" ht="15.75" customHeight="1">
      <c r="A18" s="190"/>
      <c r="B18" s="191"/>
      <c r="C18" s="190"/>
      <c r="D18" s="193"/>
      <c r="E18" s="193"/>
      <c r="F18" s="193"/>
      <c r="G18" s="191"/>
      <c r="H18" s="93"/>
      <c r="I18" s="93"/>
      <c r="J18" s="93"/>
      <c r="K18" s="93"/>
    </row>
    <row r="19" spans="1:11" ht="15.75" customHeight="1">
      <c r="A19" s="188"/>
      <c r="B19" s="189"/>
      <c r="C19" s="188"/>
      <c r="D19" s="192"/>
      <c r="E19" s="192"/>
      <c r="F19" s="192"/>
      <c r="G19" s="189"/>
      <c r="H19" s="93"/>
      <c r="I19" s="93"/>
      <c r="J19" s="93"/>
      <c r="K19" s="93"/>
    </row>
    <row r="20" spans="1:11" ht="15.75" customHeight="1">
      <c r="A20" s="190"/>
      <c r="B20" s="191"/>
      <c r="C20" s="190"/>
      <c r="D20" s="193"/>
      <c r="E20" s="193"/>
      <c r="F20" s="193"/>
      <c r="G20" s="191"/>
      <c r="H20" s="93"/>
      <c r="I20" s="93"/>
      <c r="J20" s="93"/>
      <c r="K20" s="93"/>
    </row>
    <row r="21" spans="1:11" ht="15.75" customHeight="1">
      <c r="A21" s="188"/>
      <c r="B21" s="189"/>
      <c r="C21" s="188"/>
      <c r="D21" s="192"/>
      <c r="E21" s="192"/>
      <c r="F21" s="192"/>
      <c r="G21" s="189"/>
      <c r="H21" s="93"/>
      <c r="I21" s="93"/>
      <c r="J21" s="93"/>
      <c r="K21" s="93"/>
    </row>
    <row r="22" spans="1:11" ht="15.75" customHeight="1">
      <c r="A22" s="190"/>
      <c r="B22" s="191"/>
      <c r="C22" s="190"/>
      <c r="D22" s="193"/>
      <c r="E22" s="193"/>
      <c r="F22" s="193"/>
      <c r="G22" s="191"/>
      <c r="H22" s="93"/>
      <c r="I22" s="93"/>
      <c r="J22" s="93"/>
      <c r="K22" s="93"/>
    </row>
    <row r="23" spans="1:11" ht="15.75" customHeight="1">
      <c r="A23" s="188"/>
      <c r="B23" s="189"/>
      <c r="C23" s="188"/>
      <c r="D23" s="192"/>
      <c r="E23" s="192"/>
      <c r="F23" s="192"/>
      <c r="G23" s="189"/>
      <c r="H23" s="93"/>
      <c r="I23" s="93"/>
      <c r="J23" s="93"/>
      <c r="K23" s="93"/>
    </row>
    <row r="24" spans="1:11" ht="15.75" customHeight="1">
      <c r="A24" s="190"/>
      <c r="B24" s="191"/>
      <c r="C24" s="190"/>
      <c r="D24" s="193"/>
      <c r="E24" s="193"/>
      <c r="F24" s="193"/>
      <c r="G24" s="191"/>
      <c r="H24" s="93"/>
      <c r="I24" s="93"/>
      <c r="J24" s="93"/>
      <c r="K24" s="93"/>
    </row>
    <row r="26" spans="1:11">
      <c r="A26" s="96"/>
      <c r="B26" s="96"/>
      <c r="C26" s="96"/>
      <c r="D26" s="96"/>
      <c r="E26" s="96"/>
      <c r="F26" s="96"/>
      <c r="G26" s="96"/>
      <c r="H26" s="93"/>
      <c r="I26" s="93"/>
      <c r="J26" s="93"/>
      <c r="K26" s="93"/>
    </row>
    <row r="27" spans="1:11" s="56" customFormat="1" ht="16.5" customHeight="1">
      <c r="A27" s="202" t="s">
        <v>291</v>
      </c>
      <c r="B27" s="202"/>
      <c r="C27" s="202"/>
      <c r="D27" s="202"/>
      <c r="E27" s="202"/>
      <c r="F27" s="202"/>
      <c r="G27" s="202"/>
    </row>
    <row r="28" spans="1:11" s="12" customFormat="1" ht="17.25" customHeight="1">
      <c r="A28" s="200" t="s">
        <v>292</v>
      </c>
      <c r="B28" s="200"/>
      <c r="C28" s="154" t="s">
        <v>293</v>
      </c>
      <c r="D28" s="154" t="s">
        <v>294</v>
      </c>
      <c r="E28" s="154"/>
      <c r="F28" s="154"/>
      <c r="G28" s="154"/>
      <c r="H28" s="96"/>
      <c r="I28" s="96"/>
      <c r="J28" s="96"/>
      <c r="K28" s="96"/>
    </row>
    <row r="29" spans="1:11" s="12" customFormat="1" ht="17.25" customHeight="1">
      <c r="A29" s="200"/>
      <c r="B29" s="200"/>
      <c r="C29" s="154"/>
      <c r="D29" s="154" t="s">
        <v>295</v>
      </c>
      <c r="E29" s="154"/>
      <c r="F29" s="154" t="s">
        <v>164</v>
      </c>
      <c r="G29" s="154"/>
      <c r="H29" s="96"/>
      <c r="I29" s="96"/>
      <c r="J29" s="96"/>
      <c r="K29" s="96"/>
    </row>
    <row r="30" spans="1:11" s="37" customFormat="1" ht="38.1" customHeight="1">
      <c r="A30" s="201" t="s">
        <v>296</v>
      </c>
      <c r="B30" s="201"/>
      <c r="C30" s="380" t="s">
        <v>297</v>
      </c>
      <c r="D30" s="364">
        <v>5.3650000000000002</v>
      </c>
      <c r="E30" s="364"/>
      <c r="F30" s="381"/>
      <c r="G30" s="382"/>
      <c r="H30" s="344"/>
      <c r="I30" s="344"/>
      <c r="J30" s="96"/>
      <c r="K30" s="96"/>
    </row>
    <row r="31" spans="1:11" s="37" customFormat="1" ht="38.1" customHeight="1">
      <c r="A31" s="201" t="s">
        <v>298</v>
      </c>
      <c r="B31" s="201"/>
      <c r="C31" s="361" t="s">
        <v>299</v>
      </c>
      <c r="D31" s="364">
        <v>0.61499999999999999</v>
      </c>
      <c r="E31" s="364"/>
      <c r="F31" s="381"/>
      <c r="G31" s="382"/>
      <c r="H31" s="344"/>
      <c r="I31" s="344"/>
      <c r="J31" s="96"/>
      <c r="K31" s="96"/>
    </row>
    <row r="32" spans="1:11" s="37" customFormat="1" ht="38.1" customHeight="1">
      <c r="A32" s="201" t="s">
        <v>300</v>
      </c>
      <c r="B32" s="201"/>
      <c r="C32" s="361" t="s">
        <v>301</v>
      </c>
      <c r="D32" s="364">
        <v>2</v>
      </c>
      <c r="E32" s="364"/>
      <c r="F32" s="383">
        <v>4</v>
      </c>
      <c r="G32" s="384"/>
      <c r="H32" s="344"/>
      <c r="I32" s="344"/>
      <c r="J32" s="96"/>
      <c r="K32" s="96"/>
    </row>
    <row r="33" spans="1:7" s="37" customFormat="1" ht="38.1" customHeight="1">
      <c r="A33" s="201" t="s">
        <v>302</v>
      </c>
      <c r="B33" s="201"/>
      <c r="C33" s="361" t="s">
        <v>301</v>
      </c>
      <c r="D33" s="364">
        <v>0</v>
      </c>
      <c r="E33" s="364"/>
      <c r="F33" s="381"/>
      <c r="G33" s="382"/>
    </row>
    <row r="35" spans="1:7">
      <c r="A35" s="134" t="s">
        <v>303</v>
      </c>
      <c r="B35" s="134"/>
      <c r="C35" s="134"/>
      <c r="D35" s="134"/>
      <c r="E35" s="134"/>
      <c r="F35" s="134"/>
      <c r="G35" s="134"/>
    </row>
    <row r="36" spans="1:7">
      <c r="A36" s="199" t="s">
        <v>304</v>
      </c>
      <c r="B36" s="199"/>
      <c r="C36" s="199"/>
      <c r="D36" s="199"/>
      <c r="E36" s="199"/>
      <c r="F36" s="199"/>
      <c r="G36" s="199"/>
    </row>
    <row r="37" spans="1:7">
      <c r="A37" s="199"/>
      <c r="B37" s="199"/>
      <c r="C37" s="199"/>
      <c r="D37" s="199"/>
      <c r="E37" s="199"/>
      <c r="F37" s="199"/>
      <c r="G37" s="199"/>
    </row>
    <row r="38" spans="1:7">
      <c r="A38" s="199"/>
      <c r="B38" s="199"/>
      <c r="C38" s="199"/>
      <c r="D38" s="199"/>
      <c r="E38" s="199"/>
      <c r="F38" s="199"/>
      <c r="G38" s="199"/>
    </row>
    <row r="39" spans="1:7">
      <c r="A39" s="199"/>
      <c r="B39" s="199"/>
      <c r="C39" s="199"/>
      <c r="D39" s="199"/>
      <c r="E39" s="199"/>
      <c r="F39" s="199"/>
      <c r="G39" s="199"/>
    </row>
    <row r="40" spans="1:7">
      <c r="A40" s="199"/>
      <c r="B40" s="199"/>
      <c r="C40" s="199"/>
      <c r="D40" s="199"/>
      <c r="E40" s="199"/>
      <c r="F40" s="199"/>
      <c r="G40" s="199"/>
    </row>
    <row r="41" spans="1:7">
      <c r="A41" s="199"/>
      <c r="B41" s="199"/>
      <c r="C41" s="199"/>
      <c r="D41" s="199"/>
      <c r="E41" s="199"/>
      <c r="F41" s="199"/>
      <c r="G41" s="199"/>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9"/>
  <sheetViews>
    <sheetView showGridLines="0" view="pageBreakPreview" zoomScale="60" zoomScaleNormal="100" workbookViewId="0">
      <selection activeCell="B35" sqref="B35:I3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93" t="str">
        <f>+'Cover Page'!$B$29</f>
        <v>Annual Performance Report 2022</v>
      </c>
      <c r="B1" s="93"/>
      <c r="C1" s="93"/>
      <c r="D1" s="93"/>
      <c r="E1" s="93" t="str">
        <f>+'Cover Page'!$B$33</f>
        <v>Wolverhampton Energy from Waste Facility</v>
      </c>
      <c r="F1" s="93"/>
      <c r="G1" s="93"/>
      <c r="H1" s="93"/>
      <c r="I1" s="93"/>
      <c r="J1" s="93"/>
    </row>
    <row r="3" spans="1:10" ht="15.6">
      <c r="A3" s="1" t="s">
        <v>40</v>
      </c>
      <c r="B3" s="93"/>
      <c r="C3" s="93"/>
      <c r="D3" s="93"/>
      <c r="E3" s="93"/>
      <c r="F3" s="93"/>
      <c r="G3" s="93"/>
      <c r="H3" s="93"/>
      <c r="I3" s="93"/>
      <c r="J3" s="93"/>
    </row>
    <row r="4" spans="1:10" ht="15.6">
      <c r="A4" s="1"/>
      <c r="B4" s="93"/>
      <c r="C4" s="93"/>
      <c r="D4" s="93"/>
      <c r="E4" s="93"/>
      <c r="F4" s="93"/>
      <c r="G4" s="93"/>
      <c r="H4" s="93"/>
      <c r="I4" s="93"/>
      <c r="J4" s="93"/>
    </row>
    <row r="5" spans="1:10" s="3" customFormat="1" ht="21.75" customHeight="1">
      <c r="A5" s="48" t="s">
        <v>287</v>
      </c>
      <c r="B5" s="49"/>
      <c r="C5" s="49"/>
      <c r="D5" s="49"/>
      <c r="E5" s="49"/>
      <c r="F5" s="49"/>
      <c r="G5" s="49"/>
      <c r="H5" s="49"/>
      <c r="I5" s="49"/>
      <c r="J5" s="50"/>
    </row>
    <row r="6" spans="1:10" s="3" customFormat="1" ht="15.75" customHeight="1">
      <c r="A6" s="188" t="s">
        <v>305</v>
      </c>
      <c r="B6" s="192"/>
      <c r="C6" s="192"/>
      <c r="D6" s="192"/>
      <c r="E6" s="192"/>
      <c r="F6" s="192"/>
      <c r="G6" s="192"/>
      <c r="H6" s="192"/>
      <c r="I6" s="192"/>
      <c r="J6" s="189"/>
    </row>
    <row r="7" spans="1:10" s="3" customFormat="1" ht="15.75" customHeight="1">
      <c r="A7" s="190"/>
      <c r="B7" s="193"/>
      <c r="C7" s="193"/>
      <c r="D7" s="193"/>
      <c r="E7" s="193"/>
      <c r="F7" s="193"/>
      <c r="G7" s="193"/>
      <c r="H7" s="193"/>
      <c r="I7" s="193"/>
      <c r="J7" s="191"/>
    </row>
    <row r="8" spans="1:10" s="3" customFormat="1" ht="15.75" customHeight="1">
      <c r="A8" s="128" t="s">
        <v>306</v>
      </c>
      <c r="B8" s="130"/>
      <c r="C8" s="130"/>
      <c r="D8" s="130"/>
      <c r="E8" s="130"/>
      <c r="F8" s="130"/>
      <c r="G8" s="130"/>
      <c r="H8" s="130"/>
      <c r="I8" s="130"/>
      <c r="J8" s="194"/>
    </row>
    <row r="9" spans="1:10" s="3" customFormat="1" ht="15.75" customHeight="1">
      <c r="A9" s="195"/>
      <c r="B9" s="196"/>
      <c r="C9" s="196"/>
      <c r="D9" s="196"/>
      <c r="E9" s="196"/>
      <c r="F9" s="196"/>
      <c r="G9" s="196"/>
      <c r="H9" s="196"/>
      <c r="I9" s="196"/>
      <c r="J9" s="197"/>
    </row>
    <row r="10" spans="1:10" s="3" customFormat="1" ht="15.75" customHeight="1">
      <c r="A10" s="128"/>
      <c r="B10" s="130"/>
      <c r="C10" s="130"/>
      <c r="D10" s="130"/>
      <c r="E10" s="130"/>
      <c r="F10" s="130"/>
      <c r="G10" s="130"/>
      <c r="H10" s="130"/>
      <c r="I10" s="130"/>
      <c r="J10" s="194"/>
    </row>
    <row r="11" spans="1:10" s="3" customFormat="1" ht="15.75" customHeight="1">
      <c r="A11" s="195"/>
      <c r="B11" s="196"/>
      <c r="C11" s="196"/>
      <c r="D11" s="196"/>
      <c r="E11" s="196"/>
      <c r="F11" s="196"/>
      <c r="G11" s="196"/>
      <c r="H11" s="196"/>
      <c r="I11" s="196"/>
      <c r="J11" s="197"/>
    </row>
    <row r="12" spans="1:10" s="3" customFormat="1" ht="13.9"/>
    <row r="13" spans="1:10" s="47" customFormat="1" ht="33.75" customHeight="1">
      <c r="A13" s="181" t="s">
        <v>289</v>
      </c>
      <c r="B13" s="182"/>
      <c r="C13" s="182"/>
      <c r="D13" s="182"/>
      <c r="E13" s="182"/>
      <c r="F13" s="182"/>
      <c r="G13" s="182"/>
      <c r="H13" s="182"/>
      <c r="I13" s="182"/>
      <c r="J13" s="183"/>
    </row>
    <row r="14" spans="1:10" ht="15.75" customHeight="1">
      <c r="A14" s="185" t="s">
        <v>290</v>
      </c>
      <c r="B14" s="187"/>
      <c r="C14" s="185" t="s">
        <v>277</v>
      </c>
      <c r="D14" s="186"/>
      <c r="E14" s="186"/>
      <c r="F14" s="186"/>
      <c r="G14" s="186"/>
      <c r="H14" s="186"/>
      <c r="I14" s="186"/>
      <c r="J14" s="186"/>
    </row>
    <row r="15" spans="1:10" ht="15.75" customHeight="1">
      <c r="A15" s="128"/>
      <c r="B15" s="194"/>
      <c r="C15" s="188"/>
      <c r="D15" s="192"/>
      <c r="E15" s="192"/>
      <c r="F15" s="192"/>
      <c r="G15" s="192"/>
      <c r="H15" s="192"/>
      <c r="I15" s="192"/>
      <c r="J15" s="189"/>
    </row>
    <row r="16" spans="1:10" ht="15.75" customHeight="1">
      <c r="A16" s="195"/>
      <c r="B16" s="197"/>
      <c r="C16" s="190"/>
      <c r="D16" s="193"/>
      <c r="E16" s="193"/>
      <c r="F16" s="193"/>
      <c r="G16" s="193"/>
      <c r="H16" s="193"/>
      <c r="I16" s="193"/>
      <c r="J16" s="191"/>
    </row>
    <row r="17" spans="1:10" ht="15.75" customHeight="1">
      <c r="A17" s="188"/>
      <c r="B17" s="189"/>
      <c r="C17" s="188"/>
      <c r="D17" s="192"/>
      <c r="E17" s="192"/>
      <c r="F17" s="192"/>
      <c r="G17" s="192"/>
      <c r="H17" s="192"/>
      <c r="I17" s="192"/>
      <c r="J17" s="189"/>
    </row>
    <row r="18" spans="1:10" ht="15.75" customHeight="1">
      <c r="A18" s="190"/>
      <c r="B18" s="191"/>
      <c r="C18" s="190"/>
      <c r="D18" s="193"/>
      <c r="E18" s="193"/>
      <c r="F18" s="193"/>
      <c r="G18" s="193"/>
      <c r="H18" s="193"/>
      <c r="I18" s="193"/>
      <c r="J18" s="191"/>
    </row>
    <row r="19" spans="1:10" ht="15.75" customHeight="1">
      <c r="A19" s="188"/>
      <c r="B19" s="189"/>
      <c r="C19" s="188"/>
      <c r="D19" s="192"/>
      <c r="E19" s="192"/>
      <c r="F19" s="192"/>
      <c r="G19" s="192"/>
      <c r="H19" s="192"/>
      <c r="I19" s="192"/>
      <c r="J19" s="189"/>
    </row>
    <row r="20" spans="1:10" ht="15.75" customHeight="1">
      <c r="A20" s="190"/>
      <c r="B20" s="191"/>
      <c r="C20" s="190"/>
      <c r="D20" s="193"/>
      <c r="E20" s="193"/>
      <c r="F20" s="193"/>
      <c r="G20" s="193"/>
      <c r="H20" s="193"/>
      <c r="I20" s="193"/>
      <c r="J20" s="191"/>
    </row>
    <row r="22" spans="1:10" ht="22.5" customHeight="1">
      <c r="A22" s="205" t="s">
        <v>307</v>
      </c>
      <c r="B22" s="206"/>
      <c r="C22" s="206"/>
      <c r="D22" s="206"/>
      <c r="E22" s="206"/>
      <c r="F22" s="206"/>
      <c r="G22" s="206"/>
      <c r="H22" s="206"/>
      <c r="I22" s="206"/>
      <c r="J22" s="206"/>
    </row>
    <row r="23" spans="1:10" ht="19.5" customHeight="1">
      <c r="A23" s="207" t="s">
        <v>185</v>
      </c>
      <c r="B23" s="208"/>
      <c r="C23" s="209"/>
      <c r="D23" s="210" t="s">
        <v>308</v>
      </c>
      <c r="E23" s="211"/>
      <c r="F23" s="212"/>
      <c r="G23" s="54" t="s">
        <v>293</v>
      </c>
      <c r="H23" s="54" t="s">
        <v>309</v>
      </c>
      <c r="I23" s="54" t="s">
        <v>310</v>
      </c>
      <c r="J23" s="54" t="s">
        <v>221</v>
      </c>
    </row>
    <row r="24" spans="1:10">
      <c r="A24" s="204" t="s">
        <v>311</v>
      </c>
      <c r="B24" s="385"/>
      <c r="C24" s="386"/>
      <c r="D24" s="203" t="s">
        <v>312</v>
      </c>
      <c r="E24" s="387"/>
      <c r="F24" s="388"/>
      <c r="G24" s="102" t="s">
        <v>313</v>
      </c>
      <c r="H24" s="102" t="s">
        <v>313</v>
      </c>
      <c r="I24" s="102">
        <v>7.8</v>
      </c>
      <c r="J24" s="102"/>
    </row>
    <row r="25" spans="1:10">
      <c r="A25" s="204" t="s">
        <v>314</v>
      </c>
      <c r="B25" s="385"/>
      <c r="C25" s="386"/>
      <c r="D25" s="203" t="s">
        <v>312</v>
      </c>
      <c r="E25" s="387"/>
      <c r="F25" s="388"/>
      <c r="G25" s="102" t="s">
        <v>313</v>
      </c>
      <c r="H25" s="102" t="s">
        <v>313</v>
      </c>
      <c r="I25" s="102">
        <v>4</v>
      </c>
      <c r="J25" s="102"/>
    </row>
    <row r="26" spans="1:10">
      <c r="A26" s="204" t="s">
        <v>315</v>
      </c>
      <c r="B26" s="385"/>
      <c r="C26" s="386"/>
      <c r="D26" s="203" t="s">
        <v>312</v>
      </c>
      <c r="E26" s="387"/>
      <c r="F26" s="388"/>
      <c r="G26" s="102" t="s">
        <v>313</v>
      </c>
      <c r="H26" s="102" t="s">
        <v>313</v>
      </c>
      <c r="I26" s="102">
        <v>2.2000000000000001E-4</v>
      </c>
      <c r="J26" s="102"/>
    </row>
    <row r="27" spans="1:10">
      <c r="A27" s="204" t="s">
        <v>316</v>
      </c>
      <c r="B27" s="385"/>
      <c r="C27" s="386"/>
      <c r="D27" s="203" t="s">
        <v>312</v>
      </c>
      <c r="E27" s="387"/>
      <c r="F27" s="388"/>
      <c r="G27" s="102" t="s">
        <v>313</v>
      </c>
      <c r="H27" s="102" t="s">
        <v>313</v>
      </c>
      <c r="I27" s="102">
        <v>5.9000000000000003E-4</v>
      </c>
      <c r="J27" s="102"/>
    </row>
    <row r="28" spans="1:10">
      <c r="A28" s="204" t="s">
        <v>317</v>
      </c>
      <c r="B28" s="385"/>
      <c r="C28" s="386"/>
      <c r="D28" s="203" t="s">
        <v>312</v>
      </c>
      <c r="E28" s="387"/>
      <c r="F28" s="388"/>
      <c r="G28" s="102" t="s">
        <v>313</v>
      </c>
      <c r="H28" s="102" t="s">
        <v>313</v>
      </c>
      <c r="I28" s="102">
        <v>4.7999999999999996E-3</v>
      </c>
      <c r="J28" s="102"/>
    </row>
    <row r="29" spans="1:10">
      <c r="A29" s="204" t="s">
        <v>318</v>
      </c>
      <c r="B29" s="385"/>
      <c r="C29" s="386"/>
      <c r="D29" s="203" t="s">
        <v>312</v>
      </c>
      <c r="E29" s="387"/>
      <c r="F29" s="388"/>
      <c r="G29" s="102" t="s">
        <v>313</v>
      </c>
      <c r="H29" s="102" t="s">
        <v>313</v>
      </c>
      <c r="I29" s="102">
        <v>8.0000000000000004E-4</v>
      </c>
      <c r="J29" s="102"/>
    </row>
    <row r="30" spans="1:10">
      <c r="A30" s="100" t="s">
        <v>319</v>
      </c>
      <c r="B30" s="389"/>
      <c r="C30" s="390"/>
      <c r="D30" s="203" t="s">
        <v>312</v>
      </c>
      <c r="E30" s="387"/>
      <c r="F30" s="388"/>
      <c r="G30" s="102" t="s">
        <v>313</v>
      </c>
      <c r="H30" s="102" t="s">
        <v>313</v>
      </c>
      <c r="I30" s="102">
        <v>4.1999999999999997E-3</v>
      </c>
      <c r="J30" s="102"/>
    </row>
    <row r="31" spans="1:10">
      <c r="A31" s="100" t="s">
        <v>320</v>
      </c>
      <c r="B31" s="389"/>
      <c r="C31" s="390"/>
      <c r="D31" s="203" t="s">
        <v>312</v>
      </c>
      <c r="E31" s="387"/>
      <c r="F31" s="388"/>
      <c r="G31" s="102" t="s">
        <v>313</v>
      </c>
      <c r="H31" s="102" t="s">
        <v>313</v>
      </c>
      <c r="I31" s="102">
        <v>2.1000000000000001E-2</v>
      </c>
      <c r="J31" s="102"/>
    </row>
    <row r="32" spans="1:10">
      <c r="A32" s="100" t="s">
        <v>321</v>
      </c>
      <c r="B32" s="389"/>
      <c r="C32" s="390"/>
      <c r="D32" s="203" t="s">
        <v>312</v>
      </c>
      <c r="E32" s="387"/>
      <c r="F32" s="388"/>
      <c r="G32" s="102" t="s">
        <v>313</v>
      </c>
      <c r="H32" s="102" t="s">
        <v>313</v>
      </c>
      <c r="I32" s="102">
        <v>0.46</v>
      </c>
      <c r="J32" s="102"/>
    </row>
    <row r="33" spans="1:10">
      <c r="A33" s="101" t="s">
        <v>322</v>
      </c>
      <c r="B33" s="391"/>
      <c r="C33" s="392"/>
      <c r="D33" s="203" t="s">
        <v>312</v>
      </c>
      <c r="E33" s="387"/>
      <c r="F33" s="388"/>
      <c r="G33" s="102" t="s">
        <v>313</v>
      </c>
      <c r="H33" s="102" t="s">
        <v>313</v>
      </c>
      <c r="I33" s="102" t="s">
        <v>323</v>
      </c>
      <c r="J33" s="102"/>
    </row>
    <row r="34" spans="1:10">
      <c r="A34" s="96"/>
      <c r="B34" s="96"/>
      <c r="C34" s="96"/>
      <c r="D34" s="96"/>
      <c r="E34" s="96"/>
      <c r="F34" s="96"/>
      <c r="G34" s="96"/>
      <c r="H34" s="96"/>
      <c r="I34" s="96"/>
      <c r="J34" s="96"/>
    </row>
    <row r="35" spans="1:10">
      <c r="A35" s="96"/>
      <c r="B35" s="96" t="s">
        <v>8</v>
      </c>
      <c r="C35" s="96"/>
      <c r="D35" s="96"/>
      <c r="E35" s="96"/>
      <c r="F35" s="96"/>
      <c r="G35" s="96"/>
      <c r="H35" s="96"/>
      <c r="I35" s="96"/>
      <c r="J35" s="96"/>
    </row>
    <row r="36" spans="1:10">
      <c r="A36" s="96"/>
      <c r="B36" s="96"/>
      <c r="C36" s="96"/>
      <c r="D36" s="96"/>
      <c r="E36" s="96"/>
      <c r="F36" s="96"/>
      <c r="G36" s="96"/>
      <c r="H36" s="96"/>
      <c r="I36" s="96"/>
      <c r="J36" s="96"/>
    </row>
    <row r="69" spans="6:6">
      <c r="F69" s="3"/>
    </row>
  </sheetData>
  <mergeCells count="31">
    <mergeCell ref="A6:J7"/>
    <mergeCell ref="A8:J9"/>
    <mergeCell ref="A10:J11"/>
    <mergeCell ref="A13:J13"/>
    <mergeCell ref="A14:B14"/>
    <mergeCell ref="C14:J14"/>
    <mergeCell ref="A22:J22"/>
    <mergeCell ref="A23:C23"/>
    <mergeCell ref="D23:F23"/>
    <mergeCell ref="A15:B16"/>
    <mergeCell ref="C15:J16"/>
    <mergeCell ref="A17:B18"/>
    <mergeCell ref="C17:J18"/>
    <mergeCell ref="A19:B20"/>
    <mergeCell ref="C19:J20"/>
    <mergeCell ref="A24:C24"/>
    <mergeCell ref="D24:F24"/>
    <mergeCell ref="A25:C25"/>
    <mergeCell ref="D25:F25"/>
    <mergeCell ref="A26:C26"/>
    <mergeCell ref="D26:F26"/>
    <mergeCell ref="D30:F30"/>
    <mergeCell ref="D31:F31"/>
    <mergeCell ref="D32:F32"/>
    <mergeCell ref="D33:F33"/>
    <mergeCell ref="A27:C27"/>
    <mergeCell ref="D27:F27"/>
    <mergeCell ref="A28:C28"/>
    <mergeCell ref="D28:F28"/>
    <mergeCell ref="A29:C29"/>
    <mergeCell ref="D29:F29"/>
  </mergeCells>
  <pageMargins left="0.7" right="0.7" top="0.75" bottom="0.75" header="0.3" footer="0.3"/>
  <pageSetup paperSize="9" scale="86"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view="pageBreakPreview" zoomScale="60" zoomScaleNormal="100" workbookViewId="0">
      <selection activeCell="B35" sqref="B35:I35"/>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93" t="str">
        <f>+'Cover Page'!$B$29</f>
        <v>Annual Performance Report 2022</v>
      </c>
      <c r="B1" s="93"/>
      <c r="C1" s="93"/>
      <c r="D1" s="93"/>
      <c r="E1" s="93" t="str">
        <f>+'Cover Page'!$B$33</f>
        <v>Wolverhampton Energy from Waste Facility</v>
      </c>
      <c r="F1" s="93"/>
      <c r="G1" s="93"/>
      <c r="H1" s="93"/>
      <c r="I1" s="93"/>
      <c r="J1" s="93"/>
      <c r="K1" s="93"/>
      <c r="L1" s="93"/>
      <c r="M1" s="93"/>
      <c r="N1" s="93"/>
      <c r="O1" s="93"/>
      <c r="P1" s="93"/>
    </row>
    <row r="2" spans="1:16" ht="7.5" customHeight="1">
      <c r="A2" s="93"/>
      <c r="B2" s="93"/>
      <c r="C2" s="93"/>
      <c r="D2" s="93"/>
      <c r="E2" s="93"/>
      <c r="F2" s="93"/>
      <c r="G2" s="93"/>
      <c r="H2" s="93"/>
      <c r="I2" s="93"/>
      <c r="J2" s="93"/>
      <c r="K2" s="93"/>
      <c r="L2" s="93"/>
      <c r="M2" s="93"/>
      <c r="N2" s="93"/>
      <c r="O2" s="93"/>
      <c r="P2" s="93"/>
    </row>
    <row r="3" spans="1:16" ht="15.6">
      <c r="A3" s="1" t="s">
        <v>41</v>
      </c>
      <c r="B3" s="93"/>
      <c r="C3" s="93"/>
      <c r="D3" s="93"/>
      <c r="E3" s="93"/>
      <c r="F3" s="93"/>
      <c r="G3" s="93"/>
      <c r="H3" s="93"/>
      <c r="I3" s="93"/>
      <c r="J3" s="93"/>
      <c r="K3" s="93"/>
      <c r="L3" s="93"/>
      <c r="M3" s="93"/>
      <c r="N3" s="93"/>
      <c r="O3" s="93"/>
      <c r="P3" s="93"/>
    </row>
    <row r="4" spans="1:16" ht="9.75" customHeight="1">
      <c r="A4" s="1"/>
      <c r="B4" s="93"/>
      <c r="C4" s="93"/>
      <c r="D4" s="93"/>
      <c r="E4" s="93"/>
      <c r="F4" s="93"/>
      <c r="G4" s="93"/>
      <c r="H4" s="93"/>
      <c r="I4" s="93"/>
      <c r="J4" s="93"/>
      <c r="K4" s="93"/>
      <c r="L4" s="93"/>
      <c r="M4" s="93"/>
      <c r="N4" s="93"/>
      <c r="O4" s="93"/>
      <c r="P4" s="93"/>
    </row>
    <row r="5" spans="1:16" s="3" customFormat="1" ht="21.75" customHeight="1">
      <c r="A5" s="48" t="s">
        <v>324</v>
      </c>
      <c r="B5" s="49"/>
      <c r="C5" s="49"/>
      <c r="D5" s="49"/>
      <c r="E5" s="49"/>
      <c r="F5" s="49"/>
      <c r="G5" s="49"/>
      <c r="H5" s="49"/>
      <c r="I5" s="49"/>
      <c r="J5" s="50"/>
      <c r="M5" s="82" t="s">
        <v>3</v>
      </c>
    </row>
    <row r="6" spans="1:16" s="3" customFormat="1" ht="15.75" customHeight="1">
      <c r="A6" s="188"/>
      <c r="B6" s="192"/>
      <c r="C6" s="192"/>
      <c r="D6" s="192"/>
      <c r="E6" s="192"/>
      <c r="F6" s="192"/>
      <c r="G6" s="192"/>
      <c r="H6" s="192"/>
      <c r="I6" s="192"/>
      <c r="J6" s="189"/>
      <c r="M6" s="226" t="s">
        <v>325</v>
      </c>
      <c r="N6" s="226"/>
      <c r="O6" s="226"/>
      <c r="P6" s="226"/>
    </row>
    <row r="7" spans="1:16" s="3" customFormat="1" ht="15.75" customHeight="1">
      <c r="A7" s="190"/>
      <c r="B7" s="193"/>
      <c r="C7" s="193"/>
      <c r="D7" s="193"/>
      <c r="E7" s="193"/>
      <c r="F7" s="193"/>
      <c r="G7" s="193"/>
      <c r="H7" s="193"/>
      <c r="I7" s="193"/>
      <c r="J7" s="191"/>
      <c r="M7" s="226"/>
      <c r="N7" s="226"/>
      <c r="O7" s="226"/>
      <c r="P7" s="226"/>
    </row>
    <row r="8" spans="1:16" s="3" customFormat="1" ht="13.9">
      <c r="M8" s="226"/>
      <c r="N8" s="226"/>
      <c r="O8" s="226"/>
      <c r="P8" s="226"/>
    </row>
    <row r="9" spans="1:16" s="56" customFormat="1" ht="16.5" customHeight="1">
      <c r="A9" s="202" t="s">
        <v>326</v>
      </c>
      <c r="B9" s="202"/>
      <c r="C9" s="202"/>
      <c r="D9" s="202"/>
      <c r="E9" s="202"/>
      <c r="F9" s="202"/>
      <c r="G9" s="202"/>
      <c r="H9" s="202"/>
      <c r="I9" s="202"/>
      <c r="J9" s="202"/>
      <c r="M9" s="226"/>
      <c r="N9" s="226"/>
      <c r="O9" s="226"/>
      <c r="P9" s="226"/>
    </row>
    <row r="10" spans="1:16" s="56" customFormat="1" ht="16.5" customHeight="1">
      <c r="A10" s="213" t="s">
        <v>209</v>
      </c>
      <c r="B10" s="214"/>
      <c r="C10" s="224" t="s">
        <v>327</v>
      </c>
      <c r="D10" s="220" t="s">
        <v>328</v>
      </c>
      <c r="E10" s="221"/>
      <c r="F10" s="217" t="s">
        <v>221</v>
      </c>
      <c r="G10" s="218"/>
      <c r="H10" s="218"/>
      <c r="I10" s="218"/>
      <c r="J10" s="219"/>
      <c r="M10" s="226" t="s">
        <v>329</v>
      </c>
      <c r="N10" s="226"/>
      <c r="O10" s="226"/>
      <c r="P10" s="226"/>
    </row>
    <row r="11" spans="1:16" s="12" customFormat="1" ht="17.25" customHeight="1">
      <c r="A11" s="215"/>
      <c r="B11" s="216"/>
      <c r="C11" s="225"/>
      <c r="D11" s="222"/>
      <c r="E11" s="223"/>
      <c r="F11" s="46" t="s">
        <v>187</v>
      </c>
      <c r="G11" s="46" t="s">
        <v>188</v>
      </c>
      <c r="H11" s="46"/>
      <c r="I11" s="46"/>
      <c r="J11" s="46"/>
      <c r="K11" s="96"/>
      <c r="L11" s="96"/>
      <c r="M11" s="226"/>
      <c r="N11" s="226"/>
      <c r="O11" s="226"/>
      <c r="P11" s="226"/>
    </row>
    <row r="12" spans="1:16" s="12" customFormat="1" ht="23.25" customHeight="1">
      <c r="A12" s="201" t="s">
        <v>220</v>
      </c>
      <c r="B12" s="201"/>
      <c r="C12" s="393" t="s">
        <v>330</v>
      </c>
      <c r="D12" s="363" t="s">
        <v>331</v>
      </c>
      <c r="E12" s="363"/>
      <c r="F12" s="102">
        <v>0.13500000000000001</v>
      </c>
      <c r="G12" s="102">
        <v>6.9699999999999998E-2</v>
      </c>
      <c r="H12" s="102"/>
      <c r="I12" s="102"/>
      <c r="J12" s="102"/>
      <c r="K12" s="96"/>
      <c r="L12" s="96"/>
      <c r="M12" s="226"/>
      <c r="N12" s="226"/>
      <c r="O12" s="226"/>
      <c r="P12" s="226"/>
    </row>
    <row r="13" spans="1:16" s="12" customFormat="1" ht="23.25" customHeight="1">
      <c r="A13" s="201" t="s">
        <v>332</v>
      </c>
      <c r="B13" s="201"/>
      <c r="C13" s="393" t="s">
        <v>333</v>
      </c>
      <c r="D13" s="363" t="s">
        <v>334</v>
      </c>
      <c r="E13" s="363"/>
      <c r="F13" s="102">
        <v>6.0000000000000001E-3</v>
      </c>
      <c r="G13" s="102">
        <v>2.1000000000000001E-2</v>
      </c>
      <c r="H13" s="102"/>
      <c r="I13" s="102"/>
      <c r="J13" s="102"/>
      <c r="K13" s="96"/>
      <c r="L13" s="96"/>
      <c r="M13" s="96"/>
      <c r="N13" s="96"/>
      <c r="O13" s="96"/>
      <c r="P13" s="96"/>
    </row>
    <row r="14" spans="1:16" s="12" customFormat="1" ht="23.25" customHeight="1">
      <c r="A14" s="201" t="s">
        <v>335</v>
      </c>
      <c r="B14" s="201"/>
      <c r="C14" s="393" t="s">
        <v>333</v>
      </c>
      <c r="D14" s="363" t="s">
        <v>334</v>
      </c>
      <c r="E14" s="363"/>
      <c r="F14" s="102">
        <v>1E-3</v>
      </c>
      <c r="G14" s="102">
        <v>2E-3</v>
      </c>
      <c r="H14" s="102"/>
      <c r="I14" s="102"/>
      <c r="J14" s="102"/>
      <c r="K14" s="96"/>
      <c r="L14" s="96"/>
      <c r="M14" s="96"/>
      <c r="N14" s="96"/>
      <c r="O14" s="96"/>
      <c r="P14" s="96"/>
    </row>
    <row r="15" spans="1:16" s="12" customFormat="1" ht="23.25" customHeight="1">
      <c r="A15" s="201" t="s">
        <v>336</v>
      </c>
      <c r="B15" s="201"/>
      <c r="C15" s="393" t="s">
        <v>333</v>
      </c>
      <c r="D15" s="363" t="s">
        <v>337</v>
      </c>
      <c r="E15" s="363"/>
      <c r="F15" s="102">
        <v>3.6999999999999998E-2</v>
      </c>
      <c r="G15" s="102">
        <v>4.2000000000000003E-2</v>
      </c>
      <c r="H15" s="102"/>
      <c r="I15" s="102"/>
      <c r="J15" s="102"/>
      <c r="K15" s="96"/>
      <c r="L15" s="96"/>
      <c r="M15" s="96"/>
      <c r="N15" s="96"/>
      <c r="O15" s="96"/>
      <c r="P15" s="96"/>
    </row>
    <row r="16" spans="1:16" s="12" customFormat="1" ht="23.25" customHeight="1">
      <c r="A16" s="201" t="s">
        <v>338</v>
      </c>
      <c r="B16" s="201"/>
      <c r="C16" s="393" t="s">
        <v>333</v>
      </c>
      <c r="D16" s="363" t="s">
        <v>339</v>
      </c>
      <c r="E16" s="363"/>
      <c r="F16" s="102">
        <v>2.7E-2</v>
      </c>
      <c r="G16" s="102">
        <v>0.04</v>
      </c>
      <c r="H16" s="102"/>
      <c r="I16" s="102"/>
      <c r="J16" s="102"/>
      <c r="K16" s="96"/>
      <c r="L16" s="96"/>
      <c r="M16" s="96"/>
      <c r="N16" s="96"/>
      <c r="O16" s="96"/>
      <c r="P16" s="96"/>
    </row>
    <row r="17" spans="1:10" s="12" customFormat="1" ht="23.25" customHeight="1">
      <c r="A17" s="201" t="s">
        <v>340</v>
      </c>
      <c r="B17" s="201"/>
      <c r="C17" s="393" t="s">
        <v>333</v>
      </c>
      <c r="D17" s="363" t="s">
        <v>341</v>
      </c>
      <c r="E17" s="363"/>
      <c r="F17" s="102">
        <v>2E-3</v>
      </c>
      <c r="G17" s="102">
        <v>2E-3</v>
      </c>
      <c r="H17" s="102"/>
      <c r="I17" s="102"/>
      <c r="J17" s="102"/>
    </row>
    <row r="18" spans="1:10" s="12" customFormat="1" ht="23.25" customHeight="1">
      <c r="A18" s="201" t="s">
        <v>342</v>
      </c>
      <c r="B18" s="201"/>
      <c r="C18" s="393" t="s">
        <v>333</v>
      </c>
      <c r="D18" s="363" t="s">
        <v>341</v>
      </c>
      <c r="E18" s="363"/>
      <c r="F18" s="102">
        <v>1E-4</v>
      </c>
      <c r="G18" s="102">
        <v>1E-4</v>
      </c>
      <c r="H18" s="102"/>
      <c r="I18" s="102"/>
      <c r="J18" s="102"/>
    </row>
    <row r="19" spans="1:10" s="12" customFormat="1" ht="23.25" customHeight="1">
      <c r="A19" s="201" t="s">
        <v>343</v>
      </c>
      <c r="B19" s="201"/>
      <c r="C19" s="393" t="s">
        <v>333</v>
      </c>
      <c r="D19" s="363" t="s">
        <v>341</v>
      </c>
      <c r="E19" s="363"/>
      <c r="F19" s="102">
        <v>4.0000000000000001E-3</v>
      </c>
      <c r="G19" s="102">
        <v>5.0000000000000001E-3</v>
      </c>
      <c r="H19" s="102"/>
      <c r="I19" s="102"/>
      <c r="J19" s="102"/>
    </row>
    <row r="20" spans="1:10" s="12" customFormat="1" ht="23.25" customHeight="1">
      <c r="A20" s="201" t="s">
        <v>344</v>
      </c>
      <c r="B20" s="201"/>
      <c r="C20" s="393" t="s">
        <v>333</v>
      </c>
      <c r="D20" s="363" t="s">
        <v>341</v>
      </c>
      <c r="E20" s="363"/>
      <c r="F20" s="102">
        <v>2.5999999999999999E-2</v>
      </c>
      <c r="G20" s="102">
        <v>3.6999999999999998E-2</v>
      </c>
      <c r="H20" s="102"/>
      <c r="I20" s="102"/>
      <c r="J20" s="102"/>
    </row>
    <row r="21" spans="1:10" s="12" customFormat="1" ht="23.25" customHeight="1">
      <c r="A21" s="201" t="s">
        <v>345</v>
      </c>
      <c r="B21" s="201"/>
      <c r="C21" s="393" t="s">
        <v>333</v>
      </c>
      <c r="D21" s="363" t="s">
        <v>341</v>
      </c>
      <c r="E21" s="363"/>
      <c r="F21" s="102">
        <v>2.8000000000000001E-2</v>
      </c>
      <c r="G21" s="102">
        <v>4.2999999999999997E-2</v>
      </c>
      <c r="H21" s="102"/>
      <c r="I21" s="102"/>
      <c r="J21" s="102"/>
    </row>
    <row r="22" spans="1:10" s="12" customFormat="1" ht="23.25" customHeight="1">
      <c r="A22" s="201" t="s">
        <v>346</v>
      </c>
      <c r="B22" s="201"/>
      <c r="C22" s="393" t="s">
        <v>333</v>
      </c>
      <c r="D22" s="363" t="s">
        <v>341</v>
      </c>
      <c r="E22" s="363"/>
      <c r="F22" s="102">
        <v>4.5999999999999999E-2</v>
      </c>
      <c r="G22" s="102">
        <v>7.8E-2</v>
      </c>
      <c r="H22" s="102"/>
      <c r="I22" s="102"/>
      <c r="J22" s="102"/>
    </row>
    <row r="23" spans="1:10" s="12" customFormat="1" ht="23.25" customHeight="1">
      <c r="A23" s="201" t="s">
        <v>347</v>
      </c>
      <c r="B23" s="201"/>
      <c r="C23" s="393" t="s">
        <v>333</v>
      </c>
      <c r="D23" s="363" t="s">
        <v>348</v>
      </c>
      <c r="E23" s="363"/>
      <c r="F23" s="102" t="s">
        <v>349</v>
      </c>
      <c r="G23" s="102" t="s">
        <v>349</v>
      </c>
      <c r="H23" s="102"/>
      <c r="I23" s="102"/>
      <c r="J23" s="102"/>
    </row>
    <row r="24" spans="1:10" s="12" customFormat="1" ht="23.25" customHeight="1">
      <c r="A24" s="201" t="s">
        <v>350</v>
      </c>
      <c r="B24" s="201"/>
      <c r="C24" s="393" t="s">
        <v>333</v>
      </c>
      <c r="D24" s="363" t="s">
        <v>348</v>
      </c>
      <c r="E24" s="363"/>
      <c r="F24" s="102" t="s">
        <v>349</v>
      </c>
      <c r="G24" s="102" t="s">
        <v>349</v>
      </c>
      <c r="H24" s="102"/>
      <c r="I24" s="102"/>
      <c r="J24" s="102"/>
    </row>
    <row r="25" spans="1:10" s="12" customFormat="1" ht="23.25" customHeight="1">
      <c r="A25" s="201" t="s">
        <v>351</v>
      </c>
      <c r="B25" s="201"/>
      <c r="C25" s="393" t="s">
        <v>333</v>
      </c>
      <c r="D25" s="363" t="s">
        <v>348</v>
      </c>
      <c r="E25" s="363"/>
      <c r="F25" s="102">
        <v>0.01</v>
      </c>
      <c r="G25" s="102" t="s">
        <v>349</v>
      </c>
      <c r="H25" s="102"/>
      <c r="I25" s="102"/>
      <c r="J25" s="102"/>
    </row>
    <row r="26" spans="1:10" s="12" customFormat="1" ht="23.25" customHeight="1">
      <c r="A26" s="201" t="s">
        <v>352</v>
      </c>
      <c r="B26" s="201"/>
      <c r="C26" s="393" t="s">
        <v>333</v>
      </c>
      <c r="D26" s="363" t="s">
        <v>348</v>
      </c>
      <c r="E26" s="363"/>
      <c r="F26" s="102">
        <v>0.01</v>
      </c>
      <c r="G26" s="102" t="s">
        <v>349</v>
      </c>
      <c r="H26" s="102"/>
      <c r="I26" s="102"/>
      <c r="J26" s="102"/>
    </row>
    <row r="27" spans="1:10" s="12" customFormat="1" ht="23.25" customHeight="1">
      <c r="A27" s="201" t="s">
        <v>353</v>
      </c>
      <c r="B27" s="201"/>
      <c r="C27" s="393" t="s">
        <v>333</v>
      </c>
      <c r="D27" s="363" t="s">
        <v>348</v>
      </c>
      <c r="E27" s="363"/>
      <c r="F27" s="102" t="s">
        <v>349</v>
      </c>
      <c r="G27" s="102" t="s">
        <v>349</v>
      </c>
      <c r="H27" s="102"/>
      <c r="I27" s="102"/>
      <c r="J27" s="102"/>
    </row>
    <row r="28" spans="1:10" s="12" customFormat="1" ht="23.25" customHeight="1">
      <c r="A28" s="201" t="s">
        <v>354</v>
      </c>
      <c r="B28" s="201"/>
      <c r="C28" s="393" t="s">
        <v>333</v>
      </c>
      <c r="D28" s="363" t="s">
        <v>348</v>
      </c>
      <c r="E28" s="363"/>
      <c r="F28" s="102" t="s">
        <v>349</v>
      </c>
      <c r="G28" s="102" t="s">
        <v>349</v>
      </c>
      <c r="H28" s="102"/>
      <c r="I28" s="102"/>
      <c r="J28" s="102"/>
    </row>
    <row r="29" spans="1:10" s="12" customFormat="1" ht="23.25" customHeight="1">
      <c r="A29" s="201" t="s">
        <v>355</v>
      </c>
      <c r="B29" s="201"/>
      <c r="C29" s="393" t="s">
        <v>333</v>
      </c>
      <c r="D29" s="363" t="s">
        <v>348</v>
      </c>
      <c r="E29" s="363"/>
      <c r="F29" s="102">
        <v>0.03</v>
      </c>
      <c r="G29" s="102" t="s">
        <v>349</v>
      </c>
      <c r="H29" s="102"/>
      <c r="I29" s="102"/>
      <c r="J29" s="102"/>
    </row>
    <row r="30" spans="1:10" s="12" customFormat="1" ht="23.25" customHeight="1">
      <c r="A30" s="201" t="s">
        <v>356</v>
      </c>
      <c r="B30" s="201"/>
      <c r="C30" s="393" t="s">
        <v>333</v>
      </c>
      <c r="D30" s="363" t="s">
        <v>348</v>
      </c>
      <c r="E30" s="363"/>
      <c r="F30" s="102" t="s">
        <v>349</v>
      </c>
      <c r="G30" s="102" t="s">
        <v>349</v>
      </c>
      <c r="H30" s="102"/>
      <c r="I30" s="102"/>
      <c r="J30" s="102"/>
    </row>
    <row r="31" spans="1:10" s="12" customFormat="1" ht="23.25" customHeight="1">
      <c r="A31" s="201" t="s">
        <v>357</v>
      </c>
      <c r="B31" s="201"/>
      <c r="C31" s="393" t="s">
        <v>333</v>
      </c>
      <c r="D31" s="363" t="s">
        <v>348</v>
      </c>
      <c r="E31" s="363"/>
      <c r="F31" s="102" t="s">
        <v>349</v>
      </c>
      <c r="G31" s="102" t="s">
        <v>349</v>
      </c>
      <c r="H31" s="102"/>
      <c r="I31" s="102"/>
      <c r="J31" s="102"/>
    </row>
    <row r="32" spans="1:10" s="12" customFormat="1" ht="23.25" customHeight="1">
      <c r="A32" s="201" t="s">
        <v>358</v>
      </c>
      <c r="B32" s="201"/>
      <c r="C32" s="393" t="s">
        <v>333</v>
      </c>
      <c r="D32" s="363" t="s">
        <v>348</v>
      </c>
      <c r="E32" s="363"/>
      <c r="F32" s="102">
        <v>0.01</v>
      </c>
      <c r="G32" s="102" t="s">
        <v>349</v>
      </c>
      <c r="H32" s="102"/>
      <c r="I32" s="102"/>
      <c r="J32" s="102"/>
    </row>
    <row r="33" spans="1:10" s="12" customFormat="1" ht="23.25" customHeight="1">
      <c r="A33" s="201" t="s">
        <v>359</v>
      </c>
      <c r="B33" s="201"/>
      <c r="C33" s="393" t="s">
        <v>333</v>
      </c>
      <c r="D33" s="363" t="s">
        <v>348</v>
      </c>
      <c r="E33" s="363"/>
      <c r="F33" s="102">
        <v>0.04</v>
      </c>
      <c r="G33" s="102" t="s">
        <v>349</v>
      </c>
      <c r="H33" s="102"/>
      <c r="I33" s="102"/>
      <c r="J33" s="102"/>
    </row>
    <row r="34" spans="1:10" s="12" customFormat="1" ht="23.25" customHeight="1">
      <c r="A34" s="201" t="s">
        <v>360</v>
      </c>
      <c r="B34" s="201"/>
      <c r="C34" s="393" t="s">
        <v>333</v>
      </c>
      <c r="D34" s="363" t="s">
        <v>348</v>
      </c>
      <c r="E34" s="363"/>
      <c r="F34" s="102" t="s">
        <v>349</v>
      </c>
      <c r="G34" s="102" t="s">
        <v>349</v>
      </c>
      <c r="H34" s="102"/>
      <c r="I34" s="102"/>
      <c r="J34" s="102"/>
    </row>
    <row r="35" spans="1:10" s="12" customFormat="1" ht="23.25" customHeight="1">
      <c r="A35" s="201" t="s">
        <v>361</v>
      </c>
      <c r="B35" s="201"/>
      <c r="C35" s="393" t="s">
        <v>333</v>
      </c>
      <c r="D35" s="363" t="s">
        <v>348</v>
      </c>
      <c r="E35" s="363"/>
      <c r="F35" s="102" t="s">
        <v>349</v>
      </c>
      <c r="G35" s="102" t="s">
        <v>349</v>
      </c>
      <c r="H35" s="102"/>
      <c r="I35" s="102"/>
      <c r="J35" s="102"/>
    </row>
    <row r="36" spans="1:10" s="12" customFormat="1" ht="23.25" customHeight="1">
      <c r="A36" s="201" t="s">
        <v>362</v>
      </c>
      <c r="B36" s="201"/>
      <c r="C36" s="393" t="s">
        <v>333</v>
      </c>
      <c r="D36" s="363" t="s">
        <v>348</v>
      </c>
      <c r="E36" s="363"/>
      <c r="F36" s="102">
        <v>0.21</v>
      </c>
      <c r="G36" s="102">
        <v>0.06</v>
      </c>
      <c r="H36" s="102"/>
      <c r="I36" s="102"/>
      <c r="J36" s="102"/>
    </row>
    <row r="37" spans="1:10" s="12" customFormat="1" ht="23.25" customHeight="1">
      <c r="A37" s="201" t="s">
        <v>363</v>
      </c>
      <c r="B37" s="201"/>
      <c r="C37" s="393" t="s">
        <v>333</v>
      </c>
      <c r="D37" s="363" t="s">
        <v>348</v>
      </c>
      <c r="E37" s="363"/>
      <c r="F37" s="102">
        <v>0.01</v>
      </c>
      <c r="G37" s="102" t="s">
        <v>349</v>
      </c>
      <c r="H37" s="102"/>
      <c r="I37" s="102"/>
      <c r="J37" s="102"/>
    </row>
    <row r="38" spans="1:10" s="12" customFormat="1" ht="23.25" customHeight="1">
      <c r="A38" s="201" t="s">
        <v>364</v>
      </c>
      <c r="B38" s="201"/>
      <c r="C38" s="393" t="s">
        <v>333</v>
      </c>
      <c r="D38" s="363" t="s">
        <v>348</v>
      </c>
      <c r="E38" s="363"/>
      <c r="F38" s="102">
        <v>0.90500000000000003</v>
      </c>
      <c r="G38" s="102">
        <v>1.51</v>
      </c>
      <c r="H38" s="102"/>
      <c r="I38" s="102"/>
      <c r="J38" s="102"/>
    </row>
    <row r="39" spans="1:10">
      <c r="A39" s="134" t="s">
        <v>303</v>
      </c>
      <c r="B39" s="134"/>
      <c r="C39" s="134"/>
      <c r="D39" s="134"/>
      <c r="E39" s="134"/>
      <c r="F39" s="134"/>
      <c r="G39" s="134"/>
      <c r="H39" s="134"/>
      <c r="I39" s="134"/>
      <c r="J39" s="134"/>
    </row>
    <row r="40" spans="1:10">
      <c r="A40" s="199"/>
      <c r="B40" s="199"/>
      <c r="C40" s="199"/>
      <c r="D40" s="199"/>
      <c r="E40" s="199"/>
      <c r="F40" s="199"/>
      <c r="G40" s="199"/>
      <c r="H40" s="199"/>
      <c r="I40" s="199"/>
      <c r="J40" s="199"/>
    </row>
    <row r="41" spans="1:10">
      <c r="A41" s="199"/>
      <c r="B41" s="199"/>
      <c r="C41" s="199"/>
      <c r="D41" s="199"/>
      <c r="E41" s="199"/>
      <c r="F41" s="199"/>
      <c r="G41" s="199"/>
      <c r="H41" s="199"/>
      <c r="I41" s="199"/>
      <c r="J41" s="199"/>
    </row>
    <row r="64" spans="6:6">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honeticPr fontId="25" type="noConversion"/>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showGridLines="0" view="pageBreakPreview" zoomScale="60" zoomScaleNormal="100" workbookViewId="0">
      <selection activeCell="B35" sqref="B35:I35"/>
    </sheetView>
  </sheetViews>
  <sheetFormatPr defaultColWidth="9.28515625" defaultRowHeight="15"/>
  <cols>
    <col min="1" max="1" width="21.28515625" style="2" customWidth="1"/>
    <col min="2" max="2" width="13.7109375" style="2" customWidth="1"/>
    <col min="3" max="3" width="16.28515625" style="2" customWidth="1"/>
    <col min="4" max="4" width="10.5703125" style="2" bestFit="1" customWidth="1"/>
    <col min="5" max="5" width="11.7109375" style="2" bestFit="1" customWidth="1"/>
    <col min="6" max="6" width="10.5703125" style="2" bestFit="1" customWidth="1"/>
    <col min="7" max="7" width="11.7109375" style="2" bestFit="1" customWidth="1"/>
    <col min="8" max="12" width="9.28515625" style="2"/>
    <col min="13" max="13" width="10.42578125" style="2" customWidth="1"/>
    <col min="14" max="16384" width="9.28515625" style="2"/>
  </cols>
  <sheetData>
    <row r="1" spans="1:16">
      <c r="A1" s="93" t="str">
        <f>+'Cover Page'!$B$29</f>
        <v>Annual Performance Report 2022</v>
      </c>
      <c r="B1" s="93"/>
      <c r="C1" s="93"/>
      <c r="D1" s="93"/>
      <c r="E1" s="93"/>
      <c r="F1" s="93"/>
      <c r="G1" s="93"/>
      <c r="H1" s="93"/>
      <c r="I1" s="93" t="str">
        <f>+'Cover Page'!$B$33</f>
        <v>Wolverhampton Energy from Waste Facility</v>
      </c>
      <c r="J1" s="93"/>
      <c r="K1" s="93"/>
      <c r="L1" s="93"/>
      <c r="M1" s="93"/>
      <c r="N1" s="93"/>
      <c r="O1" s="93"/>
      <c r="P1" s="93"/>
    </row>
    <row r="3" spans="1:16" ht="15.6">
      <c r="A3" s="1" t="s">
        <v>365</v>
      </c>
      <c r="B3" s="93"/>
      <c r="C3" s="93"/>
      <c r="D3" s="93"/>
      <c r="E3" s="93"/>
      <c r="F3" s="93"/>
      <c r="G3" s="93"/>
      <c r="H3" s="93"/>
      <c r="I3" s="93"/>
      <c r="J3" s="93"/>
      <c r="K3" s="93"/>
      <c r="L3" s="93"/>
      <c r="M3" s="93"/>
      <c r="N3" s="93"/>
      <c r="O3" s="93"/>
      <c r="P3" s="93"/>
    </row>
    <row r="4" spans="1:16" ht="15.6">
      <c r="A4" s="1"/>
      <c r="B4" s="93"/>
      <c r="C4" s="93"/>
      <c r="D4" s="93"/>
      <c r="E4" s="93"/>
      <c r="F4" s="93"/>
      <c r="G4" s="93"/>
      <c r="H4" s="93"/>
      <c r="I4" s="93"/>
      <c r="J4" s="93"/>
      <c r="K4" s="93"/>
      <c r="L4" s="93"/>
      <c r="M4" s="93"/>
      <c r="N4" s="93"/>
      <c r="O4" s="93"/>
      <c r="P4" s="73" t="s">
        <v>3</v>
      </c>
    </row>
    <row r="5" spans="1:16" s="3" customFormat="1" ht="21.75" customHeight="1">
      <c r="A5" s="48" t="s">
        <v>324</v>
      </c>
      <c r="B5" s="49"/>
      <c r="C5" s="49"/>
      <c r="D5" s="49"/>
      <c r="E5" s="49"/>
      <c r="F5" s="49"/>
      <c r="G5" s="49"/>
      <c r="H5" s="49"/>
      <c r="I5" s="49"/>
      <c r="J5" s="49"/>
      <c r="K5" s="49"/>
      <c r="L5" s="49"/>
      <c r="M5" s="50"/>
      <c r="P5" s="74" t="s">
        <v>366</v>
      </c>
    </row>
    <row r="6" spans="1:16" s="3" customFormat="1" ht="15.75" customHeight="1">
      <c r="A6" s="188"/>
      <c r="B6" s="192"/>
      <c r="C6" s="192"/>
      <c r="D6" s="192"/>
      <c r="E6" s="192"/>
      <c r="F6" s="192"/>
      <c r="G6" s="192"/>
      <c r="H6" s="192"/>
      <c r="I6" s="192"/>
      <c r="J6" s="192"/>
      <c r="K6" s="192"/>
      <c r="L6" s="192"/>
      <c r="M6" s="189"/>
      <c r="P6" s="3" t="s">
        <v>367</v>
      </c>
    </row>
    <row r="7" spans="1:16" s="3" customFormat="1" ht="15.75" customHeight="1">
      <c r="A7" s="190"/>
      <c r="B7" s="193"/>
      <c r="C7" s="193"/>
      <c r="D7" s="193"/>
      <c r="E7" s="193"/>
      <c r="F7" s="193"/>
      <c r="G7" s="193"/>
      <c r="H7" s="193"/>
      <c r="I7" s="193"/>
      <c r="J7" s="193"/>
      <c r="K7" s="193"/>
      <c r="L7" s="193"/>
      <c r="M7" s="191"/>
    </row>
    <row r="8" spans="1:16" s="3" customFormat="1" ht="15.75" customHeight="1">
      <c r="A8" s="128"/>
      <c r="B8" s="130"/>
      <c r="C8" s="130"/>
      <c r="D8" s="130"/>
      <c r="E8" s="130"/>
      <c r="F8" s="130"/>
      <c r="G8" s="130"/>
      <c r="H8" s="130"/>
      <c r="I8" s="130"/>
      <c r="J8" s="130"/>
      <c r="K8" s="130"/>
      <c r="L8" s="130"/>
      <c r="M8" s="194"/>
    </row>
    <row r="9" spans="1:16" s="3" customFormat="1" ht="15.75" customHeight="1">
      <c r="A9" s="195"/>
      <c r="B9" s="196"/>
      <c r="C9" s="196"/>
      <c r="D9" s="196"/>
      <c r="E9" s="196"/>
      <c r="F9" s="196"/>
      <c r="G9" s="196"/>
      <c r="H9" s="196"/>
      <c r="I9" s="196"/>
      <c r="J9" s="196"/>
      <c r="K9" s="196"/>
      <c r="L9" s="196"/>
      <c r="M9" s="197"/>
    </row>
    <row r="10" spans="1:16" s="3" customFormat="1" ht="13.9"/>
    <row r="11" spans="1:16" s="56" customFormat="1" ht="16.5" customHeight="1">
      <c r="A11" s="202" t="s">
        <v>368</v>
      </c>
      <c r="B11" s="202"/>
      <c r="C11" s="202"/>
      <c r="D11" s="202"/>
      <c r="E11" s="202"/>
      <c r="F11" s="202"/>
      <c r="G11" s="202"/>
      <c r="H11" s="202"/>
      <c r="I11" s="202"/>
      <c r="J11" s="202"/>
      <c r="K11" s="202"/>
      <c r="L11" s="202"/>
      <c r="M11" s="202"/>
    </row>
    <row r="12" spans="1:16" s="56" customFormat="1" ht="16.5" customHeight="1">
      <c r="A12" s="231" t="s">
        <v>209</v>
      </c>
      <c r="B12" s="224" t="s">
        <v>369</v>
      </c>
      <c r="C12" s="154" t="s">
        <v>328</v>
      </c>
      <c r="D12" s="155" t="s">
        <v>187</v>
      </c>
      <c r="E12" s="233"/>
      <c r="F12" s="155" t="s">
        <v>188</v>
      </c>
      <c r="G12" s="233"/>
      <c r="H12" s="155"/>
      <c r="I12" s="233"/>
      <c r="J12" s="155"/>
      <c r="K12" s="233"/>
      <c r="L12" s="155"/>
      <c r="M12" s="233"/>
    </row>
    <row r="13" spans="1:16" s="12" customFormat="1" ht="17.25" customHeight="1">
      <c r="A13" s="231"/>
      <c r="B13" s="232"/>
      <c r="C13" s="154"/>
      <c r="D13" s="46" t="s">
        <v>310</v>
      </c>
      <c r="E13" s="57" t="s">
        <v>370</v>
      </c>
      <c r="F13" s="46" t="s">
        <v>310</v>
      </c>
      <c r="G13" s="57" t="s">
        <v>370</v>
      </c>
      <c r="H13" s="46"/>
      <c r="I13" s="57"/>
      <c r="J13" s="46"/>
      <c r="K13" s="57"/>
      <c r="L13" s="46"/>
      <c r="M13" s="57"/>
      <c r="N13" s="96"/>
      <c r="O13" s="96"/>
      <c r="P13" s="96"/>
    </row>
    <row r="14" spans="1:16" s="12" customFormat="1" ht="23.25" customHeight="1">
      <c r="A14" s="201" t="s">
        <v>215</v>
      </c>
      <c r="B14" s="361" t="s">
        <v>371</v>
      </c>
      <c r="C14" s="361" t="s">
        <v>372</v>
      </c>
      <c r="D14" s="394">
        <f>NOx!O19</f>
        <v>190</v>
      </c>
      <c r="E14" s="394">
        <f>NOx!N19</f>
        <v>184.47782458481382</v>
      </c>
      <c r="F14" s="394">
        <f>NOx!O34</f>
        <v>198</v>
      </c>
      <c r="G14" s="394">
        <f>NOx!N34</f>
        <v>179.57853849107883</v>
      </c>
      <c r="H14" s="102"/>
      <c r="I14" s="102"/>
      <c r="J14" s="102"/>
      <c r="K14" s="102"/>
      <c r="L14" s="102"/>
      <c r="M14" s="102"/>
      <c r="N14" s="96"/>
      <c r="O14" s="96"/>
      <c r="P14" s="96"/>
    </row>
    <row r="15" spans="1:16" s="12" customFormat="1" ht="23.25" customHeight="1">
      <c r="A15" s="201"/>
      <c r="B15" s="361" t="s">
        <v>373</v>
      </c>
      <c r="C15" s="361" t="s">
        <v>374</v>
      </c>
      <c r="D15" s="394">
        <f>NOx!M19</f>
        <v>379</v>
      </c>
      <c r="E15" s="394">
        <f>NOx!L19</f>
        <v>183.41666666666666</v>
      </c>
      <c r="F15" s="394">
        <f>NOx!M34</f>
        <v>324</v>
      </c>
      <c r="G15" s="394">
        <f>NOx!L34</f>
        <v>179.5</v>
      </c>
      <c r="H15" s="102"/>
      <c r="I15" s="102"/>
      <c r="J15" s="102"/>
      <c r="K15" s="102"/>
      <c r="L15" s="102"/>
      <c r="M15" s="102"/>
      <c r="N15" s="96"/>
      <c r="O15" s="96"/>
      <c r="P15" s="96"/>
    </row>
    <row r="16" spans="1:16" s="12" customFormat="1" ht="23.25" customHeight="1">
      <c r="A16" s="113" t="s">
        <v>214</v>
      </c>
      <c r="B16" s="395" t="s">
        <v>371</v>
      </c>
      <c r="C16" s="361" t="s">
        <v>375</v>
      </c>
      <c r="D16" s="394">
        <f>Particulates!O19</f>
        <v>4</v>
      </c>
      <c r="E16" s="394">
        <f>Particulates!N19</f>
        <v>0.69484838140752114</v>
      </c>
      <c r="F16" s="394">
        <f>Particulates!O34</f>
        <v>8</v>
      </c>
      <c r="G16" s="394">
        <f>Particulates!N34</f>
        <v>1.2738768484601819</v>
      </c>
      <c r="H16" s="102"/>
      <c r="I16" s="102"/>
      <c r="J16" s="102"/>
      <c r="K16" s="102"/>
      <c r="L16" s="102"/>
      <c r="M16" s="102"/>
      <c r="N16" s="96"/>
      <c r="O16" s="96"/>
      <c r="P16" s="96"/>
    </row>
    <row r="17" spans="1:13" s="12" customFormat="1" ht="23.25" customHeight="1">
      <c r="A17" s="113"/>
      <c r="B17" s="361" t="s">
        <v>373</v>
      </c>
      <c r="C17" s="361" t="s">
        <v>376</v>
      </c>
      <c r="D17" s="394">
        <f>Particulates!M19</f>
        <v>91</v>
      </c>
      <c r="E17" s="394">
        <f>Particulates!L19</f>
        <v>0.75</v>
      </c>
      <c r="F17" s="394">
        <f>Particulates!M34</f>
        <v>17</v>
      </c>
      <c r="G17" s="394">
        <f>Particulates!L34</f>
        <v>1.4166666666666667</v>
      </c>
      <c r="H17" s="102"/>
      <c r="I17" s="102"/>
      <c r="J17" s="102"/>
      <c r="K17" s="102"/>
      <c r="L17" s="102"/>
      <c r="M17" s="102"/>
    </row>
    <row r="18" spans="1:13" s="12" customFormat="1" ht="23.25" customHeight="1">
      <c r="A18" s="113" t="s">
        <v>377</v>
      </c>
      <c r="B18" s="361" t="s">
        <v>371</v>
      </c>
      <c r="C18" s="361" t="s">
        <v>378</v>
      </c>
      <c r="D18" s="394">
        <f>TOC!O19</f>
        <v>2</v>
      </c>
      <c r="E18" s="394">
        <f>TOC!N19</f>
        <v>7.2668376028591067E-2</v>
      </c>
      <c r="F18" s="394">
        <f>TOC!O34</f>
        <v>4</v>
      </c>
      <c r="G18" s="394">
        <f>TOC!N34</f>
        <v>0.17623941470715665</v>
      </c>
      <c r="H18" s="102"/>
      <c r="I18" s="102"/>
      <c r="J18" s="102"/>
      <c r="K18" s="102"/>
      <c r="L18" s="102"/>
      <c r="M18" s="102"/>
    </row>
    <row r="19" spans="1:13" s="12" customFormat="1" ht="23.25" customHeight="1">
      <c r="A19" s="113"/>
      <c r="B19" s="361" t="s">
        <v>373</v>
      </c>
      <c r="C19" s="361" t="s">
        <v>379</v>
      </c>
      <c r="D19" s="394">
        <f>TOC!M19</f>
        <v>19</v>
      </c>
      <c r="E19" s="394">
        <f>TOC!L19</f>
        <v>0</v>
      </c>
      <c r="F19" s="394">
        <f>TOC!M34</f>
        <v>384</v>
      </c>
      <c r="G19" s="394">
        <f>TOC!L34</f>
        <v>8.3333333333333329E-2</v>
      </c>
      <c r="H19" s="102"/>
      <c r="I19" s="102"/>
      <c r="J19" s="102"/>
      <c r="K19" s="102"/>
      <c r="L19" s="102"/>
      <c r="M19" s="102"/>
    </row>
    <row r="20" spans="1:13" s="12" customFormat="1" ht="23.25" customHeight="1">
      <c r="A20" s="113" t="s">
        <v>380</v>
      </c>
      <c r="B20" s="361" t="s">
        <v>371</v>
      </c>
      <c r="C20" s="361" t="s">
        <v>378</v>
      </c>
      <c r="D20" s="394">
        <f>HCl!O19</f>
        <v>9</v>
      </c>
      <c r="E20" s="394">
        <f>HCl!N19</f>
        <v>6.2146553217789773</v>
      </c>
      <c r="F20" s="394">
        <f>HCl!O34</f>
        <v>8</v>
      </c>
      <c r="G20" s="394">
        <f>HCl!N34</f>
        <v>5.7685648804600431</v>
      </c>
      <c r="H20" s="102"/>
      <c r="I20" s="102"/>
      <c r="J20" s="102"/>
      <c r="K20" s="102"/>
      <c r="L20" s="102"/>
      <c r="M20" s="102"/>
    </row>
    <row r="21" spans="1:13" s="12" customFormat="1" ht="23.25" customHeight="1">
      <c r="A21" s="113"/>
      <c r="B21" s="361" t="s">
        <v>373</v>
      </c>
      <c r="C21" s="361" t="s">
        <v>381</v>
      </c>
      <c r="D21" s="394">
        <f>HCl!M19</f>
        <v>147</v>
      </c>
      <c r="E21" s="394">
        <f>HCl!L19</f>
        <v>6.333333333333333</v>
      </c>
      <c r="F21" s="394">
        <f>HCl!M34</f>
        <v>75</v>
      </c>
      <c r="G21" s="394">
        <f>HCl!L34</f>
        <v>5.75</v>
      </c>
      <c r="H21" s="102"/>
      <c r="I21" s="102"/>
      <c r="J21" s="102"/>
      <c r="K21" s="102"/>
      <c r="L21" s="102"/>
      <c r="M21" s="102"/>
    </row>
    <row r="22" spans="1:13" s="12" customFormat="1" ht="23.25" customHeight="1">
      <c r="A22" s="113" t="s">
        <v>216</v>
      </c>
      <c r="B22" s="361" t="s">
        <v>371</v>
      </c>
      <c r="C22" s="361" t="s">
        <v>382</v>
      </c>
      <c r="D22" s="394">
        <f>'SO2'!O19</f>
        <v>28</v>
      </c>
      <c r="E22" s="394">
        <f>'SO2'!N19</f>
        <v>15.015232522356181</v>
      </c>
      <c r="F22" s="394">
        <f>'SO2'!O34</f>
        <v>31</v>
      </c>
      <c r="G22" s="394">
        <f>'SO2'!N34</f>
        <v>18.03774752626903</v>
      </c>
      <c r="H22" s="102"/>
      <c r="I22" s="102"/>
      <c r="J22" s="102"/>
      <c r="K22" s="102"/>
      <c r="L22" s="102"/>
      <c r="M22" s="102"/>
    </row>
    <row r="23" spans="1:13" s="12" customFormat="1" ht="23.25" customHeight="1">
      <c r="A23" s="113"/>
      <c r="B23" s="361" t="s">
        <v>373</v>
      </c>
      <c r="C23" s="361" t="s">
        <v>372</v>
      </c>
      <c r="D23" s="394">
        <f>'SO2'!M19</f>
        <v>153</v>
      </c>
      <c r="E23" s="394">
        <f>'SO2'!L19</f>
        <v>15.166666666666666</v>
      </c>
      <c r="F23" s="394">
        <f>'SO2'!M34</f>
        <v>130</v>
      </c>
      <c r="G23" s="394">
        <f>'SO2'!L34</f>
        <v>18.083333333333332</v>
      </c>
      <c r="H23" s="102"/>
      <c r="I23" s="102"/>
      <c r="J23" s="102"/>
      <c r="K23" s="102"/>
      <c r="L23" s="102"/>
      <c r="M23" s="102"/>
    </row>
    <row r="24" spans="1:13" s="12" customFormat="1" ht="23.25" customHeight="1">
      <c r="A24" s="113" t="s">
        <v>383</v>
      </c>
      <c r="B24" s="361" t="s">
        <v>371</v>
      </c>
      <c r="C24" s="361" t="s">
        <v>382</v>
      </c>
      <c r="D24" s="394">
        <f>'CO 95% 10 min'!Q19</f>
        <v>45</v>
      </c>
      <c r="E24" s="394">
        <f>'CO 95% 10 min'!P19</f>
        <v>8.921898769637199</v>
      </c>
      <c r="F24" s="394">
        <f>'CO 95% 10 min'!Q34</f>
        <v>50</v>
      </c>
      <c r="G24" s="394">
        <f>'CO 95% 10 min'!P34</f>
        <v>7.2647665840250184</v>
      </c>
      <c r="H24" s="102"/>
      <c r="I24" s="102"/>
      <c r="J24" s="102"/>
      <c r="K24" s="102"/>
      <c r="L24" s="102"/>
      <c r="M24" s="102"/>
    </row>
    <row r="25" spans="1:13" s="12" customFormat="1" ht="23.25" customHeight="1">
      <c r="A25" s="113"/>
      <c r="B25" s="102" t="s">
        <v>384</v>
      </c>
      <c r="C25" s="102" t="s">
        <v>385</v>
      </c>
      <c r="D25" s="394">
        <f>'CO 95% 10 min'!M19</f>
        <v>82.5</v>
      </c>
      <c r="E25" s="394">
        <f>'CO 95% 10 min'!N19</f>
        <v>9.0833333333333339</v>
      </c>
      <c r="F25" s="394">
        <f>'CO 95% 10 min'!M34</f>
        <v>59.833333333333336</v>
      </c>
      <c r="G25" s="394">
        <f>'CO 95% 10 min'!N34</f>
        <v>7.666666666666667</v>
      </c>
      <c r="H25" s="102"/>
      <c r="I25" s="102"/>
      <c r="J25" s="102"/>
      <c r="K25" s="102"/>
      <c r="L25" s="102"/>
      <c r="M25" s="102"/>
    </row>
    <row r="26" spans="1:13" s="12" customFormat="1" ht="23.25" customHeight="1">
      <c r="A26" s="396" t="s">
        <v>386</v>
      </c>
      <c r="B26" s="397" t="s">
        <v>371</v>
      </c>
      <c r="C26" s="397" t="s">
        <v>387</v>
      </c>
      <c r="D26" s="398">
        <f>'NH3'!O19</f>
        <v>8</v>
      </c>
      <c r="E26" s="398">
        <f>'NH3'!N19</f>
        <v>3.4856233869674731</v>
      </c>
      <c r="F26" s="398">
        <f>'NH3'!O34</f>
        <v>11</v>
      </c>
      <c r="G26" s="398">
        <f>'NH3'!N34</f>
        <v>1.0755045054507422</v>
      </c>
      <c r="H26" s="399"/>
      <c r="I26" s="399"/>
      <c r="J26" s="399"/>
      <c r="K26" s="399"/>
      <c r="L26" s="399"/>
      <c r="M26" s="399"/>
    </row>
    <row r="27" spans="1:13">
      <c r="A27" s="227" t="s">
        <v>388</v>
      </c>
      <c r="B27" s="228"/>
      <c r="C27" s="228"/>
      <c r="D27" s="228"/>
      <c r="E27" s="228"/>
      <c r="F27" s="228"/>
      <c r="G27" s="228"/>
      <c r="H27" s="228"/>
      <c r="I27" s="228"/>
      <c r="J27" s="228"/>
      <c r="K27" s="228"/>
      <c r="L27" s="228"/>
      <c r="M27" s="229"/>
    </row>
    <row r="28" spans="1:13">
      <c r="A28" s="83" t="s">
        <v>303</v>
      </c>
      <c r="B28" s="84"/>
      <c r="C28" s="84"/>
      <c r="D28" s="84"/>
      <c r="E28" s="84"/>
      <c r="F28" s="84"/>
      <c r="G28" s="84"/>
      <c r="H28" s="84"/>
      <c r="I28" s="84"/>
      <c r="J28" s="84"/>
      <c r="K28" s="84"/>
      <c r="L28" s="84"/>
      <c r="M28" s="85"/>
    </row>
    <row r="29" spans="1:13">
      <c r="A29" s="230"/>
      <c r="B29" s="230"/>
      <c r="C29" s="230"/>
      <c r="D29" s="230"/>
      <c r="E29" s="230"/>
      <c r="F29" s="230"/>
      <c r="G29" s="230"/>
      <c r="H29" s="230"/>
      <c r="I29" s="230"/>
      <c r="J29" s="230"/>
      <c r="K29" s="230"/>
      <c r="L29" s="230"/>
      <c r="M29" s="230"/>
    </row>
    <row r="30" spans="1:13">
      <c r="A30" s="199"/>
      <c r="B30" s="199"/>
      <c r="C30" s="199"/>
      <c r="D30" s="199"/>
      <c r="E30" s="199"/>
      <c r="F30" s="199"/>
      <c r="G30" s="199"/>
      <c r="H30" s="199"/>
      <c r="I30" s="199"/>
      <c r="J30" s="199"/>
      <c r="K30" s="199"/>
      <c r="L30" s="199"/>
      <c r="M30" s="199"/>
    </row>
    <row r="35" spans="2:9">
      <c r="B35" s="93" t="s">
        <v>8</v>
      </c>
      <c r="C35" s="93"/>
      <c r="D35" s="93"/>
      <c r="E35" s="93"/>
      <c r="F35" s="93"/>
      <c r="G35" s="93"/>
      <c r="H35" s="93"/>
      <c r="I35" s="93"/>
    </row>
    <row r="40" spans="2:9">
      <c r="B40" s="93"/>
      <c r="C40" s="108"/>
      <c r="D40" s="108"/>
      <c r="E40" s="109"/>
      <c r="F40" s="96"/>
      <c r="G40" s="96"/>
      <c r="H40" s="96"/>
      <c r="I40" s="96"/>
    </row>
    <row r="67" spans="6:6">
      <c r="F67"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4" orientation="landscape"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view="pageBreakPreview" zoomScale="60" zoomScaleNormal="100" workbookViewId="0">
      <selection activeCell="B35" sqref="B35:I35"/>
    </sheetView>
  </sheetViews>
  <sheetFormatPr defaultRowHeight="13.9"/>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Wolverhampton Energy from Waste Facility</v>
      </c>
      <c r="F1" s="93"/>
      <c r="G1" s="93"/>
    </row>
    <row r="3" spans="1:19" ht="14.45">
      <c r="A3" s="60" t="s">
        <v>389</v>
      </c>
      <c r="D3" s="76" t="s">
        <v>390</v>
      </c>
      <c r="G3" s="80" t="s">
        <v>391</v>
      </c>
      <c r="J3" s="9" t="str">
        <f>+A3</f>
        <v>Monitoring of Hydrogen Chloride emissions</v>
      </c>
      <c r="L3" s="9"/>
      <c r="N3" s="9" t="s">
        <v>392</v>
      </c>
      <c r="Q3" s="79" t="s">
        <v>3</v>
      </c>
      <c r="R3" s="74"/>
      <c r="S3" s="74"/>
    </row>
    <row r="4" spans="1:19" ht="13.9" customHeight="1">
      <c r="Q4" s="226" t="s">
        <v>393</v>
      </c>
      <c r="R4" s="226"/>
      <c r="S4" s="226"/>
    </row>
    <row r="5" spans="1:19" ht="16.149999999999999">
      <c r="A5" s="68" t="s">
        <v>394</v>
      </c>
      <c r="B5" s="237" t="s">
        <v>395</v>
      </c>
      <c r="C5" s="237"/>
      <c r="D5" s="237"/>
      <c r="E5" s="237" t="s">
        <v>396</v>
      </c>
      <c r="F5" s="237"/>
      <c r="G5" s="237"/>
      <c r="J5" s="236"/>
      <c r="K5" s="236"/>
      <c r="L5" s="236"/>
      <c r="M5" s="236"/>
      <c r="N5" s="236"/>
      <c r="O5" s="236"/>
      <c r="Q5" s="226"/>
      <c r="R5" s="226"/>
      <c r="S5" s="226"/>
    </row>
    <row r="6" spans="1:19" s="58" customFormat="1" ht="37.5" customHeight="1">
      <c r="A6" s="65">
        <f>+'Cover Page'!C39</f>
        <v>2022</v>
      </c>
      <c r="B6" s="55" t="s">
        <v>397</v>
      </c>
      <c r="C6" s="55" t="s">
        <v>398</v>
      </c>
      <c r="D6" s="55" t="s">
        <v>399</v>
      </c>
      <c r="E6" s="55" t="s">
        <v>400</v>
      </c>
      <c r="F6" s="55" t="s">
        <v>401</v>
      </c>
      <c r="G6" s="55" t="s">
        <v>402</v>
      </c>
      <c r="H6" s="59"/>
      <c r="J6" s="61">
        <f>+A6</f>
        <v>2022</v>
      </c>
      <c r="K6" s="61" t="s">
        <v>403</v>
      </c>
      <c r="L6" s="67" t="s">
        <v>398</v>
      </c>
      <c r="M6" s="67" t="s">
        <v>404</v>
      </c>
      <c r="N6" s="67" t="s">
        <v>401</v>
      </c>
      <c r="O6" s="67" t="s">
        <v>405</v>
      </c>
      <c r="Q6" s="226"/>
      <c r="R6" s="226"/>
      <c r="S6" s="226"/>
    </row>
    <row r="7" spans="1:19" ht="13.9" customHeight="1">
      <c r="A7" s="66" t="s">
        <v>406</v>
      </c>
      <c r="B7" s="63">
        <v>60</v>
      </c>
      <c r="C7" s="105">
        <f>AVERAGE(L7,L22)</f>
        <v>6.5</v>
      </c>
      <c r="D7" s="105">
        <f>MAX(M7,M22)</f>
        <v>41</v>
      </c>
      <c r="E7" s="107">
        <v>10</v>
      </c>
      <c r="F7" s="105">
        <f>AVERAGE(N7,N22)</f>
        <v>6.650537634408602</v>
      </c>
      <c r="G7" s="105">
        <f>MAX(O7,O22)</f>
        <v>8</v>
      </c>
      <c r="J7" s="235" t="s">
        <v>187</v>
      </c>
      <c r="K7" s="66" t="s">
        <v>406</v>
      </c>
      <c r="L7" s="64">
        <v>6</v>
      </c>
      <c r="M7" s="64">
        <v>19</v>
      </c>
      <c r="N7" s="104">
        <v>6.333333333333333</v>
      </c>
      <c r="O7" s="64">
        <v>7</v>
      </c>
      <c r="Q7" s="226"/>
      <c r="R7" s="226"/>
      <c r="S7" s="226"/>
    </row>
    <row r="8" spans="1:19">
      <c r="A8" s="66" t="s">
        <v>407</v>
      </c>
      <c r="B8" s="63">
        <v>60</v>
      </c>
      <c r="C8" s="105">
        <f t="shared" ref="C8:C18" si="0">AVERAGE(L8,L23)</f>
        <v>6</v>
      </c>
      <c r="D8" s="105">
        <f t="shared" ref="D8:D18" si="1">MAX(M8,M23)</f>
        <v>71</v>
      </c>
      <c r="E8" s="107">
        <v>10</v>
      </c>
      <c r="F8" s="105">
        <f t="shared" ref="F8:F18" si="2">AVERAGE(N8,N23)</f>
        <v>5.8571428571428577</v>
      </c>
      <c r="G8" s="105">
        <f t="shared" ref="G8:G18" si="3">MAX(O8,O23)</f>
        <v>8</v>
      </c>
      <c r="J8" s="235"/>
      <c r="K8" s="66" t="s">
        <v>407</v>
      </c>
      <c r="L8" s="64">
        <v>6</v>
      </c>
      <c r="M8" s="64">
        <v>71</v>
      </c>
      <c r="N8" s="104">
        <v>5.5</v>
      </c>
      <c r="O8" s="64">
        <v>7</v>
      </c>
      <c r="Q8" s="226"/>
      <c r="R8" s="226"/>
      <c r="S8" s="226"/>
    </row>
    <row r="9" spans="1:19">
      <c r="A9" s="66" t="s">
        <v>408</v>
      </c>
      <c r="B9" s="63">
        <v>60</v>
      </c>
      <c r="C9" s="105">
        <f t="shared" si="0"/>
        <v>6</v>
      </c>
      <c r="D9" s="105">
        <f t="shared" si="1"/>
        <v>147</v>
      </c>
      <c r="E9" s="107">
        <v>10</v>
      </c>
      <c r="F9" s="105">
        <f t="shared" si="2"/>
        <v>5.1339285714285712</v>
      </c>
      <c r="G9" s="105">
        <f t="shared" si="3"/>
        <v>8</v>
      </c>
      <c r="J9" s="235"/>
      <c r="K9" s="66" t="s">
        <v>408</v>
      </c>
      <c r="L9" s="64">
        <v>6</v>
      </c>
      <c r="M9" s="64">
        <v>147</v>
      </c>
      <c r="N9" s="104">
        <v>4.6428571428571432</v>
      </c>
      <c r="O9" s="64">
        <v>7</v>
      </c>
      <c r="Q9" s="78" t="s">
        <v>409</v>
      </c>
    </row>
    <row r="10" spans="1:19" ht="13.9" customHeight="1">
      <c r="A10" s="66" t="s">
        <v>410</v>
      </c>
      <c r="B10" s="63">
        <v>60</v>
      </c>
      <c r="C10" s="105">
        <f t="shared" si="0"/>
        <v>5</v>
      </c>
      <c r="D10" s="105">
        <f t="shared" si="1"/>
        <v>62</v>
      </c>
      <c r="E10" s="107">
        <v>10</v>
      </c>
      <c r="F10" s="105">
        <f t="shared" si="2"/>
        <v>5.2166666666666668</v>
      </c>
      <c r="G10" s="105">
        <f t="shared" si="3"/>
        <v>6</v>
      </c>
      <c r="J10" s="235"/>
      <c r="K10" s="66" t="s">
        <v>410</v>
      </c>
      <c r="L10" s="64">
        <v>5</v>
      </c>
      <c r="M10" s="64">
        <v>62</v>
      </c>
      <c r="N10" s="104">
        <v>5.4</v>
      </c>
      <c r="O10" s="64">
        <v>6</v>
      </c>
      <c r="Q10" s="234" t="s">
        <v>411</v>
      </c>
      <c r="R10" s="234"/>
      <c r="S10" s="234"/>
    </row>
    <row r="11" spans="1:19">
      <c r="A11" s="66" t="s">
        <v>412</v>
      </c>
      <c r="B11" s="63">
        <v>60</v>
      </c>
      <c r="C11" s="105">
        <f t="shared" si="0"/>
        <v>5.5</v>
      </c>
      <c r="D11" s="105">
        <f t="shared" si="1"/>
        <v>44</v>
      </c>
      <c r="E11" s="107">
        <v>10</v>
      </c>
      <c r="F11" s="105">
        <f t="shared" si="2"/>
        <v>5.6575682382133996</v>
      </c>
      <c r="G11" s="105">
        <f t="shared" si="3"/>
        <v>7</v>
      </c>
      <c r="J11" s="235"/>
      <c r="K11" s="66" t="s">
        <v>412</v>
      </c>
      <c r="L11" s="64">
        <v>6</v>
      </c>
      <c r="M11" s="64">
        <v>44</v>
      </c>
      <c r="N11" s="104">
        <v>6.161290322580645</v>
      </c>
      <c r="O11" s="64">
        <v>7</v>
      </c>
      <c r="Q11" s="234"/>
      <c r="R11" s="234"/>
      <c r="S11" s="234"/>
    </row>
    <row r="12" spans="1:19">
      <c r="A12" s="66" t="s">
        <v>413</v>
      </c>
      <c r="B12" s="63">
        <v>60</v>
      </c>
      <c r="C12" s="105">
        <f t="shared" si="0"/>
        <v>6.5</v>
      </c>
      <c r="D12" s="105">
        <f t="shared" si="1"/>
        <v>48</v>
      </c>
      <c r="E12" s="107">
        <v>10</v>
      </c>
      <c r="F12" s="105">
        <f t="shared" si="2"/>
        <v>6.5333333333333332</v>
      </c>
      <c r="G12" s="105">
        <f t="shared" si="3"/>
        <v>8</v>
      </c>
      <c r="J12" s="235"/>
      <c r="K12" s="66" t="s">
        <v>413</v>
      </c>
      <c r="L12" s="64">
        <v>7</v>
      </c>
      <c r="M12" s="64">
        <v>35</v>
      </c>
      <c r="N12" s="104">
        <v>7.0666666666666664</v>
      </c>
      <c r="O12" s="64">
        <v>8</v>
      </c>
      <c r="Q12" s="234"/>
      <c r="R12" s="234"/>
      <c r="S12" s="234"/>
    </row>
    <row r="13" spans="1:19" ht="13.9" customHeight="1">
      <c r="A13" s="66" t="s">
        <v>414</v>
      </c>
      <c r="B13" s="63">
        <v>60</v>
      </c>
      <c r="C13" s="105">
        <f t="shared" si="0"/>
        <v>6.5</v>
      </c>
      <c r="D13" s="105">
        <f t="shared" si="1"/>
        <v>27</v>
      </c>
      <c r="E13" s="107">
        <v>10</v>
      </c>
      <c r="F13" s="105">
        <f t="shared" si="2"/>
        <v>6.3704301075268823</v>
      </c>
      <c r="G13" s="105">
        <f t="shared" si="3"/>
        <v>8</v>
      </c>
      <c r="J13" s="235"/>
      <c r="K13" s="66" t="s">
        <v>414</v>
      </c>
      <c r="L13" s="64">
        <v>7</v>
      </c>
      <c r="M13" s="64">
        <v>27</v>
      </c>
      <c r="N13" s="104">
        <v>6.774193548387097</v>
      </c>
      <c r="O13" s="64">
        <v>8</v>
      </c>
      <c r="Q13" s="234" t="s">
        <v>415</v>
      </c>
      <c r="R13" s="234"/>
      <c r="S13" s="234"/>
    </row>
    <row r="14" spans="1:19">
      <c r="A14" s="66" t="s">
        <v>416</v>
      </c>
      <c r="B14" s="63">
        <v>60</v>
      </c>
      <c r="C14" s="105">
        <f t="shared" si="0"/>
        <v>6</v>
      </c>
      <c r="D14" s="105">
        <f t="shared" si="1"/>
        <v>35</v>
      </c>
      <c r="E14" s="107">
        <v>10</v>
      </c>
      <c r="F14" s="105">
        <f t="shared" si="2"/>
        <v>5.95</v>
      </c>
      <c r="G14" s="105">
        <f t="shared" si="3"/>
        <v>8</v>
      </c>
      <c r="J14" s="235"/>
      <c r="K14" s="66" t="s">
        <v>416</v>
      </c>
      <c r="L14" s="64">
        <v>7</v>
      </c>
      <c r="M14" s="64">
        <v>35</v>
      </c>
      <c r="N14" s="104">
        <v>6.9</v>
      </c>
      <c r="O14" s="64">
        <v>8</v>
      </c>
      <c r="Q14" s="234"/>
      <c r="R14" s="234"/>
      <c r="S14" s="234"/>
    </row>
    <row r="15" spans="1:19">
      <c r="A15" s="66" t="s">
        <v>417</v>
      </c>
      <c r="B15" s="63">
        <v>60</v>
      </c>
      <c r="C15" s="105">
        <f t="shared" si="0"/>
        <v>5.5</v>
      </c>
      <c r="D15" s="105">
        <f t="shared" si="1"/>
        <v>36</v>
      </c>
      <c r="E15" s="107">
        <v>10</v>
      </c>
      <c r="F15" s="105">
        <f t="shared" si="2"/>
        <v>5.5166666666666666</v>
      </c>
      <c r="G15" s="105">
        <f t="shared" si="3"/>
        <v>8</v>
      </c>
      <c r="J15" s="235"/>
      <c r="K15" s="66" t="s">
        <v>417</v>
      </c>
      <c r="L15" s="64">
        <v>6</v>
      </c>
      <c r="M15" s="64">
        <v>36</v>
      </c>
      <c r="N15" s="104">
        <v>5.7</v>
      </c>
      <c r="O15" s="64">
        <v>8</v>
      </c>
      <c r="Q15" s="234"/>
      <c r="R15" s="234"/>
      <c r="S15" s="234"/>
    </row>
    <row r="16" spans="1:19">
      <c r="A16" s="66" t="s">
        <v>418</v>
      </c>
      <c r="B16" s="63">
        <v>60</v>
      </c>
      <c r="C16" s="105">
        <f t="shared" si="0"/>
        <v>6.5</v>
      </c>
      <c r="D16" s="105">
        <f t="shared" si="1"/>
        <v>35</v>
      </c>
      <c r="E16" s="107">
        <v>10</v>
      </c>
      <c r="F16" s="105">
        <f t="shared" si="2"/>
        <v>6.5097402597402603</v>
      </c>
      <c r="G16" s="105">
        <f t="shared" si="3"/>
        <v>9</v>
      </c>
      <c r="J16" s="235"/>
      <c r="K16" s="66" t="s">
        <v>418</v>
      </c>
      <c r="L16" s="64">
        <v>7</v>
      </c>
      <c r="M16" s="64">
        <v>20</v>
      </c>
      <c r="N16" s="104">
        <v>7.0909090909090908</v>
      </c>
      <c r="O16" s="64">
        <v>9</v>
      </c>
      <c r="Q16" s="234"/>
      <c r="R16" s="234"/>
      <c r="S16" s="234"/>
    </row>
    <row r="17" spans="1:15">
      <c r="A17" s="66" t="s">
        <v>419</v>
      </c>
      <c r="B17" s="63">
        <v>60</v>
      </c>
      <c r="C17" s="105">
        <f t="shared" si="0"/>
        <v>6</v>
      </c>
      <c r="D17" s="105">
        <f t="shared" si="1"/>
        <v>28</v>
      </c>
      <c r="E17" s="107">
        <v>10</v>
      </c>
      <c r="F17" s="105">
        <f t="shared" si="2"/>
        <v>6.0925925925925926</v>
      </c>
      <c r="G17" s="105">
        <f t="shared" si="3"/>
        <v>7</v>
      </c>
      <c r="J17" s="235"/>
      <c r="K17" s="66" t="s">
        <v>419</v>
      </c>
      <c r="L17" s="64">
        <v>6</v>
      </c>
      <c r="M17" s="64">
        <v>23</v>
      </c>
      <c r="N17" s="104">
        <v>6.1851851851851851</v>
      </c>
      <c r="O17" s="64">
        <v>7</v>
      </c>
    </row>
    <row r="18" spans="1:15">
      <c r="A18" s="66" t="s">
        <v>420</v>
      </c>
      <c r="B18" s="63">
        <v>60</v>
      </c>
      <c r="C18" s="105">
        <f t="shared" si="0"/>
        <v>6.5</v>
      </c>
      <c r="D18" s="105">
        <f t="shared" si="1"/>
        <v>38</v>
      </c>
      <c r="E18" s="107">
        <v>10</v>
      </c>
      <c r="F18" s="105">
        <f t="shared" si="2"/>
        <v>6.4107142857142856</v>
      </c>
      <c r="G18" s="105">
        <f t="shared" si="3"/>
        <v>7</v>
      </c>
      <c r="J18" s="235"/>
      <c r="K18" s="66" t="s">
        <v>420</v>
      </c>
      <c r="L18" s="64">
        <v>7</v>
      </c>
      <c r="M18" s="64">
        <v>26</v>
      </c>
      <c r="N18" s="104">
        <v>6.8214285714285712</v>
      </c>
      <c r="O18" s="64">
        <v>7</v>
      </c>
    </row>
    <row r="19" spans="1:15">
      <c r="J19" s="235"/>
      <c r="K19" s="62" t="s">
        <v>312</v>
      </c>
      <c r="L19" s="110">
        <f>AVERAGE(L7:L18)</f>
        <v>6.333333333333333</v>
      </c>
      <c r="M19" s="62">
        <f>MAX(M7:M18)</f>
        <v>147</v>
      </c>
      <c r="N19" s="110">
        <f>AVERAGE(N7:N18)</f>
        <v>6.2146553217789773</v>
      </c>
      <c r="O19" s="62">
        <f>MAX(O7:O18)</f>
        <v>9</v>
      </c>
    </row>
    <row r="21" spans="1:15" ht="41.45">
      <c r="J21" s="61">
        <f>+A6</f>
        <v>2022</v>
      </c>
      <c r="K21" s="61" t="s">
        <v>403</v>
      </c>
      <c r="L21" s="67" t="s">
        <v>398</v>
      </c>
      <c r="M21" s="67" t="s">
        <v>404</v>
      </c>
      <c r="N21" s="67" t="s">
        <v>401</v>
      </c>
      <c r="O21" s="67" t="s">
        <v>405</v>
      </c>
    </row>
    <row r="22" spans="1:15">
      <c r="J22" s="235" t="s">
        <v>188</v>
      </c>
      <c r="K22" s="66" t="s">
        <v>406</v>
      </c>
      <c r="L22" s="64">
        <v>7</v>
      </c>
      <c r="M22" s="64">
        <v>41</v>
      </c>
      <c r="N22" s="104">
        <v>6.967741935483871</v>
      </c>
      <c r="O22" s="64">
        <v>8</v>
      </c>
    </row>
    <row r="23" spans="1:15">
      <c r="J23" s="235"/>
      <c r="K23" s="66" t="s">
        <v>407</v>
      </c>
      <c r="L23" s="64">
        <v>6</v>
      </c>
      <c r="M23" s="64">
        <v>19</v>
      </c>
      <c r="N23" s="104">
        <v>6.2142857142857144</v>
      </c>
      <c r="O23" s="64">
        <v>8</v>
      </c>
    </row>
    <row r="24" spans="1:15">
      <c r="J24" s="235"/>
      <c r="K24" s="66" t="s">
        <v>408</v>
      </c>
      <c r="L24" s="64">
        <v>6</v>
      </c>
      <c r="M24" s="64">
        <v>75</v>
      </c>
      <c r="N24" s="104">
        <v>5.625</v>
      </c>
      <c r="O24" s="64">
        <v>8</v>
      </c>
    </row>
    <row r="25" spans="1:15">
      <c r="J25" s="235"/>
      <c r="K25" s="66" t="s">
        <v>410</v>
      </c>
      <c r="L25" s="64">
        <v>5</v>
      </c>
      <c r="M25" s="64">
        <v>31</v>
      </c>
      <c r="N25" s="104">
        <v>5.0333333333333332</v>
      </c>
      <c r="O25" s="64">
        <v>6</v>
      </c>
    </row>
    <row r="26" spans="1:15">
      <c r="J26" s="235"/>
      <c r="K26" s="66" t="s">
        <v>412</v>
      </c>
      <c r="L26" s="64">
        <v>5</v>
      </c>
      <c r="M26" s="64">
        <v>22</v>
      </c>
      <c r="N26" s="104">
        <v>5.1538461538461542</v>
      </c>
      <c r="O26" s="64">
        <v>7</v>
      </c>
    </row>
    <row r="27" spans="1:15">
      <c r="J27" s="235"/>
      <c r="K27" s="66" t="s">
        <v>413</v>
      </c>
      <c r="L27" s="64">
        <v>6</v>
      </c>
      <c r="M27" s="64">
        <v>48</v>
      </c>
      <c r="N27" s="104">
        <v>6</v>
      </c>
      <c r="O27" s="64">
        <v>8</v>
      </c>
    </row>
    <row r="28" spans="1:15">
      <c r="J28" s="235"/>
      <c r="K28" s="66" t="s">
        <v>414</v>
      </c>
      <c r="L28" s="64">
        <v>6</v>
      </c>
      <c r="M28" s="64">
        <v>18</v>
      </c>
      <c r="N28" s="104">
        <v>5.9666666666666668</v>
      </c>
      <c r="O28" s="64">
        <v>7</v>
      </c>
    </row>
    <row r="29" spans="1:15">
      <c r="J29" s="235"/>
      <c r="K29" s="66" t="s">
        <v>416</v>
      </c>
      <c r="L29" s="64">
        <v>5</v>
      </c>
      <c r="M29" s="64">
        <v>21</v>
      </c>
      <c r="N29" s="104">
        <v>5</v>
      </c>
      <c r="O29" s="64">
        <v>7</v>
      </c>
    </row>
    <row r="30" spans="1:15">
      <c r="J30" s="235"/>
      <c r="K30" s="66" t="s">
        <v>417</v>
      </c>
      <c r="L30" s="64">
        <v>5</v>
      </c>
      <c r="M30" s="64">
        <v>21</v>
      </c>
      <c r="N30" s="104">
        <v>5.333333333333333</v>
      </c>
      <c r="O30" s="64">
        <v>7</v>
      </c>
    </row>
    <row r="31" spans="1:15">
      <c r="J31" s="235"/>
      <c r="K31" s="66" t="s">
        <v>418</v>
      </c>
      <c r="L31" s="64">
        <v>6</v>
      </c>
      <c r="M31" s="64">
        <v>35</v>
      </c>
      <c r="N31" s="104">
        <v>5.9285714285714288</v>
      </c>
      <c r="O31" s="64">
        <v>8</v>
      </c>
    </row>
    <row r="32" spans="1:15">
      <c r="J32" s="235"/>
      <c r="K32" s="66" t="s">
        <v>419</v>
      </c>
      <c r="L32" s="64">
        <v>6</v>
      </c>
      <c r="M32" s="64">
        <v>28</v>
      </c>
      <c r="N32" s="104">
        <v>6</v>
      </c>
      <c r="O32" s="64">
        <v>7</v>
      </c>
    </row>
    <row r="33" spans="1:15">
      <c r="J33" s="235"/>
      <c r="K33" s="66" t="s">
        <v>420</v>
      </c>
      <c r="L33" s="64">
        <v>6</v>
      </c>
      <c r="M33" s="64">
        <v>38</v>
      </c>
      <c r="N33" s="104">
        <v>6</v>
      </c>
      <c r="O33" s="64">
        <v>7</v>
      </c>
    </row>
    <row r="34" spans="1:15">
      <c r="J34" s="235"/>
      <c r="K34" s="62" t="s">
        <v>312</v>
      </c>
      <c r="L34" s="62">
        <f>AVERAGE(L22:L33)</f>
        <v>5.75</v>
      </c>
      <c r="M34" s="62">
        <f>MAX(M22:M33)</f>
        <v>75</v>
      </c>
      <c r="N34" s="110">
        <f>AVERAGE(N22:N33)</f>
        <v>5.7685648804600431</v>
      </c>
      <c r="O34" s="62">
        <f>MAX(O22:O33)</f>
        <v>8</v>
      </c>
    </row>
    <row r="35" spans="1:15">
      <c r="B35" s="35" t="s">
        <v>8</v>
      </c>
    </row>
    <row r="36" spans="1:15">
      <c r="J36" s="61"/>
      <c r="K36" s="61"/>
      <c r="L36" s="67"/>
      <c r="M36" s="67"/>
      <c r="N36" s="67"/>
      <c r="O36" s="67"/>
    </row>
    <row r="37" spans="1:15">
      <c r="J37" s="235"/>
      <c r="K37" s="66"/>
      <c r="L37" s="64"/>
      <c r="M37" s="64"/>
      <c r="N37" s="64"/>
      <c r="O37" s="64"/>
    </row>
    <row r="38" spans="1:15">
      <c r="J38" s="235"/>
      <c r="K38" s="66"/>
      <c r="L38" s="64"/>
      <c r="M38" s="64"/>
      <c r="N38" s="64"/>
      <c r="O38" s="64"/>
    </row>
    <row r="39" spans="1:15">
      <c r="J39" s="235"/>
      <c r="K39" s="66"/>
      <c r="L39" s="64"/>
      <c r="M39" s="64"/>
      <c r="N39" s="64"/>
      <c r="O39" s="64"/>
    </row>
    <row r="40" spans="1:15">
      <c r="J40" s="235"/>
      <c r="K40" s="66"/>
      <c r="L40" s="64"/>
      <c r="M40" s="64"/>
      <c r="N40" s="64"/>
      <c r="O40" s="64"/>
    </row>
    <row r="41" spans="1:15">
      <c r="J41" s="235"/>
      <c r="K41" s="66"/>
      <c r="L41" s="64"/>
      <c r="M41" s="64"/>
      <c r="N41" s="64"/>
      <c r="O41" s="64"/>
    </row>
    <row r="42" spans="1:15">
      <c r="J42" s="235"/>
      <c r="K42" s="66"/>
      <c r="L42" s="64"/>
      <c r="M42" s="64"/>
      <c r="N42" s="64"/>
      <c r="O42" s="64"/>
    </row>
    <row r="43" spans="1:15">
      <c r="C43" s="35" t="s">
        <v>13</v>
      </c>
      <c r="J43" s="235"/>
      <c r="K43" s="66"/>
      <c r="L43" s="64"/>
      <c r="M43" s="64"/>
      <c r="N43" s="64"/>
      <c r="O43" s="64"/>
    </row>
    <row r="44" spans="1:15">
      <c r="J44" s="235"/>
      <c r="K44" s="66"/>
      <c r="L44" s="64"/>
      <c r="M44" s="64"/>
      <c r="N44" s="64"/>
      <c r="O44" s="64"/>
    </row>
    <row r="45" spans="1:15">
      <c r="C45" s="35" t="s">
        <v>15</v>
      </c>
      <c r="J45" s="235"/>
      <c r="K45" s="66"/>
      <c r="L45" s="64"/>
      <c r="M45" s="64"/>
      <c r="N45" s="64"/>
      <c r="O45" s="64"/>
    </row>
    <row r="46" spans="1:15">
      <c r="J46" s="235"/>
      <c r="K46" s="66"/>
      <c r="L46" s="64"/>
      <c r="M46" s="64"/>
      <c r="N46" s="64"/>
      <c r="O46" s="64"/>
    </row>
    <row r="47" spans="1:15">
      <c r="J47" s="235"/>
      <c r="K47" s="66"/>
      <c r="L47" s="64"/>
      <c r="M47" s="64"/>
      <c r="N47" s="64"/>
      <c r="O47" s="64"/>
    </row>
    <row r="48" spans="1:15">
      <c r="A48" s="247" t="s">
        <v>303</v>
      </c>
      <c r="B48" s="248"/>
      <c r="C48" s="248"/>
      <c r="D48" s="248"/>
      <c r="E48" s="248"/>
      <c r="F48" s="248"/>
      <c r="G48" s="249"/>
      <c r="J48" s="235"/>
      <c r="K48" s="66"/>
      <c r="L48" s="64"/>
      <c r="M48" s="64"/>
      <c r="N48" s="64"/>
      <c r="O48" s="64"/>
    </row>
    <row r="49" spans="1:15">
      <c r="A49" s="238"/>
      <c r="B49" s="239"/>
      <c r="C49" s="239"/>
      <c r="D49" s="239"/>
      <c r="E49" s="239"/>
      <c r="F49" s="239"/>
      <c r="G49" s="240"/>
      <c r="J49" s="235"/>
      <c r="K49" s="62"/>
      <c r="L49" s="62"/>
      <c r="M49" s="62"/>
      <c r="N49" s="62"/>
      <c r="O49" s="62"/>
    </row>
    <row r="50" spans="1:15">
      <c r="A50" s="241"/>
      <c r="B50" s="242"/>
      <c r="C50" s="242"/>
      <c r="D50" s="242"/>
      <c r="E50" s="242"/>
      <c r="F50" s="242"/>
      <c r="G50" s="243"/>
    </row>
    <row r="51" spans="1:15">
      <c r="A51" s="241"/>
      <c r="B51" s="242"/>
      <c r="C51" s="242"/>
      <c r="D51" s="242"/>
      <c r="E51" s="242"/>
      <c r="F51" s="242"/>
      <c r="G51" s="243"/>
      <c r="J51" s="61"/>
      <c r="K51" s="61"/>
      <c r="L51" s="67"/>
      <c r="M51" s="67"/>
      <c r="N51" s="67"/>
      <c r="O51" s="67"/>
    </row>
    <row r="52" spans="1:15">
      <c r="A52" s="244"/>
      <c r="B52" s="245"/>
      <c r="C52" s="245"/>
      <c r="D52" s="245"/>
      <c r="E52" s="245"/>
      <c r="F52" s="245"/>
      <c r="G52" s="246"/>
      <c r="J52" s="235"/>
      <c r="K52" s="66"/>
      <c r="L52" s="64"/>
      <c r="M52" s="64"/>
      <c r="N52" s="64"/>
      <c r="O52" s="64"/>
    </row>
    <row r="53" spans="1:15">
      <c r="J53" s="235"/>
      <c r="K53" s="66"/>
      <c r="L53" s="64"/>
      <c r="M53" s="64"/>
      <c r="N53" s="64"/>
      <c r="O53" s="64"/>
    </row>
    <row r="54" spans="1:15">
      <c r="J54" s="235"/>
      <c r="K54" s="66"/>
      <c r="L54" s="64"/>
      <c r="M54" s="64"/>
      <c r="N54" s="64"/>
      <c r="O54" s="64"/>
    </row>
    <row r="55" spans="1:15">
      <c r="J55" s="235"/>
      <c r="K55" s="66"/>
      <c r="L55" s="64"/>
      <c r="M55" s="64"/>
      <c r="N55" s="64"/>
      <c r="O55" s="64"/>
    </row>
    <row r="56" spans="1:15">
      <c r="J56" s="235"/>
      <c r="K56" s="66"/>
      <c r="L56" s="64"/>
      <c r="M56" s="64"/>
      <c r="N56" s="64"/>
      <c r="O56" s="64"/>
    </row>
    <row r="57" spans="1:15">
      <c r="J57" s="235"/>
      <c r="K57" s="66"/>
      <c r="L57" s="64"/>
      <c r="M57" s="64"/>
      <c r="N57" s="64"/>
      <c r="O57" s="64"/>
    </row>
    <row r="58" spans="1:15">
      <c r="J58" s="235"/>
      <c r="K58" s="66"/>
      <c r="L58" s="64"/>
      <c r="M58" s="64"/>
      <c r="N58" s="64"/>
      <c r="O58" s="64"/>
    </row>
    <row r="59" spans="1:15">
      <c r="J59" s="235"/>
      <c r="K59" s="66"/>
      <c r="L59" s="64"/>
      <c r="M59" s="64"/>
      <c r="N59" s="64"/>
      <c r="O59" s="64"/>
    </row>
    <row r="60" spans="1:15">
      <c r="J60" s="235"/>
      <c r="K60" s="66"/>
      <c r="L60" s="64"/>
      <c r="M60" s="64"/>
      <c r="N60" s="64"/>
      <c r="O60" s="64"/>
    </row>
    <row r="61" spans="1:15">
      <c r="J61" s="235"/>
      <c r="K61" s="66"/>
      <c r="L61" s="64"/>
      <c r="M61" s="64"/>
      <c r="N61" s="64"/>
      <c r="O61" s="64"/>
    </row>
    <row r="62" spans="1:15">
      <c r="J62" s="235"/>
      <c r="K62" s="66"/>
      <c r="L62" s="64"/>
      <c r="M62" s="64"/>
      <c r="N62" s="64"/>
      <c r="O62" s="64"/>
    </row>
    <row r="63" spans="1:15">
      <c r="J63" s="235"/>
      <c r="K63" s="66"/>
      <c r="L63" s="64"/>
      <c r="M63" s="64"/>
      <c r="N63" s="64"/>
      <c r="O63" s="64"/>
    </row>
    <row r="64" spans="1:15">
      <c r="J64" s="235"/>
      <c r="K64" s="62"/>
      <c r="L64" s="62"/>
      <c r="M64" s="62"/>
      <c r="N64" s="62"/>
      <c r="O64" s="62"/>
    </row>
    <row r="66" spans="10:15">
      <c r="J66" s="61"/>
      <c r="K66" s="61"/>
      <c r="L66" s="67"/>
      <c r="M66" s="67"/>
      <c r="N66" s="67"/>
      <c r="O66" s="67"/>
    </row>
    <row r="67" spans="10:15">
      <c r="J67" s="235"/>
      <c r="K67" s="66"/>
      <c r="L67" s="64"/>
      <c r="M67" s="64"/>
      <c r="N67" s="64"/>
      <c r="O67" s="64"/>
    </row>
    <row r="68" spans="10:15">
      <c r="J68" s="235"/>
      <c r="K68" s="66"/>
      <c r="L68" s="64"/>
      <c r="M68" s="64"/>
      <c r="N68" s="64"/>
      <c r="O68" s="64"/>
    </row>
    <row r="69" spans="10:15">
      <c r="J69" s="235"/>
      <c r="K69" s="66"/>
      <c r="L69" s="64"/>
      <c r="M69" s="64"/>
      <c r="N69" s="64"/>
      <c r="O69" s="64"/>
    </row>
    <row r="70" spans="10:15">
      <c r="J70" s="235"/>
      <c r="K70" s="66"/>
      <c r="L70" s="64"/>
      <c r="M70" s="64"/>
      <c r="N70" s="64"/>
      <c r="O70" s="64"/>
    </row>
    <row r="71" spans="10:15">
      <c r="J71" s="235"/>
      <c r="K71" s="66"/>
      <c r="L71" s="64"/>
      <c r="M71" s="64"/>
      <c r="N71" s="64"/>
      <c r="O71" s="64"/>
    </row>
    <row r="72" spans="10:15">
      <c r="J72" s="235"/>
      <c r="K72" s="66"/>
      <c r="L72" s="64"/>
      <c r="M72" s="64"/>
      <c r="N72" s="64"/>
      <c r="O72" s="64"/>
    </row>
    <row r="73" spans="10:15">
      <c r="J73" s="235"/>
      <c r="K73" s="66"/>
      <c r="L73" s="64"/>
      <c r="M73" s="64"/>
      <c r="N73" s="64"/>
      <c r="O73" s="64"/>
    </row>
    <row r="74" spans="10:15">
      <c r="J74" s="235"/>
      <c r="K74" s="66"/>
      <c r="L74" s="64"/>
      <c r="M74" s="64"/>
      <c r="N74" s="64"/>
      <c r="O74" s="64"/>
    </row>
    <row r="75" spans="10:15">
      <c r="J75" s="235"/>
      <c r="K75" s="66"/>
      <c r="L75" s="64"/>
      <c r="M75" s="64"/>
      <c r="N75" s="64"/>
      <c r="O75" s="64"/>
    </row>
    <row r="76" spans="10:15">
      <c r="J76" s="235"/>
      <c r="K76" s="66"/>
      <c r="L76" s="64"/>
      <c r="M76" s="64"/>
      <c r="N76" s="64"/>
      <c r="O76" s="64"/>
    </row>
    <row r="77" spans="10:15">
      <c r="J77" s="235"/>
      <c r="K77" s="66"/>
      <c r="L77" s="64"/>
      <c r="M77" s="64"/>
      <c r="N77" s="64"/>
      <c r="O77" s="64"/>
    </row>
    <row r="78" spans="10:15">
      <c r="J78" s="235"/>
      <c r="K78" s="66"/>
      <c r="L78" s="64"/>
      <c r="M78" s="64"/>
      <c r="N78" s="64"/>
      <c r="O78" s="64"/>
    </row>
    <row r="79" spans="10:15">
      <c r="J79" s="235"/>
      <c r="K79" s="62"/>
      <c r="L79" s="62"/>
      <c r="M79" s="62"/>
      <c r="N79" s="62"/>
      <c r="O79" s="62"/>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view="pageBreakPreview" zoomScale="60" zoomScaleNormal="100" workbookViewId="0">
      <selection activeCell="B35" sqref="B35:I35"/>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Wolverhampton Energy from Waste Facility</v>
      </c>
      <c r="F1" s="93"/>
      <c r="G1" s="93"/>
    </row>
    <row r="3" spans="1:19" ht="14.45">
      <c r="A3" s="60" t="s">
        <v>421</v>
      </c>
      <c r="D3" s="76" t="s">
        <v>390</v>
      </c>
      <c r="G3" s="80" t="s">
        <v>391</v>
      </c>
      <c r="J3" s="9" t="str">
        <f>+A3</f>
        <v>Monitoring of Sulphur dioxide emissions</v>
      </c>
      <c r="L3" s="9"/>
      <c r="N3" s="9" t="s">
        <v>392</v>
      </c>
      <c r="Q3" s="79" t="s">
        <v>3</v>
      </c>
      <c r="R3" s="74"/>
      <c r="S3" s="74"/>
    </row>
    <row r="4" spans="1:19" ht="13.9" customHeight="1">
      <c r="Q4" s="226" t="s">
        <v>393</v>
      </c>
      <c r="R4" s="226"/>
      <c r="S4" s="226"/>
    </row>
    <row r="5" spans="1:19" ht="16.149999999999999">
      <c r="A5" s="68" t="s">
        <v>394</v>
      </c>
      <c r="B5" s="237" t="s">
        <v>395</v>
      </c>
      <c r="C5" s="237"/>
      <c r="D5" s="237"/>
      <c r="E5" s="237" t="s">
        <v>396</v>
      </c>
      <c r="F5" s="237"/>
      <c r="G5" s="237"/>
      <c r="J5" s="236"/>
      <c r="K5" s="236"/>
      <c r="L5" s="236"/>
      <c r="M5" s="236"/>
      <c r="N5" s="236"/>
      <c r="O5" s="236"/>
      <c r="Q5" s="226"/>
      <c r="R5" s="226"/>
      <c r="S5" s="226"/>
    </row>
    <row r="6" spans="1:19" s="58" customFormat="1" ht="37.5" customHeight="1">
      <c r="A6" s="65">
        <f>+'Cover Page'!C39</f>
        <v>2022</v>
      </c>
      <c r="B6" s="55" t="s">
        <v>422</v>
      </c>
      <c r="C6" s="55" t="s">
        <v>398</v>
      </c>
      <c r="D6" s="55" t="s">
        <v>399</v>
      </c>
      <c r="E6" s="55" t="s">
        <v>423</v>
      </c>
      <c r="F6" s="55" t="s">
        <v>401</v>
      </c>
      <c r="G6" s="55" t="s">
        <v>402</v>
      </c>
      <c r="H6" s="59"/>
      <c r="J6" s="61">
        <f>+A6</f>
        <v>2022</v>
      </c>
      <c r="K6" s="61" t="s">
        <v>403</v>
      </c>
      <c r="L6" s="67" t="s">
        <v>398</v>
      </c>
      <c r="M6" s="67" t="s">
        <v>404</v>
      </c>
      <c r="N6" s="67" t="s">
        <v>401</v>
      </c>
      <c r="O6" s="67" t="s">
        <v>405</v>
      </c>
      <c r="Q6" s="226"/>
      <c r="R6" s="226"/>
      <c r="S6" s="226"/>
    </row>
    <row r="7" spans="1:19">
      <c r="A7" s="66" t="s">
        <v>406</v>
      </c>
      <c r="B7" s="63">
        <v>200</v>
      </c>
      <c r="C7" s="105">
        <f>AVERAGE(L7,L22)</f>
        <v>15.5</v>
      </c>
      <c r="D7" s="105">
        <f>MAX(M7,M22)</f>
        <v>68</v>
      </c>
      <c r="E7" s="107">
        <v>50</v>
      </c>
      <c r="F7" s="105">
        <f>AVERAGE(N7,N22)</f>
        <v>15.349462365591396</v>
      </c>
      <c r="G7" s="105">
        <f>MAX(O7,O22)</f>
        <v>26</v>
      </c>
      <c r="J7" s="235" t="s">
        <v>187</v>
      </c>
      <c r="K7" s="66" t="s">
        <v>406</v>
      </c>
      <c r="L7" s="64">
        <v>15</v>
      </c>
      <c r="M7" s="64">
        <v>68</v>
      </c>
      <c r="N7" s="104">
        <v>14.666666666666666</v>
      </c>
      <c r="O7" s="64">
        <v>26</v>
      </c>
      <c r="Q7" s="226"/>
      <c r="R7" s="226"/>
      <c r="S7" s="226"/>
    </row>
    <row r="8" spans="1:19">
      <c r="A8" s="66" t="s">
        <v>407</v>
      </c>
      <c r="B8" s="63">
        <v>200</v>
      </c>
      <c r="C8" s="105">
        <f t="shared" ref="C8:C18" si="0">AVERAGE(L8,L23)</f>
        <v>16.5</v>
      </c>
      <c r="D8" s="105">
        <f t="shared" ref="D8:D18" si="1">MAX(M8,M23)</f>
        <v>76</v>
      </c>
      <c r="E8" s="107">
        <v>50</v>
      </c>
      <c r="F8" s="105">
        <f t="shared" ref="F8:F18" si="2">AVERAGE(N8,N23)</f>
        <v>16.696428571428569</v>
      </c>
      <c r="G8" s="105">
        <f t="shared" ref="G8:G18" si="3">MAX(O8,O23)</f>
        <v>23</v>
      </c>
      <c r="J8" s="235"/>
      <c r="K8" s="66" t="s">
        <v>407</v>
      </c>
      <c r="L8" s="64">
        <v>15</v>
      </c>
      <c r="M8" s="64">
        <v>76</v>
      </c>
      <c r="N8" s="104">
        <v>15.357142857142858</v>
      </c>
      <c r="O8" s="64">
        <v>23</v>
      </c>
      <c r="Q8" s="226"/>
      <c r="R8" s="226"/>
      <c r="S8" s="226"/>
    </row>
    <row r="9" spans="1:19">
      <c r="A9" s="66" t="s">
        <v>408</v>
      </c>
      <c r="B9" s="63">
        <v>200</v>
      </c>
      <c r="C9" s="105">
        <f t="shared" si="0"/>
        <v>18.5</v>
      </c>
      <c r="D9" s="105">
        <f t="shared" si="1"/>
        <v>101</v>
      </c>
      <c r="E9" s="107">
        <v>50</v>
      </c>
      <c r="F9" s="105">
        <f t="shared" si="2"/>
        <v>17.99404761904762</v>
      </c>
      <c r="G9" s="105">
        <f t="shared" si="3"/>
        <v>28</v>
      </c>
      <c r="J9" s="235"/>
      <c r="K9" s="66" t="s">
        <v>408</v>
      </c>
      <c r="L9" s="64">
        <v>15</v>
      </c>
      <c r="M9" s="64">
        <v>98</v>
      </c>
      <c r="N9" s="104">
        <v>14.321428571428571</v>
      </c>
      <c r="O9" s="64">
        <v>28</v>
      </c>
      <c r="Q9" s="78" t="s">
        <v>409</v>
      </c>
    </row>
    <row r="10" spans="1:19" ht="14.25" customHeight="1">
      <c r="A10" s="66" t="s">
        <v>410</v>
      </c>
      <c r="B10" s="63">
        <v>200</v>
      </c>
      <c r="C10" s="105">
        <f t="shared" si="0"/>
        <v>19.5</v>
      </c>
      <c r="D10" s="105">
        <f t="shared" si="1"/>
        <v>130</v>
      </c>
      <c r="E10" s="107">
        <v>50</v>
      </c>
      <c r="F10" s="105">
        <f t="shared" si="2"/>
        <v>19.566666666666666</v>
      </c>
      <c r="G10" s="105">
        <f t="shared" si="3"/>
        <v>27</v>
      </c>
      <c r="J10" s="235"/>
      <c r="K10" s="66" t="s">
        <v>410</v>
      </c>
      <c r="L10" s="64">
        <v>18</v>
      </c>
      <c r="M10" s="64">
        <v>102</v>
      </c>
      <c r="N10" s="104">
        <v>18.066666666666666</v>
      </c>
      <c r="O10" s="64">
        <v>26</v>
      </c>
      <c r="Q10" s="234" t="s">
        <v>411</v>
      </c>
      <c r="R10" s="234"/>
      <c r="S10" s="234"/>
    </row>
    <row r="11" spans="1:19">
      <c r="A11" s="66" t="s">
        <v>412</v>
      </c>
      <c r="B11" s="63">
        <v>200</v>
      </c>
      <c r="C11" s="105">
        <f t="shared" si="0"/>
        <v>17.5</v>
      </c>
      <c r="D11" s="105">
        <f t="shared" si="1"/>
        <v>132</v>
      </c>
      <c r="E11" s="107">
        <v>50</v>
      </c>
      <c r="F11" s="105">
        <f t="shared" si="2"/>
        <v>17.598635235732011</v>
      </c>
      <c r="G11" s="105">
        <f t="shared" si="3"/>
        <v>30</v>
      </c>
      <c r="J11" s="235"/>
      <c r="K11" s="66" t="s">
        <v>412</v>
      </c>
      <c r="L11" s="64">
        <v>16</v>
      </c>
      <c r="M11" s="64">
        <v>132</v>
      </c>
      <c r="N11" s="104">
        <v>15.774193548387096</v>
      </c>
      <c r="O11" s="64">
        <v>21</v>
      </c>
      <c r="Q11" s="234"/>
      <c r="R11" s="234"/>
      <c r="S11" s="234"/>
    </row>
    <row r="12" spans="1:19">
      <c r="A12" s="66" t="s">
        <v>413</v>
      </c>
      <c r="B12" s="63">
        <v>200</v>
      </c>
      <c r="C12" s="105">
        <f t="shared" si="0"/>
        <v>17</v>
      </c>
      <c r="D12" s="105">
        <f t="shared" si="1"/>
        <v>94</v>
      </c>
      <c r="E12" s="107">
        <v>50</v>
      </c>
      <c r="F12" s="105">
        <f t="shared" si="2"/>
        <v>16.716666666666669</v>
      </c>
      <c r="G12" s="105">
        <f t="shared" si="3"/>
        <v>29</v>
      </c>
      <c r="J12" s="235"/>
      <c r="K12" s="66" t="s">
        <v>413</v>
      </c>
      <c r="L12" s="64">
        <v>13</v>
      </c>
      <c r="M12" s="64">
        <v>65</v>
      </c>
      <c r="N12" s="104">
        <v>12.766666666666667</v>
      </c>
      <c r="O12" s="64">
        <v>19</v>
      </c>
      <c r="Q12" s="234"/>
      <c r="R12" s="234"/>
      <c r="S12" s="234"/>
    </row>
    <row r="13" spans="1:19" ht="14.25" customHeight="1">
      <c r="A13" s="66" t="s">
        <v>414</v>
      </c>
      <c r="B13" s="63">
        <v>200</v>
      </c>
      <c r="C13" s="105">
        <f t="shared" si="0"/>
        <v>13</v>
      </c>
      <c r="D13" s="105">
        <f t="shared" si="1"/>
        <v>153</v>
      </c>
      <c r="E13" s="107">
        <v>50</v>
      </c>
      <c r="F13" s="105">
        <f t="shared" si="2"/>
        <v>13.130645161290325</v>
      </c>
      <c r="G13" s="105">
        <f t="shared" si="3"/>
        <v>25</v>
      </c>
      <c r="J13" s="235"/>
      <c r="K13" s="66" t="s">
        <v>414</v>
      </c>
      <c r="L13" s="64">
        <v>9</v>
      </c>
      <c r="M13" s="64">
        <v>153</v>
      </c>
      <c r="N13" s="104">
        <v>9.1612903225806459</v>
      </c>
      <c r="O13" s="64">
        <v>16</v>
      </c>
      <c r="Q13" s="234" t="s">
        <v>415</v>
      </c>
      <c r="R13" s="234"/>
      <c r="S13" s="234"/>
    </row>
    <row r="14" spans="1:19">
      <c r="A14" s="66" t="s">
        <v>416</v>
      </c>
      <c r="B14" s="63">
        <v>200</v>
      </c>
      <c r="C14" s="105">
        <f t="shared" si="0"/>
        <v>13.5</v>
      </c>
      <c r="D14" s="105">
        <f t="shared" si="1"/>
        <v>97</v>
      </c>
      <c r="E14" s="107">
        <v>50</v>
      </c>
      <c r="F14" s="105">
        <f t="shared" si="2"/>
        <v>13.456410256410257</v>
      </c>
      <c r="G14" s="105">
        <f t="shared" si="3"/>
        <v>27</v>
      </c>
      <c r="J14" s="235"/>
      <c r="K14" s="66" t="s">
        <v>416</v>
      </c>
      <c r="L14" s="64">
        <v>11</v>
      </c>
      <c r="M14" s="64">
        <v>76</v>
      </c>
      <c r="N14" s="104">
        <v>10.566666666666666</v>
      </c>
      <c r="O14" s="64">
        <v>20</v>
      </c>
      <c r="Q14" s="234"/>
      <c r="R14" s="234"/>
      <c r="S14" s="234"/>
    </row>
    <row r="15" spans="1:19">
      <c r="A15" s="66" t="s">
        <v>417</v>
      </c>
      <c r="B15" s="63">
        <v>200</v>
      </c>
      <c r="C15" s="105">
        <f t="shared" si="0"/>
        <v>14.5</v>
      </c>
      <c r="D15" s="105">
        <f t="shared" si="1"/>
        <v>96</v>
      </c>
      <c r="E15" s="107">
        <v>50</v>
      </c>
      <c r="F15" s="105">
        <f t="shared" si="2"/>
        <v>15.058333333333334</v>
      </c>
      <c r="G15" s="105">
        <f t="shared" si="3"/>
        <v>26</v>
      </c>
      <c r="J15" s="235"/>
      <c r="K15" s="66" t="s">
        <v>417</v>
      </c>
      <c r="L15" s="64">
        <v>16</v>
      </c>
      <c r="M15" s="64">
        <v>82</v>
      </c>
      <c r="N15" s="104">
        <v>16.2</v>
      </c>
      <c r="O15" s="64">
        <v>26</v>
      </c>
      <c r="Q15" s="234"/>
      <c r="R15" s="234"/>
      <c r="S15" s="234"/>
    </row>
    <row r="16" spans="1:19">
      <c r="A16" s="66" t="s">
        <v>418</v>
      </c>
      <c r="B16" s="63">
        <v>200</v>
      </c>
      <c r="C16" s="105">
        <f t="shared" si="0"/>
        <v>17.5</v>
      </c>
      <c r="D16" s="105">
        <f t="shared" si="1"/>
        <v>102</v>
      </c>
      <c r="E16" s="107">
        <v>50</v>
      </c>
      <c r="F16" s="105">
        <f t="shared" si="2"/>
        <v>16.504870129870131</v>
      </c>
      <c r="G16" s="105">
        <f t="shared" si="3"/>
        <v>27</v>
      </c>
      <c r="J16" s="235"/>
      <c r="K16" s="66" t="s">
        <v>418</v>
      </c>
      <c r="L16" s="64">
        <v>18</v>
      </c>
      <c r="M16" s="64">
        <v>102</v>
      </c>
      <c r="N16" s="104">
        <v>17.545454545454547</v>
      </c>
      <c r="O16" s="64">
        <v>25</v>
      </c>
      <c r="Q16" s="234"/>
      <c r="R16" s="234"/>
      <c r="S16" s="234"/>
    </row>
    <row r="17" spans="1:15">
      <c r="A17" s="66" t="s">
        <v>419</v>
      </c>
      <c r="B17" s="63">
        <v>200</v>
      </c>
      <c r="C17" s="105">
        <f t="shared" si="0"/>
        <v>17</v>
      </c>
      <c r="D17" s="105">
        <f t="shared" si="1"/>
        <v>110</v>
      </c>
      <c r="E17" s="107">
        <v>50</v>
      </c>
      <c r="F17" s="105">
        <f t="shared" si="2"/>
        <v>17</v>
      </c>
      <c r="G17" s="105">
        <f t="shared" si="3"/>
        <v>24</v>
      </c>
      <c r="J17" s="235"/>
      <c r="K17" s="66" t="s">
        <v>419</v>
      </c>
      <c r="L17" s="64">
        <v>17</v>
      </c>
      <c r="M17" s="64">
        <v>80</v>
      </c>
      <c r="N17" s="104">
        <v>17.185185185185187</v>
      </c>
      <c r="O17" s="64">
        <v>23</v>
      </c>
    </row>
    <row r="18" spans="1:15">
      <c r="A18" s="66" t="s">
        <v>420</v>
      </c>
      <c r="B18" s="63">
        <v>200</v>
      </c>
      <c r="C18" s="105">
        <f t="shared" si="0"/>
        <v>19.5</v>
      </c>
      <c r="D18" s="105">
        <f t="shared" si="1"/>
        <v>98</v>
      </c>
      <c r="E18" s="107">
        <v>50</v>
      </c>
      <c r="F18" s="105">
        <f t="shared" si="2"/>
        <v>19.245714285714286</v>
      </c>
      <c r="G18" s="105">
        <f t="shared" si="3"/>
        <v>31</v>
      </c>
      <c r="J18" s="235"/>
      <c r="K18" s="66" t="s">
        <v>420</v>
      </c>
      <c r="L18" s="64">
        <v>19</v>
      </c>
      <c r="M18" s="64">
        <v>84</v>
      </c>
      <c r="N18" s="104">
        <v>18.571428571428573</v>
      </c>
      <c r="O18" s="64">
        <v>25</v>
      </c>
    </row>
    <row r="19" spans="1:15">
      <c r="J19" s="235"/>
      <c r="K19" s="62" t="s">
        <v>312</v>
      </c>
      <c r="L19" s="110">
        <f>AVERAGE(L7:L18)</f>
        <v>15.166666666666666</v>
      </c>
      <c r="M19" s="62">
        <f>MAX(M7:M18)</f>
        <v>153</v>
      </c>
      <c r="N19" s="110">
        <f>AVERAGE(N7:N18)</f>
        <v>15.015232522356181</v>
      </c>
      <c r="O19" s="62">
        <f>MAX(O7:O18)</f>
        <v>28</v>
      </c>
    </row>
    <row r="21" spans="1:15" ht="41.45">
      <c r="J21" s="61">
        <f>+A6</f>
        <v>2022</v>
      </c>
      <c r="K21" s="61" t="s">
        <v>403</v>
      </c>
      <c r="L21" s="67" t="s">
        <v>398</v>
      </c>
      <c r="M21" s="67" t="s">
        <v>404</v>
      </c>
      <c r="N21" s="67" t="s">
        <v>401</v>
      </c>
      <c r="O21" s="67" t="s">
        <v>405</v>
      </c>
    </row>
    <row r="22" spans="1:15">
      <c r="J22" s="235" t="s">
        <v>188</v>
      </c>
      <c r="K22" s="66" t="s">
        <v>406</v>
      </c>
      <c r="L22" s="64">
        <v>16</v>
      </c>
      <c r="M22" s="64">
        <v>64</v>
      </c>
      <c r="N22" s="104">
        <v>16.032258064516128</v>
      </c>
      <c r="O22" s="64">
        <v>26</v>
      </c>
    </row>
    <row r="23" spans="1:15">
      <c r="J23" s="235"/>
      <c r="K23" s="66" t="s">
        <v>407</v>
      </c>
      <c r="L23" s="64">
        <v>18</v>
      </c>
      <c r="M23" s="64">
        <v>74</v>
      </c>
      <c r="N23" s="104">
        <v>18.035714285714285</v>
      </c>
      <c r="O23" s="64">
        <v>23</v>
      </c>
    </row>
    <row r="24" spans="1:15">
      <c r="J24" s="235"/>
      <c r="K24" s="66" t="s">
        <v>408</v>
      </c>
      <c r="L24" s="64">
        <v>22</v>
      </c>
      <c r="M24" s="64">
        <v>101</v>
      </c>
      <c r="N24" s="104">
        <v>21.666666666666668</v>
      </c>
      <c r="O24" s="64">
        <v>27</v>
      </c>
    </row>
    <row r="25" spans="1:15">
      <c r="J25" s="235"/>
      <c r="K25" s="66" t="s">
        <v>410</v>
      </c>
      <c r="L25" s="64">
        <v>21</v>
      </c>
      <c r="M25" s="64">
        <v>130</v>
      </c>
      <c r="N25" s="104">
        <v>21.066666666666666</v>
      </c>
      <c r="O25" s="64">
        <v>27</v>
      </c>
    </row>
    <row r="26" spans="1:15">
      <c r="J26" s="235"/>
      <c r="K26" s="66" t="s">
        <v>412</v>
      </c>
      <c r="L26" s="64">
        <v>19</v>
      </c>
      <c r="M26" s="64">
        <v>129</v>
      </c>
      <c r="N26" s="104">
        <v>19.423076923076923</v>
      </c>
      <c r="O26" s="64">
        <v>30</v>
      </c>
    </row>
    <row r="27" spans="1:15">
      <c r="J27" s="235"/>
      <c r="K27" s="66" t="s">
        <v>413</v>
      </c>
      <c r="L27" s="64">
        <v>21</v>
      </c>
      <c r="M27" s="64">
        <v>94</v>
      </c>
      <c r="N27" s="104">
        <v>20.666666666666668</v>
      </c>
      <c r="O27" s="64">
        <v>29</v>
      </c>
    </row>
    <row r="28" spans="1:15">
      <c r="J28" s="235"/>
      <c r="K28" s="66" t="s">
        <v>414</v>
      </c>
      <c r="L28" s="64">
        <v>17</v>
      </c>
      <c r="M28" s="64">
        <v>106</v>
      </c>
      <c r="N28" s="104">
        <v>17.100000000000001</v>
      </c>
      <c r="O28" s="64">
        <v>25</v>
      </c>
    </row>
    <row r="29" spans="1:15">
      <c r="J29" s="235"/>
      <c r="K29" s="66" t="s">
        <v>416</v>
      </c>
      <c r="L29" s="64">
        <v>16</v>
      </c>
      <c r="M29" s="64">
        <v>97</v>
      </c>
      <c r="N29" s="104">
        <v>16.346153846153847</v>
      </c>
      <c r="O29" s="64">
        <v>27</v>
      </c>
    </row>
    <row r="30" spans="1:15">
      <c r="J30" s="235"/>
      <c r="K30" s="66" t="s">
        <v>417</v>
      </c>
      <c r="L30" s="64">
        <v>13</v>
      </c>
      <c r="M30" s="64">
        <v>96</v>
      </c>
      <c r="N30" s="104">
        <v>13.916666666666666</v>
      </c>
      <c r="O30" s="64">
        <v>23</v>
      </c>
    </row>
    <row r="31" spans="1:15">
      <c r="J31" s="235"/>
      <c r="K31" s="66" t="s">
        <v>418</v>
      </c>
      <c r="L31" s="64">
        <v>17</v>
      </c>
      <c r="M31" s="64">
        <v>77</v>
      </c>
      <c r="N31" s="104">
        <v>15.464285714285714</v>
      </c>
      <c r="O31" s="64">
        <v>27</v>
      </c>
    </row>
    <row r="32" spans="1:15">
      <c r="J32" s="235"/>
      <c r="K32" s="66" t="s">
        <v>419</v>
      </c>
      <c r="L32" s="64">
        <v>17</v>
      </c>
      <c r="M32" s="64">
        <v>110</v>
      </c>
      <c r="N32" s="104">
        <v>16.814814814814813</v>
      </c>
      <c r="O32" s="64">
        <v>24</v>
      </c>
    </row>
    <row r="33" spans="1:15">
      <c r="J33" s="235"/>
      <c r="K33" s="66" t="s">
        <v>420</v>
      </c>
      <c r="L33" s="64">
        <v>20</v>
      </c>
      <c r="M33" s="64">
        <v>98</v>
      </c>
      <c r="N33" s="104">
        <v>19.920000000000002</v>
      </c>
      <c r="O33" s="64">
        <v>31</v>
      </c>
    </row>
    <row r="34" spans="1:15">
      <c r="J34" s="235"/>
      <c r="K34" s="62" t="s">
        <v>312</v>
      </c>
      <c r="L34" s="110">
        <f>AVERAGE(L22:L33)</f>
        <v>18.083333333333332</v>
      </c>
      <c r="M34" s="62">
        <f>MAX(M22:M33)</f>
        <v>130</v>
      </c>
      <c r="N34" s="110">
        <f>AVERAGE(N22:N33)</f>
        <v>18.03774752626903</v>
      </c>
      <c r="O34" s="62">
        <f>MAX(O22:O33)</f>
        <v>31</v>
      </c>
    </row>
    <row r="35" spans="1:15">
      <c r="B35" s="35" t="s">
        <v>8</v>
      </c>
    </row>
    <row r="36" spans="1:15">
      <c r="J36" s="61"/>
      <c r="K36" s="61"/>
      <c r="L36" s="67"/>
      <c r="M36" s="67"/>
      <c r="N36" s="67"/>
      <c r="O36" s="67"/>
    </row>
    <row r="37" spans="1:15">
      <c r="J37" s="235"/>
      <c r="K37" s="66"/>
      <c r="L37" s="64"/>
      <c r="M37" s="64"/>
      <c r="N37" s="64"/>
      <c r="O37" s="64"/>
    </row>
    <row r="38" spans="1:15">
      <c r="J38" s="235"/>
      <c r="K38" s="66"/>
      <c r="L38" s="64"/>
      <c r="M38" s="64"/>
      <c r="N38" s="64"/>
      <c r="O38" s="64"/>
    </row>
    <row r="39" spans="1:15">
      <c r="J39" s="235"/>
      <c r="K39" s="66"/>
      <c r="L39" s="64"/>
      <c r="M39" s="64"/>
      <c r="N39" s="64"/>
      <c r="O39" s="64"/>
    </row>
    <row r="40" spans="1:15">
      <c r="J40" s="235"/>
      <c r="K40" s="66"/>
      <c r="L40" s="64"/>
      <c r="M40" s="64"/>
      <c r="N40" s="64"/>
      <c r="O40" s="64"/>
    </row>
    <row r="41" spans="1:15">
      <c r="J41" s="235"/>
      <c r="K41" s="66"/>
      <c r="L41" s="64"/>
      <c r="M41" s="64"/>
      <c r="N41" s="64"/>
      <c r="O41" s="64"/>
    </row>
    <row r="42" spans="1:15">
      <c r="J42" s="235"/>
      <c r="K42" s="66"/>
      <c r="L42" s="64"/>
      <c r="M42" s="64"/>
      <c r="N42" s="64"/>
      <c r="O42" s="64"/>
    </row>
    <row r="43" spans="1:15">
      <c r="C43" s="35" t="s">
        <v>13</v>
      </c>
      <c r="J43" s="235"/>
      <c r="K43" s="66"/>
      <c r="L43" s="64"/>
      <c r="M43" s="64"/>
      <c r="N43" s="64"/>
      <c r="O43" s="64"/>
    </row>
    <row r="44" spans="1:15">
      <c r="J44" s="235"/>
      <c r="K44" s="66"/>
      <c r="L44" s="64"/>
      <c r="M44" s="64"/>
      <c r="N44" s="64"/>
      <c r="O44" s="64"/>
    </row>
    <row r="45" spans="1:15">
      <c r="C45" s="35" t="s">
        <v>15</v>
      </c>
      <c r="J45" s="235"/>
      <c r="K45" s="66"/>
      <c r="L45" s="64"/>
      <c r="M45" s="64"/>
      <c r="N45" s="64"/>
      <c r="O45" s="64"/>
    </row>
    <row r="46" spans="1:15">
      <c r="J46" s="235"/>
      <c r="K46" s="66"/>
      <c r="L46" s="64"/>
      <c r="M46" s="64"/>
      <c r="N46" s="64"/>
      <c r="O46" s="64"/>
    </row>
    <row r="47" spans="1:15">
      <c r="J47" s="235"/>
      <c r="K47" s="66"/>
      <c r="L47" s="64"/>
      <c r="M47" s="64"/>
      <c r="N47" s="64"/>
      <c r="O47" s="64"/>
    </row>
    <row r="48" spans="1:15">
      <c r="A48" s="247" t="s">
        <v>303</v>
      </c>
      <c r="B48" s="248"/>
      <c r="C48" s="248"/>
      <c r="D48" s="248"/>
      <c r="E48" s="248"/>
      <c r="F48" s="248"/>
      <c r="G48" s="249"/>
      <c r="J48" s="235"/>
      <c r="K48" s="66"/>
      <c r="L48" s="64"/>
      <c r="M48" s="64"/>
      <c r="N48" s="64"/>
      <c r="O48" s="64"/>
    </row>
    <row r="49" spans="1:15">
      <c r="A49" s="238"/>
      <c r="B49" s="239"/>
      <c r="C49" s="239"/>
      <c r="D49" s="239"/>
      <c r="E49" s="239"/>
      <c r="F49" s="239"/>
      <c r="G49" s="240"/>
      <c r="J49" s="235"/>
      <c r="K49" s="62"/>
      <c r="L49" s="62"/>
      <c r="M49" s="62"/>
      <c r="N49" s="62"/>
      <c r="O49" s="62"/>
    </row>
    <row r="50" spans="1:15">
      <c r="A50" s="241"/>
      <c r="B50" s="242"/>
      <c r="C50" s="242"/>
      <c r="D50" s="242"/>
      <c r="E50" s="242"/>
      <c r="F50" s="242"/>
      <c r="G50" s="243"/>
    </row>
    <row r="51" spans="1:15">
      <c r="A51" s="241"/>
      <c r="B51" s="242"/>
      <c r="C51" s="242"/>
      <c r="D51" s="242"/>
      <c r="E51" s="242"/>
      <c r="F51" s="242"/>
      <c r="G51" s="243"/>
      <c r="J51" s="61"/>
      <c r="K51" s="61"/>
      <c r="L51" s="67"/>
      <c r="M51" s="67"/>
      <c r="N51" s="67"/>
      <c r="O51" s="67"/>
    </row>
    <row r="52" spans="1:15">
      <c r="A52" s="244"/>
      <c r="B52" s="245"/>
      <c r="C52" s="245"/>
      <c r="D52" s="245"/>
      <c r="E52" s="245"/>
      <c r="F52" s="245"/>
      <c r="G52" s="246"/>
      <c r="J52" s="235"/>
      <c r="K52" s="66"/>
      <c r="L52" s="64"/>
      <c r="M52" s="64"/>
      <c r="N52" s="64"/>
      <c r="O52" s="64"/>
    </row>
    <row r="53" spans="1:15">
      <c r="J53" s="235"/>
      <c r="K53" s="66"/>
      <c r="L53" s="64"/>
      <c r="M53" s="64"/>
      <c r="N53" s="64"/>
      <c r="O53" s="64"/>
    </row>
    <row r="54" spans="1:15">
      <c r="J54" s="235"/>
      <c r="K54" s="66"/>
      <c r="L54" s="64"/>
      <c r="M54" s="64"/>
      <c r="N54" s="64"/>
      <c r="O54" s="64"/>
    </row>
    <row r="55" spans="1:15">
      <c r="J55" s="235"/>
      <c r="K55" s="66"/>
      <c r="L55" s="64"/>
      <c r="M55" s="64"/>
      <c r="N55" s="64"/>
      <c r="O55" s="64"/>
    </row>
    <row r="56" spans="1:15">
      <c r="J56" s="235"/>
      <c r="K56" s="66"/>
      <c r="L56" s="64"/>
      <c r="M56" s="64"/>
      <c r="N56" s="64"/>
      <c r="O56" s="64"/>
    </row>
    <row r="57" spans="1:15">
      <c r="J57" s="235"/>
      <c r="K57" s="66"/>
      <c r="L57" s="64"/>
      <c r="M57" s="64"/>
      <c r="N57" s="64"/>
      <c r="O57" s="64"/>
    </row>
    <row r="58" spans="1:15">
      <c r="J58" s="235"/>
      <c r="K58" s="66"/>
      <c r="L58" s="64"/>
      <c r="M58" s="64"/>
      <c r="N58" s="64"/>
      <c r="O58" s="64"/>
    </row>
    <row r="59" spans="1:15">
      <c r="J59" s="235"/>
      <c r="K59" s="66"/>
      <c r="L59" s="64"/>
      <c r="M59" s="64"/>
      <c r="N59" s="64"/>
      <c r="O59" s="64"/>
    </row>
    <row r="60" spans="1:15">
      <c r="J60" s="235"/>
      <c r="K60" s="66"/>
      <c r="L60" s="64"/>
      <c r="M60" s="64"/>
      <c r="N60" s="64"/>
      <c r="O60" s="64"/>
    </row>
    <row r="61" spans="1:15">
      <c r="J61" s="235"/>
      <c r="K61" s="66"/>
      <c r="L61" s="64"/>
      <c r="M61" s="64"/>
      <c r="N61" s="64"/>
      <c r="O61" s="64"/>
    </row>
    <row r="62" spans="1:15">
      <c r="J62" s="235"/>
      <c r="K62" s="66"/>
      <c r="L62" s="64"/>
      <c r="M62" s="64"/>
      <c r="N62" s="64"/>
      <c r="O62" s="64"/>
    </row>
    <row r="63" spans="1:15">
      <c r="J63" s="235"/>
      <c r="K63" s="66"/>
      <c r="L63" s="64"/>
      <c r="M63" s="64"/>
      <c r="N63" s="64"/>
      <c r="O63" s="64"/>
    </row>
    <row r="64" spans="1:15">
      <c r="J64" s="235"/>
      <c r="K64" s="62"/>
      <c r="L64" s="62"/>
      <c r="M64" s="62"/>
      <c r="N64" s="62"/>
      <c r="O64" s="62"/>
    </row>
    <row r="66" spans="10:15">
      <c r="J66" s="61"/>
      <c r="K66" s="61"/>
      <c r="L66" s="67"/>
      <c r="M66" s="67"/>
      <c r="N66" s="67"/>
      <c r="O66" s="67"/>
    </row>
    <row r="67" spans="10:15">
      <c r="J67" s="235"/>
      <c r="K67" s="66"/>
      <c r="L67" s="64"/>
      <c r="M67" s="64"/>
      <c r="N67" s="64"/>
      <c r="O67" s="64"/>
    </row>
    <row r="68" spans="10:15">
      <c r="J68" s="235"/>
      <c r="K68" s="66"/>
      <c r="L68" s="64"/>
      <c r="M68" s="64"/>
      <c r="N68" s="64"/>
      <c r="O68" s="64"/>
    </row>
    <row r="69" spans="10:15">
      <c r="J69" s="235"/>
      <c r="K69" s="66"/>
      <c r="L69" s="64"/>
      <c r="M69" s="64"/>
      <c r="N69" s="64"/>
      <c r="O69" s="64"/>
    </row>
    <row r="70" spans="10:15">
      <c r="J70" s="235"/>
      <c r="K70" s="66"/>
      <c r="L70" s="64"/>
      <c r="M70" s="64"/>
      <c r="N70" s="64"/>
      <c r="O70" s="64"/>
    </row>
    <row r="71" spans="10:15">
      <c r="J71" s="235"/>
      <c r="K71" s="66"/>
      <c r="L71" s="64"/>
      <c r="M71" s="64"/>
      <c r="N71" s="64"/>
      <c r="O71" s="64"/>
    </row>
    <row r="72" spans="10:15">
      <c r="J72" s="235"/>
      <c r="K72" s="66"/>
      <c r="L72" s="64"/>
      <c r="M72" s="64"/>
      <c r="N72" s="64"/>
      <c r="O72" s="64"/>
    </row>
    <row r="73" spans="10:15">
      <c r="J73" s="235"/>
      <c r="K73" s="66"/>
      <c r="L73" s="64"/>
      <c r="M73" s="64"/>
      <c r="N73" s="64"/>
      <c r="O73" s="64"/>
    </row>
    <row r="74" spans="10:15">
      <c r="J74" s="235"/>
      <c r="K74" s="66"/>
      <c r="L74" s="64"/>
      <c r="M74" s="64"/>
      <c r="N74" s="64"/>
      <c r="O74" s="64"/>
    </row>
    <row r="75" spans="10:15">
      <c r="J75" s="235"/>
      <c r="K75" s="66"/>
      <c r="L75" s="64"/>
      <c r="M75" s="64"/>
      <c r="N75" s="64"/>
      <c r="O75" s="64"/>
    </row>
    <row r="76" spans="10:15">
      <c r="J76" s="235"/>
      <c r="K76" s="66"/>
      <c r="L76" s="64"/>
      <c r="M76" s="64"/>
      <c r="N76" s="64"/>
      <c r="O76" s="64"/>
    </row>
    <row r="77" spans="10:15">
      <c r="J77" s="235"/>
      <c r="K77" s="66"/>
      <c r="L77" s="64"/>
      <c r="M77" s="64"/>
      <c r="N77" s="64"/>
      <c r="O77" s="64"/>
    </row>
    <row r="78" spans="10:15">
      <c r="J78" s="235"/>
      <c r="K78" s="66"/>
      <c r="L78" s="64"/>
      <c r="M78" s="64"/>
      <c r="N78" s="64"/>
      <c r="O78" s="64"/>
    </row>
    <row r="79" spans="10:15">
      <c r="J79" s="235"/>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view="pageBreakPreview" zoomScale="60" zoomScaleNormal="100" workbookViewId="0">
      <selection activeCell="B35" sqref="B35:I35"/>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Wolverhampton Energy from Waste Facility</v>
      </c>
      <c r="F1" s="93"/>
    </row>
    <row r="3" spans="1:19" ht="14.45">
      <c r="A3" s="60" t="s">
        <v>424</v>
      </c>
      <c r="D3" s="76" t="s">
        <v>390</v>
      </c>
      <c r="G3" s="80" t="s">
        <v>391</v>
      </c>
      <c r="J3" s="9" t="str">
        <f>+A3</f>
        <v>Monitoring of Oxides of Nitrogen emissions</v>
      </c>
      <c r="L3" s="9"/>
      <c r="N3" s="9" t="s">
        <v>392</v>
      </c>
      <c r="Q3" s="79" t="s">
        <v>3</v>
      </c>
      <c r="R3" s="74"/>
      <c r="S3" s="74"/>
    </row>
    <row r="4" spans="1:19" ht="13.9" customHeight="1">
      <c r="Q4" s="226" t="s">
        <v>393</v>
      </c>
      <c r="R4" s="226"/>
      <c r="S4" s="226"/>
    </row>
    <row r="5" spans="1:19" ht="16.149999999999999">
      <c r="A5" s="68" t="s">
        <v>394</v>
      </c>
      <c r="B5" s="237" t="s">
        <v>395</v>
      </c>
      <c r="C5" s="237"/>
      <c r="D5" s="237"/>
      <c r="E5" s="237" t="s">
        <v>396</v>
      </c>
      <c r="F5" s="237"/>
      <c r="G5" s="237"/>
      <c r="J5" s="236"/>
      <c r="K5" s="236"/>
      <c r="L5" s="236"/>
      <c r="M5" s="236"/>
      <c r="N5" s="236"/>
      <c r="O5" s="236"/>
      <c r="Q5" s="226"/>
      <c r="R5" s="226"/>
      <c r="S5" s="226"/>
    </row>
    <row r="6" spans="1:19" s="58" customFormat="1" ht="37.5" customHeight="1">
      <c r="A6" s="65">
        <f>+'Cover Page'!C39</f>
        <v>2022</v>
      </c>
      <c r="B6" s="55" t="s">
        <v>425</v>
      </c>
      <c r="C6" s="55" t="s">
        <v>398</v>
      </c>
      <c r="D6" s="55" t="s">
        <v>399</v>
      </c>
      <c r="E6" s="55" t="s">
        <v>426</v>
      </c>
      <c r="F6" s="55" t="s">
        <v>401</v>
      </c>
      <c r="G6" s="55" t="s">
        <v>402</v>
      </c>
      <c r="H6" s="59"/>
      <c r="J6" s="61">
        <f>+A6</f>
        <v>2022</v>
      </c>
      <c r="K6" s="61" t="s">
        <v>403</v>
      </c>
      <c r="L6" s="67" t="s">
        <v>398</v>
      </c>
      <c r="M6" s="67" t="s">
        <v>404</v>
      </c>
      <c r="N6" s="67" t="s">
        <v>401</v>
      </c>
      <c r="O6" s="67" t="s">
        <v>405</v>
      </c>
      <c r="Q6" s="226"/>
      <c r="R6" s="226"/>
      <c r="S6" s="226"/>
    </row>
    <row r="7" spans="1:19">
      <c r="A7" s="66" t="s">
        <v>406</v>
      </c>
      <c r="B7" s="63">
        <v>400</v>
      </c>
      <c r="C7" s="105">
        <f>AVERAGE(L7,L22)</f>
        <v>184</v>
      </c>
      <c r="D7" s="105">
        <f>MAX(M7,M22)</f>
        <v>262</v>
      </c>
      <c r="E7" s="107">
        <v>200</v>
      </c>
      <c r="F7" s="105">
        <f>AVERAGE(N7,N22)</f>
        <v>184.37514934289129</v>
      </c>
      <c r="G7" s="105">
        <f>MAX(O22,O7)</f>
        <v>191</v>
      </c>
      <c r="J7" s="235" t="s">
        <v>187</v>
      </c>
      <c r="K7" s="66" t="s">
        <v>406</v>
      </c>
      <c r="L7" s="64">
        <v>183</v>
      </c>
      <c r="M7" s="64">
        <v>234</v>
      </c>
      <c r="N7" s="104">
        <v>183.81481481481481</v>
      </c>
      <c r="O7" s="64">
        <v>187</v>
      </c>
      <c r="Q7" s="226"/>
      <c r="R7" s="226"/>
      <c r="S7" s="226"/>
    </row>
    <row r="8" spans="1:19">
      <c r="A8" s="66" t="s">
        <v>407</v>
      </c>
      <c r="B8" s="63">
        <v>400</v>
      </c>
      <c r="C8" s="105">
        <f t="shared" ref="C8:C18" si="0">AVERAGE(L8,L23)</f>
        <v>184</v>
      </c>
      <c r="D8" s="105">
        <f t="shared" ref="D8:D18" si="1">MAX(M8,M23)</f>
        <v>292</v>
      </c>
      <c r="E8" s="107">
        <v>200</v>
      </c>
      <c r="F8" s="105">
        <f t="shared" ref="F8:F18" si="2">AVERAGE(N8,N23)</f>
        <v>184.26785714285714</v>
      </c>
      <c r="G8" s="105">
        <f t="shared" ref="G8:G18" si="3">MAX(O23,O8)</f>
        <v>189</v>
      </c>
      <c r="J8" s="235"/>
      <c r="K8" s="66" t="s">
        <v>407</v>
      </c>
      <c r="L8" s="64">
        <v>183</v>
      </c>
      <c r="M8" s="64">
        <v>258</v>
      </c>
      <c r="N8" s="104">
        <v>183.25</v>
      </c>
      <c r="O8" s="64">
        <v>188</v>
      </c>
      <c r="Q8" s="226"/>
      <c r="R8" s="226"/>
      <c r="S8" s="226"/>
    </row>
    <row r="9" spans="1:19">
      <c r="A9" s="66" t="s">
        <v>408</v>
      </c>
      <c r="B9" s="63">
        <v>400</v>
      </c>
      <c r="C9" s="105">
        <f t="shared" si="0"/>
        <v>185</v>
      </c>
      <c r="D9" s="105">
        <f t="shared" si="1"/>
        <v>336</v>
      </c>
      <c r="E9" s="107">
        <v>200</v>
      </c>
      <c r="F9" s="105">
        <f t="shared" si="2"/>
        <v>185.09821428571428</v>
      </c>
      <c r="G9" s="105">
        <f t="shared" si="3"/>
        <v>188</v>
      </c>
      <c r="J9" s="235"/>
      <c r="K9" s="66" t="s">
        <v>408</v>
      </c>
      <c r="L9" s="64">
        <v>186</v>
      </c>
      <c r="M9" s="64">
        <v>336</v>
      </c>
      <c r="N9" s="104">
        <v>185.57142857142858</v>
      </c>
      <c r="O9" s="64">
        <v>188</v>
      </c>
      <c r="Q9" s="78" t="s">
        <v>409</v>
      </c>
    </row>
    <row r="10" spans="1:19" ht="14.25" customHeight="1">
      <c r="A10" s="66" t="s">
        <v>410</v>
      </c>
      <c r="B10" s="63">
        <v>400</v>
      </c>
      <c r="C10" s="105">
        <f t="shared" si="0"/>
        <v>185</v>
      </c>
      <c r="D10" s="105">
        <f t="shared" si="1"/>
        <v>324</v>
      </c>
      <c r="E10" s="107">
        <v>200</v>
      </c>
      <c r="F10" s="105">
        <f t="shared" si="2"/>
        <v>184.95</v>
      </c>
      <c r="G10" s="105">
        <f t="shared" si="3"/>
        <v>190</v>
      </c>
      <c r="J10" s="235"/>
      <c r="K10" s="66" t="s">
        <v>410</v>
      </c>
      <c r="L10" s="64">
        <v>185</v>
      </c>
      <c r="M10" s="64">
        <v>273</v>
      </c>
      <c r="N10" s="104">
        <v>185.26666666666668</v>
      </c>
      <c r="O10" s="64">
        <v>187</v>
      </c>
      <c r="Q10" s="234" t="s">
        <v>411</v>
      </c>
      <c r="R10" s="234"/>
      <c r="S10" s="234"/>
    </row>
    <row r="11" spans="1:19">
      <c r="A11" s="66" t="s">
        <v>412</v>
      </c>
      <c r="B11" s="63">
        <v>400</v>
      </c>
      <c r="C11" s="105">
        <f t="shared" si="0"/>
        <v>184</v>
      </c>
      <c r="D11" s="105">
        <f t="shared" si="1"/>
        <v>379</v>
      </c>
      <c r="E11" s="107">
        <v>200</v>
      </c>
      <c r="F11" s="105">
        <f t="shared" si="2"/>
        <v>183.62158808933003</v>
      </c>
      <c r="G11" s="105">
        <f t="shared" si="3"/>
        <v>190</v>
      </c>
      <c r="J11" s="235"/>
      <c r="K11" s="66" t="s">
        <v>412</v>
      </c>
      <c r="L11" s="64">
        <v>183</v>
      </c>
      <c r="M11" s="64">
        <v>379</v>
      </c>
      <c r="N11" s="104">
        <v>182.93548387096774</v>
      </c>
      <c r="O11" s="64">
        <v>190</v>
      </c>
      <c r="Q11" s="234"/>
      <c r="R11" s="234"/>
      <c r="S11" s="234"/>
    </row>
    <row r="12" spans="1:19">
      <c r="A12" s="66" t="s">
        <v>413</v>
      </c>
      <c r="B12" s="63">
        <v>400</v>
      </c>
      <c r="C12" s="105">
        <f t="shared" si="0"/>
        <v>185</v>
      </c>
      <c r="D12" s="105">
        <f t="shared" si="1"/>
        <v>255</v>
      </c>
      <c r="E12" s="107">
        <v>200</v>
      </c>
      <c r="F12" s="105">
        <f t="shared" si="2"/>
        <v>185.16666666666669</v>
      </c>
      <c r="G12" s="105">
        <f t="shared" si="3"/>
        <v>187</v>
      </c>
      <c r="J12" s="235"/>
      <c r="K12" s="66" t="s">
        <v>413</v>
      </c>
      <c r="L12" s="64">
        <v>185</v>
      </c>
      <c r="M12" s="64">
        <v>254</v>
      </c>
      <c r="N12" s="104">
        <v>184.96666666666667</v>
      </c>
      <c r="O12" s="64">
        <v>187</v>
      </c>
      <c r="Q12" s="234"/>
      <c r="R12" s="234"/>
      <c r="S12" s="234"/>
    </row>
    <row r="13" spans="1:19" ht="14.25" customHeight="1">
      <c r="A13" s="66" t="s">
        <v>414</v>
      </c>
      <c r="B13" s="63">
        <v>400</v>
      </c>
      <c r="C13" s="105">
        <f t="shared" si="0"/>
        <v>184.5</v>
      </c>
      <c r="D13" s="105">
        <f t="shared" si="1"/>
        <v>291</v>
      </c>
      <c r="E13" s="107">
        <v>200</v>
      </c>
      <c r="F13" s="105">
        <f t="shared" si="2"/>
        <v>184.50752688172042</v>
      </c>
      <c r="G13" s="105">
        <f t="shared" si="3"/>
        <v>189</v>
      </c>
      <c r="J13" s="235"/>
      <c r="K13" s="66" t="s">
        <v>414</v>
      </c>
      <c r="L13" s="64">
        <v>184</v>
      </c>
      <c r="M13" s="64">
        <v>291</v>
      </c>
      <c r="N13" s="104">
        <v>183.54838709677421</v>
      </c>
      <c r="O13" s="64">
        <v>189</v>
      </c>
      <c r="Q13" s="234" t="s">
        <v>415</v>
      </c>
      <c r="R13" s="234"/>
      <c r="S13" s="234"/>
    </row>
    <row r="14" spans="1:19">
      <c r="A14" s="66" t="s">
        <v>416</v>
      </c>
      <c r="B14" s="63">
        <v>400</v>
      </c>
      <c r="C14" s="105">
        <f t="shared" si="0"/>
        <v>185</v>
      </c>
      <c r="D14" s="105">
        <f t="shared" si="1"/>
        <v>250</v>
      </c>
      <c r="E14" s="107">
        <v>200</v>
      </c>
      <c r="F14" s="105">
        <f t="shared" si="2"/>
        <v>185.03333333333333</v>
      </c>
      <c r="G14" s="105">
        <f t="shared" si="3"/>
        <v>190</v>
      </c>
      <c r="J14" s="235"/>
      <c r="K14" s="66" t="s">
        <v>416</v>
      </c>
      <c r="L14" s="64">
        <v>185</v>
      </c>
      <c r="M14" s="64">
        <v>245</v>
      </c>
      <c r="N14" s="104">
        <v>185.56666666666666</v>
      </c>
      <c r="O14" s="64">
        <v>190</v>
      </c>
      <c r="Q14" s="234"/>
      <c r="R14" s="234"/>
      <c r="S14" s="234"/>
    </row>
    <row r="15" spans="1:19">
      <c r="A15" s="66" t="s">
        <v>417</v>
      </c>
      <c r="B15" s="63">
        <v>400</v>
      </c>
      <c r="C15" s="105">
        <f t="shared" si="0"/>
        <v>173</v>
      </c>
      <c r="D15" s="105">
        <f t="shared" si="1"/>
        <v>247</v>
      </c>
      <c r="E15" s="107">
        <v>200</v>
      </c>
      <c r="F15" s="105">
        <f t="shared" si="2"/>
        <v>177.40833333333333</v>
      </c>
      <c r="G15" s="105">
        <f t="shared" si="3"/>
        <v>187</v>
      </c>
      <c r="J15" s="235"/>
      <c r="K15" s="66" t="s">
        <v>417</v>
      </c>
      <c r="L15" s="64">
        <v>176</v>
      </c>
      <c r="M15" s="64">
        <v>247</v>
      </c>
      <c r="N15" s="104">
        <v>185.4</v>
      </c>
      <c r="O15" s="64">
        <v>187</v>
      </c>
      <c r="Q15" s="234"/>
      <c r="R15" s="234"/>
      <c r="S15" s="234"/>
    </row>
    <row r="16" spans="1:19">
      <c r="A16" s="66" t="s">
        <v>418</v>
      </c>
      <c r="B16" s="63">
        <v>400</v>
      </c>
      <c r="C16" s="105">
        <f t="shared" si="0"/>
        <v>172</v>
      </c>
      <c r="D16" s="105">
        <f t="shared" si="1"/>
        <v>317</v>
      </c>
      <c r="E16" s="107">
        <v>200</v>
      </c>
      <c r="F16" s="105">
        <f t="shared" si="2"/>
        <v>171.70292207792207</v>
      </c>
      <c r="G16" s="105">
        <f t="shared" si="3"/>
        <v>188</v>
      </c>
      <c r="J16" s="235"/>
      <c r="K16" s="66" t="s">
        <v>418</v>
      </c>
      <c r="L16" s="64">
        <v>186</v>
      </c>
      <c r="M16" s="64">
        <v>314</v>
      </c>
      <c r="N16" s="104">
        <v>185.22727272727272</v>
      </c>
      <c r="O16" s="64">
        <v>188</v>
      </c>
      <c r="Q16" s="234"/>
      <c r="R16" s="234"/>
      <c r="S16" s="234"/>
    </row>
    <row r="17" spans="1:15">
      <c r="A17" s="66" t="s">
        <v>419</v>
      </c>
      <c r="B17" s="63">
        <v>400</v>
      </c>
      <c r="C17" s="105">
        <f t="shared" si="0"/>
        <v>175.5</v>
      </c>
      <c r="D17" s="105">
        <f t="shared" si="1"/>
        <v>305</v>
      </c>
      <c r="E17" s="107">
        <v>200</v>
      </c>
      <c r="F17" s="105">
        <f t="shared" si="2"/>
        <v>177.44444444444446</v>
      </c>
      <c r="G17" s="105">
        <f t="shared" si="3"/>
        <v>198</v>
      </c>
      <c r="J17" s="235"/>
      <c r="K17" s="66" t="s">
        <v>419</v>
      </c>
      <c r="L17" s="64">
        <v>180</v>
      </c>
      <c r="M17" s="64">
        <v>260</v>
      </c>
      <c r="N17" s="104">
        <v>183.22222222222223</v>
      </c>
      <c r="O17" s="64">
        <v>187</v>
      </c>
    </row>
    <row r="18" spans="1:15">
      <c r="A18" s="66" t="s">
        <v>420</v>
      </c>
      <c r="B18" s="63">
        <v>400</v>
      </c>
      <c r="C18" s="105">
        <f t="shared" si="0"/>
        <v>180.5</v>
      </c>
      <c r="D18" s="105">
        <f t="shared" si="1"/>
        <v>315</v>
      </c>
      <c r="E18" s="107">
        <v>200</v>
      </c>
      <c r="F18" s="105">
        <f t="shared" si="2"/>
        <v>180.76214285714286</v>
      </c>
      <c r="G18" s="105">
        <f t="shared" si="3"/>
        <v>190</v>
      </c>
      <c r="J18" s="235"/>
      <c r="K18" s="66" t="s">
        <v>420</v>
      </c>
      <c r="L18" s="64">
        <v>185</v>
      </c>
      <c r="M18" s="64">
        <v>315</v>
      </c>
      <c r="N18" s="104">
        <v>184.96428571428572</v>
      </c>
      <c r="O18" s="64">
        <v>187</v>
      </c>
    </row>
    <row r="19" spans="1:15">
      <c r="J19" s="235"/>
      <c r="K19" s="62" t="s">
        <v>312</v>
      </c>
      <c r="L19" s="110">
        <f>AVERAGE(L7:L18)</f>
        <v>183.41666666666666</v>
      </c>
      <c r="M19" s="62">
        <f>MAX(M7:M18)</f>
        <v>379</v>
      </c>
      <c r="N19" s="110">
        <f>AVERAGE(N7:N18)</f>
        <v>184.47782458481382</v>
      </c>
      <c r="O19" s="62">
        <f>MAX(O7:O18)</f>
        <v>190</v>
      </c>
    </row>
    <row r="21" spans="1:15" ht="41.45">
      <c r="J21" s="61">
        <f>+A6</f>
        <v>2022</v>
      </c>
      <c r="K21" s="61" t="s">
        <v>403</v>
      </c>
      <c r="L21" s="67" t="s">
        <v>398</v>
      </c>
      <c r="M21" s="67" t="s">
        <v>404</v>
      </c>
      <c r="N21" s="67" t="s">
        <v>401</v>
      </c>
      <c r="O21" s="67" t="s">
        <v>405</v>
      </c>
    </row>
    <row r="22" spans="1:15">
      <c r="J22" s="235" t="s">
        <v>188</v>
      </c>
      <c r="K22" s="66" t="s">
        <v>406</v>
      </c>
      <c r="L22" s="64">
        <v>185</v>
      </c>
      <c r="M22" s="64">
        <v>262</v>
      </c>
      <c r="N22" s="104">
        <v>184.93548387096774</v>
      </c>
      <c r="O22" s="64">
        <v>191</v>
      </c>
    </row>
    <row r="23" spans="1:15">
      <c r="J23" s="235"/>
      <c r="K23" s="66" t="s">
        <v>407</v>
      </c>
      <c r="L23" s="64">
        <v>185</v>
      </c>
      <c r="M23" s="64">
        <v>292</v>
      </c>
      <c r="N23" s="104">
        <v>185.28571428571428</v>
      </c>
      <c r="O23" s="64">
        <v>189</v>
      </c>
    </row>
    <row r="24" spans="1:15">
      <c r="J24" s="235"/>
      <c r="K24" s="66" t="s">
        <v>408</v>
      </c>
      <c r="L24" s="64">
        <v>184</v>
      </c>
      <c r="M24" s="64">
        <v>285</v>
      </c>
      <c r="N24" s="104">
        <v>184.625</v>
      </c>
      <c r="O24" s="64">
        <v>187</v>
      </c>
    </row>
    <row r="25" spans="1:15">
      <c r="J25" s="235"/>
      <c r="K25" s="66" t="s">
        <v>410</v>
      </c>
      <c r="L25" s="64">
        <v>185</v>
      </c>
      <c r="M25" s="64">
        <v>324</v>
      </c>
      <c r="N25" s="104">
        <v>184.63333333333333</v>
      </c>
      <c r="O25" s="64">
        <v>190</v>
      </c>
    </row>
    <row r="26" spans="1:15">
      <c r="J26" s="235"/>
      <c r="K26" s="66" t="s">
        <v>412</v>
      </c>
      <c r="L26" s="64">
        <v>185</v>
      </c>
      <c r="M26" s="64">
        <v>248</v>
      </c>
      <c r="N26" s="104">
        <v>184.30769230769232</v>
      </c>
      <c r="O26" s="64">
        <v>189</v>
      </c>
    </row>
    <row r="27" spans="1:15">
      <c r="J27" s="235"/>
      <c r="K27" s="66" t="s">
        <v>413</v>
      </c>
      <c r="L27" s="64">
        <v>185</v>
      </c>
      <c r="M27" s="64">
        <v>255</v>
      </c>
      <c r="N27" s="104">
        <v>185.36666666666667</v>
      </c>
      <c r="O27" s="64">
        <v>187</v>
      </c>
    </row>
    <row r="28" spans="1:15">
      <c r="J28" s="235"/>
      <c r="K28" s="66" t="s">
        <v>414</v>
      </c>
      <c r="L28" s="64">
        <v>185</v>
      </c>
      <c r="M28" s="64">
        <v>262</v>
      </c>
      <c r="N28" s="104">
        <v>185.46666666666667</v>
      </c>
      <c r="O28" s="64">
        <v>189</v>
      </c>
    </row>
    <row r="29" spans="1:15">
      <c r="J29" s="235"/>
      <c r="K29" s="66" t="s">
        <v>416</v>
      </c>
      <c r="L29" s="64">
        <v>185</v>
      </c>
      <c r="M29" s="64">
        <v>250</v>
      </c>
      <c r="N29" s="104">
        <v>184.5</v>
      </c>
      <c r="O29" s="64">
        <v>187</v>
      </c>
    </row>
    <row r="30" spans="1:15">
      <c r="J30" s="235"/>
      <c r="K30" s="66" t="s">
        <v>417</v>
      </c>
      <c r="L30" s="64">
        <v>170</v>
      </c>
      <c r="M30" s="64">
        <v>231</v>
      </c>
      <c r="N30" s="104">
        <v>169.41666666666666</v>
      </c>
      <c r="O30" s="64">
        <v>185</v>
      </c>
    </row>
    <row r="31" spans="1:15">
      <c r="J31" s="235"/>
      <c r="K31" s="66" t="s">
        <v>418</v>
      </c>
      <c r="L31" s="64">
        <v>158</v>
      </c>
      <c r="M31" s="64">
        <v>317</v>
      </c>
      <c r="N31" s="104">
        <v>158.17857142857142</v>
      </c>
      <c r="O31" s="64">
        <v>187</v>
      </c>
    </row>
    <row r="32" spans="1:15">
      <c r="J32" s="235"/>
      <c r="K32" s="66" t="s">
        <v>419</v>
      </c>
      <c r="L32" s="64">
        <v>171</v>
      </c>
      <c r="M32" s="64">
        <v>305</v>
      </c>
      <c r="N32" s="104">
        <v>171.66666666666666</v>
      </c>
      <c r="O32" s="64">
        <v>198</v>
      </c>
    </row>
    <row r="33" spans="1:15">
      <c r="J33" s="235"/>
      <c r="K33" s="66" t="s">
        <v>420</v>
      </c>
      <c r="L33" s="64">
        <v>176</v>
      </c>
      <c r="M33" s="64">
        <v>269</v>
      </c>
      <c r="N33" s="104">
        <v>176.56</v>
      </c>
      <c r="O33" s="64">
        <v>190</v>
      </c>
    </row>
    <row r="34" spans="1:15">
      <c r="J34" s="235"/>
      <c r="K34" s="62" t="s">
        <v>312</v>
      </c>
      <c r="L34" s="62">
        <f>AVERAGE(L22:L33)</f>
        <v>179.5</v>
      </c>
      <c r="M34" s="62">
        <f>MAX(M22:M33)</f>
        <v>324</v>
      </c>
      <c r="N34" s="110">
        <f>AVERAGE(N22:N33)</f>
        <v>179.57853849107883</v>
      </c>
      <c r="O34" s="62">
        <f>MAX(O22:O33)</f>
        <v>198</v>
      </c>
    </row>
    <row r="35" spans="1:15">
      <c r="B35" s="35" t="s">
        <v>8</v>
      </c>
    </row>
    <row r="36" spans="1:15">
      <c r="J36" s="61"/>
      <c r="K36" s="61"/>
      <c r="L36" s="67"/>
      <c r="M36" s="67"/>
      <c r="N36" s="67"/>
      <c r="O36" s="67"/>
    </row>
    <row r="37" spans="1:15">
      <c r="J37" s="235"/>
      <c r="K37" s="66"/>
      <c r="L37" s="64"/>
      <c r="M37" s="64"/>
      <c r="N37" s="64"/>
      <c r="O37" s="64"/>
    </row>
    <row r="38" spans="1:15">
      <c r="J38" s="235"/>
      <c r="K38" s="66"/>
      <c r="L38" s="64"/>
      <c r="M38" s="64"/>
      <c r="N38" s="64"/>
      <c r="O38" s="64"/>
    </row>
    <row r="39" spans="1:15">
      <c r="J39" s="235"/>
      <c r="K39" s="66"/>
      <c r="L39" s="64"/>
      <c r="M39" s="64"/>
      <c r="N39" s="64"/>
      <c r="O39" s="64"/>
    </row>
    <row r="40" spans="1:15">
      <c r="J40" s="235"/>
      <c r="K40" s="66"/>
      <c r="L40" s="64"/>
      <c r="M40" s="64"/>
      <c r="N40" s="64"/>
      <c r="O40" s="64"/>
    </row>
    <row r="41" spans="1:15">
      <c r="J41" s="235"/>
      <c r="K41" s="66"/>
      <c r="L41" s="64"/>
      <c r="M41" s="64"/>
      <c r="N41" s="64"/>
      <c r="O41" s="64"/>
    </row>
    <row r="42" spans="1:15">
      <c r="J42" s="235"/>
      <c r="K42" s="66"/>
      <c r="L42" s="64"/>
      <c r="M42" s="64"/>
      <c r="N42" s="64"/>
      <c r="O42" s="64"/>
    </row>
    <row r="43" spans="1:15">
      <c r="C43" s="35" t="s">
        <v>13</v>
      </c>
      <c r="J43" s="235"/>
      <c r="K43" s="66"/>
      <c r="L43" s="64"/>
      <c r="M43" s="64"/>
      <c r="N43" s="64"/>
      <c r="O43" s="64"/>
    </row>
    <row r="44" spans="1:15">
      <c r="J44" s="235"/>
      <c r="K44" s="66"/>
      <c r="L44" s="64"/>
      <c r="M44" s="64"/>
      <c r="N44" s="64"/>
      <c r="O44" s="64"/>
    </row>
    <row r="45" spans="1:15">
      <c r="C45" s="35" t="s">
        <v>15</v>
      </c>
      <c r="J45" s="235"/>
      <c r="K45" s="66"/>
      <c r="L45" s="64"/>
      <c r="M45" s="64"/>
      <c r="N45" s="64"/>
      <c r="O45" s="64"/>
    </row>
    <row r="46" spans="1:15">
      <c r="J46" s="235"/>
      <c r="K46" s="66"/>
      <c r="L46" s="64"/>
      <c r="M46" s="64"/>
      <c r="N46" s="64"/>
      <c r="O46" s="64"/>
    </row>
    <row r="47" spans="1:15">
      <c r="J47" s="235"/>
      <c r="K47" s="66"/>
      <c r="L47" s="64"/>
      <c r="M47" s="64"/>
      <c r="N47" s="64"/>
      <c r="O47" s="64"/>
    </row>
    <row r="48" spans="1:15">
      <c r="A48" s="247" t="s">
        <v>303</v>
      </c>
      <c r="B48" s="248"/>
      <c r="C48" s="248"/>
      <c r="D48" s="248"/>
      <c r="E48" s="248"/>
      <c r="F48" s="248"/>
      <c r="G48" s="249"/>
      <c r="J48" s="235"/>
      <c r="K48" s="66"/>
      <c r="L48" s="64"/>
      <c r="M48" s="64"/>
      <c r="N48" s="64"/>
      <c r="O48" s="64"/>
    </row>
    <row r="49" spans="1:15">
      <c r="A49" s="238"/>
      <c r="B49" s="239"/>
      <c r="C49" s="239"/>
      <c r="D49" s="239"/>
      <c r="E49" s="239"/>
      <c r="F49" s="239"/>
      <c r="G49" s="240"/>
      <c r="J49" s="235"/>
      <c r="K49" s="62"/>
      <c r="L49" s="62"/>
      <c r="M49" s="62"/>
      <c r="N49" s="62"/>
      <c r="O49" s="62"/>
    </row>
    <row r="50" spans="1:15">
      <c r="A50" s="241"/>
      <c r="B50" s="242"/>
      <c r="C50" s="242"/>
      <c r="D50" s="242"/>
      <c r="E50" s="242"/>
      <c r="F50" s="242"/>
      <c r="G50" s="243"/>
    </row>
    <row r="51" spans="1:15">
      <c r="A51" s="241"/>
      <c r="B51" s="242"/>
      <c r="C51" s="242"/>
      <c r="D51" s="242"/>
      <c r="E51" s="242"/>
      <c r="F51" s="242"/>
      <c r="G51" s="243"/>
      <c r="J51" s="61"/>
      <c r="K51" s="61"/>
      <c r="L51" s="67"/>
      <c r="M51" s="67"/>
      <c r="N51" s="67"/>
      <c r="O51" s="67"/>
    </row>
    <row r="52" spans="1:15">
      <c r="A52" s="244"/>
      <c r="B52" s="245"/>
      <c r="C52" s="245"/>
      <c r="D52" s="245"/>
      <c r="E52" s="245"/>
      <c r="F52" s="245"/>
      <c r="G52" s="246"/>
      <c r="J52" s="235"/>
      <c r="K52" s="66"/>
      <c r="L52" s="64"/>
      <c r="M52" s="64"/>
      <c r="N52" s="64"/>
      <c r="O52" s="64"/>
    </row>
    <row r="53" spans="1:15">
      <c r="J53" s="235"/>
      <c r="K53" s="66"/>
      <c r="L53" s="64"/>
      <c r="M53" s="64"/>
      <c r="N53" s="64"/>
      <c r="O53" s="64"/>
    </row>
    <row r="54" spans="1:15">
      <c r="J54" s="235"/>
      <c r="K54" s="66"/>
      <c r="L54" s="64"/>
      <c r="M54" s="64"/>
      <c r="N54" s="64"/>
      <c r="O54" s="64"/>
    </row>
    <row r="55" spans="1:15">
      <c r="J55" s="235"/>
      <c r="K55" s="66"/>
      <c r="L55" s="64"/>
      <c r="M55" s="64"/>
      <c r="N55" s="64"/>
      <c r="O55" s="64"/>
    </row>
    <row r="56" spans="1:15">
      <c r="J56" s="235"/>
      <c r="K56" s="66"/>
      <c r="L56" s="64"/>
      <c r="M56" s="64"/>
      <c r="N56" s="64"/>
      <c r="O56" s="64"/>
    </row>
    <row r="57" spans="1:15">
      <c r="J57" s="235"/>
      <c r="K57" s="66"/>
      <c r="L57" s="64"/>
      <c r="M57" s="64"/>
      <c r="N57" s="64"/>
      <c r="O57" s="64"/>
    </row>
    <row r="58" spans="1:15">
      <c r="J58" s="235"/>
      <c r="K58" s="66"/>
      <c r="L58" s="64"/>
      <c r="M58" s="64"/>
      <c r="N58" s="64"/>
      <c r="O58" s="64"/>
    </row>
    <row r="59" spans="1:15">
      <c r="J59" s="235"/>
      <c r="K59" s="66"/>
      <c r="L59" s="64"/>
      <c r="M59" s="64"/>
      <c r="N59" s="64"/>
      <c r="O59" s="64"/>
    </row>
    <row r="60" spans="1:15">
      <c r="J60" s="235"/>
      <c r="K60" s="66"/>
      <c r="L60" s="64"/>
      <c r="M60" s="64"/>
      <c r="N60" s="64"/>
      <c r="O60" s="64"/>
    </row>
    <row r="61" spans="1:15">
      <c r="J61" s="235"/>
      <c r="K61" s="66"/>
      <c r="L61" s="64"/>
      <c r="M61" s="64"/>
      <c r="N61" s="64"/>
      <c r="O61" s="64"/>
    </row>
    <row r="62" spans="1:15">
      <c r="J62" s="235"/>
      <c r="K62" s="66"/>
      <c r="L62" s="64"/>
      <c r="M62" s="64"/>
      <c r="N62" s="64"/>
      <c r="O62" s="64"/>
    </row>
    <row r="63" spans="1:15">
      <c r="J63" s="235"/>
      <c r="K63" s="66"/>
      <c r="L63" s="64"/>
      <c r="M63" s="64"/>
      <c r="N63" s="64"/>
      <c r="O63" s="64"/>
    </row>
    <row r="64" spans="1:15">
      <c r="J64" s="235"/>
      <c r="K64" s="62"/>
      <c r="L64" s="62"/>
      <c r="M64" s="62"/>
      <c r="N64" s="62"/>
      <c r="O64" s="62"/>
    </row>
    <row r="66" spans="10:15">
      <c r="J66" s="61"/>
      <c r="K66" s="61"/>
      <c r="L66" s="67"/>
      <c r="M66" s="67"/>
      <c r="N66" s="67"/>
      <c r="O66" s="67"/>
    </row>
    <row r="67" spans="10:15">
      <c r="J67" s="235"/>
      <c r="K67" s="66"/>
      <c r="L67" s="64"/>
      <c r="M67" s="64"/>
      <c r="N67" s="64"/>
      <c r="O67" s="64"/>
    </row>
    <row r="68" spans="10:15">
      <c r="J68" s="235"/>
      <c r="K68" s="66"/>
      <c r="L68" s="64"/>
      <c r="M68" s="64"/>
      <c r="N68" s="64"/>
      <c r="O68" s="64"/>
    </row>
    <row r="69" spans="10:15">
      <c r="J69" s="235"/>
      <c r="K69" s="66"/>
      <c r="L69" s="64"/>
      <c r="M69" s="64"/>
      <c r="N69" s="64"/>
      <c r="O69" s="64"/>
    </row>
    <row r="70" spans="10:15">
      <c r="J70" s="235"/>
      <c r="K70" s="66"/>
      <c r="L70" s="64"/>
      <c r="M70" s="64"/>
      <c r="N70" s="64"/>
      <c r="O70" s="64"/>
    </row>
    <row r="71" spans="10:15">
      <c r="J71" s="235"/>
      <c r="K71" s="66"/>
      <c r="L71" s="64"/>
      <c r="M71" s="64"/>
      <c r="N71" s="64"/>
      <c r="O71" s="64"/>
    </row>
    <row r="72" spans="10:15">
      <c r="J72" s="235"/>
      <c r="K72" s="66"/>
      <c r="L72" s="64"/>
      <c r="M72" s="64"/>
      <c r="N72" s="64"/>
      <c r="O72" s="64"/>
    </row>
    <row r="73" spans="10:15">
      <c r="J73" s="235"/>
      <c r="K73" s="66"/>
      <c r="L73" s="64"/>
      <c r="M73" s="64"/>
      <c r="N73" s="64"/>
      <c r="O73" s="64"/>
    </row>
    <row r="74" spans="10:15">
      <c r="J74" s="235"/>
      <c r="K74" s="66"/>
      <c r="L74" s="64"/>
      <c r="M74" s="64"/>
      <c r="N74" s="64"/>
      <c r="O74" s="64"/>
    </row>
    <row r="75" spans="10:15">
      <c r="J75" s="235"/>
      <c r="K75" s="66"/>
      <c r="L75" s="64"/>
      <c r="M75" s="64"/>
      <c r="N75" s="64"/>
      <c r="O75" s="64"/>
    </row>
    <row r="76" spans="10:15">
      <c r="J76" s="235"/>
      <c r="K76" s="66"/>
      <c r="L76" s="64"/>
      <c r="M76" s="64"/>
      <c r="N76" s="64"/>
      <c r="O76" s="64"/>
    </row>
    <row r="77" spans="10:15">
      <c r="J77" s="235"/>
      <c r="K77" s="66"/>
      <c r="L77" s="64"/>
      <c r="M77" s="64"/>
      <c r="N77" s="64"/>
      <c r="O77" s="64"/>
    </row>
    <row r="78" spans="10:15">
      <c r="J78" s="235"/>
      <c r="K78" s="66"/>
      <c r="L78" s="64"/>
      <c r="M78" s="64"/>
      <c r="N78" s="64"/>
      <c r="O78" s="64"/>
    </row>
    <row r="79" spans="10:15">
      <c r="J79" s="235"/>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view="pageBreakPreview" zoomScale="60" zoomScaleNormal="100" workbookViewId="0">
      <selection activeCell="B35" sqref="B35:I35"/>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Wolverhampton Energy from Waste Facility</v>
      </c>
    </row>
    <row r="3" spans="1:19" ht="14.45">
      <c r="A3" s="60" t="s">
        <v>427</v>
      </c>
      <c r="D3" s="76" t="s">
        <v>390</v>
      </c>
      <c r="G3" s="80" t="s">
        <v>391</v>
      </c>
      <c r="J3" s="9" t="str">
        <f>+A3</f>
        <v>Monitoring of Total organic carbon emissions</v>
      </c>
      <c r="L3" s="9"/>
      <c r="N3" s="9" t="s">
        <v>392</v>
      </c>
      <c r="Q3" s="79" t="s">
        <v>3</v>
      </c>
      <c r="R3" s="74"/>
      <c r="S3" s="74"/>
    </row>
    <row r="4" spans="1:19" ht="13.9" customHeight="1">
      <c r="Q4" s="226" t="s">
        <v>393</v>
      </c>
      <c r="R4" s="226"/>
      <c r="S4" s="226"/>
    </row>
    <row r="5" spans="1:19" ht="16.149999999999999">
      <c r="A5" s="68" t="s">
        <v>394</v>
      </c>
      <c r="B5" s="237" t="s">
        <v>395</v>
      </c>
      <c r="C5" s="237"/>
      <c r="D5" s="237"/>
      <c r="E5" s="237" t="s">
        <v>396</v>
      </c>
      <c r="F5" s="237"/>
      <c r="G5" s="237"/>
      <c r="J5" s="236"/>
      <c r="K5" s="236"/>
      <c r="L5" s="236"/>
      <c r="M5" s="236"/>
      <c r="N5" s="236"/>
      <c r="O5" s="236"/>
      <c r="Q5" s="226"/>
      <c r="R5" s="226"/>
      <c r="S5" s="226"/>
    </row>
    <row r="6" spans="1:19" s="58" customFormat="1" ht="37.5" customHeight="1">
      <c r="A6" s="65">
        <f>+'Cover Page'!C39</f>
        <v>2022</v>
      </c>
      <c r="B6" s="55" t="s">
        <v>428</v>
      </c>
      <c r="C6" s="55" t="s">
        <v>398</v>
      </c>
      <c r="D6" s="55" t="s">
        <v>399</v>
      </c>
      <c r="E6" s="55" t="s">
        <v>429</v>
      </c>
      <c r="F6" s="55" t="s">
        <v>401</v>
      </c>
      <c r="G6" s="55" t="s">
        <v>402</v>
      </c>
      <c r="H6" s="59"/>
      <c r="J6" s="61">
        <f>+A6</f>
        <v>2022</v>
      </c>
      <c r="K6" s="61" t="s">
        <v>403</v>
      </c>
      <c r="L6" s="67" t="s">
        <v>398</v>
      </c>
      <c r="M6" s="67" t="s">
        <v>404</v>
      </c>
      <c r="N6" s="67" t="s">
        <v>401</v>
      </c>
      <c r="O6" s="67" t="s">
        <v>405</v>
      </c>
      <c r="Q6" s="226"/>
      <c r="R6" s="226"/>
      <c r="S6" s="226"/>
    </row>
    <row r="7" spans="1:19">
      <c r="A7" s="66" t="s">
        <v>406</v>
      </c>
      <c r="B7" s="63">
        <v>20</v>
      </c>
      <c r="C7" s="105">
        <f>AVERAGE(L7,L22)</f>
        <v>0</v>
      </c>
      <c r="D7" s="105">
        <f>MAX(M7,M22)</f>
        <v>11</v>
      </c>
      <c r="E7" s="107">
        <v>10</v>
      </c>
      <c r="F7" s="105">
        <f>AVERAGE(N7,N22)</f>
        <v>0.28136200716845877</v>
      </c>
      <c r="G7" s="105">
        <f>MAX(O7,O22)</f>
        <v>1</v>
      </c>
      <c r="J7" s="235" t="s">
        <v>187</v>
      </c>
      <c r="K7" s="66" t="s">
        <v>406</v>
      </c>
      <c r="L7" s="64">
        <v>0</v>
      </c>
      <c r="M7" s="64">
        <v>11</v>
      </c>
      <c r="N7" s="103">
        <v>0.1111111111111111</v>
      </c>
      <c r="O7" s="64">
        <v>1</v>
      </c>
      <c r="Q7" s="226"/>
      <c r="R7" s="226"/>
      <c r="S7" s="226"/>
    </row>
    <row r="8" spans="1:19">
      <c r="A8" s="66" t="s">
        <v>407</v>
      </c>
      <c r="B8" s="63">
        <v>20</v>
      </c>
      <c r="C8" s="105">
        <f t="shared" ref="C8:C18" si="0">AVERAGE(L8,L23)</f>
        <v>0</v>
      </c>
      <c r="D8" s="105">
        <f t="shared" ref="D8:D18" si="1">MAX(M8,M23)</f>
        <v>7</v>
      </c>
      <c r="E8" s="107">
        <v>10</v>
      </c>
      <c r="F8" s="105">
        <f t="shared" ref="F8:F18" si="2">AVERAGE(N8,N23)</f>
        <v>0.14285714285714285</v>
      </c>
      <c r="G8" s="105">
        <f t="shared" ref="G8:G18" si="3">MAX(O8,O23)</f>
        <v>2</v>
      </c>
      <c r="J8" s="235"/>
      <c r="K8" s="66" t="s">
        <v>407</v>
      </c>
      <c r="L8" s="64">
        <v>0</v>
      </c>
      <c r="M8" s="64">
        <v>3</v>
      </c>
      <c r="N8" s="103">
        <v>0.25</v>
      </c>
      <c r="O8" s="64">
        <v>2</v>
      </c>
      <c r="Q8" s="226"/>
      <c r="R8" s="226"/>
      <c r="S8" s="226"/>
    </row>
    <row r="9" spans="1:19">
      <c r="A9" s="66" t="s">
        <v>408</v>
      </c>
      <c r="B9" s="63">
        <v>20</v>
      </c>
      <c r="C9" s="105">
        <f t="shared" si="0"/>
        <v>0</v>
      </c>
      <c r="D9" s="105">
        <f t="shared" si="1"/>
        <v>6</v>
      </c>
      <c r="E9" s="107">
        <v>10</v>
      </c>
      <c r="F9" s="105">
        <f t="shared" si="2"/>
        <v>0</v>
      </c>
      <c r="G9" s="105">
        <f t="shared" si="3"/>
        <v>0</v>
      </c>
      <c r="J9" s="235"/>
      <c r="K9" s="66" t="s">
        <v>408</v>
      </c>
      <c r="L9" s="64">
        <v>0</v>
      </c>
      <c r="M9" s="64">
        <v>2</v>
      </c>
      <c r="N9" s="103">
        <v>0</v>
      </c>
      <c r="O9" s="64">
        <v>0</v>
      </c>
      <c r="Q9" s="78" t="s">
        <v>409</v>
      </c>
    </row>
    <row r="10" spans="1:19" ht="14.25" customHeight="1">
      <c r="A10" s="66" t="s">
        <v>410</v>
      </c>
      <c r="B10" s="63">
        <v>20</v>
      </c>
      <c r="C10" s="105">
        <f t="shared" si="0"/>
        <v>0</v>
      </c>
      <c r="D10" s="105">
        <f t="shared" si="1"/>
        <v>4</v>
      </c>
      <c r="E10" s="107">
        <v>10</v>
      </c>
      <c r="F10" s="105">
        <f t="shared" si="2"/>
        <v>6.6666666666666666E-2</v>
      </c>
      <c r="G10" s="105">
        <f t="shared" si="3"/>
        <v>2</v>
      </c>
      <c r="J10" s="235"/>
      <c r="K10" s="66" t="s">
        <v>410</v>
      </c>
      <c r="L10" s="64">
        <v>0</v>
      </c>
      <c r="M10" s="64">
        <v>1</v>
      </c>
      <c r="N10" s="103">
        <v>0</v>
      </c>
      <c r="O10" s="64">
        <v>0</v>
      </c>
      <c r="Q10" s="234" t="s">
        <v>411</v>
      </c>
      <c r="R10" s="234"/>
      <c r="S10" s="234"/>
    </row>
    <row r="11" spans="1:19">
      <c r="A11" s="66" t="s">
        <v>412</v>
      </c>
      <c r="B11" s="63">
        <v>20</v>
      </c>
      <c r="C11" s="105">
        <f t="shared" si="0"/>
        <v>0</v>
      </c>
      <c r="D11" s="105">
        <f t="shared" si="1"/>
        <v>18</v>
      </c>
      <c r="E11" s="107">
        <v>10</v>
      </c>
      <c r="F11" s="105">
        <f t="shared" si="2"/>
        <v>0</v>
      </c>
      <c r="G11" s="105">
        <f t="shared" si="3"/>
        <v>0</v>
      </c>
      <c r="J11" s="235"/>
      <c r="K11" s="66" t="s">
        <v>412</v>
      </c>
      <c r="L11" s="64">
        <v>0</v>
      </c>
      <c r="M11" s="64">
        <v>0</v>
      </c>
      <c r="N11" s="103">
        <v>0</v>
      </c>
      <c r="O11" s="64">
        <v>0</v>
      </c>
      <c r="Q11" s="234"/>
      <c r="R11" s="234"/>
      <c r="S11" s="234"/>
    </row>
    <row r="12" spans="1:19">
      <c r="A12" s="66" t="s">
        <v>413</v>
      </c>
      <c r="B12" s="63">
        <v>20</v>
      </c>
      <c r="C12" s="105">
        <f t="shared" si="0"/>
        <v>0</v>
      </c>
      <c r="D12" s="105">
        <f t="shared" si="1"/>
        <v>4</v>
      </c>
      <c r="E12" s="107">
        <v>10</v>
      </c>
      <c r="F12" s="105">
        <f t="shared" si="2"/>
        <v>0</v>
      </c>
      <c r="G12" s="105">
        <f t="shared" si="3"/>
        <v>0</v>
      </c>
      <c r="J12" s="235"/>
      <c r="K12" s="66" t="s">
        <v>413</v>
      </c>
      <c r="L12" s="64">
        <v>0</v>
      </c>
      <c r="M12" s="64">
        <v>1</v>
      </c>
      <c r="N12" s="103">
        <v>0</v>
      </c>
      <c r="O12" s="64">
        <v>0</v>
      </c>
      <c r="Q12" s="234"/>
      <c r="R12" s="234"/>
      <c r="S12" s="234"/>
    </row>
    <row r="13" spans="1:19" ht="14.25" customHeight="1">
      <c r="A13" s="66" t="s">
        <v>414</v>
      </c>
      <c r="B13" s="63">
        <v>20</v>
      </c>
      <c r="C13" s="105">
        <f t="shared" si="0"/>
        <v>0</v>
      </c>
      <c r="D13" s="105">
        <f t="shared" si="1"/>
        <v>15</v>
      </c>
      <c r="E13" s="107">
        <v>10</v>
      </c>
      <c r="F13" s="105">
        <f t="shared" si="2"/>
        <v>0.17849462365591398</v>
      </c>
      <c r="G13" s="105">
        <f t="shared" si="3"/>
        <v>1</v>
      </c>
      <c r="J13" s="235"/>
      <c r="K13" s="66" t="s">
        <v>414</v>
      </c>
      <c r="L13" s="64">
        <v>0</v>
      </c>
      <c r="M13" s="64">
        <v>6</v>
      </c>
      <c r="N13" s="103">
        <v>0.29032258064516131</v>
      </c>
      <c r="O13" s="64">
        <v>1</v>
      </c>
      <c r="Q13" s="234" t="s">
        <v>415</v>
      </c>
      <c r="R13" s="234"/>
      <c r="S13" s="234"/>
    </row>
    <row r="14" spans="1:19">
      <c r="A14" s="66" t="s">
        <v>416</v>
      </c>
      <c r="B14" s="63">
        <v>20</v>
      </c>
      <c r="C14" s="105">
        <f t="shared" si="0"/>
        <v>0</v>
      </c>
      <c r="D14" s="105">
        <f t="shared" si="1"/>
        <v>15</v>
      </c>
      <c r="E14" s="107">
        <v>10</v>
      </c>
      <c r="F14" s="105">
        <f t="shared" si="2"/>
        <v>0.1294871794871795</v>
      </c>
      <c r="G14" s="105">
        <f t="shared" si="3"/>
        <v>1</v>
      </c>
      <c r="J14" s="235"/>
      <c r="K14" s="66" t="s">
        <v>416</v>
      </c>
      <c r="L14" s="64">
        <v>0</v>
      </c>
      <c r="M14" s="64">
        <v>15</v>
      </c>
      <c r="N14" s="103">
        <v>6.6666666666666666E-2</v>
      </c>
      <c r="O14" s="64">
        <v>1</v>
      </c>
      <c r="Q14" s="234"/>
      <c r="R14" s="234"/>
      <c r="S14" s="234"/>
    </row>
    <row r="15" spans="1:19">
      <c r="A15" s="66" t="s">
        <v>417</v>
      </c>
      <c r="B15" s="63">
        <v>20</v>
      </c>
      <c r="C15" s="105">
        <f t="shared" si="0"/>
        <v>0</v>
      </c>
      <c r="D15" s="105">
        <f t="shared" si="1"/>
        <v>12</v>
      </c>
      <c r="E15" s="107">
        <v>10</v>
      </c>
      <c r="F15" s="105">
        <f t="shared" si="2"/>
        <v>4.1666666666666664E-2</v>
      </c>
      <c r="G15" s="105">
        <f t="shared" si="3"/>
        <v>1</v>
      </c>
      <c r="J15" s="235"/>
      <c r="K15" s="66" t="s">
        <v>417</v>
      </c>
      <c r="L15" s="64">
        <v>0</v>
      </c>
      <c r="M15" s="64">
        <v>4</v>
      </c>
      <c r="N15" s="103">
        <v>0</v>
      </c>
      <c r="O15" s="64">
        <v>0</v>
      </c>
      <c r="Q15" s="234"/>
      <c r="R15" s="234"/>
      <c r="S15" s="234"/>
    </row>
    <row r="16" spans="1:19">
      <c r="A16" s="66" t="s">
        <v>418</v>
      </c>
      <c r="B16" s="63">
        <v>20</v>
      </c>
      <c r="C16" s="105">
        <f t="shared" si="0"/>
        <v>0</v>
      </c>
      <c r="D16" s="105">
        <f t="shared" si="1"/>
        <v>384</v>
      </c>
      <c r="E16" s="107">
        <v>10</v>
      </c>
      <c r="F16" s="105">
        <f t="shared" si="2"/>
        <v>0.11201298701298701</v>
      </c>
      <c r="G16" s="105">
        <f t="shared" si="3"/>
        <v>4</v>
      </c>
      <c r="J16" s="235"/>
      <c r="K16" s="66" t="s">
        <v>418</v>
      </c>
      <c r="L16" s="64">
        <v>0</v>
      </c>
      <c r="M16" s="64">
        <v>19</v>
      </c>
      <c r="N16" s="103">
        <v>4.5454545454545456E-2</v>
      </c>
      <c r="O16" s="64">
        <v>1</v>
      </c>
      <c r="Q16" s="234"/>
      <c r="R16" s="234"/>
      <c r="S16" s="234"/>
    </row>
    <row r="17" spans="1:15">
      <c r="A17" s="66" t="s">
        <v>419</v>
      </c>
      <c r="B17" s="63">
        <v>20</v>
      </c>
      <c r="C17" s="105">
        <f t="shared" si="0"/>
        <v>0</v>
      </c>
      <c r="D17" s="105">
        <f t="shared" si="1"/>
        <v>50</v>
      </c>
      <c r="E17" s="107">
        <v>10</v>
      </c>
      <c r="F17" s="105">
        <f t="shared" si="2"/>
        <v>0.18518518518518517</v>
      </c>
      <c r="G17" s="105">
        <f t="shared" si="3"/>
        <v>1</v>
      </c>
      <c r="J17" s="235"/>
      <c r="K17" s="66" t="s">
        <v>419</v>
      </c>
      <c r="L17" s="64">
        <v>0</v>
      </c>
      <c r="M17" s="64">
        <v>11</v>
      </c>
      <c r="N17" s="103">
        <v>3.7037037037037035E-2</v>
      </c>
      <c r="O17" s="64">
        <v>1</v>
      </c>
    </row>
    <row r="18" spans="1:15">
      <c r="A18" s="66" t="s">
        <v>420</v>
      </c>
      <c r="B18" s="63">
        <v>20</v>
      </c>
      <c r="C18" s="105">
        <f t="shared" si="0"/>
        <v>0.5</v>
      </c>
      <c r="D18" s="105">
        <f t="shared" si="1"/>
        <v>24</v>
      </c>
      <c r="E18" s="107">
        <v>10</v>
      </c>
      <c r="F18" s="105">
        <f t="shared" si="2"/>
        <v>0.35571428571428571</v>
      </c>
      <c r="G18" s="105">
        <f t="shared" si="3"/>
        <v>1</v>
      </c>
      <c r="J18" s="235"/>
      <c r="K18" s="66" t="s">
        <v>420</v>
      </c>
      <c r="L18" s="64">
        <v>0</v>
      </c>
      <c r="M18" s="64">
        <v>18</v>
      </c>
      <c r="N18" s="103">
        <v>7.1428571428571425E-2</v>
      </c>
      <c r="O18" s="64">
        <v>1</v>
      </c>
    </row>
    <row r="19" spans="1:15">
      <c r="J19" s="235"/>
      <c r="K19" s="62" t="s">
        <v>312</v>
      </c>
      <c r="L19" s="62">
        <f>AVERAGE(L7:L18)</f>
        <v>0</v>
      </c>
      <c r="M19" s="62">
        <f>MAX(M7:M18)</f>
        <v>19</v>
      </c>
      <c r="N19" s="110">
        <f>AVERAGE(N7:N18)</f>
        <v>7.2668376028591067E-2</v>
      </c>
      <c r="O19" s="62">
        <f>MAX(O7:O18)</f>
        <v>2</v>
      </c>
    </row>
    <row r="21" spans="1:15" ht="41.45">
      <c r="J21" s="61">
        <f>+A6</f>
        <v>2022</v>
      </c>
      <c r="K21" s="61" t="s">
        <v>403</v>
      </c>
      <c r="L21" s="67" t="s">
        <v>398</v>
      </c>
      <c r="M21" s="67" t="s">
        <v>404</v>
      </c>
      <c r="N21" s="67" t="s">
        <v>401</v>
      </c>
      <c r="O21" s="67" t="s">
        <v>405</v>
      </c>
    </row>
    <row r="22" spans="1:15">
      <c r="J22" s="235" t="s">
        <v>188</v>
      </c>
      <c r="K22" s="66" t="s">
        <v>406</v>
      </c>
      <c r="L22" s="64">
        <v>0</v>
      </c>
      <c r="M22" s="64">
        <v>4</v>
      </c>
      <c r="N22" s="103">
        <v>0.45161290322580644</v>
      </c>
      <c r="O22" s="64">
        <v>1</v>
      </c>
    </row>
    <row r="23" spans="1:15">
      <c r="J23" s="235"/>
      <c r="K23" s="66" t="s">
        <v>407</v>
      </c>
      <c r="L23" s="64">
        <v>0</v>
      </c>
      <c r="M23" s="64">
        <v>7</v>
      </c>
      <c r="N23" s="103">
        <v>3.5714285714285712E-2</v>
      </c>
      <c r="O23" s="64">
        <v>1</v>
      </c>
    </row>
    <row r="24" spans="1:15">
      <c r="J24" s="235"/>
      <c r="K24" s="66" t="s">
        <v>408</v>
      </c>
      <c r="L24" s="64">
        <v>0</v>
      </c>
      <c r="M24" s="64">
        <v>6</v>
      </c>
      <c r="N24" s="103">
        <v>0</v>
      </c>
      <c r="O24" s="64">
        <v>0</v>
      </c>
    </row>
    <row r="25" spans="1:15">
      <c r="J25" s="235"/>
      <c r="K25" s="66" t="s">
        <v>410</v>
      </c>
      <c r="L25" s="64">
        <v>0</v>
      </c>
      <c r="M25" s="64">
        <v>4</v>
      </c>
      <c r="N25" s="103">
        <v>0.13333333333333333</v>
      </c>
      <c r="O25" s="64">
        <v>2</v>
      </c>
    </row>
    <row r="26" spans="1:15">
      <c r="J26" s="235"/>
      <c r="K26" s="66" t="s">
        <v>412</v>
      </c>
      <c r="L26" s="64">
        <v>0</v>
      </c>
      <c r="M26" s="64">
        <v>18</v>
      </c>
      <c r="N26" s="103">
        <v>0</v>
      </c>
      <c r="O26" s="64">
        <v>0</v>
      </c>
    </row>
    <row r="27" spans="1:15">
      <c r="J27" s="235"/>
      <c r="K27" s="66" t="s">
        <v>413</v>
      </c>
      <c r="L27" s="64">
        <v>0</v>
      </c>
      <c r="M27" s="64">
        <v>4</v>
      </c>
      <c r="N27" s="103">
        <v>0</v>
      </c>
      <c r="O27" s="64">
        <v>0</v>
      </c>
    </row>
    <row r="28" spans="1:15">
      <c r="J28" s="235"/>
      <c r="K28" s="66" t="s">
        <v>414</v>
      </c>
      <c r="L28" s="64">
        <v>0</v>
      </c>
      <c r="M28" s="64">
        <v>15</v>
      </c>
      <c r="N28" s="103">
        <v>6.6666666666666666E-2</v>
      </c>
      <c r="O28" s="64">
        <v>1</v>
      </c>
    </row>
    <row r="29" spans="1:15">
      <c r="J29" s="235"/>
      <c r="K29" s="66" t="s">
        <v>416</v>
      </c>
      <c r="L29" s="64">
        <v>0</v>
      </c>
      <c r="M29" s="64">
        <v>6</v>
      </c>
      <c r="N29" s="103">
        <v>0.19230769230769232</v>
      </c>
      <c r="O29" s="64">
        <v>1</v>
      </c>
    </row>
    <row r="30" spans="1:15">
      <c r="J30" s="235"/>
      <c r="K30" s="66" t="s">
        <v>417</v>
      </c>
      <c r="L30" s="64">
        <v>0</v>
      </c>
      <c r="M30" s="64">
        <v>12</v>
      </c>
      <c r="N30" s="103">
        <v>8.3333333333333329E-2</v>
      </c>
      <c r="O30" s="64">
        <v>1</v>
      </c>
    </row>
    <row r="31" spans="1:15">
      <c r="J31" s="235"/>
      <c r="K31" s="66" t="s">
        <v>418</v>
      </c>
      <c r="L31" s="64">
        <v>0</v>
      </c>
      <c r="M31" s="64">
        <v>384</v>
      </c>
      <c r="N31" s="103">
        <v>0.17857142857142858</v>
      </c>
      <c r="O31" s="64">
        <v>4</v>
      </c>
    </row>
    <row r="32" spans="1:15">
      <c r="J32" s="235"/>
      <c r="K32" s="66" t="s">
        <v>419</v>
      </c>
      <c r="L32" s="64">
        <v>0</v>
      </c>
      <c r="M32" s="64">
        <v>50</v>
      </c>
      <c r="N32" s="103">
        <v>0.33333333333333331</v>
      </c>
      <c r="O32" s="64">
        <v>1</v>
      </c>
    </row>
    <row r="33" spans="1:15">
      <c r="J33" s="235"/>
      <c r="K33" s="66" t="s">
        <v>420</v>
      </c>
      <c r="L33" s="64">
        <v>1</v>
      </c>
      <c r="M33" s="64">
        <v>24</v>
      </c>
      <c r="N33" s="103">
        <v>0.64</v>
      </c>
      <c r="O33" s="64">
        <v>1</v>
      </c>
    </row>
    <row r="34" spans="1:15">
      <c r="J34" s="235"/>
      <c r="K34" s="62" t="s">
        <v>312</v>
      </c>
      <c r="L34" s="110">
        <f>AVERAGE(L22:L33)</f>
        <v>8.3333333333333329E-2</v>
      </c>
      <c r="M34" s="62">
        <f>MAX(M22:M33)</f>
        <v>384</v>
      </c>
      <c r="N34" s="110">
        <f>AVERAGE(N22:N33)</f>
        <v>0.17623941470715665</v>
      </c>
      <c r="O34" s="62">
        <f>MAX(O22:O33)</f>
        <v>4</v>
      </c>
    </row>
    <row r="35" spans="1:15">
      <c r="B35" s="35" t="s">
        <v>8</v>
      </c>
    </row>
    <row r="36" spans="1:15">
      <c r="J36" s="61"/>
      <c r="K36" s="61"/>
      <c r="L36" s="67"/>
      <c r="M36" s="67"/>
      <c r="N36" s="67"/>
      <c r="O36" s="67"/>
    </row>
    <row r="37" spans="1:15">
      <c r="J37" s="235"/>
      <c r="K37" s="66"/>
      <c r="L37" s="64"/>
      <c r="M37" s="64"/>
      <c r="N37" s="64"/>
      <c r="O37" s="64"/>
    </row>
    <row r="38" spans="1:15">
      <c r="J38" s="235"/>
      <c r="K38" s="66"/>
      <c r="L38" s="64"/>
      <c r="M38" s="64"/>
      <c r="N38" s="64"/>
      <c r="O38" s="64"/>
    </row>
    <row r="39" spans="1:15">
      <c r="J39" s="235"/>
      <c r="K39" s="66"/>
      <c r="L39" s="64"/>
      <c r="M39" s="64"/>
      <c r="N39" s="64"/>
      <c r="O39" s="64"/>
    </row>
    <row r="40" spans="1:15">
      <c r="J40" s="235"/>
      <c r="K40" s="66"/>
      <c r="L40" s="64"/>
      <c r="M40" s="64"/>
      <c r="N40" s="64"/>
      <c r="O40" s="64"/>
    </row>
    <row r="41" spans="1:15">
      <c r="J41" s="235"/>
      <c r="K41" s="66"/>
      <c r="L41" s="64"/>
      <c r="M41" s="64"/>
      <c r="N41" s="64"/>
      <c r="O41" s="64"/>
    </row>
    <row r="42" spans="1:15">
      <c r="J42" s="235"/>
      <c r="K42" s="66"/>
      <c r="L42" s="64"/>
      <c r="M42" s="64"/>
      <c r="N42" s="64"/>
      <c r="O42" s="64"/>
    </row>
    <row r="43" spans="1:15">
      <c r="C43" s="35" t="s">
        <v>13</v>
      </c>
      <c r="J43" s="235"/>
      <c r="K43" s="66"/>
      <c r="L43" s="64"/>
      <c r="M43" s="64"/>
      <c r="N43" s="64"/>
      <c r="O43" s="64"/>
    </row>
    <row r="44" spans="1:15">
      <c r="J44" s="235"/>
      <c r="K44" s="66"/>
      <c r="L44" s="64"/>
      <c r="M44" s="64"/>
      <c r="N44" s="64"/>
      <c r="O44" s="64"/>
    </row>
    <row r="45" spans="1:15">
      <c r="C45" s="35" t="s">
        <v>15</v>
      </c>
      <c r="J45" s="235"/>
      <c r="K45" s="66"/>
      <c r="L45" s="64"/>
      <c r="M45" s="64"/>
      <c r="N45" s="64"/>
      <c r="O45" s="64"/>
    </row>
    <row r="46" spans="1:15">
      <c r="J46" s="235"/>
      <c r="K46" s="66"/>
      <c r="L46" s="64"/>
      <c r="M46" s="64"/>
      <c r="N46" s="64"/>
      <c r="O46" s="64"/>
    </row>
    <row r="47" spans="1:15">
      <c r="J47" s="235"/>
      <c r="K47" s="66"/>
      <c r="L47" s="64"/>
      <c r="M47" s="64"/>
      <c r="N47" s="64"/>
      <c r="O47" s="64"/>
    </row>
    <row r="48" spans="1:15">
      <c r="A48" s="247" t="s">
        <v>303</v>
      </c>
      <c r="B48" s="248"/>
      <c r="C48" s="248"/>
      <c r="D48" s="248"/>
      <c r="E48" s="248"/>
      <c r="F48" s="248"/>
      <c r="G48" s="249"/>
      <c r="J48" s="235"/>
      <c r="K48" s="66"/>
      <c r="L48" s="64"/>
      <c r="M48" s="64"/>
      <c r="N48" s="64"/>
      <c r="O48" s="64"/>
    </row>
    <row r="49" spans="1:15">
      <c r="A49" s="238"/>
      <c r="B49" s="239"/>
      <c r="C49" s="239"/>
      <c r="D49" s="239"/>
      <c r="E49" s="239"/>
      <c r="F49" s="239"/>
      <c r="G49" s="240"/>
      <c r="J49" s="235"/>
      <c r="K49" s="62"/>
      <c r="L49" s="62"/>
      <c r="M49" s="62"/>
      <c r="N49" s="62"/>
      <c r="O49" s="62"/>
    </row>
    <row r="50" spans="1:15">
      <c r="A50" s="241"/>
      <c r="B50" s="242"/>
      <c r="C50" s="242"/>
      <c r="D50" s="242"/>
      <c r="E50" s="242"/>
      <c r="F50" s="242"/>
      <c r="G50" s="243"/>
    </row>
    <row r="51" spans="1:15">
      <c r="A51" s="241"/>
      <c r="B51" s="242"/>
      <c r="C51" s="242"/>
      <c r="D51" s="242"/>
      <c r="E51" s="242"/>
      <c r="F51" s="242"/>
      <c r="G51" s="243"/>
      <c r="J51" s="61"/>
      <c r="K51" s="61"/>
      <c r="L51" s="67"/>
      <c r="M51" s="67"/>
      <c r="N51" s="67"/>
      <c r="O51" s="67"/>
    </row>
    <row r="52" spans="1:15">
      <c r="A52" s="244"/>
      <c r="B52" s="245"/>
      <c r="C52" s="245"/>
      <c r="D52" s="245"/>
      <c r="E52" s="245"/>
      <c r="F52" s="245"/>
      <c r="G52" s="246"/>
      <c r="J52" s="235"/>
      <c r="K52" s="66"/>
      <c r="L52" s="64"/>
      <c r="M52" s="64"/>
      <c r="N52" s="64"/>
      <c r="O52" s="64"/>
    </row>
    <row r="53" spans="1:15">
      <c r="J53" s="235"/>
      <c r="K53" s="66"/>
      <c r="L53" s="64"/>
      <c r="M53" s="64"/>
      <c r="N53" s="64"/>
      <c r="O53" s="64"/>
    </row>
    <row r="54" spans="1:15">
      <c r="J54" s="235"/>
      <c r="K54" s="66"/>
      <c r="L54" s="64"/>
      <c r="M54" s="64"/>
      <c r="N54" s="64"/>
      <c r="O54" s="64"/>
    </row>
    <row r="55" spans="1:15">
      <c r="J55" s="235"/>
      <c r="K55" s="66"/>
      <c r="L55" s="64"/>
      <c r="M55" s="64"/>
      <c r="N55" s="64"/>
      <c r="O55" s="64"/>
    </row>
    <row r="56" spans="1:15">
      <c r="J56" s="235"/>
      <c r="K56" s="66"/>
      <c r="L56" s="64"/>
      <c r="M56" s="64"/>
      <c r="N56" s="64"/>
      <c r="O56" s="64"/>
    </row>
    <row r="57" spans="1:15">
      <c r="J57" s="235"/>
      <c r="K57" s="66"/>
      <c r="L57" s="64"/>
      <c r="M57" s="64"/>
      <c r="N57" s="64"/>
      <c r="O57" s="64"/>
    </row>
    <row r="58" spans="1:15">
      <c r="J58" s="235"/>
      <c r="K58" s="66"/>
      <c r="L58" s="64"/>
      <c r="M58" s="64"/>
      <c r="N58" s="64"/>
      <c r="O58" s="64"/>
    </row>
    <row r="59" spans="1:15">
      <c r="J59" s="235"/>
      <c r="K59" s="66"/>
      <c r="L59" s="64"/>
      <c r="M59" s="64"/>
      <c r="N59" s="64"/>
      <c r="O59" s="64"/>
    </row>
    <row r="60" spans="1:15">
      <c r="J60" s="235"/>
      <c r="K60" s="66"/>
      <c r="L60" s="64"/>
      <c r="M60" s="64"/>
      <c r="N60" s="64"/>
      <c r="O60" s="64"/>
    </row>
    <row r="61" spans="1:15">
      <c r="J61" s="235"/>
      <c r="K61" s="66"/>
      <c r="L61" s="64"/>
      <c r="M61" s="64"/>
      <c r="N61" s="64"/>
      <c r="O61" s="64"/>
    </row>
    <row r="62" spans="1:15">
      <c r="J62" s="235"/>
      <c r="K62" s="66"/>
      <c r="L62" s="64"/>
      <c r="M62" s="64"/>
      <c r="N62" s="64"/>
      <c r="O62" s="64"/>
    </row>
    <row r="63" spans="1:15">
      <c r="J63" s="235"/>
      <c r="K63" s="66"/>
      <c r="L63" s="64"/>
      <c r="M63" s="64"/>
      <c r="N63" s="64"/>
      <c r="O63" s="64"/>
    </row>
    <row r="64" spans="1:15">
      <c r="J64" s="235"/>
      <c r="K64" s="62"/>
      <c r="L64" s="62"/>
      <c r="M64" s="62"/>
      <c r="N64" s="62"/>
      <c r="O64" s="62"/>
    </row>
    <row r="66" spans="10:15">
      <c r="J66" s="61"/>
      <c r="K66" s="61"/>
      <c r="L66" s="67"/>
      <c r="M66" s="67"/>
      <c r="N66" s="67"/>
      <c r="O66" s="67"/>
    </row>
    <row r="67" spans="10:15">
      <c r="J67" s="235"/>
      <c r="K67" s="66"/>
      <c r="L67" s="64"/>
      <c r="M67" s="64"/>
      <c r="N67" s="64"/>
      <c r="O67" s="64"/>
    </row>
    <row r="68" spans="10:15">
      <c r="J68" s="235"/>
      <c r="K68" s="66"/>
      <c r="L68" s="64"/>
      <c r="M68" s="64"/>
      <c r="N68" s="64"/>
      <c r="O68" s="64"/>
    </row>
    <row r="69" spans="10:15">
      <c r="J69" s="235"/>
      <c r="K69" s="66"/>
      <c r="L69" s="64"/>
      <c r="M69" s="64"/>
      <c r="N69" s="64"/>
      <c r="O69" s="64"/>
    </row>
    <row r="70" spans="10:15">
      <c r="J70" s="235"/>
      <c r="K70" s="66"/>
      <c r="L70" s="64"/>
      <c r="M70" s="64"/>
      <c r="N70" s="64"/>
      <c r="O70" s="64"/>
    </row>
    <row r="71" spans="10:15">
      <c r="J71" s="235"/>
      <c r="K71" s="66"/>
      <c r="L71" s="64"/>
      <c r="M71" s="64"/>
      <c r="N71" s="64"/>
      <c r="O71" s="64"/>
    </row>
    <row r="72" spans="10:15">
      <c r="J72" s="235"/>
      <c r="K72" s="66"/>
      <c r="L72" s="64"/>
      <c r="M72" s="64"/>
      <c r="N72" s="64"/>
      <c r="O72" s="64"/>
    </row>
    <row r="73" spans="10:15">
      <c r="J73" s="235"/>
      <c r="K73" s="66"/>
      <c r="L73" s="64"/>
      <c r="M73" s="64"/>
      <c r="N73" s="64"/>
      <c r="O73" s="64"/>
    </row>
    <row r="74" spans="10:15">
      <c r="J74" s="235"/>
      <c r="K74" s="66"/>
      <c r="L74" s="64"/>
      <c r="M74" s="64"/>
      <c r="N74" s="64"/>
      <c r="O74" s="64"/>
    </row>
    <row r="75" spans="10:15">
      <c r="J75" s="235"/>
      <c r="K75" s="66"/>
      <c r="L75" s="64"/>
      <c r="M75" s="64"/>
      <c r="N75" s="64"/>
      <c r="O75" s="64"/>
    </row>
    <row r="76" spans="10:15">
      <c r="J76" s="235"/>
      <c r="K76" s="66"/>
      <c r="L76" s="64"/>
      <c r="M76" s="64"/>
      <c r="N76" s="64"/>
      <c r="O76" s="64"/>
    </row>
    <row r="77" spans="10:15">
      <c r="J77" s="235"/>
      <c r="K77" s="66"/>
      <c r="L77" s="64"/>
      <c r="M77" s="64"/>
      <c r="N77" s="64"/>
      <c r="O77" s="64"/>
    </row>
    <row r="78" spans="10:15">
      <c r="J78" s="235"/>
      <c r="K78" s="66"/>
      <c r="L78" s="64"/>
      <c r="M78" s="64"/>
      <c r="N78" s="64"/>
      <c r="O78" s="64"/>
    </row>
    <row r="79" spans="10:15">
      <c r="J79" s="235"/>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view="pageBreakPreview" topLeftCell="C14" zoomScale="60" zoomScaleNormal="100" workbookViewId="0">
      <selection activeCell="B35" sqref="B35:I35"/>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Wolverhampton Energy from Waste Facility</v>
      </c>
    </row>
    <row r="3" spans="1:19" ht="14.45">
      <c r="A3" s="60" t="s">
        <v>430</v>
      </c>
      <c r="D3" s="76" t="s">
        <v>390</v>
      </c>
      <c r="G3" s="80" t="s">
        <v>391</v>
      </c>
      <c r="J3" s="9" t="str">
        <f>+A3</f>
        <v>Monitoring of Particulate matter emissions</v>
      </c>
      <c r="L3" s="9"/>
      <c r="N3" s="9" t="s">
        <v>392</v>
      </c>
      <c r="Q3" s="79" t="s">
        <v>3</v>
      </c>
      <c r="R3" s="74"/>
      <c r="S3" s="74"/>
    </row>
    <row r="4" spans="1:19" ht="13.9" customHeight="1">
      <c r="Q4" s="226" t="s">
        <v>393</v>
      </c>
      <c r="R4" s="226"/>
      <c r="S4" s="226"/>
    </row>
    <row r="5" spans="1:19" ht="16.149999999999999">
      <c r="A5" s="68" t="s">
        <v>394</v>
      </c>
      <c r="B5" s="237" t="s">
        <v>395</v>
      </c>
      <c r="C5" s="237"/>
      <c r="D5" s="237"/>
      <c r="E5" s="237" t="s">
        <v>396</v>
      </c>
      <c r="F5" s="237"/>
      <c r="G5" s="237"/>
      <c r="J5" s="236"/>
      <c r="K5" s="236"/>
      <c r="L5" s="236"/>
      <c r="M5" s="236"/>
      <c r="N5" s="236"/>
      <c r="O5" s="236"/>
      <c r="Q5" s="226"/>
      <c r="R5" s="226"/>
      <c r="S5" s="226"/>
    </row>
    <row r="6" spans="1:19" s="58" customFormat="1" ht="37.5" customHeight="1">
      <c r="A6" s="65">
        <f>+'Cover Page'!C39</f>
        <v>2022</v>
      </c>
      <c r="B6" s="55" t="s">
        <v>431</v>
      </c>
      <c r="C6" s="55" t="s">
        <v>398</v>
      </c>
      <c r="D6" s="55" t="s">
        <v>399</v>
      </c>
      <c r="E6" s="55" t="s">
        <v>432</v>
      </c>
      <c r="F6" s="55" t="s">
        <v>401</v>
      </c>
      <c r="G6" s="55" t="s">
        <v>402</v>
      </c>
      <c r="H6" s="59"/>
      <c r="J6" s="61">
        <f>+A6</f>
        <v>2022</v>
      </c>
      <c r="K6" s="61" t="s">
        <v>403</v>
      </c>
      <c r="L6" s="67" t="s">
        <v>398</v>
      </c>
      <c r="M6" s="67" t="s">
        <v>404</v>
      </c>
      <c r="N6" s="67" t="s">
        <v>401</v>
      </c>
      <c r="O6" s="67" t="s">
        <v>405</v>
      </c>
      <c r="Q6" s="226"/>
      <c r="R6" s="226"/>
      <c r="S6" s="226"/>
    </row>
    <row r="7" spans="1:19">
      <c r="A7" s="66" t="s">
        <v>406</v>
      </c>
      <c r="B7" s="63">
        <v>30</v>
      </c>
      <c r="C7" s="105">
        <f>AVERAGE(L7,L22)</f>
        <v>1</v>
      </c>
      <c r="D7" s="105">
        <f>MAX(M7,M22)</f>
        <v>3</v>
      </c>
      <c r="E7" s="107">
        <v>10</v>
      </c>
      <c r="F7" s="105">
        <f>AVERAGE(N7,N22)</f>
        <v>1.0925925925925926</v>
      </c>
      <c r="G7" s="105">
        <f>MAX(O7,O22)</f>
        <v>2</v>
      </c>
      <c r="J7" s="235" t="s">
        <v>187</v>
      </c>
      <c r="K7" s="66" t="s">
        <v>406</v>
      </c>
      <c r="L7" s="64">
        <v>1</v>
      </c>
      <c r="M7" s="64">
        <v>3</v>
      </c>
      <c r="N7" s="104">
        <v>1.1851851851851851</v>
      </c>
      <c r="O7" s="64">
        <v>2</v>
      </c>
      <c r="Q7" s="226"/>
      <c r="R7" s="226"/>
      <c r="S7" s="226"/>
    </row>
    <row r="8" spans="1:19">
      <c r="A8" s="66" t="s">
        <v>407</v>
      </c>
      <c r="B8" s="63">
        <v>30</v>
      </c>
      <c r="C8" s="105">
        <f t="shared" ref="C8:C18" si="0">AVERAGE(L8,L23)</f>
        <v>0.5</v>
      </c>
      <c r="D8" s="105">
        <f t="shared" ref="D8:D18" si="1">MAX(M8,M23)</f>
        <v>4</v>
      </c>
      <c r="E8" s="107">
        <v>10</v>
      </c>
      <c r="F8" s="105">
        <f t="shared" ref="F8:F18" si="2">AVERAGE(N8,N23)</f>
        <v>0.9642857142857143</v>
      </c>
      <c r="G8" s="105">
        <f t="shared" ref="G8:G18" si="3">MAX(O8,O23)</f>
        <v>4</v>
      </c>
      <c r="J8" s="235"/>
      <c r="K8" s="66" t="s">
        <v>407</v>
      </c>
      <c r="L8" s="64">
        <v>1</v>
      </c>
      <c r="M8" s="64">
        <v>4</v>
      </c>
      <c r="N8" s="104">
        <v>1.5</v>
      </c>
      <c r="O8" s="64">
        <v>4</v>
      </c>
      <c r="Q8" s="226"/>
      <c r="R8" s="226"/>
      <c r="S8" s="226"/>
    </row>
    <row r="9" spans="1:19">
      <c r="A9" s="66" t="s">
        <v>408</v>
      </c>
      <c r="B9" s="63">
        <v>30</v>
      </c>
      <c r="C9" s="105">
        <f t="shared" si="0"/>
        <v>1</v>
      </c>
      <c r="D9" s="105">
        <f t="shared" si="1"/>
        <v>4</v>
      </c>
      <c r="E9" s="107">
        <v>10</v>
      </c>
      <c r="F9" s="105">
        <f t="shared" si="2"/>
        <v>1.0505952380952381</v>
      </c>
      <c r="G9" s="105">
        <f t="shared" si="3"/>
        <v>3</v>
      </c>
      <c r="J9" s="235"/>
      <c r="K9" s="66" t="s">
        <v>408</v>
      </c>
      <c r="L9" s="64">
        <v>1</v>
      </c>
      <c r="M9" s="64">
        <v>4</v>
      </c>
      <c r="N9" s="104">
        <v>1.1428571428571428</v>
      </c>
      <c r="O9" s="64">
        <v>3</v>
      </c>
      <c r="Q9" s="78" t="s">
        <v>409</v>
      </c>
    </row>
    <row r="10" spans="1:19" ht="14.25" customHeight="1">
      <c r="A10" s="66" t="s">
        <v>410</v>
      </c>
      <c r="B10" s="63">
        <v>30</v>
      </c>
      <c r="C10" s="105">
        <f t="shared" si="0"/>
        <v>2</v>
      </c>
      <c r="D10" s="105">
        <f t="shared" si="1"/>
        <v>8</v>
      </c>
      <c r="E10" s="107">
        <v>10</v>
      </c>
      <c r="F10" s="105">
        <f t="shared" si="2"/>
        <v>2.3333333333333335</v>
      </c>
      <c r="G10" s="105">
        <f t="shared" si="3"/>
        <v>6</v>
      </c>
      <c r="J10" s="235"/>
      <c r="K10" s="66" t="s">
        <v>410</v>
      </c>
      <c r="L10" s="64">
        <v>1</v>
      </c>
      <c r="M10" s="64">
        <v>3</v>
      </c>
      <c r="N10" s="104">
        <v>1.3</v>
      </c>
      <c r="O10" s="64">
        <v>2</v>
      </c>
      <c r="Q10" s="234" t="s">
        <v>411</v>
      </c>
      <c r="R10" s="234"/>
      <c r="S10" s="234"/>
    </row>
    <row r="11" spans="1:19">
      <c r="A11" s="66" t="s">
        <v>412</v>
      </c>
      <c r="B11" s="63">
        <v>30</v>
      </c>
      <c r="C11" s="105">
        <f t="shared" si="0"/>
        <v>2</v>
      </c>
      <c r="D11" s="105">
        <f t="shared" si="1"/>
        <v>4</v>
      </c>
      <c r="E11" s="107">
        <v>10</v>
      </c>
      <c r="F11" s="105">
        <f t="shared" si="2"/>
        <v>1.8418114143920596</v>
      </c>
      <c r="G11" s="105">
        <f t="shared" si="3"/>
        <v>3</v>
      </c>
      <c r="J11" s="235"/>
      <c r="K11" s="66" t="s">
        <v>412</v>
      </c>
      <c r="L11" s="64">
        <v>2</v>
      </c>
      <c r="M11" s="64">
        <v>4</v>
      </c>
      <c r="N11" s="104">
        <v>1.6451612903225807</v>
      </c>
      <c r="O11" s="64">
        <v>3</v>
      </c>
      <c r="Q11" s="234"/>
      <c r="R11" s="234"/>
      <c r="S11" s="234"/>
    </row>
    <row r="12" spans="1:19">
      <c r="A12" s="66" t="s">
        <v>413</v>
      </c>
      <c r="B12" s="63">
        <v>30</v>
      </c>
      <c r="C12" s="105">
        <f t="shared" si="0"/>
        <v>1.5</v>
      </c>
      <c r="D12" s="105">
        <f t="shared" si="1"/>
        <v>91</v>
      </c>
      <c r="E12" s="107">
        <v>10</v>
      </c>
      <c r="F12" s="105">
        <f t="shared" si="2"/>
        <v>1.4166666666666667</v>
      </c>
      <c r="G12" s="105">
        <f t="shared" si="3"/>
        <v>3</v>
      </c>
      <c r="J12" s="235"/>
      <c r="K12" s="66" t="s">
        <v>413</v>
      </c>
      <c r="L12" s="64">
        <v>1</v>
      </c>
      <c r="M12" s="64">
        <v>91</v>
      </c>
      <c r="N12" s="104">
        <v>0.76666666666666672</v>
      </c>
      <c r="O12" s="64">
        <v>3</v>
      </c>
      <c r="Q12" s="234"/>
      <c r="R12" s="234"/>
      <c r="S12" s="234"/>
    </row>
    <row r="13" spans="1:19" ht="14.25" customHeight="1">
      <c r="A13" s="66" t="s">
        <v>414</v>
      </c>
      <c r="B13" s="63">
        <v>30</v>
      </c>
      <c r="C13" s="105">
        <f t="shared" si="0"/>
        <v>1</v>
      </c>
      <c r="D13" s="105">
        <f t="shared" si="1"/>
        <v>15</v>
      </c>
      <c r="E13" s="107">
        <v>10</v>
      </c>
      <c r="F13" s="105">
        <f t="shared" si="2"/>
        <v>1.1301075268817204</v>
      </c>
      <c r="G13" s="105">
        <f t="shared" si="3"/>
        <v>8</v>
      </c>
      <c r="J13" s="235"/>
      <c r="K13" s="66" t="s">
        <v>414</v>
      </c>
      <c r="L13" s="64">
        <v>0</v>
      </c>
      <c r="M13" s="64">
        <v>1</v>
      </c>
      <c r="N13" s="104">
        <v>0.19354838709677419</v>
      </c>
      <c r="O13" s="64">
        <v>1</v>
      </c>
      <c r="Q13" s="234" t="s">
        <v>415</v>
      </c>
      <c r="R13" s="234"/>
      <c r="S13" s="234"/>
    </row>
    <row r="14" spans="1:19">
      <c r="A14" s="66" t="s">
        <v>416</v>
      </c>
      <c r="B14" s="63">
        <v>30</v>
      </c>
      <c r="C14" s="105">
        <f t="shared" si="0"/>
        <v>1.5</v>
      </c>
      <c r="D14" s="105">
        <f t="shared" si="1"/>
        <v>7</v>
      </c>
      <c r="E14" s="107">
        <v>10</v>
      </c>
      <c r="F14" s="105">
        <f t="shared" si="2"/>
        <v>1.0051282051282051</v>
      </c>
      <c r="G14" s="105">
        <f t="shared" si="3"/>
        <v>3</v>
      </c>
      <c r="J14" s="235"/>
      <c r="K14" s="66" t="s">
        <v>416</v>
      </c>
      <c r="L14" s="64">
        <v>1</v>
      </c>
      <c r="M14" s="64">
        <v>6</v>
      </c>
      <c r="N14" s="104">
        <v>0.43333333333333335</v>
      </c>
      <c r="O14" s="64">
        <v>1</v>
      </c>
      <c r="Q14" s="234"/>
      <c r="R14" s="234"/>
      <c r="S14" s="234"/>
    </row>
    <row r="15" spans="1:19">
      <c r="A15" s="66" t="s">
        <v>417</v>
      </c>
      <c r="B15" s="63">
        <v>30</v>
      </c>
      <c r="C15" s="105">
        <f t="shared" si="0"/>
        <v>1</v>
      </c>
      <c r="D15" s="105">
        <f t="shared" si="1"/>
        <v>4</v>
      </c>
      <c r="E15" s="107">
        <v>10</v>
      </c>
      <c r="F15" s="105">
        <f t="shared" si="2"/>
        <v>0.17499999999999999</v>
      </c>
      <c r="G15" s="105">
        <f t="shared" si="3"/>
        <v>1</v>
      </c>
      <c r="J15" s="235"/>
      <c r="K15" s="66" t="s">
        <v>417</v>
      </c>
      <c r="L15" s="64">
        <v>1</v>
      </c>
      <c r="M15" s="64">
        <v>4</v>
      </c>
      <c r="N15" s="104">
        <v>0.1</v>
      </c>
      <c r="O15" s="64">
        <v>1</v>
      </c>
      <c r="Q15" s="234"/>
      <c r="R15" s="234"/>
      <c r="S15" s="234"/>
    </row>
    <row r="16" spans="1:19">
      <c r="A16" s="66" t="s">
        <v>418</v>
      </c>
      <c r="B16" s="63">
        <v>30</v>
      </c>
      <c r="C16" s="105">
        <f t="shared" si="0"/>
        <v>0.5</v>
      </c>
      <c r="D16" s="105">
        <f t="shared" si="1"/>
        <v>7</v>
      </c>
      <c r="E16" s="107">
        <v>10</v>
      </c>
      <c r="F16" s="105">
        <f t="shared" si="2"/>
        <v>0.26785714285714285</v>
      </c>
      <c r="G16" s="105">
        <f t="shared" si="3"/>
        <v>1</v>
      </c>
      <c r="J16" s="235"/>
      <c r="K16" s="66" t="s">
        <v>418</v>
      </c>
      <c r="L16" s="64">
        <v>0</v>
      </c>
      <c r="M16" s="64">
        <v>2</v>
      </c>
      <c r="N16" s="104">
        <v>0</v>
      </c>
      <c r="O16" s="64">
        <v>0</v>
      </c>
      <c r="Q16" s="234"/>
      <c r="R16" s="234"/>
      <c r="S16" s="234"/>
    </row>
    <row r="17" spans="1:15">
      <c r="A17" s="66" t="s">
        <v>419</v>
      </c>
      <c r="B17" s="63">
        <v>30</v>
      </c>
      <c r="C17" s="105">
        <f t="shared" si="0"/>
        <v>0.5</v>
      </c>
      <c r="D17" s="105">
        <f t="shared" si="1"/>
        <v>2</v>
      </c>
      <c r="E17" s="107">
        <v>10</v>
      </c>
      <c r="F17" s="105">
        <f t="shared" si="2"/>
        <v>0.25925925925925924</v>
      </c>
      <c r="G17" s="105">
        <f t="shared" si="3"/>
        <v>1</v>
      </c>
      <c r="J17" s="235"/>
      <c r="K17" s="66" t="s">
        <v>419</v>
      </c>
      <c r="L17" s="64">
        <v>0</v>
      </c>
      <c r="M17" s="64">
        <v>1</v>
      </c>
      <c r="N17" s="104">
        <v>0</v>
      </c>
      <c r="O17" s="64">
        <v>0</v>
      </c>
    </row>
    <row r="18" spans="1:15">
      <c r="A18" s="66" t="s">
        <v>420</v>
      </c>
      <c r="B18" s="63">
        <v>30</v>
      </c>
      <c r="C18" s="105">
        <f t="shared" si="0"/>
        <v>0.5</v>
      </c>
      <c r="D18" s="105">
        <f t="shared" si="1"/>
        <v>17</v>
      </c>
      <c r="E18" s="107">
        <v>10</v>
      </c>
      <c r="F18" s="105">
        <f t="shared" si="2"/>
        <v>0.27571428571428569</v>
      </c>
      <c r="G18" s="105">
        <f t="shared" si="3"/>
        <v>2</v>
      </c>
      <c r="H18" s="111"/>
      <c r="J18" s="235"/>
      <c r="K18" s="66" t="s">
        <v>420</v>
      </c>
      <c r="L18" s="64">
        <v>0</v>
      </c>
      <c r="M18" s="64">
        <v>4</v>
      </c>
      <c r="N18" s="104">
        <v>7.1428571428571425E-2</v>
      </c>
      <c r="O18" s="64">
        <v>1</v>
      </c>
    </row>
    <row r="19" spans="1:15">
      <c r="J19" s="235"/>
      <c r="K19" s="62" t="s">
        <v>312</v>
      </c>
      <c r="L19" s="62">
        <f>AVERAGE(L7:L18)</f>
        <v>0.75</v>
      </c>
      <c r="M19" s="62">
        <f>MAX(M7:M18)</f>
        <v>91</v>
      </c>
      <c r="N19" s="110">
        <f>AVERAGE(N7:N18)</f>
        <v>0.69484838140752114</v>
      </c>
      <c r="O19" s="62">
        <f>MAX(O7:O18)</f>
        <v>4</v>
      </c>
    </row>
    <row r="21" spans="1:15" ht="41.45">
      <c r="J21" s="61">
        <f>+A6</f>
        <v>2022</v>
      </c>
      <c r="K21" s="61" t="s">
        <v>403</v>
      </c>
      <c r="L21" s="67" t="s">
        <v>398</v>
      </c>
      <c r="M21" s="67" t="s">
        <v>404</v>
      </c>
      <c r="N21" s="67" t="s">
        <v>401</v>
      </c>
      <c r="O21" s="67" t="s">
        <v>405</v>
      </c>
    </row>
    <row r="22" spans="1:15">
      <c r="J22" s="235" t="s">
        <v>188</v>
      </c>
      <c r="K22" s="66" t="s">
        <v>406</v>
      </c>
      <c r="L22" s="64">
        <v>1</v>
      </c>
      <c r="M22" s="64">
        <v>2</v>
      </c>
      <c r="N22" s="104">
        <v>1</v>
      </c>
      <c r="O22" s="64">
        <v>1</v>
      </c>
    </row>
    <row r="23" spans="1:15">
      <c r="J23" s="235"/>
      <c r="K23" s="66" t="s">
        <v>407</v>
      </c>
      <c r="L23" s="64">
        <v>0</v>
      </c>
      <c r="M23" s="64">
        <v>1</v>
      </c>
      <c r="N23" s="104">
        <v>0.42857142857142855</v>
      </c>
      <c r="O23" s="64">
        <v>1</v>
      </c>
    </row>
    <row r="24" spans="1:15">
      <c r="J24" s="235"/>
      <c r="K24" s="66" t="s">
        <v>408</v>
      </c>
      <c r="L24" s="64">
        <v>1</v>
      </c>
      <c r="M24" s="64">
        <v>3</v>
      </c>
      <c r="N24" s="104">
        <v>0.95833333333333337</v>
      </c>
      <c r="O24" s="64">
        <v>2</v>
      </c>
    </row>
    <row r="25" spans="1:15">
      <c r="J25" s="235"/>
      <c r="K25" s="66" t="s">
        <v>410</v>
      </c>
      <c r="L25" s="64">
        <v>3</v>
      </c>
      <c r="M25" s="64">
        <v>8</v>
      </c>
      <c r="N25" s="104">
        <v>3.3666666666666667</v>
      </c>
      <c r="O25" s="64">
        <v>6</v>
      </c>
    </row>
    <row r="26" spans="1:15">
      <c r="J26" s="235"/>
      <c r="K26" s="66" t="s">
        <v>412</v>
      </c>
      <c r="L26" s="64">
        <v>2</v>
      </c>
      <c r="M26" s="64">
        <v>4</v>
      </c>
      <c r="N26" s="104">
        <v>2.0384615384615383</v>
      </c>
      <c r="O26" s="64">
        <v>3</v>
      </c>
    </row>
    <row r="27" spans="1:15">
      <c r="J27" s="235"/>
      <c r="K27" s="66" t="s">
        <v>413</v>
      </c>
      <c r="L27" s="64">
        <v>2</v>
      </c>
      <c r="M27" s="64">
        <v>6</v>
      </c>
      <c r="N27" s="104">
        <v>2.0666666666666669</v>
      </c>
      <c r="O27" s="64">
        <v>3</v>
      </c>
    </row>
    <row r="28" spans="1:15">
      <c r="J28" s="235"/>
      <c r="K28" s="66" t="s">
        <v>414</v>
      </c>
      <c r="L28" s="64">
        <v>2</v>
      </c>
      <c r="M28" s="64">
        <v>15</v>
      </c>
      <c r="N28" s="104">
        <v>2.0666666666666669</v>
      </c>
      <c r="O28" s="64">
        <v>8</v>
      </c>
    </row>
    <row r="29" spans="1:15">
      <c r="J29" s="235"/>
      <c r="K29" s="66" t="s">
        <v>416</v>
      </c>
      <c r="L29" s="64">
        <v>2</v>
      </c>
      <c r="M29" s="64">
        <v>7</v>
      </c>
      <c r="N29" s="104">
        <v>1.5769230769230769</v>
      </c>
      <c r="O29" s="64">
        <v>3</v>
      </c>
    </row>
    <row r="30" spans="1:15">
      <c r="J30" s="235"/>
      <c r="K30" s="66" t="s">
        <v>417</v>
      </c>
      <c r="L30" s="64">
        <v>1</v>
      </c>
      <c r="M30" s="64">
        <v>2</v>
      </c>
      <c r="N30" s="104">
        <v>0.25</v>
      </c>
      <c r="O30" s="64">
        <v>1</v>
      </c>
    </row>
    <row r="31" spans="1:15">
      <c r="J31" s="235"/>
      <c r="K31" s="66" t="s">
        <v>418</v>
      </c>
      <c r="L31" s="64">
        <v>1</v>
      </c>
      <c r="M31" s="64">
        <v>7</v>
      </c>
      <c r="N31" s="104">
        <v>0.5357142857142857</v>
      </c>
      <c r="O31" s="64">
        <v>1</v>
      </c>
    </row>
    <row r="32" spans="1:15">
      <c r="J32" s="235"/>
      <c r="K32" s="66" t="s">
        <v>419</v>
      </c>
      <c r="L32" s="64">
        <v>1</v>
      </c>
      <c r="M32" s="64">
        <v>2</v>
      </c>
      <c r="N32" s="104">
        <v>0.51851851851851849</v>
      </c>
      <c r="O32" s="64">
        <v>1</v>
      </c>
    </row>
    <row r="33" spans="1:15">
      <c r="J33" s="235"/>
      <c r="K33" s="66" t="s">
        <v>420</v>
      </c>
      <c r="L33" s="64">
        <v>1</v>
      </c>
      <c r="M33" s="64">
        <v>17</v>
      </c>
      <c r="N33" s="104">
        <v>0.48</v>
      </c>
      <c r="O33" s="64">
        <v>2</v>
      </c>
    </row>
    <row r="34" spans="1:15">
      <c r="J34" s="235"/>
      <c r="K34" s="62" t="s">
        <v>312</v>
      </c>
      <c r="L34" s="110">
        <f>AVERAGE(L22:L33)</f>
        <v>1.4166666666666667</v>
      </c>
      <c r="M34" s="62">
        <f>MAX(M22:M33)</f>
        <v>17</v>
      </c>
      <c r="N34" s="110">
        <f>AVERAGE(N22:N33)</f>
        <v>1.2738768484601819</v>
      </c>
      <c r="O34" s="62">
        <f>MAX(O22:O33)</f>
        <v>8</v>
      </c>
    </row>
    <row r="35" spans="1:15">
      <c r="B35" s="35" t="s">
        <v>8</v>
      </c>
    </row>
    <row r="36" spans="1:15">
      <c r="J36" s="61"/>
      <c r="K36" s="61"/>
      <c r="L36" s="67"/>
      <c r="M36" s="67"/>
      <c r="N36" s="67"/>
      <c r="O36" s="67"/>
    </row>
    <row r="37" spans="1:15">
      <c r="J37" s="235"/>
      <c r="K37" s="66"/>
      <c r="L37" s="64"/>
      <c r="M37" s="64"/>
      <c r="N37" s="64"/>
      <c r="O37" s="64"/>
    </row>
    <row r="38" spans="1:15">
      <c r="J38" s="235"/>
      <c r="K38" s="66"/>
      <c r="L38" s="64"/>
      <c r="M38" s="64"/>
      <c r="N38" s="64"/>
      <c r="O38" s="64"/>
    </row>
    <row r="39" spans="1:15">
      <c r="J39" s="235"/>
      <c r="K39" s="66"/>
      <c r="L39" s="64"/>
      <c r="M39" s="64"/>
      <c r="N39" s="64"/>
      <c r="O39" s="64"/>
    </row>
    <row r="40" spans="1:15">
      <c r="J40" s="235"/>
      <c r="K40" s="66"/>
      <c r="L40" s="64"/>
      <c r="M40" s="64"/>
      <c r="N40" s="64"/>
      <c r="O40" s="64"/>
    </row>
    <row r="41" spans="1:15">
      <c r="J41" s="235"/>
      <c r="K41" s="66"/>
      <c r="L41" s="64"/>
      <c r="M41" s="64"/>
      <c r="N41" s="64"/>
      <c r="O41" s="64"/>
    </row>
    <row r="42" spans="1:15">
      <c r="J42" s="235"/>
      <c r="K42" s="66"/>
      <c r="L42" s="64"/>
      <c r="M42" s="64"/>
      <c r="N42" s="64"/>
      <c r="O42" s="64"/>
    </row>
    <row r="43" spans="1:15">
      <c r="C43" s="35" t="s">
        <v>13</v>
      </c>
      <c r="J43" s="235"/>
      <c r="K43" s="66"/>
      <c r="L43" s="64"/>
      <c r="M43" s="64"/>
      <c r="N43" s="64"/>
      <c r="O43" s="64"/>
    </row>
    <row r="44" spans="1:15">
      <c r="J44" s="235"/>
      <c r="K44" s="66"/>
      <c r="L44" s="64"/>
      <c r="M44" s="64"/>
      <c r="N44" s="64"/>
      <c r="O44" s="64"/>
    </row>
    <row r="45" spans="1:15">
      <c r="C45" s="35" t="s">
        <v>15</v>
      </c>
      <c r="J45" s="235"/>
      <c r="K45" s="66"/>
      <c r="L45" s="64"/>
      <c r="M45" s="64"/>
      <c r="N45" s="64"/>
      <c r="O45" s="64"/>
    </row>
    <row r="46" spans="1:15">
      <c r="J46" s="235"/>
      <c r="K46" s="66"/>
      <c r="L46" s="64"/>
      <c r="M46" s="64"/>
      <c r="N46" s="64"/>
      <c r="O46" s="64"/>
    </row>
    <row r="47" spans="1:15">
      <c r="J47" s="235"/>
      <c r="K47" s="66"/>
      <c r="L47" s="64"/>
      <c r="M47" s="64"/>
      <c r="N47" s="64"/>
      <c r="O47" s="64"/>
    </row>
    <row r="48" spans="1:15">
      <c r="A48" s="247" t="s">
        <v>303</v>
      </c>
      <c r="B48" s="248"/>
      <c r="C48" s="248"/>
      <c r="D48" s="248"/>
      <c r="E48" s="248"/>
      <c r="F48" s="248"/>
      <c r="G48" s="249"/>
      <c r="J48" s="235"/>
      <c r="K48" s="66"/>
      <c r="L48" s="64"/>
      <c r="M48" s="64"/>
      <c r="N48" s="64"/>
      <c r="O48" s="64"/>
    </row>
    <row r="49" spans="1:15">
      <c r="A49" s="238"/>
      <c r="B49" s="239"/>
      <c r="C49" s="239"/>
      <c r="D49" s="239"/>
      <c r="E49" s="239"/>
      <c r="F49" s="239"/>
      <c r="G49" s="240"/>
      <c r="J49" s="235"/>
      <c r="K49" s="62"/>
      <c r="L49" s="62"/>
      <c r="M49" s="62"/>
      <c r="N49" s="62"/>
      <c r="O49" s="62"/>
    </row>
    <row r="50" spans="1:15">
      <c r="A50" s="241"/>
      <c r="B50" s="242"/>
      <c r="C50" s="242"/>
      <c r="D50" s="242"/>
      <c r="E50" s="242"/>
      <c r="F50" s="242"/>
      <c r="G50" s="243"/>
    </row>
    <row r="51" spans="1:15">
      <c r="A51" s="241"/>
      <c r="B51" s="242"/>
      <c r="C51" s="242"/>
      <c r="D51" s="242"/>
      <c r="E51" s="242"/>
      <c r="F51" s="242"/>
      <c r="G51" s="243"/>
      <c r="J51" s="61"/>
      <c r="K51" s="61"/>
      <c r="L51" s="67"/>
      <c r="M51" s="67"/>
      <c r="N51" s="67"/>
      <c r="O51" s="67"/>
    </row>
    <row r="52" spans="1:15">
      <c r="A52" s="244"/>
      <c r="B52" s="245"/>
      <c r="C52" s="245"/>
      <c r="D52" s="245"/>
      <c r="E52" s="245"/>
      <c r="F52" s="245"/>
      <c r="G52" s="246"/>
      <c r="J52" s="235"/>
      <c r="K52" s="66"/>
      <c r="L52" s="64"/>
      <c r="M52" s="64"/>
      <c r="N52" s="64"/>
      <c r="O52" s="64"/>
    </row>
    <row r="53" spans="1:15">
      <c r="J53" s="235"/>
      <c r="K53" s="66"/>
      <c r="L53" s="64"/>
      <c r="M53" s="64"/>
      <c r="N53" s="64"/>
      <c r="O53" s="64"/>
    </row>
    <row r="54" spans="1:15">
      <c r="J54" s="235"/>
      <c r="K54" s="66"/>
      <c r="L54" s="64"/>
      <c r="M54" s="64"/>
      <c r="N54" s="64"/>
      <c r="O54" s="64"/>
    </row>
    <row r="55" spans="1:15">
      <c r="J55" s="235"/>
      <c r="K55" s="66"/>
      <c r="L55" s="64"/>
      <c r="M55" s="64"/>
      <c r="N55" s="64"/>
      <c r="O55" s="64"/>
    </row>
    <row r="56" spans="1:15">
      <c r="J56" s="235"/>
      <c r="K56" s="66"/>
      <c r="L56" s="64"/>
      <c r="M56" s="64"/>
      <c r="N56" s="64"/>
      <c r="O56" s="64"/>
    </row>
    <row r="57" spans="1:15">
      <c r="J57" s="235"/>
      <c r="K57" s="66"/>
      <c r="L57" s="64"/>
      <c r="M57" s="64"/>
      <c r="N57" s="64"/>
      <c r="O57" s="64"/>
    </row>
    <row r="58" spans="1:15">
      <c r="J58" s="235"/>
      <c r="K58" s="66"/>
      <c r="L58" s="64"/>
      <c r="M58" s="64"/>
      <c r="N58" s="64"/>
      <c r="O58" s="64"/>
    </row>
    <row r="59" spans="1:15">
      <c r="J59" s="235"/>
      <c r="K59" s="66"/>
      <c r="L59" s="64"/>
      <c r="M59" s="64"/>
      <c r="N59" s="64"/>
      <c r="O59" s="64"/>
    </row>
    <row r="60" spans="1:15">
      <c r="J60" s="235"/>
      <c r="K60" s="66"/>
      <c r="L60" s="64"/>
      <c r="M60" s="64"/>
      <c r="N60" s="64"/>
      <c r="O60" s="64"/>
    </row>
    <row r="61" spans="1:15">
      <c r="J61" s="235"/>
      <c r="K61" s="66"/>
      <c r="L61" s="64"/>
      <c r="M61" s="64"/>
      <c r="N61" s="64"/>
      <c r="O61" s="64"/>
    </row>
    <row r="62" spans="1:15">
      <c r="J62" s="235"/>
      <c r="K62" s="66"/>
      <c r="L62" s="64"/>
      <c r="M62" s="64"/>
      <c r="N62" s="64"/>
      <c r="O62" s="64"/>
    </row>
    <row r="63" spans="1:15">
      <c r="J63" s="235"/>
      <c r="K63" s="66"/>
      <c r="L63" s="64"/>
      <c r="M63" s="64"/>
      <c r="N63" s="64"/>
      <c r="O63" s="64"/>
    </row>
    <row r="64" spans="1:15">
      <c r="J64" s="235"/>
      <c r="K64" s="62"/>
      <c r="L64" s="62"/>
      <c r="M64" s="62"/>
      <c r="N64" s="62"/>
      <c r="O64" s="62"/>
    </row>
    <row r="66" spans="10:15">
      <c r="J66" s="61"/>
      <c r="K66" s="61"/>
      <c r="L66" s="67"/>
      <c r="M66" s="67"/>
      <c r="N66" s="67"/>
      <c r="O66" s="67"/>
    </row>
    <row r="67" spans="10:15">
      <c r="J67" s="235"/>
      <c r="K67" s="66"/>
      <c r="L67" s="64"/>
      <c r="M67" s="64"/>
      <c r="N67" s="64"/>
      <c r="O67" s="64"/>
    </row>
    <row r="68" spans="10:15">
      <c r="J68" s="235"/>
      <c r="K68" s="66"/>
      <c r="L68" s="64"/>
      <c r="M68" s="64"/>
      <c r="N68" s="64"/>
      <c r="O68" s="64"/>
    </row>
    <row r="69" spans="10:15">
      <c r="J69" s="235"/>
      <c r="K69" s="66"/>
      <c r="L69" s="64"/>
      <c r="M69" s="64"/>
      <c r="N69" s="64"/>
      <c r="O69" s="64"/>
    </row>
    <row r="70" spans="10:15">
      <c r="J70" s="235"/>
      <c r="K70" s="66"/>
      <c r="L70" s="64"/>
      <c r="M70" s="64"/>
      <c r="N70" s="64"/>
      <c r="O70" s="64"/>
    </row>
    <row r="71" spans="10:15">
      <c r="J71" s="235"/>
      <c r="K71" s="66"/>
      <c r="L71" s="64"/>
      <c r="M71" s="64"/>
      <c r="N71" s="64"/>
      <c r="O71" s="64"/>
    </row>
    <row r="72" spans="10:15">
      <c r="J72" s="235"/>
      <c r="K72" s="66"/>
      <c r="L72" s="64"/>
      <c r="M72" s="64"/>
      <c r="N72" s="64"/>
      <c r="O72" s="64"/>
    </row>
    <row r="73" spans="10:15">
      <c r="J73" s="235"/>
      <c r="K73" s="66"/>
      <c r="L73" s="64"/>
      <c r="M73" s="64"/>
      <c r="N73" s="64"/>
      <c r="O73" s="64"/>
    </row>
    <row r="74" spans="10:15">
      <c r="J74" s="235"/>
      <c r="K74" s="66"/>
      <c r="L74" s="64"/>
      <c r="M74" s="64"/>
      <c r="N74" s="64"/>
      <c r="O74" s="64"/>
    </row>
    <row r="75" spans="10:15">
      <c r="J75" s="235"/>
      <c r="K75" s="66"/>
      <c r="L75" s="64"/>
      <c r="M75" s="64"/>
      <c r="N75" s="64"/>
      <c r="O75" s="64"/>
    </row>
    <row r="76" spans="10:15">
      <c r="J76" s="235"/>
      <c r="K76" s="66"/>
      <c r="L76" s="64"/>
      <c r="M76" s="64"/>
      <c r="N76" s="64"/>
      <c r="O76" s="64"/>
    </row>
    <row r="77" spans="10:15">
      <c r="J77" s="235"/>
      <c r="K77" s="66"/>
      <c r="L77" s="64"/>
      <c r="M77" s="64"/>
      <c r="N77" s="64"/>
      <c r="O77" s="64"/>
    </row>
    <row r="78" spans="10:15">
      <c r="J78" s="235"/>
      <c r="K78" s="66"/>
      <c r="L78" s="64"/>
      <c r="M78" s="64"/>
      <c r="N78" s="64"/>
      <c r="O78" s="64"/>
    </row>
    <row r="79" spans="10:15">
      <c r="J79" s="235"/>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view="pageBreakPreview" zoomScale="60" zoomScaleNormal="100" workbookViewId="0">
      <selection activeCell="B35" sqref="B35:I35"/>
    </sheetView>
  </sheetViews>
  <sheetFormatPr defaultRowHeight="13.9"/>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3" t="str">
        <f>+'Cover Page'!$B$29</f>
        <v>Annual Performance Report 2022</v>
      </c>
      <c r="B1" s="93"/>
      <c r="C1" s="93"/>
      <c r="D1" s="93"/>
      <c r="E1" s="93" t="str">
        <f>+'Cover Page'!$B$33</f>
        <v>Wolverhampton Energy from Waste Facility</v>
      </c>
    </row>
    <row r="3" spans="1:21" ht="14.45">
      <c r="A3" s="60" t="s">
        <v>433</v>
      </c>
      <c r="E3" s="76" t="s">
        <v>390</v>
      </c>
      <c r="H3" s="80" t="s">
        <v>434</v>
      </c>
      <c r="J3" s="9" t="str">
        <f>+A3</f>
        <v>Monitoring of Carbon Monoxide (10-minute avg)</v>
      </c>
      <c r="L3" s="9"/>
      <c r="O3" s="9" t="s">
        <v>392</v>
      </c>
      <c r="Q3" s="77" t="s">
        <v>3</v>
      </c>
      <c r="S3" s="79" t="s">
        <v>3</v>
      </c>
      <c r="T3" s="74"/>
      <c r="U3" s="74"/>
    </row>
    <row r="4" spans="1:21" ht="13.9" customHeight="1">
      <c r="S4" s="226" t="s">
        <v>435</v>
      </c>
      <c r="T4" s="226"/>
      <c r="U4" s="226"/>
    </row>
    <row r="5" spans="1:21" ht="16.149999999999999">
      <c r="A5" s="68" t="s">
        <v>394</v>
      </c>
      <c r="B5" s="237" t="s">
        <v>436</v>
      </c>
      <c r="C5" s="237"/>
      <c r="D5" s="237"/>
      <c r="E5" s="237"/>
      <c r="F5" s="237" t="s">
        <v>396</v>
      </c>
      <c r="G5" s="237"/>
      <c r="H5" s="237"/>
      <c r="K5" s="236"/>
      <c r="L5" s="236"/>
      <c r="M5" s="236"/>
      <c r="N5" s="236"/>
      <c r="O5" s="236"/>
      <c r="P5" s="236"/>
      <c r="Q5" s="236"/>
      <c r="S5" s="226"/>
      <c r="T5" s="226"/>
      <c r="U5" s="226"/>
    </row>
    <row r="6" spans="1:21" s="58" customFormat="1" ht="37.5" customHeight="1">
      <c r="A6" s="65">
        <f>+'Cover Page'!C39</f>
        <v>2022</v>
      </c>
      <c r="B6" s="55" t="s">
        <v>437</v>
      </c>
      <c r="C6" s="55" t="s">
        <v>438</v>
      </c>
      <c r="D6" s="55" t="s">
        <v>439</v>
      </c>
      <c r="E6" s="55" t="s">
        <v>440</v>
      </c>
      <c r="F6" s="55" t="s">
        <v>441</v>
      </c>
      <c r="G6" s="55" t="s">
        <v>401</v>
      </c>
      <c r="H6" s="55" t="s">
        <v>402</v>
      </c>
      <c r="I6" s="59"/>
      <c r="K6" s="61">
        <f>+A6</f>
        <v>2022</v>
      </c>
      <c r="L6" s="61" t="s">
        <v>403</v>
      </c>
      <c r="M6" s="55" t="s">
        <v>438</v>
      </c>
      <c r="N6" s="55" t="s">
        <v>439</v>
      </c>
      <c r="O6" s="55" t="s">
        <v>440</v>
      </c>
      <c r="P6" s="67" t="s">
        <v>401</v>
      </c>
      <c r="Q6" s="67" t="s">
        <v>405</v>
      </c>
      <c r="S6" s="226"/>
      <c r="T6" s="226"/>
      <c r="U6" s="226"/>
    </row>
    <row r="7" spans="1:21">
      <c r="A7" s="66" t="s">
        <v>406</v>
      </c>
      <c r="B7" s="69">
        <v>150</v>
      </c>
      <c r="C7" s="105">
        <f>MAX(M7,M22)</f>
        <v>39</v>
      </c>
      <c r="D7" s="105">
        <f>AVERAGE(N7,N22)</f>
        <v>9.5</v>
      </c>
      <c r="E7" s="105">
        <f>MAX(O7,O22)</f>
        <v>21</v>
      </c>
      <c r="F7" s="106">
        <v>50</v>
      </c>
      <c r="G7" s="105">
        <f>AVERAGE(P7,P22)</f>
        <v>9.712664277180405</v>
      </c>
      <c r="H7" s="105">
        <f>MAX(Q7,Q22)</f>
        <v>21</v>
      </c>
      <c r="K7" s="235" t="s">
        <v>187</v>
      </c>
      <c r="L7" s="66" t="s">
        <v>406</v>
      </c>
      <c r="M7" s="64">
        <v>39</v>
      </c>
      <c r="N7" s="64">
        <v>12</v>
      </c>
      <c r="O7" s="64">
        <v>21</v>
      </c>
      <c r="P7" s="105">
        <v>12.296296296296296</v>
      </c>
      <c r="Q7" s="64">
        <v>21</v>
      </c>
      <c r="S7" s="226"/>
      <c r="T7" s="226"/>
      <c r="U7" s="226"/>
    </row>
    <row r="8" spans="1:21">
      <c r="A8" s="66" t="s">
        <v>407</v>
      </c>
      <c r="B8" s="63">
        <f>+B7</f>
        <v>150</v>
      </c>
      <c r="C8" s="105">
        <f t="shared" ref="C8:C18" si="0">MAX(M8,M23)</f>
        <v>52</v>
      </c>
      <c r="D8" s="105">
        <f t="shared" ref="D8:D18" si="1">AVERAGE(N8,N23)</f>
        <v>7.5</v>
      </c>
      <c r="E8" s="105">
        <f t="shared" ref="E8:E18" si="2">MAX(O8,O23)</f>
        <v>18</v>
      </c>
      <c r="F8" s="107">
        <f>+F7</f>
        <v>50</v>
      </c>
      <c r="G8" s="105">
        <f t="shared" ref="G8:G18" si="3">AVERAGE(P8,P23)</f>
        <v>7.5535714285714288</v>
      </c>
      <c r="H8" s="105">
        <f t="shared" ref="H8:H18" si="4">MAX(Q8,Q23)</f>
        <v>18</v>
      </c>
      <c r="K8" s="235"/>
      <c r="L8" s="66" t="s">
        <v>407</v>
      </c>
      <c r="M8" s="64">
        <v>28</v>
      </c>
      <c r="N8" s="64">
        <v>9</v>
      </c>
      <c r="O8" s="64">
        <v>18</v>
      </c>
      <c r="P8" s="105">
        <v>8.8571428571428577</v>
      </c>
      <c r="Q8" s="64">
        <v>18</v>
      </c>
      <c r="S8" s="226"/>
      <c r="T8" s="226"/>
      <c r="U8" s="226"/>
    </row>
    <row r="9" spans="1:21">
      <c r="A9" s="66" t="s">
        <v>408</v>
      </c>
      <c r="B9" s="63">
        <f t="shared" ref="B9:B18" si="5">+B8</f>
        <v>150</v>
      </c>
      <c r="C9" s="105">
        <f t="shared" si="0"/>
        <v>88</v>
      </c>
      <c r="D9" s="105">
        <f t="shared" si="1"/>
        <v>7</v>
      </c>
      <c r="E9" s="105">
        <f t="shared" si="2"/>
        <v>24</v>
      </c>
      <c r="F9" s="107">
        <f t="shared" ref="F9:F18" si="6">+F8</f>
        <v>50</v>
      </c>
      <c r="G9" s="105">
        <f t="shared" si="3"/>
        <v>6.9178571428571427</v>
      </c>
      <c r="H9" s="105">
        <f t="shared" si="4"/>
        <v>24</v>
      </c>
      <c r="K9" s="235"/>
      <c r="L9" s="66" t="s">
        <v>408</v>
      </c>
      <c r="M9" s="64">
        <v>63</v>
      </c>
      <c r="N9" s="64">
        <v>8</v>
      </c>
      <c r="O9" s="64">
        <v>14</v>
      </c>
      <c r="P9" s="105">
        <v>7.8</v>
      </c>
      <c r="Q9" s="64">
        <v>17</v>
      </c>
      <c r="S9" s="78" t="s">
        <v>442</v>
      </c>
    </row>
    <row r="10" spans="1:21">
      <c r="A10" s="66" t="s">
        <v>410</v>
      </c>
      <c r="B10" s="63">
        <f t="shared" si="5"/>
        <v>150</v>
      </c>
      <c r="C10" s="105">
        <f t="shared" si="0"/>
        <v>33</v>
      </c>
      <c r="D10" s="105">
        <f t="shared" si="1"/>
        <v>6</v>
      </c>
      <c r="E10" s="105">
        <f t="shared" si="2"/>
        <v>12</v>
      </c>
      <c r="F10" s="107">
        <f t="shared" si="6"/>
        <v>50</v>
      </c>
      <c r="G10" s="105">
        <f t="shared" si="3"/>
        <v>6.05</v>
      </c>
      <c r="H10" s="105">
        <f t="shared" si="4"/>
        <v>12</v>
      </c>
      <c r="K10" s="235"/>
      <c r="L10" s="66" t="s">
        <v>410</v>
      </c>
      <c r="M10" s="64">
        <v>33</v>
      </c>
      <c r="N10" s="64">
        <v>6</v>
      </c>
      <c r="O10" s="64">
        <v>12</v>
      </c>
      <c r="P10" s="105">
        <v>6.333333333333333</v>
      </c>
      <c r="Q10" s="64">
        <v>12</v>
      </c>
      <c r="S10" s="234" t="s">
        <v>443</v>
      </c>
      <c r="T10" s="234"/>
      <c r="U10" s="234"/>
    </row>
    <row r="11" spans="1:21">
      <c r="A11" s="66" t="s">
        <v>412</v>
      </c>
      <c r="B11" s="63">
        <f t="shared" si="5"/>
        <v>150</v>
      </c>
      <c r="C11" s="105">
        <f t="shared" si="0"/>
        <v>51</v>
      </c>
      <c r="D11" s="105">
        <f t="shared" si="1"/>
        <v>5.5</v>
      </c>
      <c r="E11" s="105">
        <f t="shared" si="2"/>
        <v>14</v>
      </c>
      <c r="F11" s="107">
        <f t="shared" si="6"/>
        <v>50</v>
      </c>
      <c r="G11" s="105">
        <f t="shared" si="3"/>
        <v>5.5471464019851116</v>
      </c>
      <c r="H11" s="105">
        <f t="shared" si="4"/>
        <v>14</v>
      </c>
      <c r="K11" s="235"/>
      <c r="L11" s="66" t="s">
        <v>412</v>
      </c>
      <c r="M11" s="64">
        <v>51</v>
      </c>
      <c r="N11" s="64">
        <v>7</v>
      </c>
      <c r="O11" s="64">
        <v>14</v>
      </c>
      <c r="P11" s="105">
        <v>6.709677419354839</v>
      </c>
      <c r="Q11" s="64">
        <v>14</v>
      </c>
      <c r="S11" s="234"/>
      <c r="T11" s="234"/>
      <c r="U11" s="234"/>
    </row>
    <row r="12" spans="1:21">
      <c r="A12" s="66" t="s">
        <v>413</v>
      </c>
      <c r="B12" s="63">
        <f t="shared" si="5"/>
        <v>150</v>
      </c>
      <c r="C12" s="105">
        <f t="shared" si="0"/>
        <v>31</v>
      </c>
      <c r="D12" s="105">
        <f t="shared" si="1"/>
        <v>4.5</v>
      </c>
      <c r="E12" s="105">
        <f t="shared" si="2"/>
        <v>11</v>
      </c>
      <c r="F12" s="107">
        <f t="shared" si="6"/>
        <v>50</v>
      </c>
      <c r="G12" s="105">
        <f t="shared" si="3"/>
        <v>4.158620689655173</v>
      </c>
      <c r="H12" s="105">
        <f t="shared" si="4"/>
        <v>11</v>
      </c>
      <c r="K12" s="235"/>
      <c r="L12" s="66" t="s">
        <v>413</v>
      </c>
      <c r="M12" s="64">
        <v>22</v>
      </c>
      <c r="N12" s="64">
        <v>4</v>
      </c>
      <c r="O12" s="64">
        <v>11</v>
      </c>
      <c r="P12" s="105">
        <v>3.8</v>
      </c>
      <c r="Q12" s="64">
        <v>11</v>
      </c>
      <c r="S12" s="234"/>
      <c r="T12" s="234"/>
      <c r="U12" s="234"/>
    </row>
    <row r="13" spans="1:21">
      <c r="A13" s="66" t="s">
        <v>414</v>
      </c>
      <c r="B13" s="63">
        <f t="shared" si="5"/>
        <v>150</v>
      </c>
      <c r="C13" s="105">
        <f t="shared" si="0"/>
        <v>171</v>
      </c>
      <c r="D13" s="105">
        <f t="shared" si="1"/>
        <v>5.5</v>
      </c>
      <c r="E13" s="105">
        <f t="shared" si="2"/>
        <v>33</v>
      </c>
      <c r="F13" s="107">
        <f t="shared" si="6"/>
        <v>50</v>
      </c>
      <c r="G13" s="105">
        <f t="shared" si="3"/>
        <v>5.5268817204301079</v>
      </c>
      <c r="H13" s="105">
        <f t="shared" si="4"/>
        <v>33</v>
      </c>
      <c r="K13" s="235"/>
      <c r="L13" s="66" t="s">
        <v>414</v>
      </c>
      <c r="M13" s="64">
        <v>171</v>
      </c>
      <c r="N13" s="64">
        <v>5</v>
      </c>
      <c r="O13" s="64">
        <v>33</v>
      </c>
      <c r="P13" s="105">
        <v>5.387096774193548</v>
      </c>
      <c r="Q13" s="64">
        <v>33</v>
      </c>
      <c r="S13" s="234" t="s">
        <v>444</v>
      </c>
      <c r="T13" s="234"/>
      <c r="U13" s="234"/>
    </row>
    <row r="14" spans="1:21">
      <c r="A14" s="66" t="s">
        <v>416</v>
      </c>
      <c r="B14" s="63">
        <f t="shared" si="5"/>
        <v>150</v>
      </c>
      <c r="C14" s="105">
        <f t="shared" si="0"/>
        <v>48</v>
      </c>
      <c r="D14" s="105">
        <f t="shared" si="1"/>
        <v>7</v>
      </c>
      <c r="E14" s="105">
        <f t="shared" si="2"/>
        <v>14</v>
      </c>
      <c r="F14" s="107">
        <f t="shared" si="6"/>
        <v>50</v>
      </c>
      <c r="G14" s="105">
        <f t="shared" si="3"/>
        <v>6.8384615384615381</v>
      </c>
      <c r="H14" s="105">
        <f t="shared" si="4"/>
        <v>14</v>
      </c>
      <c r="K14" s="235"/>
      <c r="L14" s="66" t="s">
        <v>416</v>
      </c>
      <c r="M14" s="64">
        <v>48</v>
      </c>
      <c r="N14" s="64">
        <v>8</v>
      </c>
      <c r="O14" s="64">
        <v>14</v>
      </c>
      <c r="P14" s="105">
        <v>7.6</v>
      </c>
      <c r="Q14" s="64">
        <v>14</v>
      </c>
      <c r="S14" s="234"/>
      <c r="T14" s="234"/>
      <c r="U14" s="234"/>
    </row>
    <row r="15" spans="1:21">
      <c r="A15" s="66" t="s">
        <v>417</v>
      </c>
      <c r="B15" s="63">
        <f t="shared" si="5"/>
        <v>150</v>
      </c>
      <c r="C15" s="105">
        <f t="shared" si="0"/>
        <v>190</v>
      </c>
      <c r="D15" s="105">
        <f t="shared" si="1"/>
        <v>12.5</v>
      </c>
      <c r="E15" s="105">
        <f t="shared" si="2"/>
        <v>36</v>
      </c>
      <c r="F15" s="107">
        <f t="shared" si="6"/>
        <v>50</v>
      </c>
      <c r="G15" s="105">
        <f t="shared" si="3"/>
        <v>10.445454545454545</v>
      </c>
      <c r="H15" s="105">
        <f t="shared" si="4"/>
        <v>20</v>
      </c>
      <c r="K15" s="235"/>
      <c r="L15" s="66" t="s">
        <v>417</v>
      </c>
      <c r="M15" s="64">
        <v>190</v>
      </c>
      <c r="N15" s="64">
        <v>14</v>
      </c>
      <c r="O15" s="64">
        <v>36</v>
      </c>
      <c r="P15" s="105">
        <v>10.8</v>
      </c>
      <c r="Q15" s="64">
        <v>16</v>
      </c>
      <c r="S15" s="234"/>
      <c r="T15" s="234"/>
      <c r="U15" s="234"/>
    </row>
    <row r="16" spans="1:21">
      <c r="A16" s="66" t="s">
        <v>418</v>
      </c>
      <c r="B16" s="63">
        <f t="shared" si="5"/>
        <v>150</v>
      </c>
      <c r="C16" s="105">
        <f t="shared" si="0"/>
        <v>129</v>
      </c>
      <c r="D16" s="105">
        <f t="shared" si="1"/>
        <v>14.5</v>
      </c>
      <c r="E16" s="105">
        <f t="shared" si="2"/>
        <v>85</v>
      </c>
      <c r="F16" s="107">
        <f t="shared" si="6"/>
        <v>50</v>
      </c>
      <c r="G16" s="105">
        <f t="shared" si="3"/>
        <v>13.69001610305958</v>
      </c>
      <c r="H16" s="105">
        <f t="shared" si="4"/>
        <v>50</v>
      </c>
      <c r="K16" s="235"/>
      <c r="L16" s="66" t="s">
        <v>418</v>
      </c>
      <c r="M16" s="64">
        <v>129</v>
      </c>
      <c r="N16" s="64">
        <v>15</v>
      </c>
      <c r="O16" s="64">
        <v>45</v>
      </c>
      <c r="P16" s="105">
        <v>15.565217391304348</v>
      </c>
      <c r="Q16" s="64">
        <v>45</v>
      </c>
      <c r="S16" s="234"/>
      <c r="T16" s="234"/>
      <c r="U16" s="234"/>
    </row>
    <row r="17" spans="1:17">
      <c r="A17" s="66" t="s">
        <v>419</v>
      </c>
      <c r="B17" s="63">
        <f t="shared" si="5"/>
        <v>150</v>
      </c>
      <c r="C17" s="105">
        <f t="shared" si="0"/>
        <v>194</v>
      </c>
      <c r="D17" s="105">
        <f t="shared" si="1"/>
        <v>11.5</v>
      </c>
      <c r="E17" s="105">
        <f t="shared" si="2"/>
        <v>41</v>
      </c>
      <c r="F17" s="107">
        <f t="shared" si="6"/>
        <v>50</v>
      </c>
      <c r="G17" s="105">
        <f t="shared" si="3"/>
        <v>11.238603988603989</v>
      </c>
      <c r="H17" s="105">
        <f t="shared" si="4"/>
        <v>41</v>
      </c>
      <c r="K17" s="235"/>
      <c r="L17" s="66" t="s">
        <v>419</v>
      </c>
      <c r="M17" s="64">
        <v>169</v>
      </c>
      <c r="N17" s="64">
        <v>11</v>
      </c>
      <c r="O17" s="64">
        <v>36</v>
      </c>
      <c r="P17" s="105">
        <v>11.592592592592593</v>
      </c>
      <c r="Q17" s="64">
        <v>36</v>
      </c>
    </row>
    <row r="18" spans="1:17">
      <c r="A18" s="66" t="s">
        <v>420</v>
      </c>
      <c r="B18" s="63">
        <f t="shared" si="5"/>
        <v>150</v>
      </c>
      <c r="C18" s="105">
        <f t="shared" si="0"/>
        <v>57</v>
      </c>
      <c r="D18" s="105">
        <f t="shared" si="1"/>
        <v>9.5</v>
      </c>
      <c r="E18" s="105">
        <f t="shared" si="2"/>
        <v>23</v>
      </c>
      <c r="F18" s="107">
        <f t="shared" si="6"/>
        <v>50</v>
      </c>
      <c r="G18" s="105">
        <f t="shared" si="3"/>
        <v>9.4407142857142858</v>
      </c>
      <c r="H18" s="105">
        <f t="shared" si="4"/>
        <v>23</v>
      </c>
      <c r="K18" s="235"/>
      <c r="L18" s="66" t="s">
        <v>420</v>
      </c>
      <c r="M18" s="64">
        <v>47</v>
      </c>
      <c r="N18" s="64">
        <v>10</v>
      </c>
      <c r="O18" s="64">
        <v>16</v>
      </c>
      <c r="P18" s="105">
        <v>10.321428571428571</v>
      </c>
      <c r="Q18" s="64">
        <v>16</v>
      </c>
    </row>
    <row r="19" spans="1:17">
      <c r="K19" s="235"/>
      <c r="L19" s="62" t="s">
        <v>312</v>
      </c>
      <c r="M19" s="62">
        <f>AVERAGE(M7:M18)</f>
        <v>82.5</v>
      </c>
      <c r="N19" s="110">
        <f>AVERAGE(N7:N18)</f>
        <v>9.0833333333333339</v>
      </c>
      <c r="O19" s="62">
        <f>MAX(O7:O18)</f>
        <v>45</v>
      </c>
      <c r="P19" s="110">
        <f>AVERAGE(P7:P18)</f>
        <v>8.921898769637199</v>
      </c>
      <c r="Q19" s="62">
        <f>MAX(Q7:Q18)</f>
        <v>45</v>
      </c>
    </row>
    <row r="21" spans="1:17" ht="27.6">
      <c r="K21" s="61">
        <f>+A6</f>
        <v>2022</v>
      </c>
      <c r="L21" s="61" t="s">
        <v>403</v>
      </c>
      <c r="M21" s="55" t="s">
        <v>438</v>
      </c>
      <c r="N21" s="55" t="s">
        <v>439</v>
      </c>
      <c r="O21" s="55" t="s">
        <v>440</v>
      </c>
      <c r="P21" s="67" t="s">
        <v>401</v>
      </c>
      <c r="Q21" s="67" t="s">
        <v>405</v>
      </c>
    </row>
    <row r="22" spans="1:17">
      <c r="K22" s="235" t="s">
        <v>188</v>
      </c>
      <c r="L22" s="66" t="s">
        <v>406</v>
      </c>
      <c r="M22" s="64">
        <v>34</v>
      </c>
      <c r="N22" s="64">
        <v>7</v>
      </c>
      <c r="O22" s="64">
        <v>14</v>
      </c>
      <c r="P22" s="105">
        <v>7.129032258064516</v>
      </c>
      <c r="Q22" s="64">
        <v>14</v>
      </c>
    </row>
    <row r="23" spans="1:17">
      <c r="K23" s="235"/>
      <c r="L23" s="66" t="s">
        <v>407</v>
      </c>
      <c r="M23" s="64">
        <v>52</v>
      </c>
      <c r="N23" s="64">
        <v>6</v>
      </c>
      <c r="O23" s="64">
        <v>17</v>
      </c>
      <c r="P23" s="105">
        <v>6.25</v>
      </c>
      <c r="Q23" s="64">
        <v>17</v>
      </c>
    </row>
    <row r="24" spans="1:17">
      <c r="K24" s="235"/>
      <c r="L24" s="66" t="s">
        <v>408</v>
      </c>
      <c r="M24" s="64">
        <v>88</v>
      </c>
      <c r="N24" s="64">
        <v>6</v>
      </c>
      <c r="O24" s="64">
        <v>24</v>
      </c>
      <c r="P24" s="105">
        <v>6.0357142857142856</v>
      </c>
      <c r="Q24" s="64">
        <v>24</v>
      </c>
    </row>
    <row r="25" spans="1:17">
      <c r="K25" s="235"/>
      <c r="L25" s="66" t="s">
        <v>410</v>
      </c>
      <c r="M25" s="64">
        <v>33</v>
      </c>
      <c r="N25" s="64">
        <v>6</v>
      </c>
      <c r="O25" s="64">
        <v>10</v>
      </c>
      <c r="P25" s="105">
        <v>5.7666666666666666</v>
      </c>
      <c r="Q25" s="64">
        <v>10</v>
      </c>
    </row>
    <row r="26" spans="1:17">
      <c r="K26" s="235"/>
      <c r="L26" s="66" t="s">
        <v>412</v>
      </c>
      <c r="M26" s="64">
        <v>23</v>
      </c>
      <c r="N26" s="64">
        <v>4</v>
      </c>
      <c r="O26" s="64">
        <v>10</v>
      </c>
      <c r="P26" s="105">
        <v>4.384615384615385</v>
      </c>
      <c r="Q26" s="64">
        <v>10</v>
      </c>
    </row>
    <row r="27" spans="1:17">
      <c r="K27" s="235"/>
      <c r="L27" s="66" t="s">
        <v>413</v>
      </c>
      <c r="M27" s="64">
        <v>31</v>
      </c>
      <c r="N27" s="64">
        <v>5</v>
      </c>
      <c r="O27" s="64">
        <v>10</v>
      </c>
      <c r="P27" s="105">
        <v>4.5172413793103452</v>
      </c>
      <c r="Q27" s="64">
        <v>10</v>
      </c>
    </row>
    <row r="28" spans="1:17">
      <c r="K28" s="235"/>
      <c r="L28" s="66" t="s">
        <v>414</v>
      </c>
      <c r="M28" s="64">
        <v>23</v>
      </c>
      <c r="N28" s="64">
        <v>6</v>
      </c>
      <c r="O28" s="64">
        <v>10</v>
      </c>
      <c r="P28" s="105">
        <v>5.666666666666667</v>
      </c>
      <c r="Q28" s="64">
        <v>10</v>
      </c>
    </row>
    <row r="29" spans="1:17">
      <c r="K29" s="235"/>
      <c r="L29" s="66" t="s">
        <v>416</v>
      </c>
      <c r="M29" s="64">
        <v>17</v>
      </c>
      <c r="N29" s="64">
        <v>6</v>
      </c>
      <c r="O29" s="64">
        <v>8</v>
      </c>
      <c r="P29" s="105">
        <v>6.0769230769230766</v>
      </c>
      <c r="Q29" s="64">
        <v>8</v>
      </c>
    </row>
    <row r="30" spans="1:17">
      <c r="K30" s="235"/>
      <c r="L30" s="66" t="s">
        <v>417</v>
      </c>
      <c r="M30" s="64">
        <v>89</v>
      </c>
      <c r="N30" s="64">
        <v>11</v>
      </c>
      <c r="O30" s="64">
        <v>33</v>
      </c>
      <c r="P30" s="105">
        <v>10.090909090909092</v>
      </c>
      <c r="Q30" s="64">
        <v>20</v>
      </c>
    </row>
    <row r="31" spans="1:17">
      <c r="K31" s="235"/>
      <c r="L31" s="66" t="s">
        <v>418</v>
      </c>
      <c r="M31" s="64">
        <v>77</v>
      </c>
      <c r="N31" s="64">
        <v>14</v>
      </c>
      <c r="O31" s="64">
        <v>85</v>
      </c>
      <c r="P31" s="105">
        <v>11.814814814814815</v>
      </c>
      <c r="Q31" s="64">
        <v>50</v>
      </c>
    </row>
    <row r="32" spans="1:17">
      <c r="K32" s="235"/>
      <c r="L32" s="66" t="s">
        <v>419</v>
      </c>
      <c r="M32" s="64">
        <v>194</v>
      </c>
      <c r="N32" s="64">
        <v>12</v>
      </c>
      <c r="O32" s="64">
        <v>41</v>
      </c>
      <c r="P32" s="105">
        <v>10.884615384615385</v>
      </c>
      <c r="Q32" s="64">
        <v>41</v>
      </c>
    </row>
    <row r="33" spans="1:17">
      <c r="K33" s="235"/>
      <c r="L33" s="66" t="s">
        <v>420</v>
      </c>
      <c r="M33" s="64">
        <v>57</v>
      </c>
      <c r="N33" s="64">
        <v>9</v>
      </c>
      <c r="O33" s="64">
        <v>23</v>
      </c>
      <c r="P33" s="105">
        <v>8.56</v>
      </c>
      <c r="Q33" s="64">
        <v>23</v>
      </c>
    </row>
    <row r="34" spans="1:17">
      <c r="K34" s="235"/>
      <c r="L34" s="62" t="s">
        <v>312</v>
      </c>
      <c r="M34" s="110">
        <f>AVERAGE(M22:M33)</f>
        <v>59.833333333333336</v>
      </c>
      <c r="N34" s="110">
        <f>AVERAGE(N22:N33)</f>
        <v>7.666666666666667</v>
      </c>
      <c r="O34" s="62">
        <f>MAX(O22:O33)</f>
        <v>85</v>
      </c>
      <c r="P34" s="110">
        <f>AVERAGE(P22:P33)</f>
        <v>7.2647665840250184</v>
      </c>
      <c r="Q34" s="62">
        <f>MAX(Q22:Q33)</f>
        <v>50</v>
      </c>
    </row>
    <row r="35" spans="1:17">
      <c r="B35" s="35" t="s">
        <v>8</v>
      </c>
    </row>
    <row r="36" spans="1:17">
      <c r="K36" s="61"/>
      <c r="L36" s="61"/>
      <c r="M36" s="55"/>
      <c r="N36" s="55"/>
      <c r="O36" s="55"/>
      <c r="P36" s="67"/>
      <c r="Q36" s="67"/>
    </row>
    <row r="37" spans="1:17">
      <c r="K37" s="235"/>
      <c r="L37" s="66"/>
      <c r="M37" s="64"/>
      <c r="N37" s="64"/>
      <c r="O37" s="64"/>
      <c r="P37" s="64"/>
      <c r="Q37" s="64"/>
    </row>
    <row r="38" spans="1:17">
      <c r="K38" s="235"/>
      <c r="L38" s="66"/>
      <c r="M38" s="64"/>
      <c r="N38" s="64"/>
      <c r="O38" s="64"/>
      <c r="P38" s="64"/>
      <c r="Q38" s="64"/>
    </row>
    <row r="39" spans="1:17">
      <c r="K39" s="235"/>
      <c r="L39" s="66"/>
      <c r="M39" s="64"/>
      <c r="N39" s="64"/>
      <c r="O39" s="64"/>
      <c r="P39" s="64"/>
      <c r="Q39" s="64"/>
    </row>
    <row r="40" spans="1:17">
      <c r="K40" s="235"/>
      <c r="L40" s="66"/>
      <c r="M40" s="64"/>
      <c r="N40" s="64"/>
      <c r="O40" s="64"/>
      <c r="P40" s="64"/>
      <c r="Q40" s="64"/>
    </row>
    <row r="41" spans="1:17">
      <c r="H41" s="3"/>
      <c r="K41" s="235"/>
      <c r="L41" s="66"/>
      <c r="M41" s="64"/>
      <c r="N41" s="64"/>
      <c r="O41" s="64"/>
      <c r="P41" s="64"/>
      <c r="Q41" s="64"/>
    </row>
    <row r="42" spans="1:17">
      <c r="K42" s="235"/>
      <c r="L42" s="66"/>
      <c r="M42" s="64"/>
      <c r="N42" s="64"/>
      <c r="O42" s="64"/>
      <c r="P42" s="64"/>
      <c r="Q42" s="64"/>
    </row>
    <row r="43" spans="1:17">
      <c r="C43" s="35" t="s">
        <v>13</v>
      </c>
      <c r="K43" s="235"/>
      <c r="L43" s="66"/>
      <c r="M43" s="64"/>
      <c r="N43" s="64"/>
      <c r="O43" s="64"/>
      <c r="P43" s="64"/>
      <c r="Q43" s="64"/>
    </row>
    <row r="44" spans="1:17">
      <c r="K44" s="235"/>
      <c r="L44" s="66"/>
      <c r="M44" s="64"/>
      <c r="N44" s="64"/>
      <c r="O44" s="64"/>
      <c r="P44" s="64"/>
      <c r="Q44" s="64"/>
    </row>
    <row r="45" spans="1:17">
      <c r="C45" s="35" t="s">
        <v>15</v>
      </c>
      <c r="K45" s="235"/>
      <c r="L45" s="66"/>
      <c r="M45" s="64"/>
      <c r="N45" s="64"/>
      <c r="O45" s="64"/>
      <c r="P45" s="64"/>
      <c r="Q45" s="64"/>
    </row>
    <row r="46" spans="1:17">
      <c r="K46" s="235"/>
      <c r="L46" s="66"/>
      <c r="M46" s="64"/>
      <c r="N46" s="64"/>
      <c r="O46" s="64"/>
      <c r="P46" s="64"/>
      <c r="Q46" s="64"/>
    </row>
    <row r="47" spans="1:17">
      <c r="K47" s="235"/>
      <c r="L47" s="66"/>
      <c r="M47" s="64"/>
      <c r="N47" s="64"/>
      <c r="O47" s="64"/>
      <c r="P47" s="64"/>
      <c r="Q47" s="64"/>
    </row>
    <row r="48" spans="1:17">
      <c r="A48" s="247" t="s">
        <v>303</v>
      </c>
      <c r="B48" s="248"/>
      <c r="C48" s="248"/>
      <c r="D48" s="248"/>
      <c r="E48" s="248"/>
      <c r="F48" s="248"/>
      <c r="G48" s="248"/>
      <c r="H48" s="249"/>
      <c r="K48" s="235"/>
      <c r="L48" s="66"/>
      <c r="M48" s="64"/>
      <c r="N48" s="64"/>
      <c r="O48" s="64"/>
      <c r="P48" s="64"/>
      <c r="Q48" s="64"/>
    </row>
    <row r="49" spans="1:17">
      <c r="A49" s="250" t="s">
        <v>445</v>
      </c>
      <c r="B49" s="251"/>
      <c r="C49" s="251"/>
      <c r="D49" s="251"/>
      <c r="E49" s="251"/>
      <c r="F49" s="251"/>
      <c r="G49" s="251"/>
      <c r="H49" s="252"/>
      <c r="K49" s="235"/>
      <c r="L49" s="62"/>
      <c r="M49" s="62"/>
      <c r="N49" s="62"/>
      <c r="O49" s="62"/>
      <c r="P49" s="62"/>
      <c r="Q49" s="62"/>
    </row>
    <row r="50" spans="1:17">
      <c r="A50" s="253"/>
      <c r="B50" s="254"/>
      <c r="C50" s="254"/>
      <c r="D50" s="254"/>
      <c r="E50" s="254"/>
      <c r="F50" s="254"/>
      <c r="G50" s="254"/>
      <c r="H50" s="255"/>
    </row>
    <row r="51" spans="1:17">
      <c r="A51" s="253"/>
      <c r="B51" s="254"/>
      <c r="C51" s="254"/>
      <c r="D51" s="254"/>
      <c r="E51" s="254"/>
      <c r="F51" s="254"/>
      <c r="G51" s="254"/>
      <c r="H51" s="255"/>
      <c r="K51" s="61"/>
      <c r="L51" s="61"/>
      <c r="M51" s="55"/>
      <c r="N51" s="55"/>
      <c r="O51" s="55"/>
      <c r="P51" s="67"/>
      <c r="Q51" s="67"/>
    </row>
    <row r="52" spans="1:17">
      <c r="A52" s="256"/>
      <c r="B52" s="257"/>
      <c r="C52" s="257"/>
      <c r="D52" s="257"/>
      <c r="E52" s="257"/>
      <c r="F52" s="257"/>
      <c r="G52" s="257"/>
      <c r="H52" s="258"/>
      <c r="K52" s="235"/>
      <c r="L52" s="66"/>
      <c r="M52" s="64"/>
      <c r="N52" s="64"/>
      <c r="O52" s="64"/>
      <c r="P52" s="64"/>
      <c r="Q52" s="64"/>
    </row>
    <row r="53" spans="1:17">
      <c r="K53" s="235"/>
      <c r="L53" s="66"/>
      <c r="M53" s="64"/>
      <c r="N53" s="64"/>
      <c r="O53" s="64"/>
      <c r="P53" s="64"/>
      <c r="Q53" s="64"/>
    </row>
    <row r="54" spans="1:17">
      <c r="K54" s="235"/>
      <c r="L54" s="66"/>
      <c r="M54" s="64"/>
      <c r="N54" s="64"/>
      <c r="O54" s="64"/>
      <c r="P54" s="64"/>
      <c r="Q54" s="64"/>
    </row>
    <row r="55" spans="1:17">
      <c r="K55" s="235"/>
      <c r="L55" s="66"/>
      <c r="M55" s="64"/>
      <c r="N55" s="64"/>
      <c r="O55" s="64"/>
      <c r="P55" s="64"/>
      <c r="Q55" s="64"/>
    </row>
    <row r="56" spans="1:17">
      <c r="K56" s="235"/>
      <c r="L56" s="66"/>
      <c r="M56" s="64"/>
      <c r="N56" s="64"/>
      <c r="O56" s="64"/>
      <c r="P56" s="64"/>
      <c r="Q56" s="64"/>
    </row>
    <row r="57" spans="1:17">
      <c r="K57" s="235"/>
      <c r="L57" s="66"/>
      <c r="M57" s="64"/>
      <c r="N57" s="64"/>
      <c r="O57" s="64"/>
      <c r="P57" s="64"/>
      <c r="Q57" s="64"/>
    </row>
    <row r="58" spans="1:17">
      <c r="K58" s="235"/>
      <c r="L58" s="66"/>
      <c r="M58" s="64"/>
      <c r="N58" s="64"/>
      <c r="O58" s="64"/>
      <c r="P58" s="64"/>
      <c r="Q58" s="64"/>
    </row>
    <row r="59" spans="1:17">
      <c r="K59" s="235"/>
      <c r="L59" s="66"/>
      <c r="M59" s="64"/>
      <c r="N59" s="64"/>
      <c r="O59" s="64"/>
      <c r="P59" s="64"/>
      <c r="Q59" s="64"/>
    </row>
    <row r="60" spans="1:17">
      <c r="K60" s="235"/>
      <c r="L60" s="66"/>
      <c r="M60" s="64"/>
      <c r="N60" s="64"/>
      <c r="O60" s="64"/>
      <c r="P60" s="64"/>
      <c r="Q60" s="64"/>
    </row>
    <row r="61" spans="1:17">
      <c r="K61" s="235"/>
      <c r="L61" s="66"/>
      <c r="M61" s="64"/>
      <c r="N61" s="64"/>
      <c r="O61" s="64"/>
      <c r="P61" s="64"/>
      <c r="Q61" s="64"/>
    </row>
    <row r="62" spans="1:17">
      <c r="K62" s="235"/>
      <c r="L62" s="66"/>
      <c r="M62" s="64"/>
      <c r="N62" s="64"/>
      <c r="O62" s="64"/>
      <c r="P62" s="64"/>
      <c r="Q62" s="64"/>
    </row>
    <row r="63" spans="1:17">
      <c r="K63" s="235"/>
      <c r="L63" s="66"/>
      <c r="M63" s="64"/>
      <c r="N63" s="64"/>
      <c r="O63" s="64"/>
      <c r="P63" s="64"/>
      <c r="Q63" s="64"/>
    </row>
    <row r="64" spans="1:17">
      <c r="K64" s="235"/>
      <c r="L64" s="62"/>
      <c r="M64" s="62"/>
      <c r="N64" s="62"/>
      <c r="O64" s="62"/>
      <c r="P64" s="62"/>
      <c r="Q64" s="62"/>
    </row>
    <row r="66" spans="11:17">
      <c r="K66" s="61"/>
      <c r="L66" s="61"/>
      <c r="M66" s="55"/>
      <c r="N66" s="55"/>
      <c r="O66" s="55"/>
      <c r="P66" s="67"/>
      <c r="Q66" s="67"/>
    </row>
    <row r="67" spans="11:17">
      <c r="K67" s="235"/>
      <c r="L67" s="66"/>
      <c r="M67" s="64"/>
      <c r="N67" s="64"/>
      <c r="O67" s="64"/>
      <c r="P67" s="64"/>
      <c r="Q67" s="64"/>
    </row>
    <row r="68" spans="11:17">
      <c r="K68" s="235"/>
      <c r="L68" s="66"/>
      <c r="M68" s="64"/>
      <c r="N68" s="64"/>
      <c r="O68" s="64"/>
      <c r="P68" s="64"/>
      <c r="Q68" s="64"/>
    </row>
    <row r="69" spans="11:17">
      <c r="K69" s="235"/>
      <c r="L69" s="66"/>
      <c r="M69" s="64"/>
      <c r="N69" s="64"/>
      <c r="O69" s="64"/>
      <c r="P69" s="64"/>
      <c r="Q69" s="64"/>
    </row>
    <row r="70" spans="11:17">
      <c r="K70" s="235"/>
      <c r="L70" s="66"/>
      <c r="M70" s="64"/>
      <c r="N70" s="64"/>
      <c r="O70" s="64"/>
      <c r="P70" s="64"/>
      <c r="Q70" s="64"/>
    </row>
    <row r="71" spans="11:17">
      <c r="K71" s="235"/>
      <c r="L71" s="66"/>
      <c r="M71" s="64"/>
      <c r="N71" s="64"/>
      <c r="O71" s="64"/>
      <c r="P71" s="64"/>
      <c r="Q71" s="64"/>
    </row>
    <row r="72" spans="11:17">
      <c r="K72" s="235"/>
      <c r="L72" s="66"/>
      <c r="M72" s="64"/>
      <c r="N72" s="64"/>
      <c r="O72" s="64"/>
      <c r="P72" s="64"/>
      <c r="Q72" s="64"/>
    </row>
    <row r="73" spans="11:17">
      <c r="K73" s="235"/>
      <c r="L73" s="66"/>
      <c r="M73" s="64"/>
      <c r="N73" s="64"/>
      <c r="O73" s="64"/>
      <c r="P73" s="64"/>
      <c r="Q73" s="64"/>
    </row>
    <row r="74" spans="11:17">
      <c r="K74" s="235"/>
      <c r="L74" s="66"/>
      <c r="M74" s="64"/>
      <c r="N74" s="64"/>
      <c r="O74" s="64"/>
      <c r="P74" s="64"/>
      <c r="Q74" s="64"/>
    </row>
    <row r="75" spans="11:17">
      <c r="K75" s="235"/>
      <c r="L75" s="66"/>
      <c r="M75" s="64"/>
      <c r="N75" s="64"/>
      <c r="O75" s="64"/>
      <c r="P75" s="64"/>
      <c r="Q75" s="64"/>
    </row>
    <row r="76" spans="11:17">
      <c r="K76" s="235"/>
      <c r="L76" s="66"/>
      <c r="M76" s="64"/>
      <c r="N76" s="64"/>
      <c r="O76" s="64"/>
      <c r="P76" s="64"/>
      <c r="Q76" s="64"/>
    </row>
    <row r="77" spans="11:17">
      <c r="K77" s="235"/>
      <c r="L77" s="66"/>
      <c r="M77" s="64"/>
      <c r="N77" s="64"/>
      <c r="O77" s="64"/>
      <c r="P77" s="64"/>
      <c r="Q77" s="64"/>
    </row>
    <row r="78" spans="11:17">
      <c r="K78" s="235"/>
      <c r="L78" s="66"/>
      <c r="M78" s="64"/>
      <c r="N78" s="64"/>
      <c r="O78" s="64"/>
      <c r="P78" s="64"/>
      <c r="Q78" s="64"/>
    </row>
    <row r="79" spans="11:17">
      <c r="K79" s="235"/>
      <c r="L79" s="62"/>
      <c r="M79" s="62"/>
      <c r="N79" s="62"/>
      <c r="O79" s="62"/>
      <c r="P79" s="62"/>
      <c r="Q79" s="62"/>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view="pageBreakPreview" zoomScale="60" zoomScaleNormal="100" workbookViewId="0">
      <selection activeCell="B35" sqref="B35:I35"/>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Wolverhampton Energy from Waste Facility</v>
      </c>
    </row>
    <row r="3" spans="1:19" ht="14.45">
      <c r="A3" s="60" t="s">
        <v>446</v>
      </c>
      <c r="D3" s="76" t="s">
        <v>390</v>
      </c>
      <c r="G3" s="80" t="s">
        <v>391</v>
      </c>
      <c r="J3" s="9" t="str">
        <f>+A3</f>
        <v xml:space="preserve">Monitoring of Ammnonia emissions </v>
      </c>
      <c r="L3" s="9"/>
      <c r="N3" s="9" t="s">
        <v>392</v>
      </c>
      <c r="Q3" s="79" t="s">
        <v>3</v>
      </c>
      <c r="R3" s="74"/>
      <c r="S3" s="74"/>
    </row>
    <row r="4" spans="1:19" ht="13.9" customHeight="1">
      <c r="Q4" s="226" t="s">
        <v>393</v>
      </c>
      <c r="R4" s="226"/>
      <c r="S4" s="226"/>
    </row>
    <row r="5" spans="1:19" ht="16.149999999999999">
      <c r="A5" s="68" t="s">
        <v>394</v>
      </c>
      <c r="B5" s="237" t="s">
        <v>395</v>
      </c>
      <c r="C5" s="237"/>
      <c r="D5" s="237"/>
      <c r="E5" s="237" t="s">
        <v>396</v>
      </c>
      <c r="F5" s="237"/>
      <c r="G5" s="237"/>
      <c r="J5" s="236"/>
      <c r="K5" s="236"/>
      <c r="L5" s="236"/>
      <c r="M5" s="236"/>
      <c r="N5" s="236"/>
      <c r="O5" s="236"/>
      <c r="Q5" s="226"/>
      <c r="R5" s="226"/>
      <c r="S5" s="226"/>
    </row>
    <row r="6" spans="1:19" s="58" customFormat="1" ht="37.5" customHeight="1">
      <c r="A6" s="65">
        <f>+'Cover Page'!C39</f>
        <v>2022</v>
      </c>
      <c r="B6" s="55" t="s">
        <v>447</v>
      </c>
      <c r="C6" s="55" t="s">
        <v>398</v>
      </c>
      <c r="D6" s="55" t="s">
        <v>399</v>
      </c>
      <c r="E6" s="55" t="s">
        <v>448</v>
      </c>
      <c r="F6" s="55" t="s">
        <v>401</v>
      </c>
      <c r="G6" s="55" t="s">
        <v>402</v>
      </c>
      <c r="H6" s="59"/>
      <c r="J6" s="61">
        <f>+A6</f>
        <v>2022</v>
      </c>
      <c r="K6" s="61" t="s">
        <v>403</v>
      </c>
      <c r="L6" s="67" t="s">
        <v>398</v>
      </c>
      <c r="M6" s="67" t="s">
        <v>404</v>
      </c>
      <c r="N6" s="67" t="s">
        <v>401</v>
      </c>
      <c r="O6" s="67" t="s">
        <v>405</v>
      </c>
      <c r="Q6" s="226"/>
      <c r="R6" s="226"/>
      <c r="S6" s="226"/>
    </row>
    <row r="7" spans="1:19">
      <c r="A7" s="66" t="s">
        <v>406</v>
      </c>
      <c r="B7" s="69">
        <v>0</v>
      </c>
      <c r="C7" s="105">
        <f>AVERAGE(L7,L22)</f>
        <v>0</v>
      </c>
      <c r="D7" s="105">
        <f>MAX(M7,M22)</f>
        <v>41</v>
      </c>
      <c r="E7" s="106">
        <v>10</v>
      </c>
      <c r="F7" s="105">
        <f>AVERAGE(N7,N22)</f>
        <v>0.30227001194743131</v>
      </c>
      <c r="G7" s="105">
        <f>MAX(O7,O22)</f>
        <v>4</v>
      </c>
      <c r="J7" s="235" t="s">
        <v>187</v>
      </c>
      <c r="K7" s="66" t="s">
        <v>406</v>
      </c>
      <c r="L7" s="64">
        <v>0</v>
      </c>
      <c r="M7" s="64">
        <v>41</v>
      </c>
      <c r="N7" s="105">
        <v>0.18518518518518517</v>
      </c>
      <c r="O7" s="64">
        <v>2</v>
      </c>
      <c r="Q7" s="226"/>
      <c r="R7" s="226"/>
      <c r="S7" s="226"/>
    </row>
    <row r="8" spans="1:19">
      <c r="A8" s="66" t="s">
        <v>407</v>
      </c>
      <c r="B8" s="63">
        <f>+B7</f>
        <v>0</v>
      </c>
      <c r="C8" s="105">
        <f t="shared" ref="C8:C18" si="0">AVERAGE(L8,L23)</f>
        <v>2</v>
      </c>
      <c r="D8" s="105">
        <f t="shared" ref="D8:D18" si="1">MAX(M8,M23)</f>
        <v>55</v>
      </c>
      <c r="E8" s="107">
        <f>+E7</f>
        <v>10</v>
      </c>
      <c r="F8" s="105">
        <f t="shared" ref="F8:F18" si="2">AVERAGE(N8,N23)</f>
        <v>2</v>
      </c>
      <c r="G8" s="105">
        <f t="shared" ref="G8:G18" si="3">MAX(O8,O23)</f>
        <v>8</v>
      </c>
      <c r="J8" s="235"/>
      <c r="K8" s="66" t="s">
        <v>407</v>
      </c>
      <c r="L8" s="64">
        <v>2</v>
      </c>
      <c r="M8" s="64">
        <v>55</v>
      </c>
      <c r="N8" s="105">
        <v>2.2857142857142856</v>
      </c>
      <c r="O8" s="64">
        <v>8</v>
      </c>
      <c r="Q8" s="226"/>
      <c r="R8" s="226"/>
      <c r="S8" s="226"/>
    </row>
    <row r="9" spans="1:19">
      <c r="A9" s="66" t="s">
        <v>408</v>
      </c>
      <c r="B9" s="63">
        <f t="shared" ref="B9:B18" si="4">+B8</f>
        <v>0</v>
      </c>
      <c r="C9" s="105">
        <f t="shared" si="0"/>
        <v>2.5</v>
      </c>
      <c r="D9" s="105">
        <f t="shared" si="1"/>
        <v>48</v>
      </c>
      <c r="E9" s="107">
        <f t="shared" ref="E9:E18" si="5">+E8</f>
        <v>10</v>
      </c>
      <c r="F9" s="105">
        <f t="shared" si="2"/>
        <v>2.4107142857142856</v>
      </c>
      <c r="G9" s="105">
        <f t="shared" si="3"/>
        <v>7</v>
      </c>
      <c r="J9" s="235"/>
      <c r="K9" s="66" t="s">
        <v>408</v>
      </c>
      <c r="L9" s="64">
        <v>4</v>
      </c>
      <c r="M9" s="64">
        <v>48</v>
      </c>
      <c r="N9" s="105">
        <v>3.5714285714285716</v>
      </c>
      <c r="O9" s="64">
        <v>7</v>
      </c>
      <c r="Q9" s="78" t="s">
        <v>409</v>
      </c>
    </row>
    <row r="10" spans="1:19" ht="14.25" customHeight="1">
      <c r="A10" s="66" t="s">
        <v>410</v>
      </c>
      <c r="B10" s="63">
        <f t="shared" si="4"/>
        <v>0</v>
      </c>
      <c r="C10" s="105">
        <f t="shared" si="0"/>
        <v>2.5</v>
      </c>
      <c r="D10" s="105">
        <f t="shared" si="1"/>
        <v>46</v>
      </c>
      <c r="E10" s="107">
        <f t="shared" si="5"/>
        <v>10</v>
      </c>
      <c r="F10" s="105">
        <f t="shared" si="2"/>
        <v>2.6833333333333336</v>
      </c>
      <c r="G10" s="105">
        <f t="shared" si="3"/>
        <v>5</v>
      </c>
      <c r="J10" s="235"/>
      <c r="K10" s="66" t="s">
        <v>410</v>
      </c>
      <c r="L10" s="64">
        <v>3</v>
      </c>
      <c r="M10" s="64">
        <v>29</v>
      </c>
      <c r="N10" s="105">
        <v>3.5</v>
      </c>
      <c r="O10" s="64">
        <v>5</v>
      </c>
      <c r="Q10" s="234" t="s">
        <v>411</v>
      </c>
      <c r="R10" s="234"/>
      <c r="S10" s="234"/>
    </row>
    <row r="11" spans="1:19">
      <c r="A11" s="66" t="s">
        <v>412</v>
      </c>
      <c r="B11" s="63">
        <f t="shared" si="4"/>
        <v>0</v>
      </c>
      <c r="C11" s="105">
        <f t="shared" si="0"/>
        <v>2</v>
      </c>
      <c r="D11" s="105">
        <f t="shared" si="1"/>
        <v>41</v>
      </c>
      <c r="E11" s="107">
        <f t="shared" si="5"/>
        <v>10</v>
      </c>
      <c r="F11" s="105">
        <f t="shared" si="2"/>
        <v>1.9236972704714639</v>
      </c>
      <c r="G11" s="105">
        <f t="shared" si="3"/>
        <v>6</v>
      </c>
      <c r="J11" s="235"/>
      <c r="K11" s="66" t="s">
        <v>412</v>
      </c>
      <c r="L11" s="64">
        <v>3</v>
      </c>
      <c r="M11" s="64">
        <v>27</v>
      </c>
      <c r="N11" s="105">
        <v>3.193548387096774</v>
      </c>
      <c r="O11" s="64">
        <v>6</v>
      </c>
      <c r="Q11" s="234"/>
      <c r="R11" s="234"/>
      <c r="S11" s="234"/>
    </row>
    <row r="12" spans="1:19">
      <c r="A12" s="66" t="s">
        <v>413</v>
      </c>
      <c r="B12" s="63">
        <f t="shared" si="4"/>
        <v>0</v>
      </c>
      <c r="C12" s="105">
        <f t="shared" si="0"/>
        <v>2</v>
      </c>
      <c r="D12" s="105">
        <f t="shared" si="1"/>
        <v>141</v>
      </c>
      <c r="E12" s="107">
        <f t="shared" si="5"/>
        <v>10</v>
      </c>
      <c r="F12" s="105">
        <f t="shared" ref="F12" si="6">AVERAGE(N12,N27)</f>
        <v>1.7</v>
      </c>
      <c r="G12" s="105">
        <f t="shared" ref="G12" si="7">MAX(O12,O27)</f>
        <v>9</v>
      </c>
      <c r="J12" s="235"/>
      <c r="K12" s="66" t="s">
        <v>413</v>
      </c>
      <c r="L12" s="64">
        <v>3</v>
      </c>
      <c r="M12" s="64">
        <v>85</v>
      </c>
      <c r="N12" s="105">
        <v>2.6333333333333333</v>
      </c>
      <c r="O12" s="64">
        <v>5</v>
      </c>
      <c r="Q12" s="234"/>
      <c r="R12" s="234"/>
      <c r="S12" s="234"/>
    </row>
    <row r="13" spans="1:19" ht="14.25" customHeight="1">
      <c r="A13" s="66" t="s">
        <v>414</v>
      </c>
      <c r="B13" s="63">
        <f t="shared" si="4"/>
        <v>0</v>
      </c>
      <c r="C13" s="105">
        <f>AVERAGE(L13,L27)</f>
        <v>2</v>
      </c>
      <c r="D13" s="105">
        <f>MAX(M13,M27)</f>
        <v>141</v>
      </c>
      <c r="E13" s="107">
        <f t="shared" si="5"/>
        <v>10</v>
      </c>
      <c r="F13" s="105">
        <f>AVERAGE(N13,N27)</f>
        <v>2.0446236559139788</v>
      </c>
      <c r="G13" s="105">
        <f>MAX(O13,O27)</f>
        <v>9</v>
      </c>
      <c r="J13" s="235"/>
      <c r="K13" s="66" t="s">
        <v>414</v>
      </c>
      <c r="L13" s="64">
        <v>3</v>
      </c>
      <c r="M13" s="64">
        <v>50</v>
      </c>
      <c r="N13" s="105">
        <v>3.3225806451612905</v>
      </c>
      <c r="O13" s="64">
        <v>6</v>
      </c>
      <c r="Q13" s="234" t="s">
        <v>415</v>
      </c>
      <c r="R13" s="234"/>
      <c r="S13" s="234"/>
    </row>
    <row r="14" spans="1:19">
      <c r="A14" s="66" t="s">
        <v>416</v>
      </c>
      <c r="B14" s="63">
        <f t="shared" si="4"/>
        <v>0</v>
      </c>
      <c r="C14" s="105">
        <f t="shared" si="0"/>
        <v>2.5</v>
      </c>
      <c r="D14" s="105">
        <f t="shared" si="1"/>
        <v>24</v>
      </c>
      <c r="E14" s="107">
        <f t="shared" si="5"/>
        <v>10</v>
      </c>
      <c r="F14" s="105">
        <f t="shared" si="2"/>
        <v>2.4025641025641025</v>
      </c>
      <c r="G14" s="105">
        <f t="shared" si="3"/>
        <v>8</v>
      </c>
      <c r="J14" s="235"/>
      <c r="K14" s="66" t="s">
        <v>416</v>
      </c>
      <c r="L14" s="64">
        <v>5</v>
      </c>
      <c r="M14" s="64">
        <v>24</v>
      </c>
      <c r="N14" s="105">
        <v>4.7666666666666666</v>
      </c>
      <c r="O14" s="64">
        <v>8</v>
      </c>
      <c r="Q14" s="234"/>
      <c r="R14" s="234"/>
      <c r="S14" s="234"/>
    </row>
    <row r="15" spans="1:19">
      <c r="A15" s="66" t="s">
        <v>417</v>
      </c>
      <c r="B15" s="63">
        <f t="shared" si="4"/>
        <v>0</v>
      </c>
      <c r="C15" s="105">
        <f t="shared" si="0"/>
        <v>5</v>
      </c>
      <c r="D15" s="105">
        <f t="shared" si="1"/>
        <v>82</v>
      </c>
      <c r="E15" s="107">
        <f t="shared" si="5"/>
        <v>10</v>
      </c>
      <c r="F15" s="105">
        <f t="shared" si="2"/>
        <v>2.9833333333333334</v>
      </c>
      <c r="G15" s="105">
        <f t="shared" si="3"/>
        <v>8</v>
      </c>
      <c r="J15" s="235"/>
      <c r="K15" s="66" t="s">
        <v>417</v>
      </c>
      <c r="L15" s="64">
        <v>9</v>
      </c>
      <c r="M15" s="64">
        <v>82</v>
      </c>
      <c r="N15" s="105">
        <v>5.3</v>
      </c>
      <c r="O15" s="64">
        <v>8</v>
      </c>
      <c r="Q15" s="234"/>
      <c r="R15" s="234"/>
      <c r="S15" s="234"/>
    </row>
    <row r="16" spans="1:19">
      <c r="A16" s="66" t="s">
        <v>418</v>
      </c>
      <c r="B16" s="63">
        <f t="shared" si="4"/>
        <v>0</v>
      </c>
      <c r="C16" s="105">
        <f t="shared" si="0"/>
        <v>3.5</v>
      </c>
      <c r="D16" s="105">
        <f t="shared" si="1"/>
        <v>617</v>
      </c>
      <c r="E16" s="107">
        <f t="shared" si="5"/>
        <v>10</v>
      </c>
      <c r="F16" s="105">
        <f t="shared" si="2"/>
        <v>3.1899350649350646</v>
      </c>
      <c r="G16" s="105">
        <f t="shared" si="3"/>
        <v>8</v>
      </c>
      <c r="J16" s="235"/>
      <c r="K16" s="66" t="s">
        <v>418</v>
      </c>
      <c r="L16" s="64">
        <v>5</v>
      </c>
      <c r="M16" s="64">
        <v>59</v>
      </c>
      <c r="N16" s="105">
        <v>5.2727272727272725</v>
      </c>
      <c r="O16" s="64">
        <v>8</v>
      </c>
      <c r="Q16" s="234"/>
      <c r="R16" s="234"/>
      <c r="S16" s="234"/>
    </row>
    <row r="17" spans="1:15">
      <c r="A17" s="66" t="s">
        <v>419</v>
      </c>
      <c r="B17" s="63">
        <f t="shared" si="4"/>
        <v>0</v>
      </c>
      <c r="C17" s="105">
        <f t="shared" si="0"/>
        <v>3</v>
      </c>
      <c r="D17" s="105">
        <f t="shared" si="1"/>
        <v>51</v>
      </c>
      <c r="E17" s="107">
        <f t="shared" si="5"/>
        <v>10</v>
      </c>
      <c r="F17" s="105">
        <f t="shared" si="2"/>
        <v>2.9629629629629632</v>
      </c>
      <c r="G17" s="105">
        <f t="shared" si="3"/>
        <v>7</v>
      </c>
      <c r="J17" s="235"/>
      <c r="K17" s="66" t="s">
        <v>419</v>
      </c>
      <c r="L17" s="64">
        <v>4</v>
      </c>
      <c r="M17" s="64">
        <v>28</v>
      </c>
      <c r="N17" s="105">
        <v>4.2962962962962967</v>
      </c>
      <c r="O17" s="64">
        <v>7</v>
      </c>
    </row>
    <row r="18" spans="1:15">
      <c r="A18" s="66" t="s">
        <v>420</v>
      </c>
      <c r="B18" s="63">
        <f t="shared" si="4"/>
        <v>0</v>
      </c>
      <c r="C18" s="105">
        <f t="shared" si="0"/>
        <v>3</v>
      </c>
      <c r="D18" s="105">
        <f t="shared" si="1"/>
        <v>40</v>
      </c>
      <c r="E18" s="107">
        <f t="shared" si="5"/>
        <v>10</v>
      </c>
      <c r="F18" s="105">
        <f t="shared" si="2"/>
        <v>3.0300000000000002</v>
      </c>
      <c r="G18" s="105">
        <f t="shared" si="3"/>
        <v>11</v>
      </c>
      <c r="J18" s="235"/>
      <c r="K18" s="66" t="s">
        <v>420</v>
      </c>
      <c r="L18" s="64">
        <v>4</v>
      </c>
      <c r="M18" s="64">
        <v>40</v>
      </c>
      <c r="N18" s="105">
        <v>3.5</v>
      </c>
      <c r="O18" s="64">
        <v>5</v>
      </c>
    </row>
    <row r="19" spans="1:15">
      <c r="J19" s="235"/>
      <c r="K19" s="62" t="s">
        <v>312</v>
      </c>
      <c r="L19" s="62">
        <f>AVERAGE(L7:L18)</f>
        <v>3.75</v>
      </c>
      <c r="M19" s="62">
        <f>MAX(M7:M18)</f>
        <v>85</v>
      </c>
      <c r="N19" s="110">
        <f>AVERAGE(N7:N18)</f>
        <v>3.4856233869674731</v>
      </c>
      <c r="O19" s="62">
        <f>MAX(O7:O18)</f>
        <v>8</v>
      </c>
    </row>
    <row r="21" spans="1:15" ht="41.45">
      <c r="J21" s="61">
        <f>+A6</f>
        <v>2022</v>
      </c>
      <c r="K21" s="61" t="s">
        <v>403</v>
      </c>
      <c r="L21" s="67" t="s">
        <v>398</v>
      </c>
      <c r="M21" s="67" t="s">
        <v>404</v>
      </c>
      <c r="N21" s="67" t="s">
        <v>401</v>
      </c>
      <c r="O21" s="67" t="s">
        <v>405</v>
      </c>
    </row>
    <row r="22" spans="1:15">
      <c r="J22" s="235" t="s">
        <v>188</v>
      </c>
      <c r="K22" s="66" t="s">
        <v>406</v>
      </c>
      <c r="L22" s="64">
        <v>0</v>
      </c>
      <c r="M22" s="64">
        <v>29</v>
      </c>
      <c r="N22" s="105">
        <v>0.41935483870967744</v>
      </c>
      <c r="O22" s="64">
        <v>4</v>
      </c>
    </row>
    <row r="23" spans="1:15">
      <c r="J23" s="235"/>
      <c r="K23" s="66" t="s">
        <v>407</v>
      </c>
      <c r="L23" s="64">
        <v>2</v>
      </c>
      <c r="M23" s="64">
        <v>38</v>
      </c>
      <c r="N23" s="105">
        <v>1.7142857142857142</v>
      </c>
      <c r="O23" s="64">
        <v>4</v>
      </c>
    </row>
    <row r="24" spans="1:15">
      <c r="J24" s="235"/>
      <c r="K24" s="66" t="s">
        <v>408</v>
      </c>
      <c r="L24" s="64">
        <v>1</v>
      </c>
      <c r="M24" s="64">
        <v>37</v>
      </c>
      <c r="N24" s="105">
        <v>1.25</v>
      </c>
      <c r="O24" s="64">
        <v>3</v>
      </c>
    </row>
    <row r="25" spans="1:15">
      <c r="J25" s="235"/>
      <c r="K25" s="66" t="s">
        <v>410</v>
      </c>
      <c r="L25" s="64">
        <v>2</v>
      </c>
      <c r="M25" s="64">
        <v>46</v>
      </c>
      <c r="N25" s="105">
        <v>1.8666666666666667</v>
      </c>
      <c r="O25" s="64">
        <v>5</v>
      </c>
    </row>
    <row r="26" spans="1:15">
      <c r="J26" s="235"/>
      <c r="K26" s="66" t="s">
        <v>412</v>
      </c>
      <c r="L26" s="64">
        <v>1</v>
      </c>
      <c r="M26" s="64">
        <v>41</v>
      </c>
      <c r="N26" s="105">
        <v>0.65384615384615385</v>
      </c>
      <c r="O26" s="64">
        <v>3</v>
      </c>
    </row>
    <row r="27" spans="1:15">
      <c r="J27" s="235"/>
      <c r="K27" s="66" t="s">
        <v>413</v>
      </c>
      <c r="L27" s="64">
        <v>1</v>
      </c>
      <c r="M27" s="64">
        <v>141</v>
      </c>
      <c r="N27" s="105">
        <v>0.76666666666666672</v>
      </c>
      <c r="O27" s="64">
        <v>9</v>
      </c>
    </row>
    <row r="28" spans="1:15">
      <c r="J28" s="235"/>
      <c r="K28" s="66" t="s">
        <v>414</v>
      </c>
      <c r="L28" s="64">
        <v>0</v>
      </c>
      <c r="M28" s="64">
        <v>13</v>
      </c>
      <c r="N28" s="105">
        <v>0.23333333333333334</v>
      </c>
      <c r="O28" s="64">
        <v>1</v>
      </c>
    </row>
    <row r="29" spans="1:15">
      <c r="J29" s="235"/>
      <c r="K29" s="66" t="s">
        <v>416</v>
      </c>
      <c r="L29" s="64">
        <v>0</v>
      </c>
      <c r="M29" s="64">
        <v>10</v>
      </c>
      <c r="N29" s="105">
        <v>3.8461538461538464E-2</v>
      </c>
      <c r="O29" s="64">
        <v>1</v>
      </c>
    </row>
    <row r="30" spans="1:15">
      <c r="J30" s="235"/>
      <c r="K30" s="66" t="s">
        <v>417</v>
      </c>
      <c r="L30" s="64">
        <v>1</v>
      </c>
      <c r="M30" s="64">
        <v>7</v>
      </c>
      <c r="N30" s="105">
        <v>0.66666666666666663</v>
      </c>
      <c r="O30" s="64">
        <v>3</v>
      </c>
    </row>
    <row r="31" spans="1:15">
      <c r="J31" s="235"/>
      <c r="K31" s="66" t="s">
        <v>418</v>
      </c>
      <c r="L31" s="64">
        <v>2</v>
      </c>
      <c r="M31" s="64">
        <v>617</v>
      </c>
      <c r="N31" s="105">
        <v>1.1071428571428572</v>
      </c>
      <c r="O31" s="64">
        <v>5</v>
      </c>
    </row>
    <row r="32" spans="1:15">
      <c r="J32" s="235"/>
      <c r="K32" s="66" t="s">
        <v>419</v>
      </c>
      <c r="L32" s="64">
        <v>2</v>
      </c>
      <c r="M32" s="64">
        <v>51</v>
      </c>
      <c r="N32" s="105">
        <v>1.6296296296296295</v>
      </c>
      <c r="O32" s="64">
        <v>6</v>
      </c>
    </row>
    <row r="33" spans="1:15">
      <c r="J33" s="235"/>
      <c r="K33" s="66" t="s">
        <v>420</v>
      </c>
      <c r="L33" s="64">
        <v>2</v>
      </c>
      <c r="M33" s="64">
        <v>32</v>
      </c>
      <c r="N33" s="105">
        <v>2.56</v>
      </c>
      <c r="O33" s="64">
        <v>11</v>
      </c>
    </row>
    <row r="34" spans="1:15">
      <c r="J34" s="235"/>
      <c r="K34" s="62" t="s">
        <v>312</v>
      </c>
      <c r="L34" s="110">
        <f>AVERAGE(L22:L33)</f>
        <v>1.1666666666666667</v>
      </c>
      <c r="M34" s="62">
        <f>MAX(M22:M33)</f>
        <v>617</v>
      </c>
      <c r="N34" s="110">
        <f>AVERAGE(N22:N33)</f>
        <v>1.0755045054507422</v>
      </c>
      <c r="O34" s="62">
        <f>MAX(O22:O33)</f>
        <v>11</v>
      </c>
    </row>
    <row r="35" spans="1:15">
      <c r="B35" s="35" t="s">
        <v>8</v>
      </c>
    </row>
    <row r="36" spans="1:15">
      <c r="J36" s="61"/>
      <c r="K36" s="61"/>
      <c r="L36" s="67"/>
      <c r="M36" s="67"/>
      <c r="N36" s="67"/>
      <c r="O36" s="67"/>
    </row>
    <row r="37" spans="1:15">
      <c r="J37" s="235"/>
      <c r="K37" s="66"/>
      <c r="L37" s="64"/>
      <c r="M37" s="64"/>
      <c r="N37" s="64"/>
      <c r="O37" s="64"/>
    </row>
    <row r="38" spans="1:15">
      <c r="J38" s="235"/>
      <c r="K38" s="66"/>
      <c r="L38" s="64"/>
      <c r="M38" s="64"/>
      <c r="N38" s="64"/>
      <c r="O38" s="64"/>
    </row>
    <row r="39" spans="1:15">
      <c r="J39" s="235"/>
      <c r="K39" s="66"/>
      <c r="L39" s="64"/>
      <c r="M39" s="64"/>
      <c r="N39" s="64"/>
      <c r="O39" s="64"/>
    </row>
    <row r="40" spans="1:15">
      <c r="J40" s="235"/>
      <c r="K40" s="66"/>
      <c r="L40" s="64"/>
      <c r="M40" s="64"/>
      <c r="N40" s="64"/>
      <c r="O40" s="64"/>
    </row>
    <row r="41" spans="1:15">
      <c r="E41" s="3"/>
      <c r="F41" s="3"/>
      <c r="G41" s="58"/>
      <c r="H41" s="95"/>
      <c r="I41" s="35"/>
      <c r="J41" s="235"/>
      <c r="K41" s="66"/>
      <c r="L41" s="64"/>
      <c r="M41" s="64"/>
      <c r="N41" s="64"/>
      <c r="O41" s="64"/>
    </row>
    <row r="42" spans="1:15">
      <c r="J42" s="235"/>
      <c r="K42" s="66"/>
      <c r="L42" s="64"/>
      <c r="M42" s="64"/>
      <c r="N42" s="64"/>
      <c r="O42" s="64"/>
    </row>
    <row r="43" spans="1:15">
      <c r="C43" s="35" t="s">
        <v>13</v>
      </c>
      <c r="J43" s="235"/>
      <c r="K43" s="66"/>
      <c r="L43" s="64"/>
      <c r="M43" s="64"/>
      <c r="N43" s="64"/>
      <c r="O43" s="64"/>
    </row>
    <row r="44" spans="1:15">
      <c r="J44" s="235"/>
      <c r="K44" s="66"/>
      <c r="L44" s="64"/>
      <c r="M44" s="64"/>
      <c r="N44" s="64"/>
      <c r="O44" s="64"/>
    </row>
    <row r="45" spans="1:15">
      <c r="C45" s="35" t="s">
        <v>15</v>
      </c>
      <c r="J45" s="235"/>
      <c r="K45" s="66"/>
      <c r="L45" s="64"/>
      <c r="M45" s="64"/>
      <c r="N45" s="64"/>
      <c r="O45" s="64"/>
    </row>
    <row r="46" spans="1:15">
      <c r="J46" s="235"/>
      <c r="K46" s="66"/>
      <c r="L46" s="64"/>
      <c r="M46" s="64"/>
      <c r="N46" s="64"/>
      <c r="O46" s="64"/>
    </row>
    <row r="47" spans="1:15">
      <c r="J47" s="235"/>
      <c r="K47" s="66"/>
      <c r="L47" s="64"/>
      <c r="M47" s="64"/>
      <c r="N47" s="64"/>
      <c r="O47" s="64"/>
    </row>
    <row r="48" spans="1:15">
      <c r="A48" s="247" t="s">
        <v>303</v>
      </c>
      <c r="B48" s="248"/>
      <c r="C48" s="248"/>
      <c r="D48" s="248"/>
      <c r="E48" s="248"/>
      <c r="F48" s="248"/>
      <c r="G48" s="249"/>
      <c r="J48" s="235"/>
      <c r="K48" s="66"/>
      <c r="L48" s="64"/>
      <c r="M48" s="64"/>
      <c r="N48" s="64"/>
      <c r="O48" s="64"/>
    </row>
    <row r="49" spans="1:15">
      <c r="A49" s="238" t="s">
        <v>449</v>
      </c>
      <c r="B49" s="239"/>
      <c r="C49" s="239"/>
      <c r="D49" s="239"/>
      <c r="E49" s="239"/>
      <c r="F49" s="239"/>
      <c r="G49" s="240"/>
      <c r="J49" s="235"/>
      <c r="K49" s="62"/>
      <c r="L49" s="62"/>
      <c r="M49" s="62"/>
      <c r="N49" s="62"/>
      <c r="O49" s="62"/>
    </row>
    <row r="50" spans="1:15">
      <c r="A50" s="241"/>
      <c r="B50" s="242"/>
      <c r="C50" s="242"/>
      <c r="D50" s="242"/>
      <c r="E50" s="242"/>
      <c r="F50" s="242"/>
      <c r="G50" s="243"/>
    </row>
    <row r="51" spans="1:15">
      <c r="A51" s="241"/>
      <c r="B51" s="242"/>
      <c r="C51" s="242"/>
      <c r="D51" s="242"/>
      <c r="E51" s="242"/>
      <c r="F51" s="242"/>
      <c r="G51" s="243"/>
      <c r="J51" s="61"/>
      <c r="K51" s="61"/>
      <c r="L51" s="67"/>
      <c r="M51" s="67"/>
      <c r="N51" s="67"/>
      <c r="O51" s="67"/>
    </row>
    <row r="52" spans="1:15">
      <c r="A52" s="244"/>
      <c r="B52" s="245"/>
      <c r="C52" s="245"/>
      <c r="D52" s="245"/>
      <c r="E52" s="245"/>
      <c r="F52" s="245"/>
      <c r="G52" s="246"/>
      <c r="J52" s="235"/>
      <c r="K52" s="66"/>
      <c r="L52" s="64"/>
      <c r="M52" s="64"/>
      <c r="N52" s="64"/>
      <c r="O52" s="64"/>
    </row>
    <row r="53" spans="1:15">
      <c r="J53" s="235"/>
      <c r="K53" s="66"/>
      <c r="L53" s="64"/>
      <c r="M53" s="64"/>
      <c r="N53" s="64"/>
      <c r="O53" s="64"/>
    </row>
    <row r="54" spans="1:15">
      <c r="J54" s="235"/>
      <c r="K54" s="66"/>
      <c r="L54" s="64"/>
      <c r="M54" s="64"/>
      <c r="N54" s="64"/>
      <c r="O54" s="64"/>
    </row>
    <row r="55" spans="1:15">
      <c r="J55" s="235"/>
      <c r="K55" s="66"/>
      <c r="L55" s="64"/>
      <c r="M55" s="64"/>
      <c r="N55" s="64"/>
      <c r="O55" s="64"/>
    </row>
    <row r="56" spans="1:15">
      <c r="J56" s="235"/>
      <c r="K56" s="66"/>
      <c r="L56" s="64"/>
      <c r="M56" s="64"/>
      <c r="N56" s="64"/>
      <c r="O56" s="64"/>
    </row>
    <row r="57" spans="1:15">
      <c r="J57" s="235"/>
      <c r="K57" s="66"/>
      <c r="L57" s="64"/>
      <c r="M57" s="64"/>
      <c r="N57" s="64"/>
      <c r="O57" s="64"/>
    </row>
    <row r="58" spans="1:15">
      <c r="J58" s="235"/>
      <c r="K58" s="66"/>
      <c r="L58" s="64"/>
      <c r="M58" s="64"/>
      <c r="N58" s="64"/>
      <c r="O58" s="64"/>
    </row>
    <row r="59" spans="1:15">
      <c r="J59" s="235"/>
      <c r="K59" s="66"/>
      <c r="L59" s="64"/>
      <c r="M59" s="64"/>
      <c r="N59" s="64"/>
      <c r="O59" s="64"/>
    </row>
    <row r="60" spans="1:15">
      <c r="J60" s="235"/>
      <c r="K60" s="66"/>
      <c r="L60" s="64"/>
      <c r="M60" s="64"/>
      <c r="N60" s="64"/>
      <c r="O60" s="64"/>
    </row>
    <row r="61" spans="1:15">
      <c r="J61" s="235"/>
      <c r="K61" s="66"/>
      <c r="L61" s="64"/>
      <c r="M61" s="64"/>
      <c r="N61" s="64"/>
      <c r="O61" s="64"/>
    </row>
    <row r="62" spans="1:15">
      <c r="J62" s="235"/>
      <c r="K62" s="66"/>
      <c r="L62" s="64"/>
      <c r="M62" s="64"/>
      <c r="N62" s="64"/>
      <c r="O62" s="64"/>
    </row>
    <row r="63" spans="1:15">
      <c r="J63" s="235"/>
      <c r="K63" s="66"/>
      <c r="L63" s="64"/>
      <c r="M63" s="64"/>
      <c r="N63" s="64"/>
      <c r="O63" s="64"/>
    </row>
    <row r="64" spans="1:15">
      <c r="J64" s="235"/>
      <c r="K64" s="62"/>
      <c r="L64" s="62"/>
      <c r="M64" s="62"/>
      <c r="N64" s="62"/>
      <c r="O64" s="62"/>
    </row>
    <row r="66" spans="10:15">
      <c r="J66" s="61"/>
      <c r="K66" s="61"/>
      <c r="L66" s="67"/>
      <c r="M66" s="67"/>
      <c r="N66" s="67"/>
      <c r="O66" s="67"/>
    </row>
    <row r="67" spans="10:15">
      <c r="J67" s="235"/>
      <c r="K67" s="66"/>
      <c r="L67" s="64"/>
      <c r="M67" s="64"/>
      <c r="N67" s="64"/>
      <c r="O67" s="64"/>
    </row>
    <row r="68" spans="10:15">
      <c r="J68" s="235"/>
      <c r="K68" s="66"/>
      <c r="L68" s="64"/>
      <c r="M68" s="64"/>
      <c r="N68" s="64"/>
      <c r="O68" s="64"/>
    </row>
    <row r="69" spans="10:15">
      <c r="J69" s="235"/>
      <c r="K69" s="66"/>
      <c r="L69" s="64"/>
      <c r="M69" s="64"/>
      <c r="N69" s="64"/>
      <c r="O69" s="64"/>
    </row>
    <row r="70" spans="10:15">
      <c r="J70" s="235"/>
      <c r="K70" s="66"/>
      <c r="L70" s="64"/>
      <c r="M70" s="64"/>
      <c r="N70" s="64"/>
      <c r="O70" s="64"/>
    </row>
    <row r="71" spans="10:15">
      <c r="J71" s="235"/>
      <c r="K71" s="66"/>
      <c r="L71" s="64"/>
      <c r="M71" s="64"/>
      <c r="N71" s="64"/>
      <c r="O71" s="64"/>
    </row>
    <row r="72" spans="10:15">
      <c r="J72" s="235"/>
      <c r="K72" s="66"/>
      <c r="L72" s="64"/>
      <c r="M72" s="64"/>
      <c r="N72" s="64"/>
      <c r="O72" s="64"/>
    </row>
    <row r="73" spans="10:15">
      <c r="J73" s="235"/>
      <c r="K73" s="66"/>
      <c r="L73" s="64"/>
      <c r="M73" s="64"/>
      <c r="N73" s="64"/>
      <c r="O73" s="64"/>
    </row>
    <row r="74" spans="10:15">
      <c r="J74" s="235"/>
      <c r="K74" s="66"/>
      <c r="L74" s="64"/>
      <c r="M74" s="64"/>
      <c r="N74" s="64"/>
      <c r="O74" s="64"/>
    </row>
    <row r="75" spans="10:15">
      <c r="J75" s="235"/>
      <c r="K75" s="66"/>
      <c r="L75" s="64"/>
      <c r="M75" s="64"/>
      <c r="N75" s="64"/>
      <c r="O75" s="64"/>
    </row>
    <row r="76" spans="10:15">
      <c r="J76" s="235"/>
      <c r="K76" s="66"/>
      <c r="L76" s="64"/>
      <c r="M76" s="64"/>
      <c r="N76" s="64"/>
      <c r="O76" s="64"/>
    </row>
    <row r="77" spans="10:15">
      <c r="J77" s="235"/>
      <c r="K77" s="66"/>
      <c r="L77" s="64"/>
      <c r="M77" s="64"/>
      <c r="N77" s="64"/>
      <c r="O77" s="64"/>
    </row>
    <row r="78" spans="10:15">
      <c r="J78" s="235"/>
      <c r="K78" s="66"/>
      <c r="L78" s="64"/>
      <c r="M78" s="64"/>
      <c r="N78" s="64"/>
      <c r="O78" s="64"/>
    </row>
    <row r="79" spans="10:15">
      <c r="J79" s="235"/>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945B89-AC06-4B6A-903F-B1027612D903}"/>
</file>

<file path=customXml/itemProps2.xml><?xml version="1.0" encoding="utf-8"?>
<ds:datastoreItem xmlns:ds="http://schemas.openxmlformats.org/officeDocument/2006/customXml" ds:itemID="{03A65312-EDD8-4ED5-85CD-21EC9D2BFEF5}"/>
</file>

<file path=customXml/itemProps3.xml><?xml version="1.0" encoding="utf-8"?>
<ds:datastoreItem xmlns:ds="http://schemas.openxmlformats.org/officeDocument/2006/customXml" ds:itemID="{AC15AFB1-F6A2-4EFC-B446-51A7CEB5A9BD}"/>
</file>

<file path=customXml/itemProps4.xml><?xml version="1.0" encoding="utf-8"?>
<ds:datastoreItem xmlns:ds="http://schemas.openxmlformats.org/officeDocument/2006/customXml" ds:itemID="{130E79B3-286C-4594-AC93-4243D3FE78E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2023-05-12T10:19:46Z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ies>
</file>