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t Midlands/"/>
    </mc:Choice>
  </mc:AlternateContent>
  <xr:revisionPtr revIDLastSave="0" documentId="11_48FD49217172A573CA2AC6167B31CAFD0FC8197D" xr6:coauthVersionLast="47" xr6:coauthVersionMax="47" xr10:uidLastSave="{00000000-0000-0000-0000-000000000000}"/>
  <bookViews>
    <workbookView xWindow="-108" yWindow="-108" windowWidth="23256" windowHeight="12576" xr2:uid="{00000000-000D-0000-FFFF-FFFF00000000}"/>
  </bookViews>
  <sheets>
    <sheet name="Cover Page" sheetId="2" r:id="rId1"/>
    <sheet name="Contents" sheetId="3" r:id="rId2"/>
    <sheet name="Facility Info" sheetId="4" r:id="rId3"/>
    <sheet name="Operational Summary" sheetId="5" r:id="rId4"/>
    <sheet name="Operational Data" sheetId="6"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state="hidden" r:id="rId21"/>
    <sheet name="CO 95% 10 min" sheetId="30" r:id="rId22"/>
    <sheet name="NH3" sheetId="31" r:id="rId23"/>
  </sheets>
  <definedNames>
    <definedName name="_xlnm.Print_Area" localSheetId="14">'Air (CEMS)'!$A$1:$M$31</definedName>
    <definedName name="_xlnm.Print_Area" localSheetId="13">'Air (periodic)'!$A$1:$K$43</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Page'!$A$1:$J$53</definedName>
    <definedName name="_xlnm.Print_Area" localSheetId="6">'Energy Form 1'!$A$1:$I$29</definedName>
    <definedName name="_xlnm.Print_Area" localSheetId="2">'Facility Info'!$A$1:$I$57</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4">'Operational Data'!$A$1:$H$63</definedName>
    <definedName name="_xlnm.Print_Area" localSheetId="3">'Operational Summary'!$A$1:$I$52</definedName>
    <definedName name="_xlnm.Print_Area" localSheetId="19">Particulates!$A$1:$G$52</definedName>
    <definedName name="_xlnm.Print_Area" localSheetId="5">'Perf. Form 1'!$A$1:$J$53</definedName>
    <definedName name="_xlnm.Print_Area" localSheetId="7">'Permit Compliance'!$A$1:$J$33</definedName>
    <definedName name="_xlnm.Print_Area" localSheetId="9">'Public Liasion'!$A$1:$I$29</definedName>
    <definedName name="_xlnm.Print_Area" localSheetId="11">'Residue Quality '!$A$1:$J$42</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32" l="1"/>
  <c r="D56" i="6" l="1"/>
  <c r="E56" i="6"/>
  <c r="F56" i="6"/>
  <c r="C56" i="6"/>
  <c r="L34" i="27" l="1"/>
  <c r="C7" i="26"/>
  <c r="N34" i="30"/>
  <c r="N19" i="30"/>
  <c r="K23" i="23" l="1"/>
  <c r="K24" i="23"/>
  <c r="J23" i="23"/>
  <c r="J24" i="23"/>
  <c r="F28" i="6"/>
  <c r="G29" i="6"/>
  <c r="C28" i="6"/>
  <c r="G8" i="31" l="1"/>
  <c r="G9" i="31"/>
  <c r="G10" i="31"/>
  <c r="G11" i="31"/>
  <c r="G12" i="31"/>
  <c r="G13" i="31"/>
  <c r="G14" i="31"/>
  <c r="G15" i="31"/>
  <c r="G16" i="31"/>
  <c r="G17" i="31"/>
  <c r="G18" i="31"/>
  <c r="G7" i="31"/>
  <c r="D8" i="31"/>
  <c r="D9" i="31"/>
  <c r="D10" i="31"/>
  <c r="D11" i="31"/>
  <c r="D12" i="31"/>
  <c r="D13" i="31"/>
  <c r="D14" i="31"/>
  <c r="D15" i="31"/>
  <c r="D16" i="31"/>
  <c r="D17" i="31"/>
  <c r="D18" i="31"/>
  <c r="D7" i="31"/>
  <c r="G8" i="28"/>
  <c r="G9" i="28"/>
  <c r="G10" i="28"/>
  <c r="G11" i="28"/>
  <c r="G12" i="28"/>
  <c r="G13" i="28"/>
  <c r="G14" i="28"/>
  <c r="G15" i="28"/>
  <c r="G16" i="28"/>
  <c r="G17" i="28"/>
  <c r="G18" i="28"/>
  <c r="G7" i="28"/>
  <c r="D8" i="28"/>
  <c r="D9" i="28"/>
  <c r="D10" i="28"/>
  <c r="D11" i="28"/>
  <c r="D12" i="28"/>
  <c r="D13" i="28"/>
  <c r="D14" i="28"/>
  <c r="D15" i="28"/>
  <c r="D16" i="28"/>
  <c r="D17" i="28"/>
  <c r="D18" i="28"/>
  <c r="D7" i="28"/>
  <c r="G8" i="27"/>
  <c r="G9" i="27"/>
  <c r="G10" i="27"/>
  <c r="G11" i="27"/>
  <c r="G12" i="27"/>
  <c r="G13" i="27"/>
  <c r="G14" i="27"/>
  <c r="G15" i="27"/>
  <c r="G16" i="27"/>
  <c r="G17" i="27"/>
  <c r="G18" i="27"/>
  <c r="G7" i="27"/>
  <c r="D8" i="27"/>
  <c r="D9" i="27"/>
  <c r="D10" i="27"/>
  <c r="D11" i="27"/>
  <c r="D12" i="27"/>
  <c r="D13" i="27"/>
  <c r="D14" i="27"/>
  <c r="D15" i="27"/>
  <c r="D16" i="27"/>
  <c r="D17" i="27"/>
  <c r="D18" i="27"/>
  <c r="D7" i="27"/>
  <c r="G8" i="26"/>
  <c r="G9" i="26"/>
  <c r="G10" i="26"/>
  <c r="G11" i="26"/>
  <c r="G12" i="26"/>
  <c r="G13" i="26"/>
  <c r="G14" i="26"/>
  <c r="G15" i="26"/>
  <c r="G16" i="26"/>
  <c r="G17" i="26"/>
  <c r="G18" i="26"/>
  <c r="G7" i="26"/>
  <c r="D8" i="26"/>
  <c r="D9" i="26"/>
  <c r="D10" i="26"/>
  <c r="D11" i="26"/>
  <c r="D12" i="26"/>
  <c r="D13" i="26"/>
  <c r="D14" i="26"/>
  <c r="D15" i="26"/>
  <c r="D16" i="26"/>
  <c r="D17" i="26"/>
  <c r="D18" i="26"/>
  <c r="D7" i="26"/>
  <c r="G8" i="25"/>
  <c r="G9" i="25"/>
  <c r="G10" i="25"/>
  <c r="G11" i="25"/>
  <c r="G12" i="25"/>
  <c r="G13" i="25"/>
  <c r="G14" i="25"/>
  <c r="G15" i="25"/>
  <c r="G16" i="25"/>
  <c r="G17" i="25"/>
  <c r="G18" i="25"/>
  <c r="G7" i="25"/>
  <c r="D8" i="25"/>
  <c r="D9" i="25"/>
  <c r="D10" i="25"/>
  <c r="D11" i="25"/>
  <c r="D12" i="25"/>
  <c r="D13" i="25"/>
  <c r="D14" i="25"/>
  <c r="D15" i="25"/>
  <c r="D16" i="25"/>
  <c r="D17" i="25"/>
  <c r="D18" i="25"/>
  <c r="D7" i="25"/>
  <c r="G8" i="13"/>
  <c r="G9" i="13"/>
  <c r="G10" i="13"/>
  <c r="G11" i="13"/>
  <c r="G12" i="13"/>
  <c r="G13" i="13"/>
  <c r="G14" i="13"/>
  <c r="G15" i="13"/>
  <c r="G16" i="13"/>
  <c r="G17" i="13"/>
  <c r="G18" i="13"/>
  <c r="G7" i="13"/>
  <c r="D8" i="13"/>
  <c r="D9" i="13"/>
  <c r="D10" i="13"/>
  <c r="D11" i="13"/>
  <c r="D12" i="13"/>
  <c r="D13" i="13"/>
  <c r="D14" i="13"/>
  <c r="D15" i="13"/>
  <c r="D16" i="13"/>
  <c r="D17" i="13"/>
  <c r="D18" i="13"/>
  <c r="D7" i="13"/>
  <c r="F8" i="31" l="1"/>
  <c r="F9" i="31"/>
  <c r="F10" i="31"/>
  <c r="F11" i="31"/>
  <c r="F12" i="31"/>
  <c r="F13" i="31"/>
  <c r="F14" i="31"/>
  <c r="F15" i="31"/>
  <c r="F16" i="31"/>
  <c r="F17" i="31"/>
  <c r="F18" i="31"/>
  <c r="F7" i="31"/>
  <c r="C8" i="31"/>
  <c r="C9" i="31"/>
  <c r="C10" i="31"/>
  <c r="C11" i="31"/>
  <c r="C12" i="31"/>
  <c r="C13" i="31"/>
  <c r="C14" i="31"/>
  <c r="C15" i="31"/>
  <c r="C16" i="31"/>
  <c r="C17" i="31"/>
  <c r="C18" i="31"/>
  <c r="C7" i="31"/>
  <c r="D7" i="30"/>
  <c r="G8" i="30"/>
  <c r="H8" i="30"/>
  <c r="G9" i="30"/>
  <c r="H9" i="30"/>
  <c r="G10" i="30"/>
  <c r="H10" i="30"/>
  <c r="G11" i="30"/>
  <c r="H11" i="30"/>
  <c r="G12" i="30"/>
  <c r="H12" i="30"/>
  <c r="G13" i="30"/>
  <c r="H13" i="30"/>
  <c r="G14" i="30"/>
  <c r="H14" i="30"/>
  <c r="G15" i="30"/>
  <c r="H15" i="30"/>
  <c r="G16" i="30"/>
  <c r="H16" i="30"/>
  <c r="G17" i="30"/>
  <c r="H17" i="30"/>
  <c r="G18" i="30"/>
  <c r="H18" i="30"/>
  <c r="H7" i="30"/>
  <c r="G7"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E7" i="30"/>
  <c r="C7" i="30"/>
  <c r="F8" i="28"/>
  <c r="F9" i="28"/>
  <c r="F10" i="28"/>
  <c r="F11" i="28"/>
  <c r="F12" i="28"/>
  <c r="F13" i="28"/>
  <c r="F14" i="28"/>
  <c r="F15" i="28"/>
  <c r="F16" i="28"/>
  <c r="F17" i="28"/>
  <c r="F18" i="28"/>
  <c r="F7" i="28"/>
  <c r="C8" i="28"/>
  <c r="C9" i="28"/>
  <c r="C10" i="28"/>
  <c r="C11" i="28"/>
  <c r="C12" i="28"/>
  <c r="C13" i="28"/>
  <c r="C14" i="28"/>
  <c r="C15" i="28"/>
  <c r="C16" i="28"/>
  <c r="C17" i="28"/>
  <c r="C18" i="28"/>
  <c r="C7" i="28"/>
  <c r="F8" i="27"/>
  <c r="F9" i="27"/>
  <c r="F10" i="27"/>
  <c r="F11" i="27"/>
  <c r="F12" i="27"/>
  <c r="F13" i="27"/>
  <c r="F14" i="27"/>
  <c r="F15" i="27"/>
  <c r="F16" i="27"/>
  <c r="F17" i="27"/>
  <c r="F18" i="27"/>
  <c r="F7" i="27"/>
  <c r="C8" i="27"/>
  <c r="C9" i="27"/>
  <c r="C10" i="27"/>
  <c r="C11" i="27"/>
  <c r="C12" i="27"/>
  <c r="C13" i="27"/>
  <c r="C14" i="27"/>
  <c r="C15" i="27"/>
  <c r="C16" i="27"/>
  <c r="C17" i="27"/>
  <c r="C18" i="27"/>
  <c r="C7" i="27"/>
  <c r="F8" i="26"/>
  <c r="F9" i="26"/>
  <c r="F10" i="26"/>
  <c r="F11" i="26"/>
  <c r="F12" i="26"/>
  <c r="F13" i="26"/>
  <c r="F14" i="26"/>
  <c r="F15" i="26"/>
  <c r="F16" i="26"/>
  <c r="F17" i="26"/>
  <c r="F18" i="26"/>
  <c r="F7" i="26"/>
  <c r="C8" i="26"/>
  <c r="C9" i="26"/>
  <c r="C10" i="26"/>
  <c r="C11" i="26"/>
  <c r="C12" i="26"/>
  <c r="C13" i="26"/>
  <c r="C14" i="26"/>
  <c r="C15" i="26"/>
  <c r="C16" i="26"/>
  <c r="C17" i="26"/>
  <c r="C18" i="26"/>
  <c r="F8" i="25"/>
  <c r="F9" i="25"/>
  <c r="F10" i="25"/>
  <c r="F11" i="25"/>
  <c r="F12" i="25"/>
  <c r="F13" i="25"/>
  <c r="F14" i="25"/>
  <c r="F15" i="25"/>
  <c r="F16" i="25"/>
  <c r="F17" i="25"/>
  <c r="F18" i="25"/>
  <c r="F7" i="25"/>
  <c r="C8" i="25"/>
  <c r="C9" i="25"/>
  <c r="C10" i="25"/>
  <c r="C11" i="25"/>
  <c r="C12" i="25"/>
  <c r="C13" i="25"/>
  <c r="C14" i="25"/>
  <c r="C15" i="25"/>
  <c r="C16" i="25"/>
  <c r="C17" i="25"/>
  <c r="C18" i="25"/>
  <c r="C7" i="25"/>
  <c r="F8" i="13"/>
  <c r="F9" i="13"/>
  <c r="F10" i="13"/>
  <c r="F11" i="13"/>
  <c r="F12" i="13"/>
  <c r="F13" i="13"/>
  <c r="F14" i="13"/>
  <c r="F15" i="13"/>
  <c r="F16" i="13"/>
  <c r="F17" i="13"/>
  <c r="F18" i="13"/>
  <c r="F7" i="13"/>
  <c r="C8" i="13"/>
  <c r="C9" i="13"/>
  <c r="C10" i="13"/>
  <c r="C11" i="13"/>
  <c r="C12" i="13"/>
  <c r="C13" i="13"/>
  <c r="C14" i="13"/>
  <c r="C15" i="13"/>
  <c r="C16" i="13"/>
  <c r="C17" i="13"/>
  <c r="C18" i="13"/>
  <c r="C7" i="13"/>
  <c r="C26" i="6" l="1"/>
  <c r="D18" i="6" l="1"/>
  <c r="H32" i="21" l="1"/>
  <c r="D26" i="6" l="1"/>
  <c r="E26" i="6"/>
  <c r="F26" i="6"/>
  <c r="G26" i="6"/>
  <c r="K13" i="23" l="1"/>
  <c r="K14" i="23"/>
  <c r="K15" i="23"/>
  <c r="K16" i="23"/>
  <c r="K17" i="23"/>
  <c r="K18" i="23"/>
  <c r="K19" i="23"/>
  <c r="K20" i="23"/>
  <c r="K21" i="23"/>
  <c r="K22" i="23"/>
  <c r="K25" i="23"/>
  <c r="K26" i="23"/>
  <c r="K27" i="23"/>
  <c r="K28" i="23"/>
  <c r="K29" i="23"/>
  <c r="K30" i="23"/>
  <c r="K31" i="23"/>
  <c r="K32" i="23"/>
  <c r="K33" i="23"/>
  <c r="K34" i="23"/>
  <c r="K35" i="23"/>
  <c r="K36" i="23"/>
  <c r="K37" i="23"/>
  <c r="K38" i="23"/>
  <c r="K39" i="23"/>
  <c r="K40" i="23"/>
  <c r="K12" i="23"/>
  <c r="J13" i="23"/>
  <c r="J14" i="23"/>
  <c r="J15" i="23"/>
  <c r="J16" i="23"/>
  <c r="J17" i="23"/>
  <c r="J18" i="23"/>
  <c r="J19" i="23"/>
  <c r="J20" i="23"/>
  <c r="J21" i="23"/>
  <c r="J22" i="23"/>
  <c r="J25" i="23"/>
  <c r="J26" i="23"/>
  <c r="J27" i="23"/>
  <c r="J28" i="23"/>
  <c r="J29" i="23"/>
  <c r="J30" i="23"/>
  <c r="J31" i="23"/>
  <c r="J32" i="23"/>
  <c r="J33" i="23"/>
  <c r="J34" i="23"/>
  <c r="J35" i="23"/>
  <c r="J36" i="23"/>
  <c r="J37" i="23"/>
  <c r="J38" i="23"/>
  <c r="J39" i="23"/>
  <c r="J40" i="23"/>
  <c r="J12" i="23"/>
  <c r="G26" i="24" l="1"/>
  <c r="M19" i="30"/>
  <c r="D26" i="24" s="1"/>
  <c r="E26" i="24"/>
  <c r="G3" i="8"/>
  <c r="G53" i="6"/>
  <c r="C46" i="7"/>
  <c r="I12" i="7"/>
  <c r="H59" i="6"/>
  <c r="G42" i="6"/>
  <c r="E33" i="7" s="1"/>
  <c r="G34" i="6"/>
  <c r="E11" i="7" s="1"/>
  <c r="G25" i="6"/>
  <c r="C8" i="32" s="1"/>
  <c r="H53" i="6" l="1"/>
  <c r="G3" i="7"/>
  <c r="B5" i="8" l="1"/>
  <c r="C1" i="32" l="1"/>
  <c r="A1" i="32"/>
  <c r="I20" i="7" l="1"/>
  <c r="I21" i="7"/>
  <c r="I22" i="7"/>
  <c r="I14" i="7"/>
  <c r="C18" i="6" l="1"/>
  <c r="G13" i="6" l="1"/>
  <c r="G45" i="6"/>
  <c r="H45" i="6" s="1"/>
  <c r="J3" i="31" l="1"/>
  <c r="J3" i="30"/>
  <c r="J3" i="29"/>
  <c r="J3" i="28"/>
  <c r="J3" i="27"/>
  <c r="J3" i="26"/>
  <c r="J3" i="25"/>
  <c r="J3" i="13"/>
  <c r="G19" i="6" l="1"/>
  <c r="G55" i="6" l="1"/>
  <c r="H55" i="6" s="1"/>
  <c r="G57" i="6" l="1"/>
  <c r="I46" i="7" s="1"/>
  <c r="G63" i="6"/>
  <c r="G62" i="6"/>
  <c r="G61" i="6"/>
  <c r="C47" i="7" s="1"/>
  <c r="G59" i="6"/>
  <c r="G54" i="6"/>
  <c r="G58" i="6"/>
  <c r="H54" i="6" l="1"/>
  <c r="D46" i="7"/>
  <c r="G56" i="6"/>
  <c r="H62" i="6"/>
  <c r="C48" i="7"/>
  <c r="H57" i="6"/>
  <c r="H56" i="6"/>
  <c r="E18" i="6"/>
  <c r="F18" i="6"/>
  <c r="G21" i="6" l="1"/>
  <c r="E1" i="31"/>
  <c r="A1" i="31"/>
  <c r="E1" i="30"/>
  <c r="A1" i="30"/>
  <c r="E1" i="29"/>
  <c r="A1" i="29"/>
  <c r="E1" i="28"/>
  <c r="A1" i="28"/>
  <c r="E1" i="27"/>
  <c r="A1" i="27"/>
  <c r="E1" i="26"/>
  <c r="A1" i="26"/>
  <c r="E1" i="25"/>
  <c r="A1" i="25"/>
  <c r="E1" i="13"/>
  <c r="A1" i="13"/>
  <c r="I1" i="24"/>
  <c r="A1" i="24"/>
  <c r="E1" i="23"/>
  <c r="A1" i="23"/>
  <c r="E1" i="22"/>
  <c r="A1" i="22"/>
  <c r="H1" i="21"/>
  <c r="A1" i="21"/>
  <c r="E1" i="11"/>
  <c r="A1" i="11"/>
  <c r="E1" i="10"/>
  <c r="A1" i="10"/>
  <c r="E1" i="9"/>
  <c r="A1" i="9"/>
  <c r="E1" i="6"/>
  <c r="A1" i="6"/>
  <c r="E1" i="5"/>
  <c r="A1" i="5"/>
  <c r="E1" i="4"/>
  <c r="A1" i="4"/>
  <c r="E1" i="3"/>
  <c r="A1" i="3"/>
  <c r="O77" i="31"/>
  <c r="N77" i="31"/>
  <c r="M77" i="31"/>
  <c r="L77" i="31"/>
  <c r="O62" i="31"/>
  <c r="N62" i="31"/>
  <c r="M62" i="31"/>
  <c r="L62" i="31"/>
  <c r="O49" i="31"/>
  <c r="N49" i="31"/>
  <c r="M49" i="31"/>
  <c r="L49" i="31"/>
  <c r="O34" i="31"/>
  <c r="F27" i="24" s="1"/>
  <c r="N34" i="31"/>
  <c r="G27" i="24" s="1"/>
  <c r="M34" i="31"/>
  <c r="L34" i="31"/>
  <c r="O19" i="31"/>
  <c r="D27" i="24" s="1"/>
  <c r="N19" i="31"/>
  <c r="E27"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7" i="30"/>
  <c r="P77" i="30"/>
  <c r="O77" i="30"/>
  <c r="M77" i="30"/>
  <c r="Q62" i="30"/>
  <c r="P62" i="30"/>
  <c r="O62" i="30"/>
  <c r="M62" i="30"/>
  <c r="Q49" i="30"/>
  <c r="P49" i="30"/>
  <c r="O49" i="30"/>
  <c r="M49" i="30"/>
  <c r="Q34" i="30"/>
  <c r="F24" i="24" s="1"/>
  <c r="P34" i="30"/>
  <c r="G24" i="24" s="1"/>
  <c r="O34" i="30"/>
  <c r="M34" i="30"/>
  <c r="F26" i="24" s="1"/>
  <c r="Q19" i="30"/>
  <c r="D24" i="24" s="1"/>
  <c r="P19" i="30"/>
  <c r="E24" i="24" s="1"/>
  <c r="O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4"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7" i="28"/>
  <c r="N77" i="28"/>
  <c r="M77" i="28"/>
  <c r="L77" i="28"/>
  <c r="O62" i="28"/>
  <c r="N62" i="28"/>
  <c r="M62" i="28"/>
  <c r="L62" i="28"/>
  <c r="O49" i="28"/>
  <c r="N49" i="28"/>
  <c r="M49" i="28"/>
  <c r="L49" i="28"/>
  <c r="O34" i="28"/>
  <c r="F16" i="24" s="1"/>
  <c r="N34" i="28"/>
  <c r="G16" i="24" s="1"/>
  <c r="M34" i="28"/>
  <c r="F17" i="24" s="1"/>
  <c r="L34" i="28"/>
  <c r="G17" i="24" s="1"/>
  <c r="O19" i="28"/>
  <c r="D16" i="24" s="1"/>
  <c r="N19" i="28"/>
  <c r="E16" i="24" s="1"/>
  <c r="M19" i="28"/>
  <c r="D17" i="24" s="1"/>
  <c r="L19" i="28"/>
  <c r="E17" i="24" s="1"/>
  <c r="A6" i="28"/>
  <c r="J64" i="28" s="1"/>
  <c r="O77" i="27"/>
  <c r="N77" i="27"/>
  <c r="M77" i="27"/>
  <c r="L77" i="27"/>
  <c r="O62" i="27"/>
  <c r="N62" i="27"/>
  <c r="M62" i="27"/>
  <c r="L62" i="27"/>
  <c r="O49" i="27"/>
  <c r="N49" i="27"/>
  <c r="M49" i="27"/>
  <c r="L49" i="27"/>
  <c r="O34" i="27"/>
  <c r="F18" i="24" s="1"/>
  <c r="N34" i="27"/>
  <c r="G18" i="24" s="1"/>
  <c r="M34" i="27"/>
  <c r="F19" i="24" s="1"/>
  <c r="G19" i="24"/>
  <c r="O19" i="27"/>
  <c r="D18" i="24" s="1"/>
  <c r="N19" i="27"/>
  <c r="E18" i="24" s="1"/>
  <c r="M19" i="27"/>
  <c r="D19" i="24" s="1"/>
  <c r="L19" i="27"/>
  <c r="E19" i="24" s="1"/>
  <c r="A6" i="27"/>
  <c r="J64" i="27" s="1"/>
  <c r="O77" i="26"/>
  <c r="N77" i="26"/>
  <c r="M77" i="26"/>
  <c r="L77" i="26"/>
  <c r="O62" i="26"/>
  <c r="N62" i="26"/>
  <c r="M62" i="26"/>
  <c r="L62" i="26"/>
  <c r="O49" i="26"/>
  <c r="N49" i="26"/>
  <c r="M49" i="26"/>
  <c r="L49" i="26"/>
  <c r="O34" i="26"/>
  <c r="F14" i="24" s="1"/>
  <c r="N34" i="26"/>
  <c r="M34" i="26"/>
  <c r="F15" i="24" s="1"/>
  <c r="L34" i="26"/>
  <c r="G15" i="24" s="1"/>
  <c r="O19" i="26"/>
  <c r="D14" i="24" s="1"/>
  <c r="N19" i="26"/>
  <c r="M19" i="26"/>
  <c r="D15" i="24" s="1"/>
  <c r="L19" i="26"/>
  <c r="E15" i="24" s="1"/>
  <c r="A6" i="26"/>
  <c r="J64" i="26" s="1"/>
  <c r="O77" i="25"/>
  <c r="N77" i="25"/>
  <c r="M77" i="25"/>
  <c r="L77" i="25"/>
  <c r="O62" i="25"/>
  <c r="N62" i="25"/>
  <c r="M62" i="25"/>
  <c r="L62" i="25"/>
  <c r="O49" i="25"/>
  <c r="N49" i="25"/>
  <c r="M49" i="25"/>
  <c r="L49" i="25"/>
  <c r="O34" i="25"/>
  <c r="F22" i="24" s="1"/>
  <c r="N34" i="25"/>
  <c r="G22" i="24" s="1"/>
  <c r="M34" i="25"/>
  <c r="F23" i="24" s="1"/>
  <c r="L34" i="25"/>
  <c r="G23" i="24" s="1"/>
  <c r="O19" i="25"/>
  <c r="D22" i="24" s="1"/>
  <c r="N19" i="25"/>
  <c r="E22" i="24" s="1"/>
  <c r="M19" i="25"/>
  <c r="D23" i="24" s="1"/>
  <c r="L19" i="25"/>
  <c r="E23" i="24" s="1"/>
  <c r="A6" i="25"/>
  <c r="J64" i="25" s="1"/>
  <c r="O77" i="13"/>
  <c r="N77" i="13"/>
  <c r="M77" i="13"/>
  <c r="L77" i="13"/>
  <c r="O62" i="13"/>
  <c r="N62" i="13"/>
  <c r="M62" i="13"/>
  <c r="L62" i="13"/>
  <c r="O49" i="13"/>
  <c r="N49" i="13"/>
  <c r="M49" i="13"/>
  <c r="L49" i="13"/>
  <c r="O34" i="13"/>
  <c r="F20" i="24" s="1"/>
  <c r="N34" i="13"/>
  <c r="G20" i="24" s="1"/>
  <c r="M34" i="13"/>
  <c r="F21" i="24" s="1"/>
  <c r="L34" i="13"/>
  <c r="G21" i="24" s="1"/>
  <c r="O19" i="13"/>
  <c r="D20" i="24" s="1"/>
  <c r="N19" i="13"/>
  <c r="E20" i="24" s="1"/>
  <c r="M19" i="13"/>
  <c r="D21" i="24" s="1"/>
  <c r="L19" i="13"/>
  <c r="E21" i="24" s="1"/>
  <c r="A6" i="13"/>
  <c r="J64" i="13" s="1"/>
  <c r="C19" i="32" l="1"/>
  <c r="C17" i="32"/>
  <c r="C7" i="32"/>
  <c r="I11" i="7"/>
  <c r="H33" i="7"/>
  <c r="H42" i="6"/>
  <c r="H25" i="6"/>
  <c r="G14" i="24"/>
  <c r="E14" i="24"/>
  <c r="J36" i="27"/>
  <c r="J64"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G7" i="8"/>
  <c r="D7" i="8"/>
  <c r="A3" i="8"/>
  <c r="A1" i="8"/>
  <c r="E23" i="7"/>
  <c r="G15" i="7"/>
  <c r="B4" i="7"/>
  <c r="A3" i="7"/>
  <c r="A1" i="7"/>
  <c r="A8" i="7" s="1"/>
  <c r="H63" i="6"/>
  <c r="H61" i="6"/>
  <c r="G50" i="6"/>
  <c r="G49" i="6"/>
  <c r="G48" i="6"/>
  <c r="G47" i="6"/>
  <c r="H47" i="6" s="1"/>
  <c r="G46" i="6"/>
  <c r="H46" i="6" s="1"/>
  <c r="G44" i="6"/>
  <c r="H44" i="6" s="1"/>
  <c r="G43" i="6"/>
  <c r="H43" i="6" s="1"/>
  <c r="G39" i="6"/>
  <c r="H39" i="6" s="1"/>
  <c r="G38" i="6"/>
  <c r="H38" i="6" s="1"/>
  <c r="G37" i="6"/>
  <c r="G36" i="6"/>
  <c r="G35" i="6"/>
  <c r="H34" i="6"/>
  <c r="G30" i="6"/>
  <c r="H29" i="6"/>
  <c r="G27" i="6"/>
  <c r="H26" i="6"/>
  <c r="G24" i="6"/>
  <c r="G28" i="6" s="1"/>
  <c r="G20" i="6"/>
  <c r="H20" i="6" s="1"/>
  <c r="G15" i="6"/>
  <c r="H15" i="6" s="1"/>
  <c r="G14" i="6"/>
  <c r="G12" i="6"/>
  <c r="H12" i="6" s="1"/>
  <c r="G11" i="6"/>
  <c r="G10" i="6"/>
  <c r="G9" i="6"/>
  <c r="G8" i="6"/>
  <c r="H37" i="6" l="1"/>
  <c r="E13" i="7"/>
  <c r="H36" i="6"/>
  <c r="G19" i="7"/>
  <c r="I19" i="7" s="1"/>
  <c r="H35" i="6"/>
  <c r="G18" i="7"/>
  <c r="H48" i="6"/>
  <c r="G13" i="8" s="1"/>
  <c r="D13" i="8"/>
  <c r="D10" i="8"/>
  <c r="H24" i="6"/>
  <c r="G10" i="8" s="1"/>
  <c r="G18" i="6"/>
  <c r="H13" i="6" s="1"/>
  <c r="D11" i="8"/>
  <c r="H27" i="6"/>
  <c r="D14" i="8"/>
  <c r="H30" i="6"/>
  <c r="D12" i="8"/>
  <c r="E35" i="7"/>
  <c r="H35" i="7" s="1"/>
  <c r="E37" i="7"/>
  <c r="H37" i="7" s="1"/>
  <c r="E36" i="7"/>
  <c r="H36" i="7" s="1"/>
  <c r="E34" i="7"/>
  <c r="H34" i="7" s="1"/>
  <c r="A31" i="7"/>
  <c r="A43" i="7" s="1"/>
  <c r="I13" i="7" l="1"/>
  <c r="E15" i="7"/>
  <c r="I18" i="7"/>
  <c r="G23" i="7"/>
  <c r="H21" i="6"/>
  <c r="H18" i="6"/>
  <c r="H8" i="6"/>
  <c r="H19" i="6"/>
  <c r="H10" i="6"/>
  <c r="G11" i="8"/>
  <c r="G12" i="8"/>
  <c r="H14" i="6"/>
  <c r="G14" i="8"/>
  <c r="H11" i="6"/>
  <c r="H9" i="6"/>
  <c r="I15" i="7" l="1"/>
  <c r="E24" i="7"/>
  <c r="G24" i="7"/>
  <c r="I24" i="7" s="1"/>
  <c r="I23" i="7"/>
</calcChain>
</file>

<file path=xl/sharedStrings.xml><?xml version="1.0" encoding="utf-8"?>
<sst xmlns="http://schemas.openxmlformats.org/spreadsheetml/2006/main" count="1589" uniqueCount="456">
  <si>
    <t>Add company logo</t>
  </si>
  <si>
    <t>Version 22.3  30/11/22</t>
  </si>
  <si>
    <t>Add photo</t>
  </si>
  <si>
    <t>Notes:</t>
  </si>
  <si>
    <t>This template may require adjustments by individual operators to meet specific reporting requirements as defined in the site Permit(s)</t>
  </si>
  <si>
    <t>Annual Performance Report 2022</t>
  </si>
  <si>
    <t>Permit EPR/HP3431HK</t>
  </si>
  <si>
    <t>Staffordshire Energy Recovery Facility</t>
  </si>
  <si>
    <t>Veolia ES Staffordshire Limited</t>
  </si>
  <si>
    <t>Year:</t>
  </si>
  <si>
    <t>Address:</t>
  </si>
  <si>
    <t>The Dell, Enterprise Drive, Four Ashes, Wolverhampton, Staffordshire, WV10 7DF</t>
  </si>
  <si>
    <t xml:space="preserve">Tel: </t>
  </si>
  <si>
    <t>0203 567 6300</t>
  </si>
  <si>
    <t xml:space="preserve">Email: </t>
  </si>
  <si>
    <t>christine.skaramaga@veolia.com</t>
  </si>
  <si>
    <t>Prepared by:</t>
  </si>
  <si>
    <t>Christine Skaramaga</t>
  </si>
  <si>
    <t>Position:</t>
  </si>
  <si>
    <t>Senior Environmental Engineer</t>
  </si>
  <si>
    <t>Approved by:</t>
  </si>
  <si>
    <t>Robert Foster</t>
  </si>
  <si>
    <t>Facility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</si>
  <si>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</si>
  <si>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</si>
  <si>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</si>
  <si>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</si>
  <si>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</si>
  <si>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</si>
  <si>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</si>
  <si>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</si>
  <si>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</si>
  <si>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</si>
  <si>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</si>
  <si>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</si>
  <si>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</si>
  <si>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</si>
  <si>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</si>
  <si>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</si>
  <si>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</si>
  <si>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</si>
  <si>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</si>
  <si>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</si>
  <si>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</si>
  <si>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</si>
  <si>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</si>
  <si>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Nitrogen emissions</t>
  </si>
  <si>
    <t>Total Organic Carbon emissions</t>
  </si>
  <si>
    <t>Particulate Matter emissions</t>
  </si>
  <si>
    <t>Carbon Monoxide emissions</t>
  </si>
  <si>
    <t>Ammonia emissions</t>
  </si>
  <si>
    <t>Version Control</t>
  </si>
  <si>
    <t>Information</t>
  </si>
  <si>
    <t>Date</t>
  </si>
  <si>
    <t>Distribution</t>
  </si>
  <si>
    <t>Copy</t>
  </si>
  <si>
    <t>Name, Role</t>
  </si>
  <si>
    <t>No.</t>
  </si>
  <si>
    <t>Clive Wall, EA PPC Compliance Officer</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</si>
  <si>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</si>
  <si>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</si>
  <si>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 The ERF is operated by Veolia ES Staffordshire Ltd, a wholly owned subsidiary of Veolia. The plant is designed to burn predominantly residual municipal solid waste and has a capacity to process up to 340,000 tonnes annually. The facility has been built to serve Staffordshire County Council, its eight constituent Councils and its other partner authorities.
The facility can generate approximately 29MW of electricity from waste. The facility uses 3.2MW and the balance is exported to the national grid. In tangible terms the electricity generated is equivalent to 66,000 homes. 
Technical details of the plant:
     - Construcions Industrielles de la Mediterranee (CNIM) - Design
     - Maximum Permitted Refuse throughput – 340,000 tonnes per annum
     - Storage capacity 4,500 tonnes - Approximately four and a half days full plant capacity
     - Number of tipping bays - 5
     - Steam output – 64.5 tonnes of steam per hour at 400degC at 60bar
     - Flue gas treatment - CNIM ammonia injection for the reduction of NOx, dry lime injection for the
       removal of acid gases, activated carbon injection for removal of metals and dioxins followed by
       high performance bag filters for removal of particulates, dispersal via two 80 metre high stacks
     - Maximum energy generating capacity 29MW
The ERF is regulated by the Environment Agency and is certified in compliance with:
     - ISO 9001:2008
     - ISO 14001:2004
     - ISO 45001:2018</t>
  </si>
  <si>
    <t xml:space="preserve">Include summary of plant design, design capacity, no. of combustion lines, electrical and heat capacity and any other general information that descibes the facility, its location and purpose </t>
  </si>
  <si>
    <t>Summary of Operational Processes and Procedures</t>
  </si>
  <si>
    <t>All gaseous emissions generated during the combustion process pass through an extensive flue gas cleaning process which starts in the boiler directly above the furnace with injected ammonia to reduce the levels of oxides of nitrogen. After the boiler, super heater and economiser the gases are cooled to approximately 150 degrees Celsius. Activated carbon is added to remove metals and dioxins and lime is added to remove acidic gases such as SO2 and HCl. Most of this reaction occurs in the bag filters where particulates are removed and APCr is formed. There is recirculation of APC where the used lime and carbon is recirculated further to remove chlorinated gases via a recirculation silo. This secondary reactant is recirculated back to the original process via a lab loop. The cleaned gasses are finally released into the atmosphere through the chimney after the bag house. 
In compliance with the IED and EPR Permit, the flue gasses are continuously monitored using MCertS accredited equipment. In addition to the continuous monitoring, and extractive sampling campaign is undertaken twice a year by an approved service supplier. The organisation used for analysis and monitoring is accredited by the United Kingdom Accreditation Service (UKAS) and the Environment Agency's Monitoring Certification Scheme (MCertS).
Through the process there is continuous emissions monitoring of six main pollutants with ELVs using MCertS approved instruments. The pollutants measured in this way comprise: particulate matter (total), total organic carbon, carbon monoxide, sulphur dioxide, hydrogen chloride and oxides of nitrogen.
Staffordshire ERF has an experienced Veolia management team from other existing plants. The plant has been designed using proven technology and experience and is performing well. The plant supports our company ethos, as we operate 10 facilities in the UK. Reliable environmental controls and a robust management system ensure that compliance with the Industrial Emissions Directive and EPR Permit.
Veolia staff are aware of the environmental impacts of their work and exercise a high standard of housekeeping. Training and competency of staff is controlled by the Veolia Business Management System. The Management System covers training, awareness and competence. The company identifies the training requirements of its employees and provides suitable resources to ensure they have the required knowledge, skills and expertise to carry out their duties.</t>
  </si>
  <si>
    <t>Include summary of key processes and procedures such as (but not limited to); waste reception, control rooms, grate, bed and bolier, energy &amp; heat  generation, cooling systems, residue management, emission controls, health and safety systems, maintenance</t>
  </si>
  <si>
    <t>Summary of Plant Operations and Maintenance during the reporting year</t>
  </si>
  <si>
    <t xml:space="preserve">Plant minor outage 
Boiler cleaning &amp; NDT survey
Grate inspection
Manual isolation valves replaced
Boiler pressure parts, headers &amp; tubes replaced
Full boiler clean
Refractory inspection &amp; repairs
Primary air heaters cleaned &amp; minor repair works
Final economiser grit blast cleaned
Bag filter inlet duct cleaned &amp; inspected
ACC clean
N2O &amp; CO2 continious emissions monitoring analysers BS EN 14181 calibration
</t>
  </si>
  <si>
    <t xml:space="preserve">Include summary of key operational and/or mainteanance activity undertaken in the year, such as any major component upgrades and/or replacements </t>
  </si>
  <si>
    <t>Summary of Residue Handling for the reporting year</t>
  </si>
  <si>
    <t>The plant has undergone rigorous testing to prove that the IBA is non-hazardous. The IBA is of a consistently high standard and there have been no failures in the last 24 samples. IBA is transported to Blue Phoenix in Castle Bromwich, where it is reprocessed into a number of different graded aggregates. Metals are further extracted from the process and recycled. 
In addition to Dioxins/Furans and dioxin-like PCB's, Total Organic Carbon, metals tested in IBA are Antimony, Cadmium, Thallium, Mercury, Lead, Chromium, Copper, Manganese, Nickel, Arsenic, Cobalt, Vanadium, Zinc and their compounds.
APC residue is the fine particulate matter that is removed at the end of the gas cleansing process. It contains residues from the waste gas and the reactants used to treat the gas. APC is captured in the bag house filters in the plant before the gas is emitted and dispersed through the ERFs two 80m stacks. The APC from the Staffordshire ERF is sent to another Veolia facility for use in their treatment facility, Empire Works, or, for permanent storage at Minosus.</t>
  </si>
  <si>
    <t xml:space="preserve">Include in here a summary of residue handling regimes and destinations </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</si>
  <si>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</si>
  <si>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</si>
  <si>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</si>
  <si>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</si>
  <si>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</si>
  <si>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</si>
  <si>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</si>
  <si>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</si>
  <si>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</si>
  <si>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</si>
  <si>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</si>
  <si>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</si>
  <si>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</si>
  <si>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</si>
  <si>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</si>
  <si>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</si>
  <si>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</si>
  <si>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</si>
  <si>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</si>
  <si>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</si>
  <si>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</si>
  <si>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</si>
  <si>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</si>
  <si>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</si>
  <si>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</si>
  <si>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</si>
  <si>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</si>
  <si>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</si>
  <si>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</si>
  <si>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</si>
  <si>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</si>
  <si>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</si>
  <si>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</si>
  <si>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</si>
  <si>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</si>
  <si>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</si>
  <si>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</si>
  <si>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</si>
  <si>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</si>
  <si>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</si>
  <si>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</si>
  <si>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</si>
  <si>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</si>
  <si>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</si>
  <si>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</si>
  <si>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</si>
  <si>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</si>
  <si>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Interceptor waste</t>
  </si>
  <si>
    <t>Other</t>
  </si>
  <si>
    <t>Raw Material Usage</t>
  </si>
  <si>
    <t>kg or Ltr /te</t>
  </si>
  <si>
    <t>Mains Water</t>
  </si>
  <si>
    <t>m3</t>
  </si>
  <si>
    <t>Other Water</t>
  </si>
  <si>
    <t>Ammonia</t>
  </si>
  <si>
    <t>kgs</t>
  </si>
  <si>
    <t>Urea</t>
  </si>
  <si>
    <t>Activated Carbon</t>
  </si>
  <si>
    <t>Lime / hydrated lime</t>
  </si>
  <si>
    <t>Fuel oil</t>
  </si>
  <si>
    <t>ltrs</t>
  </si>
  <si>
    <t>Gas</t>
  </si>
  <si>
    <t>cf</t>
  </si>
  <si>
    <t xml:space="preserve">Summary </t>
  </si>
  <si>
    <t>Line/Unit</t>
  </si>
  <si>
    <t xml:space="preserve">Hrs in year </t>
  </si>
  <si>
    <t>Availability of waste combustion by line, hrs</t>
  </si>
  <si>
    <t>Overall Availability, mean avg. of all lines, hrs</t>
  </si>
  <si>
    <t>Hours of turbine operations, hrs</t>
  </si>
  <si>
    <t>x %</t>
  </si>
  <si>
    <t>Hours of heat / steam export</t>
  </si>
  <si>
    <t>Net Calorific Value of waste</t>
  </si>
  <si>
    <t>MJ/kg</t>
  </si>
  <si>
    <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</si>
  <si>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</si>
  <si>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</si>
  <si>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</si>
  <si>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</si>
  <si>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</si>
  <si>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</si>
  <si>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</si>
  <si>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</si>
  <si>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</si>
  <si>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</si>
  <si>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</si>
  <si>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</si>
  <si>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</si>
  <si>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</si>
  <si>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</si>
  <si>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</si>
  <si>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</si>
  <si>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</si>
  <si>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</si>
  <si>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</si>
  <si>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D09 / D12</t>
  </si>
  <si>
    <t>IBA</t>
  </si>
  <si>
    <t>D09</t>
  </si>
  <si>
    <t>Total Hazardous Waste</t>
  </si>
  <si>
    <t>2) Non-Hazardous Wastes</t>
  </si>
  <si>
    <t>R05</t>
  </si>
  <si>
    <t>Ferrous Metal</t>
  </si>
  <si>
    <t>R04</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</si>
  <si>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</si>
  <si>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</si>
  <si>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</si>
  <si>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</si>
  <si>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</si>
  <si>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</si>
  <si>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</si>
  <si>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</si>
  <si>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</si>
  <si>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</si>
  <si>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</si>
  <si>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</si>
  <si>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</si>
  <si>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</si>
  <si>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</si>
  <si>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</si>
  <si>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</si>
  <si>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</si>
  <si>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</si>
  <si>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</si>
  <si>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</si>
  <si>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</si>
  <si>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</si>
  <si>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</si>
  <si>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</si>
  <si>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</si>
  <si>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</si>
  <si>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</si>
  <si>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One half half of abnormal operation on A1 in relation to dust occurred at 02/03/22</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</si>
  <si>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</si>
  <si>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</si>
  <si>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</si>
  <si>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</si>
  <si>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</si>
  <si>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</si>
  <si>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</si>
  <si>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</si>
  <si>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</si>
  <si>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</si>
  <si>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</si>
  <si>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 xml:space="preserve">Signed: </t>
  </si>
  <si>
    <t>Date:</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</si>
  <si>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</si>
  <si>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</si>
  <si>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</si>
  <si>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</si>
  <si>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</si>
  <si>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</si>
  <si>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</si>
  <si>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</si>
  <si>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</si>
  <si>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</si>
  <si>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</si>
  <si>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</si>
  <si>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100 % or 
100% 95% of 10-min averages</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</si>
  <si>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</si>
  <si>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</si>
  <si>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</si>
  <si>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</si>
  <si>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</si>
  <si>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</si>
  <si>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L1 dust: One half hour of abnormal operation</t>
  </si>
  <si>
    <t>Broken bag on cell no.2</t>
  </si>
  <si>
    <t>All cell bags to be inspected in the planned shutdown and defective bags to be replaced</t>
  </si>
  <si>
    <t>L1 SO2: One half hour exceedance</t>
  </si>
  <si>
    <t>SO2 process spike</t>
  </si>
  <si>
    <t>n/a</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</si>
  <si>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</si>
  <si>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</si>
  <si>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</si>
  <si>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</si>
  <si>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</si>
  <si>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</si>
  <si>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</si>
  <si>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All improvement conditions have been previously completed.</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</si>
  <si>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</si>
  <si>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</si>
  <si>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</si>
  <si>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</si>
  <si>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</si>
  <si>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Monthly</t>
  </si>
  <si>
    <t>Contract meeting with Staffordshire W2R partnership (held online due to COVID-19)</t>
  </si>
  <si>
    <t>Quarterly</t>
  </si>
  <si>
    <t>W2R partners meetings (continue to be held online due to COVID-19)</t>
  </si>
  <si>
    <t>List of events planned for next year</t>
  </si>
  <si>
    <t>Contract meeting with Staffordshire W2R partnership</t>
  </si>
  <si>
    <t>W2R partners meetings</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</si>
  <si>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</si>
  <si>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</si>
  <si>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</si>
  <si>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</si>
  <si>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</si>
  <si>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</si>
  <si>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</si>
  <si>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</si>
  <si>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CEM data</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</si>
  <si>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</si>
  <si>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</si>
  <si>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</si>
  <si>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</si>
  <si>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</si>
  <si>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</si>
  <si>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</si>
  <si>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</si>
  <si>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</si>
  <si>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</si>
  <si>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2017 WRAP data</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</si>
  <si>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</si>
  <si>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</si>
  <si>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</si>
  <si>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</si>
  <si>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</si>
  <si>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</si>
  <si>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</si>
  <si>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 xml:space="preserve">As per permit requirements </t>
  </si>
  <si>
    <t>Commentary on any specific events</t>
  </si>
  <si>
    <t>Date &amp; Event</t>
  </si>
  <si>
    <t>Residue Quality Monitoring Results</t>
  </si>
  <si>
    <t xml:space="preserve">Parameter (unit) </t>
  </si>
  <si>
    <t>Limit</t>
  </si>
  <si>
    <t xml:space="preserve">Normal Operation </t>
  </si>
  <si>
    <t xml:space="preserve">Bottom ash  </t>
  </si>
  <si>
    <t>Average</t>
  </si>
  <si>
    <t>Loss on Ignition (average %)</t>
  </si>
  <si>
    <t>&lt;5%</t>
  </si>
  <si>
    <t>Total Organic Carbon (average %)</t>
  </si>
  <si>
    <t>&lt;3%</t>
  </si>
  <si>
    <t>No. of Assessments Undertaken</t>
  </si>
  <si>
    <t>---</t>
  </si>
  <si>
    <t>No. of Hazardous Results</t>
  </si>
  <si>
    <t>Comments :</t>
  </si>
  <si>
    <t>As per Severn Trent discharge consent of trade effluent to public foul sewer</t>
  </si>
  <si>
    <t>Emissions to Water / Sewer</t>
  </si>
  <si>
    <t>Monitoring Frequency</t>
  </si>
  <si>
    <t>Target</t>
  </si>
  <si>
    <t>Max.</t>
  </si>
  <si>
    <t>pH</t>
  </si>
  <si>
    <t>Periodic</t>
  </si>
  <si>
    <t>6 to 10</t>
  </si>
  <si>
    <t>COD</t>
  </si>
  <si>
    <t>Suspended solids</t>
  </si>
  <si>
    <t>Summary of monitoring undertaken, standards used and compliance</t>
  </si>
  <si>
    <t>As per permit requirements</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</si>
  <si>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</si>
  <si>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</si>
  <si>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</si>
  <si>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</si>
  <si>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</si>
  <si>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r>
      <t xml:space="preserve">A1 </t>
    </r>
    <r>
      <rPr>
        <b/>
        <sz val="8"/>
        <color theme="1"/>
        <rFont val="Arial"/>
        <family val="2"/>
      </rPr>
      <t>(Q1/Q2)</t>
    </r>
  </si>
  <si>
    <r>
      <t xml:space="preserve">A2 </t>
    </r>
    <r>
      <rPr>
        <b/>
        <sz val="8"/>
        <color theme="1"/>
        <rFont val="Arial"/>
        <family val="2"/>
      </rPr>
      <t>(Q1/Q2)</t>
    </r>
  </si>
  <si>
    <r>
      <t xml:space="preserve">A1 </t>
    </r>
    <r>
      <rPr>
        <b/>
        <sz val="8"/>
        <color theme="1"/>
        <rFont val="Arial"/>
        <family val="2"/>
      </rPr>
      <t>(Q3/Q4)</t>
    </r>
  </si>
  <si>
    <r>
      <t xml:space="preserve">A2 </t>
    </r>
    <r>
      <rPr>
        <b/>
        <sz val="8"/>
        <color theme="1"/>
        <rFont val="Arial"/>
        <family val="2"/>
      </rPr>
      <t>(Q3/Q4)</t>
    </r>
  </si>
  <si>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</si>
  <si>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</si>
  <si>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</si>
  <si>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</si>
  <si>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</si>
  <si>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</si>
  <si>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</si>
  <si>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</si>
  <si>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</si>
  <si>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</si>
  <si>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</si>
  <si>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</si>
  <si>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</si>
  <si>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</si>
  <si>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</si>
  <si>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</si>
  <si>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</si>
  <si>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</si>
  <si>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Nitrous Oxide (N2O)</t>
  </si>
  <si>
    <t>1hr</t>
  </si>
  <si>
    <r>
      <t>None set mg/m</t>
    </r>
    <r>
      <rPr>
        <vertAlign val="superscript"/>
        <sz val="10"/>
        <color theme="1"/>
        <rFont val="Arial"/>
        <family val="2"/>
      </rPr>
      <t>3</t>
    </r>
  </si>
  <si>
    <t>Total PAH</t>
  </si>
  <si>
    <r>
      <t>None set µg/m</t>
    </r>
    <r>
      <rPr>
        <vertAlign val="superscript"/>
        <sz val="10"/>
        <color theme="1"/>
        <rFont val="Arial"/>
        <family val="2"/>
      </rPr>
      <t>3</t>
    </r>
  </si>
  <si>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</si>
  <si>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</si>
  <si>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</si>
  <si>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</si>
  <si>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</si>
  <si>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</si>
  <si>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</si>
  <si>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</si>
  <si>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</si>
  <si>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</si>
  <si>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</si>
  <si>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</si>
  <si>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</si>
  <si>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</si>
  <si>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</si>
  <si>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</si>
  <si>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</si>
  <si>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</si>
  <si>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MCERTS CEMs System</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</si>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</sst>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0000"/>
    <numFmt numFmtId="170" formatCode="0.0"/>
  </numFmts>
  <fonts count="38"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b/>
      <sz val="8"/>
      <color theme="1"/>
      <name val="Arial"/>
      <family val="2"/>
    </font>
    <font>
      <b/>
      <sz val="12"/>
      <color rgb="FF00000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413">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0" fillId="0" borderId="3" xfId="0" applyFont="1" applyBorder="1" applyAlignment="1">
      <alignment horizontal="center" vertical="center" wrapText="1"/>
    </xf>
    <xf numFmtId="0" fontId="10" fillId="3" borderId="2" xfId="0" applyFont="1" applyFill="1" applyBorder="1" applyAlignment="1">
      <alignment horizontal="left" vertical="center" wrapText="1"/>
    </xf>
    <xf numFmtId="0" fontId="10" fillId="0" borderId="5" xfId="0" applyFont="1" applyBorder="1" applyAlignment="1">
      <alignment horizontal="center" vertical="center" wrapText="1"/>
    </xf>
    <xf numFmtId="0" fontId="1" fillId="3" borderId="9" xfId="0" applyFont="1" applyFill="1" applyBorder="1"/>
    <xf numFmtId="16" fontId="1" fillId="5" borderId="2" xfId="0" applyNumberFormat="1" applyFont="1" applyFill="1" applyBorder="1" applyAlignment="1">
      <alignment horizontal="center" vertical="center" wrapText="1"/>
    </xf>
    <xf numFmtId="0" fontId="18" fillId="0" borderId="4" xfId="0" applyFont="1" applyBorder="1" applyAlignment="1">
      <alignment vertical="center" wrapText="1"/>
    </xf>
    <xf numFmtId="166" fontId="10" fillId="0" borderId="0" xfId="1" applyNumberFormat="1" applyFont="1" applyAlignment="1">
      <alignment horizontal="center"/>
    </xf>
    <xf numFmtId="0" fontId="1" fillId="0" borderId="2" xfId="0" applyFont="1" applyBorder="1" applyAlignment="1">
      <alignment horizontal="center" vertical="center" wrapText="1"/>
    </xf>
    <xf numFmtId="43" fontId="10" fillId="0" borderId="0" xfId="1" applyFont="1" applyBorder="1" applyAlignment="1">
      <alignment horizontal="center"/>
    </xf>
    <xf numFmtId="0" fontId="1" fillId="0" borderId="0" xfId="0" applyFont="1" applyAlignment="1">
      <alignment horizontal="center" vertical="center"/>
    </xf>
    <xf numFmtId="0" fontId="1" fillId="0" borderId="2" xfId="0" applyFont="1" applyBorder="1" applyAlignment="1">
      <alignment horizontal="center"/>
    </xf>
    <xf numFmtId="0" fontId="1" fillId="2" borderId="2" xfId="0" applyFont="1" applyFill="1" applyBorder="1" applyAlignment="1">
      <alignment horizontal="center" vertical="top" wrapText="1"/>
    </xf>
    <xf numFmtId="170" fontId="6" fillId="0" borderId="2" xfId="0" applyNumberFormat="1" applyFont="1" applyBorder="1" applyAlignment="1">
      <alignment horizontal="center"/>
    </xf>
    <xf numFmtId="0" fontId="2" fillId="5" borderId="2" xfId="0" applyFont="1" applyFill="1" applyBorder="1" applyAlignment="1">
      <alignment horizontal="center" vertical="top"/>
    </xf>
    <xf numFmtId="2" fontId="2" fillId="5" borderId="2" xfId="0" applyNumberFormat="1" applyFont="1" applyFill="1" applyBorder="1" applyAlignment="1">
      <alignment horizontal="center" vertical="top"/>
    </xf>
    <xf numFmtId="1" fontId="2" fillId="5" borderId="2" xfId="0" applyNumberFormat="1" applyFont="1" applyFill="1" applyBorder="1" applyAlignment="1">
      <alignment horizontal="center" vertical="top"/>
    </xf>
    <xf numFmtId="10" fontId="2" fillId="0" borderId="2" xfId="0" applyNumberFormat="1" applyFont="1" applyBorder="1" applyAlignment="1">
      <alignment horizontal="center" vertical="top"/>
    </xf>
    <xf numFmtId="2" fontId="6" fillId="0" borderId="2" xfId="0" applyNumberFormat="1" applyFont="1" applyBorder="1" applyAlignment="1">
      <alignment horizontal="center"/>
    </xf>
    <xf numFmtId="0" fontId="6" fillId="0" borderId="2" xfId="0" applyFont="1" applyBorder="1" applyAlignment="1">
      <alignment horizontal="center"/>
    </xf>
    <xf numFmtId="0" fontId="1" fillId="2" borderId="2" xfId="0" applyFont="1" applyFill="1" applyBorder="1" applyAlignment="1">
      <alignment horizontal="center" vertical="center" wrapText="1"/>
    </xf>
    <xf numFmtId="0" fontId="1" fillId="2" borderId="2" xfId="0" applyFont="1" applyFill="1" applyBorder="1" applyAlignment="1">
      <alignment horizontal="left"/>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43" fontId="1" fillId="2" borderId="0" xfId="1" applyFont="1" applyFill="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43" fontId="1" fillId="0" borderId="10" xfId="0" applyNumberFormat="1" applyFont="1" applyBorder="1" applyAlignment="1">
      <alignment horizont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164" fontId="1" fillId="5" borderId="0" xfId="1" applyNumberFormat="1" applyFont="1" applyFill="1" applyAlignment="1">
      <alignment horizont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9" xfId="0" applyFont="1" applyBorder="1" applyAlignment="1">
      <alignment wrapText="1"/>
    </xf>
    <xf numFmtId="165" fontId="1" fillId="0" borderId="10" xfId="2" quotePrefix="1" applyNumberFormat="1" applyFont="1" applyBorder="1" applyAlignment="1">
      <alignment horizontal="center"/>
    </xf>
    <xf numFmtId="166" fontId="1" fillId="2" borderId="0" xfId="1" applyNumberFormat="1" applyFont="1" applyFill="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0" fontId="1" fillId="3" borderId="2" xfId="0" applyFont="1" applyFill="1" applyBorder="1" applyAlignment="1">
      <alignment vertical="center" wrapText="1"/>
    </xf>
    <xf numFmtId="0" fontId="2" fillId="2" borderId="2" xfId="0" applyFont="1" applyFill="1" applyBorder="1"/>
    <xf numFmtId="0" fontId="2" fillId="3" borderId="2" xfId="0" applyFont="1" applyFill="1" applyBorder="1" applyAlignment="1">
      <alignment horizontal="center"/>
    </xf>
    <xf numFmtId="0" fontId="2" fillId="3" borderId="2" xfId="0" applyFont="1" applyFill="1" applyBorder="1"/>
    <xf numFmtId="14" fontId="1" fillId="2" borderId="2" xfId="0" applyNumberFormat="1" applyFont="1" applyFill="1" applyBorder="1" applyAlignment="1">
      <alignment horizontal="left" vertical="center"/>
    </xf>
    <xf numFmtId="14" fontId="1" fillId="2" borderId="2" xfId="0" applyNumberFormat="1" applyFont="1" applyFill="1" applyBorder="1" applyAlignment="1">
      <alignment horizontal="left"/>
    </xf>
    <xf numFmtId="9" fontId="1" fillId="0" borderId="2" xfId="0" applyNumberFormat="1" applyFont="1" applyBorder="1" applyAlignment="1">
      <alignment horizontal="center" vertical="center" wrapText="1"/>
    </xf>
    <xf numFmtId="0" fontId="1" fillId="5" borderId="2" xfId="0" applyFont="1" applyFill="1" applyBorder="1" applyAlignment="1">
      <alignment horizontal="center" vertical="center" wrapText="1"/>
    </xf>
    <xf numFmtId="169" fontId="1" fillId="5" borderId="2" xfId="0" applyNumberFormat="1"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0" fontId="1" fillId="8" borderId="2" xfId="0" applyFont="1" applyFill="1" applyBorder="1" applyAlignment="1">
      <alignment horizontal="center" vertical="center" wrapText="1"/>
    </xf>
    <xf numFmtId="0" fontId="1" fillId="0" borderId="1" xfId="0" applyFont="1" applyBorder="1" applyAlignment="1">
      <alignment horizontal="left" vertical="center" wrapText="1"/>
    </xf>
    <xf numFmtId="0" fontId="1" fillId="3" borderId="2" xfId="0" applyFont="1" applyFill="1" applyBorder="1" applyAlignment="1">
      <alignment horizontal="center" vertical="center" wrapText="1"/>
    </xf>
    <xf numFmtId="0" fontId="1" fillId="0" borderId="1" xfId="0" applyFont="1" applyBorder="1" applyAlignment="1">
      <alignment horizontal="center" vertical="center" wrapText="1"/>
    </xf>
    <xf numFmtId="2" fontId="1" fillId="5" borderId="1" xfId="0" applyNumberFormat="1" applyFont="1" applyFill="1" applyBorder="1" applyAlignment="1">
      <alignment horizontal="center" vertical="center" wrapText="1"/>
    </xf>
    <xf numFmtId="0" fontId="1" fillId="8" borderId="1"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vertical="center"/>
    </xf>
    <xf numFmtId="0" fontId="6" fillId="2" borderId="0" xfId="0" applyFont="1" applyFill="1" applyAlignment="1">
      <alignment horizontal="center" vertical="center"/>
    </xf>
    <xf numFmtId="0" fontId="2" fillId="2" borderId="0" xfId="0" applyFont="1" applyFill="1" applyAlignment="1">
      <alignment horizontal="center"/>
    </xf>
    <xf numFmtId="14" fontId="2" fillId="2" borderId="0" xfId="0" applyNumberFormat="1" applyFont="1" applyFill="1" applyAlignment="1">
      <alignment horizontal="center"/>
    </xf>
    <xf numFmtId="0" fontId="35"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vertical="top"/>
    </xf>
    <xf numFmtId="0" fontId="1" fillId="2" borderId="2" xfId="0" applyFont="1" applyFill="1" applyBorder="1" applyAlignment="1">
      <alignment horizontal="left"/>
    </xf>
    <xf numFmtId="0" fontId="10" fillId="0" borderId="2" xfId="0" applyFont="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3" fontId="1" fillId="2" borderId="1" xfId="0" applyNumberFormat="1"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center"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3"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3" fontId="1" fillId="0" borderId="1" xfId="0" applyNumberFormat="1" applyFont="1" applyBorder="1" applyAlignment="1">
      <alignment horizontal="center" vertical="center" wrapText="1"/>
    </xf>
    <xf numFmtId="168" fontId="1" fillId="0" borderId="1" xfId="0" applyNumberFormat="1" applyFont="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0" fillId="0" borderId="2" xfId="0" applyFont="1" applyBorder="1" applyAlignment="1">
      <alignment vertical="center" wrapText="1"/>
    </xf>
    <xf numFmtId="3"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2" xfId="0" applyFont="1" applyFill="1" applyBorder="1" applyAlignment="1">
      <alignment horizontal="left" vertical="center" wrapText="1"/>
    </xf>
    <xf numFmtId="167" fontId="6" fillId="0" borderId="0" xfId="0" applyNumberFormat="1" applyFont="1" applyAlignment="1">
      <alignment horizontal="center" vertical="top"/>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2" fontId="1" fillId="0" borderId="2" xfId="0" applyNumberFormat="1" applyFont="1" applyBorder="1" applyAlignment="1">
      <alignment horizontal="center" vertical="center"/>
    </xf>
    <xf numFmtId="1" fontId="1" fillId="3" borderId="2" xfId="0" applyNumberFormat="1" applyFont="1" applyFill="1" applyBorder="1" applyAlignment="1">
      <alignment horizontal="center" vertical="center" wrapText="1"/>
    </xf>
    <xf numFmtId="14" fontId="15" fillId="0" borderId="12" xfId="0" applyNumberFormat="1" applyFont="1" applyBorder="1" applyAlignment="1">
      <alignment horizontal="left"/>
    </xf>
    <xf numFmtId="0" fontId="15" fillId="0" borderId="12" xfId="0" applyFont="1" applyBorder="1" applyAlignment="1">
      <alignment horizontal="left"/>
    </xf>
    <xf numFmtId="0" fontId="1" fillId="2" borderId="2" xfId="0" applyFont="1" applyFill="1"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0" fontId="1" fillId="2" borderId="2" xfId="0" applyNumberFormat="1"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vertical="center"/>
    </xf>
    <xf numFmtId="0" fontId="1" fillId="2" borderId="2" xfId="0" applyFont="1" applyFill="1" applyBorder="1" applyAlignment="1">
      <alignment horizontal="left" wrapText="1"/>
    </xf>
    <xf numFmtId="0" fontId="1" fillId="2" borderId="3" xfId="0" applyFont="1" applyFill="1" applyBorder="1" applyAlignment="1">
      <alignment horizontal="left" wrapText="1"/>
    </xf>
    <xf numFmtId="0" fontId="1" fillId="2" borderId="3" xfId="0" applyFont="1" applyFill="1" applyBorder="1" applyAlignment="1">
      <alignment horizontal="left"/>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vertical="top"/>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0" borderId="0" xfId="0" applyAlignment="1">
      <alignment wrapText="1"/>
    </xf>
    <xf numFmtId="0" fontId="2" fillId="0" borderId="0" xfId="0" applyFont="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 fillId="5" borderId="2" xfId="0" applyFont="1" applyFill="1" applyBorder="1" applyAlignment="1">
      <alignment horizontal="center" vertical="center" wrapText="1"/>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23" fillId="0" borderId="0" xfId="0" applyFont="1" applyAlignment="1">
      <alignment horizontal="left" vertical="top" wrapText="1"/>
    </xf>
    <xf numFmtId="0" fontId="18" fillId="0" borderId="3"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 fillId="0" borderId="1" xfId="0" applyFont="1" applyBorder="1" applyAlignment="1">
      <alignment horizontal="left" vertical="center" wrapText="1"/>
    </xf>
    <xf numFmtId="0" fontId="1" fillId="0" borderId="14" xfId="0" applyFont="1" applyBorder="1" applyAlignment="1">
      <alignment horizontal="left" vertical="center" wrapText="1"/>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1" fillId="0" borderId="15" xfId="0" applyFont="1" applyBorder="1" applyAlignment="1">
      <alignment horizontal="left"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3.4</c:v>
                </c:pt>
                <c:pt idx="1">
                  <c:v>2.6</c:v>
                </c:pt>
                <c:pt idx="2">
                  <c:v>3.2</c:v>
                </c:pt>
                <c:pt idx="3">
                  <c:v>2.85</c:v>
                </c:pt>
                <c:pt idx="4">
                  <c:v>4.3499999999999996</c:v>
                </c:pt>
                <c:pt idx="5">
                  <c:v>4.0999999999999996</c:v>
                </c:pt>
                <c:pt idx="6">
                  <c:v>5.55</c:v>
                </c:pt>
                <c:pt idx="7">
                  <c:v>4.9000000000000004</c:v>
                </c:pt>
                <c:pt idx="8">
                  <c:v>5.15</c:v>
                </c:pt>
                <c:pt idx="9">
                  <c:v>4</c:v>
                </c:pt>
                <c:pt idx="10">
                  <c:v>4.3499999999999996</c:v>
                </c:pt>
                <c:pt idx="11">
                  <c:v>4.3499999999999996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19.100000000000001</c:v>
                </c:pt>
                <c:pt idx="1">
                  <c:v>9.5</c:v>
                </c:pt>
                <c:pt idx="2">
                  <c:v>17.5</c:v>
                </c:pt>
                <c:pt idx="3">
                  <c:v>14.6</c:v>
                </c:pt>
                <c:pt idx="4">
                  <c:v>14</c:v>
                </c:pt>
                <c:pt idx="5">
                  <c:v>11.4</c:v>
                </c:pt>
                <c:pt idx="6">
                  <c:v>29.2</c:v>
                </c:pt>
                <c:pt idx="7">
                  <c:v>16.3</c:v>
                </c:pt>
                <c:pt idx="8">
                  <c:v>14.3</c:v>
                </c:pt>
                <c:pt idx="9">
                  <c:v>11.4</c:v>
                </c:pt>
                <c:pt idx="10">
                  <c:v>36.700000000000003</c:v>
                </c:pt>
                <c:pt idx="11">
                  <c:v>19.600000000000001</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3.35</c:v>
                </c:pt>
                <c:pt idx="1">
                  <c:v>2.5</c:v>
                </c:pt>
                <c:pt idx="2">
                  <c:v>3.15</c:v>
                </c:pt>
                <c:pt idx="3">
                  <c:v>2.8</c:v>
                </c:pt>
                <c:pt idx="4">
                  <c:v>4.25</c:v>
                </c:pt>
                <c:pt idx="5">
                  <c:v>4.0500000000000007</c:v>
                </c:pt>
                <c:pt idx="6">
                  <c:v>5.55</c:v>
                </c:pt>
                <c:pt idx="7">
                  <c:v>4.9000000000000004</c:v>
                </c:pt>
                <c:pt idx="8">
                  <c:v>5.0999999999999996</c:v>
                </c:pt>
                <c:pt idx="9">
                  <c:v>3.95</c:v>
                </c:pt>
                <c:pt idx="10">
                  <c:v>4.3499999999999996</c:v>
                </c:pt>
                <c:pt idx="11">
                  <c:v>4.3</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5.4</c:v>
                </c:pt>
                <c:pt idx="1">
                  <c:v>3.7</c:v>
                </c:pt>
                <c:pt idx="2">
                  <c:v>6.6</c:v>
                </c:pt>
                <c:pt idx="3">
                  <c:v>6.4</c:v>
                </c:pt>
                <c:pt idx="4">
                  <c:v>7.6</c:v>
                </c:pt>
                <c:pt idx="5">
                  <c:v>7.1</c:v>
                </c:pt>
                <c:pt idx="6">
                  <c:v>7.9</c:v>
                </c:pt>
                <c:pt idx="7">
                  <c:v>7.2</c:v>
                </c:pt>
                <c:pt idx="8">
                  <c:v>6.3</c:v>
                </c:pt>
                <c:pt idx="9">
                  <c:v>6</c:v>
                </c:pt>
                <c:pt idx="10">
                  <c:v>6.5</c:v>
                </c:pt>
                <c:pt idx="11">
                  <c:v>8.1</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729521424"/>
        <c:axId val="476037080"/>
      </c:lineChart>
      <c:catAx>
        <c:axId val="729521424"/>
        <c:scaling>
          <c:orientation val="minMax"/>
        </c:scaling>
        <c:delete val="0"/>
        <c:axPos val="b"/>
        <c:numFmt formatCode="General" sourceLinked="1"/>
        <c:majorTickMark val="out"/>
        <c:minorTickMark val="none"/>
        <c:tickLblPos val="nextTo"/>
        <c:crossAx val="476037080"/>
        <c:crosses val="autoZero"/>
        <c:auto val="1"/>
        <c:lblAlgn val="ctr"/>
        <c:lblOffset val="100"/>
        <c:noMultiLvlLbl val="0"/>
      </c:catAx>
      <c:valAx>
        <c:axId val="47603708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295214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30.25</c:v>
                </c:pt>
                <c:pt idx="1">
                  <c:v>40.049999999999997</c:v>
                </c:pt>
                <c:pt idx="2">
                  <c:v>37.9</c:v>
                </c:pt>
                <c:pt idx="3">
                  <c:v>36.9</c:v>
                </c:pt>
                <c:pt idx="4">
                  <c:v>39.4</c:v>
                </c:pt>
                <c:pt idx="5">
                  <c:v>37.5</c:v>
                </c:pt>
                <c:pt idx="6">
                  <c:v>36.599999999999994</c:v>
                </c:pt>
                <c:pt idx="7">
                  <c:v>30.55</c:v>
                </c:pt>
                <c:pt idx="8">
                  <c:v>36.5</c:v>
                </c:pt>
                <c:pt idx="9">
                  <c:v>39.349999999999994</c:v>
                </c:pt>
                <c:pt idx="10">
                  <c:v>38.35</c:v>
                </c:pt>
                <c:pt idx="11">
                  <c:v>37.25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163.5</c:v>
                </c:pt>
                <c:pt idx="1">
                  <c:v>175.2</c:v>
                </c:pt>
                <c:pt idx="2">
                  <c:v>141.6</c:v>
                </c:pt>
                <c:pt idx="3">
                  <c:v>169.5</c:v>
                </c:pt>
                <c:pt idx="4">
                  <c:v>130</c:v>
                </c:pt>
                <c:pt idx="5">
                  <c:v>116.8</c:v>
                </c:pt>
                <c:pt idx="6">
                  <c:v>140.19999999999999</c:v>
                </c:pt>
                <c:pt idx="7">
                  <c:v>131</c:v>
                </c:pt>
                <c:pt idx="8">
                  <c:v>156.5</c:v>
                </c:pt>
                <c:pt idx="9">
                  <c:v>136.5</c:v>
                </c:pt>
                <c:pt idx="10">
                  <c:v>155.19999999999999</c:v>
                </c:pt>
                <c:pt idx="11">
                  <c:v>252.2</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30.2</c:v>
                </c:pt>
                <c:pt idx="1">
                  <c:v>40</c:v>
                </c:pt>
                <c:pt idx="2">
                  <c:v>38.049999999999997</c:v>
                </c:pt>
                <c:pt idx="3">
                  <c:v>37.099999999999994</c:v>
                </c:pt>
                <c:pt idx="4">
                  <c:v>39.4</c:v>
                </c:pt>
                <c:pt idx="5">
                  <c:v>37.799999999999997</c:v>
                </c:pt>
                <c:pt idx="6">
                  <c:v>36.549999999999997</c:v>
                </c:pt>
                <c:pt idx="7">
                  <c:v>30.85</c:v>
                </c:pt>
                <c:pt idx="8">
                  <c:v>36.25</c:v>
                </c:pt>
                <c:pt idx="9">
                  <c:v>39.25</c:v>
                </c:pt>
                <c:pt idx="10">
                  <c:v>38.6</c:v>
                </c:pt>
                <c:pt idx="11">
                  <c:v>37.25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48.1</c:v>
                </c:pt>
                <c:pt idx="1">
                  <c:v>47</c:v>
                </c:pt>
                <c:pt idx="2">
                  <c:v>46.1</c:v>
                </c:pt>
                <c:pt idx="3">
                  <c:v>47.9</c:v>
                </c:pt>
                <c:pt idx="4">
                  <c:v>47.5</c:v>
                </c:pt>
                <c:pt idx="5">
                  <c:v>46.6</c:v>
                </c:pt>
                <c:pt idx="6">
                  <c:v>47.3</c:v>
                </c:pt>
                <c:pt idx="7">
                  <c:v>47.2</c:v>
                </c:pt>
                <c:pt idx="8">
                  <c:v>47.4</c:v>
                </c:pt>
                <c:pt idx="9">
                  <c:v>48.1</c:v>
                </c:pt>
                <c:pt idx="10">
                  <c:v>48.4</c:v>
                </c:pt>
                <c:pt idx="11">
                  <c:v>47.1</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727581544"/>
        <c:axId val="727582720"/>
      </c:lineChart>
      <c:catAx>
        <c:axId val="727581544"/>
        <c:scaling>
          <c:orientation val="minMax"/>
        </c:scaling>
        <c:delete val="0"/>
        <c:axPos val="b"/>
        <c:numFmt formatCode="General" sourceLinked="1"/>
        <c:majorTickMark val="out"/>
        <c:minorTickMark val="none"/>
        <c:tickLblPos val="nextTo"/>
        <c:crossAx val="727582720"/>
        <c:crosses val="autoZero"/>
        <c:auto val="1"/>
        <c:lblAlgn val="ctr"/>
        <c:lblOffset val="100"/>
        <c:noMultiLvlLbl val="0"/>
      </c:catAx>
      <c:valAx>
        <c:axId val="7275827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275815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155.5</c:v>
                </c:pt>
                <c:pt idx="1">
                  <c:v>152.55000000000001</c:v>
                </c:pt>
                <c:pt idx="2">
                  <c:v>157.15</c:v>
                </c:pt>
                <c:pt idx="3">
                  <c:v>156.44999999999999</c:v>
                </c:pt>
                <c:pt idx="4">
                  <c:v>161.10000000000002</c:v>
                </c:pt>
                <c:pt idx="5">
                  <c:v>161.35</c:v>
                </c:pt>
                <c:pt idx="6">
                  <c:v>163.44999999999999</c:v>
                </c:pt>
                <c:pt idx="7">
                  <c:v>163.89999999999998</c:v>
                </c:pt>
                <c:pt idx="8">
                  <c:v>163.15</c:v>
                </c:pt>
                <c:pt idx="9">
                  <c:v>162.15</c:v>
                </c:pt>
                <c:pt idx="10">
                  <c:v>158.1</c:v>
                </c:pt>
                <c:pt idx="11">
                  <c:v>161.30000000000001</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312.8</c:v>
                </c:pt>
                <c:pt idx="1">
                  <c:v>299.39999999999998</c:v>
                </c:pt>
                <c:pt idx="2">
                  <c:v>300.5</c:v>
                </c:pt>
                <c:pt idx="3">
                  <c:v>303.39999999999998</c:v>
                </c:pt>
                <c:pt idx="4">
                  <c:v>296.39999999999998</c:v>
                </c:pt>
                <c:pt idx="5">
                  <c:v>290.5</c:v>
                </c:pt>
                <c:pt idx="6">
                  <c:v>281.2</c:v>
                </c:pt>
                <c:pt idx="7">
                  <c:v>227.1</c:v>
                </c:pt>
                <c:pt idx="8">
                  <c:v>302.39999999999998</c:v>
                </c:pt>
                <c:pt idx="9">
                  <c:v>288.7</c:v>
                </c:pt>
                <c:pt idx="10">
                  <c:v>284.5</c:v>
                </c:pt>
                <c:pt idx="11">
                  <c:v>290.2</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155.39999999999998</c:v>
                </c:pt>
                <c:pt idx="1">
                  <c:v>152.44999999999999</c:v>
                </c:pt>
                <c:pt idx="2">
                  <c:v>157.19999999999999</c:v>
                </c:pt>
                <c:pt idx="3">
                  <c:v>156.65</c:v>
                </c:pt>
                <c:pt idx="4">
                  <c:v>161.10000000000002</c:v>
                </c:pt>
                <c:pt idx="5">
                  <c:v>161.35</c:v>
                </c:pt>
                <c:pt idx="6">
                  <c:v>163.44999999999999</c:v>
                </c:pt>
                <c:pt idx="7">
                  <c:v>163.75</c:v>
                </c:pt>
                <c:pt idx="8">
                  <c:v>162.9</c:v>
                </c:pt>
                <c:pt idx="9">
                  <c:v>161.94999999999999</c:v>
                </c:pt>
                <c:pt idx="10">
                  <c:v>158.6</c:v>
                </c:pt>
                <c:pt idx="11">
                  <c:v>161.19999999999999</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170.9</c:v>
                </c:pt>
                <c:pt idx="1">
                  <c:v>172.3</c:v>
                </c:pt>
                <c:pt idx="2">
                  <c:v>173.8</c:v>
                </c:pt>
                <c:pt idx="3">
                  <c:v>170.7</c:v>
                </c:pt>
                <c:pt idx="4">
                  <c:v>172.5</c:v>
                </c:pt>
                <c:pt idx="5">
                  <c:v>177.8</c:v>
                </c:pt>
                <c:pt idx="6">
                  <c:v>180.4</c:v>
                </c:pt>
                <c:pt idx="7">
                  <c:v>181.4</c:v>
                </c:pt>
                <c:pt idx="8">
                  <c:v>178.6</c:v>
                </c:pt>
                <c:pt idx="9">
                  <c:v>179.3</c:v>
                </c:pt>
                <c:pt idx="10">
                  <c:v>180.2</c:v>
                </c:pt>
                <c:pt idx="11">
                  <c:v>173.9</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727583504"/>
        <c:axId val="727584288"/>
      </c:lineChart>
      <c:catAx>
        <c:axId val="727583504"/>
        <c:scaling>
          <c:orientation val="minMax"/>
        </c:scaling>
        <c:delete val="0"/>
        <c:axPos val="b"/>
        <c:numFmt formatCode="General" sourceLinked="1"/>
        <c:majorTickMark val="out"/>
        <c:minorTickMark val="none"/>
        <c:tickLblPos val="nextTo"/>
        <c:crossAx val="727584288"/>
        <c:crosses val="autoZero"/>
        <c:auto val="1"/>
        <c:lblAlgn val="ctr"/>
        <c:lblOffset val="100"/>
        <c:noMultiLvlLbl val="0"/>
      </c:catAx>
      <c:valAx>
        <c:axId val="727584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27583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0.05</c:v>
                </c:pt>
                <c:pt idx="1">
                  <c:v>0.15000000000000002</c:v>
                </c:pt>
                <c:pt idx="2">
                  <c:v>0.1</c:v>
                </c:pt>
                <c:pt idx="3">
                  <c:v>0.1</c:v>
                </c:pt>
                <c:pt idx="4">
                  <c:v>0.05</c:v>
                </c:pt>
                <c:pt idx="5">
                  <c:v>0</c:v>
                </c:pt>
                <c:pt idx="6">
                  <c:v>0</c:v>
                </c:pt>
                <c:pt idx="7">
                  <c:v>0</c:v>
                </c:pt>
                <c:pt idx="8">
                  <c:v>0.1</c:v>
                </c:pt>
                <c:pt idx="9">
                  <c:v>0</c:v>
                </c:pt>
                <c:pt idx="10">
                  <c:v>0.05</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6.9</c:v>
                </c:pt>
                <c:pt idx="1">
                  <c:v>5.9</c:v>
                </c:pt>
                <c:pt idx="2">
                  <c:v>5</c:v>
                </c:pt>
                <c:pt idx="3">
                  <c:v>6.4</c:v>
                </c:pt>
                <c:pt idx="4">
                  <c:v>3</c:v>
                </c:pt>
                <c:pt idx="5">
                  <c:v>11.4</c:v>
                </c:pt>
                <c:pt idx="6">
                  <c:v>3.1</c:v>
                </c:pt>
                <c:pt idx="7">
                  <c:v>7.9</c:v>
                </c:pt>
                <c:pt idx="8">
                  <c:v>13.2</c:v>
                </c:pt>
                <c:pt idx="9">
                  <c:v>5.7</c:v>
                </c:pt>
                <c:pt idx="10">
                  <c:v>2.5</c:v>
                </c:pt>
                <c:pt idx="11">
                  <c:v>2.2000000000000002</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0.05</c:v>
                </c:pt>
                <c:pt idx="1">
                  <c:v>0.1</c:v>
                </c:pt>
                <c:pt idx="2">
                  <c:v>0.1</c:v>
                </c:pt>
                <c:pt idx="3">
                  <c:v>0.1</c:v>
                </c:pt>
                <c:pt idx="4">
                  <c:v>0</c:v>
                </c:pt>
                <c:pt idx="5">
                  <c:v>0</c:v>
                </c:pt>
                <c:pt idx="6">
                  <c:v>0</c:v>
                </c:pt>
                <c:pt idx="7">
                  <c:v>0</c:v>
                </c:pt>
                <c:pt idx="8">
                  <c:v>0.1</c:v>
                </c:pt>
                <c:pt idx="9">
                  <c:v>0</c:v>
                </c:pt>
                <c:pt idx="10">
                  <c:v>0</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0.6</c:v>
                </c:pt>
                <c:pt idx="1">
                  <c:v>1.4</c:v>
                </c:pt>
                <c:pt idx="2">
                  <c:v>0.6</c:v>
                </c:pt>
                <c:pt idx="3">
                  <c:v>0.4</c:v>
                </c:pt>
                <c:pt idx="4">
                  <c:v>0.2</c:v>
                </c:pt>
                <c:pt idx="5">
                  <c:v>0.3</c:v>
                </c:pt>
                <c:pt idx="6">
                  <c:v>0.1</c:v>
                </c:pt>
                <c:pt idx="7">
                  <c:v>0.3</c:v>
                </c:pt>
                <c:pt idx="8">
                  <c:v>1.8</c:v>
                </c:pt>
                <c:pt idx="9">
                  <c:v>0.2</c:v>
                </c:pt>
                <c:pt idx="10">
                  <c:v>0.2</c:v>
                </c:pt>
                <c:pt idx="11">
                  <c:v>0.2</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727582328"/>
        <c:axId val="753674752"/>
      </c:lineChart>
      <c:catAx>
        <c:axId val="727582328"/>
        <c:scaling>
          <c:orientation val="minMax"/>
        </c:scaling>
        <c:delete val="0"/>
        <c:axPos val="b"/>
        <c:numFmt formatCode="General" sourceLinked="1"/>
        <c:majorTickMark val="out"/>
        <c:minorTickMark val="none"/>
        <c:tickLblPos val="nextTo"/>
        <c:crossAx val="753674752"/>
        <c:crosses val="autoZero"/>
        <c:auto val="1"/>
        <c:lblAlgn val="ctr"/>
        <c:lblOffset val="100"/>
        <c:noMultiLvlLbl val="0"/>
      </c:catAx>
      <c:valAx>
        <c:axId val="753674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275823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0.3</c:v>
                </c:pt>
                <c:pt idx="1">
                  <c:v>0.35</c:v>
                </c:pt>
                <c:pt idx="2">
                  <c:v>0.3</c:v>
                </c:pt>
                <c:pt idx="3">
                  <c:v>0.35</c:v>
                </c:pt>
                <c:pt idx="4">
                  <c:v>0.3</c:v>
                </c:pt>
                <c:pt idx="5">
                  <c:v>0.3</c:v>
                </c:pt>
                <c:pt idx="6">
                  <c:v>0.3</c:v>
                </c:pt>
                <c:pt idx="7">
                  <c:v>0.3</c:v>
                </c:pt>
                <c:pt idx="8">
                  <c:v>0.3</c:v>
                </c:pt>
                <c:pt idx="9">
                  <c:v>0.3</c:v>
                </c:pt>
                <c:pt idx="10">
                  <c:v>0.3</c:v>
                </c:pt>
                <c:pt idx="11">
                  <c:v>0.25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0.7</c:v>
                </c:pt>
                <c:pt idx="1">
                  <c:v>1.8</c:v>
                </c:pt>
                <c:pt idx="2">
                  <c:v>1.4</c:v>
                </c:pt>
                <c:pt idx="3">
                  <c:v>8.3000000000000007</c:v>
                </c:pt>
                <c:pt idx="4">
                  <c:v>0.4</c:v>
                </c:pt>
                <c:pt idx="5">
                  <c:v>0.5</c:v>
                </c:pt>
                <c:pt idx="6">
                  <c:v>0.3</c:v>
                </c:pt>
                <c:pt idx="7">
                  <c:v>0.3</c:v>
                </c:pt>
                <c:pt idx="8">
                  <c:v>0.6</c:v>
                </c:pt>
                <c:pt idx="9">
                  <c:v>0.4</c:v>
                </c:pt>
                <c:pt idx="10">
                  <c:v>0.4</c:v>
                </c:pt>
                <c:pt idx="11">
                  <c:v>0.4</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0.25</c:v>
                </c:pt>
                <c:pt idx="1">
                  <c:v>0.25</c:v>
                </c:pt>
                <c:pt idx="2">
                  <c:v>0.2</c:v>
                </c:pt>
                <c:pt idx="3">
                  <c:v>0.30000000000000004</c:v>
                </c:pt>
                <c:pt idx="4">
                  <c:v>0.2</c:v>
                </c:pt>
                <c:pt idx="5">
                  <c:v>0.25</c:v>
                </c:pt>
                <c:pt idx="6">
                  <c:v>0.25</c:v>
                </c:pt>
                <c:pt idx="7">
                  <c:v>0.2</c:v>
                </c:pt>
                <c:pt idx="8">
                  <c:v>0.2</c:v>
                </c:pt>
                <c:pt idx="9">
                  <c:v>0.2</c:v>
                </c:pt>
                <c:pt idx="10">
                  <c:v>0.2</c:v>
                </c:pt>
                <c:pt idx="11">
                  <c:v>0.2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0.4</c:v>
                </c:pt>
                <c:pt idx="1">
                  <c:v>0.8</c:v>
                </c:pt>
                <c:pt idx="2">
                  <c:v>0.6</c:v>
                </c:pt>
                <c:pt idx="3">
                  <c:v>1.4</c:v>
                </c:pt>
                <c:pt idx="4">
                  <c:v>0.3</c:v>
                </c:pt>
                <c:pt idx="5">
                  <c:v>0.3</c:v>
                </c:pt>
                <c:pt idx="6">
                  <c:v>0.3</c:v>
                </c:pt>
                <c:pt idx="7">
                  <c:v>0.3</c:v>
                </c:pt>
                <c:pt idx="8">
                  <c:v>0.3</c:v>
                </c:pt>
                <c:pt idx="9">
                  <c:v>0.3</c:v>
                </c:pt>
                <c:pt idx="10">
                  <c:v>0.3</c:v>
                </c:pt>
                <c:pt idx="11">
                  <c:v>0.3</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753675536"/>
        <c:axId val="753675928"/>
      </c:lineChart>
      <c:catAx>
        <c:axId val="753675536"/>
        <c:scaling>
          <c:orientation val="minMax"/>
        </c:scaling>
        <c:delete val="0"/>
        <c:axPos val="b"/>
        <c:numFmt formatCode="General" sourceLinked="1"/>
        <c:majorTickMark val="out"/>
        <c:minorTickMark val="none"/>
        <c:tickLblPos val="nextTo"/>
        <c:crossAx val="753675928"/>
        <c:crosses val="autoZero"/>
        <c:auto val="1"/>
        <c:lblAlgn val="ctr"/>
        <c:lblOffset val="100"/>
        <c:noMultiLvlLbl val="0"/>
      </c:catAx>
      <c:valAx>
        <c:axId val="7536759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536755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753676712"/>
        <c:axId val="753673576"/>
      </c:lineChart>
      <c:catAx>
        <c:axId val="753676712"/>
        <c:scaling>
          <c:orientation val="minMax"/>
        </c:scaling>
        <c:delete val="0"/>
        <c:axPos val="b"/>
        <c:numFmt formatCode="General" sourceLinked="1"/>
        <c:majorTickMark val="out"/>
        <c:minorTickMark val="none"/>
        <c:tickLblPos val="nextTo"/>
        <c:crossAx val="753673576"/>
        <c:crosses val="autoZero"/>
        <c:auto val="1"/>
        <c:lblAlgn val="ctr"/>
        <c:lblOffset val="100"/>
        <c:noMultiLvlLbl val="0"/>
      </c:catAx>
      <c:valAx>
        <c:axId val="7536735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536767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6.4</c:v>
                </c:pt>
                <c:pt idx="1">
                  <c:v>7.8</c:v>
                </c:pt>
                <c:pt idx="2">
                  <c:v>13.1</c:v>
                </c:pt>
                <c:pt idx="3">
                  <c:v>9.1999999999999993</c:v>
                </c:pt>
                <c:pt idx="4">
                  <c:v>9.5</c:v>
                </c:pt>
                <c:pt idx="5">
                  <c:v>14.3</c:v>
                </c:pt>
                <c:pt idx="6">
                  <c:v>4.3</c:v>
                </c:pt>
                <c:pt idx="7">
                  <c:v>10.1</c:v>
                </c:pt>
                <c:pt idx="8">
                  <c:v>6.4</c:v>
                </c:pt>
                <c:pt idx="9">
                  <c:v>8.4</c:v>
                </c:pt>
                <c:pt idx="10">
                  <c:v>10.4</c:v>
                </c:pt>
                <c:pt idx="11">
                  <c:v>10.7</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350.7</c:v>
                </c:pt>
                <c:pt idx="1">
                  <c:v>452</c:v>
                </c:pt>
                <c:pt idx="2">
                  <c:v>439.3</c:v>
                </c:pt>
                <c:pt idx="3">
                  <c:v>485.7</c:v>
                </c:pt>
                <c:pt idx="4">
                  <c:v>486</c:v>
                </c:pt>
                <c:pt idx="5">
                  <c:v>1025.5999999999999</c:v>
                </c:pt>
                <c:pt idx="6">
                  <c:v>595.70000000000005</c:v>
                </c:pt>
                <c:pt idx="7">
                  <c:v>641.20000000000005</c:v>
                </c:pt>
                <c:pt idx="8">
                  <c:v>828.3</c:v>
                </c:pt>
                <c:pt idx="9">
                  <c:v>131.69999999999999</c:v>
                </c:pt>
                <c:pt idx="10">
                  <c:v>352</c:v>
                </c:pt>
                <c:pt idx="11">
                  <c:v>361.1</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3.1500000000000004</c:v>
                </c:pt>
                <c:pt idx="1">
                  <c:v>3.1</c:v>
                </c:pt>
                <c:pt idx="2">
                  <c:v>2.8499999999999996</c:v>
                </c:pt>
                <c:pt idx="3">
                  <c:v>2.6</c:v>
                </c:pt>
                <c:pt idx="4">
                  <c:v>2.95</c:v>
                </c:pt>
                <c:pt idx="5">
                  <c:v>2.6500000000000004</c:v>
                </c:pt>
                <c:pt idx="6">
                  <c:v>2.4000000000000004</c:v>
                </c:pt>
                <c:pt idx="7">
                  <c:v>2.25</c:v>
                </c:pt>
                <c:pt idx="8">
                  <c:v>2.75</c:v>
                </c:pt>
                <c:pt idx="9">
                  <c:v>2.8</c:v>
                </c:pt>
                <c:pt idx="10">
                  <c:v>3.5</c:v>
                </c:pt>
                <c:pt idx="11">
                  <c:v>3.4</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5.0999999999999996</c:v>
                </c:pt>
                <c:pt idx="1">
                  <c:v>6.7</c:v>
                </c:pt>
                <c:pt idx="2">
                  <c:v>6.3</c:v>
                </c:pt>
                <c:pt idx="3">
                  <c:v>5.8</c:v>
                </c:pt>
                <c:pt idx="4">
                  <c:v>7.2</c:v>
                </c:pt>
                <c:pt idx="5">
                  <c:v>17.600000000000001</c:v>
                </c:pt>
                <c:pt idx="6">
                  <c:v>5.9</c:v>
                </c:pt>
                <c:pt idx="7">
                  <c:v>7.5</c:v>
                </c:pt>
                <c:pt idx="8">
                  <c:v>8.6</c:v>
                </c:pt>
                <c:pt idx="9">
                  <c:v>4.0999999999999996</c:v>
                </c:pt>
                <c:pt idx="10">
                  <c:v>6.2</c:v>
                </c:pt>
                <c:pt idx="11">
                  <c:v>6.4</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738302640"/>
        <c:axId val="738303424"/>
      </c:lineChart>
      <c:catAx>
        <c:axId val="738302640"/>
        <c:scaling>
          <c:orientation val="minMax"/>
        </c:scaling>
        <c:delete val="0"/>
        <c:axPos val="b"/>
        <c:numFmt formatCode="General" sourceLinked="1"/>
        <c:majorTickMark val="out"/>
        <c:minorTickMark val="none"/>
        <c:tickLblPos val="nextTo"/>
        <c:crossAx val="738303424"/>
        <c:crosses val="autoZero"/>
        <c:auto val="1"/>
        <c:lblAlgn val="ctr"/>
        <c:lblOffset val="100"/>
        <c:noMultiLvlLbl val="0"/>
      </c:catAx>
      <c:valAx>
        <c:axId val="7383034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38302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1.7999999999999998</c:v>
                </c:pt>
                <c:pt idx="1">
                  <c:v>2.5</c:v>
                </c:pt>
                <c:pt idx="2">
                  <c:v>1.45</c:v>
                </c:pt>
                <c:pt idx="3">
                  <c:v>1.7000000000000002</c:v>
                </c:pt>
                <c:pt idx="4">
                  <c:v>1.7000000000000002</c:v>
                </c:pt>
                <c:pt idx="5">
                  <c:v>1.95</c:v>
                </c:pt>
                <c:pt idx="6">
                  <c:v>1.5</c:v>
                </c:pt>
                <c:pt idx="7">
                  <c:v>1.3</c:v>
                </c:pt>
                <c:pt idx="8">
                  <c:v>1.35</c:v>
                </c:pt>
                <c:pt idx="9">
                  <c:v>1.4500000000000002</c:v>
                </c:pt>
                <c:pt idx="10">
                  <c:v>1.9</c:v>
                </c:pt>
                <c:pt idx="11">
                  <c:v>1.3</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10.5</c:v>
                </c:pt>
                <c:pt idx="1">
                  <c:v>12.4</c:v>
                </c:pt>
                <c:pt idx="2">
                  <c:v>7.4</c:v>
                </c:pt>
                <c:pt idx="3">
                  <c:v>7.5</c:v>
                </c:pt>
                <c:pt idx="4">
                  <c:v>8.5</c:v>
                </c:pt>
                <c:pt idx="5">
                  <c:v>8.3000000000000007</c:v>
                </c:pt>
                <c:pt idx="6">
                  <c:v>8.4</c:v>
                </c:pt>
                <c:pt idx="7">
                  <c:v>7.2</c:v>
                </c:pt>
                <c:pt idx="8">
                  <c:v>9.9</c:v>
                </c:pt>
                <c:pt idx="9">
                  <c:v>10.6</c:v>
                </c:pt>
                <c:pt idx="10">
                  <c:v>10.9</c:v>
                </c:pt>
                <c:pt idx="11">
                  <c:v>5.2</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1.7999999999999998</c:v>
                </c:pt>
                <c:pt idx="1">
                  <c:v>2.4500000000000002</c:v>
                </c:pt>
                <c:pt idx="2">
                  <c:v>1.45</c:v>
                </c:pt>
                <c:pt idx="3">
                  <c:v>1.65</c:v>
                </c:pt>
                <c:pt idx="4">
                  <c:v>1.65</c:v>
                </c:pt>
                <c:pt idx="5">
                  <c:v>1.9</c:v>
                </c:pt>
                <c:pt idx="6">
                  <c:v>1.4500000000000002</c:v>
                </c:pt>
                <c:pt idx="7">
                  <c:v>1.2</c:v>
                </c:pt>
                <c:pt idx="8">
                  <c:v>1.35</c:v>
                </c:pt>
                <c:pt idx="9">
                  <c:v>1.4500000000000002</c:v>
                </c:pt>
                <c:pt idx="10">
                  <c:v>1.85</c:v>
                </c:pt>
                <c:pt idx="11">
                  <c:v>1.3</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5.2</c:v>
                </c:pt>
                <c:pt idx="1">
                  <c:v>5.4</c:v>
                </c:pt>
                <c:pt idx="2">
                  <c:v>4.0999999999999996</c:v>
                </c:pt>
                <c:pt idx="3">
                  <c:v>3.5</c:v>
                </c:pt>
                <c:pt idx="4">
                  <c:v>4</c:v>
                </c:pt>
                <c:pt idx="5">
                  <c:v>3.1</c:v>
                </c:pt>
                <c:pt idx="6">
                  <c:v>2.6</c:v>
                </c:pt>
                <c:pt idx="7">
                  <c:v>2.6</c:v>
                </c:pt>
                <c:pt idx="8">
                  <c:v>4</c:v>
                </c:pt>
                <c:pt idx="9">
                  <c:v>3.7</c:v>
                </c:pt>
                <c:pt idx="10">
                  <c:v>3.3</c:v>
                </c:pt>
                <c:pt idx="11">
                  <c:v>2</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738300288"/>
        <c:axId val="738300680"/>
      </c:lineChart>
      <c:catAx>
        <c:axId val="738300288"/>
        <c:scaling>
          <c:orientation val="minMax"/>
        </c:scaling>
        <c:delete val="0"/>
        <c:axPos val="b"/>
        <c:numFmt formatCode="General" sourceLinked="1"/>
        <c:majorTickMark val="out"/>
        <c:minorTickMark val="none"/>
        <c:tickLblPos val="nextTo"/>
        <c:crossAx val="738300680"/>
        <c:crosses val="autoZero"/>
        <c:auto val="1"/>
        <c:lblAlgn val="ctr"/>
        <c:lblOffset val="100"/>
        <c:noMultiLvlLbl val="0"/>
      </c:catAx>
      <c:valAx>
        <c:axId val="73830068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383002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9</xdr:col>
      <xdr:colOff>144871</xdr:colOff>
      <xdr:row>24</xdr:row>
      <xdr:rowOff>44100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19125" y="1333500"/>
          <a:ext cx="5450296" cy="3292125"/>
        </a:xfrm>
        <a:prstGeom prst="rect">
          <a:avLst/>
        </a:prstGeom>
      </xdr:spPr>
    </xdr:pic>
    <xdr:clientData/>
  </xdr:twoCellAnchor>
  <xdr:twoCellAnchor editAs="oneCell">
    <xdr:from>
      <xdr:col>3</xdr:col>
      <xdr:colOff>0</xdr:colOff>
      <xdr:row>0</xdr:row>
      <xdr:rowOff>0</xdr:rowOff>
    </xdr:from>
    <xdr:to>
      <xdr:col>7</xdr:col>
      <xdr:colOff>47463</xdr:colOff>
      <xdr:row>6</xdr:row>
      <xdr:rowOff>21437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209800" y="0"/>
          <a:ext cx="2523963" cy="11644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christine.skaramaga@veolia.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19"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92"/>
      <c r="C1" s="92"/>
      <c r="D1" s="201" t="s">
        <v>0</v>
      </c>
      <c r="E1" s="201"/>
      <c r="F1" s="201"/>
      <c r="G1" s="201"/>
      <c r="H1" s="92"/>
      <c r="I1" s="92"/>
      <c r="J1" s="92"/>
      <c r="K1" s="92"/>
      <c r="L1" s="92"/>
      <c r="M1" s="92"/>
      <c r="N1" s="92"/>
      <c r="O1" s="92"/>
      <c r="P1" s="92"/>
    </row>
    <row r="2" spans="2:16" x14ac:dyDescent="0.25">
      <c r="B2" s="92"/>
      <c r="C2" s="92"/>
      <c r="D2" s="201"/>
      <c r="E2" s="201"/>
      <c r="F2" s="201"/>
      <c r="G2" s="201"/>
      <c r="H2" s="92"/>
      <c r="I2" s="92"/>
      <c r="J2" s="92"/>
      <c r="K2" s="92"/>
      <c r="L2" s="92"/>
      <c r="M2" s="92"/>
      <c r="N2" s="92" t="s">
        <v>1</v>
      </c>
      <c r="O2" s="92"/>
      <c r="P2" s="120"/>
    </row>
    <row r="3" spans="2:16" x14ac:dyDescent="0.25">
      <c r="B3" s="92"/>
      <c r="C3" s="92"/>
      <c r="D3" s="201"/>
      <c r="E3" s="201"/>
      <c r="F3" s="201"/>
      <c r="G3" s="201"/>
      <c r="H3" s="92"/>
      <c r="I3" s="92"/>
      <c r="J3" s="92"/>
      <c r="K3" s="92"/>
      <c r="L3" s="92"/>
      <c r="M3" s="92"/>
      <c r="N3" s="120"/>
      <c r="O3" s="92"/>
      <c r="P3" s="92"/>
    </row>
    <row r="4" spans="2:16" x14ac:dyDescent="0.25">
      <c r="B4" s="92"/>
      <c r="C4" s="92"/>
      <c r="D4" s="201"/>
      <c r="E4" s="201"/>
      <c r="F4" s="201"/>
      <c r="G4" s="201"/>
      <c r="H4" s="92"/>
      <c r="I4" s="92"/>
      <c r="J4" s="92"/>
      <c r="K4" s="92"/>
      <c r="L4" s="92"/>
      <c r="M4" s="92"/>
      <c r="N4" s="92"/>
      <c r="O4" s="92"/>
      <c r="P4" s="92"/>
    </row>
    <row r="5" spans="2:16" x14ac:dyDescent="0.25">
      <c r="B5" s="92"/>
      <c r="C5" s="92"/>
      <c r="D5" s="201"/>
      <c r="E5" s="201"/>
      <c r="F5" s="201"/>
      <c r="G5" s="201"/>
      <c r="H5" s="92"/>
      <c r="I5" s="92"/>
      <c r="J5" s="92"/>
      <c r="K5" s="92"/>
      <c r="L5" s="92"/>
      <c r="M5" s="92"/>
      <c r="N5" s="92"/>
      <c r="O5" s="92"/>
      <c r="P5" s="92"/>
    </row>
    <row r="6" spans="2:16" x14ac:dyDescent="0.25">
      <c r="B6" s="92"/>
      <c r="C6" s="92"/>
      <c r="D6" s="201"/>
      <c r="E6" s="201"/>
      <c r="F6" s="201"/>
      <c r="G6" s="201"/>
      <c r="H6" s="92"/>
      <c r="I6" s="92"/>
      <c r="J6" s="92"/>
      <c r="K6" s="92"/>
      <c r="L6" s="92"/>
      <c r="M6" s="92"/>
      <c r="N6" s="92"/>
      <c r="O6" s="92"/>
      <c r="P6" s="92"/>
    </row>
    <row r="8" spans="2:16" ht="15.75" customHeight="1" x14ac:dyDescent="0.25">
      <c r="B8" s="202" t="s">
        <v>2</v>
      </c>
      <c r="C8" s="201"/>
      <c r="D8" s="201"/>
      <c r="E8" s="201"/>
      <c r="F8" s="201"/>
      <c r="G8" s="201"/>
      <c r="H8" s="201"/>
      <c r="I8" s="201"/>
      <c r="J8" s="92"/>
      <c r="K8" s="92"/>
      <c r="L8" s="92"/>
      <c r="M8" s="92"/>
      <c r="N8" s="71"/>
      <c r="O8" s="92"/>
      <c r="P8" s="92"/>
    </row>
    <row r="9" spans="2:16" x14ac:dyDescent="0.25">
      <c r="B9" s="201"/>
      <c r="C9" s="201"/>
      <c r="D9" s="201"/>
      <c r="E9" s="201"/>
      <c r="F9" s="201"/>
      <c r="G9" s="201"/>
      <c r="H9" s="201"/>
      <c r="I9" s="201"/>
      <c r="J9" s="92"/>
      <c r="K9" s="92"/>
      <c r="L9" s="92"/>
      <c r="M9" s="92"/>
      <c r="N9" s="92"/>
      <c r="O9" s="92"/>
      <c r="P9" s="92"/>
    </row>
    <row r="10" spans="2:16" x14ac:dyDescent="0.25">
      <c r="B10" s="201"/>
      <c r="C10" s="201"/>
      <c r="D10" s="201"/>
      <c r="E10" s="201"/>
      <c r="F10" s="201"/>
      <c r="G10" s="201"/>
      <c r="H10" s="201"/>
      <c r="I10" s="201"/>
      <c r="J10" s="92"/>
      <c r="K10" s="92"/>
      <c r="L10" s="92"/>
      <c r="M10" s="92"/>
      <c r="N10" s="92"/>
      <c r="O10" s="92"/>
      <c r="P10" s="92"/>
    </row>
    <row r="11" spans="2:16" x14ac:dyDescent="0.25">
      <c r="B11" s="201"/>
      <c r="C11" s="201"/>
      <c r="D11" s="201"/>
      <c r="E11" s="201"/>
      <c r="F11" s="201"/>
      <c r="G11" s="201"/>
      <c r="H11" s="201"/>
      <c r="I11" s="201"/>
      <c r="J11" s="92"/>
      <c r="K11" s="92"/>
      <c r="L11" s="92"/>
      <c r="M11" s="92"/>
      <c r="N11" s="92"/>
      <c r="O11" s="92"/>
      <c r="P11" s="92"/>
    </row>
    <row r="12" spans="2:16" x14ac:dyDescent="0.25">
      <c r="B12" s="201"/>
      <c r="C12" s="201"/>
      <c r="D12" s="201"/>
      <c r="E12" s="201"/>
      <c r="F12" s="201"/>
      <c r="G12" s="201"/>
      <c r="H12" s="201"/>
      <c r="I12" s="201"/>
      <c r="J12" s="92"/>
      <c r="K12" s="92"/>
      <c r="L12" s="92"/>
      <c r="M12" s="92"/>
      <c r="N12" s="92"/>
      <c r="O12" s="92"/>
      <c r="P12" s="92"/>
    </row>
    <row r="13" spans="2:16" ht="15.6" x14ac:dyDescent="0.3">
      <c r="B13" s="201"/>
      <c r="C13" s="201"/>
      <c r="D13" s="201"/>
      <c r="E13" s="201"/>
      <c r="F13" s="201"/>
      <c r="G13" s="201"/>
      <c r="H13" s="201"/>
      <c r="I13" s="201"/>
      <c r="J13" s="92"/>
      <c r="K13" s="92"/>
      <c r="L13" s="92"/>
      <c r="M13" s="92"/>
      <c r="N13" s="75" t="s">
        <v>3</v>
      </c>
      <c r="O13" s="73"/>
      <c r="P13" s="73"/>
    </row>
    <row r="14" spans="2:16" ht="15.6" customHeight="1" x14ac:dyDescent="0.25">
      <c r="B14" s="201"/>
      <c r="C14" s="201"/>
      <c r="D14" s="201"/>
      <c r="E14" s="201"/>
      <c r="F14" s="201"/>
      <c r="G14" s="201"/>
      <c r="H14" s="201"/>
      <c r="I14" s="201"/>
      <c r="J14" s="92"/>
      <c r="K14" s="92"/>
      <c r="L14" s="92"/>
      <c r="M14" s="92"/>
      <c r="N14" s="199" t="s">
        <v>4</v>
      </c>
      <c r="O14" s="199"/>
      <c r="P14" s="199"/>
    </row>
    <row r="15" spans="2:16" x14ac:dyDescent="0.25">
      <c r="B15" s="201"/>
      <c r="C15" s="201"/>
      <c r="D15" s="201"/>
      <c r="E15" s="201"/>
      <c r="F15" s="201"/>
      <c r="G15" s="201"/>
      <c r="H15" s="201"/>
      <c r="I15" s="201"/>
      <c r="J15" s="92"/>
      <c r="K15" s="92"/>
      <c r="L15" s="92"/>
      <c r="M15" s="92"/>
      <c r="N15" s="199"/>
      <c r="O15" s="199"/>
      <c r="P15" s="199"/>
    </row>
    <row r="16" spans="2:16" x14ac:dyDescent="0.25">
      <c r="B16" s="201"/>
      <c r="C16" s="201"/>
      <c r="D16" s="201"/>
      <c r="E16" s="201"/>
      <c r="F16" s="201"/>
      <c r="G16" s="201"/>
      <c r="H16" s="201"/>
      <c r="I16" s="201"/>
      <c r="J16" s="92"/>
      <c r="K16" s="92"/>
      <c r="L16" s="92"/>
      <c r="M16" s="92"/>
      <c r="N16" s="199"/>
      <c r="O16" s="199"/>
      <c r="P16" s="199"/>
    </row>
    <row r="17" spans="2:16" x14ac:dyDescent="0.25">
      <c r="B17" s="201"/>
      <c r="C17" s="201"/>
      <c r="D17" s="201"/>
      <c r="E17" s="201"/>
      <c r="F17" s="201"/>
      <c r="G17" s="201"/>
      <c r="H17" s="201"/>
      <c r="I17" s="201"/>
      <c r="J17" s="92"/>
      <c r="K17" s="92"/>
      <c r="L17" s="92"/>
      <c r="M17" s="92"/>
      <c r="N17" s="199"/>
      <c r="O17" s="199"/>
      <c r="P17" s="199"/>
    </row>
    <row r="18" spans="2:16" x14ac:dyDescent="0.25">
      <c r="B18" s="201"/>
      <c r="C18" s="201"/>
      <c r="D18" s="201"/>
      <c r="E18" s="201"/>
      <c r="F18" s="201"/>
      <c r="G18" s="201"/>
      <c r="H18" s="201"/>
      <c r="I18" s="201"/>
      <c r="J18" s="92"/>
      <c r="K18" s="92"/>
      <c r="L18" s="92"/>
      <c r="M18" s="92"/>
      <c r="N18" s="199"/>
      <c r="O18" s="199"/>
      <c r="P18" s="199"/>
    </row>
    <row r="19" spans="2:16" x14ac:dyDescent="0.25">
      <c r="B19" s="201"/>
      <c r="C19" s="201"/>
      <c r="D19" s="201"/>
      <c r="E19" s="201"/>
      <c r="F19" s="201"/>
      <c r="G19" s="201"/>
      <c r="H19" s="201"/>
      <c r="I19" s="201"/>
      <c r="J19" s="92"/>
      <c r="K19" s="92"/>
      <c r="L19" s="92"/>
      <c r="M19" s="92"/>
      <c r="N19" s="199"/>
      <c r="O19" s="199"/>
      <c r="P19" s="199"/>
    </row>
    <row r="20" spans="2:16" x14ac:dyDescent="0.25">
      <c r="B20" s="201"/>
      <c r="C20" s="201"/>
      <c r="D20" s="201"/>
      <c r="E20" s="201"/>
      <c r="F20" s="201"/>
      <c r="G20" s="201"/>
      <c r="H20" s="201"/>
      <c r="I20" s="201"/>
      <c r="J20" s="92"/>
      <c r="K20" s="92"/>
      <c r="L20" s="92"/>
      <c r="M20" s="92"/>
      <c r="N20" s="92"/>
      <c r="O20" s="92"/>
      <c r="P20" s="92"/>
    </row>
    <row r="21" spans="2:16" x14ac:dyDescent="0.25">
      <c r="B21" s="201"/>
      <c r="C21" s="201"/>
      <c r="D21" s="201"/>
      <c r="E21" s="201"/>
      <c r="F21" s="201"/>
      <c r="G21" s="201"/>
      <c r="H21" s="201"/>
      <c r="I21" s="201"/>
      <c r="J21" s="92"/>
      <c r="K21" s="92"/>
      <c r="L21" s="92"/>
      <c r="M21" s="92"/>
      <c r="N21" s="92"/>
      <c r="O21" s="92"/>
      <c r="P21" s="92"/>
    </row>
    <row r="22" spans="2:16" x14ac:dyDescent="0.25">
      <c r="B22" s="201"/>
      <c r="C22" s="201"/>
      <c r="D22" s="201"/>
      <c r="E22" s="201"/>
      <c r="F22" s="201"/>
      <c r="G22" s="201"/>
      <c r="H22" s="201"/>
      <c r="I22" s="201"/>
      <c r="J22" s="92"/>
      <c r="K22" s="92"/>
      <c r="L22" s="92"/>
      <c r="M22" s="92"/>
      <c r="N22" s="92"/>
      <c r="O22" s="92"/>
      <c r="P22" s="92"/>
    </row>
    <row r="23" spans="2:16" x14ac:dyDescent="0.25">
      <c r="B23" s="201"/>
      <c r="C23" s="201"/>
      <c r="D23" s="201"/>
      <c r="E23" s="201"/>
      <c r="F23" s="201"/>
      <c r="G23" s="201"/>
      <c r="H23" s="201"/>
      <c r="I23" s="201"/>
      <c r="J23" s="92"/>
      <c r="K23" s="92"/>
      <c r="L23" s="92"/>
      <c r="M23" s="92"/>
      <c r="N23" s="92"/>
      <c r="O23" s="92"/>
      <c r="P23" s="92"/>
    </row>
    <row r="24" spans="2:16" x14ac:dyDescent="0.25">
      <c r="B24" s="201"/>
      <c r="C24" s="201"/>
      <c r="D24" s="201"/>
      <c r="E24" s="201"/>
      <c r="F24" s="201"/>
      <c r="G24" s="201"/>
      <c r="H24" s="201"/>
      <c r="I24" s="201"/>
      <c r="J24" s="92"/>
      <c r="K24" s="92"/>
      <c r="L24" s="92"/>
      <c r="M24" s="92"/>
      <c r="N24" s="92"/>
      <c r="O24" s="92"/>
      <c r="P24" s="92"/>
    </row>
    <row r="29" spans="2:16" ht="17.399999999999999" x14ac:dyDescent="0.3">
      <c r="B29" s="200" t="s">
        <v>5</v>
      </c>
      <c r="C29" s="200"/>
      <c r="D29" s="200"/>
      <c r="E29" s="200"/>
      <c r="F29" s="200"/>
      <c r="G29" s="200"/>
      <c r="H29" s="200"/>
      <c r="I29" s="200"/>
      <c r="J29" s="92"/>
      <c r="K29" s="92"/>
      <c r="L29" s="92"/>
      <c r="M29" s="92"/>
      <c r="N29" s="92"/>
      <c r="O29" s="92"/>
      <c r="P29" s="92"/>
    </row>
    <row r="30" spans="2:16" ht="17.399999999999999" x14ac:dyDescent="0.3">
      <c r="B30" s="92"/>
      <c r="C30" s="7"/>
      <c r="D30" s="8"/>
      <c r="E30" s="8"/>
      <c r="F30" s="8"/>
      <c r="G30" s="8"/>
      <c r="H30" s="8"/>
      <c r="I30" s="8"/>
      <c r="J30" s="92"/>
      <c r="K30" s="92"/>
      <c r="L30" s="92"/>
      <c r="M30" s="92"/>
      <c r="N30" s="92"/>
      <c r="O30" s="92"/>
      <c r="P30" s="92"/>
    </row>
    <row r="31" spans="2:16" ht="17.399999999999999" x14ac:dyDescent="0.3">
      <c r="B31" s="200" t="s">
        <v>6</v>
      </c>
      <c r="C31" s="200"/>
      <c r="D31" s="200"/>
      <c r="E31" s="200"/>
      <c r="F31" s="200"/>
      <c r="G31" s="200"/>
      <c r="H31" s="200"/>
      <c r="I31" s="200"/>
      <c r="J31" s="92"/>
      <c r="K31" s="92"/>
      <c r="L31" s="92"/>
      <c r="M31" s="92"/>
      <c r="N31" s="92"/>
      <c r="O31" s="92"/>
      <c r="P31" s="92"/>
    </row>
    <row r="32" spans="2:16" ht="17.399999999999999" x14ac:dyDescent="0.3">
      <c r="B32" s="92"/>
      <c r="C32" s="7"/>
      <c r="D32" s="8"/>
      <c r="E32" s="8"/>
      <c r="F32" s="8"/>
      <c r="G32" s="8"/>
      <c r="H32" s="8"/>
      <c r="I32" s="8"/>
      <c r="J32" s="92"/>
      <c r="K32" s="92"/>
      <c r="L32" s="92"/>
      <c r="M32" s="92"/>
      <c r="N32" s="92"/>
      <c r="O32" s="92"/>
      <c r="P32" s="92"/>
    </row>
    <row r="33" spans="2:9" ht="17.399999999999999" x14ac:dyDescent="0.3">
      <c r="B33" s="200" t="s">
        <v>7</v>
      </c>
      <c r="C33" s="200"/>
      <c r="D33" s="200"/>
      <c r="E33" s="200"/>
      <c r="F33" s="200"/>
      <c r="G33" s="200"/>
      <c r="H33" s="200"/>
      <c r="I33" s="200"/>
    </row>
    <row r="34" spans="2:9" ht="17.399999999999999" x14ac:dyDescent="0.3">
      <c r="B34" s="92"/>
      <c r="C34" s="7"/>
      <c r="D34" s="8"/>
      <c r="E34" s="8"/>
      <c r="F34" s="8"/>
      <c r="G34" s="8"/>
      <c r="H34" s="8"/>
      <c r="I34" s="8"/>
    </row>
    <row r="35" spans="2:9" ht="17.399999999999999" x14ac:dyDescent="0.3">
      <c r="B35" s="200"/>
      <c r="C35" s="200"/>
      <c r="D35" s="200"/>
      <c r="E35" s="200"/>
      <c r="F35" s="200"/>
      <c r="G35" s="200"/>
      <c r="H35" s="200"/>
      <c r="I35" s="200"/>
    </row>
    <row r="37" spans="2:9" ht="17.399999999999999" x14ac:dyDescent="0.3">
      <c r="B37" s="200" t="s">
        <v>8</v>
      </c>
      <c r="C37" s="200"/>
      <c r="D37" s="200"/>
      <c r="E37" s="200"/>
      <c r="F37" s="200"/>
      <c r="G37" s="200"/>
      <c r="H37" s="200"/>
      <c r="I37" s="200"/>
    </row>
    <row r="39" spans="2:9" x14ac:dyDescent="0.25">
      <c r="B39" s="92" t="s">
        <v>9</v>
      </c>
      <c r="C39" s="121">
        <v>2022</v>
      </c>
      <c r="D39" s="92"/>
      <c r="E39" s="92"/>
      <c r="F39" s="92"/>
      <c r="G39" s="92"/>
      <c r="H39" s="92"/>
      <c r="I39" s="92"/>
    </row>
    <row r="40" spans="2:9" ht="14.25" customHeight="1" x14ac:dyDescent="0.25">
      <c r="B40" s="92"/>
      <c r="C40" s="92"/>
      <c r="D40" s="92"/>
      <c r="E40" s="92"/>
      <c r="F40" s="92"/>
      <c r="G40" s="92"/>
      <c r="H40" s="92"/>
      <c r="I40" s="92"/>
    </row>
    <row r="41" spans="2:9" x14ac:dyDescent="0.25">
      <c r="B41" s="122" t="s">
        <v>10</v>
      </c>
      <c r="C41" s="203" t="s">
        <v>11</v>
      </c>
      <c r="D41" s="203"/>
      <c r="E41" s="203"/>
      <c r="F41" s="203"/>
      <c r="G41" s="203"/>
      <c r="H41" s="203"/>
      <c r="I41" s="203"/>
    </row>
    <row r="42" spans="2:9" x14ac:dyDescent="0.25">
      <c r="B42" s="122"/>
      <c r="C42" s="92"/>
      <c r="D42" s="92"/>
      <c r="E42" s="92"/>
      <c r="F42" s="92"/>
      <c r="G42" s="92"/>
      <c r="H42" s="92"/>
      <c r="I42" s="92"/>
    </row>
    <row r="43" spans="2:9" x14ac:dyDescent="0.25">
      <c r="B43" s="122" t="s">
        <v>12</v>
      </c>
      <c r="C43" s="203" t="s">
        <v>13</v>
      </c>
      <c r="D43" s="203"/>
      <c r="E43" s="203"/>
      <c r="F43" s="92"/>
      <c r="G43" s="92"/>
      <c r="H43" s="92"/>
      <c r="I43" s="92"/>
    </row>
    <row r="44" spans="2:9" x14ac:dyDescent="0.25">
      <c r="B44" s="122"/>
      <c r="C44" s="92"/>
      <c r="D44" s="92"/>
      <c r="E44" s="92"/>
      <c r="F44" s="92"/>
      <c r="G44" s="92"/>
      <c r="H44" s="92"/>
      <c r="I44" s="92"/>
    </row>
    <row r="45" spans="2:9" ht="15.6" x14ac:dyDescent="0.3">
      <c r="B45" s="122" t="s">
        <v>14</v>
      </c>
      <c r="C45" s="205" t="s">
        <v>15</v>
      </c>
      <c r="D45" s="203"/>
      <c r="E45" s="203"/>
      <c r="F45" s="92"/>
      <c r="G45" s="92"/>
      <c r="H45" s="92"/>
      <c r="I45" s="92"/>
    </row>
    <row r="46" spans="2:9" x14ac:dyDescent="0.25">
      <c r="B46" s="122"/>
      <c r="C46" s="92"/>
      <c r="D46" s="92"/>
      <c r="E46" s="92"/>
      <c r="F46" s="92"/>
      <c r="G46" s="92"/>
      <c r="H46" s="92"/>
      <c r="I46" s="92"/>
    </row>
    <row r="47" spans="2:9" x14ac:dyDescent="0.25">
      <c r="B47" s="122" t="s">
        <v>16</v>
      </c>
      <c r="C47" s="203" t="s">
        <v>17</v>
      </c>
      <c r="D47" s="203"/>
      <c r="E47" s="92"/>
      <c r="F47" s="92" t="s">
        <v>18</v>
      </c>
      <c r="G47" s="203" t="s">
        <v>19</v>
      </c>
      <c r="H47" s="203"/>
      <c r="I47" s="203"/>
    </row>
    <row r="48" spans="2:9" x14ac:dyDescent="0.25">
      <c r="B48" s="122"/>
      <c r="C48" s="92"/>
      <c r="D48" s="92"/>
      <c r="E48" s="92"/>
      <c r="F48" s="92"/>
      <c r="G48" s="92"/>
      <c r="H48" s="92"/>
      <c r="I48" s="92"/>
    </row>
    <row r="49" spans="2:9" x14ac:dyDescent="0.25">
      <c r="B49" s="122" t="s">
        <v>20</v>
      </c>
      <c r="C49" s="203" t="s">
        <v>21</v>
      </c>
      <c r="D49" s="203"/>
      <c r="E49" s="92"/>
      <c r="F49" s="92" t="s">
        <v>18</v>
      </c>
      <c r="G49" s="203" t="s">
        <v>22</v>
      </c>
      <c r="H49" s="203"/>
      <c r="I49" s="203"/>
    </row>
    <row r="50" spans="2:9" x14ac:dyDescent="0.25">
      <c r="B50" s="122"/>
      <c r="C50" s="92"/>
      <c r="D50" s="92"/>
      <c r="E50" s="92"/>
      <c r="F50" s="92"/>
      <c r="G50" s="92"/>
      <c r="H50" s="92"/>
      <c r="I50" s="92"/>
    </row>
    <row r="51" spans="2:9" x14ac:dyDescent="0.25">
      <c r="B51" s="122" t="s">
        <v>23</v>
      </c>
      <c r="C51" s="121">
        <v>1</v>
      </c>
      <c r="D51" s="92"/>
      <c r="E51" s="92"/>
      <c r="F51" s="92"/>
      <c r="G51" s="92"/>
      <c r="H51" s="92"/>
      <c r="I51" s="92"/>
    </row>
    <row r="52" spans="2:9" x14ac:dyDescent="0.25">
      <c r="B52" s="122"/>
      <c r="C52" s="92"/>
      <c r="D52" s="92"/>
      <c r="E52" s="92"/>
      <c r="F52" s="92"/>
      <c r="G52" s="92"/>
      <c r="H52" s="92"/>
      <c r="I52" s="92"/>
    </row>
    <row r="53" spans="2:9" x14ac:dyDescent="0.25">
      <c r="B53" s="122" t="s">
        <v>24</v>
      </c>
      <c r="C53" s="204">
        <v>44952</v>
      </c>
      <c r="D53" s="203"/>
      <c r="E53" s="92"/>
      <c r="F53" s="92"/>
      <c r="G53" s="92"/>
      <c r="H53" s="92"/>
      <c r="I53" s="92"/>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00000000-0004-0000-0000-000000000000}"/>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4"/>
  <sheetViews>
    <sheetView topLeftCell="A19" workbookViewId="0">
      <selection activeCell="B38" sqref="B38:G38"/>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92" t="str">
        <f>+'Cover Page'!$B$29</f>
        <v>Annual Performance Report 2022</v>
      </c>
      <c r="B1" s="92"/>
      <c r="C1" s="92"/>
      <c r="D1" s="92"/>
      <c r="E1" s="92" t="str">
        <f>+'Cover Page'!$B$33</f>
        <v>Staffordshire Energy Recovery Facility</v>
      </c>
      <c r="F1" s="92"/>
      <c r="G1" s="92"/>
      <c r="H1" s="92"/>
      <c r="I1" s="92"/>
      <c r="J1" s="92"/>
      <c r="K1" s="92"/>
      <c r="L1" s="92"/>
      <c r="M1" s="92"/>
      <c r="N1" s="92"/>
      <c r="O1" s="92"/>
    </row>
    <row r="3" spans="1:15" ht="15.6" x14ac:dyDescent="0.3">
      <c r="A3" s="53" t="s">
        <v>25</v>
      </c>
      <c r="B3" s="123"/>
      <c r="C3" s="123"/>
      <c r="D3" s="123"/>
      <c r="E3" s="123"/>
      <c r="F3" s="123"/>
      <c r="G3" s="123"/>
      <c r="H3" s="124"/>
      <c r="I3" s="92"/>
      <c r="J3" s="92"/>
      <c r="K3" s="75" t="s">
        <v>3</v>
      </c>
      <c r="L3" s="92"/>
      <c r="M3" s="92"/>
      <c r="N3" s="92"/>
      <c r="O3" s="92"/>
    </row>
    <row r="4" spans="1:15" ht="15.6" x14ac:dyDescent="0.3">
      <c r="A4" s="5" t="s">
        <v>26</v>
      </c>
      <c r="B4" s="207" t="s">
        <v>27</v>
      </c>
      <c r="C4" s="207"/>
      <c r="D4" s="207"/>
      <c r="E4" s="207"/>
      <c r="F4" s="207"/>
      <c r="G4" s="207"/>
      <c r="H4" s="6" t="s">
        <v>28</v>
      </c>
      <c r="I4" s="92"/>
      <c r="J4" s="92"/>
      <c r="K4" s="73" t="s">
        <v>29</v>
      </c>
      <c r="L4" s="92"/>
      <c r="M4" s="92"/>
      <c r="N4" s="92"/>
      <c r="O4" s="92"/>
    </row>
    <row r="5" spans="1:15" ht="15.6" customHeight="1" x14ac:dyDescent="0.25">
      <c r="A5" s="4"/>
      <c r="B5" s="206" t="s">
        <v>30</v>
      </c>
      <c r="C5" s="206"/>
      <c r="D5" s="206"/>
      <c r="E5" s="206"/>
      <c r="F5" s="206"/>
      <c r="G5" s="206"/>
      <c r="H5" s="4">
        <v>3</v>
      </c>
      <c r="I5" s="92"/>
      <c r="J5" s="92"/>
      <c r="K5" s="199" t="s">
        <v>31</v>
      </c>
      <c r="L5" s="199"/>
      <c r="M5" s="199"/>
      <c r="N5" s="199"/>
      <c r="O5" s="199"/>
    </row>
    <row r="6" spans="1:15" x14ac:dyDescent="0.25">
      <c r="A6" s="4"/>
      <c r="B6" s="206" t="s">
        <v>32</v>
      </c>
      <c r="C6" s="206"/>
      <c r="D6" s="206"/>
      <c r="E6" s="206"/>
      <c r="F6" s="206"/>
      <c r="G6" s="206"/>
      <c r="H6" s="4">
        <v>5</v>
      </c>
      <c r="I6" s="92"/>
      <c r="J6" s="92"/>
      <c r="K6" s="199"/>
      <c r="L6" s="199"/>
      <c r="M6" s="199"/>
      <c r="N6" s="199"/>
      <c r="O6" s="199"/>
    </row>
    <row r="7" spans="1:15" ht="15.75" customHeight="1" x14ac:dyDescent="0.25">
      <c r="A7" s="4"/>
      <c r="B7" s="206" t="s">
        <v>33</v>
      </c>
      <c r="C7" s="206"/>
      <c r="D7" s="206"/>
      <c r="E7" s="206"/>
      <c r="F7" s="206"/>
      <c r="G7" s="206"/>
      <c r="H7" s="4">
        <v>6</v>
      </c>
      <c r="I7" s="92"/>
      <c r="J7" s="92"/>
      <c r="K7" s="199"/>
      <c r="L7" s="199"/>
      <c r="M7" s="199"/>
      <c r="N7" s="199"/>
      <c r="O7" s="199"/>
    </row>
    <row r="8" spans="1:15" x14ac:dyDescent="0.25">
      <c r="A8" s="4"/>
      <c r="B8" s="206" t="s">
        <v>34</v>
      </c>
      <c r="C8" s="206"/>
      <c r="D8" s="206"/>
      <c r="E8" s="206"/>
      <c r="F8" s="206"/>
      <c r="G8" s="206"/>
      <c r="H8" s="4">
        <v>7</v>
      </c>
      <c r="I8" s="92"/>
      <c r="J8" s="92"/>
      <c r="K8" s="199"/>
      <c r="L8" s="199"/>
      <c r="M8" s="199"/>
      <c r="N8" s="199"/>
      <c r="O8" s="199"/>
    </row>
    <row r="9" spans="1:15" x14ac:dyDescent="0.25">
      <c r="A9" s="4"/>
      <c r="B9" s="206" t="s">
        <v>35</v>
      </c>
      <c r="C9" s="206"/>
      <c r="D9" s="206"/>
      <c r="E9" s="206"/>
      <c r="F9" s="206"/>
      <c r="G9" s="206"/>
      <c r="H9" s="4">
        <v>8</v>
      </c>
      <c r="I9" s="92"/>
      <c r="J9" s="92"/>
      <c r="K9" s="92"/>
      <c r="L9" s="92"/>
      <c r="M9" s="92"/>
      <c r="N9" s="92"/>
      <c r="O9" s="92"/>
    </row>
    <row r="10" spans="1:15" x14ac:dyDescent="0.25">
      <c r="A10" s="4"/>
      <c r="B10" s="206" t="s">
        <v>36</v>
      </c>
      <c r="C10" s="206"/>
      <c r="D10" s="206"/>
      <c r="E10" s="206"/>
      <c r="F10" s="206"/>
      <c r="G10" s="206"/>
      <c r="H10" s="4">
        <v>9</v>
      </c>
      <c r="I10" s="92"/>
      <c r="J10" s="92"/>
      <c r="K10" s="92"/>
      <c r="L10" s="92"/>
      <c r="M10" s="92"/>
      <c r="N10" s="92"/>
      <c r="O10" s="92"/>
    </row>
    <row r="11" spans="1:15" x14ac:dyDescent="0.25">
      <c r="A11" s="4"/>
      <c r="B11" s="206" t="s">
        <v>37</v>
      </c>
      <c r="C11" s="206"/>
      <c r="D11" s="206"/>
      <c r="E11" s="206"/>
      <c r="F11" s="206"/>
      <c r="G11" s="206"/>
      <c r="H11" s="4">
        <v>10</v>
      </c>
      <c r="I11" s="92"/>
      <c r="J11" s="92"/>
      <c r="K11" s="92"/>
      <c r="L11" s="92"/>
      <c r="M11" s="92"/>
      <c r="N11" s="92"/>
      <c r="O11" s="92"/>
    </row>
    <row r="12" spans="1:15" x14ac:dyDescent="0.25">
      <c r="A12" s="4"/>
      <c r="B12" s="206" t="s">
        <v>38</v>
      </c>
      <c r="C12" s="206"/>
      <c r="D12" s="206"/>
      <c r="E12" s="206"/>
      <c r="F12" s="206"/>
      <c r="G12" s="206"/>
      <c r="H12" s="4">
        <v>11</v>
      </c>
      <c r="I12" s="92"/>
      <c r="J12" s="92"/>
      <c r="K12" s="92"/>
      <c r="L12" s="92"/>
      <c r="M12" s="92"/>
      <c r="N12" s="92"/>
      <c r="O12" s="92"/>
    </row>
    <row r="13" spans="1:15" ht="15.6" x14ac:dyDescent="0.3">
      <c r="A13" s="4"/>
      <c r="B13" s="208" t="s">
        <v>39</v>
      </c>
      <c r="C13" s="209"/>
      <c r="D13" s="209"/>
      <c r="E13" s="209"/>
      <c r="F13" s="209"/>
      <c r="G13" s="210"/>
      <c r="H13" s="4">
        <v>12</v>
      </c>
      <c r="I13" s="92"/>
      <c r="J13" s="92"/>
      <c r="K13" s="92"/>
      <c r="L13" s="92"/>
      <c r="M13" s="92"/>
      <c r="N13" s="92"/>
      <c r="O13" s="92"/>
    </row>
    <row r="14" spans="1:15" x14ac:dyDescent="0.25">
      <c r="A14" s="4"/>
      <c r="B14" s="206" t="s">
        <v>40</v>
      </c>
      <c r="C14" s="206"/>
      <c r="D14" s="206"/>
      <c r="E14" s="206"/>
      <c r="F14" s="206"/>
      <c r="G14" s="206"/>
      <c r="H14" s="4">
        <v>14</v>
      </c>
      <c r="I14" s="92"/>
      <c r="J14" s="92"/>
      <c r="K14" s="92"/>
      <c r="L14" s="92"/>
      <c r="M14" s="92"/>
      <c r="N14" s="92"/>
      <c r="O14" s="92"/>
    </row>
    <row r="15" spans="1:15" x14ac:dyDescent="0.25">
      <c r="A15" s="4"/>
      <c r="B15" s="206" t="s">
        <v>41</v>
      </c>
      <c r="C15" s="206"/>
      <c r="D15" s="206"/>
      <c r="E15" s="206"/>
      <c r="F15" s="206"/>
      <c r="G15" s="206"/>
      <c r="H15" s="4">
        <v>15</v>
      </c>
      <c r="I15" s="92"/>
      <c r="J15" s="92"/>
      <c r="K15" s="92"/>
      <c r="L15" s="92"/>
      <c r="M15" s="92"/>
      <c r="N15" s="92"/>
      <c r="O15" s="92"/>
    </row>
    <row r="16" spans="1:15" x14ac:dyDescent="0.25">
      <c r="A16" s="4"/>
      <c r="B16" s="206" t="s">
        <v>42</v>
      </c>
      <c r="C16" s="206"/>
      <c r="D16" s="206"/>
      <c r="E16" s="206"/>
      <c r="F16" s="206"/>
      <c r="G16" s="206"/>
      <c r="H16" s="4">
        <v>16</v>
      </c>
      <c r="I16" s="92"/>
      <c r="J16" s="92"/>
      <c r="K16" s="92"/>
      <c r="L16" s="92"/>
      <c r="M16" s="92"/>
      <c r="N16" s="92"/>
      <c r="O16" s="92"/>
    </row>
    <row r="17" spans="1:8" x14ac:dyDescent="0.25">
      <c r="A17" s="4"/>
      <c r="B17" s="206" t="s">
        <v>43</v>
      </c>
      <c r="C17" s="206"/>
      <c r="D17" s="206"/>
      <c r="E17" s="206"/>
      <c r="F17" s="206"/>
      <c r="G17" s="206"/>
      <c r="H17" s="4">
        <v>17</v>
      </c>
    </row>
    <row r="18" spans="1:8" x14ac:dyDescent="0.25">
      <c r="A18" s="4"/>
      <c r="B18" s="206" t="s">
        <v>44</v>
      </c>
      <c r="C18" s="206"/>
      <c r="D18" s="206"/>
      <c r="E18" s="206"/>
      <c r="F18" s="206"/>
      <c r="G18" s="206"/>
      <c r="H18" s="4">
        <v>19</v>
      </c>
    </row>
    <row r="19" spans="1:8" x14ac:dyDescent="0.25">
      <c r="A19" s="4"/>
      <c r="B19" s="206" t="s">
        <v>45</v>
      </c>
      <c r="C19" s="206"/>
      <c r="D19" s="206"/>
      <c r="E19" s="206"/>
      <c r="F19" s="206"/>
      <c r="G19" s="206"/>
      <c r="H19" s="4">
        <v>20</v>
      </c>
    </row>
    <row r="20" spans="1:8" x14ac:dyDescent="0.25">
      <c r="A20" s="4"/>
      <c r="B20" s="206" t="s">
        <v>46</v>
      </c>
      <c r="C20" s="206"/>
      <c r="D20" s="206"/>
      <c r="E20" s="206"/>
      <c r="F20" s="206"/>
      <c r="G20" s="206"/>
      <c r="H20" s="4">
        <v>21</v>
      </c>
    </row>
    <row r="21" spans="1:8" x14ac:dyDescent="0.25">
      <c r="A21" s="4"/>
      <c r="B21" s="206" t="s">
        <v>47</v>
      </c>
      <c r="C21" s="206"/>
      <c r="D21" s="206"/>
      <c r="E21" s="206"/>
      <c r="F21" s="206"/>
      <c r="G21" s="206"/>
      <c r="H21" s="4">
        <v>22</v>
      </c>
    </row>
    <row r="22" spans="1:8" x14ac:dyDescent="0.25">
      <c r="A22" s="4"/>
      <c r="B22" s="206" t="s">
        <v>48</v>
      </c>
      <c r="C22" s="206"/>
      <c r="D22" s="206"/>
      <c r="E22" s="206"/>
      <c r="F22" s="206"/>
      <c r="G22" s="206"/>
      <c r="H22" s="4">
        <v>23</v>
      </c>
    </row>
    <row r="23" spans="1:8" x14ac:dyDescent="0.25">
      <c r="A23" s="4"/>
      <c r="B23" s="211" t="s">
        <v>49</v>
      </c>
      <c r="C23" s="212"/>
      <c r="D23" s="212"/>
      <c r="E23" s="212"/>
      <c r="F23" s="212"/>
      <c r="G23" s="213"/>
      <c r="H23" s="4">
        <v>24</v>
      </c>
    </row>
    <row r="24" spans="1:8" x14ac:dyDescent="0.25">
      <c r="A24" s="4"/>
      <c r="B24" s="211" t="s">
        <v>50</v>
      </c>
      <c r="C24" s="212"/>
      <c r="D24" s="212"/>
      <c r="E24" s="212"/>
      <c r="F24" s="212"/>
      <c r="G24" s="213"/>
      <c r="H24" s="4">
        <v>25</v>
      </c>
    </row>
    <row r="25" spans="1:8" x14ac:dyDescent="0.25">
      <c r="A25" s="4"/>
      <c r="B25" s="214"/>
      <c r="C25" s="214"/>
      <c r="D25" s="214"/>
      <c r="E25" s="214"/>
      <c r="F25" s="214"/>
      <c r="G25" s="214"/>
      <c r="H25" s="4"/>
    </row>
    <row r="27" spans="1:8" x14ac:dyDescent="0.25">
      <c r="A27" s="52" t="s">
        <v>51</v>
      </c>
      <c r="B27" s="123"/>
      <c r="C27" s="123"/>
      <c r="D27" s="123"/>
      <c r="E27" s="123"/>
      <c r="F27" s="123"/>
      <c r="G27" s="123"/>
      <c r="H27" s="124"/>
    </row>
    <row r="28" spans="1:8" x14ac:dyDescent="0.25">
      <c r="A28" s="10" t="s">
        <v>26</v>
      </c>
      <c r="B28" s="215" t="s">
        <v>52</v>
      </c>
      <c r="C28" s="215"/>
      <c r="D28" s="215"/>
      <c r="E28" s="215"/>
      <c r="F28" s="215"/>
      <c r="G28" s="215"/>
      <c r="H28" s="11" t="s">
        <v>53</v>
      </c>
    </row>
    <row r="29" spans="1:8" x14ac:dyDescent="0.25">
      <c r="A29" s="110"/>
      <c r="B29" s="92"/>
      <c r="C29" s="92"/>
      <c r="D29" s="92"/>
      <c r="E29" s="92"/>
      <c r="F29" s="92"/>
      <c r="G29" s="92"/>
      <c r="H29" s="125"/>
    </row>
    <row r="30" spans="1:8" x14ac:dyDescent="0.25">
      <c r="A30" s="125"/>
      <c r="B30" s="217"/>
      <c r="C30" s="217"/>
      <c r="D30" s="217"/>
      <c r="E30" s="217"/>
      <c r="F30" s="217"/>
      <c r="G30" s="217"/>
      <c r="H30" s="125"/>
    </row>
    <row r="31" spans="1:8" x14ac:dyDescent="0.25">
      <c r="A31" s="125"/>
      <c r="B31" s="217"/>
      <c r="C31" s="217"/>
      <c r="D31" s="217"/>
      <c r="E31" s="217"/>
      <c r="F31" s="217"/>
      <c r="G31" s="217"/>
      <c r="H31" s="125"/>
    </row>
    <row r="32" spans="1:8" x14ac:dyDescent="0.25">
      <c r="A32" s="125"/>
      <c r="B32" s="217"/>
      <c r="C32" s="217"/>
      <c r="D32" s="217"/>
      <c r="E32" s="217"/>
      <c r="F32" s="217"/>
      <c r="G32" s="217"/>
      <c r="H32" s="125"/>
    </row>
    <row r="33" spans="1:10" x14ac:dyDescent="0.25">
      <c r="A33" s="125"/>
      <c r="B33" s="217"/>
      <c r="C33" s="217"/>
      <c r="D33" s="217"/>
      <c r="E33" s="217"/>
      <c r="F33" s="217"/>
      <c r="G33" s="217"/>
      <c r="H33" s="125"/>
      <c r="I33" s="92"/>
      <c r="J33" s="92"/>
    </row>
    <row r="35" spans="1:10" ht="14.25" customHeight="1" x14ac:dyDescent="0.25">
      <c r="A35" s="52" t="s">
        <v>54</v>
      </c>
      <c r="B35" s="123"/>
      <c r="C35" s="123"/>
      <c r="D35" s="123"/>
      <c r="E35" s="123"/>
      <c r="F35" s="123"/>
      <c r="G35" s="123"/>
      <c r="H35" s="124"/>
      <c r="I35" s="92"/>
      <c r="J35" s="92"/>
    </row>
    <row r="36" spans="1:10" x14ac:dyDescent="0.25">
      <c r="A36" s="13" t="s">
        <v>55</v>
      </c>
      <c r="B36" s="218" t="s">
        <v>56</v>
      </c>
      <c r="C36" s="218"/>
      <c r="D36" s="218"/>
      <c r="E36" s="218"/>
      <c r="F36" s="218"/>
      <c r="G36" s="218"/>
      <c r="H36" s="14" t="s">
        <v>57</v>
      </c>
      <c r="I36" s="92"/>
      <c r="J36" s="92"/>
    </row>
    <row r="37" spans="1:10" x14ac:dyDescent="0.25">
      <c r="A37" s="126">
        <v>1</v>
      </c>
      <c r="B37" s="216" t="s">
        <v>58</v>
      </c>
      <c r="C37" s="216"/>
      <c r="D37" s="216"/>
      <c r="E37" s="216"/>
      <c r="F37" s="216"/>
      <c r="G37" s="216"/>
      <c r="H37" s="126">
        <v>1</v>
      </c>
      <c r="I37" s="92"/>
      <c r="J37" s="92"/>
    </row>
    <row r="38" spans="1:10" x14ac:dyDescent="0.25">
      <c r="A38" s="126"/>
      <c r="B38" s="216"/>
      <c r="C38" s="216"/>
      <c r="D38" s="216"/>
      <c r="E38" s="216"/>
      <c r="F38" s="216"/>
      <c r="G38" s="216"/>
      <c r="H38" s="126"/>
      <c r="I38" s="92"/>
      <c r="J38" s="92"/>
    </row>
    <row r="39" spans="1:10" x14ac:dyDescent="0.25">
      <c r="A39" s="126"/>
      <c r="B39" s="216"/>
      <c r="C39" s="216"/>
      <c r="D39" s="216"/>
      <c r="E39" s="216"/>
      <c r="F39" s="216"/>
      <c r="G39" s="216"/>
      <c r="H39" s="126"/>
      <c r="I39" s="92"/>
      <c r="J39" s="92"/>
    </row>
    <row r="40" spans="1:10" x14ac:dyDescent="0.25">
      <c r="A40" s="126"/>
      <c r="B40" s="216"/>
      <c r="C40" s="216"/>
      <c r="D40" s="216"/>
      <c r="E40" s="216"/>
      <c r="F40" s="216"/>
      <c r="G40" s="216"/>
      <c r="H40" s="126"/>
      <c r="I40" s="92"/>
      <c r="J40" s="92"/>
    </row>
    <row r="41" spans="1:10" x14ac:dyDescent="0.25">
      <c r="A41" s="126"/>
      <c r="B41" s="216"/>
      <c r="C41" s="216"/>
      <c r="D41" s="216"/>
      <c r="E41" s="216"/>
      <c r="F41" s="216"/>
      <c r="G41" s="216"/>
      <c r="H41" s="126"/>
      <c r="I41" s="92"/>
      <c r="J41" s="92"/>
    </row>
    <row r="42" spans="1:10" x14ac:dyDescent="0.25">
      <c r="A42" s="126"/>
      <c r="B42" s="216"/>
      <c r="C42" s="216"/>
      <c r="D42" s="216"/>
      <c r="E42" s="216"/>
      <c r="F42" s="216"/>
      <c r="G42" s="216"/>
      <c r="H42" s="126"/>
      <c r="I42" s="92"/>
      <c r="J42" s="92"/>
    </row>
    <row r="43" spans="1:10" x14ac:dyDescent="0.25">
      <c r="A43" s="126"/>
      <c r="B43" s="216"/>
      <c r="C43" s="216"/>
      <c r="D43" s="216"/>
      <c r="E43" s="216"/>
      <c r="F43" s="216"/>
      <c r="G43" s="216"/>
      <c r="H43" s="126"/>
      <c r="I43" s="92"/>
      <c r="J43" s="92"/>
    </row>
    <row r="45" spans="1:10" x14ac:dyDescent="0.25">
      <c r="A45" s="219" t="s">
        <v>59</v>
      </c>
      <c r="B45" s="220"/>
      <c r="C45" s="220"/>
      <c r="D45" s="220"/>
      <c r="E45" s="220"/>
      <c r="F45" s="220"/>
      <c r="G45" s="220"/>
      <c r="H45" s="220"/>
      <c r="I45" s="220"/>
      <c r="J45" s="221"/>
    </row>
    <row r="46" spans="1:10" x14ac:dyDescent="0.25">
      <c r="A46" s="222"/>
      <c r="B46" s="223"/>
      <c r="C46" s="223"/>
      <c r="D46" s="223"/>
      <c r="E46" s="223"/>
      <c r="F46" s="223"/>
      <c r="G46" s="223"/>
      <c r="H46" s="223"/>
      <c r="I46" s="223"/>
      <c r="J46" s="224"/>
    </row>
    <row r="47" spans="1:10" x14ac:dyDescent="0.25">
      <c r="A47" s="222"/>
      <c r="B47" s="223"/>
      <c r="C47" s="223"/>
      <c r="D47" s="223"/>
      <c r="E47" s="223"/>
      <c r="F47" s="223"/>
      <c r="G47" s="223"/>
      <c r="H47" s="223"/>
      <c r="I47" s="223"/>
      <c r="J47" s="224"/>
    </row>
    <row r="48" spans="1:10" x14ac:dyDescent="0.25">
      <c r="A48" s="225"/>
      <c r="B48" s="226"/>
      <c r="C48" s="226"/>
      <c r="D48" s="226"/>
      <c r="E48" s="226"/>
      <c r="F48" s="226"/>
      <c r="G48" s="226"/>
      <c r="H48" s="226"/>
      <c r="I48" s="226"/>
      <c r="J48" s="227"/>
    </row>
    <row r="64" spans="6:6" x14ac:dyDescent="0.25">
      <c r="F64" s="3"/>
    </row>
  </sheetData>
  <mergeCells count="37">
    <mergeCell ref="A45:J48"/>
    <mergeCell ref="B38:G38"/>
    <mergeCell ref="B39:G39"/>
    <mergeCell ref="B40:G40"/>
    <mergeCell ref="B41:G41"/>
    <mergeCell ref="B42:G42"/>
    <mergeCell ref="B43:G43"/>
    <mergeCell ref="B23:G23"/>
    <mergeCell ref="B24:G24"/>
    <mergeCell ref="B25:G25"/>
    <mergeCell ref="B28:G28"/>
    <mergeCell ref="B37:G37"/>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9"/>
  <sheetViews>
    <sheetView topLeftCell="A16" workbookViewId="0">
      <selection activeCell="F55" sqref="F55"/>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tr">
        <f>+'Cover Page'!$B$33</f>
        <v>Staffordshire Energy Recovery Facility</v>
      </c>
      <c r="F1" s="92"/>
      <c r="G1" s="92"/>
      <c r="H1" s="92"/>
      <c r="I1" s="92"/>
      <c r="J1" s="92"/>
      <c r="K1" s="92"/>
      <c r="L1" s="92"/>
      <c r="M1" s="92"/>
      <c r="N1" s="92"/>
    </row>
    <row r="3" spans="1:14" ht="15.6" x14ac:dyDescent="0.3">
      <c r="A3" s="51" t="s">
        <v>60</v>
      </c>
      <c r="B3" s="127"/>
      <c r="C3" s="127"/>
      <c r="D3" s="127"/>
      <c r="E3" s="127"/>
      <c r="F3" s="127"/>
      <c r="G3" s="127"/>
      <c r="H3" s="127"/>
      <c r="I3" s="128"/>
      <c r="J3" s="92"/>
      <c r="K3" s="81" t="s">
        <v>3</v>
      </c>
      <c r="L3" s="92"/>
      <c r="M3" s="92"/>
      <c r="N3" s="92"/>
    </row>
    <row r="4" spans="1:14" x14ac:dyDescent="0.25">
      <c r="A4" s="129"/>
      <c r="B4" s="130"/>
      <c r="C4" s="130"/>
      <c r="D4" s="130"/>
      <c r="E4" s="130"/>
      <c r="F4" s="130"/>
      <c r="G4" s="130"/>
      <c r="H4" s="130"/>
      <c r="I4" s="131"/>
      <c r="J4" s="92"/>
      <c r="K4" s="92"/>
      <c r="L4" s="92"/>
      <c r="M4" s="92"/>
      <c r="N4" s="92"/>
    </row>
    <row r="5" spans="1:14" ht="15.75" customHeight="1" x14ac:dyDescent="0.25">
      <c r="A5" s="228" t="s">
        <v>61</v>
      </c>
      <c r="B5" s="229"/>
      <c r="C5" s="229"/>
      <c r="D5" s="229"/>
      <c r="E5" s="229"/>
      <c r="F5" s="229"/>
      <c r="G5" s="229"/>
      <c r="H5" s="229"/>
      <c r="I5" s="230"/>
      <c r="J5" s="92"/>
      <c r="K5" s="245" t="s">
        <v>62</v>
      </c>
      <c r="L5" s="245"/>
      <c r="M5" s="245"/>
      <c r="N5" s="245"/>
    </row>
    <row r="6" spans="1:14" x14ac:dyDescent="0.25">
      <c r="A6" s="231"/>
      <c r="B6" s="232"/>
      <c r="C6" s="232"/>
      <c r="D6" s="232"/>
      <c r="E6" s="232"/>
      <c r="F6" s="232"/>
      <c r="G6" s="232"/>
      <c r="H6" s="232"/>
      <c r="I6" s="233"/>
      <c r="J6" s="92"/>
      <c r="K6" s="245"/>
      <c r="L6" s="245"/>
      <c r="M6" s="245"/>
      <c r="N6" s="245"/>
    </row>
    <row r="7" spans="1:14" x14ac:dyDescent="0.25">
      <c r="A7" s="231"/>
      <c r="B7" s="232"/>
      <c r="C7" s="232"/>
      <c r="D7" s="232"/>
      <c r="E7" s="232"/>
      <c r="F7" s="232"/>
      <c r="G7" s="232"/>
      <c r="H7" s="232"/>
      <c r="I7" s="233"/>
      <c r="J7" s="92"/>
      <c r="K7" s="245"/>
      <c r="L7" s="245"/>
      <c r="M7" s="245"/>
      <c r="N7" s="245"/>
    </row>
    <row r="8" spans="1:14" ht="15.75" customHeight="1" x14ac:dyDescent="0.25">
      <c r="A8" s="231"/>
      <c r="B8" s="232"/>
      <c r="C8" s="232"/>
      <c r="D8" s="232"/>
      <c r="E8" s="232"/>
      <c r="F8" s="232"/>
      <c r="G8" s="232"/>
      <c r="H8" s="232"/>
      <c r="I8" s="233"/>
      <c r="J8" s="92"/>
      <c r="K8" s="245"/>
      <c r="L8" s="245"/>
      <c r="M8" s="245"/>
      <c r="N8" s="245"/>
    </row>
    <row r="9" spans="1:14" x14ac:dyDescent="0.25">
      <c r="A9" s="231"/>
      <c r="B9" s="232"/>
      <c r="C9" s="232"/>
      <c r="D9" s="232"/>
      <c r="E9" s="232"/>
      <c r="F9" s="232"/>
      <c r="G9" s="232"/>
      <c r="H9" s="232"/>
      <c r="I9" s="233"/>
      <c r="J9" s="92"/>
      <c r="K9" s="245"/>
      <c r="L9" s="245"/>
      <c r="M9" s="245"/>
      <c r="N9" s="245"/>
    </row>
    <row r="10" spans="1:14" x14ac:dyDescent="0.25">
      <c r="A10" s="231"/>
      <c r="B10" s="232"/>
      <c r="C10" s="232"/>
      <c r="D10" s="232"/>
      <c r="E10" s="232"/>
      <c r="F10" s="232"/>
      <c r="G10" s="232"/>
      <c r="H10" s="232"/>
      <c r="I10" s="233"/>
      <c r="J10" s="92"/>
      <c r="K10" s="245"/>
      <c r="L10" s="245"/>
      <c r="M10" s="245"/>
      <c r="N10" s="245"/>
    </row>
    <row r="11" spans="1:14" x14ac:dyDescent="0.25">
      <c r="A11" s="231"/>
      <c r="B11" s="232"/>
      <c r="C11" s="232"/>
      <c r="D11" s="232"/>
      <c r="E11" s="232"/>
      <c r="F11" s="232"/>
      <c r="G11" s="232"/>
      <c r="H11" s="232"/>
      <c r="I11" s="233"/>
      <c r="J11" s="92"/>
      <c r="K11" s="245"/>
      <c r="L11" s="245"/>
      <c r="M11" s="245"/>
      <c r="N11" s="245"/>
    </row>
    <row r="12" spans="1:14" x14ac:dyDescent="0.25">
      <c r="A12" s="231"/>
      <c r="B12" s="232"/>
      <c r="C12" s="232"/>
      <c r="D12" s="232"/>
      <c r="E12" s="232"/>
      <c r="F12" s="232"/>
      <c r="G12" s="232"/>
      <c r="H12" s="232"/>
      <c r="I12" s="233"/>
      <c r="J12" s="92"/>
      <c r="K12" s="245"/>
      <c r="L12" s="245"/>
      <c r="M12" s="245"/>
      <c r="N12" s="245"/>
    </row>
    <row r="13" spans="1:14" x14ac:dyDescent="0.25">
      <c r="A13" s="231"/>
      <c r="B13" s="232"/>
      <c r="C13" s="232"/>
      <c r="D13" s="232"/>
      <c r="E13" s="232"/>
      <c r="F13" s="232"/>
      <c r="G13" s="232"/>
      <c r="H13" s="232"/>
      <c r="I13" s="233"/>
      <c r="J13" s="92"/>
      <c r="K13" s="245"/>
      <c r="L13" s="245"/>
      <c r="M13" s="245"/>
      <c r="N13" s="245"/>
    </row>
    <row r="14" spans="1:14" x14ac:dyDescent="0.25">
      <c r="A14" s="231"/>
      <c r="B14" s="232"/>
      <c r="C14" s="232"/>
      <c r="D14" s="232"/>
      <c r="E14" s="232"/>
      <c r="F14" s="232"/>
      <c r="G14" s="232"/>
      <c r="H14" s="232"/>
      <c r="I14" s="233"/>
      <c r="J14" s="92"/>
      <c r="K14" s="245"/>
      <c r="L14" s="245"/>
      <c r="M14" s="245"/>
      <c r="N14" s="245"/>
    </row>
    <row r="15" spans="1:14" x14ac:dyDescent="0.25">
      <c r="A15" s="231"/>
      <c r="B15" s="232"/>
      <c r="C15" s="232"/>
      <c r="D15" s="232"/>
      <c r="E15" s="232"/>
      <c r="F15" s="232"/>
      <c r="G15" s="232"/>
      <c r="H15" s="232"/>
      <c r="I15" s="233"/>
      <c r="J15" s="92"/>
      <c r="K15" s="92"/>
      <c r="L15" s="92"/>
      <c r="M15" s="92"/>
      <c r="N15" s="92"/>
    </row>
    <row r="16" spans="1:14" x14ac:dyDescent="0.25">
      <c r="A16" s="231"/>
      <c r="B16" s="232"/>
      <c r="C16" s="232"/>
      <c r="D16" s="232"/>
      <c r="E16" s="232"/>
      <c r="F16" s="232"/>
      <c r="G16" s="232"/>
      <c r="H16" s="232"/>
      <c r="I16" s="233"/>
      <c r="J16" s="92"/>
      <c r="K16" s="92"/>
      <c r="L16" s="92"/>
      <c r="M16" s="92"/>
      <c r="N16" s="92"/>
    </row>
    <row r="17" spans="1:14" x14ac:dyDescent="0.25">
      <c r="A17" s="231"/>
      <c r="B17" s="232"/>
      <c r="C17" s="232"/>
      <c r="D17" s="232"/>
      <c r="E17" s="232"/>
      <c r="F17" s="232"/>
      <c r="G17" s="232"/>
      <c r="H17" s="232"/>
      <c r="I17" s="233"/>
      <c r="J17" s="92"/>
      <c r="K17" s="92"/>
      <c r="L17" s="92"/>
      <c r="M17" s="92"/>
      <c r="N17" s="92"/>
    </row>
    <row r="18" spans="1:14" x14ac:dyDescent="0.25">
      <c r="A18" s="231"/>
      <c r="B18" s="232"/>
      <c r="C18" s="232"/>
      <c r="D18" s="232"/>
      <c r="E18" s="232"/>
      <c r="F18" s="232"/>
      <c r="G18" s="232"/>
      <c r="H18" s="232"/>
      <c r="I18" s="233"/>
      <c r="J18" s="92"/>
      <c r="K18" s="92"/>
      <c r="L18" s="92"/>
      <c r="M18" s="92"/>
      <c r="N18" s="92"/>
    </row>
    <row r="19" spans="1:14" x14ac:dyDescent="0.25">
      <c r="A19" s="231"/>
      <c r="B19" s="232"/>
      <c r="C19" s="232"/>
      <c r="D19" s="232"/>
      <c r="E19" s="232"/>
      <c r="F19" s="232"/>
      <c r="G19" s="232"/>
      <c r="H19" s="232"/>
      <c r="I19" s="233"/>
      <c r="J19" s="92"/>
      <c r="K19" s="92"/>
      <c r="L19" s="92"/>
      <c r="M19" s="92"/>
      <c r="N19" s="92"/>
    </row>
    <row r="20" spans="1:14" x14ac:dyDescent="0.25">
      <c r="A20" s="231"/>
      <c r="B20" s="232"/>
      <c r="C20" s="232"/>
      <c r="D20" s="232"/>
      <c r="E20" s="232"/>
      <c r="F20" s="232"/>
      <c r="G20" s="232"/>
      <c r="H20" s="232"/>
      <c r="I20" s="233"/>
      <c r="J20" s="92"/>
      <c r="K20" s="92"/>
      <c r="L20" s="92"/>
      <c r="M20" s="92"/>
      <c r="N20" s="92"/>
    </row>
    <row r="21" spans="1:14" x14ac:dyDescent="0.25">
      <c r="A21" s="231"/>
      <c r="B21" s="232"/>
      <c r="C21" s="232"/>
      <c r="D21" s="232"/>
      <c r="E21" s="232"/>
      <c r="F21" s="232"/>
      <c r="G21" s="232"/>
      <c r="H21" s="232"/>
      <c r="I21" s="233"/>
      <c r="J21" s="92"/>
      <c r="K21" s="92"/>
      <c r="L21" s="92"/>
      <c r="M21" s="92"/>
      <c r="N21" s="92"/>
    </row>
    <row r="22" spans="1:14" x14ac:dyDescent="0.25">
      <c r="A22" s="231"/>
      <c r="B22" s="232"/>
      <c r="C22" s="232"/>
      <c r="D22" s="232"/>
      <c r="E22" s="232"/>
      <c r="F22" s="232"/>
      <c r="G22" s="232"/>
      <c r="H22" s="232"/>
      <c r="I22" s="233"/>
      <c r="J22" s="92"/>
      <c r="K22" s="92"/>
      <c r="L22" s="92"/>
      <c r="M22" s="92"/>
      <c r="N22" s="92"/>
    </row>
    <row r="23" spans="1:14" x14ac:dyDescent="0.25">
      <c r="A23" s="234"/>
      <c r="B23" s="235"/>
      <c r="C23" s="235"/>
      <c r="D23" s="235"/>
      <c r="E23" s="235"/>
      <c r="F23" s="235"/>
      <c r="G23" s="235"/>
      <c r="H23" s="235"/>
      <c r="I23" s="236"/>
      <c r="J23" s="92"/>
      <c r="K23" s="92"/>
      <c r="L23" s="92"/>
      <c r="M23" s="92"/>
      <c r="N23" s="92"/>
    </row>
    <row r="25" spans="1:14" x14ac:dyDescent="0.25">
      <c r="A25" s="51" t="s">
        <v>63</v>
      </c>
      <c r="B25" s="127"/>
      <c r="C25" s="127"/>
      <c r="D25" s="127"/>
      <c r="E25" s="127"/>
      <c r="F25" s="127"/>
      <c r="G25" s="127"/>
      <c r="H25" s="127"/>
      <c r="I25" s="128"/>
      <c r="J25" s="92"/>
      <c r="K25" s="92"/>
      <c r="L25" s="92"/>
      <c r="M25" s="92"/>
      <c r="N25" s="92"/>
    </row>
    <row r="26" spans="1:14" x14ac:dyDescent="0.25">
      <c r="A26" s="129"/>
      <c r="B26" s="130"/>
      <c r="C26" s="130"/>
      <c r="D26" s="130"/>
      <c r="E26" s="130"/>
      <c r="F26" s="130"/>
      <c r="G26" s="130"/>
      <c r="H26" s="130"/>
      <c r="I26" s="131"/>
      <c r="J26" s="92"/>
      <c r="K26" s="92"/>
      <c r="L26" s="92"/>
      <c r="M26" s="92"/>
      <c r="N26" s="92"/>
    </row>
    <row r="27" spans="1:14" x14ac:dyDescent="0.25">
      <c r="A27" s="228" t="s">
        <v>64</v>
      </c>
      <c r="B27" s="237"/>
      <c r="C27" s="237"/>
      <c r="D27" s="237"/>
      <c r="E27" s="237"/>
      <c r="F27" s="237"/>
      <c r="G27" s="237"/>
      <c r="H27" s="237"/>
      <c r="I27" s="238"/>
      <c r="J27" s="92"/>
      <c r="K27" s="245" t="s">
        <v>65</v>
      </c>
      <c r="L27" s="245"/>
      <c r="M27" s="245"/>
      <c r="N27" s="245"/>
    </row>
    <row r="28" spans="1:14" x14ac:dyDescent="0.25">
      <c r="A28" s="239"/>
      <c r="B28" s="240"/>
      <c r="C28" s="240"/>
      <c r="D28" s="240"/>
      <c r="E28" s="240"/>
      <c r="F28" s="240"/>
      <c r="G28" s="240"/>
      <c r="H28" s="240"/>
      <c r="I28" s="241"/>
      <c r="J28" s="92"/>
      <c r="K28" s="245"/>
      <c r="L28" s="245"/>
      <c r="M28" s="245"/>
      <c r="N28" s="245"/>
    </row>
    <row r="29" spans="1:14" x14ac:dyDescent="0.25">
      <c r="A29" s="239"/>
      <c r="B29" s="240"/>
      <c r="C29" s="240"/>
      <c r="D29" s="240"/>
      <c r="E29" s="240"/>
      <c r="F29" s="240"/>
      <c r="G29" s="240"/>
      <c r="H29" s="240"/>
      <c r="I29" s="241"/>
      <c r="J29" s="92"/>
      <c r="K29" s="245"/>
      <c r="L29" s="245"/>
      <c r="M29" s="245"/>
      <c r="N29" s="245"/>
    </row>
    <row r="30" spans="1:14" x14ac:dyDescent="0.25">
      <c r="A30" s="239"/>
      <c r="B30" s="240"/>
      <c r="C30" s="240"/>
      <c r="D30" s="240"/>
      <c r="E30" s="240"/>
      <c r="F30" s="240"/>
      <c r="G30" s="240"/>
      <c r="H30" s="240"/>
      <c r="I30" s="241"/>
      <c r="J30" s="92"/>
      <c r="K30" s="245"/>
      <c r="L30" s="245"/>
      <c r="M30" s="245"/>
      <c r="N30" s="245"/>
    </row>
    <row r="31" spans="1:14" x14ac:dyDescent="0.25">
      <c r="A31" s="239"/>
      <c r="B31" s="240"/>
      <c r="C31" s="240"/>
      <c r="D31" s="240"/>
      <c r="E31" s="240"/>
      <c r="F31" s="240"/>
      <c r="G31" s="240"/>
      <c r="H31" s="240"/>
      <c r="I31" s="241"/>
      <c r="J31" s="92"/>
      <c r="K31" s="245"/>
      <c r="L31" s="245"/>
      <c r="M31" s="245"/>
      <c r="N31" s="245"/>
    </row>
    <row r="32" spans="1:14" x14ac:dyDescent="0.25">
      <c r="A32" s="239"/>
      <c r="B32" s="240"/>
      <c r="C32" s="240"/>
      <c r="D32" s="240"/>
      <c r="E32" s="240"/>
      <c r="F32" s="240"/>
      <c r="G32" s="240"/>
      <c r="H32" s="240"/>
      <c r="I32" s="241"/>
      <c r="J32" s="92"/>
      <c r="K32" s="245"/>
      <c r="L32" s="245"/>
      <c r="M32" s="245"/>
      <c r="N32" s="245"/>
    </row>
    <row r="33" spans="1:14" x14ac:dyDescent="0.25">
      <c r="A33" s="239"/>
      <c r="B33" s="240"/>
      <c r="C33" s="240"/>
      <c r="D33" s="240"/>
      <c r="E33" s="240"/>
      <c r="F33" s="240"/>
      <c r="G33" s="240"/>
      <c r="H33" s="240"/>
      <c r="I33" s="241"/>
      <c r="J33" s="92"/>
      <c r="K33" s="245"/>
      <c r="L33" s="245"/>
      <c r="M33" s="245"/>
      <c r="N33" s="245"/>
    </row>
    <row r="34" spans="1:14" x14ac:dyDescent="0.25">
      <c r="A34" s="239"/>
      <c r="B34" s="240"/>
      <c r="C34" s="240"/>
      <c r="D34" s="240"/>
      <c r="E34" s="240"/>
      <c r="F34" s="240"/>
      <c r="G34" s="240"/>
      <c r="H34" s="240"/>
      <c r="I34" s="241"/>
      <c r="J34" s="92"/>
      <c r="K34" s="245"/>
      <c r="L34" s="245"/>
      <c r="M34" s="245"/>
      <c r="N34" s="245"/>
    </row>
    <row r="35" spans="1:14" x14ac:dyDescent="0.25">
      <c r="A35" s="239"/>
      <c r="B35" s="240"/>
      <c r="C35" s="240"/>
      <c r="D35" s="240"/>
      <c r="E35" s="240"/>
      <c r="F35" s="240"/>
      <c r="G35" s="240"/>
      <c r="H35" s="240"/>
      <c r="I35" s="241"/>
      <c r="J35" s="92"/>
      <c r="K35" s="245"/>
      <c r="L35" s="245"/>
      <c r="M35" s="245"/>
      <c r="N35" s="245"/>
    </row>
    <row r="36" spans="1:14" x14ac:dyDescent="0.25">
      <c r="A36" s="239"/>
      <c r="B36" s="240"/>
      <c r="C36" s="240"/>
      <c r="D36" s="240"/>
      <c r="E36" s="240"/>
      <c r="F36" s="240"/>
      <c r="G36" s="240"/>
      <c r="H36" s="240"/>
      <c r="I36" s="241"/>
      <c r="J36" s="92"/>
      <c r="K36" s="245"/>
      <c r="L36" s="245"/>
      <c r="M36" s="245"/>
      <c r="N36" s="245"/>
    </row>
    <row r="37" spans="1:14" x14ac:dyDescent="0.25">
      <c r="A37" s="239"/>
      <c r="B37" s="240"/>
      <c r="C37" s="240"/>
      <c r="D37" s="240"/>
      <c r="E37" s="240"/>
      <c r="F37" s="240"/>
      <c r="G37" s="240"/>
      <c r="H37" s="240"/>
      <c r="I37" s="241"/>
      <c r="J37" s="92"/>
      <c r="K37" s="92"/>
      <c r="L37" s="92"/>
      <c r="M37" s="92"/>
      <c r="N37" s="92"/>
    </row>
    <row r="38" spans="1:14" x14ac:dyDescent="0.25">
      <c r="A38" s="239"/>
      <c r="B38" s="240"/>
      <c r="C38" s="240"/>
      <c r="D38" s="240"/>
      <c r="E38" s="240"/>
      <c r="F38" s="240"/>
      <c r="G38" s="240"/>
      <c r="H38" s="240"/>
      <c r="I38" s="241"/>
      <c r="J38" s="92"/>
      <c r="K38" s="92"/>
      <c r="L38" s="92"/>
      <c r="M38" s="92"/>
      <c r="N38" s="92"/>
    </row>
    <row r="39" spans="1:14" x14ac:dyDescent="0.25">
      <c r="A39" s="239"/>
      <c r="B39" s="240"/>
      <c r="C39" s="240"/>
      <c r="D39" s="240"/>
      <c r="E39" s="240"/>
      <c r="F39" s="240"/>
      <c r="G39" s="240"/>
      <c r="H39" s="240"/>
      <c r="I39" s="241"/>
      <c r="J39" s="92"/>
      <c r="K39" s="92"/>
      <c r="L39" s="92"/>
      <c r="M39" s="92"/>
      <c r="N39" s="92"/>
    </row>
    <row r="40" spans="1:14" x14ac:dyDescent="0.25">
      <c r="A40" s="239"/>
      <c r="B40" s="240"/>
      <c r="C40" s="240"/>
      <c r="D40" s="240"/>
      <c r="E40" s="240"/>
      <c r="F40" s="240"/>
      <c r="G40" s="240"/>
      <c r="H40" s="240"/>
      <c r="I40" s="241"/>
      <c r="J40" s="92"/>
      <c r="K40" s="92"/>
      <c r="L40" s="92"/>
      <c r="M40" s="92"/>
      <c r="N40" s="92"/>
    </row>
    <row r="41" spans="1:14" x14ac:dyDescent="0.25">
      <c r="A41" s="239"/>
      <c r="B41" s="240"/>
      <c r="C41" s="240"/>
      <c r="D41" s="240"/>
      <c r="E41" s="240"/>
      <c r="F41" s="240"/>
      <c r="G41" s="240"/>
      <c r="H41" s="240"/>
      <c r="I41" s="241"/>
      <c r="J41" s="92"/>
      <c r="K41" s="92"/>
      <c r="L41" s="92"/>
      <c r="M41" s="92"/>
      <c r="N41" s="92"/>
    </row>
    <row r="42" spans="1:14" x14ac:dyDescent="0.25">
      <c r="A42" s="239"/>
      <c r="B42" s="240"/>
      <c r="C42" s="240"/>
      <c r="D42" s="240"/>
      <c r="E42" s="240"/>
      <c r="F42" s="240"/>
      <c r="G42" s="240"/>
      <c r="H42" s="240"/>
      <c r="I42" s="241"/>
      <c r="J42" s="92"/>
      <c r="K42" s="92"/>
      <c r="L42" s="92"/>
      <c r="M42" s="92"/>
      <c r="N42" s="92"/>
    </row>
    <row r="43" spans="1:14" x14ac:dyDescent="0.25">
      <c r="A43" s="239"/>
      <c r="B43" s="240"/>
      <c r="C43" s="240"/>
      <c r="D43" s="240"/>
      <c r="E43" s="240"/>
      <c r="F43" s="240"/>
      <c r="G43" s="240"/>
      <c r="H43" s="240"/>
      <c r="I43" s="241"/>
      <c r="J43" s="92"/>
      <c r="K43" s="92"/>
      <c r="L43" s="92"/>
      <c r="M43" s="92"/>
      <c r="N43" s="92"/>
    </row>
    <row r="44" spans="1:14" x14ac:dyDescent="0.25">
      <c r="A44" s="239"/>
      <c r="B44" s="240"/>
      <c r="C44" s="240"/>
      <c r="D44" s="240"/>
      <c r="E44" s="240"/>
      <c r="F44" s="240"/>
      <c r="G44" s="240"/>
      <c r="H44" s="240"/>
      <c r="I44" s="241"/>
      <c r="J44" s="92"/>
      <c r="K44" s="92"/>
      <c r="L44" s="92"/>
      <c r="M44" s="92"/>
      <c r="N44" s="92"/>
    </row>
    <row r="45" spans="1:14" ht="14.25" customHeight="1" x14ac:dyDescent="0.25">
      <c r="A45" s="239"/>
      <c r="B45" s="240"/>
      <c r="C45" s="240"/>
      <c r="D45" s="240"/>
      <c r="E45" s="240"/>
      <c r="F45" s="240"/>
      <c r="G45" s="240"/>
      <c r="H45" s="240"/>
      <c r="I45" s="241"/>
      <c r="J45" s="92"/>
      <c r="K45" s="92"/>
      <c r="L45" s="92"/>
      <c r="M45" s="92"/>
      <c r="N45" s="92"/>
    </row>
    <row r="46" spans="1:14" x14ac:dyDescent="0.25">
      <c r="A46" s="239"/>
      <c r="B46" s="240"/>
      <c r="C46" s="240"/>
      <c r="D46" s="240"/>
      <c r="E46" s="240"/>
      <c r="F46" s="240"/>
      <c r="G46" s="240"/>
      <c r="H46" s="240"/>
      <c r="I46" s="241"/>
      <c r="J46" s="92"/>
      <c r="K46" s="92"/>
      <c r="L46" s="92"/>
      <c r="M46" s="92"/>
      <c r="N46" s="92"/>
    </row>
    <row r="47" spans="1:14" x14ac:dyDescent="0.25">
      <c r="A47" s="239"/>
      <c r="B47" s="240"/>
      <c r="C47" s="240"/>
      <c r="D47" s="240"/>
      <c r="E47" s="240"/>
      <c r="F47" s="240"/>
      <c r="G47" s="240"/>
      <c r="H47" s="240"/>
      <c r="I47" s="241"/>
      <c r="J47" s="92"/>
      <c r="K47" s="92"/>
      <c r="L47" s="92"/>
      <c r="M47" s="92"/>
      <c r="N47" s="92"/>
    </row>
    <row r="48" spans="1:14" x14ac:dyDescent="0.25">
      <c r="A48" s="239"/>
      <c r="B48" s="240"/>
      <c r="C48" s="240"/>
      <c r="D48" s="240"/>
      <c r="E48" s="240"/>
      <c r="F48" s="240"/>
      <c r="G48" s="240"/>
      <c r="H48" s="240"/>
      <c r="I48" s="241"/>
      <c r="J48" s="92"/>
      <c r="K48" s="92"/>
      <c r="L48" s="92"/>
      <c r="M48" s="92"/>
      <c r="N48" s="92"/>
    </row>
    <row r="49" spans="1:9" x14ac:dyDescent="0.25">
      <c r="A49" s="239"/>
      <c r="B49" s="240"/>
      <c r="C49" s="240"/>
      <c r="D49" s="240"/>
      <c r="E49" s="240"/>
      <c r="F49" s="240"/>
      <c r="G49" s="240"/>
      <c r="H49" s="240"/>
      <c r="I49" s="241"/>
    </row>
    <row r="50" spans="1:9" x14ac:dyDescent="0.25">
      <c r="A50" s="239"/>
      <c r="B50" s="240"/>
      <c r="C50" s="240"/>
      <c r="D50" s="240"/>
      <c r="E50" s="240"/>
      <c r="F50" s="240"/>
      <c r="G50" s="240"/>
      <c r="H50" s="240"/>
      <c r="I50" s="241"/>
    </row>
    <row r="51" spans="1:9" x14ac:dyDescent="0.25">
      <c r="A51" s="239"/>
      <c r="B51" s="240"/>
      <c r="C51" s="240"/>
      <c r="D51" s="240"/>
      <c r="E51" s="240"/>
      <c r="F51" s="240"/>
      <c r="G51" s="240"/>
      <c r="H51" s="240"/>
      <c r="I51" s="241"/>
    </row>
    <row r="52" spans="1:9" x14ac:dyDescent="0.25">
      <c r="A52" s="239"/>
      <c r="B52" s="240"/>
      <c r="C52" s="240"/>
      <c r="D52" s="240"/>
      <c r="E52" s="240"/>
      <c r="F52" s="240"/>
      <c r="G52" s="240"/>
      <c r="H52" s="240"/>
      <c r="I52" s="241"/>
    </row>
    <row r="53" spans="1:9" x14ac:dyDescent="0.25">
      <c r="A53" s="239"/>
      <c r="B53" s="240"/>
      <c r="C53" s="240"/>
      <c r="D53" s="240"/>
      <c r="E53" s="240"/>
      <c r="F53" s="240"/>
      <c r="G53" s="240"/>
      <c r="H53" s="240"/>
      <c r="I53" s="241"/>
    </row>
    <row r="54" spans="1:9" x14ac:dyDescent="0.25">
      <c r="A54" s="239"/>
      <c r="B54" s="240"/>
      <c r="C54" s="240"/>
      <c r="D54" s="240"/>
      <c r="E54" s="240"/>
      <c r="F54" s="240"/>
      <c r="G54" s="240"/>
      <c r="H54" s="240"/>
      <c r="I54" s="241"/>
    </row>
    <row r="55" spans="1:9" x14ac:dyDescent="0.25">
      <c r="A55" s="239"/>
      <c r="B55" s="240"/>
      <c r="C55" s="240"/>
      <c r="D55" s="240"/>
      <c r="E55" s="240"/>
      <c r="F55" s="240"/>
      <c r="G55" s="240"/>
      <c r="H55" s="240"/>
      <c r="I55" s="241"/>
    </row>
    <row r="56" spans="1:9" x14ac:dyDescent="0.25">
      <c r="A56" s="239"/>
      <c r="B56" s="240"/>
      <c r="C56" s="240"/>
      <c r="D56" s="240"/>
      <c r="E56" s="240"/>
      <c r="F56" s="240"/>
      <c r="G56" s="240"/>
      <c r="H56" s="240"/>
      <c r="I56" s="241"/>
    </row>
    <row r="57" spans="1:9" x14ac:dyDescent="0.25">
      <c r="A57" s="242"/>
      <c r="B57" s="243"/>
      <c r="C57" s="243"/>
      <c r="D57" s="243"/>
      <c r="E57" s="243"/>
      <c r="F57" s="243"/>
      <c r="G57" s="243"/>
      <c r="H57" s="243"/>
      <c r="I57" s="244"/>
    </row>
    <row r="69" spans="6:6" x14ac:dyDescent="0.25">
      <c r="F69" s="3"/>
    </row>
  </sheetData>
  <mergeCells count="4">
    <mergeCell ref="A5:I23"/>
    <mergeCell ref="A27:I57"/>
    <mergeCell ref="K5:N14"/>
    <mergeCell ref="K27:N36"/>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sheetPr>
  <dimension ref="A1:N64"/>
  <sheetViews>
    <sheetView topLeftCell="A19" workbookViewId="0">
      <selection activeCell="F55" sqref="F55"/>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2" t="str">
        <f>+'Cover Page'!$B$29</f>
        <v>Annual Performance Report 2022</v>
      </c>
      <c r="B1" s="92"/>
      <c r="C1" s="92"/>
      <c r="D1" s="92"/>
      <c r="E1" s="92" t="str">
        <f>+'Cover Page'!$B$33</f>
        <v>Staffordshire Energy Recovery Facility</v>
      </c>
      <c r="F1" s="92"/>
      <c r="G1" s="92"/>
      <c r="H1" s="92"/>
      <c r="I1" s="92"/>
      <c r="J1" s="92"/>
      <c r="K1" s="92"/>
      <c r="L1" s="92"/>
      <c r="M1" s="92"/>
      <c r="N1" s="92"/>
    </row>
    <row r="3" spans="1:14" ht="15.6" x14ac:dyDescent="0.3">
      <c r="A3" s="51" t="s">
        <v>66</v>
      </c>
      <c r="B3" s="127"/>
      <c r="C3" s="127"/>
      <c r="D3" s="127"/>
      <c r="E3" s="127"/>
      <c r="F3" s="127"/>
      <c r="G3" s="127"/>
      <c r="H3" s="127"/>
      <c r="I3" s="128"/>
      <c r="J3" s="92"/>
      <c r="K3" s="81" t="s">
        <v>3</v>
      </c>
      <c r="L3" s="92"/>
      <c r="M3" s="92"/>
      <c r="N3" s="92"/>
    </row>
    <row r="4" spans="1:14" x14ac:dyDescent="0.25">
      <c r="A4" s="129"/>
      <c r="B4" s="130"/>
      <c r="C4" s="130"/>
      <c r="D4" s="130"/>
      <c r="E4" s="130"/>
      <c r="F4" s="130"/>
      <c r="G4" s="130"/>
      <c r="H4" s="130"/>
      <c r="I4" s="131"/>
      <c r="J4" s="92"/>
      <c r="K4" s="92"/>
      <c r="L4" s="92"/>
      <c r="M4" s="92"/>
      <c r="N4" s="92"/>
    </row>
    <row r="5" spans="1:14" ht="15.75" customHeight="1" x14ac:dyDescent="0.25">
      <c r="A5" s="228" t="s">
        <v>67</v>
      </c>
      <c r="B5" s="229"/>
      <c r="C5" s="229"/>
      <c r="D5" s="229"/>
      <c r="E5" s="229"/>
      <c r="F5" s="229"/>
      <c r="G5" s="229"/>
      <c r="H5" s="229"/>
      <c r="I5" s="230"/>
      <c r="J5" s="92"/>
      <c r="K5" s="245" t="s">
        <v>68</v>
      </c>
      <c r="L5" s="245"/>
      <c r="M5" s="245"/>
      <c r="N5" s="245"/>
    </row>
    <row r="6" spans="1:14" x14ac:dyDescent="0.25">
      <c r="A6" s="231"/>
      <c r="B6" s="232"/>
      <c r="C6" s="232"/>
      <c r="D6" s="232"/>
      <c r="E6" s="232"/>
      <c r="F6" s="232"/>
      <c r="G6" s="232"/>
      <c r="H6" s="232"/>
      <c r="I6" s="233"/>
      <c r="J6" s="92"/>
      <c r="K6" s="245"/>
      <c r="L6" s="245"/>
      <c r="M6" s="245"/>
      <c r="N6" s="245"/>
    </row>
    <row r="7" spans="1:14" x14ac:dyDescent="0.25">
      <c r="A7" s="231"/>
      <c r="B7" s="232"/>
      <c r="C7" s="232"/>
      <c r="D7" s="232"/>
      <c r="E7" s="232"/>
      <c r="F7" s="232"/>
      <c r="G7" s="232"/>
      <c r="H7" s="232"/>
      <c r="I7" s="233"/>
      <c r="J7" s="92"/>
      <c r="K7" s="245"/>
      <c r="L7" s="245"/>
      <c r="M7" s="245"/>
      <c r="N7" s="245"/>
    </row>
    <row r="8" spans="1:14" ht="15.75" customHeight="1" x14ac:dyDescent="0.25">
      <c r="A8" s="231"/>
      <c r="B8" s="232"/>
      <c r="C8" s="232"/>
      <c r="D8" s="232"/>
      <c r="E8" s="232"/>
      <c r="F8" s="232"/>
      <c r="G8" s="232"/>
      <c r="H8" s="232"/>
      <c r="I8" s="233"/>
      <c r="J8" s="92"/>
      <c r="K8" s="245"/>
      <c r="L8" s="245"/>
      <c r="M8" s="245"/>
      <c r="N8" s="245"/>
    </row>
    <row r="9" spans="1:14" ht="15.75" customHeight="1" x14ac:dyDescent="0.25">
      <c r="A9" s="231"/>
      <c r="B9" s="232"/>
      <c r="C9" s="232"/>
      <c r="D9" s="232"/>
      <c r="E9" s="232"/>
      <c r="F9" s="232"/>
      <c r="G9" s="232"/>
      <c r="H9" s="232"/>
      <c r="I9" s="233"/>
      <c r="J9" s="92"/>
      <c r="K9" s="245"/>
      <c r="L9" s="245"/>
      <c r="M9" s="245"/>
      <c r="N9" s="245"/>
    </row>
    <row r="10" spans="1:14" ht="15.75" customHeight="1" x14ac:dyDescent="0.25">
      <c r="A10" s="231"/>
      <c r="B10" s="232"/>
      <c r="C10" s="232"/>
      <c r="D10" s="232"/>
      <c r="E10" s="232"/>
      <c r="F10" s="232"/>
      <c r="G10" s="232"/>
      <c r="H10" s="232"/>
      <c r="I10" s="233"/>
      <c r="J10" s="92"/>
      <c r="K10" s="245"/>
      <c r="L10" s="245"/>
      <c r="M10" s="245"/>
      <c r="N10" s="245"/>
    </row>
    <row r="11" spans="1:14" ht="15.75" customHeight="1" x14ac:dyDescent="0.25">
      <c r="A11" s="231"/>
      <c r="B11" s="232"/>
      <c r="C11" s="232"/>
      <c r="D11" s="232"/>
      <c r="E11" s="232"/>
      <c r="F11" s="232"/>
      <c r="G11" s="232"/>
      <c r="H11" s="232"/>
      <c r="I11" s="233"/>
      <c r="J11" s="92"/>
      <c r="K11" s="245"/>
      <c r="L11" s="245"/>
      <c r="M11" s="245"/>
      <c r="N11" s="245"/>
    </row>
    <row r="12" spans="1:14" ht="15.75" customHeight="1" x14ac:dyDescent="0.25">
      <c r="A12" s="231"/>
      <c r="B12" s="232"/>
      <c r="C12" s="232"/>
      <c r="D12" s="232"/>
      <c r="E12" s="232"/>
      <c r="F12" s="232"/>
      <c r="G12" s="232"/>
      <c r="H12" s="232"/>
      <c r="I12" s="233"/>
      <c r="J12" s="92"/>
      <c r="K12" s="245"/>
      <c r="L12" s="245"/>
      <c r="M12" s="245"/>
      <c r="N12" s="245"/>
    </row>
    <row r="13" spans="1:14" ht="15.75" customHeight="1" x14ac:dyDescent="0.25">
      <c r="A13" s="231"/>
      <c r="B13" s="232"/>
      <c r="C13" s="232"/>
      <c r="D13" s="232"/>
      <c r="E13" s="232"/>
      <c r="F13" s="232"/>
      <c r="G13" s="232"/>
      <c r="H13" s="232"/>
      <c r="I13" s="233"/>
      <c r="J13" s="92"/>
      <c r="K13" s="245"/>
      <c r="L13" s="245"/>
      <c r="M13" s="245"/>
      <c r="N13" s="245"/>
    </row>
    <row r="14" spans="1:14" ht="15.75" customHeight="1" x14ac:dyDescent="0.25">
      <c r="A14" s="231"/>
      <c r="B14" s="232"/>
      <c r="C14" s="232"/>
      <c r="D14" s="232"/>
      <c r="E14" s="232"/>
      <c r="F14" s="232"/>
      <c r="G14" s="232"/>
      <c r="H14" s="232"/>
      <c r="I14" s="233"/>
      <c r="J14" s="92"/>
      <c r="K14" s="245"/>
      <c r="L14" s="245"/>
      <c r="M14" s="245"/>
      <c r="N14" s="245"/>
    </row>
    <row r="15" spans="1:14" ht="15.75" customHeight="1" x14ac:dyDescent="0.25">
      <c r="A15" s="231"/>
      <c r="B15" s="232"/>
      <c r="C15" s="232"/>
      <c r="D15" s="232"/>
      <c r="E15" s="232"/>
      <c r="F15" s="232"/>
      <c r="G15" s="232"/>
      <c r="H15" s="232"/>
      <c r="I15" s="233"/>
      <c r="J15" s="92"/>
      <c r="K15" s="92"/>
      <c r="L15" s="92"/>
      <c r="M15" s="92"/>
      <c r="N15" s="92"/>
    </row>
    <row r="16" spans="1:14" ht="15.75" customHeight="1" x14ac:dyDescent="0.25">
      <c r="A16" s="231"/>
      <c r="B16" s="232"/>
      <c r="C16" s="232"/>
      <c r="D16" s="232"/>
      <c r="E16" s="232"/>
      <c r="F16" s="232"/>
      <c r="G16" s="232"/>
      <c r="H16" s="232"/>
      <c r="I16" s="233"/>
      <c r="J16" s="92"/>
      <c r="K16" s="92"/>
      <c r="L16" s="92"/>
      <c r="M16" s="92"/>
      <c r="N16" s="92"/>
    </row>
    <row r="17" spans="1:14" ht="15.75" customHeight="1" x14ac:dyDescent="0.25">
      <c r="A17" s="231"/>
      <c r="B17" s="232"/>
      <c r="C17" s="232"/>
      <c r="D17" s="232"/>
      <c r="E17" s="232"/>
      <c r="F17" s="232"/>
      <c r="G17" s="232"/>
      <c r="H17" s="232"/>
      <c r="I17" s="233"/>
      <c r="J17" s="92"/>
      <c r="K17" s="92"/>
      <c r="L17" s="92"/>
      <c r="M17" s="92"/>
      <c r="N17" s="92"/>
    </row>
    <row r="18" spans="1:14" x14ac:dyDescent="0.25">
      <c r="A18" s="231"/>
      <c r="B18" s="232"/>
      <c r="C18" s="232"/>
      <c r="D18" s="232"/>
      <c r="E18" s="232"/>
      <c r="F18" s="232"/>
      <c r="G18" s="232"/>
      <c r="H18" s="232"/>
      <c r="I18" s="233"/>
      <c r="J18" s="92"/>
      <c r="K18" s="92"/>
      <c r="L18" s="92"/>
      <c r="M18" s="92"/>
      <c r="N18" s="92"/>
    </row>
    <row r="19" spans="1:14" x14ac:dyDescent="0.25">
      <c r="A19" s="231"/>
      <c r="B19" s="232"/>
      <c r="C19" s="232"/>
      <c r="D19" s="232"/>
      <c r="E19" s="232"/>
      <c r="F19" s="232"/>
      <c r="G19" s="232"/>
      <c r="H19" s="232"/>
      <c r="I19" s="233"/>
      <c r="J19" s="92"/>
      <c r="K19" s="92"/>
      <c r="L19" s="92"/>
      <c r="M19" s="92"/>
      <c r="N19" s="92"/>
    </row>
    <row r="20" spans="1:14" x14ac:dyDescent="0.25">
      <c r="A20" s="231"/>
      <c r="B20" s="232"/>
      <c r="C20" s="232"/>
      <c r="D20" s="232"/>
      <c r="E20" s="232"/>
      <c r="F20" s="232"/>
      <c r="G20" s="232"/>
      <c r="H20" s="232"/>
      <c r="I20" s="233"/>
      <c r="J20" s="92"/>
      <c r="K20" s="92"/>
      <c r="L20" s="92"/>
      <c r="M20" s="92"/>
      <c r="N20" s="92"/>
    </row>
    <row r="21" spans="1:14" x14ac:dyDescent="0.25">
      <c r="A21" s="231"/>
      <c r="B21" s="232"/>
      <c r="C21" s="232"/>
      <c r="D21" s="232"/>
      <c r="E21" s="232"/>
      <c r="F21" s="232"/>
      <c r="G21" s="232"/>
      <c r="H21" s="232"/>
      <c r="I21" s="233"/>
      <c r="J21" s="92"/>
      <c r="K21" s="92"/>
      <c r="L21" s="92"/>
      <c r="M21" s="92"/>
      <c r="N21" s="92"/>
    </row>
    <row r="22" spans="1:14" ht="15.45" customHeight="1" x14ac:dyDescent="0.25">
      <c r="A22" s="231"/>
      <c r="B22" s="232"/>
      <c r="C22" s="232"/>
      <c r="D22" s="232"/>
      <c r="E22" s="232"/>
      <c r="F22" s="232"/>
      <c r="G22" s="232"/>
      <c r="H22" s="232"/>
      <c r="I22" s="233"/>
      <c r="J22" s="92"/>
      <c r="K22" s="94"/>
      <c r="L22" s="94"/>
      <c r="M22" s="94"/>
      <c r="N22" s="94"/>
    </row>
    <row r="23" spans="1:14" x14ac:dyDescent="0.25">
      <c r="A23" s="231"/>
      <c r="B23" s="232"/>
      <c r="C23" s="232"/>
      <c r="D23" s="232"/>
      <c r="E23" s="232"/>
      <c r="F23" s="232"/>
      <c r="G23" s="232"/>
      <c r="H23" s="232"/>
      <c r="I23" s="233"/>
      <c r="J23" s="92"/>
      <c r="K23" s="94"/>
      <c r="L23" s="94"/>
      <c r="M23" s="94"/>
      <c r="N23" s="94"/>
    </row>
    <row r="24" spans="1:14" x14ac:dyDescent="0.25">
      <c r="A24" s="231"/>
      <c r="B24" s="232"/>
      <c r="C24" s="232"/>
      <c r="D24" s="232"/>
      <c r="E24" s="232"/>
      <c r="F24" s="232"/>
      <c r="G24" s="232"/>
      <c r="H24" s="232"/>
      <c r="I24" s="233"/>
      <c r="J24" s="92"/>
      <c r="K24" s="94"/>
      <c r="L24" s="94"/>
      <c r="M24" s="94"/>
      <c r="N24" s="94"/>
    </row>
    <row r="25" spans="1:14" x14ac:dyDescent="0.25">
      <c r="A25" s="231"/>
      <c r="B25" s="232"/>
      <c r="C25" s="232"/>
      <c r="D25" s="232"/>
      <c r="E25" s="232"/>
      <c r="F25" s="232"/>
      <c r="G25" s="232"/>
      <c r="H25" s="232"/>
      <c r="I25" s="233"/>
      <c r="J25" s="92"/>
      <c r="K25" s="94"/>
      <c r="L25" s="94"/>
      <c r="M25" s="94"/>
      <c r="N25" s="94"/>
    </row>
    <row r="26" spans="1:14" x14ac:dyDescent="0.25">
      <c r="A26" s="231"/>
      <c r="B26" s="232"/>
      <c r="C26" s="232"/>
      <c r="D26" s="232"/>
      <c r="E26" s="232"/>
      <c r="F26" s="232"/>
      <c r="G26" s="232"/>
      <c r="H26" s="232"/>
      <c r="I26" s="233"/>
      <c r="J26" s="92"/>
      <c r="K26" s="94"/>
      <c r="L26" s="94"/>
      <c r="M26" s="94"/>
      <c r="N26" s="94"/>
    </row>
    <row r="27" spans="1:14" x14ac:dyDescent="0.25">
      <c r="A27" s="234"/>
      <c r="B27" s="235"/>
      <c r="C27" s="235"/>
      <c r="D27" s="235"/>
      <c r="E27" s="235"/>
      <c r="F27" s="235"/>
      <c r="G27" s="235"/>
      <c r="H27" s="235"/>
      <c r="I27" s="236"/>
      <c r="J27" s="92"/>
      <c r="K27" s="94"/>
      <c r="L27" s="94"/>
      <c r="M27" s="94"/>
      <c r="N27" s="94"/>
    </row>
    <row r="28" spans="1:14" x14ac:dyDescent="0.25">
      <c r="A28" s="92"/>
      <c r="B28" s="92"/>
      <c r="C28" s="92"/>
      <c r="D28" s="92"/>
      <c r="E28" s="92"/>
      <c r="F28" s="92"/>
      <c r="G28" s="92"/>
      <c r="H28" s="92"/>
      <c r="I28" s="92"/>
      <c r="J28" s="92"/>
      <c r="K28" s="94"/>
      <c r="L28" s="94"/>
      <c r="M28" s="94"/>
      <c r="N28" s="94"/>
    </row>
    <row r="29" spans="1:14" x14ac:dyDescent="0.25">
      <c r="A29" s="51" t="s">
        <v>69</v>
      </c>
      <c r="B29" s="127"/>
      <c r="C29" s="127"/>
      <c r="D29" s="127"/>
      <c r="E29" s="127"/>
      <c r="F29" s="127"/>
      <c r="G29" s="127"/>
      <c r="H29" s="127"/>
      <c r="I29" s="128"/>
      <c r="J29" s="92"/>
      <c r="K29" s="94"/>
      <c r="L29" s="94"/>
      <c r="M29" s="94"/>
      <c r="N29" s="94"/>
    </row>
    <row r="30" spans="1:14" x14ac:dyDescent="0.25">
      <c r="A30" s="129"/>
      <c r="B30" s="130"/>
      <c r="C30" s="130"/>
      <c r="D30" s="130"/>
      <c r="E30" s="130"/>
      <c r="F30" s="130"/>
      <c r="G30" s="130"/>
      <c r="H30" s="130"/>
      <c r="I30" s="131"/>
      <c r="J30" s="92"/>
      <c r="K30" s="94"/>
      <c r="L30" s="94"/>
      <c r="M30" s="94"/>
      <c r="N30" s="94"/>
    </row>
    <row r="31" spans="1:14" x14ac:dyDescent="0.25">
      <c r="A31" s="228" t="s">
        <v>70</v>
      </c>
      <c r="B31" s="237"/>
      <c r="C31" s="237"/>
      <c r="D31" s="237"/>
      <c r="E31" s="237"/>
      <c r="F31" s="237"/>
      <c r="G31" s="237"/>
      <c r="H31" s="237"/>
      <c r="I31" s="238"/>
      <c r="J31" s="92"/>
      <c r="K31" s="245" t="s">
        <v>71</v>
      </c>
      <c r="L31" s="245"/>
      <c r="M31" s="245"/>
      <c r="N31" s="245"/>
    </row>
    <row r="32" spans="1:14" x14ac:dyDescent="0.25">
      <c r="A32" s="239"/>
      <c r="B32" s="240"/>
      <c r="C32" s="240"/>
      <c r="D32" s="240"/>
      <c r="E32" s="240"/>
      <c r="F32" s="240"/>
      <c r="G32" s="240"/>
      <c r="H32" s="240"/>
      <c r="I32" s="241"/>
      <c r="J32" s="92"/>
      <c r="K32" s="245"/>
      <c r="L32" s="245"/>
      <c r="M32" s="245"/>
      <c r="N32" s="245"/>
    </row>
    <row r="33" spans="1:14" x14ac:dyDescent="0.25">
      <c r="A33" s="239"/>
      <c r="B33" s="240"/>
      <c r="C33" s="240"/>
      <c r="D33" s="240"/>
      <c r="E33" s="240"/>
      <c r="F33" s="240"/>
      <c r="G33" s="240"/>
      <c r="H33" s="240"/>
      <c r="I33" s="241"/>
      <c r="J33" s="92"/>
      <c r="K33" s="245"/>
      <c r="L33" s="245"/>
      <c r="M33" s="245"/>
      <c r="N33" s="245"/>
    </row>
    <row r="34" spans="1:14" x14ac:dyDescent="0.25">
      <c r="A34" s="239"/>
      <c r="B34" s="240"/>
      <c r="C34" s="240"/>
      <c r="D34" s="240"/>
      <c r="E34" s="240"/>
      <c r="F34" s="240"/>
      <c r="G34" s="240"/>
      <c r="H34" s="240"/>
      <c r="I34" s="241"/>
      <c r="J34" s="92"/>
      <c r="K34" s="245"/>
      <c r="L34" s="245"/>
      <c r="M34" s="245"/>
      <c r="N34" s="245"/>
    </row>
    <row r="35" spans="1:14" x14ac:dyDescent="0.25">
      <c r="A35" s="239"/>
      <c r="B35" s="240"/>
      <c r="C35" s="240"/>
      <c r="D35" s="240"/>
      <c r="E35" s="240"/>
      <c r="F35" s="240"/>
      <c r="G35" s="240"/>
      <c r="H35" s="240"/>
      <c r="I35" s="241"/>
      <c r="J35" s="92"/>
      <c r="K35" s="245"/>
      <c r="L35" s="245"/>
      <c r="M35" s="245"/>
      <c r="N35" s="245"/>
    </row>
    <row r="36" spans="1:14" x14ac:dyDescent="0.25">
      <c r="A36" s="239"/>
      <c r="B36" s="240"/>
      <c r="C36" s="240"/>
      <c r="D36" s="240"/>
      <c r="E36" s="240"/>
      <c r="F36" s="240"/>
      <c r="G36" s="240"/>
      <c r="H36" s="240"/>
      <c r="I36" s="241"/>
      <c r="J36" s="92"/>
      <c r="K36" s="245"/>
      <c r="L36" s="245"/>
      <c r="M36" s="245"/>
      <c r="N36" s="245"/>
    </row>
    <row r="37" spans="1:14" x14ac:dyDescent="0.25">
      <c r="A37" s="239"/>
      <c r="B37" s="240"/>
      <c r="C37" s="240"/>
      <c r="D37" s="240"/>
      <c r="E37" s="240"/>
      <c r="F37" s="240"/>
      <c r="G37" s="240"/>
      <c r="H37" s="240"/>
      <c r="I37" s="241"/>
      <c r="J37" s="92"/>
      <c r="K37" s="245"/>
      <c r="L37" s="245"/>
      <c r="M37" s="245"/>
      <c r="N37" s="245"/>
    </row>
    <row r="38" spans="1:14" ht="14.25" customHeight="1" x14ac:dyDescent="0.25">
      <c r="A38" s="239"/>
      <c r="B38" s="240"/>
      <c r="C38" s="240"/>
      <c r="D38" s="240"/>
      <c r="E38" s="240"/>
      <c r="F38" s="240"/>
      <c r="G38" s="240"/>
      <c r="H38" s="240"/>
      <c r="I38" s="241"/>
      <c r="J38" s="92"/>
      <c r="K38" s="245"/>
      <c r="L38" s="245"/>
      <c r="M38" s="245"/>
      <c r="N38" s="245"/>
    </row>
    <row r="39" spans="1:14" x14ac:dyDescent="0.25">
      <c r="A39" s="239"/>
      <c r="B39" s="240"/>
      <c r="C39" s="240"/>
      <c r="D39" s="240"/>
      <c r="E39" s="240"/>
      <c r="F39" s="240"/>
      <c r="G39" s="240"/>
      <c r="H39" s="240"/>
      <c r="I39" s="241"/>
      <c r="J39" s="92"/>
      <c r="K39" s="245"/>
      <c r="L39" s="245"/>
      <c r="M39" s="245"/>
      <c r="N39" s="245"/>
    </row>
    <row r="40" spans="1:14" x14ac:dyDescent="0.25">
      <c r="A40" s="239"/>
      <c r="B40" s="240"/>
      <c r="C40" s="240"/>
      <c r="D40" s="240"/>
      <c r="E40" s="240"/>
      <c r="F40" s="240"/>
      <c r="G40" s="240"/>
      <c r="H40" s="240"/>
      <c r="I40" s="241"/>
      <c r="J40" s="92"/>
      <c r="K40" s="245"/>
      <c r="L40" s="245"/>
      <c r="M40" s="245"/>
      <c r="N40" s="245"/>
    </row>
    <row r="41" spans="1:14" x14ac:dyDescent="0.25">
      <c r="A41" s="239"/>
      <c r="B41" s="240"/>
      <c r="C41" s="240"/>
      <c r="D41" s="240"/>
      <c r="E41" s="240"/>
      <c r="F41" s="240"/>
      <c r="G41" s="240"/>
      <c r="H41" s="240"/>
      <c r="I41" s="241"/>
      <c r="J41" s="92"/>
      <c r="K41" s="92"/>
      <c r="L41" s="92"/>
      <c r="M41" s="92"/>
      <c r="N41" s="92"/>
    </row>
    <row r="42" spans="1:14" x14ac:dyDescent="0.25">
      <c r="A42" s="239"/>
      <c r="B42" s="240"/>
      <c r="C42" s="240"/>
      <c r="D42" s="240"/>
      <c r="E42" s="240"/>
      <c r="F42" s="240"/>
      <c r="G42" s="240"/>
      <c r="H42" s="240"/>
      <c r="I42" s="241"/>
      <c r="J42" s="92"/>
      <c r="K42" s="92"/>
      <c r="L42" s="92"/>
      <c r="M42" s="92"/>
      <c r="N42" s="92"/>
    </row>
    <row r="43" spans="1:14" x14ac:dyDescent="0.25">
      <c r="A43" s="239"/>
      <c r="B43" s="240"/>
      <c r="C43" s="240"/>
      <c r="D43" s="240"/>
      <c r="E43" s="240"/>
      <c r="F43" s="240"/>
      <c r="G43" s="240"/>
      <c r="H43" s="240"/>
      <c r="I43" s="241"/>
      <c r="J43" s="92"/>
      <c r="K43" s="92"/>
      <c r="L43" s="92"/>
      <c r="M43" s="92"/>
      <c r="N43" s="92"/>
    </row>
    <row r="44" spans="1:14" x14ac:dyDescent="0.25">
      <c r="A44" s="239"/>
      <c r="B44" s="240"/>
      <c r="C44" s="240"/>
      <c r="D44" s="240"/>
      <c r="E44" s="240"/>
      <c r="F44" s="240"/>
      <c r="G44" s="240"/>
      <c r="H44" s="240"/>
      <c r="I44" s="241"/>
      <c r="J44" s="92"/>
      <c r="K44" s="92"/>
      <c r="L44" s="92"/>
      <c r="M44" s="92"/>
      <c r="N44" s="92"/>
    </row>
    <row r="45" spans="1:14" x14ac:dyDescent="0.25">
      <c r="A45" s="239"/>
      <c r="B45" s="240"/>
      <c r="C45" s="240"/>
      <c r="D45" s="240"/>
      <c r="E45" s="240"/>
      <c r="F45" s="240"/>
      <c r="G45" s="240"/>
      <c r="H45" s="240"/>
      <c r="I45" s="241"/>
      <c r="J45" s="92"/>
      <c r="K45" s="92"/>
      <c r="L45" s="92"/>
      <c r="M45" s="92"/>
      <c r="N45" s="92"/>
    </row>
    <row r="46" spans="1:14" x14ac:dyDescent="0.25">
      <c r="A46" s="239"/>
      <c r="B46" s="240"/>
      <c r="C46" s="240"/>
      <c r="D46" s="240"/>
      <c r="E46" s="240"/>
      <c r="F46" s="240"/>
      <c r="G46" s="240"/>
      <c r="H46" s="240"/>
      <c r="I46" s="241"/>
      <c r="J46" s="92"/>
      <c r="K46" s="92"/>
      <c r="L46" s="92"/>
      <c r="M46" s="92"/>
      <c r="N46" s="92"/>
    </row>
    <row r="47" spans="1:14" x14ac:dyDescent="0.25">
      <c r="A47" s="239"/>
      <c r="B47" s="240"/>
      <c r="C47" s="240"/>
      <c r="D47" s="240"/>
      <c r="E47" s="240"/>
      <c r="F47" s="240"/>
      <c r="G47" s="240"/>
      <c r="H47" s="240"/>
      <c r="I47" s="241"/>
      <c r="J47" s="92"/>
      <c r="K47" s="92"/>
      <c r="L47" s="92"/>
      <c r="M47" s="92"/>
      <c r="N47" s="92"/>
    </row>
    <row r="48" spans="1:14" x14ac:dyDescent="0.25">
      <c r="A48" s="239"/>
      <c r="B48" s="240"/>
      <c r="C48" s="240"/>
      <c r="D48" s="240"/>
      <c r="E48" s="240"/>
      <c r="F48" s="240"/>
      <c r="G48" s="240"/>
      <c r="H48" s="240"/>
      <c r="I48" s="241"/>
      <c r="J48" s="92"/>
      <c r="K48" s="92"/>
      <c r="L48" s="92"/>
      <c r="M48" s="92"/>
      <c r="N48" s="92"/>
    </row>
    <row r="49" spans="1:9" x14ac:dyDescent="0.25">
      <c r="A49" s="239"/>
      <c r="B49" s="240"/>
      <c r="C49" s="240"/>
      <c r="D49" s="240"/>
      <c r="E49" s="240"/>
      <c r="F49" s="240"/>
      <c r="G49" s="240"/>
      <c r="H49" s="240"/>
      <c r="I49" s="241"/>
    </row>
    <row r="50" spans="1:9" x14ac:dyDescent="0.25">
      <c r="A50" s="239"/>
      <c r="B50" s="240"/>
      <c r="C50" s="240"/>
      <c r="D50" s="240"/>
      <c r="E50" s="240"/>
      <c r="F50" s="240"/>
      <c r="G50" s="240"/>
      <c r="H50" s="240"/>
      <c r="I50" s="241"/>
    </row>
    <row r="51" spans="1:9" x14ac:dyDescent="0.25">
      <c r="A51" s="239"/>
      <c r="B51" s="240"/>
      <c r="C51" s="240"/>
      <c r="D51" s="240"/>
      <c r="E51" s="240"/>
      <c r="F51" s="240"/>
      <c r="G51" s="240"/>
      <c r="H51" s="240"/>
      <c r="I51" s="241"/>
    </row>
    <row r="52" spans="1:9" x14ac:dyDescent="0.25">
      <c r="A52" s="242"/>
      <c r="B52" s="243"/>
      <c r="C52" s="243"/>
      <c r="D52" s="243"/>
      <c r="E52" s="243"/>
      <c r="F52" s="243"/>
      <c r="G52" s="243"/>
      <c r="H52" s="243"/>
      <c r="I52" s="244"/>
    </row>
    <row r="64" spans="1:9" x14ac:dyDescent="0.25">
      <c r="A64" s="92"/>
      <c r="B64" s="92"/>
      <c r="C64" s="92"/>
      <c r="D64" s="92"/>
      <c r="E64" s="92"/>
      <c r="F64" s="3"/>
      <c r="G64" s="92"/>
      <c r="H64" s="92"/>
      <c r="I64" s="92"/>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pageSetUpPr fitToPage="1"/>
  </sheetPr>
  <dimension ref="A1:L76"/>
  <sheetViews>
    <sheetView topLeftCell="A56" workbookViewId="0">
      <selection activeCell="F55" sqref="F55"/>
    </sheetView>
  </sheetViews>
  <sheetFormatPr defaultColWidth="9.33203125" defaultRowHeight="15" x14ac:dyDescent="0.25"/>
  <cols>
    <col min="1" max="1" width="28.44140625" style="2" customWidth="1"/>
    <col min="2" max="2" width="8.33203125" style="12" customWidth="1"/>
    <col min="3" max="3" width="11.109375" style="12" bestFit="1" customWidth="1"/>
    <col min="4" max="5" width="10.88671875" style="12" customWidth="1"/>
    <col min="6" max="6" width="10.5546875" style="12" customWidth="1"/>
    <col min="7" max="7" width="11.33203125" style="15" customWidth="1"/>
    <col min="8" max="8" width="11.5546875" style="16" customWidth="1"/>
    <col min="9" max="10" width="9.33203125" style="2"/>
    <col min="11" max="11" width="38.44140625" style="2" customWidth="1"/>
    <col min="12" max="16384" width="9.33203125" style="2"/>
  </cols>
  <sheetData>
    <row r="1" spans="1:11" x14ac:dyDescent="0.25">
      <c r="A1" s="92" t="str">
        <f>+'Cover Page'!$B$29</f>
        <v>Annual Performance Report 2022</v>
      </c>
      <c r="B1" s="92"/>
      <c r="C1" s="92"/>
      <c r="D1" s="92"/>
      <c r="E1" s="92" t="str">
        <f>+'Cover Page'!$B$33</f>
        <v>Staffordshire Energy Recovery Facility</v>
      </c>
      <c r="F1" s="92"/>
      <c r="G1" s="92"/>
      <c r="H1" s="92"/>
      <c r="I1" s="92"/>
      <c r="J1" s="92"/>
      <c r="K1" s="92"/>
    </row>
    <row r="3" spans="1:11" ht="15.6" x14ac:dyDescent="0.3">
      <c r="A3" s="1" t="s">
        <v>33</v>
      </c>
      <c r="B3" s="132"/>
      <c r="C3" s="132"/>
      <c r="D3" s="132"/>
      <c r="E3" s="132"/>
      <c r="F3" s="132"/>
      <c r="H3" s="133"/>
      <c r="I3" s="92"/>
      <c r="J3" s="92"/>
      <c r="K3" s="81" t="s">
        <v>3</v>
      </c>
    </row>
    <row r="4" spans="1:11" x14ac:dyDescent="0.25">
      <c r="A4" s="18" t="s">
        <v>72</v>
      </c>
      <c r="B4" s="253">
        <v>340000</v>
      </c>
      <c r="C4" s="253"/>
      <c r="D4" s="20" t="s">
        <v>73</v>
      </c>
      <c r="E4" s="19"/>
      <c r="F4" s="20" t="s">
        <v>74</v>
      </c>
      <c r="G4" s="19">
        <v>29</v>
      </c>
      <c r="H4" s="70" t="s">
        <v>75</v>
      </c>
      <c r="I4" s="92"/>
      <c r="J4" s="92"/>
      <c r="K4" s="17" t="s">
        <v>76</v>
      </c>
    </row>
    <row r="5" spans="1:11" x14ac:dyDescent="0.25">
      <c r="A5" s="21" t="s">
        <v>77</v>
      </c>
      <c r="B5" s="22">
        <v>2</v>
      </c>
      <c r="C5" s="23"/>
      <c r="D5" s="23" t="s">
        <v>78</v>
      </c>
      <c r="E5" s="23"/>
      <c r="F5" s="24">
        <v>1</v>
      </c>
      <c r="G5" s="25"/>
      <c r="H5" s="26"/>
      <c r="I5" s="92"/>
      <c r="J5" s="92"/>
      <c r="K5" s="17" t="s">
        <v>79</v>
      </c>
    </row>
    <row r="6" spans="1:11" x14ac:dyDescent="0.25">
      <c r="A6" s="3"/>
      <c r="B6" s="132"/>
      <c r="C6" s="132"/>
      <c r="D6" s="132"/>
      <c r="E6" s="132"/>
      <c r="F6" s="132"/>
      <c r="H6" s="133"/>
      <c r="I6" s="92"/>
      <c r="J6" s="92"/>
      <c r="K6" s="248" t="s">
        <v>80</v>
      </c>
    </row>
    <row r="7" spans="1:11" x14ac:dyDescent="0.25">
      <c r="A7" s="9" t="s">
        <v>81</v>
      </c>
      <c r="B7" s="134" t="s">
        <v>82</v>
      </c>
      <c r="C7" s="135" t="s">
        <v>83</v>
      </c>
      <c r="D7" s="135" t="s">
        <v>84</v>
      </c>
      <c r="E7" s="135" t="s">
        <v>85</v>
      </c>
      <c r="F7" s="135" t="s">
        <v>86</v>
      </c>
      <c r="G7" s="27" t="s">
        <v>87</v>
      </c>
      <c r="H7" s="136" t="s">
        <v>88</v>
      </c>
      <c r="I7" s="92"/>
      <c r="J7" s="92"/>
      <c r="K7" s="248"/>
    </row>
    <row r="8" spans="1:11" ht="15.75" customHeight="1" x14ac:dyDescent="0.25">
      <c r="A8" s="137" t="s">
        <v>89</v>
      </c>
      <c r="B8" s="250" t="s">
        <v>90</v>
      </c>
      <c r="C8" s="138">
        <v>69527.5</v>
      </c>
      <c r="D8" s="138">
        <v>68196.399999999994</v>
      </c>
      <c r="E8" s="138">
        <v>69055</v>
      </c>
      <c r="F8" s="138">
        <v>71173.5</v>
      </c>
      <c r="G8" s="28">
        <f>SUM(C8:F8)</f>
        <v>277952.40000000002</v>
      </c>
      <c r="H8" s="139">
        <f>IF(G8&gt;0,G8/$G$18,"-")</f>
        <v>0.82220742521290091</v>
      </c>
      <c r="I8" s="92"/>
      <c r="J8" s="92"/>
      <c r="K8" s="249" t="s">
        <v>91</v>
      </c>
    </row>
    <row r="9" spans="1:11" x14ac:dyDescent="0.25">
      <c r="A9" s="140" t="s">
        <v>92</v>
      </c>
      <c r="B9" s="251"/>
      <c r="C9" s="141">
        <v>6568</v>
      </c>
      <c r="D9" s="141">
        <v>4724.8</v>
      </c>
      <c r="E9" s="141">
        <v>6433.7</v>
      </c>
      <c r="F9" s="141">
        <v>8696.9000000000015</v>
      </c>
      <c r="G9" s="88">
        <f t="shared" ref="G9:G15" si="0">SUM(C9:F9)</f>
        <v>26423.4</v>
      </c>
      <c r="H9" s="142">
        <f t="shared" ref="H9:H14" si="1">IF(G9&gt;0,G9/$G$18,"-")</f>
        <v>7.8162720233286576E-2</v>
      </c>
      <c r="I9" s="92"/>
      <c r="J9" s="92"/>
      <c r="K9" s="249"/>
    </row>
    <row r="10" spans="1:11" x14ac:dyDescent="0.25">
      <c r="A10" s="140" t="s">
        <v>93</v>
      </c>
      <c r="B10" s="251"/>
      <c r="C10" s="141"/>
      <c r="D10" s="141"/>
      <c r="E10" s="141"/>
      <c r="F10" s="141"/>
      <c r="G10" s="88">
        <f t="shared" si="0"/>
        <v>0</v>
      </c>
      <c r="H10" s="142" t="str">
        <f t="shared" si="1"/>
        <v>-</v>
      </c>
      <c r="I10" s="92"/>
      <c r="J10" s="92"/>
      <c r="K10" s="249"/>
    </row>
    <row r="11" spans="1:11" x14ac:dyDescent="0.25">
      <c r="A11" s="140" t="s">
        <v>94</v>
      </c>
      <c r="B11" s="251"/>
      <c r="C11" s="143">
        <v>1.08</v>
      </c>
      <c r="D11" s="143">
        <v>0.22</v>
      </c>
      <c r="E11" s="141">
        <v>0</v>
      </c>
      <c r="F11" s="141">
        <v>0</v>
      </c>
      <c r="G11" s="107">
        <f t="shared" si="0"/>
        <v>1.3</v>
      </c>
      <c r="H11" s="142">
        <f t="shared" si="1"/>
        <v>3.8455133065113704E-6</v>
      </c>
      <c r="I11" s="92"/>
      <c r="J11" s="92"/>
      <c r="K11" s="249"/>
    </row>
    <row r="12" spans="1:11" x14ac:dyDescent="0.25">
      <c r="A12" s="140" t="s">
        <v>95</v>
      </c>
      <c r="B12" s="251"/>
      <c r="C12" s="141"/>
      <c r="D12" s="141"/>
      <c r="E12" s="141"/>
      <c r="F12" s="141"/>
      <c r="G12" s="88">
        <f t="shared" si="0"/>
        <v>0</v>
      </c>
      <c r="H12" s="142" t="str">
        <f t="shared" si="1"/>
        <v>-</v>
      </c>
      <c r="I12" s="92"/>
      <c r="J12" s="92"/>
      <c r="K12" s="249"/>
    </row>
    <row r="13" spans="1:11" x14ac:dyDescent="0.25">
      <c r="A13" s="140" t="s">
        <v>96</v>
      </c>
      <c r="B13" s="251"/>
      <c r="C13" s="141">
        <v>8447.7999999999993</v>
      </c>
      <c r="D13" s="141">
        <v>9294.2000000000007</v>
      </c>
      <c r="E13" s="141">
        <v>7909.1</v>
      </c>
      <c r="F13" s="141">
        <v>8028.0999999999995</v>
      </c>
      <c r="G13" s="88">
        <f t="shared" ref="G13" si="2">SUM(C13:F13)</f>
        <v>33679.199999999997</v>
      </c>
      <c r="H13" s="142">
        <f t="shared" si="1"/>
        <v>9.9626009040505947E-2</v>
      </c>
      <c r="I13" s="92"/>
      <c r="J13" s="92"/>
      <c r="K13" s="249"/>
    </row>
    <row r="14" spans="1:11" x14ac:dyDescent="0.25">
      <c r="A14" s="140" t="s">
        <v>97</v>
      </c>
      <c r="B14" s="251"/>
      <c r="C14" s="141"/>
      <c r="D14" s="141"/>
      <c r="E14" s="141"/>
      <c r="F14" s="141"/>
      <c r="G14" s="88">
        <f t="shared" si="0"/>
        <v>0</v>
      </c>
      <c r="H14" s="142" t="str">
        <f t="shared" si="1"/>
        <v>-</v>
      </c>
      <c r="I14" s="92"/>
      <c r="J14" s="92"/>
      <c r="K14" s="249"/>
    </row>
    <row r="15" spans="1:11" x14ac:dyDescent="0.25">
      <c r="A15" s="144" t="s">
        <v>98</v>
      </c>
      <c r="B15" s="251"/>
      <c r="C15" s="141"/>
      <c r="D15" s="141"/>
      <c r="E15" s="141"/>
      <c r="F15" s="141"/>
      <c r="G15" s="88">
        <f t="shared" si="0"/>
        <v>0</v>
      </c>
      <c r="H15" s="142" t="str">
        <f>IF(G15&gt;0,G15/$G$18,"-")</f>
        <v>-</v>
      </c>
      <c r="I15" s="92"/>
      <c r="J15" s="92"/>
      <c r="K15" s="249"/>
    </row>
    <row r="16" spans="1:11" x14ac:dyDescent="0.25">
      <c r="A16" s="144" t="s">
        <v>98</v>
      </c>
      <c r="B16" s="251"/>
      <c r="C16" s="141"/>
      <c r="D16" s="141"/>
      <c r="E16" s="141"/>
      <c r="F16" s="141"/>
      <c r="G16" s="88"/>
      <c r="H16" s="142"/>
      <c r="I16" s="92"/>
      <c r="J16" s="92"/>
      <c r="K16" s="249"/>
    </row>
    <row r="17" spans="1:12" x14ac:dyDescent="0.25">
      <c r="A17" s="144" t="s">
        <v>98</v>
      </c>
      <c r="B17" s="251"/>
      <c r="C17" s="141"/>
      <c r="D17" s="141"/>
      <c r="E17" s="141"/>
      <c r="F17" s="141"/>
      <c r="G17" s="88"/>
      <c r="H17" s="142"/>
      <c r="I17" s="92"/>
      <c r="J17" s="92"/>
      <c r="K17" s="249"/>
      <c r="L17" s="92"/>
    </row>
    <row r="18" spans="1:12" x14ac:dyDescent="0.25">
      <c r="A18" s="90" t="s">
        <v>99</v>
      </c>
      <c r="B18" s="251"/>
      <c r="C18" s="88">
        <f>SUM(C8:C17)</f>
        <v>84544.38</v>
      </c>
      <c r="D18" s="88">
        <f>SUM(D8:D17)</f>
        <v>82215.62</v>
      </c>
      <c r="E18" s="88">
        <f>SUM(E8:E17)</f>
        <v>83397.8</v>
      </c>
      <c r="F18" s="88">
        <f>SUM(F8:F17)</f>
        <v>87898.5</v>
      </c>
      <c r="G18" s="88">
        <f>SUM(G8:G17)</f>
        <v>338056.30000000005</v>
      </c>
      <c r="H18" s="145">
        <f>IF(G18&gt;0,G18/$G$18,"-")</f>
        <v>1</v>
      </c>
      <c r="I18" s="92"/>
      <c r="J18" s="92"/>
      <c r="K18" s="249"/>
      <c r="L18" s="92"/>
    </row>
    <row r="19" spans="1:12" x14ac:dyDescent="0.25">
      <c r="A19" s="140" t="s">
        <v>100</v>
      </c>
      <c r="B19" s="251"/>
      <c r="C19" s="141"/>
      <c r="D19" s="141"/>
      <c r="E19" s="141"/>
      <c r="F19" s="141"/>
      <c r="G19" s="88">
        <f t="shared" ref="G19" si="3">SUM(C19:F19)</f>
        <v>0</v>
      </c>
      <c r="H19" s="142" t="str">
        <f t="shared" ref="H19" si="4">IF(G19&gt;0,G19/$G$18,"-")</f>
        <v>-</v>
      </c>
      <c r="I19" s="92"/>
      <c r="J19" s="92"/>
      <c r="K19" s="249"/>
      <c r="L19" s="92"/>
    </row>
    <row r="20" spans="1:12" x14ac:dyDescent="0.25">
      <c r="A20" s="140" t="s">
        <v>101</v>
      </c>
      <c r="B20" s="251"/>
      <c r="C20" s="141"/>
      <c r="D20" s="141"/>
      <c r="E20" s="141"/>
      <c r="F20" s="141"/>
      <c r="G20" s="88">
        <f t="shared" ref="G20" si="5">SUM(C20:F20)</f>
        <v>0</v>
      </c>
      <c r="H20" s="142" t="str">
        <f>IF(G20&gt;0,G20/$G$18,"-")</f>
        <v>-</v>
      </c>
      <c r="I20" s="92"/>
      <c r="J20" s="92"/>
      <c r="K20" s="92"/>
      <c r="L20" s="92"/>
    </row>
    <row r="21" spans="1:12" x14ac:dyDescent="0.25">
      <c r="A21" s="91" t="s">
        <v>102</v>
      </c>
      <c r="B21" s="146"/>
      <c r="C21" s="89">
        <v>85244</v>
      </c>
      <c r="D21" s="89">
        <v>83964</v>
      </c>
      <c r="E21" s="89">
        <v>85404</v>
      </c>
      <c r="F21" s="89">
        <v>85198.674803879461</v>
      </c>
      <c r="G21" s="30">
        <f>SUM(C21:F21)</f>
        <v>339810.67480387946</v>
      </c>
      <c r="H21" s="147">
        <f>IF(G21&gt;0,G21/$G$18,"-")</f>
        <v>1.0051895935791744</v>
      </c>
      <c r="I21" s="92"/>
      <c r="J21" s="92"/>
      <c r="K21" s="92"/>
      <c r="L21" s="92"/>
    </row>
    <row r="22" spans="1:12" x14ac:dyDescent="0.25">
      <c r="A22" s="3"/>
      <c r="B22" s="132"/>
      <c r="C22" s="133"/>
      <c r="D22" s="133"/>
      <c r="E22" s="133"/>
      <c r="F22" s="133"/>
      <c r="G22" s="31"/>
      <c r="H22" s="133"/>
      <c r="I22" s="92"/>
      <c r="J22" s="92"/>
      <c r="K22" s="92"/>
      <c r="L22" s="92"/>
    </row>
    <row r="23" spans="1:12" x14ac:dyDescent="0.25">
      <c r="A23" s="9" t="s">
        <v>103</v>
      </c>
      <c r="B23" s="134" t="s">
        <v>82</v>
      </c>
      <c r="C23" s="148" t="s">
        <v>83</v>
      </c>
      <c r="D23" s="148" t="s">
        <v>84</v>
      </c>
      <c r="E23" s="148" t="s">
        <v>85</v>
      </c>
      <c r="F23" s="148" t="s">
        <v>86</v>
      </c>
      <c r="G23" s="32" t="s">
        <v>87</v>
      </c>
      <c r="H23" s="149" t="s">
        <v>104</v>
      </c>
      <c r="I23" s="92"/>
      <c r="J23" s="92"/>
      <c r="K23" s="92"/>
      <c r="L23" s="92"/>
    </row>
    <row r="24" spans="1:12" ht="15" customHeight="1" x14ac:dyDescent="0.25">
      <c r="A24" s="150" t="s">
        <v>105</v>
      </c>
      <c r="B24" s="250" t="s">
        <v>106</v>
      </c>
      <c r="C24" s="138">
        <v>54899</v>
      </c>
      <c r="D24" s="138">
        <v>54681</v>
      </c>
      <c r="E24" s="138">
        <v>53977</v>
      </c>
      <c r="F24" s="138">
        <v>58810</v>
      </c>
      <c r="G24" s="28">
        <f t="shared" ref="G24:G27" si="6">SUM(C24:F24)</f>
        <v>222367</v>
      </c>
      <c r="H24" s="151">
        <f>IF(G24&gt;0,G24*1000/$G$21,"-")</f>
        <v>654.38497518754627</v>
      </c>
      <c r="I24" s="92"/>
      <c r="J24" s="92"/>
      <c r="K24" s="92"/>
      <c r="L24" s="92"/>
    </row>
    <row r="25" spans="1:12" x14ac:dyDescent="0.25">
      <c r="A25" s="152" t="s">
        <v>107</v>
      </c>
      <c r="B25" s="251"/>
      <c r="C25" s="153">
        <v>49031</v>
      </c>
      <c r="D25" s="153">
        <v>48815</v>
      </c>
      <c r="E25" s="153">
        <v>47907</v>
      </c>
      <c r="F25" s="153">
        <v>52851</v>
      </c>
      <c r="G25" s="29">
        <f>SUM(C25:F25)</f>
        <v>198604</v>
      </c>
      <c r="H25" s="154">
        <f>IF(G25&gt;0,G25*1000/$G$21,"-")</f>
        <v>584.45485891408089</v>
      </c>
      <c r="I25" s="92"/>
      <c r="J25" s="92"/>
      <c r="K25" s="92"/>
      <c r="L25" s="92"/>
    </row>
    <row r="26" spans="1:12" x14ac:dyDescent="0.25">
      <c r="A26" s="152" t="s">
        <v>108</v>
      </c>
      <c r="B26" s="251"/>
      <c r="C26" s="153">
        <f>(C24-C25)+C27</f>
        <v>5884</v>
      </c>
      <c r="D26" s="153">
        <f t="shared" ref="D26:F26" si="7">(D24-D25)+D27</f>
        <v>5879</v>
      </c>
      <c r="E26" s="153">
        <f t="shared" si="7"/>
        <v>6104</v>
      </c>
      <c r="F26" s="153">
        <f t="shared" si="7"/>
        <v>5997</v>
      </c>
      <c r="G26" s="29">
        <f>SUM(C26:F26)</f>
        <v>23864</v>
      </c>
      <c r="H26" s="154">
        <f>IF(G26&gt;0,G26*1000/$G$21,"-")</f>
        <v>70.227340603037334</v>
      </c>
      <c r="I26" s="92"/>
      <c r="J26" s="92"/>
      <c r="K26" s="92"/>
      <c r="L26" s="92"/>
    </row>
    <row r="27" spans="1:12" x14ac:dyDescent="0.25">
      <c r="A27" s="152" t="s">
        <v>109</v>
      </c>
      <c r="B27" s="251"/>
      <c r="C27" s="153">
        <v>16</v>
      </c>
      <c r="D27" s="153">
        <v>13</v>
      </c>
      <c r="E27" s="153">
        <v>34</v>
      </c>
      <c r="F27" s="153">
        <v>38</v>
      </c>
      <c r="G27" s="29">
        <f t="shared" si="6"/>
        <v>101</v>
      </c>
      <c r="H27" s="155">
        <f>IF(G27&gt;0,G27*1000/$G$21,"-")</f>
        <v>0.2972243295720236</v>
      </c>
      <c r="I27" s="92"/>
      <c r="J27" s="92"/>
      <c r="K27" s="92"/>
      <c r="L27" s="92"/>
    </row>
    <row r="28" spans="1:12" x14ac:dyDescent="0.25">
      <c r="A28" s="152" t="s">
        <v>110</v>
      </c>
      <c r="B28" s="108" t="s">
        <v>88</v>
      </c>
      <c r="C28" s="156">
        <f>IF(C24&gt;0,1-C25/(C24+C27),"-")</f>
        <v>0.10714740963306923</v>
      </c>
      <c r="D28" s="156">
        <f>IF(D24&gt;0,1-D25/(D24+D27),"-")</f>
        <v>0.10748893845760044</v>
      </c>
      <c r="E28" s="156">
        <f>IF(E24&gt;0,1-E25/(E24+E27),"-")</f>
        <v>0.11301401566347591</v>
      </c>
      <c r="F28" s="156">
        <f>IF(F24&gt;0,1-F25/(F24+F27),"-")</f>
        <v>0.10190660685154973</v>
      </c>
      <c r="G28" s="156">
        <f>IF(G24&gt;0,1-G25/(G24+G27),"-")</f>
        <v>0.1072693600877429</v>
      </c>
      <c r="H28" s="154"/>
      <c r="I28" s="92"/>
      <c r="J28" s="92"/>
      <c r="K28" s="92"/>
      <c r="L28" s="92"/>
    </row>
    <row r="29" spans="1:12" x14ac:dyDescent="0.25">
      <c r="A29" s="152" t="s">
        <v>111</v>
      </c>
      <c r="B29" s="254" t="s">
        <v>106</v>
      </c>
      <c r="C29" s="153"/>
      <c r="D29" s="153"/>
      <c r="E29" s="153"/>
      <c r="F29" s="153"/>
      <c r="G29" s="29">
        <f>SUM(C29:F29)</f>
        <v>0</v>
      </c>
      <c r="H29" s="154" t="str">
        <f>IF(G29&gt;0,G29*1000/$G$21,"-")</f>
        <v>-</v>
      </c>
      <c r="I29" s="92"/>
      <c r="J29" s="92"/>
      <c r="K29" s="92"/>
      <c r="L29" s="92"/>
    </row>
    <row r="30" spans="1:12" x14ac:dyDescent="0.25">
      <c r="A30" s="152" t="s">
        <v>112</v>
      </c>
      <c r="B30" s="254"/>
      <c r="C30" s="153"/>
      <c r="D30" s="153"/>
      <c r="E30" s="153"/>
      <c r="F30" s="153"/>
      <c r="G30" s="29">
        <f t="shared" ref="G30" si="8">SUM(C30:F30)</f>
        <v>0</v>
      </c>
      <c r="H30" s="154" t="str">
        <f>IF(G30&gt;0,G30*1000/$G$21,"-")</f>
        <v>-</v>
      </c>
      <c r="I30" s="92"/>
      <c r="J30" s="92"/>
      <c r="K30" s="17"/>
      <c r="L30" s="17"/>
    </row>
    <row r="31" spans="1:12" x14ac:dyDescent="0.25">
      <c r="A31" s="98" t="s">
        <v>113</v>
      </c>
      <c r="B31" s="157"/>
      <c r="C31" s="158"/>
      <c r="D31" s="158"/>
      <c r="E31" s="158"/>
      <c r="F31" s="158"/>
      <c r="G31" s="159"/>
      <c r="H31" s="158"/>
      <c r="I31" s="92"/>
      <c r="J31" s="92"/>
      <c r="K31" s="92"/>
      <c r="L31" s="17"/>
    </row>
    <row r="32" spans="1:12" x14ac:dyDescent="0.25">
      <c r="A32" s="3"/>
      <c r="B32" s="132"/>
      <c r="C32" s="133"/>
      <c r="D32" s="133"/>
      <c r="E32" s="133"/>
      <c r="F32" s="133"/>
      <c r="G32" s="31"/>
      <c r="H32" s="133"/>
      <c r="I32" s="92"/>
      <c r="J32" s="92"/>
      <c r="K32" s="92"/>
      <c r="L32" s="17"/>
    </row>
    <row r="33" spans="1:12" x14ac:dyDescent="0.25">
      <c r="A33" s="9" t="s">
        <v>114</v>
      </c>
      <c r="B33" s="160" t="s">
        <v>82</v>
      </c>
      <c r="C33" s="148" t="s">
        <v>83</v>
      </c>
      <c r="D33" s="148" t="s">
        <v>84</v>
      </c>
      <c r="E33" s="148" t="s">
        <v>85</v>
      </c>
      <c r="F33" s="148" t="s">
        <v>86</v>
      </c>
      <c r="G33" s="32" t="s">
        <v>87</v>
      </c>
      <c r="H33" s="161" t="s">
        <v>115</v>
      </c>
      <c r="I33" s="92"/>
      <c r="J33" s="92"/>
      <c r="K33" s="92"/>
      <c r="L33" s="17"/>
    </row>
    <row r="34" spans="1:12" ht="15" customHeight="1" x14ac:dyDescent="0.25">
      <c r="A34" s="150" t="s">
        <v>116</v>
      </c>
      <c r="B34" s="250" t="s">
        <v>90</v>
      </c>
      <c r="C34" s="138">
        <v>2017.1799999999998</v>
      </c>
      <c r="D34" s="138">
        <v>1965.64</v>
      </c>
      <c r="E34" s="138">
        <v>1828.81</v>
      </c>
      <c r="F34" s="138">
        <v>2077.7600000000002</v>
      </c>
      <c r="G34" s="28">
        <f>SUM(C34:F34)</f>
        <v>7889.3899999999994</v>
      </c>
      <c r="H34" s="139">
        <f>IF(G34&gt;0,G34/$G$21,"-")</f>
        <v>2.3217016371111159E-2</v>
      </c>
      <c r="I34" s="92"/>
      <c r="J34" s="92"/>
      <c r="K34" s="17"/>
      <c r="L34" s="17"/>
    </row>
    <row r="35" spans="1:12" ht="15" customHeight="1" x14ac:dyDescent="0.25">
      <c r="A35" s="152" t="s">
        <v>117</v>
      </c>
      <c r="B35" s="251"/>
      <c r="C35" s="153">
        <v>16189.52</v>
      </c>
      <c r="D35" s="153">
        <v>16461.5</v>
      </c>
      <c r="E35" s="153">
        <v>15783.2</v>
      </c>
      <c r="F35" s="153">
        <v>16243.779999999999</v>
      </c>
      <c r="G35" s="29">
        <f t="shared" ref="G35" si="9">SUM(C35:F35)</f>
        <v>64678</v>
      </c>
      <c r="H35" s="142">
        <f t="shared" ref="H35:H39" si="10">IF(G35&gt;0,G35/$G$21,"-")</f>
        <v>0.19033539790157764</v>
      </c>
      <c r="I35" s="92"/>
      <c r="J35" s="92"/>
      <c r="K35" s="17"/>
      <c r="L35" s="17"/>
    </row>
    <row r="36" spans="1:12" ht="15" customHeight="1" x14ac:dyDescent="0.25">
      <c r="A36" s="152" t="s">
        <v>118</v>
      </c>
      <c r="B36" s="251"/>
      <c r="C36" s="153">
        <v>1306.92</v>
      </c>
      <c r="D36" s="153">
        <v>1553.86</v>
      </c>
      <c r="E36" s="153">
        <v>1485.82</v>
      </c>
      <c r="F36" s="153">
        <v>1501.52</v>
      </c>
      <c r="G36" s="29">
        <f t="shared" ref="G36:G39" si="11">SUM(C36:F36)</f>
        <v>5848.119999999999</v>
      </c>
      <c r="H36" s="142">
        <f t="shared" si="10"/>
        <v>1.7209936101551904E-2</v>
      </c>
      <c r="I36" s="92"/>
      <c r="J36" s="92"/>
      <c r="K36" s="92"/>
      <c r="L36" s="92"/>
    </row>
    <row r="37" spans="1:12" x14ac:dyDescent="0.25">
      <c r="A37" s="102" t="s">
        <v>119</v>
      </c>
      <c r="B37" s="251"/>
      <c r="C37" s="153">
        <v>66.900000000000006</v>
      </c>
      <c r="D37" s="153">
        <v>88.14</v>
      </c>
      <c r="E37" s="153">
        <v>0</v>
      </c>
      <c r="F37" s="153">
        <v>0</v>
      </c>
      <c r="G37" s="29">
        <f t="shared" ref="G37" si="12">SUM(C37:F37)</f>
        <v>155.04000000000002</v>
      </c>
      <c r="H37" s="142">
        <f t="shared" si="10"/>
        <v>4.5625405996877768E-4</v>
      </c>
      <c r="I37" s="92"/>
      <c r="J37" s="92"/>
      <c r="K37" s="92"/>
      <c r="L37" s="92"/>
    </row>
    <row r="38" spans="1:12" x14ac:dyDescent="0.25">
      <c r="A38" s="162" t="s">
        <v>120</v>
      </c>
      <c r="B38" s="251"/>
      <c r="C38" s="153">
        <v>0</v>
      </c>
      <c r="D38" s="153">
        <v>0</v>
      </c>
      <c r="E38" s="153">
        <v>0</v>
      </c>
      <c r="F38" s="153">
        <v>0</v>
      </c>
      <c r="G38" s="29">
        <f t="shared" si="11"/>
        <v>0</v>
      </c>
      <c r="H38" s="142" t="str">
        <f t="shared" si="10"/>
        <v>-</v>
      </c>
      <c r="I38" s="92"/>
      <c r="J38" s="92"/>
      <c r="K38" s="92"/>
      <c r="L38" s="92"/>
    </row>
    <row r="39" spans="1:12" x14ac:dyDescent="0.25">
      <c r="A39" s="163" t="s">
        <v>120</v>
      </c>
      <c r="B39" s="252"/>
      <c r="C39" s="164">
        <v>0</v>
      </c>
      <c r="D39" s="164">
        <v>0</v>
      </c>
      <c r="E39" s="164">
        <v>0</v>
      </c>
      <c r="F39" s="164">
        <v>0</v>
      </c>
      <c r="G39" s="30">
        <f t="shared" si="11"/>
        <v>0</v>
      </c>
      <c r="H39" s="147" t="str">
        <f t="shared" si="10"/>
        <v>-</v>
      </c>
      <c r="I39" s="92"/>
      <c r="J39" s="92"/>
      <c r="K39" s="92"/>
      <c r="L39" s="92"/>
    </row>
    <row r="40" spans="1:12" x14ac:dyDescent="0.25">
      <c r="A40" s="132"/>
      <c r="B40" s="132"/>
      <c r="C40" s="133"/>
      <c r="D40" s="133"/>
      <c r="E40" s="133"/>
      <c r="F40" s="133"/>
      <c r="G40" s="31"/>
      <c r="H40" s="133"/>
      <c r="I40" s="92"/>
      <c r="J40" s="92"/>
      <c r="K40" s="92"/>
      <c r="L40" s="92"/>
    </row>
    <row r="41" spans="1:12" x14ac:dyDescent="0.25">
      <c r="A41" s="9" t="s">
        <v>121</v>
      </c>
      <c r="B41" s="165" t="s">
        <v>82</v>
      </c>
      <c r="C41" s="135" t="s">
        <v>83</v>
      </c>
      <c r="D41" s="135" t="s">
        <v>84</v>
      </c>
      <c r="E41" s="135" t="s">
        <v>85</v>
      </c>
      <c r="F41" s="135" t="s">
        <v>86</v>
      </c>
      <c r="G41" s="27" t="s">
        <v>87</v>
      </c>
      <c r="H41" s="136" t="s">
        <v>122</v>
      </c>
      <c r="I41" s="92"/>
      <c r="J41" s="92"/>
      <c r="K41" s="92"/>
      <c r="L41" s="92"/>
    </row>
    <row r="42" spans="1:12" ht="15.6" customHeight="1" x14ac:dyDescent="0.25">
      <c r="A42" s="150" t="s">
        <v>123</v>
      </c>
      <c r="B42" s="108" t="s">
        <v>124</v>
      </c>
      <c r="C42" s="138">
        <v>9893</v>
      </c>
      <c r="D42" s="138">
        <v>9618</v>
      </c>
      <c r="E42" s="138">
        <v>7907</v>
      </c>
      <c r="F42" s="138">
        <v>7658</v>
      </c>
      <c r="G42" s="28">
        <f>SUM(C42:F42)</f>
        <v>35076</v>
      </c>
      <c r="H42" s="166">
        <f>IF(G42&gt;0,G42*1000/$G$21,"-")</f>
        <v>103.22218400067624</v>
      </c>
      <c r="I42" s="92"/>
      <c r="J42" s="92"/>
      <c r="K42" s="92"/>
      <c r="L42" s="92"/>
    </row>
    <row r="43" spans="1:12" x14ac:dyDescent="0.25">
      <c r="A43" s="152" t="s">
        <v>125</v>
      </c>
      <c r="B43" s="108" t="s">
        <v>124</v>
      </c>
      <c r="C43" s="153"/>
      <c r="D43" s="153"/>
      <c r="E43" s="153"/>
      <c r="F43" s="153"/>
      <c r="G43" s="29">
        <f t="shared" ref="G43:G50" si="13">SUM(C43:F43)</f>
        <v>0</v>
      </c>
      <c r="H43" s="166" t="str">
        <f t="shared" ref="H43:H48" si="14">IF(G43&gt;0,G43/$G$21,"-")</f>
        <v>-</v>
      </c>
      <c r="I43" s="92"/>
      <c r="J43" s="92"/>
      <c r="K43" s="92"/>
      <c r="L43" s="92"/>
    </row>
    <row r="44" spans="1:12" ht="15.6" customHeight="1" x14ac:dyDescent="0.25">
      <c r="A44" s="152" t="s">
        <v>126</v>
      </c>
      <c r="B44" s="108" t="s">
        <v>127</v>
      </c>
      <c r="C44" s="153">
        <v>267250</v>
      </c>
      <c r="D44" s="153">
        <v>254743</v>
      </c>
      <c r="E44" s="153">
        <v>272427</v>
      </c>
      <c r="F44" s="153">
        <v>268460.00000000006</v>
      </c>
      <c r="G44" s="29">
        <f t="shared" si="13"/>
        <v>1062880</v>
      </c>
      <c r="H44" s="166">
        <f t="shared" si="14"/>
        <v>3.1278593605496279</v>
      </c>
      <c r="I44" s="92"/>
      <c r="J44" s="92"/>
      <c r="K44" s="92"/>
      <c r="L44" s="92"/>
    </row>
    <row r="45" spans="1:12" ht="15.6" customHeight="1" x14ac:dyDescent="0.25">
      <c r="A45" s="152" t="s">
        <v>128</v>
      </c>
      <c r="B45" s="108" t="s">
        <v>127</v>
      </c>
      <c r="C45" s="153"/>
      <c r="D45" s="153"/>
      <c r="E45" s="153"/>
      <c r="F45" s="153"/>
      <c r="G45" s="29">
        <f t="shared" ref="G45" si="15">SUM(C45:F45)</f>
        <v>0</v>
      </c>
      <c r="H45" s="166" t="str">
        <f t="shared" si="14"/>
        <v>-</v>
      </c>
      <c r="I45" s="92"/>
      <c r="J45" s="92"/>
      <c r="K45" s="92"/>
      <c r="L45" s="92"/>
    </row>
    <row r="46" spans="1:12" x14ac:dyDescent="0.25">
      <c r="A46" s="152" t="s">
        <v>129</v>
      </c>
      <c r="B46" s="108" t="s">
        <v>127</v>
      </c>
      <c r="C46" s="153">
        <v>25540.000000000004</v>
      </c>
      <c r="D46" s="153">
        <v>20500</v>
      </c>
      <c r="E46" s="153">
        <v>21199.999999999996</v>
      </c>
      <c r="F46" s="153">
        <v>24759.999999999996</v>
      </c>
      <c r="G46" s="29">
        <f t="shared" si="13"/>
        <v>92000</v>
      </c>
      <c r="H46" s="166">
        <f t="shared" si="14"/>
        <v>0.27073899327352641</v>
      </c>
      <c r="I46" s="92"/>
      <c r="J46" s="92"/>
      <c r="K46" s="92"/>
      <c r="L46" s="92"/>
    </row>
    <row r="47" spans="1:12" x14ac:dyDescent="0.25">
      <c r="A47" s="152" t="s">
        <v>130</v>
      </c>
      <c r="B47" s="108" t="s">
        <v>127</v>
      </c>
      <c r="C47" s="153">
        <v>1061219.9999999998</v>
      </c>
      <c r="D47" s="153">
        <v>1018580</v>
      </c>
      <c r="E47" s="153">
        <v>916040</v>
      </c>
      <c r="F47" s="153">
        <v>1033980</v>
      </c>
      <c r="G47" s="29">
        <f t="shared" si="13"/>
        <v>4029820</v>
      </c>
      <c r="H47" s="166">
        <f t="shared" si="14"/>
        <v>11.8590153247122</v>
      </c>
      <c r="I47" s="92"/>
      <c r="J47" s="92"/>
      <c r="K47" s="92"/>
      <c r="L47" s="92"/>
    </row>
    <row r="48" spans="1:12" x14ac:dyDescent="0.25">
      <c r="A48" s="152" t="s">
        <v>131</v>
      </c>
      <c r="B48" s="108" t="s">
        <v>132</v>
      </c>
      <c r="C48" s="153">
        <v>46676.386144578319</v>
      </c>
      <c r="D48" s="153">
        <v>65400.423253012043</v>
      </c>
      <c r="E48" s="167">
        <v>40677.599999999999</v>
      </c>
      <c r="F48" s="153">
        <v>75377</v>
      </c>
      <c r="G48" s="29">
        <f t="shared" si="13"/>
        <v>228131.40939759035</v>
      </c>
      <c r="H48" s="166">
        <f t="shared" si="14"/>
        <v>0.67134856646059038</v>
      </c>
      <c r="I48" s="92"/>
      <c r="J48" s="92"/>
      <c r="K48" s="92"/>
      <c r="L48" s="92"/>
    </row>
    <row r="49" spans="1:10" x14ac:dyDescent="0.25">
      <c r="A49" s="152" t="s">
        <v>133</v>
      </c>
      <c r="B49" s="108" t="s">
        <v>134</v>
      </c>
      <c r="C49" s="153">
        <v>0</v>
      </c>
      <c r="D49" s="153">
        <v>0</v>
      </c>
      <c r="E49" s="153">
        <v>0</v>
      </c>
      <c r="F49" s="153">
        <v>0</v>
      </c>
      <c r="G49" s="29">
        <f t="shared" si="13"/>
        <v>0</v>
      </c>
      <c r="H49" s="168"/>
      <c r="I49" s="92"/>
      <c r="J49" s="92"/>
    </row>
    <row r="50" spans="1:10" x14ac:dyDescent="0.25">
      <c r="A50" s="98" t="s">
        <v>120</v>
      </c>
      <c r="B50" s="169"/>
      <c r="C50" s="164">
        <v>0</v>
      </c>
      <c r="D50" s="164">
        <v>0</v>
      </c>
      <c r="E50" s="164">
        <v>0</v>
      </c>
      <c r="F50" s="164">
        <v>0</v>
      </c>
      <c r="G50" s="30">
        <f t="shared" si="13"/>
        <v>0</v>
      </c>
      <c r="H50" s="170"/>
      <c r="I50" s="92"/>
      <c r="J50" s="92"/>
    </row>
    <row r="51" spans="1:10" x14ac:dyDescent="0.25">
      <c r="A51" s="132"/>
      <c r="B51" s="132"/>
      <c r="C51" s="133"/>
      <c r="D51" s="133"/>
      <c r="E51" s="133"/>
      <c r="F51" s="133"/>
      <c r="G51" s="31"/>
      <c r="H51" s="133"/>
      <c r="I51" s="92"/>
      <c r="J51" s="92"/>
    </row>
    <row r="52" spans="1:10" x14ac:dyDescent="0.25">
      <c r="A52" s="9" t="s">
        <v>135</v>
      </c>
      <c r="B52" s="171" t="s">
        <v>136</v>
      </c>
      <c r="C52" s="148" t="s">
        <v>83</v>
      </c>
      <c r="D52" s="148" t="s">
        <v>84</v>
      </c>
      <c r="E52" s="148" t="s">
        <v>85</v>
      </c>
      <c r="F52" s="148" t="s">
        <v>86</v>
      </c>
      <c r="G52" s="32" t="s">
        <v>87</v>
      </c>
      <c r="H52" s="149"/>
      <c r="I52" s="92"/>
      <c r="J52" s="86" t="s">
        <v>137</v>
      </c>
    </row>
    <row r="53" spans="1:10" ht="14.1" customHeight="1" x14ac:dyDescent="0.25">
      <c r="A53" s="246" t="s">
        <v>138</v>
      </c>
      <c r="B53" s="148">
        <v>1</v>
      </c>
      <c r="C53" s="138">
        <v>1977.5</v>
      </c>
      <c r="D53" s="138">
        <v>1958</v>
      </c>
      <c r="E53" s="138">
        <v>2146.5</v>
      </c>
      <c r="F53" s="138">
        <v>2153.5</v>
      </c>
      <c r="G53" s="28">
        <f>SUM(C53:F53)</f>
        <v>8235.5</v>
      </c>
      <c r="H53" s="139">
        <f>G53/$J$53</f>
        <v>0.94012557077625569</v>
      </c>
      <c r="I53" s="92"/>
      <c r="J53" s="87">
        <v>8760</v>
      </c>
    </row>
    <row r="54" spans="1:10" ht="12.9" customHeight="1" x14ac:dyDescent="0.25">
      <c r="A54" s="247"/>
      <c r="B54" s="133">
        <v>2</v>
      </c>
      <c r="C54" s="141">
        <v>2096.5</v>
      </c>
      <c r="D54" s="141">
        <v>2094.5</v>
      </c>
      <c r="E54" s="141">
        <v>2001.5</v>
      </c>
      <c r="F54" s="141">
        <v>2190</v>
      </c>
      <c r="G54" s="29">
        <f t="shared" ref="G54:G63" si="16">SUM(C54:F54)</f>
        <v>8382.5</v>
      </c>
      <c r="H54" s="139">
        <f t="shared" ref="H54:H57" si="17">G54/$J$53</f>
        <v>0.95690639269406397</v>
      </c>
      <c r="I54" s="92"/>
      <c r="J54" s="92"/>
    </row>
    <row r="55" spans="1:10" ht="15.6" hidden="1" customHeight="1" x14ac:dyDescent="0.25">
      <c r="A55" s="247"/>
      <c r="B55" s="133">
        <v>5</v>
      </c>
      <c r="C55" s="141"/>
      <c r="D55" s="141"/>
      <c r="E55" s="141"/>
      <c r="F55" s="141"/>
      <c r="G55" s="29">
        <f t="shared" ref="G55" si="18">SUM(C55:F55)</f>
        <v>0</v>
      </c>
      <c r="H55" s="139">
        <f t="shared" si="17"/>
        <v>0</v>
      </c>
      <c r="I55" s="92"/>
      <c r="J55" s="92"/>
    </row>
    <row r="56" spans="1:10" ht="24.9" customHeight="1" x14ac:dyDescent="0.25">
      <c r="A56" s="172" t="s">
        <v>139</v>
      </c>
      <c r="B56" s="133"/>
      <c r="C56" s="141">
        <f>AVERAGE(C53:C54)</f>
        <v>2037</v>
      </c>
      <c r="D56" s="141">
        <f t="shared" ref="D56:F56" si="19">AVERAGE(D53:D54)</f>
        <v>2026.25</v>
      </c>
      <c r="E56" s="141">
        <f t="shared" si="19"/>
        <v>2074</v>
      </c>
      <c r="F56" s="141">
        <f t="shared" si="19"/>
        <v>2171.75</v>
      </c>
      <c r="G56" s="29">
        <f>AVERAGE(G53:G54)</f>
        <v>8309</v>
      </c>
      <c r="H56" s="139">
        <f t="shared" si="17"/>
        <v>0.94851598173515983</v>
      </c>
      <c r="I56" s="92"/>
      <c r="J56" s="92"/>
    </row>
    <row r="57" spans="1:10" ht="14.25" customHeight="1" x14ac:dyDescent="0.25">
      <c r="A57" s="152" t="s">
        <v>140</v>
      </c>
      <c r="B57" s="133">
        <v>1</v>
      </c>
      <c r="C57" s="141">
        <v>2148</v>
      </c>
      <c r="D57" s="141">
        <v>2179.6</v>
      </c>
      <c r="E57" s="141">
        <v>2195.4</v>
      </c>
      <c r="F57" s="141">
        <v>2192.1999999999998</v>
      </c>
      <c r="G57" s="29">
        <f t="shared" si="16"/>
        <v>8715.2000000000007</v>
      </c>
      <c r="H57" s="139">
        <f t="shared" si="17"/>
        <v>0.99488584474885855</v>
      </c>
      <c r="I57" s="92"/>
      <c r="J57" s="92"/>
    </row>
    <row r="58" spans="1:10" hidden="1" x14ac:dyDescent="0.25">
      <c r="A58" s="152" t="s">
        <v>140</v>
      </c>
      <c r="B58" s="133">
        <v>2</v>
      </c>
      <c r="C58" s="153"/>
      <c r="D58" s="153"/>
      <c r="E58" s="153"/>
      <c r="F58" s="153"/>
      <c r="G58" s="29">
        <f t="shared" si="16"/>
        <v>0</v>
      </c>
      <c r="H58" s="142" t="s">
        <v>141</v>
      </c>
      <c r="I58" s="92"/>
      <c r="J58" s="92"/>
    </row>
    <row r="59" spans="1:10" x14ac:dyDescent="0.25">
      <c r="A59" s="152" t="s">
        <v>142</v>
      </c>
      <c r="B59" s="133"/>
      <c r="C59" s="153"/>
      <c r="D59" s="153"/>
      <c r="E59" s="153"/>
      <c r="F59" s="153"/>
      <c r="G59" s="29">
        <f t="shared" si="16"/>
        <v>0</v>
      </c>
      <c r="H59" s="142" t="str">
        <f>IF(B59&gt;0,G58/J53,"n/a")</f>
        <v>n/a</v>
      </c>
      <c r="I59" s="92"/>
      <c r="J59" s="92"/>
    </row>
    <row r="60" spans="1:10" x14ac:dyDescent="0.25">
      <c r="A60" s="152" t="s">
        <v>143</v>
      </c>
      <c r="B60" s="133" t="s">
        <v>144</v>
      </c>
      <c r="C60" s="153"/>
      <c r="D60" s="153"/>
      <c r="E60" s="153"/>
      <c r="F60" s="153"/>
      <c r="G60" s="29"/>
      <c r="H60" s="173" t="s">
        <v>145</v>
      </c>
      <c r="I60" s="92"/>
      <c r="J60" s="92"/>
    </row>
    <row r="61" spans="1:10" x14ac:dyDescent="0.25">
      <c r="A61" s="152" t="s">
        <v>146</v>
      </c>
      <c r="B61" s="133" t="s">
        <v>147</v>
      </c>
      <c r="C61" s="153">
        <v>1</v>
      </c>
      <c r="D61" s="153"/>
      <c r="E61" s="153"/>
      <c r="F61" s="153"/>
      <c r="G61" s="29">
        <f t="shared" si="16"/>
        <v>1</v>
      </c>
      <c r="H61" s="154" t="str">
        <f>IF(G61&gt;0,"yes","no")</f>
        <v>yes</v>
      </c>
      <c r="I61" s="92"/>
      <c r="J61" s="92"/>
    </row>
    <row r="62" spans="1:10" x14ac:dyDescent="0.25">
      <c r="A62" s="152" t="s">
        <v>148</v>
      </c>
      <c r="B62" s="133" t="s">
        <v>149</v>
      </c>
      <c r="C62" s="174">
        <v>0.5</v>
      </c>
      <c r="D62" s="153"/>
      <c r="E62" s="153"/>
      <c r="F62" s="153"/>
      <c r="G62" s="105">
        <f t="shared" si="16"/>
        <v>0.5</v>
      </c>
      <c r="H62" s="175">
        <f>+(G62)/J53</f>
        <v>5.7077625570776254E-5</v>
      </c>
      <c r="I62" s="92"/>
      <c r="J62" s="92"/>
    </row>
    <row r="63" spans="1:10" x14ac:dyDescent="0.25">
      <c r="A63" s="98" t="s">
        <v>150</v>
      </c>
      <c r="B63" s="176" t="s">
        <v>147</v>
      </c>
      <c r="C63" s="164"/>
      <c r="D63" s="164"/>
      <c r="E63" s="164"/>
      <c r="F63" s="164">
        <v>1</v>
      </c>
      <c r="G63" s="30">
        <f t="shared" si="16"/>
        <v>1</v>
      </c>
      <c r="H63" s="177" t="str">
        <f>IF(G63&gt;0,"yes","no")</f>
        <v>yes</v>
      </c>
      <c r="I63" s="92"/>
      <c r="J63" s="92"/>
    </row>
    <row r="76" spans="6:6" x14ac:dyDescent="0.25">
      <c r="F76" s="3"/>
    </row>
  </sheetData>
  <mergeCells count="8">
    <mergeCell ref="A53:A55"/>
    <mergeCell ref="K6:K7"/>
    <mergeCell ref="K8:K19"/>
    <mergeCell ref="B34:B39"/>
    <mergeCell ref="B4:C4"/>
    <mergeCell ref="B8:B20"/>
    <mergeCell ref="B24:B27"/>
    <mergeCell ref="B29:B30"/>
  </mergeCells>
  <phoneticPr fontId="25" type="noConversion"/>
  <pageMargins left="0.7" right="0.7" top="0.75" bottom="0.75" header="0.3" footer="0.3"/>
  <pageSetup paperSize="9" scale="81" orientation="portrait" r:id="rId1"/>
  <headerFooter scaleWithDoc="0">
    <oddFooter>&amp;C&amp;"Arial,Regular"Page &amp;P</oddFooter>
  </headerFooter>
  <rowBreaks count="1" manualBreakCount="1">
    <brk id="50" max="16383" man="1"/>
  </rowBreaks>
  <ignoredErrors>
    <ignoredError sqref="G57:G58 G54"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0"/>
  <sheetViews>
    <sheetView topLeftCell="A46" workbookViewId="0">
      <selection activeCell="F55" sqref="F55"/>
    </sheetView>
  </sheetViews>
  <sheetFormatPr defaultColWidth="9.33203125" defaultRowHeight="15" x14ac:dyDescent="0.25"/>
  <cols>
    <col min="1" max="16384" width="9.33203125" style="2"/>
  </cols>
  <sheetData>
    <row r="1" spans="1:10" ht="15.6" x14ac:dyDescent="0.3">
      <c r="A1" s="33">
        <f>+'Cover Page'!C39</f>
        <v>2022</v>
      </c>
      <c r="B1" s="34" t="s">
        <v>151</v>
      </c>
      <c r="C1" s="34"/>
      <c r="D1" s="34"/>
      <c r="E1" s="34"/>
      <c r="F1" s="34"/>
      <c r="G1" s="34"/>
      <c r="H1" s="34"/>
      <c r="I1" s="34"/>
      <c r="J1" s="34"/>
    </row>
    <row r="2" spans="1:10" ht="8.25" customHeight="1" x14ac:dyDescent="0.25">
      <c r="A2" s="92"/>
      <c r="B2" s="92"/>
      <c r="C2" s="92"/>
      <c r="D2" s="92"/>
      <c r="E2" s="92"/>
      <c r="F2" s="92"/>
      <c r="G2" s="92"/>
      <c r="H2" s="92"/>
      <c r="I2" s="92"/>
      <c r="J2" s="92"/>
    </row>
    <row r="3" spans="1:10" s="3" customFormat="1" ht="13.8" x14ac:dyDescent="0.25">
      <c r="A3" s="260" t="str">
        <f>+'Cover Page'!B31</f>
        <v>Permit EPR/HP3431HK</v>
      </c>
      <c r="B3" s="260"/>
      <c r="C3" s="260"/>
      <c r="D3" s="260"/>
      <c r="E3" s="260"/>
      <c r="F3" s="3" t="s">
        <v>152</v>
      </c>
      <c r="G3" s="261" t="str">
        <f>+'Cover Page'!B37</f>
        <v>Veolia ES Staffordshire Limited</v>
      </c>
      <c r="H3" s="261"/>
      <c r="I3" s="261"/>
    </row>
    <row r="4" spans="1:10" s="3" customFormat="1" ht="13.8" x14ac:dyDescent="0.25">
      <c r="A4" s="3" t="s">
        <v>153</v>
      </c>
      <c r="B4" s="260" t="str">
        <f>+'Cover Page'!B33:I33</f>
        <v>Staffordshire Energy Recovery Facility</v>
      </c>
      <c r="C4" s="260"/>
      <c r="D4" s="260"/>
      <c r="E4" s="260"/>
      <c r="F4" s="3" t="s">
        <v>154</v>
      </c>
      <c r="G4" s="3" t="s">
        <v>155</v>
      </c>
    </row>
    <row r="5" spans="1:10" s="3" customFormat="1" ht="6.75" customHeight="1" x14ac:dyDescent="0.25"/>
    <row r="6" spans="1:10" s="3" customFormat="1" ht="15.75" customHeight="1" x14ac:dyDescent="0.25">
      <c r="A6" s="3" t="s">
        <v>156</v>
      </c>
      <c r="D6" s="262">
        <v>44562</v>
      </c>
      <c r="E6" s="262"/>
      <c r="F6" s="35" t="s">
        <v>157</v>
      </c>
      <c r="G6" s="262">
        <v>44926</v>
      </c>
      <c r="H6" s="262"/>
    </row>
    <row r="7" spans="1:10" s="3" customFormat="1" ht="7.5" customHeight="1" x14ac:dyDescent="0.25"/>
    <row r="8" spans="1:10" s="3" customFormat="1" ht="15.6" x14ac:dyDescent="0.3">
      <c r="A8" s="9">
        <f>+A1</f>
        <v>2022</v>
      </c>
      <c r="B8" s="34" t="s">
        <v>158</v>
      </c>
      <c r="C8"/>
      <c r="D8"/>
      <c r="E8"/>
      <c r="F8"/>
      <c r="G8"/>
    </row>
    <row r="9" spans="1:10" s="3" customFormat="1" ht="28.5" customHeight="1" x14ac:dyDescent="0.25">
      <c r="A9" s="263" t="s">
        <v>159</v>
      </c>
      <c r="B9" s="263"/>
      <c r="C9" s="263" t="s">
        <v>160</v>
      </c>
      <c r="D9" s="263"/>
      <c r="E9" s="263" t="s">
        <v>161</v>
      </c>
      <c r="F9" s="263"/>
      <c r="G9" s="263" t="s">
        <v>162</v>
      </c>
      <c r="H9" s="263"/>
      <c r="I9" s="263" t="s">
        <v>163</v>
      </c>
      <c r="J9" s="263"/>
    </row>
    <row r="10" spans="1:10" s="3" customFormat="1" ht="14.25" customHeight="1" x14ac:dyDescent="0.25">
      <c r="A10" s="255" t="s">
        <v>164</v>
      </c>
      <c r="B10" s="255"/>
      <c r="C10" s="255"/>
      <c r="D10" s="255"/>
      <c r="E10" s="255"/>
      <c r="F10" s="255"/>
      <c r="G10" s="255"/>
      <c r="H10" s="255"/>
      <c r="I10" s="255"/>
      <c r="J10" s="255"/>
    </row>
    <row r="11" spans="1:10" s="3" customFormat="1" ht="14.25" customHeight="1" x14ac:dyDescent="0.25">
      <c r="A11" s="255" t="s">
        <v>165</v>
      </c>
      <c r="B11" s="255"/>
      <c r="C11" s="256" t="s">
        <v>166</v>
      </c>
      <c r="D11" s="256"/>
      <c r="E11" s="257">
        <f>'Operational Data'!G34</f>
        <v>7889.3899999999994</v>
      </c>
      <c r="F11" s="257"/>
      <c r="G11" s="258"/>
      <c r="H11" s="258"/>
      <c r="I11" s="259">
        <f>IF((E11+G11)&gt;0,(E11+G11)/'Operational Data'!$G$21, "-")</f>
        <v>2.3217016371111159E-2</v>
      </c>
      <c r="J11" s="259"/>
    </row>
    <row r="12" spans="1:10" s="3" customFormat="1" ht="14.25" customHeight="1" x14ac:dyDescent="0.25">
      <c r="A12" s="255" t="s">
        <v>167</v>
      </c>
      <c r="B12" s="255"/>
      <c r="C12" s="256"/>
      <c r="D12" s="256"/>
      <c r="E12" s="258"/>
      <c r="F12" s="258"/>
      <c r="G12" s="258"/>
      <c r="H12" s="258"/>
      <c r="I12" s="259" t="str">
        <f>IF((E12+G12)&gt;0,(E12+G12)/'Operational Data'!$G$21, "-")</f>
        <v>-</v>
      </c>
      <c r="J12" s="259"/>
    </row>
    <row r="13" spans="1:10" s="3" customFormat="1" ht="14.25" customHeight="1" x14ac:dyDescent="0.25">
      <c r="A13" s="264" t="s">
        <v>119</v>
      </c>
      <c r="B13" s="264"/>
      <c r="C13" s="256" t="s">
        <v>168</v>
      </c>
      <c r="D13" s="256"/>
      <c r="E13" s="257">
        <f>'Operational Data'!G37</f>
        <v>155.04000000000002</v>
      </c>
      <c r="F13" s="257"/>
      <c r="G13" s="258"/>
      <c r="H13" s="258"/>
      <c r="I13" s="259">
        <f>IF((E13+G13)&gt;0,(E13+G13)/'Operational Data'!$G$21, "-")</f>
        <v>4.5625405996877768E-4</v>
      </c>
      <c r="J13" s="259"/>
    </row>
    <row r="14" spans="1:10" s="3" customFormat="1" ht="14.25" customHeight="1" x14ac:dyDescent="0.25">
      <c r="A14" s="271"/>
      <c r="B14" s="271"/>
      <c r="C14" s="256"/>
      <c r="D14" s="256"/>
      <c r="E14" s="258"/>
      <c r="F14" s="258"/>
      <c r="G14" s="258"/>
      <c r="H14" s="258"/>
      <c r="I14" s="259" t="str">
        <f>IF((E14+G14)&gt;0,(E14+G14)/'Operational Data'!$G$21, "-")</f>
        <v>-</v>
      </c>
      <c r="J14" s="259"/>
    </row>
    <row r="15" spans="1:10" s="3" customFormat="1" ht="14.25" customHeight="1" x14ac:dyDescent="0.25">
      <c r="A15" s="272" t="s">
        <v>169</v>
      </c>
      <c r="B15" s="272"/>
      <c r="C15" s="272"/>
      <c r="D15" s="272"/>
      <c r="E15" s="273">
        <f>SUM(E11:F14)</f>
        <v>8044.4299999999994</v>
      </c>
      <c r="F15" s="273"/>
      <c r="G15" s="274">
        <f>SUM(G11:H14)</f>
        <v>0</v>
      </c>
      <c r="H15" s="274"/>
      <c r="I15" s="259">
        <f>IF((E15+G15)&gt;0,(E15+G15)/'Operational Data'!$G$21, "-")</f>
        <v>2.3673270431079935E-2</v>
      </c>
      <c r="J15" s="259"/>
    </row>
    <row r="16" spans="1:10" s="3" customFormat="1" ht="14.25" customHeight="1" x14ac:dyDescent="0.25">
      <c r="A16" s="265"/>
      <c r="B16" s="266"/>
      <c r="C16" s="266"/>
      <c r="D16" s="266"/>
      <c r="E16" s="267"/>
      <c r="F16" s="267"/>
      <c r="G16" s="267"/>
      <c r="H16" s="267"/>
      <c r="I16" s="268"/>
      <c r="J16" s="269"/>
    </row>
    <row r="17" spans="1:10" s="3" customFormat="1" ht="14.25" customHeight="1" x14ac:dyDescent="0.25">
      <c r="A17" s="270" t="s">
        <v>170</v>
      </c>
      <c r="B17" s="270"/>
      <c r="C17" s="270"/>
      <c r="D17" s="270"/>
      <c r="E17" s="270"/>
      <c r="F17" s="270"/>
      <c r="G17" s="270"/>
      <c r="H17" s="270"/>
      <c r="I17" s="270"/>
      <c r="J17" s="270"/>
    </row>
    <row r="18" spans="1:10" ht="14.25" customHeight="1" x14ac:dyDescent="0.25">
      <c r="A18" s="255" t="s">
        <v>167</v>
      </c>
      <c r="B18" s="255"/>
      <c r="C18" s="256" t="s">
        <v>171</v>
      </c>
      <c r="D18" s="256"/>
      <c r="E18" s="258"/>
      <c r="F18" s="258"/>
      <c r="G18" s="257">
        <f>'Operational Data'!G35</f>
        <v>64678</v>
      </c>
      <c r="H18" s="257"/>
      <c r="I18" s="259">
        <f>IF((E18+G18)&gt;0,(E18+G18)/'Operational Data'!$G$21, "-")</f>
        <v>0.19033539790157764</v>
      </c>
      <c r="J18" s="259"/>
    </row>
    <row r="19" spans="1:10" s="3" customFormat="1" ht="14.25" customHeight="1" x14ac:dyDescent="0.25">
      <c r="A19" s="255" t="s">
        <v>172</v>
      </c>
      <c r="B19" s="255"/>
      <c r="C19" s="256" t="s">
        <v>173</v>
      </c>
      <c r="D19" s="256"/>
      <c r="E19" s="258"/>
      <c r="F19" s="258"/>
      <c r="G19" s="257">
        <f>'Operational Data'!G36</f>
        <v>5848.119999999999</v>
      </c>
      <c r="H19" s="257"/>
      <c r="I19" s="259">
        <f>IF((E19+G19)&gt;0,(E19+G19)/'Operational Data'!$G$21, "-")</f>
        <v>1.7209936101551904E-2</v>
      </c>
      <c r="J19" s="259"/>
    </row>
    <row r="20" spans="1:10" s="3" customFormat="1" ht="14.25" customHeight="1" x14ac:dyDescent="0.25">
      <c r="A20" s="255" t="s">
        <v>174</v>
      </c>
      <c r="B20" s="255"/>
      <c r="C20" s="256"/>
      <c r="D20" s="256"/>
      <c r="E20" s="258"/>
      <c r="F20" s="258"/>
      <c r="G20" s="258"/>
      <c r="H20" s="258"/>
      <c r="I20" s="259" t="str">
        <f>IF((E20+G20)&gt;0,(E20+G20)/'Operational Data'!$G$21, "-")</f>
        <v>-</v>
      </c>
      <c r="J20" s="259"/>
    </row>
    <row r="21" spans="1:10" s="3" customFormat="1" ht="14.25" customHeight="1" x14ac:dyDescent="0.25">
      <c r="A21" s="275"/>
      <c r="B21" s="275"/>
      <c r="C21" s="256"/>
      <c r="D21" s="256"/>
      <c r="E21" s="258"/>
      <c r="F21" s="258"/>
      <c r="G21" s="258"/>
      <c r="H21" s="258"/>
      <c r="I21" s="259" t="str">
        <f>IF((E21+G21)&gt;0,(E21+G21)/'Operational Data'!$G$21, "-")</f>
        <v>-</v>
      </c>
      <c r="J21" s="259"/>
    </row>
    <row r="22" spans="1:10" s="3" customFormat="1" ht="14.25" customHeight="1" x14ac:dyDescent="0.25">
      <c r="A22" s="275"/>
      <c r="B22" s="275"/>
      <c r="C22" s="256"/>
      <c r="D22" s="256"/>
      <c r="E22" s="258"/>
      <c r="F22" s="258"/>
      <c r="G22" s="258"/>
      <c r="H22" s="258"/>
      <c r="I22" s="259" t="str">
        <f>IF((E22+G22)&gt;0,(E22+G22)/'Operational Data'!$G$21, "-")</f>
        <v>-</v>
      </c>
      <c r="J22" s="259"/>
    </row>
    <row r="23" spans="1:10" s="3" customFormat="1" ht="14.25" customHeight="1" x14ac:dyDescent="0.25">
      <c r="A23" s="276" t="s">
        <v>175</v>
      </c>
      <c r="B23" s="276"/>
      <c r="C23" s="276"/>
      <c r="D23" s="276"/>
      <c r="E23" s="274">
        <f>SUM(E18:F22)</f>
        <v>0</v>
      </c>
      <c r="F23" s="274"/>
      <c r="G23" s="273">
        <f>SUM(G18:H22)</f>
        <v>70526.12</v>
      </c>
      <c r="H23" s="273"/>
      <c r="I23" s="259">
        <f>IF((E23+G23)&gt;0,(E23+G23)/'Operational Data'!$G$21, "-")</f>
        <v>0.20754533400312952</v>
      </c>
      <c r="J23" s="259"/>
    </row>
    <row r="24" spans="1:10" s="3" customFormat="1" ht="14.25" customHeight="1" x14ac:dyDescent="0.25">
      <c r="A24" s="286" t="s">
        <v>176</v>
      </c>
      <c r="B24" s="286"/>
      <c r="C24" s="286"/>
      <c r="D24" s="286"/>
      <c r="E24" s="287">
        <f>+E23+E15</f>
        <v>8044.4299999999994</v>
      </c>
      <c r="F24" s="287"/>
      <c r="G24" s="287">
        <f>+G23+G15</f>
        <v>70526.12</v>
      </c>
      <c r="H24" s="287"/>
      <c r="I24" s="288">
        <f>IF((E24+G24)&gt;0,(E24+G24)/'Operational Data'!$G$21, "-")</f>
        <v>0.23121860443420944</v>
      </c>
      <c r="J24" s="288"/>
    </row>
    <row r="25" spans="1:10" s="3" customFormat="1" ht="8.25" customHeight="1" x14ac:dyDescent="0.3">
      <c r="A25" s="180"/>
      <c r="B25"/>
      <c r="C25"/>
      <c r="D25"/>
      <c r="E25"/>
      <c r="F25"/>
      <c r="G25"/>
    </row>
    <row r="26" spans="1:10" s="3" customFormat="1" ht="14.25" customHeight="1" x14ac:dyDescent="0.25">
      <c r="A26" s="289" t="s">
        <v>177</v>
      </c>
      <c r="B26" s="289"/>
      <c r="C26" s="289"/>
      <c r="D26" s="289"/>
      <c r="E26" s="289"/>
      <c r="F26" s="289"/>
      <c r="G26" s="289"/>
      <c r="H26" s="289"/>
      <c r="I26" s="289"/>
      <c r="J26" s="289"/>
    </row>
    <row r="27" spans="1:10" s="3" customFormat="1" ht="14.25" customHeight="1" x14ac:dyDescent="0.25">
      <c r="A27" s="290"/>
      <c r="B27" s="290"/>
      <c r="C27" s="290"/>
      <c r="D27" s="290"/>
      <c r="E27" s="290"/>
      <c r="F27" s="290"/>
      <c r="G27" s="290"/>
      <c r="H27" s="290"/>
      <c r="I27" s="290"/>
      <c r="J27" s="290"/>
    </row>
    <row r="28" spans="1:10" s="3" customFormat="1" ht="14.25" customHeight="1" x14ac:dyDescent="0.25">
      <c r="A28" s="290"/>
      <c r="B28" s="290"/>
      <c r="C28" s="290"/>
      <c r="D28" s="290"/>
      <c r="E28" s="290"/>
      <c r="F28" s="290"/>
      <c r="G28" s="290"/>
      <c r="H28" s="290"/>
      <c r="I28" s="290"/>
      <c r="J28" s="290"/>
    </row>
    <row r="29" spans="1:10" s="3" customFormat="1" ht="14.25" customHeight="1" x14ac:dyDescent="0.25">
      <c r="A29" s="290"/>
      <c r="B29" s="290"/>
      <c r="C29" s="290"/>
      <c r="D29" s="290"/>
      <c r="E29" s="290"/>
      <c r="F29" s="290"/>
      <c r="G29" s="290"/>
      <c r="H29" s="290"/>
      <c r="I29" s="290"/>
      <c r="J29" s="290"/>
    </row>
    <row r="30" spans="1:10" s="3" customFormat="1" ht="14.25" customHeight="1" x14ac:dyDescent="0.3">
      <c r="A30" s="180"/>
      <c r="B30"/>
      <c r="C30"/>
      <c r="D30"/>
      <c r="E30"/>
      <c r="F30"/>
      <c r="G30"/>
    </row>
    <row r="31" spans="1:10" s="3" customFormat="1" ht="14.25" customHeight="1" x14ac:dyDescent="0.3">
      <c r="A31" s="1">
        <f>+A1</f>
        <v>2022</v>
      </c>
      <c r="B31" s="34" t="s">
        <v>178</v>
      </c>
      <c r="C31" s="34"/>
      <c r="D31" s="34"/>
      <c r="E31" s="34"/>
      <c r="F31" s="34"/>
    </row>
    <row r="32" spans="1:10" s="3" customFormat="1" ht="24.75" customHeight="1" x14ac:dyDescent="0.25">
      <c r="A32" s="277" t="s">
        <v>179</v>
      </c>
      <c r="B32" s="278"/>
      <c r="C32" s="278"/>
      <c r="D32" s="279"/>
      <c r="E32" s="38" t="s">
        <v>180</v>
      </c>
      <c r="F32" s="39"/>
      <c r="G32" s="40" t="s">
        <v>82</v>
      </c>
      <c r="H32" s="280" t="s">
        <v>181</v>
      </c>
      <c r="I32" s="281"/>
      <c r="J32" s="41" t="s">
        <v>82</v>
      </c>
    </row>
    <row r="33" spans="1:10" s="3" customFormat="1" ht="14.25" customHeight="1" x14ac:dyDescent="0.25">
      <c r="A33" s="265" t="s">
        <v>123</v>
      </c>
      <c r="B33" s="266"/>
      <c r="C33" s="266"/>
      <c r="D33" s="282"/>
      <c r="E33" s="283">
        <f>+'Operational Data'!G42</f>
        <v>35076</v>
      </c>
      <c r="F33" s="269"/>
      <c r="G33" s="181" t="s">
        <v>182</v>
      </c>
      <c r="H33" s="284">
        <f>IF(E33&gt;0,E33/'Operational Data'!$G$21,"-")</f>
        <v>0.10322218400067623</v>
      </c>
      <c r="I33" s="285"/>
      <c r="J33" s="181" t="s">
        <v>183</v>
      </c>
    </row>
    <row r="34" spans="1:10" s="3" customFormat="1" ht="14.25" customHeight="1" x14ac:dyDescent="0.25">
      <c r="A34" s="265" t="s">
        <v>184</v>
      </c>
      <c r="B34" s="266"/>
      <c r="C34" s="266"/>
      <c r="D34" s="282"/>
      <c r="E34" s="283">
        <f>+'Operational Data'!G43+'Operational Data'!G42</f>
        <v>35076</v>
      </c>
      <c r="F34" s="269"/>
      <c r="G34" s="181" t="s">
        <v>182</v>
      </c>
      <c r="H34" s="284">
        <f>IF(E34&gt;0,E34/'Operational Data'!$G$21,"-")</f>
        <v>0.10322218400067623</v>
      </c>
      <c r="I34" s="285"/>
      <c r="J34" s="181" t="s">
        <v>183</v>
      </c>
    </row>
    <row r="35" spans="1:10" s="3" customFormat="1" ht="14.25" customHeight="1" x14ac:dyDescent="0.25">
      <c r="A35" s="265" t="s">
        <v>185</v>
      </c>
      <c r="B35" s="266"/>
      <c r="C35" s="266"/>
      <c r="D35" s="282"/>
      <c r="E35" s="283">
        <f>+'Operational Data'!G44</f>
        <v>1062880</v>
      </c>
      <c r="F35" s="269"/>
      <c r="G35" s="181" t="s">
        <v>186</v>
      </c>
      <c r="H35" s="284">
        <f>IF(E35&gt;0,E35/'Operational Data'!$G$21,"-")</f>
        <v>3.1278593605496279</v>
      </c>
      <c r="I35" s="285"/>
      <c r="J35" s="181" t="s">
        <v>187</v>
      </c>
    </row>
    <row r="36" spans="1:10" s="3" customFormat="1" ht="14.25" customHeight="1" x14ac:dyDescent="0.25">
      <c r="A36" s="265" t="s">
        <v>129</v>
      </c>
      <c r="B36" s="266"/>
      <c r="C36" s="266"/>
      <c r="D36" s="282"/>
      <c r="E36" s="283">
        <f>+'Operational Data'!G46</f>
        <v>92000</v>
      </c>
      <c r="F36" s="269"/>
      <c r="G36" s="181" t="s">
        <v>186</v>
      </c>
      <c r="H36" s="284">
        <f>IF(E36&gt;0,E36/'Operational Data'!$G$21,"-")</f>
        <v>0.27073899327352641</v>
      </c>
      <c r="I36" s="285"/>
      <c r="J36" s="181" t="s">
        <v>187</v>
      </c>
    </row>
    <row r="37" spans="1:10" s="3" customFormat="1" ht="14.25" customHeight="1" x14ac:dyDescent="0.25">
      <c r="A37" s="265" t="s">
        <v>188</v>
      </c>
      <c r="B37" s="266"/>
      <c r="C37" s="266"/>
      <c r="D37" s="282"/>
      <c r="E37" s="283">
        <f>+'Operational Data'!G47</f>
        <v>4029820</v>
      </c>
      <c r="F37" s="269"/>
      <c r="G37" s="181" t="s">
        <v>186</v>
      </c>
      <c r="H37" s="284">
        <f>IF(E37&gt;0,E37/'Operational Data'!$G$21,"-")</f>
        <v>11.8590153247122</v>
      </c>
      <c r="I37" s="285"/>
      <c r="J37" s="181" t="s">
        <v>187</v>
      </c>
    </row>
    <row r="38" spans="1:10" s="3" customFormat="1" ht="14.25" customHeight="1" x14ac:dyDescent="0.25">
      <c r="A38" s="291"/>
      <c r="B38" s="292"/>
      <c r="C38" s="292"/>
      <c r="D38" s="293"/>
      <c r="E38" s="294"/>
      <c r="F38" s="295"/>
      <c r="G38" s="182"/>
      <c r="H38" s="296"/>
      <c r="I38" s="297"/>
      <c r="J38" s="182"/>
    </row>
    <row r="39" spans="1:10" s="3" customFormat="1" ht="14.25" customHeight="1" x14ac:dyDescent="0.25">
      <c r="A39" s="289" t="s">
        <v>177</v>
      </c>
      <c r="B39" s="289"/>
      <c r="C39" s="289"/>
      <c r="D39" s="289"/>
      <c r="E39" s="289"/>
      <c r="F39" s="289"/>
      <c r="G39" s="289"/>
      <c r="H39" s="289"/>
      <c r="I39" s="289"/>
      <c r="J39" s="289"/>
    </row>
    <row r="40" spans="1:10" s="3" customFormat="1" ht="14.25" customHeight="1" x14ac:dyDescent="0.25">
      <c r="A40" s="290"/>
      <c r="B40" s="290"/>
      <c r="C40" s="290"/>
      <c r="D40" s="290"/>
      <c r="E40" s="290"/>
      <c r="F40" s="290"/>
      <c r="G40" s="290"/>
      <c r="H40" s="290"/>
      <c r="I40" s="290"/>
      <c r="J40" s="290"/>
    </row>
    <row r="41" spans="1:10" s="3" customFormat="1" ht="14.25" customHeight="1" x14ac:dyDescent="0.25">
      <c r="A41" s="290"/>
      <c r="B41" s="290"/>
      <c r="C41" s="290"/>
      <c r="D41" s="290"/>
      <c r="E41" s="290"/>
      <c r="F41" s="290"/>
      <c r="G41" s="290"/>
      <c r="H41" s="290"/>
      <c r="I41" s="290"/>
      <c r="J41" s="290"/>
    </row>
    <row r="42" spans="1:10" s="3" customFormat="1" ht="14.25" customHeight="1" x14ac:dyDescent="0.25">
      <c r="A42" s="42"/>
      <c r="B42" s="42"/>
      <c r="C42" s="42"/>
      <c r="D42" s="42"/>
      <c r="E42" s="42"/>
      <c r="F42" s="42"/>
      <c r="G42" s="42"/>
      <c r="H42" s="42"/>
      <c r="I42" s="42"/>
      <c r="J42" s="42"/>
    </row>
    <row r="43" spans="1:10" s="3" customFormat="1" ht="14.25" customHeight="1" x14ac:dyDescent="0.25">
      <c r="A43" s="34">
        <f>+A31</f>
        <v>2022</v>
      </c>
      <c r="B43" s="34" t="s">
        <v>189</v>
      </c>
      <c r="C43" s="34"/>
      <c r="D43" s="34"/>
      <c r="E43" s="34"/>
      <c r="F43" s="34"/>
      <c r="G43" s="92"/>
    </row>
    <row r="44" spans="1:10" ht="14.25" customHeight="1" x14ac:dyDescent="0.25">
      <c r="A44" s="298" t="s">
        <v>190</v>
      </c>
      <c r="B44" s="298"/>
      <c r="C44" s="298" t="s">
        <v>191</v>
      </c>
      <c r="D44" s="298"/>
      <c r="E44" s="298"/>
      <c r="F44" s="298"/>
      <c r="G44" s="298"/>
      <c r="H44" s="298"/>
      <c r="I44" s="298"/>
      <c r="J44" s="298"/>
    </row>
    <row r="45" spans="1:10" ht="14.25" customHeight="1" x14ac:dyDescent="0.25">
      <c r="A45" s="43"/>
      <c r="B45" s="43"/>
      <c r="C45" s="36" t="s">
        <v>192</v>
      </c>
      <c r="D45" s="36" t="s">
        <v>193</v>
      </c>
      <c r="E45" s="36" t="s">
        <v>194</v>
      </c>
      <c r="F45" s="36" t="s">
        <v>195</v>
      </c>
      <c r="G45" s="36" t="s">
        <v>196</v>
      </c>
      <c r="H45" s="36"/>
      <c r="I45" s="36" t="s">
        <v>197</v>
      </c>
      <c r="J45" s="36" t="s">
        <v>198</v>
      </c>
    </row>
    <row r="46" spans="1:10" ht="31.5" customHeight="1" x14ac:dyDescent="0.25">
      <c r="A46" s="255" t="s">
        <v>199</v>
      </c>
      <c r="B46" s="255"/>
      <c r="C46" s="183">
        <f>'Operational Data'!G53</f>
        <v>8235.5</v>
      </c>
      <c r="D46" s="183">
        <f>'Operational Data'!G54</f>
        <v>8382.5</v>
      </c>
      <c r="E46" s="178"/>
      <c r="F46" s="184"/>
      <c r="G46" s="184"/>
      <c r="H46" s="184"/>
      <c r="I46" s="185">
        <f>'Operational Data'!G57</f>
        <v>8715.2000000000007</v>
      </c>
      <c r="J46" s="184"/>
    </row>
    <row r="47" spans="1:10" ht="43.5" customHeight="1" x14ac:dyDescent="0.25">
      <c r="A47" s="255" t="s">
        <v>200</v>
      </c>
      <c r="B47" s="255"/>
      <c r="C47" s="183">
        <f>'Operational Data'!G61</f>
        <v>1</v>
      </c>
      <c r="D47" s="183"/>
      <c r="E47" s="178"/>
      <c r="F47" s="184"/>
      <c r="G47" s="184"/>
      <c r="H47" s="184"/>
      <c r="I47" s="186"/>
      <c r="J47" s="184"/>
    </row>
    <row r="48" spans="1:10" ht="42.75" customHeight="1" x14ac:dyDescent="0.25">
      <c r="A48" s="255" t="s">
        <v>201</v>
      </c>
      <c r="B48" s="255"/>
      <c r="C48" s="183">
        <f>'Operational Data'!G62</f>
        <v>0.5</v>
      </c>
      <c r="D48" s="183"/>
      <c r="E48" s="178"/>
      <c r="F48" s="184"/>
      <c r="G48" s="184"/>
      <c r="H48" s="184"/>
      <c r="I48" s="186"/>
      <c r="J48" s="184"/>
    </row>
    <row r="49" spans="1:10" ht="8.25" customHeight="1" x14ac:dyDescent="0.25">
      <c r="A49" s="92"/>
      <c r="B49" s="92"/>
      <c r="C49" s="92"/>
      <c r="D49" s="92"/>
      <c r="E49" s="92"/>
      <c r="F49" s="92"/>
      <c r="G49" s="92"/>
      <c r="H49" s="92"/>
      <c r="I49" s="92"/>
      <c r="J49" s="92"/>
    </row>
    <row r="50" spans="1:10" x14ac:dyDescent="0.25">
      <c r="A50" s="289" t="s">
        <v>177</v>
      </c>
      <c r="B50" s="289"/>
      <c r="C50" s="289"/>
      <c r="D50" s="289"/>
      <c r="E50" s="289"/>
      <c r="F50" s="289"/>
      <c r="G50" s="289"/>
      <c r="H50" s="289"/>
      <c r="I50" s="289"/>
      <c r="J50" s="289"/>
    </row>
    <row r="51" spans="1:10" x14ac:dyDescent="0.25">
      <c r="A51" s="290" t="s">
        <v>202</v>
      </c>
      <c r="B51" s="290"/>
      <c r="C51" s="290"/>
      <c r="D51" s="290"/>
      <c r="E51" s="290"/>
      <c r="F51" s="290"/>
      <c r="G51" s="290"/>
      <c r="H51" s="290"/>
      <c r="I51" s="290"/>
      <c r="J51" s="290"/>
    </row>
    <row r="52" spans="1:10" x14ac:dyDescent="0.25">
      <c r="A52" s="290"/>
      <c r="B52" s="290"/>
      <c r="C52" s="290"/>
      <c r="D52" s="290"/>
      <c r="E52" s="290"/>
      <c r="F52" s="290"/>
      <c r="G52" s="290"/>
      <c r="H52" s="290"/>
      <c r="I52" s="290"/>
      <c r="J52" s="290"/>
    </row>
    <row r="60" spans="1:10" x14ac:dyDescent="0.25">
      <c r="A60" s="92"/>
      <c r="B60" s="92"/>
      <c r="C60" s="92"/>
      <c r="D60" s="92"/>
      <c r="E60" s="92"/>
      <c r="F60" s="3"/>
      <c r="G60" s="92"/>
      <c r="H60" s="92"/>
      <c r="I60" s="92"/>
      <c r="J60" s="92"/>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2"/>
  <sheetViews>
    <sheetView topLeftCell="A19" workbookViewId="0">
      <selection activeCell="F55" sqref="F55"/>
    </sheetView>
  </sheetViews>
  <sheetFormatPr defaultColWidth="9.33203125" defaultRowHeight="15" x14ac:dyDescent="0.25"/>
  <cols>
    <col min="1" max="1" width="9.44140625" style="2" bestFit="1" customWidth="1"/>
    <col min="2" max="8" width="9.33203125" style="2"/>
    <col min="9" max="9" width="16" style="2" customWidth="1"/>
    <col min="10" max="16384" width="9.33203125" style="2"/>
  </cols>
  <sheetData>
    <row r="1" spans="1:10" ht="15.6" x14ac:dyDescent="0.3">
      <c r="A1" s="33">
        <f>+'Cover Page'!C39</f>
        <v>2022</v>
      </c>
      <c r="B1" s="34" t="s">
        <v>203</v>
      </c>
      <c r="C1" s="34"/>
      <c r="D1" s="34"/>
      <c r="E1" s="34"/>
      <c r="F1" s="34"/>
      <c r="G1" s="34"/>
      <c r="H1" s="34"/>
      <c r="I1" s="34"/>
      <c r="J1" s="34"/>
    </row>
    <row r="3" spans="1:10" s="3" customFormat="1" ht="15" customHeight="1" x14ac:dyDescent="0.25">
      <c r="A3" s="3" t="str">
        <f>+'Cover Page'!B31</f>
        <v>Permit EPR/HP3431HK</v>
      </c>
      <c r="F3" s="3" t="s">
        <v>152</v>
      </c>
      <c r="G3" s="261" t="str">
        <f>+'Cover Page'!B37</f>
        <v>Veolia ES Staffordshire Limited</v>
      </c>
      <c r="H3" s="261"/>
      <c r="I3" s="261"/>
    </row>
    <row r="4" spans="1:10" s="3" customFormat="1" ht="13.8" x14ac:dyDescent="0.25"/>
    <row r="5" spans="1:10" s="3" customFormat="1" ht="13.8" x14ac:dyDescent="0.25">
      <c r="A5" s="3" t="s">
        <v>153</v>
      </c>
      <c r="B5" s="260" t="str">
        <f>+'Cover Page'!B33:I33</f>
        <v>Staffordshire Energy Recovery Facility</v>
      </c>
      <c r="C5" s="260"/>
      <c r="D5" s="260"/>
      <c r="E5" s="260"/>
      <c r="F5" s="3" t="s">
        <v>154</v>
      </c>
      <c r="G5" s="3" t="s">
        <v>204</v>
      </c>
    </row>
    <row r="6" spans="1:10" s="3" customFormat="1" ht="13.8" x14ac:dyDescent="0.25"/>
    <row r="7" spans="1:10" s="3" customFormat="1" ht="15.75" customHeight="1" x14ac:dyDescent="0.25">
      <c r="A7" s="3" t="s">
        <v>156</v>
      </c>
      <c r="D7" s="299">
        <f>+'Perf. Form 1'!D6:E6</f>
        <v>44562</v>
      </c>
      <c r="E7" s="299"/>
      <c r="F7" s="35" t="s">
        <v>157</v>
      </c>
      <c r="G7" s="299">
        <f>+'Perf. Form 1'!G6:H6</f>
        <v>44926</v>
      </c>
      <c r="H7" s="299"/>
    </row>
    <row r="8" spans="1:10" s="3" customFormat="1" ht="14.4" x14ac:dyDescent="0.3">
      <c r="B8"/>
      <c r="C8"/>
      <c r="D8"/>
    </row>
    <row r="9" spans="1:10" s="3" customFormat="1" ht="37.5" customHeight="1" x14ac:dyDescent="0.25">
      <c r="A9" s="298" t="s">
        <v>205</v>
      </c>
      <c r="B9" s="298"/>
      <c r="C9" s="298"/>
      <c r="D9" s="263" t="s">
        <v>206</v>
      </c>
      <c r="E9" s="263"/>
      <c r="F9" s="36" t="s">
        <v>82</v>
      </c>
      <c r="G9" s="298" t="s">
        <v>207</v>
      </c>
      <c r="H9" s="298"/>
      <c r="I9" s="298"/>
    </row>
    <row r="10" spans="1:10" s="3" customFormat="1" ht="24.75" customHeight="1" x14ac:dyDescent="0.25">
      <c r="A10" s="255" t="s">
        <v>208</v>
      </c>
      <c r="B10" s="255"/>
      <c r="C10" s="255"/>
      <c r="D10" s="300">
        <f>+'Operational Data'!G24</f>
        <v>222367</v>
      </c>
      <c r="E10" s="300"/>
      <c r="F10" s="106" t="s">
        <v>106</v>
      </c>
      <c r="G10" s="301">
        <f>+'Operational Data'!H24</f>
        <v>654.38497518754627</v>
      </c>
      <c r="H10" s="301"/>
      <c r="I10" s="301"/>
    </row>
    <row r="11" spans="1:10" s="3" customFormat="1" ht="24.75" customHeight="1" x14ac:dyDescent="0.25">
      <c r="A11" s="255" t="s">
        <v>209</v>
      </c>
      <c r="B11" s="255"/>
      <c r="C11" s="255"/>
      <c r="D11" s="302">
        <f>+'Operational Data'!G27</f>
        <v>101</v>
      </c>
      <c r="E11" s="302"/>
      <c r="F11" s="106" t="s">
        <v>106</v>
      </c>
      <c r="G11" s="303">
        <f>+'Operational Data'!H27</f>
        <v>0.2972243295720236</v>
      </c>
      <c r="H11" s="303"/>
      <c r="I11" s="303"/>
    </row>
    <row r="12" spans="1:10" s="3" customFormat="1" ht="24.75" customHeight="1" x14ac:dyDescent="0.25">
      <c r="A12" s="255" t="s">
        <v>210</v>
      </c>
      <c r="B12" s="255"/>
      <c r="C12" s="255"/>
      <c r="D12" s="300">
        <f>+'Operational Data'!G25</f>
        <v>198604</v>
      </c>
      <c r="E12" s="300"/>
      <c r="F12" s="106" t="s">
        <v>106</v>
      </c>
      <c r="G12" s="301">
        <f>+'Operational Data'!H25</f>
        <v>584.45485891408089</v>
      </c>
      <c r="H12" s="301"/>
      <c r="I12" s="301"/>
    </row>
    <row r="13" spans="1:10" s="3" customFormat="1" ht="24.75" customHeight="1" x14ac:dyDescent="0.25">
      <c r="A13" s="255" t="s">
        <v>211</v>
      </c>
      <c r="B13" s="255"/>
      <c r="C13" s="255"/>
      <c r="D13" s="304">
        <f>'Operational Data'!G48</f>
        <v>228131.40939759035</v>
      </c>
      <c r="E13" s="304"/>
      <c r="F13" s="106" t="s">
        <v>132</v>
      </c>
      <c r="G13" s="303">
        <f>'Operational Data'!H48</f>
        <v>0.67134856646059038</v>
      </c>
      <c r="H13" s="303"/>
      <c r="I13" s="303"/>
    </row>
    <row r="14" spans="1:10" s="3" customFormat="1" ht="24.75" customHeight="1" x14ac:dyDescent="0.25">
      <c r="A14" s="255" t="s">
        <v>212</v>
      </c>
      <c r="B14" s="255"/>
      <c r="C14" s="255"/>
      <c r="D14" s="300">
        <f>+'Operational Data'!G30</f>
        <v>0</v>
      </c>
      <c r="E14" s="300"/>
      <c r="F14" s="106" t="s">
        <v>213</v>
      </c>
      <c r="G14" s="301" t="str">
        <f>+'Operational Data'!H30</f>
        <v>-</v>
      </c>
      <c r="H14" s="301"/>
      <c r="I14" s="301"/>
    </row>
    <row r="15" spans="1:10" s="3" customFormat="1" ht="24.75" customHeight="1" x14ac:dyDescent="0.25">
      <c r="A15" s="271"/>
      <c r="B15" s="271"/>
      <c r="C15" s="271"/>
      <c r="D15" s="271"/>
      <c r="E15" s="271"/>
      <c r="F15" s="118"/>
      <c r="G15" s="217"/>
      <c r="H15" s="217"/>
      <c r="I15" s="217"/>
    </row>
    <row r="16" spans="1:10" s="3" customFormat="1" ht="24.75" customHeight="1" x14ac:dyDescent="0.25">
      <c r="A16" s="271"/>
      <c r="B16" s="271"/>
      <c r="C16" s="271"/>
      <c r="D16" s="271"/>
      <c r="E16" s="271"/>
      <c r="F16" s="118"/>
      <c r="G16" s="217"/>
      <c r="H16" s="217"/>
      <c r="I16" s="217"/>
    </row>
    <row r="17" spans="1:9" s="3" customFormat="1" ht="14.4" x14ac:dyDescent="0.3">
      <c r="A17" s="45"/>
      <c r="B17"/>
      <c r="C17"/>
      <c r="D17"/>
    </row>
    <row r="18" spans="1:9" s="3" customFormat="1" ht="24" customHeight="1" x14ac:dyDescent="0.25">
      <c r="A18" s="289" t="s">
        <v>177</v>
      </c>
      <c r="B18" s="289"/>
      <c r="C18" s="289"/>
      <c r="D18" s="289"/>
      <c r="E18" s="289"/>
      <c r="F18" s="289"/>
      <c r="G18" s="289"/>
      <c r="H18" s="289"/>
      <c r="I18" s="289"/>
    </row>
    <row r="19" spans="1:9" s="3" customFormat="1" ht="13.8" x14ac:dyDescent="0.25">
      <c r="A19" s="307"/>
      <c r="B19" s="307"/>
      <c r="C19" s="307"/>
      <c r="D19" s="307"/>
      <c r="E19" s="307"/>
      <c r="F19" s="307"/>
      <c r="G19" s="307"/>
      <c r="H19" s="307"/>
      <c r="I19" s="307"/>
    </row>
    <row r="20" spans="1:9" s="3" customFormat="1" ht="13.8" x14ac:dyDescent="0.25">
      <c r="A20" s="307"/>
      <c r="B20" s="307"/>
      <c r="C20" s="307"/>
      <c r="D20" s="307"/>
      <c r="E20" s="307"/>
      <c r="F20" s="307"/>
      <c r="G20" s="307"/>
      <c r="H20" s="307"/>
      <c r="I20" s="307"/>
    </row>
    <row r="21" spans="1:9" s="3" customFormat="1" ht="13.8" x14ac:dyDescent="0.25">
      <c r="A21" s="307"/>
      <c r="B21" s="307"/>
      <c r="C21" s="307"/>
      <c r="D21" s="307"/>
      <c r="E21" s="307"/>
      <c r="F21" s="307"/>
      <c r="G21" s="307"/>
      <c r="H21" s="307"/>
      <c r="I21" s="307"/>
    </row>
    <row r="22" spans="1:9" s="3" customFormat="1" ht="13.8" x14ac:dyDescent="0.25">
      <c r="A22" s="307"/>
      <c r="B22" s="307"/>
      <c r="C22" s="307"/>
      <c r="D22" s="307"/>
      <c r="E22" s="307"/>
      <c r="F22" s="307"/>
      <c r="G22" s="307"/>
      <c r="H22" s="307"/>
      <c r="I22" s="307"/>
    </row>
    <row r="23" spans="1:9" s="3" customFormat="1" ht="13.8" x14ac:dyDescent="0.25">
      <c r="A23" s="307"/>
      <c r="B23" s="307"/>
      <c r="C23" s="307"/>
      <c r="D23" s="307"/>
      <c r="E23" s="307"/>
      <c r="F23" s="307"/>
      <c r="G23" s="307"/>
      <c r="H23" s="307"/>
      <c r="I23" s="307"/>
    </row>
    <row r="24" spans="1:9" s="3" customFormat="1" ht="13.8" x14ac:dyDescent="0.25">
      <c r="A24" s="307"/>
      <c r="B24" s="307"/>
      <c r="C24" s="307"/>
      <c r="D24" s="307"/>
      <c r="E24" s="307"/>
      <c r="F24" s="307"/>
      <c r="G24" s="307"/>
      <c r="H24" s="307"/>
      <c r="I24" s="307"/>
    </row>
    <row r="25" spans="1:9" s="3" customFormat="1" ht="13.8" x14ac:dyDescent="0.25">
      <c r="A25" s="307"/>
      <c r="B25" s="307"/>
      <c r="C25" s="307"/>
      <c r="D25" s="307"/>
      <c r="E25" s="307"/>
      <c r="F25" s="307"/>
      <c r="G25" s="307"/>
      <c r="H25" s="307"/>
      <c r="I25" s="307"/>
    </row>
    <row r="26" spans="1:9" s="3" customFormat="1" ht="13.8" x14ac:dyDescent="0.25">
      <c r="A26" s="42"/>
      <c r="B26" s="42"/>
      <c r="C26" s="42"/>
      <c r="D26" s="42"/>
      <c r="E26" s="42"/>
      <c r="F26" s="42"/>
      <c r="G26" s="42"/>
      <c r="H26" s="42"/>
      <c r="I26" s="42"/>
    </row>
    <row r="27" spans="1:9" s="3" customFormat="1" ht="13.8" x14ac:dyDescent="0.25"/>
    <row r="28" spans="1:9" s="3" customFormat="1" ht="13.8" x14ac:dyDescent="0.25"/>
    <row r="29" spans="1:9" s="3" customFormat="1" ht="13.8" x14ac:dyDescent="0.25">
      <c r="A29" s="3" t="s">
        <v>214</v>
      </c>
      <c r="B29" s="44" t="s">
        <v>21</v>
      </c>
      <c r="C29" s="44"/>
      <c r="D29" s="44"/>
      <c r="E29" s="44"/>
      <c r="G29" s="3" t="s">
        <v>215</v>
      </c>
      <c r="H29" s="305">
        <v>44952</v>
      </c>
      <c r="I29" s="306"/>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2"/>
      <c r="B34" s="92"/>
      <c r="C34" s="92"/>
      <c r="D34" s="92"/>
      <c r="E34" s="92"/>
      <c r="F34" s="92"/>
      <c r="G34" s="92"/>
      <c r="H34" s="92"/>
      <c r="I34" s="92"/>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2" spans="6:6" x14ac:dyDescent="0.25">
      <c r="F62" s="3"/>
    </row>
  </sheetData>
  <mergeCells count="31">
    <mergeCell ref="H29:I29"/>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3"/>
  <sheetViews>
    <sheetView topLeftCell="A19" workbookViewId="0">
      <selection activeCell="F55" sqref="F55"/>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8" width="9.33203125" style="2"/>
    <col min="9" max="9" width="8.6640625" style="2" customWidth="1"/>
    <col min="10" max="10" width="9.33203125" style="2" hidden="1" customWidth="1"/>
    <col min="11" max="11" width="10.6640625" style="2" bestFit="1" customWidth="1"/>
    <col min="12" max="12" width="31.6640625" style="2" customWidth="1"/>
    <col min="13" max="16384" width="9.33203125" style="2"/>
  </cols>
  <sheetData>
    <row r="1" spans="1:15" x14ac:dyDescent="0.25">
      <c r="A1" s="92" t="str">
        <f>+'Cover Page'!$B$29</f>
        <v>Annual Performance Report 2022</v>
      </c>
      <c r="B1" s="92"/>
      <c r="C1" s="92"/>
      <c r="D1" s="92"/>
      <c r="E1" s="92" t="str">
        <f>+'Cover Page'!$B$33</f>
        <v>Staffordshire Energy Recovery Facility</v>
      </c>
      <c r="F1" s="92"/>
      <c r="G1" s="92"/>
      <c r="H1" s="92"/>
      <c r="I1" s="92"/>
      <c r="J1" s="92"/>
      <c r="K1" s="92"/>
      <c r="L1" s="92"/>
      <c r="M1" s="92"/>
      <c r="N1" s="92"/>
      <c r="O1" s="92"/>
    </row>
    <row r="3" spans="1:15" ht="15.6" x14ac:dyDescent="0.3">
      <c r="A3" s="1" t="s">
        <v>216</v>
      </c>
      <c r="B3" s="92"/>
      <c r="C3" s="92"/>
      <c r="D3" s="92"/>
      <c r="E3" s="92"/>
      <c r="F3" s="92"/>
      <c r="G3" s="92"/>
      <c r="H3" s="92"/>
      <c r="I3" s="92"/>
      <c r="J3" s="92"/>
      <c r="K3" s="92"/>
      <c r="L3" s="92"/>
      <c r="M3" s="92"/>
      <c r="N3" s="92"/>
      <c r="O3" s="92"/>
    </row>
    <row r="4" spans="1:15" ht="15.6" x14ac:dyDescent="0.3">
      <c r="A4" s="1"/>
      <c r="B4" s="92"/>
      <c r="C4" s="92"/>
      <c r="D4" s="92"/>
      <c r="E4" s="92"/>
      <c r="F4" s="92"/>
      <c r="G4" s="92"/>
      <c r="H4" s="92"/>
      <c r="I4" s="92"/>
      <c r="J4" s="92"/>
      <c r="K4" s="92"/>
      <c r="L4" s="92"/>
      <c r="M4" s="92"/>
      <c r="N4" s="92"/>
      <c r="O4" s="92"/>
    </row>
    <row r="5" spans="1:15" x14ac:dyDescent="0.25">
      <c r="A5" s="9" t="s">
        <v>217</v>
      </c>
      <c r="B5" s="92"/>
      <c r="C5" s="92"/>
      <c r="D5" s="92"/>
      <c r="E5" s="92"/>
      <c r="F5" s="92"/>
      <c r="G5" s="92"/>
      <c r="H5" s="92"/>
      <c r="I5" s="92"/>
      <c r="J5" s="92"/>
      <c r="K5" s="92"/>
      <c r="L5" s="92"/>
      <c r="M5" s="92"/>
      <c r="N5" s="92"/>
      <c r="O5" s="92"/>
    </row>
    <row r="6" spans="1:15" x14ac:dyDescent="0.25">
      <c r="A6" s="9"/>
      <c r="B6" s="92"/>
      <c r="C6" s="92"/>
      <c r="D6" s="92"/>
      <c r="E6" s="92"/>
      <c r="F6" s="92"/>
      <c r="G6" s="92"/>
      <c r="H6" s="92"/>
      <c r="I6" s="92"/>
      <c r="J6" s="92"/>
      <c r="K6" s="92"/>
      <c r="L6" s="92"/>
      <c r="M6" s="92"/>
      <c r="N6" s="92"/>
      <c r="O6" s="92"/>
    </row>
    <row r="7" spans="1:15" x14ac:dyDescent="0.25">
      <c r="A7" s="132" t="s">
        <v>218</v>
      </c>
      <c r="B7" s="92"/>
      <c r="C7" s="92"/>
      <c r="D7" s="92"/>
      <c r="E7" s="92"/>
      <c r="F7" s="92"/>
      <c r="G7" s="92"/>
      <c r="H7" s="92"/>
      <c r="I7" s="92"/>
      <c r="J7" s="92"/>
      <c r="K7" s="92"/>
      <c r="L7" s="92"/>
      <c r="M7" s="92"/>
      <c r="N7" s="92"/>
      <c r="O7" s="92"/>
    </row>
    <row r="8" spans="1:15" s="3" customFormat="1" ht="25.5" customHeight="1" x14ac:dyDescent="0.3">
      <c r="A8" s="313" t="s">
        <v>219</v>
      </c>
      <c r="B8" s="314"/>
      <c r="C8" s="313" t="s">
        <v>220</v>
      </c>
      <c r="D8" s="315"/>
      <c r="E8" s="315"/>
      <c r="F8" s="315"/>
      <c r="G8" s="315"/>
      <c r="H8" s="315"/>
      <c r="I8" s="314"/>
      <c r="L8" s="81" t="s">
        <v>3</v>
      </c>
    </row>
    <row r="9" spans="1:15" s="3" customFormat="1" ht="22.5" customHeight="1" x14ac:dyDescent="0.25">
      <c r="A9" s="316"/>
      <c r="B9" s="317"/>
      <c r="C9" s="318" t="s">
        <v>221</v>
      </c>
      <c r="D9" s="318"/>
      <c r="E9" s="318"/>
      <c r="F9" s="318" t="s">
        <v>222</v>
      </c>
      <c r="G9" s="318"/>
      <c r="H9" s="318"/>
      <c r="I9" s="318"/>
      <c r="L9" s="245" t="s">
        <v>223</v>
      </c>
      <c r="M9" s="245"/>
      <c r="N9" s="245"/>
      <c r="O9" s="245"/>
    </row>
    <row r="10" spans="1:15" s="3" customFormat="1" ht="22.5" customHeight="1" x14ac:dyDescent="0.25">
      <c r="A10" s="309" t="s">
        <v>224</v>
      </c>
      <c r="B10" s="309"/>
      <c r="C10" s="310">
        <v>1</v>
      </c>
      <c r="D10" s="311"/>
      <c r="E10" s="311"/>
      <c r="F10" s="310">
        <v>1</v>
      </c>
      <c r="G10" s="311"/>
      <c r="H10" s="311"/>
      <c r="I10" s="311"/>
      <c r="L10" s="245"/>
      <c r="M10" s="245"/>
      <c r="N10" s="245"/>
      <c r="O10" s="245"/>
    </row>
    <row r="11" spans="1:15" s="3" customFormat="1" ht="22.5" customHeight="1" x14ac:dyDescent="0.25">
      <c r="A11" s="309" t="s">
        <v>225</v>
      </c>
      <c r="B11" s="309"/>
      <c r="C11" s="310">
        <v>1</v>
      </c>
      <c r="D11" s="311"/>
      <c r="E11" s="311"/>
      <c r="F11" s="310">
        <v>1</v>
      </c>
      <c r="G11" s="311"/>
      <c r="H11" s="311"/>
      <c r="I11" s="311"/>
      <c r="L11" s="245"/>
      <c r="M11" s="245"/>
      <c r="N11" s="245"/>
      <c r="O11" s="245"/>
    </row>
    <row r="12" spans="1:15" s="3" customFormat="1" ht="22.5" customHeight="1" x14ac:dyDescent="0.25">
      <c r="A12" s="309" t="s">
        <v>226</v>
      </c>
      <c r="B12" s="309"/>
      <c r="C12" s="312">
        <v>0.99990000000000001</v>
      </c>
      <c r="D12" s="311"/>
      <c r="E12" s="311"/>
      <c r="F12" s="310">
        <v>1</v>
      </c>
      <c r="G12" s="311"/>
      <c r="H12" s="311"/>
      <c r="I12" s="311"/>
      <c r="L12" s="245"/>
      <c r="M12" s="245"/>
      <c r="N12" s="245"/>
      <c r="O12" s="245"/>
    </row>
    <row r="13" spans="1:15" s="3" customFormat="1" ht="22.5" customHeight="1" x14ac:dyDescent="0.25">
      <c r="A13" s="309" t="s">
        <v>227</v>
      </c>
      <c r="B13" s="309"/>
      <c r="C13" s="256" t="s">
        <v>228</v>
      </c>
      <c r="D13" s="311"/>
      <c r="E13" s="311"/>
      <c r="F13" s="310">
        <v>1</v>
      </c>
      <c r="G13" s="311"/>
      <c r="H13" s="311"/>
      <c r="I13" s="311"/>
      <c r="L13" s="245"/>
      <c r="M13" s="245"/>
      <c r="N13" s="245"/>
      <c r="O13" s="245"/>
    </row>
    <row r="14" spans="1:15" s="3" customFormat="1" ht="22.5" customHeight="1" x14ac:dyDescent="0.25">
      <c r="A14" s="309" t="s">
        <v>229</v>
      </c>
      <c r="B14" s="309"/>
      <c r="C14" s="310">
        <v>1</v>
      </c>
      <c r="D14" s="311"/>
      <c r="E14" s="311"/>
      <c r="F14" s="310">
        <v>1</v>
      </c>
      <c r="G14" s="311"/>
      <c r="H14" s="311"/>
      <c r="I14" s="311"/>
      <c r="L14" s="245"/>
      <c r="M14" s="245"/>
      <c r="N14" s="245"/>
      <c r="O14" s="245"/>
    </row>
    <row r="15" spans="1:15" s="3" customFormat="1" ht="22.5" customHeight="1" x14ac:dyDescent="0.25">
      <c r="A15" s="309" t="s">
        <v>230</v>
      </c>
      <c r="B15" s="309"/>
      <c r="C15" s="310">
        <v>1</v>
      </c>
      <c r="D15" s="311"/>
      <c r="E15" s="311"/>
      <c r="F15" s="310">
        <v>1</v>
      </c>
      <c r="G15" s="311"/>
      <c r="H15" s="311"/>
      <c r="I15" s="311"/>
      <c r="L15" s="245"/>
      <c r="M15" s="245"/>
      <c r="N15" s="245"/>
      <c r="O15" s="245"/>
    </row>
    <row r="16" spans="1:15" s="3" customFormat="1" ht="13.8" x14ac:dyDescent="0.25">
      <c r="L16" s="245"/>
      <c r="M16" s="245"/>
      <c r="N16" s="245"/>
      <c r="O16" s="245"/>
    </row>
    <row r="17" spans="1:11" s="45" customFormat="1" ht="21.75" customHeight="1" x14ac:dyDescent="0.3">
      <c r="A17" s="325" t="s">
        <v>231</v>
      </c>
      <c r="B17" s="326"/>
      <c r="C17" s="326"/>
      <c r="D17" s="326"/>
      <c r="E17" s="326"/>
      <c r="F17" s="326"/>
      <c r="G17" s="326"/>
      <c r="H17" s="326"/>
      <c r="I17" s="326"/>
      <c r="J17" s="326"/>
      <c r="K17" s="327"/>
    </row>
    <row r="18" spans="1:11" s="3" customFormat="1" ht="38.25" customHeight="1" x14ac:dyDescent="0.25">
      <c r="A18" s="46" t="s">
        <v>53</v>
      </c>
      <c r="B18" s="319" t="s">
        <v>232</v>
      </c>
      <c r="C18" s="319"/>
      <c r="D18" s="319"/>
      <c r="E18" s="319" t="s">
        <v>233</v>
      </c>
      <c r="F18" s="319"/>
      <c r="G18" s="319"/>
      <c r="H18" s="319" t="s">
        <v>234</v>
      </c>
      <c r="I18" s="319"/>
      <c r="J18" s="320"/>
      <c r="K18" s="72"/>
    </row>
    <row r="19" spans="1:11" s="3" customFormat="1" ht="63.75" customHeight="1" x14ac:dyDescent="0.25">
      <c r="A19" s="187">
        <v>44622</v>
      </c>
      <c r="B19" s="321" t="s">
        <v>235</v>
      </c>
      <c r="C19" s="321"/>
      <c r="D19" s="321"/>
      <c r="E19" s="321" t="s">
        <v>236</v>
      </c>
      <c r="F19" s="321"/>
      <c r="G19" s="321"/>
      <c r="H19" s="322" t="s">
        <v>237</v>
      </c>
      <c r="I19" s="322"/>
      <c r="J19" s="323"/>
      <c r="K19" s="72"/>
    </row>
    <row r="20" spans="1:11" s="3" customFormat="1" ht="13.8" x14ac:dyDescent="0.25">
      <c r="A20" s="188">
        <v>44909</v>
      </c>
      <c r="B20" s="217" t="s">
        <v>238</v>
      </c>
      <c r="C20" s="217"/>
      <c r="D20" s="217"/>
      <c r="E20" s="217" t="s">
        <v>239</v>
      </c>
      <c r="F20" s="217"/>
      <c r="G20" s="217"/>
      <c r="H20" s="217" t="s">
        <v>240</v>
      </c>
      <c r="I20" s="217"/>
      <c r="J20" s="324"/>
      <c r="K20" s="72"/>
    </row>
    <row r="21" spans="1:11" s="3" customFormat="1" ht="13.8" x14ac:dyDescent="0.25">
      <c r="A21" s="119"/>
      <c r="B21" s="217"/>
      <c r="C21" s="217"/>
      <c r="D21" s="217"/>
      <c r="E21" s="217"/>
      <c r="F21" s="217"/>
      <c r="G21" s="217"/>
      <c r="H21" s="217"/>
      <c r="I21" s="217"/>
      <c r="J21" s="324"/>
      <c r="K21" s="72"/>
    </row>
    <row r="22" spans="1:11" s="3" customFormat="1" ht="13.8" x14ac:dyDescent="0.25">
      <c r="A22" s="119"/>
      <c r="B22" s="217"/>
      <c r="C22" s="217"/>
      <c r="D22" s="217"/>
      <c r="E22" s="217"/>
      <c r="F22" s="217"/>
      <c r="G22" s="217"/>
      <c r="H22" s="217"/>
      <c r="I22" s="217"/>
      <c r="J22" s="324"/>
      <c r="K22" s="72"/>
    </row>
    <row r="23" spans="1:11" s="3" customFormat="1" ht="13.8" x14ac:dyDescent="0.25">
      <c r="A23" s="119"/>
      <c r="B23" s="217"/>
      <c r="C23" s="217"/>
      <c r="D23" s="217"/>
      <c r="E23" s="217"/>
      <c r="F23" s="217"/>
      <c r="G23" s="217"/>
      <c r="H23" s="217"/>
      <c r="I23" s="217"/>
      <c r="J23" s="324"/>
      <c r="K23" s="72"/>
    </row>
    <row r="24" spans="1:11" s="3" customFormat="1" ht="13.8" x14ac:dyDescent="0.25"/>
    <row r="25" spans="1:11" s="45" customFormat="1" ht="22.5" customHeight="1" x14ac:dyDescent="0.3">
      <c r="A25" s="325" t="s">
        <v>241</v>
      </c>
      <c r="B25" s="326"/>
      <c r="C25" s="326"/>
      <c r="D25" s="326"/>
      <c r="E25" s="326"/>
      <c r="F25" s="326"/>
      <c r="G25" s="326"/>
      <c r="H25" s="326"/>
      <c r="I25" s="326"/>
      <c r="J25" s="326"/>
      <c r="K25" s="327"/>
    </row>
    <row r="26" spans="1:11" s="3" customFormat="1" ht="39" customHeight="1" x14ac:dyDescent="0.25">
      <c r="A26" s="46" t="s">
        <v>53</v>
      </c>
      <c r="B26" s="319" t="s">
        <v>242</v>
      </c>
      <c r="C26" s="319"/>
      <c r="D26" s="319"/>
      <c r="E26" s="319" t="s">
        <v>243</v>
      </c>
      <c r="F26" s="319"/>
      <c r="G26" s="319"/>
      <c r="H26" s="319" t="s">
        <v>234</v>
      </c>
      <c r="I26" s="319"/>
      <c r="J26" s="320"/>
      <c r="K26" s="72"/>
    </row>
    <row r="27" spans="1:11" s="3" customFormat="1" ht="13.8" x14ac:dyDescent="0.25">
      <c r="A27" s="119"/>
      <c r="B27" s="217"/>
      <c r="C27" s="217"/>
      <c r="D27" s="217"/>
      <c r="E27" s="217"/>
      <c r="F27" s="217"/>
      <c r="G27" s="217"/>
      <c r="H27" s="217"/>
      <c r="I27" s="217"/>
      <c r="J27" s="324"/>
      <c r="K27" s="72"/>
    </row>
    <row r="28" spans="1:11" s="3" customFormat="1" ht="13.8" x14ac:dyDescent="0.25">
      <c r="A28" s="119"/>
      <c r="B28" s="217"/>
      <c r="C28" s="217"/>
      <c r="D28" s="217"/>
      <c r="E28" s="217"/>
      <c r="F28" s="217"/>
      <c r="G28" s="217"/>
      <c r="H28" s="217"/>
      <c r="I28" s="217"/>
      <c r="J28" s="324"/>
      <c r="K28" s="72"/>
    </row>
    <row r="29" spans="1:11" ht="14.25" customHeight="1" x14ac:dyDescent="0.25">
      <c r="A29" s="119"/>
      <c r="B29" s="217"/>
      <c r="C29" s="217"/>
      <c r="D29" s="217"/>
      <c r="E29" s="217"/>
      <c r="F29" s="217"/>
      <c r="G29" s="217"/>
      <c r="H29" s="217"/>
      <c r="I29" s="217"/>
      <c r="J29" s="324"/>
      <c r="K29" s="72"/>
    </row>
    <row r="30" spans="1:11" s="3" customFormat="1" ht="13.8" x14ac:dyDescent="0.25">
      <c r="A30" s="119"/>
      <c r="B30" s="217"/>
      <c r="C30" s="217"/>
      <c r="D30" s="217"/>
      <c r="E30" s="217"/>
      <c r="F30" s="217"/>
      <c r="G30" s="217"/>
      <c r="H30" s="217"/>
      <c r="I30" s="217"/>
      <c r="J30" s="324"/>
      <c r="K30" s="72"/>
    </row>
    <row r="31" spans="1:11" s="3" customFormat="1" ht="13.8" x14ac:dyDescent="0.25">
      <c r="A31" s="119"/>
      <c r="B31" s="217"/>
      <c r="C31" s="217"/>
      <c r="D31" s="217"/>
      <c r="E31" s="217"/>
      <c r="F31" s="217"/>
      <c r="G31" s="217"/>
      <c r="H31" s="217"/>
      <c r="I31" s="217"/>
      <c r="J31" s="324"/>
      <c r="K31" s="72"/>
    </row>
    <row r="32" spans="1:11" s="3" customFormat="1" ht="29.25" customHeight="1" x14ac:dyDescent="0.25">
      <c r="A32" s="132"/>
      <c r="E32" s="308" t="s">
        <v>244</v>
      </c>
      <c r="F32" s="308"/>
      <c r="G32" s="308"/>
      <c r="H32" s="308"/>
      <c r="I32" s="308"/>
      <c r="J32" s="132"/>
    </row>
    <row r="63" spans="6:6" x14ac:dyDescent="0.25">
      <c r="F63" s="3"/>
    </row>
  </sheetData>
  <mergeCells count="63">
    <mergeCell ref="A25:K25"/>
    <mergeCell ref="A17:K17"/>
    <mergeCell ref="B30:D30"/>
    <mergeCell ref="E30:G30"/>
    <mergeCell ref="H30:J30"/>
    <mergeCell ref="B26:D26"/>
    <mergeCell ref="E26:G26"/>
    <mergeCell ref="H26:J26"/>
    <mergeCell ref="B27:D27"/>
    <mergeCell ref="E27:G27"/>
    <mergeCell ref="H27:J27"/>
    <mergeCell ref="B22:D22"/>
    <mergeCell ref="E22:G22"/>
    <mergeCell ref="H22:J22"/>
    <mergeCell ref="B23:D23"/>
    <mergeCell ref="E23:G23"/>
    <mergeCell ref="B31:D31"/>
    <mergeCell ref="E31:G31"/>
    <mergeCell ref="H31:J31"/>
    <mergeCell ref="B28:D28"/>
    <mergeCell ref="E28:G28"/>
    <mergeCell ref="H28:J28"/>
    <mergeCell ref="B29:D29"/>
    <mergeCell ref="E29:G29"/>
    <mergeCell ref="H29:J29"/>
    <mergeCell ref="B19:D19"/>
    <mergeCell ref="E19:G19"/>
    <mergeCell ref="H19:J19"/>
    <mergeCell ref="H23:J23"/>
    <mergeCell ref="B20:D20"/>
    <mergeCell ref="E20:G20"/>
    <mergeCell ref="H20:J20"/>
    <mergeCell ref="B21:D21"/>
    <mergeCell ref="E21:G21"/>
    <mergeCell ref="H21:J21"/>
    <mergeCell ref="F14:I14"/>
    <mergeCell ref="A15:B15"/>
    <mergeCell ref="C15:E15"/>
    <mergeCell ref="F15:I15"/>
    <mergeCell ref="B18:D18"/>
    <mergeCell ref="E18:G18"/>
    <mergeCell ref="H18:J18"/>
    <mergeCell ref="A8:B8"/>
    <mergeCell ref="C8:I8"/>
    <mergeCell ref="A9:B9"/>
    <mergeCell ref="C9:E9"/>
    <mergeCell ref="F9:I9"/>
    <mergeCell ref="L9:O16"/>
    <mergeCell ref="E32:I32"/>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4"/>
  <sheetViews>
    <sheetView topLeftCell="A19" workbookViewId="0">
      <selection activeCell="F55" sqref="F55"/>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Staffordshire Energy Recovery Facility</v>
      </c>
      <c r="F1" s="92"/>
      <c r="G1" s="92"/>
      <c r="H1" s="92"/>
      <c r="I1" s="92"/>
    </row>
    <row r="3" spans="1:9" ht="15.6" x14ac:dyDescent="0.3">
      <c r="A3" s="1" t="s">
        <v>245</v>
      </c>
      <c r="B3" s="92"/>
      <c r="C3" s="92"/>
      <c r="D3" s="92"/>
      <c r="E3" s="92"/>
      <c r="F3" s="92"/>
      <c r="G3" s="92"/>
      <c r="H3" s="92"/>
      <c r="I3" s="92"/>
    </row>
    <row r="4" spans="1:9" ht="15.6" x14ac:dyDescent="0.3">
      <c r="A4" s="1"/>
      <c r="B4" s="92"/>
      <c r="C4" s="92"/>
      <c r="D4" s="92"/>
      <c r="E4" s="92"/>
      <c r="F4" s="92"/>
      <c r="G4" s="92"/>
      <c r="H4" s="92"/>
      <c r="I4" s="92"/>
    </row>
    <row r="5" spans="1:9" s="3" customFormat="1" ht="13.8" x14ac:dyDescent="0.25">
      <c r="A5" s="332" t="s">
        <v>246</v>
      </c>
      <c r="B5" s="333"/>
      <c r="C5" s="333"/>
      <c r="D5" s="333"/>
      <c r="E5" s="333"/>
      <c r="F5" s="333"/>
      <c r="G5" s="333"/>
      <c r="H5" s="333"/>
      <c r="I5" s="334"/>
    </row>
    <row r="6" spans="1:9" s="3" customFormat="1" ht="15.75" customHeight="1" x14ac:dyDescent="0.25">
      <c r="A6" s="331" t="s">
        <v>240</v>
      </c>
      <c r="B6" s="237"/>
      <c r="C6" s="237"/>
      <c r="D6" s="237"/>
      <c r="E6" s="237"/>
      <c r="F6" s="237"/>
      <c r="G6" s="237"/>
      <c r="H6" s="237"/>
      <c r="I6" s="238"/>
    </row>
    <row r="7" spans="1:9" s="3" customFormat="1" ht="15.75" customHeight="1" x14ac:dyDescent="0.25">
      <c r="A7" s="239"/>
      <c r="B7" s="240"/>
      <c r="C7" s="240"/>
      <c r="D7" s="240"/>
      <c r="E7" s="240"/>
      <c r="F7" s="240"/>
      <c r="G7" s="240"/>
      <c r="H7" s="240"/>
      <c r="I7" s="241"/>
    </row>
    <row r="8" spans="1:9" s="3" customFormat="1" ht="15.75" customHeight="1" x14ac:dyDescent="0.25">
      <c r="A8" s="239"/>
      <c r="B8" s="240"/>
      <c r="C8" s="240"/>
      <c r="D8" s="240"/>
      <c r="E8" s="240"/>
      <c r="F8" s="240"/>
      <c r="G8" s="240"/>
      <c r="H8" s="240"/>
      <c r="I8" s="241"/>
    </row>
    <row r="9" spans="1:9" s="3" customFormat="1" ht="15.75" customHeight="1" x14ac:dyDescent="0.25">
      <c r="A9" s="239"/>
      <c r="B9" s="240"/>
      <c r="C9" s="240"/>
      <c r="D9" s="240"/>
      <c r="E9" s="240"/>
      <c r="F9" s="240"/>
      <c r="G9" s="240"/>
      <c r="H9" s="240"/>
      <c r="I9" s="241"/>
    </row>
    <row r="10" spans="1:9" s="3" customFormat="1" ht="15.75" customHeight="1" x14ac:dyDescent="0.25">
      <c r="A10" s="239"/>
      <c r="B10" s="240"/>
      <c r="C10" s="240"/>
      <c r="D10" s="240"/>
      <c r="E10" s="240"/>
      <c r="F10" s="240"/>
      <c r="G10" s="240"/>
      <c r="H10" s="240"/>
      <c r="I10" s="241"/>
    </row>
    <row r="11" spans="1:9" s="3" customFormat="1" ht="15.75" customHeight="1" x14ac:dyDescent="0.25">
      <c r="A11" s="239"/>
      <c r="B11" s="240"/>
      <c r="C11" s="240"/>
      <c r="D11" s="240"/>
      <c r="E11" s="240"/>
      <c r="F11" s="240"/>
      <c r="G11" s="240"/>
      <c r="H11" s="240"/>
      <c r="I11" s="241"/>
    </row>
    <row r="12" spans="1:9" s="3" customFormat="1" ht="15.75" customHeight="1" x14ac:dyDescent="0.25">
      <c r="A12" s="239"/>
      <c r="B12" s="240"/>
      <c r="C12" s="240"/>
      <c r="D12" s="240"/>
      <c r="E12" s="240"/>
      <c r="F12" s="240"/>
      <c r="G12" s="240"/>
      <c r="H12" s="240"/>
      <c r="I12" s="241"/>
    </row>
    <row r="13" spans="1:9" s="3" customFormat="1" ht="15.75" customHeight="1" x14ac:dyDescent="0.25">
      <c r="A13" s="239"/>
      <c r="B13" s="240"/>
      <c r="C13" s="240"/>
      <c r="D13" s="240"/>
      <c r="E13" s="240"/>
      <c r="F13" s="240"/>
      <c r="G13" s="240"/>
      <c r="H13" s="240"/>
      <c r="I13" s="241"/>
    </row>
    <row r="14" spans="1:9" s="3" customFormat="1" ht="15.75" customHeight="1" x14ac:dyDescent="0.25">
      <c r="A14" s="242"/>
      <c r="B14" s="243"/>
      <c r="C14" s="243"/>
      <c r="D14" s="243"/>
      <c r="E14" s="243"/>
      <c r="F14" s="243"/>
      <c r="G14" s="243"/>
      <c r="H14" s="243"/>
      <c r="I14" s="244"/>
    </row>
    <row r="15" spans="1:9" s="3" customFormat="1" ht="13.8" x14ac:dyDescent="0.25"/>
    <row r="16" spans="1:9" s="47" customFormat="1" ht="33.75" customHeight="1" x14ac:dyDescent="0.3">
      <c r="A16" s="328" t="s">
        <v>247</v>
      </c>
      <c r="B16" s="329"/>
      <c r="C16" s="329"/>
      <c r="D16" s="329"/>
      <c r="E16" s="329"/>
      <c r="F16" s="329"/>
      <c r="G16" s="329"/>
      <c r="H16" s="329"/>
      <c r="I16" s="330"/>
    </row>
    <row r="17" spans="1:9" ht="15.75" customHeight="1" x14ac:dyDescent="0.25">
      <c r="A17" s="331" t="s">
        <v>248</v>
      </c>
      <c r="B17" s="237"/>
      <c r="C17" s="237"/>
      <c r="D17" s="237"/>
      <c r="E17" s="237"/>
      <c r="F17" s="237"/>
      <c r="G17" s="237"/>
      <c r="H17" s="237"/>
      <c r="I17" s="238"/>
    </row>
    <row r="18" spans="1:9" ht="15.75" customHeight="1" x14ac:dyDescent="0.25">
      <c r="A18" s="239"/>
      <c r="B18" s="240"/>
      <c r="C18" s="240"/>
      <c r="D18" s="240"/>
      <c r="E18" s="240"/>
      <c r="F18" s="240"/>
      <c r="G18" s="240"/>
      <c r="H18" s="240"/>
      <c r="I18" s="241"/>
    </row>
    <row r="19" spans="1:9" ht="15.75" customHeight="1" x14ac:dyDescent="0.25">
      <c r="A19" s="239"/>
      <c r="B19" s="240"/>
      <c r="C19" s="240"/>
      <c r="D19" s="240"/>
      <c r="E19" s="240"/>
      <c r="F19" s="240"/>
      <c r="G19" s="240"/>
      <c r="H19" s="240"/>
      <c r="I19" s="241"/>
    </row>
    <row r="20" spans="1:9" ht="15.75" customHeight="1" x14ac:dyDescent="0.25">
      <c r="A20" s="239"/>
      <c r="B20" s="240"/>
      <c r="C20" s="240"/>
      <c r="D20" s="240"/>
      <c r="E20" s="240"/>
      <c r="F20" s="240"/>
      <c r="G20" s="240"/>
      <c r="H20" s="240"/>
      <c r="I20" s="241"/>
    </row>
    <row r="21" spans="1:9" ht="15.75" customHeight="1" x14ac:dyDescent="0.25">
      <c r="A21" s="239"/>
      <c r="B21" s="240"/>
      <c r="C21" s="240"/>
      <c r="D21" s="240"/>
      <c r="E21" s="240"/>
      <c r="F21" s="240"/>
      <c r="G21" s="240"/>
      <c r="H21" s="240"/>
      <c r="I21" s="241"/>
    </row>
    <row r="22" spans="1:9" ht="15.75" customHeight="1" x14ac:dyDescent="0.25">
      <c r="A22" s="239"/>
      <c r="B22" s="240"/>
      <c r="C22" s="240"/>
      <c r="D22" s="240"/>
      <c r="E22" s="240"/>
      <c r="F22" s="240"/>
      <c r="G22" s="240"/>
      <c r="H22" s="240"/>
      <c r="I22" s="241"/>
    </row>
    <row r="23" spans="1:9" ht="15.75" customHeight="1" x14ac:dyDescent="0.25">
      <c r="A23" s="239"/>
      <c r="B23" s="240"/>
      <c r="C23" s="240"/>
      <c r="D23" s="240"/>
      <c r="E23" s="240"/>
      <c r="F23" s="240"/>
      <c r="G23" s="240"/>
      <c r="H23" s="240"/>
      <c r="I23" s="241"/>
    </row>
    <row r="24" spans="1:9" ht="15.75" customHeight="1" x14ac:dyDescent="0.25">
      <c r="A24" s="239"/>
      <c r="B24" s="240"/>
      <c r="C24" s="240"/>
      <c r="D24" s="240"/>
      <c r="E24" s="240"/>
      <c r="F24" s="240"/>
      <c r="G24" s="240"/>
      <c r="H24" s="240"/>
      <c r="I24" s="241"/>
    </row>
    <row r="25" spans="1:9" ht="15.75" customHeight="1" x14ac:dyDescent="0.25">
      <c r="A25" s="242"/>
      <c r="B25" s="243"/>
      <c r="C25" s="243"/>
      <c r="D25" s="243"/>
      <c r="E25" s="243"/>
      <c r="F25" s="243"/>
      <c r="G25" s="243"/>
      <c r="H25" s="243"/>
      <c r="I25" s="244"/>
    </row>
    <row r="26" spans="1:9" ht="15.6" x14ac:dyDescent="0.3">
      <c r="A26" s="1"/>
      <c r="B26" s="92"/>
      <c r="C26" s="92"/>
      <c r="D26" s="92"/>
      <c r="E26" s="92"/>
      <c r="F26" s="92"/>
      <c r="G26" s="92"/>
      <c r="H26" s="92"/>
      <c r="I26" s="92"/>
    </row>
    <row r="27" spans="1:9" ht="36.75" customHeight="1" x14ac:dyDescent="0.25">
      <c r="A27" s="328" t="s">
        <v>249</v>
      </c>
      <c r="B27" s="329"/>
      <c r="C27" s="329"/>
      <c r="D27" s="329"/>
      <c r="E27" s="329"/>
      <c r="F27" s="329"/>
      <c r="G27" s="329"/>
      <c r="H27" s="329"/>
      <c r="I27" s="330"/>
    </row>
    <row r="28" spans="1:9" ht="15.75" customHeight="1" x14ac:dyDescent="0.25">
      <c r="A28" s="331" t="s">
        <v>240</v>
      </c>
      <c r="B28" s="237"/>
      <c r="C28" s="237"/>
      <c r="D28" s="237"/>
      <c r="E28" s="237"/>
      <c r="F28" s="237"/>
      <c r="G28" s="237"/>
      <c r="H28" s="237"/>
      <c r="I28" s="238"/>
    </row>
    <row r="29" spans="1:9" ht="15.75" customHeight="1" x14ac:dyDescent="0.25">
      <c r="A29" s="239"/>
      <c r="B29" s="240"/>
      <c r="C29" s="240"/>
      <c r="D29" s="240"/>
      <c r="E29" s="240"/>
      <c r="F29" s="240"/>
      <c r="G29" s="240"/>
      <c r="H29" s="240"/>
      <c r="I29" s="241"/>
    </row>
    <row r="30" spans="1:9" ht="15.75" customHeight="1" x14ac:dyDescent="0.25">
      <c r="A30" s="239"/>
      <c r="B30" s="240"/>
      <c r="C30" s="240"/>
      <c r="D30" s="240"/>
      <c r="E30" s="240"/>
      <c r="F30" s="240"/>
      <c r="G30" s="240"/>
      <c r="H30" s="240"/>
      <c r="I30" s="241"/>
    </row>
    <row r="31" spans="1:9" ht="15.75" customHeight="1" x14ac:dyDescent="0.25">
      <c r="A31" s="239"/>
      <c r="B31" s="240"/>
      <c r="C31" s="240"/>
      <c r="D31" s="240"/>
      <c r="E31" s="240"/>
      <c r="F31" s="240"/>
      <c r="G31" s="240"/>
      <c r="H31" s="240"/>
      <c r="I31" s="241"/>
    </row>
    <row r="32" spans="1:9" ht="15.75" customHeight="1" x14ac:dyDescent="0.25">
      <c r="A32" s="239"/>
      <c r="B32" s="240"/>
      <c r="C32" s="240"/>
      <c r="D32" s="240"/>
      <c r="E32" s="240"/>
      <c r="F32" s="240"/>
      <c r="G32" s="240"/>
      <c r="H32" s="240"/>
      <c r="I32" s="241"/>
    </row>
    <row r="33" spans="1:9" ht="15.75" customHeight="1" x14ac:dyDescent="0.25">
      <c r="A33" s="239"/>
      <c r="B33" s="240"/>
      <c r="C33" s="240"/>
      <c r="D33" s="240"/>
      <c r="E33" s="240"/>
      <c r="F33" s="240"/>
      <c r="G33" s="240"/>
      <c r="H33" s="240"/>
      <c r="I33" s="241"/>
    </row>
    <row r="34" spans="1:9" ht="15.75" customHeight="1" x14ac:dyDescent="0.25">
      <c r="A34" s="239"/>
      <c r="B34" s="240"/>
      <c r="C34" s="240"/>
      <c r="D34" s="240"/>
      <c r="E34" s="240"/>
      <c r="F34" s="240"/>
      <c r="G34" s="240"/>
      <c r="H34" s="240"/>
      <c r="I34" s="241"/>
    </row>
    <row r="35" spans="1:9" ht="15.75" customHeight="1" x14ac:dyDescent="0.25">
      <c r="A35" s="239"/>
      <c r="B35" s="240"/>
      <c r="C35" s="240"/>
      <c r="D35" s="240"/>
      <c r="E35" s="240"/>
      <c r="F35" s="240"/>
      <c r="G35" s="240"/>
      <c r="H35" s="240"/>
      <c r="I35" s="241"/>
    </row>
    <row r="36" spans="1:9" ht="15.75" customHeight="1" x14ac:dyDescent="0.25">
      <c r="A36" s="242"/>
      <c r="B36" s="243"/>
      <c r="C36" s="243"/>
      <c r="D36" s="243"/>
      <c r="E36" s="243"/>
      <c r="F36" s="243"/>
      <c r="G36" s="243"/>
      <c r="H36" s="243"/>
      <c r="I36" s="244"/>
    </row>
    <row r="38" spans="1:9" ht="33" customHeight="1" x14ac:dyDescent="0.25">
      <c r="A38" s="328" t="s">
        <v>250</v>
      </c>
      <c r="B38" s="329"/>
      <c r="C38" s="329"/>
      <c r="D38" s="329"/>
      <c r="E38" s="329"/>
      <c r="F38" s="329"/>
      <c r="G38" s="329"/>
      <c r="H38" s="329"/>
      <c r="I38" s="330"/>
    </row>
    <row r="39" spans="1:9" ht="15.75" customHeight="1" x14ac:dyDescent="0.25">
      <c r="A39" s="331" t="s">
        <v>240</v>
      </c>
      <c r="B39" s="237"/>
      <c r="C39" s="237"/>
      <c r="D39" s="237"/>
      <c r="E39" s="237"/>
      <c r="F39" s="237"/>
      <c r="G39" s="237"/>
      <c r="H39" s="237"/>
      <c r="I39" s="238"/>
    </row>
    <row r="40" spans="1:9" ht="15.75" customHeight="1" x14ac:dyDescent="0.25">
      <c r="A40" s="239"/>
      <c r="B40" s="240"/>
      <c r="C40" s="240"/>
      <c r="D40" s="240"/>
      <c r="E40" s="240"/>
      <c r="F40" s="240"/>
      <c r="G40" s="240"/>
      <c r="H40" s="240"/>
      <c r="I40" s="241"/>
    </row>
    <row r="41" spans="1:9" ht="15.75" customHeight="1" x14ac:dyDescent="0.25">
      <c r="A41" s="239"/>
      <c r="B41" s="240"/>
      <c r="C41" s="240"/>
      <c r="D41" s="240"/>
      <c r="E41" s="240"/>
      <c r="F41" s="240"/>
      <c r="G41" s="240"/>
      <c r="H41" s="240"/>
      <c r="I41" s="241"/>
    </row>
    <row r="42" spans="1:9" ht="15.75" customHeight="1" x14ac:dyDescent="0.25">
      <c r="A42" s="239"/>
      <c r="B42" s="240"/>
      <c r="C42" s="240"/>
      <c r="D42" s="240"/>
      <c r="E42" s="240"/>
      <c r="F42" s="240"/>
      <c r="G42" s="240"/>
      <c r="H42" s="240"/>
      <c r="I42" s="241"/>
    </row>
    <row r="43" spans="1:9" ht="15.75" customHeight="1" x14ac:dyDescent="0.25">
      <c r="A43" s="239"/>
      <c r="B43" s="240"/>
      <c r="C43" s="240"/>
      <c r="D43" s="240"/>
      <c r="E43" s="240"/>
      <c r="F43" s="240"/>
      <c r="G43" s="240"/>
      <c r="H43" s="240"/>
      <c r="I43" s="241"/>
    </row>
    <row r="44" spans="1:9" ht="15.75" customHeight="1" x14ac:dyDescent="0.25">
      <c r="A44" s="239"/>
      <c r="B44" s="240"/>
      <c r="C44" s="240"/>
      <c r="D44" s="240"/>
      <c r="E44" s="240"/>
      <c r="F44" s="240"/>
      <c r="G44" s="240"/>
      <c r="H44" s="240"/>
      <c r="I44" s="241"/>
    </row>
    <row r="45" spans="1:9" ht="15.75" customHeight="1" x14ac:dyDescent="0.25">
      <c r="A45" s="239"/>
      <c r="B45" s="240"/>
      <c r="C45" s="240"/>
      <c r="D45" s="240"/>
      <c r="E45" s="240"/>
      <c r="F45" s="240"/>
      <c r="G45" s="240"/>
      <c r="H45" s="240"/>
      <c r="I45" s="241"/>
    </row>
    <row r="46" spans="1:9" ht="15.75" customHeight="1" x14ac:dyDescent="0.25">
      <c r="A46" s="239"/>
      <c r="B46" s="240"/>
      <c r="C46" s="240"/>
      <c r="D46" s="240"/>
      <c r="E46" s="240"/>
      <c r="F46" s="240"/>
      <c r="G46" s="240"/>
      <c r="H46" s="240"/>
      <c r="I46" s="241"/>
    </row>
    <row r="47" spans="1:9" ht="15.75" customHeight="1" x14ac:dyDescent="0.25">
      <c r="A47" s="239"/>
      <c r="B47" s="240"/>
      <c r="C47" s="240"/>
      <c r="D47" s="240"/>
      <c r="E47" s="240"/>
      <c r="F47" s="240"/>
      <c r="G47" s="240"/>
      <c r="H47" s="240"/>
      <c r="I47" s="241"/>
    </row>
    <row r="48" spans="1:9" ht="15.75" customHeight="1" x14ac:dyDescent="0.25">
      <c r="A48" s="242"/>
      <c r="B48" s="243"/>
      <c r="C48" s="243"/>
      <c r="D48" s="243"/>
      <c r="E48" s="243"/>
      <c r="F48" s="243"/>
      <c r="G48" s="243"/>
      <c r="H48" s="243"/>
      <c r="I48" s="244"/>
    </row>
    <row r="64" spans="6:6" x14ac:dyDescent="0.25">
      <c r="F64"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4"/>
  <sheetViews>
    <sheetView topLeftCell="A7" workbookViewId="0">
      <selection activeCell="F55" sqref="F55"/>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Staffordshire Energy Recovery Facility</v>
      </c>
      <c r="F1" s="92"/>
      <c r="G1" s="92"/>
      <c r="H1" s="92"/>
      <c r="I1" s="92"/>
    </row>
    <row r="3" spans="1:9" ht="15.6" x14ac:dyDescent="0.3">
      <c r="A3" s="1" t="s">
        <v>251</v>
      </c>
      <c r="B3" s="92"/>
      <c r="C3" s="92"/>
      <c r="D3" s="92"/>
      <c r="E3" s="92"/>
      <c r="F3" s="92"/>
      <c r="G3" s="92"/>
      <c r="H3" s="92"/>
      <c r="I3" s="92"/>
    </row>
    <row r="4" spans="1:9" ht="15.6" x14ac:dyDescent="0.3">
      <c r="A4" s="1"/>
      <c r="B4" s="92"/>
      <c r="C4" s="92"/>
      <c r="D4" s="92"/>
      <c r="E4" s="92"/>
      <c r="F4" s="92"/>
      <c r="G4" s="92"/>
      <c r="H4" s="92"/>
      <c r="I4" s="92"/>
    </row>
    <row r="5" spans="1:9" s="3" customFormat="1" ht="28.5" customHeight="1" x14ac:dyDescent="0.25">
      <c r="A5" s="48" t="s">
        <v>252</v>
      </c>
      <c r="B5" s="49"/>
      <c r="C5" s="49"/>
      <c r="D5" s="49"/>
      <c r="E5" s="49"/>
      <c r="F5" s="49"/>
      <c r="G5" s="49"/>
      <c r="H5" s="49"/>
      <c r="I5" s="50"/>
    </row>
    <row r="6" spans="1:9" s="3" customFormat="1" ht="15.75" customHeight="1" x14ac:dyDescent="0.25">
      <c r="A6" s="332" t="s">
        <v>53</v>
      </c>
      <c r="B6" s="334"/>
      <c r="C6" s="332" t="s">
        <v>253</v>
      </c>
      <c r="D6" s="333"/>
      <c r="E6" s="333"/>
      <c r="F6" s="333"/>
      <c r="G6" s="333"/>
      <c r="H6" s="333"/>
      <c r="I6" s="334"/>
    </row>
    <row r="7" spans="1:9" s="3" customFormat="1" ht="15.75" customHeight="1" x14ac:dyDescent="0.25">
      <c r="A7" s="331" t="s">
        <v>254</v>
      </c>
      <c r="B7" s="238"/>
      <c r="C7" s="228" t="s">
        <v>255</v>
      </c>
      <c r="D7" s="229"/>
      <c r="E7" s="229"/>
      <c r="F7" s="229"/>
      <c r="G7" s="229"/>
      <c r="H7" s="229"/>
      <c r="I7" s="230"/>
    </row>
    <row r="8" spans="1:9" s="3" customFormat="1" ht="15.75" customHeight="1" x14ac:dyDescent="0.25">
      <c r="A8" s="242"/>
      <c r="B8" s="244"/>
      <c r="C8" s="234"/>
      <c r="D8" s="235"/>
      <c r="E8" s="235"/>
      <c r="F8" s="235"/>
      <c r="G8" s="235"/>
      <c r="H8" s="235"/>
      <c r="I8" s="236"/>
    </row>
    <row r="9" spans="1:9" s="3" customFormat="1" ht="15.75" customHeight="1" x14ac:dyDescent="0.25">
      <c r="A9" s="331" t="s">
        <v>256</v>
      </c>
      <c r="B9" s="238"/>
      <c r="C9" s="331" t="s">
        <v>257</v>
      </c>
      <c r="D9" s="237"/>
      <c r="E9" s="237"/>
      <c r="F9" s="237"/>
      <c r="G9" s="237"/>
      <c r="H9" s="237"/>
      <c r="I9" s="238"/>
    </row>
    <row r="10" spans="1:9" s="3" customFormat="1" ht="15.75" customHeight="1" x14ac:dyDescent="0.25">
      <c r="A10" s="242"/>
      <c r="B10" s="244"/>
      <c r="C10" s="242"/>
      <c r="D10" s="243"/>
      <c r="E10" s="243"/>
      <c r="F10" s="243"/>
      <c r="G10" s="243"/>
      <c r="H10" s="243"/>
      <c r="I10" s="244"/>
    </row>
    <row r="11" spans="1:9" s="3" customFormat="1" ht="15.75" customHeight="1" x14ac:dyDescent="0.25">
      <c r="A11" s="331"/>
      <c r="B11" s="238"/>
      <c r="C11" s="331"/>
      <c r="D11" s="237"/>
      <c r="E11" s="237"/>
      <c r="F11" s="237"/>
      <c r="G11" s="237"/>
      <c r="H11" s="237"/>
      <c r="I11" s="238"/>
    </row>
    <row r="12" spans="1:9" s="3" customFormat="1" ht="15.75" customHeight="1" x14ac:dyDescent="0.25">
      <c r="A12" s="242"/>
      <c r="B12" s="244"/>
      <c r="C12" s="242"/>
      <c r="D12" s="243"/>
      <c r="E12" s="243"/>
      <c r="F12" s="243"/>
      <c r="G12" s="243"/>
      <c r="H12" s="243"/>
      <c r="I12" s="244"/>
    </row>
    <row r="13" spans="1:9" s="3" customFormat="1" ht="15.75" customHeight="1" x14ac:dyDescent="0.25">
      <c r="A13" s="331"/>
      <c r="B13" s="238"/>
      <c r="C13" s="331"/>
      <c r="D13" s="237"/>
      <c r="E13" s="237"/>
      <c r="F13" s="237"/>
      <c r="G13" s="237"/>
      <c r="H13" s="237"/>
      <c r="I13" s="238"/>
    </row>
    <row r="14" spans="1:9" s="3" customFormat="1" ht="15.75" customHeight="1" x14ac:dyDescent="0.25">
      <c r="A14" s="242"/>
      <c r="B14" s="244"/>
      <c r="C14" s="242"/>
      <c r="D14" s="243"/>
      <c r="E14" s="243"/>
      <c r="F14" s="243"/>
      <c r="G14" s="243"/>
      <c r="H14" s="243"/>
      <c r="I14" s="244"/>
    </row>
    <row r="15" spans="1:9" s="3" customFormat="1" ht="13.8" x14ac:dyDescent="0.25"/>
    <row r="16" spans="1:9" s="47" customFormat="1" ht="33.75" customHeight="1" x14ac:dyDescent="0.3">
      <c r="A16" s="328" t="s">
        <v>258</v>
      </c>
      <c r="B16" s="329"/>
      <c r="C16" s="329"/>
      <c r="D16" s="329"/>
      <c r="E16" s="329"/>
      <c r="F16" s="329"/>
      <c r="G16" s="329"/>
      <c r="H16" s="329"/>
      <c r="I16" s="330"/>
    </row>
    <row r="17" spans="1:9" ht="15.75" customHeight="1" x14ac:dyDescent="0.25">
      <c r="A17" s="332" t="s">
        <v>53</v>
      </c>
      <c r="B17" s="334"/>
      <c r="C17" s="332" t="s">
        <v>253</v>
      </c>
      <c r="D17" s="333"/>
      <c r="E17" s="333"/>
      <c r="F17" s="333"/>
      <c r="G17" s="333"/>
      <c r="H17" s="333"/>
      <c r="I17" s="333"/>
    </row>
    <row r="18" spans="1:9" ht="15.75" customHeight="1" x14ac:dyDescent="0.25">
      <c r="A18" s="331" t="s">
        <v>254</v>
      </c>
      <c r="B18" s="238"/>
      <c r="C18" s="228" t="s">
        <v>259</v>
      </c>
      <c r="D18" s="229"/>
      <c r="E18" s="229"/>
      <c r="F18" s="229"/>
      <c r="G18" s="229"/>
      <c r="H18" s="229"/>
      <c r="I18" s="230"/>
    </row>
    <row r="19" spans="1:9" ht="15.75" customHeight="1" x14ac:dyDescent="0.25">
      <c r="A19" s="242"/>
      <c r="B19" s="244"/>
      <c r="C19" s="234"/>
      <c r="D19" s="235"/>
      <c r="E19" s="235"/>
      <c r="F19" s="235"/>
      <c r="G19" s="235"/>
      <c r="H19" s="235"/>
      <c r="I19" s="236"/>
    </row>
    <row r="20" spans="1:9" ht="15.75" customHeight="1" x14ac:dyDescent="0.25">
      <c r="A20" s="331" t="s">
        <v>256</v>
      </c>
      <c r="B20" s="238"/>
      <c r="C20" s="331" t="s">
        <v>260</v>
      </c>
      <c r="D20" s="237"/>
      <c r="E20" s="237"/>
      <c r="F20" s="237"/>
      <c r="G20" s="237"/>
      <c r="H20" s="237"/>
      <c r="I20" s="238"/>
    </row>
    <row r="21" spans="1:9" ht="15.75" customHeight="1" x14ac:dyDescent="0.25">
      <c r="A21" s="242"/>
      <c r="B21" s="244"/>
      <c r="C21" s="242"/>
      <c r="D21" s="243"/>
      <c r="E21" s="243"/>
      <c r="F21" s="243"/>
      <c r="G21" s="243"/>
      <c r="H21" s="243"/>
      <c r="I21" s="244"/>
    </row>
    <row r="22" spans="1:9" ht="15.75" customHeight="1" x14ac:dyDescent="0.25">
      <c r="A22" s="331"/>
      <c r="B22" s="238"/>
      <c r="C22" s="331"/>
      <c r="D22" s="237"/>
      <c r="E22" s="237"/>
      <c r="F22" s="237"/>
      <c r="G22" s="237"/>
      <c r="H22" s="237"/>
      <c r="I22" s="238"/>
    </row>
    <row r="23" spans="1:9" ht="15.75" customHeight="1" x14ac:dyDescent="0.25">
      <c r="A23" s="242"/>
      <c r="B23" s="244"/>
      <c r="C23" s="242"/>
      <c r="D23" s="243"/>
      <c r="E23" s="243"/>
      <c r="F23" s="243"/>
      <c r="G23" s="243"/>
      <c r="H23" s="243"/>
      <c r="I23" s="244"/>
    </row>
    <row r="24" spans="1:9" ht="15.75" customHeight="1" x14ac:dyDescent="0.25">
      <c r="A24" s="331"/>
      <c r="B24" s="238"/>
      <c r="C24" s="331"/>
      <c r="D24" s="237"/>
      <c r="E24" s="237"/>
      <c r="F24" s="237"/>
      <c r="G24" s="237"/>
      <c r="H24" s="237"/>
      <c r="I24" s="238"/>
    </row>
    <row r="25" spans="1:9" ht="15.75" customHeight="1" x14ac:dyDescent="0.25">
      <c r="A25" s="242"/>
      <c r="B25" s="244"/>
      <c r="C25" s="242"/>
      <c r="D25" s="243"/>
      <c r="E25" s="243"/>
      <c r="F25" s="243"/>
      <c r="G25" s="243"/>
      <c r="H25" s="243"/>
      <c r="I25" s="244"/>
    </row>
    <row r="26" spans="1:9" ht="15.75" customHeight="1" x14ac:dyDescent="0.25">
      <c r="A26" s="331"/>
      <c r="B26" s="238"/>
      <c r="C26" s="331"/>
      <c r="D26" s="237"/>
      <c r="E26" s="237"/>
      <c r="F26" s="237"/>
      <c r="G26" s="237"/>
      <c r="H26" s="237"/>
      <c r="I26" s="238"/>
    </row>
    <row r="27" spans="1:9" ht="15.75" customHeight="1" x14ac:dyDescent="0.25">
      <c r="A27" s="242"/>
      <c r="B27" s="244"/>
      <c r="C27" s="242"/>
      <c r="D27" s="243"/>
      <c r="E27" s="243"/>
      <c r="F27" s="243"/>
      <c r="G27" s="243"/>
      <c r="H27" s="243"/>
      <c r="I27" s="244"/>
    </row>
    <row r="28" spans="1:9" ht="15.6" x14ac:dyDescent="0.3">
      <c r="A28" s="1"/>
      <c r="B28" s="92"/>
      <c r="C28" s="92"/>
      <c r="D28" s="92"/>
      <c r="E28" s="92"/>
      <c r="F28" s="92"/>
      <c r="G28" s="92"/>
      <c r="H28" s="92"/>
      <c r="I28" s="92"/>
    </row>
    <row r="29" spans="1:9" ht="36.75" customHeight="1" x14ac:dyDescent="0.25">
      <c r="A29" s="328" t="s">
        <v>261</v>
      </c>
      <c r="B29" s="329"/>
      <c r="C29" s="329"/>
      <c r="D29" s="329"/>
      <c r="E29" s="329"/>
      <c r="F29" s="329"/>
      <c r="G29" s="329"/>
      <c r="H29" s="329"/>
      <c r="I29" s="330"/>
    </row>
    <row r="64" spans="6:6" x14ac:dyDescent="0.25">
      <c r="F64"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sheetPr>
  <dimension ref="A1:O24"/>
  <sheetViews>
    <sheetView topLeftCell="A23" workbookViewId="0">
      <selection activeCell="F55" sqref="F55"/>
    </sheetView>
  </sheetViews>
  <sheetFormatPr defaultColWidth="8.88671875" defaultRowHeight="15" x14ac:dyDescent="0.25"/>
  <cols>
    <col min="1" max="1" width="36.6640625" style="92" customWidth="1"/>
    <col min="2" max="2" width="17.6640625" style="92" customWidth="1"/>
    <col min="3" max="3" width="30.6640625" style="92" customWidth="1"/>
    <col min="4" max="14" width="8.88671875" style="92"/>
    <col min="15" max="15" width="9" style="92" customWidth="1"/>
    <col min="16" max="16384" width="8.88671875" style="92"/>
  </cols>
  <sheetData>
    <row r="1" spans="1:15" x14ac:dyDescent="0.25">
      <c r="A1" s="92" t="str">
        <f>+'Cover Page'!$B$29</f>
        <v>Annual Performance Report 2022</v>
      </c>
      <c r="C1" s="92" t="str">
        <f>+'Cover Page'!$B$33</f>
        <v>Staffordshire Energy Recovery Facility</v>
      </c>
    </row>
    <row r="2" spans="1:15" ht="10.199999999999999" customHeight="1" x14ac:dyDescent="0.25"/>
    <row r="3" spans="1:15" ht="15.6" x14ac:dyDescent="0.3">
      <c r="A3" s="1" t="s">
        <v>262</v>
      </c>
      <c r="E3" s="81" t="s">
        <v>3</v>
      </c>
    </row>
    <row r="4" spans="1:15" ht="9.4499999999999993" customHeight="1" x14ac:dyDescent="0.25"/>
    <row r="5" spans="1:15" x14ac:dyDescent="0.25">
      <c r="A5" s="339" t="s">
        <v>263</v>
      </c>
      <c r="B5" s="340"/>
      <c r="C5" s="340"/>
    </row>
    <row r="6" spans="1:15" ht="30" x14ac:dyDescent="0.25">
      <c r="A6" s="93" t="s">
        <v>264</v>
      </c>
      <c r="B6" s="96" t="s">
        <v>265</v>
      </c>
      <c r="C6" s="112">
        <v>390105</v>
      </c>
    </row>
    <row r="7" spans="1:15" ht="30" x14ac:dyDescent="0.25">
      <c r="A7" s="93" t="s">
        <v>266</v>
      </c>
      <c r="B7" s="96" t="s">
        <v>265</v>
      </c>
      <c r="C7" s="113">
        <f>C6/'Operational Data'!G21</f>
        <v>1.148006901858359</v>
      </c>
    </row>
    <row r="8" spans="1:15" ht="45" x14ac:dyDescent="0.25">
      <c r="A8" s="93" t="s">
        <v>267</v>
      </c>
      <c r="B8" s="96" t="s">
        <v>265</v>
      </c>
      <c r="C8" s="113">
        <f>C6/'Operational Data'!G25</f>
        <v>1.9642353628325713</v>
      </c>
    </row>
    <row r="9" spans="1:15" ht="89.4" customHeight="1" x14ac:dyDescent="0.3">
      <c r="A9" s="93" t="s">
        <v>268</v>
      </c>
      <c r="B9" s="341" t="s">
        <v>269</v>
      </c>
      <c r="C9" s="342"/>
      <c r="E9" s="336" t="s">
        <v>270</v>
      </c>
      <c r="F9" s="335"/>
      <c r="G9" s="335"/>
      <c r="H9" s="335"/>
      <c r="I9" s="335"/>
      <c r="J9" s="335"/>
      <c r="K9" s="335"/>
      <c r="L9" s="335"/>
      <c r="M9" s="335"/>
      <c r="N9" s="335"/>
      <c r="O9" s="335"/>
    </row>
    <row r="10" spans="1:15" ht="8.6999999999999993" customHeight="1" x14ac:dyDescent="0.25">
      <c r="A10" s="94"/>
      <c r="B10" s="95"/>
      <c r="C10" s="95"/>
    </row>
    <row r="11" spans="1:15" x14ac:dyDescent="0.25">
      <c r="A11" s="343" t="s">
        <v>271</v>
      </c>
      <c r="B11" s="340"/>
      <c r="C11" s="340"/>
    </row>
    <row r="12" spans="1:15" ht="33.450000000000003" customHeight="1" x14ac:dyDescent="0.25">
      <c r="A12" s="93" t="s">
        <v>272</v>
      </c>
      <c r="B12" s="96" t="s">
        <v>265</v>
      </c>
      <c r="C12" s="112">
        <v>0.61699999999999999</v>
      </c>
    </row>
    <row r="13" spans="1:15" ht="101.4" customHeight="1" x14ac:dyDescent="0.3">
      <c r="A13" s="93" t="s">
        <v>273</v>
      </c>
      <c r="B13" s="337" t="s">
        <v>269</v>
      </c>
      <c r="C13" s="338"/>
      <c r="E13" s="245" t="s">
        <v>274</v>
      </c>
      <c r="F13" s="335"/>
      <c r="G13" s="335"/>
      <c r="H13" s="335"/>
      <c r="I13" s="335"/>
      <c r="J13" s="335"/>
      <c r="K13" s="335"/>
      <c r="L13" s="335"/>
      <c r="M13" s="335"/>
      <c r="N13" s="335"/>
      <c r="O13" s="335"/>
    </row>
    <row r="14" spans="1:15" ht="58.95" customHeight="1" x14ac:dyDescent="0.25">
      <c r="A14" s="93" t="s">
        <v>275</v>
      </c>
      <c r="B14" s="97" t="s">
        <v>276</v>
      </c>
      <c r="C14" s="114">
        <f>(C12*298)+C6</f>
        <v>390288.86599999998</v>
      </c>
    </row>
    <row r="15" spans="1:15" ht="6.45" customHeight="1" x14ac:dyDescent="0.25">
      <c r="A15" s="94"/>
      <c r="B15" s="95"/>
      <c r="C15" s="95"/>
    </row>
    <row r="16" spans="1:15" ht="39" customHeight="1" x14ac:dyDescent="0.25">
      <c r="A16" s="339" t="s">
        <v>277</v>
      </c>
      <c r="B16" s="340"/>
      <c r="C16" s="340"/>
    </row>
    <row r="17" spans="1:15" ht="49.2" customHeight="1" x14ac:dyDescent="0.25">
      <c r="A17" s="93" t="s">
        <v>278</v>
      </c>
      <c r="B17" s="115">
        <v>0.51800000000000002</v>
      </c>
      <c r="C17" s="114">
        <f>'Operational Data'!G21*0.518</f>
        <v>176021.92954840956</v>
      </c>
    </row>
    <row r="18" spans="1:15" ht="103.2" customHeight="1" x14ac:dyDescent="0.3">
      <c r="A18" s="93" t="s">
        <v>279</v>
      </c>
      <c r="B18" s="337" t="s">
        <v>280</v>
      </c>
      <c r="C18" s="338"/>
      <c r="E18" s="245" t="s">
        <v>281</v>
      </c>
      <c r="F18" s="335"/>
      <c r="G18" s="335"/>
      <c r="H18" s="335"/>
      <c r="I18" s="335"/>
      <c r="J18" s="335"/>
      <c r="K18" s="335"/>
      <c r="L18" s="335"/>
      <c r="M18" s="335"/>
      <c r="N18" s="335"/>
      <c r="O18" s="335"/>
    </row>
    <row r="19" spans="1:15" ht="34.200000000000003" customHeight="1" x14ac:dyDescent="0.25">
      <c r="A19" s="93" t="s">
        <v>282</v>
      </c>
      <c r="B19" s="115">
        <v>0.51800000000000002</v>
      </c>
      <c r="C19" s="114">
        <f>'Operational Data'!G21*0.518</f>
        <v>176021.92954840956</v>
      </c>
    </row>
    <row r="20" spans="1:15" ht="92.4" customHeight="1" x14ac:dyDescent="0.3">
      <c r="A20" s="93" t="s">
        <v>283</v>
      </c>
      <c r="B20" s="337" t="s">
        <v>280</v>
      </c>
      <c r="C20" s="338"/>
      <c r="E20" s="245" t="s">
        <v>284</v>
      </c>
      <c r="F20" s="335"/>
      <c r="G20" s="335"/>
      <c r="H20" s="335"/>
      <c r="I20" s="335"/>
      <c r="J20" s="335"/>
      <c r="K20" s="335"/>
      <c r="L20" s="335"/>
      <c r="M20" s="335"/>
      <c r="N20" s="335"/>
      <c r="O20" s="335"/>
    </row>
    <row r="21" spans="1:15" ht="10.199999999999999" customHeight="1" x14ac:dyDescent="0.25"/>
    <row r="22" spans="1:15" x14ac:dyDescent="0.25">
      <c r="A22" s="92" t="s">
        <v>285</v>
      </c>
    </row>
    <row r="23" spans="1:15" x14ac:dyDescent="0.25">
      <c r="A23" s="307"/>
      <c r="B23" s="307"/>
      <c r="C23" s="307"/>
    </row>
    <row r="24" spans="1:15" ht="64.95" customHeight="1" x14ac:dyDescent="0.25">
      <c r="A24" s="307"/>
      <c r="B24" s="307"/>
      <c r="C24" s="307"/>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N55"/>
  <sheetViews>
    <sheetView topLeftCell="A25" workbookViewId="0">
      <selection activeCell="F55" sqref="F55"/>
    </sheetView>
  </sheetViews>
  <sheetFormatPr defaultColWidth="9.33203125" defaultRowHeight="15" x14ac:dyDescent="0.25"/>
  <cols>
    <col min="1" max="1" width="9.33203125" style="2" customWidth="1"/>
    <col min="2" max="2" width="12.5546875" style="2" customWidth="1"/>
    <col min="3" max="3" width="7.88671875" style="2" customWidth="1"/>
    <col min="4" max="4" width="10.33203125" style="2" customWidth="1"/>
    <col min="5" max="5" width="10" style="2" customWidth="1"/>
    <col min="6" max="6" width="9.33203125" style="2" customWidth="1"/>
    <col min="7" max="7" width="10.88671875" style="2" customWidth="1"/>
    <col min="8" max="8" width="9.33203125" style="2" customWidth="1"/>
    <col min="9" max="9" width="16.5546875" style="2" customWidth="1"/>
    <col min="10" max="10" width="10.44140625" style="2" hidden="1" customWidth="1"/>
    <col min="11" max="16384" width="9.33203125" style="2"/>
  </cols>
  <sheetData>
    <row r="1" spans="1:10" x14ac:dyDescent="0.25">
      <c r="A1" s="92" t="str">
        <f>+'Cover Page'!$B$29</f>
        <v>Annual Performance Report 2022</v>
      </c>
      <c r="B1" s="92"/>
      <c r="C1" s="92"/>
      <c r="D1" s="92"/>
      <c r="E1" s="92"/>
      <c r="F1" s="92"/>
      <c r="G1" s="92"/>
      <c r="H1" s="92" t="str">
        <f>+'Cover Page'!$B$33</f>
        <v>Staffordshire Energy Recovery Facility</v>
      </c>
      <c r="I1" s="92"/>
      <c r="J1" s="92"/>
    </row>
    <row r="3" spans="1:10" ht="15.6" x14ac:dyDescent="0.3">
      <c r="A3" s="1" t="s">
        <v>286</v>
      </c>
      <c r="B3" s="92"/>
      <c r="C3" s="92"/>
      <c r="D3" s="92"/>
      <c r="E3" s="92"/>
      <c r="F3" s="92"/>
      <c r="G3" s="92"/>
      <c r="H3" s="92"/>
      <c r="I3" s="92"/>
      <c r="J3" s="92"/>
    </row>
    <row r="4" spans="1:10" ht="15.6" x14ac:dyDescent="0.3">
      <c r="A4" s="1"/>
      <c r="B4" s="92"/>
      <c r="C4" s="92"/>
      <c r="D4" s="92"/>
      <c r="E4" s="92"/>
      <c r="F4" s="92"/>
      <c r="G4" s="92"/>
      <c r="H4" s="92"/>
      <c r="I4" s="92"/>
      <c r="J4" s="92"/>
    </row>
    <row r="5" spans="1:10" s="3" customFormat="1" ht="21.75" customHeight="1" x14ac:dyDescent="0.25">
      <c r="A5" s="48" t="s">
        <v>287</v>
      </c>
      <c r="B5" s="49"/>
      <c r="C5" s="49"/>
      <c r="D5" s="49"/>
      <c r="E5" s="49"/>
      <c r="F5" s="49"/>
      <c r="G5" s="49"/>
      <c r="H5" s="49"/>
      <c r="I5" s="49"/>
      <c r="J5" s="50"/>
    </row>
    <row r="6" spans="1:10" s="3" customFormat="1" ht="15.75" customHeight="1" x14ac:dyDescent="0.25">
      <c r="A6" s="331" t="s">
        <v>288</v>
      </c>
      <c r="B6" s="237"/>
      <c r="C6" s="237"/>
      <c r="D6" s="237"/>
      <c r="E6" s="237"/>
      <c r="F6" s="237"/>
      <c r="G6" s="237"/>
      <c r="H6" s="237"/>
      <c r="I6" s="237"/>
      <c r="J6" s="238"/>
    </row>
    <row r="7" spans="1:10" s="3" customFormat="1" ht="15.75" customHeight="1" x14ac:dyDescent="0.25">
      <c r="A7" s="242"/>
      <c r="B7" s="243"/>
      <c r="C7" s="243"/>
      <c r="D7" s="243"/>
      <c r="E7" s="243"/>
      <c r="F7" s="243"/>
      <c r="G7" s="243"/>
      <c r="H7" s="243"/>
      <c r="I7" s="243"/>
      <c r="J7" s="244"/>
    </row>
    <row r="8" spans="1:10" s="3" customFormat="1" ht="15.75" customHeight="1" x14ac:dyDescent="0.25">
      <c r="A8" s="228"/>
      <c r="B8" s="229"/>
      <c r="C8" s="229"/>
      <c r="D8" s="229"/>
      <c r="E8" s="229"/>
      <c r="F8" s="229"/>
      <c r="G8" s="229"/>
      <c r="H8" s="229"/>
      <c r="I8" s="229"/>
      <c r="J8" s="230"/>
    </row>
    <row r="9" spans="1:10" s="3" customFormat="1" ht="15.75" customHeight="1" x14ac:dyDescent="0.25">
      <c r="A9" s="234"/>
      <c r="B9" s="235"/>
      <c r="C9" s="235"/>
      <c r="D9" s="235"/>
      <c r="E9" s="235"/>
      <c r="F9" s="235"/>
      <c r="G9" s="235"/>
      <c r="H9" s="235"/>
      <c r="I9" s="235"/>
      <c r="J9" s="236"/>
    </row>
    <row r="10" spans="1:10" s="3" customFormat="1" ht="15.75" customHeight="1" x14ac:dyDescent="0.25">
      <c r="A10" s="228"/>
      <c r="B10" s="229"/>
      <c r="C10" s="229"/>
      <c r="D10" s="229"/>
      <c r="E10" s="229"/>
      <c r="F10" s="229"/>
      <c r="G10" s="229"/>
      <c r="H10" s="229"/>
      <c r="I10" s="229"/>
      <c r="J10" s="230"/>
    </row>
    <row r="11" spans="1:10" s="3" customFormat="1" ht="15.75" customHeight="1" x14ac:dyDescent="0.25">
      <c r="A11" s="234"/>
      <c r="B11" s="235"/>
      <c r="C11" s="235"/>
      <c r="D11" s="235"/>
      <c r="E11" s="235"/>
      <c r="F11" s="235"/>
      <c r="G11" s="235"/>
      <c r="H11" s="235"/>
      <c r="I11" s="235"/>
      <c r="J11" s="236"/>
    </row>
    <row r="12" spans="1:10" s="3" customFormat="1" ht="13.8" x14ac:dyDescent="0.25"/>
    <row r="13" spans="1:10" s="47" customFormat="1" ht="33.75" customHeight="1" x14ac:dyDescent="0.3">
      <c r="A13" s="328" t="s">
        <v>289</v>
      </c>
      <c r="B13" s="329"/>
      <c r="C13" s="329"/>
      <c r="D13" s="329"/>
      <c r="E13" s="329"/>
      <c r="F13" s="329"/>
      <c r="G13" s="329"/>
      <c r="H13" s="329"/>
      <c r="I13" s="329"/>
      <c r="J13" s="330"/>
    </row>
    <row r="14" spans="1:10" ht="15.75" customHeight="1" x14ac:dyDescent="0.25">
      <c r="A14" s="332" t="s">
        <v>290</v>
      </c>
      <c r="B14" s="334"/>
      <c r="C14" s="332" t="s">
        <v>253</v>
      </c>
      <c r="D14" s="333"/>
      <c r="E14" s="333"/>
      <c r="F14" s="333"/>
      <c r="G14" s="333"/>
      <c r="H14" s="333"/>
      <c r="I14" s="333"/>
      <c r="J14" s="333"/>
    </row>
    <row r="15" spans="1:10" ht="15.75" customHeight="1" x14ac:dyDescent="0.25">
      <c r="A15" s="228"/>
      <c r="B15" s="230"/>
      <c r="C15" s="331"/>
      <c r="D15" s="237"/>
      <c r="E15" s="237"/>
      <c r="F15" s="237"/>
      <c r="G15" s="237"/>
      <c r="H15" s="237"/>
      <c r="I15" s="237"/>
      <c r="J15" s="238"/>
    </row>
    <row r="16" spans="1:10" ht="15.75" customHeight="1" x14ac:dyDescent="0.25">
      <c r="A16" s="234"/>
      <c r="B16" s="236"/>
      <c r="C16" s="242"/>
      <c r="D16" s="243"/>
      <c r="E16" s="243"/>
      <c r="F16" s="243"/>
      <c r="G16" s="243"/>
      <c r="H16" s="243"/>
      <c r="I16" s="243"/>
      <c r="J16" s="244"/>
    </row>
    <row r="17" spans="1:14" ht="15.75" customHeight="1" x14ac:dyDescent="0.25">
      <c r="A17" s="331"/>
      <c r="B17" s="238"/>
      <c r="C17" s="331"/>
      <c r="D17" s="237"/>
      <c r="E17" s="237"/>
      <c r="F17" s="237"/>
      <c r="G17" s="237"/>
      <c r="H17" s="237"/>
      <c r="I17" s="237"/>
      <c r="J17" s="238"/>
      <c r="K17" s="92"/>
      <c r="L17" s="92"/>
      <c r="M17" s="92"/>
      <c r="N17" s="92"/>
    </row>
    <row r="18" spans="1:14" ht="15.75" customHeight="1" x14ac:dyDescent="0.25">
      <c r="A18" s="242"/>
      <c r="B18" s="244"/>
      <c r="C18" s="242"/>
      <c r="D18" s="243"/>
      <c r="E18" s="243"/>
      <c r="F18" s="243"/>
      <c r="G18" s="243"/>
      <c r="H18" s="243"/>
      <c r="I18" s="243"/>
      <c r="J18" s="244"/>
      <c r="K18" s="92"/>
      <c r="L18" s="92"/>
      <c r="M18" s="92"/>
      <c r="N18" s="92"/>
    </row>
    <row r="19" spans="1:14" ht="15.75" customHeight="1" x14ac:dyDescent="0.25">
      <c r="A19" s="331"/>
      <c r="B19" s="238"/>
      <c r="C19" s="331"/>
      <c r="D19" s="237"/>
      <c r="E19" s="237"/>
      <c r="F19" s="237"/>
      <c r="G19" s="237"/>
      <c r="H19" s="237"/>
      <c r="I19" s="237"/>
      <c r="J19" s="238"/>
      <c r="K19" s="92"/>
      <c r="L19" s="92"/>
      <c r="M19" s="92"/>
      <c r="N19" s="92"/>
    </row>
    <row r="20" spans="1:14" ht="15.75" customHeight="1" x14ac:dyDescent="0.25">
      <c r="A20" s="242"/>
      <c r="B20" s="244"/>
      <c r="C20" s="242"/>
      <c r="D20" s="243"/>
      <c r="E20" s="243"/>
      <c r="F20" s="243"/>
      <c r="G20" s="243"/>
      <c r="H20" s="243"/>
      <c r="I20" s="243"/>
      <c r="J20" s="244"/>
      <c r="K20" s="92"/>
      <c r="L20" s="92"/>
      <c r="M20" s="92"/>
      <c r="N20" s="92"/>
    </row>
    <row r="21" spans="1:14" ht="15.75" customHeight="1" x14ac:dyDescent="0.25">
      <c r="A21" s="331"/>
      <c r="B21" s="238"/>
      <c r="C21" s="331"/>
      <c r="D21" s="237"/>
      <c r="E21" s="237"/>
      <c r="F21" s="237"/>
      <c r="G21" s="237"/>
      <c r="H21" s="237"/>
      <c r="I21" s="237"/>
      <c r="J21" s="238"/>
      <c r="K21" s="92"/>
      <c r="L21" s="92"/>
      <c r="M21" s="92"/>
      <c r="N21" s="92"/>
    </row>
    <row r="22" spans="1:14" ht="15.75" customHeight="1" x14ac:dyDescent="0.25">
      <c r="A22" s="242"/>
      <c r="B22" s="244"/>
      <c r="C22" s="242"/>
      <c r="D22" s="243"/>
      <c r="E22" s="243"/>
      <c r="F22" s="243"/>
      <c r="G22" s="243"/>
      <c r="H22" s="243"/>
      <c r="I22" s="243"/>
      <c r="J22" s="244"/>
      <c r="K22" s="92"/>
      <c r="L22" s="92"/>
      <c r="M22" s="92"/>
      <c r="N22" s="92"/>
    </row>
    <row r="23" spans="1:14" ht="15.75" customHeight="1" x14ac:dyDescent="0.25">
      <c r="A23" s="331"/>
      <c r="B23" s="238"/>
      <c r="C23" s="331"/>
      <c r="D23" s="237"/>
      <c r="E23" s="237"/>
      <c r="F23" s="237"/>
      <c r="G23" s="237"/>
      <c r="H23" s="237"/>
      <c r="I23" s="237"/>
      <c r="J23" s="238"/>
      <c r="K23" s="92"/>
      <c r="L23" s="92"/>
      <c r="M23" s="92"/>
      <c r="N23" s="92"/>
    </row>
    <row r="24" spans="1:14" ht="15.75" customHeight="1" x14ac:dyDescent="0.25">
      <c r="A24" s="242"/>
      <c r="B24" s="244"/>
      <c r="C24" s="242"/>
      <c r="D24" s="243"/>
      <c r="E24" s="243"/>
      <c r="F24" s="243"/>
      <c r="G24" s="243"/>
      <c r="H24" s="243"/>
      <c r="I24" s="243"/>
      <c r="J24" s="244"/>
      <c r="K24" s="92"/>
      <c r="L24" s="92"/>
      <c r="M24" s="92"/>
      <c r="N24" s="92"/>
    </row>
    <row r="26" spans="1:14" x14ac:dyDescent="0.25">
      <c r="A26" s="132"/>
      <c r="B26" s="132"/>
      <c r="C26" s="132"/>
      <c r="D26" s="132"/>
      <c r="E26" s="132"/>
      <c r="F26" s="132"/>
      <c r="G26" s="132"/>
      <c r="H26" s="132"/>
      <c r="I26" s="132"/>
      <c r="J26" s="132"/>
      <c r="K26" s="92"/>
      <c r="L26" s="92"/>
      <c r="M26" s="92"/>
      <c r="N26" s="92"/>
    </row>
    <row r="27" spans="1:14" s="56" customFormat="1" ht="16.5" customHeight="1" x14ac:dyDescent="0.25">
      <c r="A27" s="345" t="s">
        <v>291</v>
      </c>
      <c r="B27" s="345"/>
      <c r="C27" s="345"/>
      <c r="D27" s="345"/>
      <c r="E27" s="345"/>
      <c r="F27" s="345"/>
      <c r="G27" s="345"/>
      <c r="H27" s="345"/>
      <c r="I27" s="345"/>
      <c r="J27" s="345"/>
    </row>
    <row r="28" spans="1:14" s="12" customFormat="1" ht="17.25" customHeight="1" x14ac:dyDescent="0.25">
      <c r="A28" s="347" t="s">
        <v>292</v>
      </c>
      <c r="B28" s="347"/>
      <c r="C28" s="319" t="s">
        <v>293</v>
      </c>
      <c r="D28" s="319" t="s">
        <v>294</v>
      </c>
      <c r="E28" s="319"/>
      <c r="F28" s="319"/>
      <c r="G28" s="319"/>
      <c r="H28" s="319"/>
      <c r="I28" s="319"/>
      <c r="J28" s="319"/>
      <c r="K28" s="132"/>
      <c r="L28" s="132"/>
      <c r="M28" s="132"/>
      <c r="N28" s="132"/>
    </row>
    <row r="29" spans="1:14" s="12" customFormat="1" ht="17.25" customHeight="1" x14ac:dyDescent="0.25">
      <c r="A29" s="347"/>
      <c r="B29" s="347"/>
      <c r="C29" s="319"/>
      <c r="D29" s="319" t="s">
        <v>295</v>
      </c>
      <c r="E29" s="319"/>
      <c r="F29" s="319"/>
      <c r="G29" s="319"/>
      <c r="H29" s="319"/>
      <c r="I29" s="319" t="s">
        <v>165</v>
      </c>
      <c r="J29" s="319"/>
      <c r="K29" s="132"/>
      <c r="L29" s="132"/>
      <c r="M29" s="132"/>
      <c r="N29" s="132"/>
    </row>
    <row r="30" spans="1:14" s="12" customFormat="1" ht="17.25" customHeight="1" x14ac:dyDescent="0.25">
      <c r="A30" s="100"/>
      <c r="B30" s="100"/>
      <c r="C30" s="46"/>
      <c r="D30" s="46" t="s">
        <v>83</v>
      </c>
      <c r="E30" s="46" t="s">
        <v>84</v>
      </c>
      <c r="F30" s="46" t="s">
        <v>85</v>
      </c>
      <c r="G30" s="46" t="s">
        <v>86</v>
      </c>
      <c r="H30" s="46" t="s">
        <v>296</v>
      </c>
      <c r="I30" s="99"/>
      <c r="J30" s="101"/>
      <c r="K30" s="132"/>
      <c r="L30" s="132"/>
      <c r="M30" s="132"/>
      <c r="N30" s="132"/>
    </row>
    <row r="31" spans="1:14" s="37" customFormat="1" ht="38.1" hidden="1" customHeight="1" x14ac:dyDescent="0.25">
      <c r="A31" s="255" t="s">
        <v>297</v>
      </c>
      <c r="B31" s="255"/>
      <c r="C31" s="189" t="s">
        <v>298</v>
      </c>
      <c r="D31" s="344"/>
      <c r="E31" s="344"/>
      <c r="F31" s="344"/>
      <c r="G31" s="344"/>
      <c r="H31" s="344"/>
      <c r="I31" s="348"/>
      <c r="J31" s="349"/>
      <c r="K31" s="180"/>
      <c r="L31" s="180"/>
      <c r="M31" s="132"/>
      <c r="N31" s="132"/>
    </row>
    <row r="32" spans="1:14" s="37" customFormat="1" ht="38.1" customHeight="1" x14ac:dyDescent="0.25">
      <c r="A32" s="255" t="s">
        <v>299</v>
      </c>
      <c r="B32" s="255"/>
      <c r="C32" s="106" t="s">
        <v>300</v>
      </c>
      <c r="D32" s="190">
        <v>1.1000000000000001</v>
      </c>
      <c r="E32" s="190">
        <v>0.8</v>
      </c>
      <c r="F32" s="190">
        <v>0.9</v>
      </c>
      <c r="G32" s="190">
        <v>1.8</v>
      </c>
      <c r="H32" s="190">
        <f>AVERAGE(D32:G32)</f>
        <v>1.1500000000000001</v>
      </c>
      <c r="I32" s="348"/>
      <c r="J32" s="349"/>
      <c r="K32" s="180"/>
      <c r="L32" s="180"/>
      <c r="M32" s="132"/>
      <c r="N32" s="132"/>
    </row>
    <row r="33" spans="1:14" s="37" customFormat="1" ht="38.1" customHeight="1" x14ac:dyDescent="0.25">
      <c r="A33" s="255" t="s">
        <v>301</v>
      </c>
      <c r="B33" s="255"/>
      <c r="C33" s="106" t="s">
        <v>302</v>
      </c>
      <c r="D33" s="344"/>
      <c r="E33" s="344"/>
      <c r="F33" s="344"/>
      <c r="G33" s="344"/>
      <c r="H33" s="344"/>
      <c r="I33" s="350"/>
      <c r="J33" s="351"/>
      <c r="K33" s="180"/>
      <c r="L33" s="180"/>
      <c r="M33" s="132"/>
      <c r="N33" s="132"/>
    </row>
    <row r="34" spans="1:14" s="37" customFormat="1" ht="38.1" customHeight="1" x14ac:dyDescent="0.3">
      <c r="A34" s="255" t="s">
        <v>303</v>
      </c>
      <c r="B34" s="255"/>
      <c r="C34" s="106" t="s">
        <v>302</v>
      </c>
      <c r="D34" s="344">
        <v>0</v>
      </c>
      <c r="E34" s="344"/>
      <c r="F34" s="344"/>
      <c r="G34" s="344"/>
      <c r="H34" s="344"/>
      <c r="I34" s="348"/>
      <c r="J34" s="349"/>
      <c r="K34" s="180"/>
      <c r="L34" s="180"/>
      <c r="M34" s="180"/>
      <c r="N34" s="180"/>
    </row>
    <row r="36" spans="1:14" x14ac:dyDescent="0.25">
      <c r="A36" s="289" t="s">
        <v>304</v>
      </c>
      <c r="B36" s="289"/>
      <c r="C36" s="289"/>
      <c r="D36" s="289"/>
      <c r="E36" s="289"/>
      <c r="F36" s="289"/>
      <c r="G36" s="289"/>
      <c r="H36" s="289"/>
      <c r="I36" s="289"/>
      <c r="J36" s="289"/>
      <c r="K36" s="92"/>
      <c r="L36" s="92"/>
      <c r="M36" s="92"/>
      <c r="N36" s="92"/>
    </row>
    <row r="37" spans="1:14" x14ac:dyDescent="0.25">
      <c r="A37" s="346"/>
      <c r="B37" s="346"/>
      <c r="C37" s="346"/>
      <c r="D37" s="346"/>
      <c r="E37" s="346"/>
      <c r="F37" s="346"/>
      <c r="G37" s="346"/>
      <c r="H37" s="346"/>
      <c r="I37" s="346"/>
      <c r="J37" s="346"/>
      <c r="K37" s="92"/>
      <c r="L37" s="92"/>
      <c r="M37" s="92"/>
      <c r="N37" s="92"/>
    </row>
    <row r="38" spans="1:14" x14ac:dyDescent="0.25">
      <c r="A38" s="346"/>
      <c r="B38" s="346"/>
      <c r="C38" s="346"/>
      <c r="D38" s="346"/>
      <c r="E38" s="346"/>
      <c r="F38" s="346"/>
      <c r="G38" s="346"/>
      <c r="H38" s="346"/>
      <c r="I38" s="346"/>
      <c r="J38" s="346"/>
      <c r="K38" s="92"/>
      <c r="L38" s="92"/>
      <c r="M38" s="92"/>
      <c r="N38" s="92"/>
    </row>
    <row r="39" spans="1:14" x14ac:dyDescent="0.25">
      <c r="A39" s="346"/>
      <c r="B39" s="346"/>
      <c r="C39" s="346"/>
      <c r="D39" s="346"/>
      <c r="E39" s="346"/>
      <c r="F39" s="346"/>
      <c r="G39" s="346"/>
      <c r="H39" s="346"/>
      <c r="I39" s="346"/>
      <c r="J39" s="346"/>
      <c r="K39" s="92"/>
      <c r="L39" s="92"/>
      <c r="M39" s="92"/>
      <c r="N39" s="92"/>
    </row>
    <row r="40" spans="1:14" x14ac:dyDescent="0.25">
      <c r="A40" s="346"/>
      <c r="B40" s="346"/>
      <c r="C40" s="346"/>
      <c r="D40" s="346"/>
      <c r="E40" s="346"/>
      <c r="F40" s="346"/>
      <c r="G40" s="346"/>
      <c r="H40" s="346"/>
      <c r="I40" s="346"/>
      <c r="J40" s="346"/>
      <c r="K40" s="92"/>
      <c r="L40" s="92"/>
      <c r="M40" s="92"/>
      <c r="N40" s="92"/>
    </row>
    <row r="41" spans="1:14" x14ac:dyDescent="0.25">
      <c r="A41" s="346"/>
      <c r="B41" s="346"/>
      <c r="C41" s="346"/>
      <c r="D41" s="346"/>
      <c r="E41" s="346"/>
      <c r="F41" s="346"/>
      <c r="G41" s="346"/>
      <c r="H41" s="346"/>
      <c r="I41" s="346"/>
      <c r="J41" s="346"/>
      <c r="K41" s="92"/>
      <c r="L41" s="92"/>
      <c r="M41" s="92"/>
      <c r="N41" s="92"/>
    </row>
    <row r="42" spans="1:14" x14ac:dyDescent="0.25">
      <c r="A42" s="346"/>
      <c r="B42" s="346"/>
      <c r="C42" s="346"/>
      <c r="D42" s="346"/>
      <c r="E42" s="346"/>
      <c r="F42" s="346"/>
      <c r="G42" s="346"/>
      <c r="H42" s="346"/>
      <c r="I42" s="346"/>
      <c r="J42" s="346"/>
      <c r="K42" s="92"/>
      <c r="L42" s="92"/>
      <c r="M42" s="92"/>
      <c r="N42" s="92"/>
    </row>
    <row r="55" spans="9:9" x14ac:dyDescent="0.25">
      <c r="I55" s="3"/>
    </row>
  </sheetData>
  <mergeCells count="35">
    <mergeCell ref="A37:J42"/>
    <mergeCell ref="D34:H34"/>
    <mergeCell ref="A36:J36"/>
    <mergeCell ref="A28:B29"/>
    <mergeCell ref="A31:B31"/>
    <mergeCell ref="A32:B32"/>
    <mergeCell ref="A33:B33"/>
    <mergeCell ref="A34:B34"/>
    <mergeCell ref="D31:H31"/>
    <mergeCell ref="I31:J31"/>
    <mergeCell ref="I32:J32"/>
    <mergeCell ref="I33:J33"/>
    <mergeCell ref="I34:J34"/>
    <mergeCell ref="A21:B22"/>
    <mergeCell ref="C21:J22"/>
    <mergeCell ref="A23:B24"/>
    <mergeCell ref="C23:J24"/>
    <mergeCell ref="D33:H33"/>
    <mergeCell ref="C28:C29"/>
    <mergeCell ref="D29:H29"/>
    <mergeCell ref="I29:J29"/>
    <mergeCell ref="D28:J28"/>
    <mergeCell ref="A27:J27"/>
    <mergeCell ref="A6:J7"/>
    <mergeCell ref="A8:J9"/>
    <mergeCell ref="A10:J11"/>
    <mergeCell ref="A15:B16"/>
    <mergeCell ref="C15:J16"/>
    <mergeCell ref="A17:B18"/>
    <mergeCell ref="C17:J18"/>
    <mergeCell ref="A19:B20"/>
    <mergeCell ref="C19:J20"/>
    <mergeCell ref="A13:J13"/>
    <mergeCell ref="A14:B14"/>
    <mergeCell ref="C14:J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I64"/>
  <sheetViews>
    <sheetView topLeftCell="A13" workbookViewId="0">
      <selection activeCell="F55" sqref="F55"/>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92" t="str">
        <f>+'Cover Page'!$B$29</f>
        <v>Annual Performance Report 2022</v>
      </c>
      <c r="B1" s="92"/>
      <c r="C1" s="92"/>
      <c r="D1" s="92"/>
      <c r="E1" s="92" t="str">
        <f>+'Cover Page'!$B$33</f>
        <v>Staffordshire Energy Recovery Facility</v>
      </c>
      <c r="F1" s="92"/>
      <c r="G1" s="92"/>
      <c r="H1" s="92"/>
      <c r="I1" s="92"/>
    </row>
    <row r="3" spans="1:9" ht="15.6" x14ac:dyDescent="0.3">
      <c r="A3" s="1" t="s">
        <v>41</v>
      </c>
      <c r="B3" s="92"/>
      <c r="C3" s="92"/>
      <c r="D3" s="92"/>
      <c r="E3" s="92"/>
      <c r="F3" s="92"/>
      <c r="G3" s="92"/>
      <c r="H3" s="92"/>
      <c r="I3" s="92"/>
    </row>
    <row r="4" spans="1:9" ht="15.6" x14ac:dyDescent="0.3">
      <c r="A4" s="1"/>
      <c r="B4" s="92"/>
      <c r="C4" s="92"/>
      <c r="D4" s="92"/>
      <c r="E4" s="92"/>
      <c r="F4" s="92"/>
      <c r="G4" s="92"/>
      <c r="H4" s="92"/>
      <c r="I4" s="92"/>
    </row>
    <row r="5" spans="1:9" s="3" customFormat="1" ht="21.75" customHeight="1" x14ac:dyDescent="0.25">
      <c r="A5" s="48" t="s">
        <v>287</v>
      </c>
      <c r="B5" s="49"/>
      <c r="C5" s="49"/>
      <c r="D5" s="49"/>
      <c r="E5" s="49"/>
      <c r="F5" s="49"/>
      <c r="G5" s="49"/>
      <c r="H5" s="49"/>
      <c r="I5" s="50"/>
    </row>
    <row r="6" spans="1:9" s="3" customFormat="1" ht="15.75" customHeight="1" x14ac:dyDescent="0.25">
      <c r="A6" s="331" t="s">
        <v>305</v>
      </c>
      <c r="B6" s="237"/>
      <c r="C6" s="237"/>
      <c r="D6" s="237"/>
      <c r="E6" s="237"/>
      <c r="F6" s="237"/>
      <c r="G6" s="237"/>
      <c r="H6" s="237"/>
      <c r="I6" s="238"/>
    </row>
    <row r="7" spans="1:9" s="3" customFormat="1" ht="15.75" customHeight="1" x14ac:dyDescent="0.25">
      <c r="A7" s="242"/>
      <c r="B7" s="243"/>
      <c r="C7" s="243"/>
      <c r="D7" s="243"/>
      <c r="E7" s="243"/>
      <c r="F7" s="243"/>
      <c r="G7" s="243"/>
      <c r="H7" s="243"/>
      <c r="I7" s="244"/>
    </row>
    <row r="8" spans="1:9" s="3" customFormat="1" ht="15.75" customHeight="1" x14ac:dyDescent="0.25">
      <c r="A8" s="228"/>
      <c r="B8" s="229"/>
      <c r="C8" s="229"/>
      <c r="D8" s="229"/>
      <c r="E8" s="229"/>
      <c r="F8" s="229"/>
      <c r="G8" s="229"/>
      <c r="H8" s="229"/>
      <c r="I8" s="230"/>
    </row>
    <row r="9" spans="1:9" s="3" customFormat="1" ht="15.75" customHeight="1" x14ac:dyDescent="0.25">
      <c r="A9" s="234"/>
      <c r="B9" s="235"/>
      <c r="C9" s="235"/>
      <c r="D9" s="235"/>
      <c r="E9" s="235"/>
      <c r="F9" s="235"/>
      <c r="G9" s="235"/>
      <c r="H9" s="235"/>
      <c r="I9" s="236"/>
    </row>
    <row r="10" spans="1:9" s="3" customFormat="1" ht="15.75" customHeight="1" x14ac:dyDescent="0.25">
      <c r="A10" s="228"/>
      <c r="B10" s="229"/>
      <c r="C10" s="229"/>
      <c r="D10" s="229"/>
      <c r="E10" s="229"/>
      <c r="F10" s="229"/>
      <c r="G10" s="229"/>
      <c r="H10" s="229"/>
      <c r="I10" s="230"/>
    </row>
    <row r="11" spans="1:9" s="3" customFormat="1" ht="15.75" customHeight="1" x14ac:dyDescent="0.25">
      <c r="A11" s="234"/>
      <c r="B11" s="235"/>
      <c r="C11" s="235"/>
      <c r="D11" s="235"/>
      <c r="E11" s="235"/>
      <c r="F11" s="235"/>
      <c r="G11" s="235"/>
      <c r="H11" s="235"/>
      <c r="I11" s="236"/>
    </row>
    <row r="12" spans="1:9" s="3" customFormat="1" ht="13.8" x14ac:dyDescent="0.25"/>
    <row r="13" spans="1:9" s="47" customFormat="1" ht="33.75" customHeight="1" x14ac:dyDescent="0.3">
      <c r="A13" s="328" t="s">
        <v>289</v>
      </c>
      <c r="B13" s="329"/>
      <c r="C13" s="329"/>
      <c r="D13" s="329"/>
      <c r="E13" s="329"/>
      <c r="F13" s="329"/>
      <c r="G13" s="329"/>
      <c r="H13" s="329"/>
      <c r="I13" s="330"/>
    </row>
    <row r="14" spans="1:9" ht="15.75" customHeight="1" x14ac:dyDescent="0.25">
      <c r="A14" s="332" t="s">
        <v>290</v>
      </c>
      <c r="B14" s="334"/>
      <c r="C14" s="332" t="s">
        <v>253</v>
      </c>
      <c r="D14" s="333"/>
      <c r="E14" s="333"/>
      <c r="F14" s="333"/>
      <c r="G14" s="333"/>
      <c r="H14" s="333"/>
      <c r="I14" s="333"/>
    </row>
    <row r="15" spans="1:9" ht="15.75" customHeight="1" x14ac:dyDescent="0.25">
      <c r="A15" s="228"/>
      <c r="B15" s="230"/>
      <c r="C15" s="331"/>
      <c r="D15" s="237"/>
      <c r="E15" s="237"/>
      <c r="F15" s="237"/>
      <c r="G15" s="237"/>
      <c r="H15" s="237"/>
      <c r="I15" s="238"/>
    </row>
    <row r="16" spans="1:9" ht="15.75" customHeight="1" x14ac:dyDescent="0.25">
      <c r="A16" s="234"/>
      <c r="B16" s="236"/>
      <c r="C16" s="242"/>
      <c r="D16" s="243"/>
      <c r="E16" s="243"/>
      <c r="F16" s="243"/>
      <c r="G16" s="243"/>
      <c r="H16" s="243"/>
      <c r="I16" s="244"/>
    </row>
    <row r="17" spans="1:9" ht="15.75" customHeight="1" x14ac:dyDescent="0.25">
      <c r="A17" s="331"/>
      <c r="B17" s="238"/>
      <c r="C17" s="331"/>
      <c r="D17" s="237"/>
      <c r="E17" s="237"/>
      <c r="F17" s="237"/>
      <c r="G17" s="237"/>
      <c r="H17" s="237"/>
      <c r="I17" s="238"/>
    </row>
    <row r="18" spans="1:9" ht="15.75" customHeight="1" x14ac:dyDescent="0.25">
      <c r="A18" s="242"/>
      <c r="B18" s="244"/>
      <c r="C18" s="242"/>
      <c r="D18" s="243"/>
      <c r="E18" s="243"/>
      <c r="F18" s="243"/>
      <c r="G18" s="243"/>
      <c r="H18" s="243"/>
      <c r="I18" s="244"/>
    </row>
    <row r="19" spans="1:9" ht="15.75" customHeight="1" x14ac:dyDescent="0.25">
      <c r="A19" s="331"/>
      <c r="B19" s="238"/>
      <c r="C19" s="331"/>
      <c r="D19" s="237"/>
      <c r="E19" s="237"/>
      <c r="F19" s="237"/>
      <c r="G19" s="237"/>
      <c r="H19" s="237"/>
      <c r="I19" s="238"/>
    </row>
    <row r="20" spans="1:9" ht="15.75" customHeight="1" x14ac:dyDescent="0.25">
      <c r="A20" s="242"/>
      <c r="B20" s="244"/>
      <c r="C20" s="242"/>
      <c r="D20" s="243"/>
      <c r="E20" s="243"/>
      <c r="F20" s="243"/>
      <c r="G20" s="243"/>
      <c r="H20" s="243"/>
      <c r="I20" s="244"/>
    </row>
    <row r="22" spans="1:9" ht="22.5" customHeight="1" x14ac:dyDescent="0.25">
      <c r="A22" s="352" t="s">
        <v>306</v>
      </c>
      <c r="B22" s="353"/>
      <c r="C22" s="353"/>
      <c r="D22" s="353"/>
      <c r="E22" s="353"/>
      <c r="F22" s="353"/>
      <c r="G22" s="353"/>
      <c r="H22" s="353"/>
      <c r="I22" s="353"/>
    </row>
    <row r="23" spans="1:9" ht="19.5" customHeight="1" x14ac:dyDescent="0.25">
      <c r="A23" s="354" t="s">
        <v>190</v>
      </c>
      <c r="B23" s="355"/>
      <c r="C23" s="356"/>
      <c r="D23" s="357" t="s">
        <v>307</v>
      </c>
      <c r="E23" s="358"/>
      <c r="F23" s="54" t="s">
        <v>293</v>
      </c>
      <c r="G23" s="54" t="s">
        <v>308</v>
      </c>
      <c r="H23" s="54" t="s">
        <v>309</v>
      </c>
      <c r="I23" s="54" t="s">
        <v>296</v>
      </c>
    </row>
    <row r="24" spans="1:9" x14ac:dyDescent="0.25">
      <c r="A24" s="359" t="s">
        <v>310</v>
      </c>
      <c r="B24" s="360"/>
      <c r="C24" s="361"/>
      <c r="D24" s="362" t="s">
        <v>311</v>
      </c>
      <c r="E24" s="363"/>
      <c r="F24" s="103" t="s">
        <v>312</v>
      </c>
      <c r="G24" s="190"/>
      <c r="H24" s="190">
        <v>8.1999999999999993</v>
      </c>
      <c r="I24" s="190">
        <v>8.1999999999999993</v>
      </c>
    </row>
    <row r="25" spans="1:9" x14ac:dyDescent="0.25">
      <c r="A25" s="359" t="s">
        <v>313</v>
      </c>
      <c r="B25" s="360"/>
      <c r="C25" s="361"/>
      <c r="D25" s="362" t="s">
        <v>311</v>
      </c>
      <c r="E25" s="363"/>
      <c r="F25" s="190">
        <v>800</v>
      </c>
      <c r="G25" s="190"/>
      <c r="H25" s="190">
        <v>72</v>
      </c>
      <c r="I25" s="190">
        <v>72</v>
      </c>
    </row>
    <row r="26" spans="1:9" x14ac:dyDescent="0.25">
      <c r="A26" s="359" t="s">
        <v>314</v>
      </c>
      <c r="B26" s="360"/>
      <c r="C26" s="361"/>
      <c r="D26" s="362" t="s">
        <v>311</v>
      </c>
      <c r="E26" s="363"/>
      <c r="F26" s="190">
        <v>400</v>
      </c>
      <c r="G26" s="190"/>
      <c r="H26" s="190">
        <v>12</v>
      </c>
      <c r="I26" s="190">
        <v>12</v>
      </c>
    </row>
    <row r="27" spans="1:9" x14ac:dyDescent="0.25">
      <c r="A27" s="359"/>
      <c r="B27" s="360"/>
      <c r="C27" s="361"/>
      <c r="D27" s="362"/>
      <c r="E27" s="363"/>
      <c r="F27" s="190"/>
      <c r="G27" s="190"/>
      <c r="H27" s="190"/>
      <c r="I27" s="190"/>
    </row>
    <row r="28" spans="1:9" x14ac:dyDescent="0.25">
      <c r="A28" s="359"/>
      <c r="B28" s="360"/>
      <c r="C28" s="361"/>
      <c r="D28" s="362"/>
      <c r="E28" s="363"/>
      <c r="F28" s="190"/>
      <c r="G28" s="190"/>
      <c r="H28" s="190"/>
      <c r="I28" s="190"/>
    </row>
    <row r="29" spans="1:9" x14ac:dyDescent="0.25">
      <c r="A29" s="359"/>
      <c r="B29" s="360"/>
      <c r="C29" s="361"/>
      <c r="D29" s="362"/>
      <c r="E29" s="363"/>
      <c r="F29" s="190"/>
      <c r="G29" s="190"/>
      <c r="H29" s="190"/>
      <c r="I29" s="190"/>
    </row>
    <row r="30" spans="1:9" x14ac:dyDescent="0.25">
      <c r="A30" s="364"/>
      <c r="B30" s="364"/>
      <c r="C30" s="364"/>
      <c r="D30" s="362"/>
      <c r="E30" s="363"/>
      <c r="F30" s="190"/>
      <c r="G30" s="190"/>
      <c r="H30" s="190"/>
      <c r="I30" s="190"/>
    </row>
    <row r="31" spans="1:9" x14ac:dyDescent="0.25">
      <c r="A31" s="132"/>
      <c r="B31" s="132"/>
      <c r="C31" s="132"/>
      <c r="D31" s="132"/>
      <c r="E31" s="132"/>
      <c r="F31" s="132"/>
      <c r="G31" s="132"/>
      <c r="H31" s="132"/>
      <c r="I31" s="132"/>
    </row>
    <row r="32" spans="1:9" x14ac:dyDescent="0.25">
      <c r="A32" s="132"/>
      <c r="B32" s="132"/>
      <c r="C32" s="132"/>
      <c r="D32" s="132"/>
      <c r="E32" s="132"/>
      <c r="F32" s="132"/>
      <c r="G32" s="132"/>
      <c r="H32" s="132"/>
      <c r="I32" s="132"/>
    </row>
    <row r="33" spans="1:9" x14ac:dyDescent="0.25">
      <c r="A33" s="132"/>
      <c r="B33" s="132"/>
      <c r="C33" s="132"/>
      <c r="D33" s="132"/>
      <c r="E33" s="132"/>
      <c r="F33" s="132"/>
      <c r="G33" s="132"/>
      <c r="H33" s="132"/>
      <c r="I33" s="132"/>
    </row>
    <row r="64" spans="5:5" x14ac:dyDescent="0.25">
      <c r="E64"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pageSetUpPr fitToPage="1"/>
  </sheetPr>
  <dimension ref="A1:Q64"/>
  <sheetViews>
    <sheetView topLeftCell="A34" workbookViewId="0">
      <selection activeCell="F55" sqref="F55"/>
    </sheetView>
  </sheetViews>
  <sheetFormatPr defaultColWidth="9.33203125" defaultRowHeight="15" x14ac:dyDescent="0.25"/>
  <cols>
    <col min="1" max="1" width="9.33203125" style="2" customWidth="1"/>
    <col min="2" max="2" width="14.5546875" style="2" bestFit="1" customWidth="1"/>
    <col min="3" max="9" width="9.33203125" style="2"/>
    <col min="10" max="10" width="9.5546875" style="2" bestFit="1" customWidth="1"/>
    <col min="11" max="11" width="10.44140625" style="2" customWidth="1"/>
    <col min="12" max="16384" width="9.33203125" style="2"/>
  </cols>
  <sheetData>
    <row r="1" spans="1:17" x14ac:dyDescent="0.25">
      <c r="A1" s="92" t="str">
        <f>+'Cover Page'!$B$29</f>
        <v>Annual Performance Report 2022</v>
      </c>
      <c r="B1" s="92"/>
      <c r="C1" s="92"/>
      <c r="D1" s="92"/>
      <c r="E1" s="92" t="str">
        <f>+'Cover Page'!$B$33</f>
        <v>Staffordshire Energy Recovery Facility</v>
      </c>
      <c r="F1" s="92"/>
      <c r="G1" s="92"/>
      <c r="H1" s="92"/>
      <c r="I1" s="92"/>
      <c r="J1" s="92"/>
      <c r="K1" s="92"/>
      <c r="L1" s="92"/>
      <c r="M1" s="92"/>
      <c r="N1" s="92"/>
      <c r="O1" s="92"/>
      <c r="P1" s="92"/>
      <c r="Q1" s="92"/>
    </row>
    <row r="2" spans="1:17" ht="7.5" customHeight="1" x14ac:dyDescent="0.25">
      <c r="A2" s="92"/>
      <c r="B2" s="92"/>
      <c r="C2" s="92"/>
      <c r="D2" s="92"/>
      <c r="E2" s="92"/>
      <c r="F2" s="92"/>
      <c r="G2" s="92"/>
      <c r="H2" s="92"/>
      <c r="I2" s="92"/>
      <c r="J2" s="92"/>
      <c r="K2" s="92"/>
      <c r="L2" s="92"/>
      <c r="M2" s="92"/>
      <c r="N2" s="92"/>
      <c r="O2" s="92"/>
      <c r="P2" s="92"/>
      <c r="Q2" s="92"/>
    </row>
    <row r="3" spans="1:17" ht="15.6" x14ac:dyDescent="0.3">
      <c r="A3" s="1" t="s">
        <v>42</v>
      </c>
      <c r="B3" s="92"/>
      <c r="C3" s="92"/>
      <c r="D3" s="92"/>
      <c r="E3" s="92"/>
      <c r="F3" s="92"/>
      <c r="G3" s="92"/>
      <c r="H3" s="92"/>
      <c r="I3" s="92"/>
      <c r="J3" s="92"/>
      <c r="K3" s="92"/>
      <c r="L3" s="92"/>
      <c r="M3" s="92"/>
      <c r="N3" s="92"/>
      <c r="O3" s="92"/>
      <c r="P3" s="92"/>
      <c r="Q3" s="92"/>
    </row>
    <row r="4" spans="1:17" ht="9.75" customHeight="1" x14ac:dyDescent="0.3">
      <c r="A4" s="1"/>
      <c r="B4" s="92"/>
      <c r="C4" s="92"/>
      <c r="D4" s="92"/>
      <c r="E4" s="92"/>
      <c r="F4" s="92"/>
      <c r="G4" s="92"/>
      <c r="H4" s="92"/>
      <c r="I4" s="92"/>
      <c r="J4" s="92"/>
      <c r="K4" s="92"/>
      <c r="L4" s="92"/>
      <c r="M4" s="92"/>
      <c r="N4" s="92"/>
      <c r="O4" s="92"/>
      <c r="P4" s="92"/>
      <c r="Q4" s="92"/>
    </row>
    <row r="5" spans="1:17" s="3" customFormat="1" ht="21.75" customHeight="1" x14ac:dyDescent="0.3">
      <c r="A5" s="48" t="s">
        <v>315</v>
      </c>
      <c r="B5" s="49"/>
      <c r="C5" s="49"/>
      <c r="D5" s="49"/>
      <c r="E5" s="49"/>
      <c r="F5" s="49"/>
      <c r="G5" s="49"/>
      <c r="H5" s="49"/>
      <c r="I5" s="49"/>
      <c r="J5" s="49"/>
      <c r="K5" s="50"/>
      <c r="N5" s="82" t="s">
        <v>3</v>
      </c>
    </row>
    <row r="6" spans="1:17" s="3" customFormat="1" ht="15.75" customHeight="1" x14ac:dyDescent="0.25">
      <c r="A6" s="331" t="s">
        <v>316</v>
      </c>
      <c r="B6" s="237"/>
      <c r="C6" s="237"/>
      <c r="D6" s="237"/>
      <c r="E6" s="237"/>
      <c r="F6" s="237"/>
      <c r="G6" s="237"/>
      <c r="H6" s="237"/>
      <c r="I6" s="237"/>
      <c r="J6" s="237"/>
      <c r="K6" s="238"/>
      <c r="N6" s="365" t="s">
        <v>317</v>
      </c>
      <c r="O6" s="365"/>
      <c r="P6" s="365"/>
      <c r="Q6" s="365"/>
    </row>
    <row r="7" spans="1:17" s="3" customFormat="1" ht="15.75" customHeight="1" x14ac:dyDescent="0.25">
      <c r="A7" s="242"/>
      <c r="B7" s="243"/>
      <c r="C7" s="243"/>
      <c r="D7" s="243"/>
      <c r="E7" s="243"/>
      <c r="F7" s="243"/>
      <c r="G7" s="243"/>
      <c r="H7" s="243"/>
      <c r="I7" s="243"/>
      <c r="J7" s="243"/>
      <c r="K7" s="244"/>
      <c r="N7" s="365"/>
      <c r="O7" s="365"/>
      <c r="P7" s="365"/>
      <c r="Q7" s="365"/>
    </row>
    <row r="8" spans="1:17" s="3" customFormat="1" ht="13.8" x14ac:dyDescent="0.25">
      <c r="N8" s="365"/>
      <c r="O8" s="365"/>
      <c r="P8" s="365"/>
      <c r="Q8" s="365"/>
    </row>
    <row r="9" spans="1:17" s="56" customFormat="1" ht="16.5" customHeight="1" x14ac:dyDescent="0.25">
      <c r="A9" s="345" t="s">
        <v>318</v>
      </c>
      <c r="B9" s="345"/>
      <c r="C9" s="345"/>
      <c r="D9" s="345"/>
      <c r="E9" s="345"/>
      <c r="F9" s="345"/>
      <c r="G9" s="345"/>
      <c r="H9" s="345"/>
      <c r="I9" s="345"/>
      <c r="J9" s="345"/>
      <c r="K9" s="345"/>
      <c r="N9" s="365"/>
      <c r="O9" s="365"/>
      <c r="P9" s="365"/>
      <c r="Q9" s="365"/>
    </row>
    <row r="10" spans="1:17" s="56" customFormat="1" ht="16.5" customHeight="1" x14ac:dyDescent="0.25">
      <c r="A10" s="368" t="s">
        <v>219</v>
      </c>
      <c r="B10" s="369"/>
      <c r="C10" s="376" t="s">
        <v>319</v>
      </c>
      <c r="D10" s="372" t="s">
        <v>320</v>
      </c>
      <c r="E10" s="373"/>
      <c r="G10" s="104"/>
      <c r="H10" s="104"/>
      <c r="I10" s="104"/>
      <c r="J10" s="366" t="s">
        <v>296</v>
      </c>
      <c r="K10" s="367"/>
      <c r="N10" s="365" t="s">
        <v>321</v>
      </c>
      <c r="O10" s="365"/>
      <c r="P10" s="365"/>
      <c r="Q10" s="365"/>
    </row>
    <row r="11" spans="1:17" s="12" customFormat="1" ht="17.25" customHeight="1" x14ac:dyDescent="0.25">
      <c r="A11" s="370"/>
      <c r="B11" s="371"/>
      <c r="C11" s="377"/>
      <c r="D11" s="374"/>
      <c r="E11" s="375"/>
      <c r="F11" s="46" t="s">
        <v>322</v>
      </c>
      <c r="G11" s="46" t="s">
        <v>323</v>
      </c>
      <c r="H11" s="46" t="s">
        <v>324</v>
      </c>
      <c r="I11" s="46" t="s">
        <v>325</v>
      </c>
      <c r="J11" s="46" t="s">
        <v>192</v>
      </c>
      <c r="K11" s="46" t="s">
        <v>193</v>
      </c>
      <c r="L11" s="132"/>
      <c r="M11" s="132"/>
      <c r="N11" s="365"/>
      <c r="O11" s="365"/>
      <c r="P11" s="365"/>
      <c r="Q11" s="365"/>
    </row>
    <row r="12" spans="1:17" s="12" customFormat="1" ht="23.25" customHeight="1" x14ac:dyDescent="0.25">
      <c r="A12" s="255" t="s">
        <v>326</v>
      </c>
      <c r="B12" s="255"/>
      <c r="C12" s="109" t="s">
        <v>327</v>
      </c>
      <c r="D12" s="302" t="s">
        <v>328</v>
      </c>
      <c r="E12" s="302"/>
      <c r="F12" s="190">
        <v>0.03</v>
      </c>
      <c r="G12" s="190">
        <v>0.03</v>
      </c>
      <c r="H12" s="190">
        <v>0.06</v>
      </c>
      <c r="I12" s="190">
        <v>7.0000000000000007E-2</v>
      </c>
      <c r="J12" s="190">
        <f>AVERAGE(F12,H12)</f>
        <v>4.4999999999999998E-2</v>
      </c>
      <c r="K12" s="190">
        <f>AVERAGE(G12,I12)</f>
        <v>0.05</v>
      </c>
      <c r="L12" s="132"/>
      <c r="M12" s="132"/>
      <c r="N12" s="365"/>
      <c r="O12" s="365"/>
      <c r="P12" s="365"/>
      <c r="Q12" s="365"/>
    </row>
    <row r="13" spans="1:17" s="12" customFormat="1" ht="23.25" customHeight="1" x14ac:dyDescent="0.25">
      <c r="A13" s="255" t="s">
        <v>329</v>
      </c>
      <c r="B13" s="255"/>
      <c r="C13" s="109" t="s">
        <v>330</v>
      </c>
      <c r="D13" s="302" t="s">
        <v>331</v>
      </c>
      <c r="E13" s="302"/>
      <c r="F13" s="190">
        <v>5.4000000000000001E-4</v>
      </c>
      <c r="G13" s="190">
        <v>4.0000000000000002E-4</v>
      </c>
      <c r="H13" s="190">
        <v>5.9000000000000003E-4</v>
      </c>
      <c r="I13" s="190">
        <v>5.6999999999999998E-4</v>
      </c>
      <c r="J13" s="190">
        <f t="shared" ref="J13:J40" si="0">AVERAGE(F13,H13)</f>
        <v>5.6499999999999996E-4</v>
      </c>
      <c r="K13" s="190">
        <f t="shared" ref="K13:K40" si="1">AVERAGE(G13,I13)</f>
        <v>4.8499999999999997E-4</v>
      </c>
      <c r="L13" s="132"/>
      <c r="M13" s="132"/>
      <c r="N13" s="132"/>
      <c r="O13" s="132"/>
      <c r="P13" s="132"/>
      <c r="Q13" s="132"/>
    </row>
    <row r="14" spans="1:17" s="12" customFormat="1" ht="23.25" customHeight="1" x14ac:dyDescent="0.25">
      <c r="A14" s="255" t="s">
        <v>332</v>
      </c>
      <c r="B14" s="255"/>
      <c r="C14" s="109" t="s">
        <v>330</v>
      </c>
      <c r="D14" s="302" t="s">
        <v>331</v>
      </c>
      <c r="E14" s="302"/>
      <c r="F14" s="190">
        <v>2.1000000000000001E-4</v>
      </c>
      <c r="G14" s="190">
        <v>4.6999999999999999E-4</v>
      </c>
      <c r="H14" s="190">
        <v>6.4000000000000005E-4</v>
      </c>
      <c r="I14" s="190">
        <v>5.9000000000000003E-4</v>
      </c>
      <c r="J14" s="190">
        <f t="shared" si="0"/>
        <v>4.2500000000000003E-4</v>
      </c>
      <c r="K14" s="190">
        <f t="shared" si="1"/>
        <v>5.2999999999999998E-4</v>
      </c>
      <c r="L14" s="132"/>
      <c r="M14" s="132"/>
      <c r="N14" s="132"/>
      <c r="O14" s="132"/>
      <c r="P14" s="132"/>
      <c r="Q14" s="132"/>
    </row>
    <row r="15" spans="1:17" s="12" customFormat="1" ht="23.25" customHeight="1" x14ac:dyDescent="0.25">
      <c r="A15" s="255" t="s">
        <v>333</v>
      </c>
      <c r="B15" s="255"/>
      <c r="C15" s="109" t="s">
        <v>330</v>
      </c>
      <c r="D15" s="302" t="s">
        <v>334</v>
      </c>
      <c r="E15" s="302"/>
      <c r="F15" s="190">
        <v>2.8000000000000001E-2</v>
      </c>
      <c r="G15" s="190">
        <v>1.6E-2</v>
      </c>
      <c r="H15" s="190">
        <v>0.17</v>
      </c>
      <c r="I15" s="190">
        <v>0.17</v>
      </c>
      <c r="J15" s="190">
        <f t="shared" si="0"/>
        <v>9.9000000000000005E-2</v>
      </c>
      <c r="K15" s="190">
        <f t="shared" si="1"/>
        <v>9.2999999999999999E-2</v>
      </c>
      <c r="L15" s="132"/>
      <c r="M15" s="132"/>
      <c r="N15" s="132"/>
      <c r="O15" s="132"/>
      <c r="P15" s="132"/>
      <c r="Q15" s="132"/>
    </row>
    <row r="16" spans="1:17" s="12" customFormat="1" ht="23.25" customHeight="1" x14ac:dyDescent="0.25">
      <c r="A16" s="255" t="s">
        <v>335</v>
      </c>
      <c r="B16" s="255"/>
      <c r="C16" s="109" t="s">
        <v>330</v>
      </c>
      <c r="D16" s="302" t="s">
        <v>336</v>
      </c>
      <c r="E16" s="302"/>
      <c r="F16" s="190">
        <v>3.8999999999999998E-3</v>
      </c>
      <c r="G16" s="190">
        <v>6.7999999999999996E-3</v>
      </c>
      <c r="H16" s="190">
        <v>8.3000000000000001E-3</v>
      </c>
      <c r="I16" s="190">
        <v>0.01</v>
      </c>
      <c r="J16" s="190">
        <f t="shared" si="0"/>
        <v>6.0999999999999995E-3</v>
      </c>
      <c r="K16" s="190">
        <f t="shared" si="1"/>
        <v>8.3999999999999995E-3</v>
      </c>
      <c r="L16" s="132"/>
      <c r="M16" s="132"/>
      <c r="N16" s="132"/>
      <c r="O16" s="132"/>
      <c r="P16" s="132"/>
      <c r="Q16" s="132"/>
    </row>
    <row r="17" spans="1:11" s="12" customFormat="1" ht="23.25" customHeight="1" x14ac:dyDescent="0.25">
      <c r="A17" s="255" t="s">
        <v>337</v>
      </c>
      <c r="B17" s="255"/>
      <c r="C17" s="109" t="s">
        <v>330</v>
      </c>
      <c r="D17" s="302" t="s">
        <v>338</v>
      </c>
      <c r="E17" s="302"/>
      <c r="F17" s="190">
        <v>6.8000000000000005E-4</v>
      </c>
      <c r="G17" s="190">
        <v>1.1000000000000001E-3</v>
      </c>
      <c r="H17" s="190">
        <v>1.1000000000000001E-3</v>
      </c>
      <c r="I17" s="190">
        <v>1.5E-3</v>
      </c>
      <c r="J17" s="190">
        <f t="shared" si="0"/>
        <v>8.9000000000000006E-4</v>
      </c>
      <c r="K17" s="190">
        <f t="shared" si="1"/>
        <v>1.2999999999999999E-3</v>
      </c>
    </row>
    <row r="18" spans="1:11" s="12" customFormat="1" ht="23.25" customHeight="1" x14ac:dyDescent="0.25">
      <c r="A18" s="255" t="s">
        <v>339</v>
      </c>
      <c r="B18" s="255"/>
      <c r="C18" s="109" t="s">
        <v>330</v>
      </c>
      <c r="D18" s="302" t="s">
        <v>338</v>
      </c>
      <c r="E18" s="302"/>
      <c r="F18" s="190">
        <v>3.8000000000000002E-5</v>
      </c>
      <c r="G18" s="190">
        <v>5.8E-5</v>
      </c>
      <c r="H18" s="190">
        <v>6.4999999999999994E-5</v>
      </c>
      <c r="I18" s="190">
        <v>8.6000000000000003E-5</v>
      </c>
      <c r="J18" s="191">
        <f t="shared" si="0"/>
        <v>5.1499999999999998E-5</v>
      </c>
      <c r="K18" s="190">
        <f t="shared" si="1"/>
        <v>7.2000000000000002E-5</v>
      </c>
    </row>
    <row r="19" spans="1:11" s="12" customFormat="1" ht="23.25" customHeight="1" x14ac:dyDescent="0.25">
      <c r="A19" s="255" t="s">
        <v>340</v>
      </c>
      <c r="B19" s="255"/>
      <c r="C19" s="109" t="s">
        <v>330</v>
      </c>
      <c r="D19" s="302" t="s">
        <v>338</v>
      </c>
      <c r="E19" s="302"/>
      <c r="F19" s="190">
        <v>2.8E-3</v>
      </c>
      <c r="G19" s="190">
        <v>3.0000000000000001E-3</v>
      </c>
      <c r="H19" s="190">
        <v>4.1000000000000003E-3</v>
      </c>
      <c r="I19" s="190">
        <v>5.1000000000000004E-3</v>
      </c>
      <c r="J19" s="190">
        <f t="shared" si="0"/>
        <v>3.4499999999999999E-3</v>
      </c>
      <c r="K19" s="190">
        <f t="shared" si="1"/>
        <v>4.0499999999999998E-3</v>
      </c>
    </row>
    <row r="20" spans="1:11" s="12" customFormat="1" ht="23.25" customHeight="1" x14ac:dyDescent="0.25">
      <c r="A20" s="255" t="s">
        <v>341</v>
      </c>
      <c r="B20" s="255"/>
      <c r="C20" s="109" t="s">
        <v>330</v>
      </c>
      <c r="D20" s="302" t="s">
        <v>338</v>
      </c>
      <c r="E20" s="302"/>
      <c r="F20" s="190">
        <v>4.3E-3</v>
      </c>
      <c r="G20" s="190">
        <v>7.4999999999999997E-3</v>
      </c>
      <c r="H20" s="190">
        <v>9.4000000000000004E-3</v>
      </c>
      <c r="I20" s="190">
        <v>1.2E-2</v>
      </c>
      <c r="J20" s="190">
        <f t="shared" si="0"/>
        <v>6.8500000000000002E-3</v>
      </c>
      <c r="K20" s="190">
        <f t="shared" si="1"/>
        <v>9.75E-3</v>
      </c>
    </row>
    <row r="21" spans="1:11" s="12" customFormat="1" ht="23.25" customHeight="1" x14ac:dyDescent="0.25">
      <c r="A21" s="255" t="s">
        <v>342</v>
      </c>
      <c r="B21" s="255"/>
      <c r="C21" s="109" t="s">
        <v>330</v>
      </c>
      <c r="D21" s="302" t="s">
        <v>338</v>
      </c>
      <c r="E21" s="302"/>
      <c r="F21" s="190">
        <v>4.1999999999999997E-3</v>
      </c>
      <c r="G21" s="190">
        <v>6.8999999999999999E-3</v>
      </c>
      <c r="H21" s="190">
        <v>8.6E-3</v>
      </c>
      <c r="I21" s="190">
        <v>1.0999999999999999E-2</v>
      </c>
      <c r="J21" s="190">
        <f t="shared" si="0"/>
        <v>6.3999999999999994E-3</v>
      </c>
      <c r="K21" s="190">
        <f t="shared" si="1"/>
        <v>8.9499999999999996E-3</v>
      </c>
    </row>
    <row r="22" spans="1:11" s="12" customFormat="1" ht="23.25" customHeight="1" x14ac:dyDescent="0.25">
      <c r="A22" s="255" t="s">
        <v>343</v>
      </c>
      <c r="B22" s="255"/>
      <c r="C22" s="109" t="s">
        <v>330</v>
      </c>
      <c r="D22" s="302" t="s">
        <v>338</v>
      </c>
      <c r="E22" s="302"/>
      <c r="F22" s="190">
        <v>6.1000000000000004E-3</v>
      </c>
      <c r="G22" s="190">
        <v>1.2E-2</v>
      </c>
      <c r="H22" s="190">
        <v>1.2999999999999999E-2</v>
      </c>
      <c r="I22" s="190">
        <v>1.4999999999999999E-2</v>
      </c>
      <c r="J22" s="190">
        <f t="shared" si="0"/>
        <v>9.5499999999999995E-3</v>
      </c>
      <c r="K22" s="190">
        <f t="shared" si="1"/>
        <v>1.35E-2</v>
      </c>
    </row>
    <row r="23" spans="1:11" s="12" customFormat="1" ht="23.25" customHeight="1" x14ac:dyDescent="0.25">
      <c r="A23" s="265" t="s">
        <v>344</v>
      </c>
      <c r="B23" s="282"/>
      <c r="C23" s="109" t="s">
        <v>345</v>
      </c>
      <c r="D23" s="302" t="s">
        <v>346</v>
      </c>
      <c r="E23" s="302"/>
      <c r="F23" s="190">
        <v>0.23</v>
      </c>
      <c r="G23" s="190">
        <v>0.2</v>
      </c>
      <c r="H23" s="190">
        <v>0.82</v>
      </c>
      <c r="I23" s="190">
        <v>0.63</v>
      </c>
      <c r="J23" s="190">
        <f t="shared" si="0"/>
        <v>0.52500000000000002</v>
      </c>
      <c r="K23" s="190">
        <f t="shared" si="1"/>
        <v>0.41500000000000004</v>
      </c>
    </row>
    <row r="24" spans="1:11" s="12" customFormat="1" ht="23.25" customHeight="1" x14ac:dyDescent="0.25">
      <c r="A24" s="265" t="s">
        <v>347</v>
      </c>
      <c r="B24" s="282"/>
      <c r="C24" s="109" t="s">
        <v>330</v>
      </c>
      <c r="D24" s="302" t="s">
        <v>348</v>
      </c>
      <c r="E24" s="302"/>
      <c r="F24" s="190">
        <v>0.18</v>
      </c>
      <c r="G24" s="190">
        <v>0.16</v>
      </c>
      <c r="H24" s="190">
        <v>0.78</v>
      </c>
      <c r="I24" s="190">
        <v>0.76</v>
      </c>
      <c r="J24" s="190">
        <f t="shared" si="0"/>
        <v>0.48</v>
      </c>
      <c r="K24" s="190">
        <f t="shared" si="1"/>
        <v>0.46</v>
      </c>
    </row>
    <row r="25" spans="1:11" s="12" customFormat="1" ht="23.25" customHeight="1" x14ac:dyDescent="0.25">
      <c r="A25" s="255" t="s">
        <v>349</v>
      </c>
      <c r="B25" s="255"/>
      <c r="C25" s="109" t="s">
        <v>330</v>
      </c>
      <c r="D25" s="302" t="s">
        <v>348</v>
      </c>
      <c r="E25" s="302"/>
      <c r="F25" s="190">
        <v>1.4E-3</v>
      </c>
      <c r="G25" s="190">
        <v>1.4E-3</v>
      </c>
      <c r="H25" s="190">
        <v>1.2999999999999999E-3</v>
      </c>
      <c r="I25" s="190">
        <v>1.2999999999999999E-3</v>
      </c>
      <c r="J25" s="190">
        <f t="shared" si="0"/>
        <v>1.3500000000000001E-3</v>
      </c>
      <c r="K25" s="190">
        <f t="shared" si="1"/>
        <v>1.3500000000000001E-3</v>
      </c>
    </row>
    <row r="26" spans="1:11" s="12" customFormat="1" ht="23.25" customHeight="1" x14ac:dyDescent="0.25">
      <c r="A26" s="255" t="s">
        <v>350</v>
      </c>
      <c r="B26" s="255"/>
      <c r="C26" s="109" t="s">
        <v>330</v>
      </c>
      <c r="D26" s="302" t="s">
        <v>348</v>
      </c>
      <c r="E26" s="302"/>
      <c r="F26" s="190">
        <v>1.4E-3</v>
      </c>
      <c r="G26" s="190">
        <v>1.4E-3</v>
      </c>
      <c r="H26" s="190">
        <v>1.2999999999999999E-3</v>
      </c>
      <c r="I26" s="190">
        <v>1.2999999999999999E-3</v>
      </c>
      <c r="J26" s="190">
        <f t="shared" si="0"/>
        <v>1.3500000000000001E-3</v>
      </c>
      <c r="K26" s="190">
        <f t="shared" si="1"/>
        <v>1.3500000000000001E-3</v>
      </c>
    </row>
    <row r="27" spans="1:11" s="12" customFormat="1" ht="23.25" customHeight="1" x14ac:dyDescent="0.25">
      <c r="A27" s="255" t="s">
        <v>351</v>
      </c>
      <c r="B27" s="255"/>
      <c r="C27" s="109" t="s">
        <v>330</v>
      </c>
      <c r="D27" s="302" t="s">
        <v>348</v>
      </c>
      <c r="E27" s="302"/>
      <c r="F27" s="190">
        <v>1.6000000000000001E-3</v>
      </c>
      <c r="G27" s="190">
        <v>1.4E-3</v>
      </c>
      <c r="H27" s="190">
        <v>1.4E-3</v>
      </c>
      <c r="I27" s="190">
        <v>1.2999999999999999E-3</v>
      </c>
      <c r="J27" s="190">
        <f t="shared" si="0"/>
        <v>1.5E-3</v>
      </c>
      <c r="K27" s="190">
        <f t="shared" si="1"/>
        <v>1.3500000000000001E-3</v>
      </c>
    </row>
    <row r="28" spans="1:11" s="12" customFormat="1" ht="23.25" customHeight="1" x14ac:dyDescent="0.25">
      <c r="A28" s="255" t="s">
        <v>352</v>
      </c>
      <c r="B28" s="255"/>
      <c r="C28" s="109" t="s">
        <v>330</v>
      </c>
      <c r="D28" s="302" t="s">
        <v>348</v>
      </c>
      <c r="E28" s="302"/>
      <c r="F28" s="190">
        <v>1.4E-3</v>
      </c>
      <c r="G28" s="190">
        <v>1.4E-3</v>
      </c>
      <c r="H28" s="190">
        <v>1.4E-3</v>
      </c>
      <c r="I28" s="190">
        <v>1.2999999999999999E-3</v>
      </c>
      <c r="J28" s="190">
        <f t="shared" si="0"/>
        <v>1.4E-3</v>
      </c>
      <c r="K28" s="190">
        <f t="shared" si="1"/>
        <v>1.3500000000000001E-3</v>
      </c>
    </row>
    <row r="29" spans="1:11" s="12" customFormat="1" ht="23.25" customHeight="1" x14ac:dyDescent="0.25">
      <c r="A29" s="255" t="s">
        <v>353</v>
      </c>
      <c r="B29" s="255"/>
      <c r="C29" s="109" t="s">
        <v>330</v>
      </c>
      <c r="D29" s="302" t="s">
        <v>348</v>
      </c>
      <c r="E29" s="302"/>
      <c r="F29" s="190">
        <v>1.4E-3</v>
      </c>
      <c r="G29" s="190">
        <v>1.4E-3</v>
      </c>
      <c r="H29" s="190">
        <v>1.2999999999999999E-3</v>
      </c>
      <c r="I29" s="190">
        <v>1.2999999999999999E-3</v>
      </c>
      <c r="J29" s="190">
        <f t="shared" si="0"/>
        <v>1.3500000000000001E-3</v>
      </c>
      <c r="K29" s="190">
        <f t="shared" si="1"/>
        <v>1.3500000000000001E-3</v>
      </c>
    </row>
    <row r="30" spans="1:11" s="12" customFormat="1" ht="23.25" customHeight="1" x14ac:dyDescent="0.25">
      <c r="A30" s="255" t="s">
        <v>354</v>
      </c>
      <c r="B30" s="255"/>
      <c r="C30" s="109" t="s">
        <v>330</v>
      </c>
      <c r="D30" s="302" t="s">
        <v>348</v>
      </c>
      <c r="E30" s="302"/>
      <c r="F30" s="190">
        <v>1.4E-3</v>
      </c>
      <c r="G30" s="190">
        <v>1.4E-3</v>
      </c>
      <c r="H30" s="190">
        <v>1.2999999999999999E-3</v>
      </c>
      <c r="I30" s="190">
        <v>1.2999999999999999E-3</v>
      </c>
      <c r="J30" s="190">
        <f t="shared" si="0"/>
        <v>1.3500000000000001E-3</v>
      </c>
      <c r="K30" s="190">
        <f t="shared" si="1"/>
        <v>1.3500000000000001E-3</v>
      </c>
    </row>
    <row r="31" spans="1:11" s="12" customFormat="1" ht="23.25" customHeight="1" x14ac:dyDescent="0.25">
      <c r="A31" s="255" t="s">
        <v>355</v>
      </c>
      <c r="B31" s="255"/>
      <c r="C31" s="109" t="s">
        <v>330</v>
      </c>
      <c r="D31" s="302" t="s">
        <v>348</v>
      </c>
      <c r="E31" s="302"/>
      <c r="F31" s="190">
        <v>4.5999999999999999E-3</v>
      </c>
      <c r="G31" s="190">
        <v>5.4000000000000003E-3</v>
      </c>
      <c r="H31" s="190">
        <v>9.1999999999999998E-3</v>
      </c>
      <c r="I31" s="190">
        <v>7.7000000000000002E-3</v>
      </c>
      <c r="J31" s="190">
        <f t="shared" si="0"/>
        <v>6.8999999999999999E-3</v>
      </c>
      <c r="K31" s="190">
        <f t="shared" si="1"/>
        <v>6.5500000000000003E-3</v>
      </c>
    </row>
    <row r="32" spans="1:11" s="12" customFormat="1" ht="23.25" customHeight="1" x14ac:dyDescent="0.25">
      <c r="A32" s="255" t="s">
        <v>356</v>
      </c>
      <c r="B32" s="255"/>
      <c r="C32" s="109" t="s">
        <v>330</v>
      </c>
      <c r="D32" s="302" t="s">
        <v>348</v>
      </c>
      <c r="E32" s="302"/>
      <c r="F32" s="190">
        <v>1.4E-3</v>
      </c>
      <c r="G32" s="190">
        <v>1.4E-3</v>
      </c>
      <c r="H32" s="190">
        <v>1.2999999999999999E-3</v>
      </c>
      <c r="I32" s="190">
        <v>1.2999999999999999E-3</v>
      </c>
      <c r="J32" s="190">
        <f t="shared" si="0"/>
        <v>1.3500000000000001E-3</v>
      </c>
      <c r="K32" s="190">
        <f t="shared" si="1"/>
        <v>1.3500000000000001E-3</v>
      </c>
    </row>
    <row r="33" spans="1:11" s="12" customFormat="1" ht="23.25" customHeight="1" x14ac:dyDescent="0.25">
      <c r="A33" s="255" t="s">
        <v>357</v>
      </c>
      <c r="B33" s="255"/>
      <c r="C33" s="109" t="s">
        <v>330</v>
      </c>
      <c r="D33" s="302" t="s">
        <v>348</v>
      </c>
      <c r="E33" s="302"/>
      <c r="F33" s="190">
        <v>1.4E-3</v>
      </c>
      <c r="G33" s="190">
        <v>1.4E-3</v>
      </c>
      <c r="H33" s="190">
        <v>1.2999999999999999E-3</v>
      </c>
      <c r="I33" s="190">
        <v>1.2999999999999999E-3</v>
      </c>
      <c r="J33" s="190">
        <f t="shared" si="0"/>
        <v>1.3500000000000001E-3</v>
      </c>
      <c r="K33" s="190">
        <f t="shared" si="1"/>
        <v>1.3500000000000001E-3</v>
      </c>
    </row>
    <row r="34" spans="1:11" s="12" customFormat="1" ht="23.25" customHeight="1" x14ac:dyDescent="0.25">
      <c r="A34" s="255" t="s">
        <v>358</v>
      </c>
      <c r="B34" s="255"/>
      <c r="C34" s="109" t="s">
        <v>330</v>
      </c>
      <c r="D34" s="302" t="s">
        <v>348</v>
      </c>
      <c r="E34" s="302"/>
      <c r="F34" s="190">
        <v>1.6999999999999999E-3</v>
      </c>
      <c r="G34" s="190">
        <v>1.6999999999999999E-3</v>
      </c>
      <c r="H34" s="190">
        <v>1.9E-3</v>
      </c>
      <c r="I34" s="190">
        <v>1.4E-3</v>
      </c>
      <c r="J34" s="190">
        <f t="shared" si="0"/>
        <v>1.8E-3</v>
      </c>
      <c r="K34" s="190">
        <f t="shared" si="1"/>
        <v>1.5499999999999999E-3</v>
      </c>
    </row>
    <row r="35" spans="1:11" s="12" customFormat="1" ht="23.25" customHeight="1" x14ac:dyDescent="0.25">
      <c r="A35" s="255" t="s">
        <v>359</v>
      </c>
      <c r="B35" s="255"/>
      <c r="C35" s="109" t="s">
        <v>330</v>
      </c>
      <c r="D35" s="302" t="s">
        <v>348</v>
      </c>
      <c r="E35" s="302"/>
      <c r="F35" s="190">
        <v>5.7000000000000002E-3</v>
      </c>
      <c r="G35" s="190">
        <v>1.4E-3</v>
      </c>
      <c r="H35" s="190">
        <v>2.5999999999999999E-3</v>
      </c>
      <c r="I35" s="190">
        <v>2.3999999999999998E-3</v>
      </c>
      <c r="J35" s="190">
        <f t="shared" si="0"/>
        <v>4.15E-3</v>
      </c>
      <c r="K35" s="190">
        <f t="shared" si="1"/>
        <v>1.8999999999999998E-3</v>
      </c>
    </row>
    <row r="36" spans="1:11" s="12" customFormat="1" ht="23.25" customHeight="1" x14ac:dyDescent="0.25">
      <c r="A36" s="255" t="s">
        <v>360</v>
      </c>
      <c r="B36" s="255"/>
      <c r="C36" s="109" t="s">
        <v>330</v>
      </c>
      <c r="D36" s="302" t="s">
        <v>348</v>
      </c>
      <c r="E36" s="302"/>
      <c r="F36" s="190">
        <v>1.4E-3</v>
      </c>
      <c r="G36" s="190">
        <v>1.4E-3</v>
      </c>
      <c r="H36" s="190">
        <v>1.2999999999999999E-3</v>
      </c>
      <c r="I36" s="190">
        <v>1.2999999999999999E-3</v>
      </c>
      <c r="J36" s="190">
        <f t="shared" si="0"/>
        <v>1.3500000000000001E-3</v>
      </c>
      <c r="K36" s="190">
        <f t="shared" si="1"/>
        <v>1.3500000000000001E-3</v>
      </c>
    </row>
    <row r="37" spans="1:11" s="12" customFormat="1" ht="23.25" customHeight="1" x14ac:dyDescent="0.25">
      <c r="A37" s="255" t="s">
        <v>361</v>
      </c>
      <c r="B37" s="255"/>
      <c r="C37" s="109" t="s">
        <v>330</v>
      </c>
      <c r="D37" s="302" t="s">
        <v>348</v>
      </c>
      <c r="E37" s="302"/>
      <c r="F37" s="190">
        <v>1.4E-3</v>
      </c>
      <c r="G37" s="190">
        <v>1.4E-3</v>
      </c>
      <c r="H37" s="190">
        <v>1.2999999999999999E-3</v>
      </c>
      <c r="I37" s="190">
        <v>1.2999999999999999E-3</v>
      </c>
      <c r="J37" s="190">
        <f t="shared" si="0"/>
        <v>1.3500000000000001E-3</v>
      </c>
      <c r="K37" s="190">
        <f t="shared" si="1"/>
        <v>1.3500000000000001E-3</v>
      </c>
    </row>
    <row r="38" spans="1:11" s="12" customFormat="1" ht="23.25" customHeight="1" x14ac:dyDescent="0.25">
      <c r="A38" s="255" t="s">
        <v>362</v>
      </c>
      <c r="B38" s="255"/>
      <c r="C38" s="109" t="s">
        <v>330</v>
      </c>
      <c r="D38" s="302" t="s">
        <v>348</v>
      </c>
      <c r="E38" s="302"/>
      <c r="F38" s="190">
        <v>9.2999999999999999E-2</v>
      </c>
      <c r="G38" s="190">
        <v>5.3999999999999999E-2</v>
      </c>
      <c r="H38" s="190">
        <v>4.4999999999999998E-2</v>
      </c>
      <c r="I38" s="190">
        <v>4.3999999999999997E-2</v>
      </c>
      <c r="J38" s="190">
        <f t="shared" si="0"/>
        <v>6.9000000000000006E-2</v>
      </c>
      <c r="K38" s="190">
        <f t="shared" si="1"/>
        <v>4.9000000000000002E-2</v>
      </c>
    </row>
    <row r="39" spans="1:11" s="12" customFormat="1" ht="23.25" customHeight="1" x14ac:dyDescent="0.25">
      <c r="A39" s="255" t="s">
        <v>363</v>
      </c>
      <c r="B39" s="255"/>
      <c r="C39" s="109" t="s">
        <v>330</v>
      </c>
      <c r="D39" s="302" t="s">
        <v>348</v>
      </c>
      <c r="E39" s="302"/>
      <c r="F39" s="190">
        <v>1.6000000000000001E-3</v>
      </c>
      <c r="G39" s="190">
        <v>1.4E-3</v>
      </c>
      <c r="H39" s="190">
        <v>1.8E-3</v>
      </c>
      <c r="I39" s="190">
        <v>1.4E-3</v>
      </c>
      <c r="J39" s="190">
        <f t="shared" si="0"/>
        <v>1.7000000000000001E-3</v>
      </c>
      <c r="K39" s="190">
        <f t="shared" si="1"/>
        <v>1.4E-3</v>
      </c>
    </row>
    <row r="40" spans="1:11" s="12" customFormat="1" ht="23.25" customHeight="1" x14ac:dyDescent="0.25">
      <c r="A40" s="255" t="s">
        <v>364</v>
      </c>
      <c r="B40" s="255"/>
      <c r="C40" s="109" t="s">
        <v>330</v>
      </c>
      <c r="D40" s="302" t="s">
        <v>348</v>
      </c>
      <c r="E40" s="302"/>
      <c r="F40" s="190">
        <v>6.0999999999999999E-2</v>
      </c>
      <c r="G40" s="190">
        <v>8.6999999999999994E-2</v>
      </c>
      <c r="H40" s="190">
        <v>0.71</v>
      </c>
      <c r="I40" s="190">
        <v>0.69</v>
      </c>
      <c r="J40" s="190">
        <f t="shared" si="0"/>
        <v>0.38549999999999995</v>
      </c>
      <c r="K40" s="190">
        <f t="shared" si="1"/>
        <v>0.38849999999999996</v>
      </c>
    </row>
    <row r="41" spans="1:11" x14ac:dyDescent="0.25">
      <c r="A41" s="289" t="s">
        <v>304</v>
      </c>
      <c r="B41" s="289"/>
      <c r="C41" s="289"/>
      <c r="D41" s="289"/>
      <c r="E41" s="289"/>
      <c r="F41" s="289"/>
      <c r="G41" s="289"/>
      <c r="H41" s="289"/>
      <c r="I41" s="289"/>
      <c r="J41" s="289"/>
      <c r="K41" s="289"/>
    </row>
    <row r="42" spans="1:11" x14ac:dyDescent="0.25">
      <c r="A42" s="346"/>
      <c r="B42" s="346"/>
      <c r="C42" s="346"/>
      <c r="D42" s="346"/>
      <c r="E42" s="346"/>
      <c r="F42" s="346"/>
      <c r="G42" s="346"/>
      <c r="H42" s="346"/>
      <c r="I42" s="346"/>
      <c r="J42" s="346"/>
      <c r="K42" s="346"/>
    </row>
    <row r="43" spans="1:11" x14ac:dyDescent="0.25">
      <c r="A43" s="346"/>
      <c r="B43" s="346"/>
      <c r="C43" s="346"/>
      <c r="D43" s="346"/>
      <c r="E43" s="346"/>
      <c r="F43" s="346"/>
      <c r="G43" s="346"/>
      <c r="H43" s="346"/>
      <c r="I43" s="346"/>
      <c r="J43" s="346"/>
      <c r="K43" s="346"/>
    </row>
    <row r="64" spans="6:6" x14ac:dyDescent="0.25">
      <c r="F64" s="3"/>
    </row>
  </sheetData>
  <mergeCells count="68">
    <mergeCell ref="D19:E19"/>
    <mergeCell ref="D30:E30"/>
    <mergeCell ref="D36:E36"/>
    <mergeCell ref="D20:E20"/>
    <mergeCell ref="D21:E21"/>
    <mergeCell ref="D22:E22"/>
    <mergeCell ref="D25:E25"/>
    <mergeCell ref="D26:E26"/>
    <mergeCell ref="D27:E27"/>
    <mergeCell ref="D34:E34"/>
    <mergeCell ref="D28:E28"/>
    <mergeCell ref="D29:E29"/>
    <mergeCell ref="D31:E31"/>
    <mergeCell ref="D14:E14"/>
    <mergeCell ref="D15:E15"/>
    <mergeCell ref="D16:E16"/>
    <mergeCell ref="D17:E17"/>
    <mergeCell ref="D18:E18"/>
    <mergeCell ref="A41:K41"/>
    <mergeCell ref="A20:B20"/>
    <mergeCell ref="A21:B21"/>
    <mergeCell ref="A22:B22"/>
    <mergeCell ref="D37:E37"/>
    <mergeCell ref="D38:E38"/>
    <mergeCell ref="A36:B36"/>
    <mergeCell ref="A37:B37"/>
    <mergeCell ref="A38:B38"/>
    <mergeCell ref="A39:B39"/>
    <mergeCell ref="A27:B27"/>
    <mergeCell ref="D35:E35"/>
    <mergeCell ref="A23:B23"/>
    <mergeCell ref="D23:E23"/>
    <mergeCell ref="A24:B24"/>
    <mergeCell ref="D24:E24"/>
    <mergeCell ref="A42:K43"/>
    <mergeCell ref="A28:B28"/>
    <mergeCell ref="A29:B29"/>
    <mergeCell ref="A25:B25"/>
    <mergeCell ref="A26:B26"/>
    <mergeCell ref="A40:B40"/>
    <mergeCell ref="A30:B30"/>
    <mergeCell ref="A31:B31"/>
    <mergeCell ref="A32:B32"/>
    <mergeCell ref="A33:B33"/>
    <mergeCell ref="A34:B34"/>
    <mergeCell ref="A35:B35"/>
    <mergeCell ref="D40:E40"/>
    <mergeCell ref="D32:E32"/>
    <mergeCell ref="D33:E33"/>
    <mergeCell ref="D39:E39"/>
    <mergeCell ref="A17:B17"/>
    <mergeCell ref="A18:B18"/>
    <mergeCell ref="A19:B19"/>
    <mergeCell ref="A14:B14"/>
    <mergeCell ref="A15:B15"/>
    <mergeCell ref="A16:B16"/>
    <mergeCell ref="A13:B13"/>
    <mergeCell ref="D12:E12"/>
    <mergeCell ref="D13:E13"/>
    <mergeCell ref="A10:B11"/>
    <mergeCell ref="D10:E11"/>
    <mergeCell ref="C10:C11"/>
    <mergeCell ref="N6:Q9"/>
    <mergeCell ref="N10:Q12"/>
    <mergeCell ref="A9:K9"/>
    <mergeCell ref="A6:K7"/>
    <mergeCell ref="A12:B12"/>
    <mergeCell ref="J10:K10"/>
  </mergeCells>
  <pageMargins left="0.25" right="0.25" top="0.75" bottom="0.75" header="0.3" footer="0.3"/>
  <pageSetup paperSize="9" scale="85"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P66"/>
  <sheetViews>
    <sheetView topLeftCell="A20" workbookViewId="0">
      <selection activeCell="F55" sqref="F55"/>
    </sheetView>
  </sheetViews>
  <sheetFormatPr defaultColWidth="9.33203125" defaultRowHeight="15" x14ac:dyDescent="0.25"/>
  <cols>
    <col min="1" max="1" width="21.33203125" style="2" customWidth="1"/>
    <col min="2" max="2" width="13.6640625" style="2" customWidth="1"/>
    <col min="3" max="3" width="16.33203125" style="2" customWidth="1"/>
    <col min="4" max="12" width="9.33203125" style="2"/>
    <col min="13" max="13" width="10.44140625" style="2" customWidth="1"/>
    <col min="14" max="16384" width="9.33203125" style="2"/>
  </cols>
  <sheetData>
    <row r="1" spans="1:16" x14ac:dyDescent="0.25">
      <c r="A1" s="92" t="str">
        <f>+'Cover Page'!$B$29</f>
        <v>Annual Performance Report 2022</v>
      </c>
      <c r="B1" s="92"/>
      <c r="C1" s="92"/>
      <c r="D1" s="92"/>
      <c r="E1" s="92"/>
      <c r="F1" s="92"/>
      <c r="G1" s="92"/>
      <c r="H1" s="92"/>
      <c r="I1" s="92" t="str">
        <f>+'Cover Page'!$B$33</f>
        <v>Staffordshire Energy Recovery Facility</v>
      </c>
      <c r="J1" s="92"/>
      <c r="K1" s="92"/>
      <c r="L1" s="92"/>
      <c r="M1" s="92"/>
      <c r="N1" s="92"/>
      <c r="O1" s="92"/>
      <c r="P1" s="92"/>
    </row>
    <row r="3" spans="1:16" ht="15.6" x14ac:dyDescent="0.3">
      <c r="A3" s="1" t="s">
        <v>365</v>
      </c>
      <c r="B3" s="92"/>
      <c r="C3" s="92"/>
      <c r="D3" s="92"/>
      <c r="E3" s="92"/>
      <c r="F3" s="92"/>
      <c r="G3" s="92"/>
      <c r="H3" s="92"/>
      <c r="I3" s="92"/>
      <c r="J3" s="92"/>
      <c r="K3" s="92"/>
      <c r="L3" s="92"/>
      <c r="M3" s="92"/>
      <c r="N3" s="92"/>
      <c r="O3" s="92"/>
      <c r="P3" s="92"/>
    </row>
    <row r="4" spans="1:16" ht="15.6" x14ac:dyDescent="0.3">
      <c r="A4" s="1"/>
      <c r="B4" s="92"/>
      <c r="C4" s="92"/>
      <c r="D4" s="92"/>
      <c r="E4" s="92"/>
      <c r="F4" s="92"/>
      <c r="G4" s="92"/>
      <c r="H4" s="92"/>
      <c r="I4" s="92"/>
      <c r="J4" s="92"/>
      <c r="K4" s="92"/>
      <c r="L4" s="92"/>
      <c r="M4" s="92"/>
      <c r="N4" s="92"/>
      <c r="O4" s="92"/>
      <c r="P4" s="73" t="s">
        <v>3</v>
      </c>
    </row>
    <row r="5" spans="1:16" s="3" customFormat="1" ht="21.75" customHeight="1" x14ac:dyDescent="0.3">
      <c r="A5" s="48" t="s">
        <v>315</v>
      </c>
      <c r="B5" s="49"/>
      <c r="C5" s="49"/>
      <c r="D5" s="49"/>
      <c r="E5" s="49"/>
      <c r="F5" s="49"/>
      <c r="G5" s="49"/>
      <c r="H5" s="49"/>
      <c r="I5" s="49"/>
      <c r="J5" s="49"/>
      <c r="K5" s="49"/>
      <c r="L5" s="49"/>
      <c r="M5" s="50"/>
      <c r="P5" s="74" t="s">
        <v>366</v>
      </c>
    </row>
    <row r="6" spans="1:16" s="3" customFormat="1" ht="15.75" customHeight="1" x14ac:dyDescent="0.25">
      <c r="A6" s="331" t="s">
        <v>367</v>
      </c>
      <c r="B6" s="237"/>
      <c r="C6" s="237"/>
      <c r="D6" s="237"/>
      <c r="E6" s="237"/>
      <c r="F6" s="237"/>
      <c r="G6" s="237"/>
      <c r="H6" s="237"/>
      <c r="I6" s="237"/>
      <c r="J6" s="237"/>
      <c r="K6" s="237"/>
      <c r="L6" s="237"/>
      <c r="M6" s="238"/>
      <c r="P6" s="3" t="s">
        <v>368</v>
      </c>
    </row>
    <row r="7" spans="1:16" s="3" customFormat="1" ht="15.75" customHeight="1" x14ac:dyDescent="0.25">
      <c r="A7" s="242"/>
      <c r="B7" s="243"/>
      <c r="C7" s="243"/>
      <c r="D7" s="243"/>
      <c r="E7" s="243"/>
      <c r="F7" s="243"/>
      <c r="G7" s="243"/>
      <c r="H7" s="243"/>
      <c r="I7" s="243"/>
      <c r="J7" s="243"/>
      <c r="K7" s="243"/>
      <c r="L7" s="243"/>
      <c r="M7" s="244"/>
    </row>
    <row r="8" spans="1:16" s="3" customFormat="1" ht="15.75" customHeight="1" x14ac:dyDescent="0.25">
      <c r="A8" s="228"/>
      <c r="B8" s="229"/>
      <c r="C8" s="229"/>
      <c r="D8" s="229"/>
      <c r="E8" s="229"/>
      <c r="F8" s="229"/>
      <c r="G8" s="229"/>
      <c r="H8" s="229"/>
      <c r="I8" s="229"/>
      <c r="J8" s="229"/>
      <c r="K8" s="229"/>
      <c r="L8" s="229"/>
      <c r="M8" s="230"/>
    </row>
    <row r="9" spans="1:16" s="3" customFormat="1" ht="15.75" customHeight="1" x14ac:dyDescent="0.25">
      <c r="A9" s="234"/>
      <c r="B9" s="235"/>
      <c r="C9" s="235"/>
      <c r="D9" s="235"/>
      <c r="E9" s="235"/>
      <c r="F9" s="235"/>
      <c r="G9" s="235"/>
      <c r="H9" s="235"/>
      <c r="I9" s="235"/>
      <c r="J9" s="235"/>
      <c r="K9" s="235"/>
      <c r="L9" s="235"/>
      <c r="M9" s="236"/>
    </row>
    <row r="10" spans="1:16" s="3" customFormat="1" ht="13.8" x14ac:dyDescent="0.25"/>
    <row r="11" spans="1:16" s="56" customFormat="1" ht="16.5" customHeight="1" x14ac:dyDescent="0.25">
      <c r="A11" s="345" t="s">
        <v>369</v>
      </c>
      <c r="B11" s="345"/>
      <c r="C11" s="345"/>
      <c r="D11" s="345"/>
      <c r="E11" s="345"/>
      <c r="F11" s="345"/>
      <c r="G11" s="345"/>
      <c r="H11" s="345"/>
      <c r="I11" s="345"/>
      <c r="J11" s="345"/>
      <c r="K11" s="345"/>
      <c r="L11" s="345"/>
      <c r="M11" s="345"/>
    </row>
    <row r="12" spans="1:16" s="56" customFormat="1" ht="16.5" customHeight="1" x14ac:dyDescent="0.25">
      <c r="A12" s="380" t="s">
        <v>219</v>
      </c>
      <c r="B12" s="376" t="s">
        <v>370</v>
      </c>
      <c r="C12" s="319" t="s">
        <v>320</v>
      </c>
      <c r="D12" s="320" t="s">
        <v>192</v>
      </c>
      <c r="E12" s="382"/>
      <c r="F12" s="320" t="s">
        <v>193</v>
      </c>
      <c r="G12" s="382"/>
      <c r="H12" s="320" t="s">
        <v>194</v>
      </c>
      <c r="I12" s="382"/>
      <c r="J12" s="320" t="s">
        <v>195</v>
      </c>
      <c r="K12" s="382"/>
      <c r="L12" s="320" t="s">
        <v>196</v>
      </c>
      <c r="M12" s="382"/>
    </row>
    <row r="13" spans="1:16" s="12" customFormat="1" ht="17.25" customHeight="1" x14ac:dyDescent="0.25">
      <c r="A13" s="380"/>
      <c r="B13" s="381"/>
      <c r="C13" s="319"/>
      <c r="D13" s="46" t="s">
        <v>309</v>
      </c>
      <c r="E13" s="57" t="s">
        <v>371</v>
      </c>
      <c r="F13" s="46" t="s">
        <v>309</v>
      </c>
      <c r="G13" s="57" t="s">
        <v>371</v>
      </c>
      <c r="H13" s="46" t="s">
        <v>309</v>
      </c>
      <c r="I13" s="57" t="s">
        <v>371</v>
      </c>
      <c r="J13" s="46" t="s">
        <v>309</v>
      </c>
      <c r="K13" s="57" t="s">
        <v>371</v>
      </c>
      <c r="L13" s="46" t="s">
        <v>309</v>
      </c>
      <c r="M13" s="57" t="s">
        <v>371</v>
      </c>
      <c r="N13" s="132"/>
      <c r="O13" s="132"/>
      <c r="P13" s="132"/>
    </row>
    <row r="14" spans="1:16" s="12" customFormat="1" ht="23.25" customHeight="1" x14ac:dyDescent="0.25">
      <c r="A14" s="255" t="s">
        <v>225</v>
      </c>
      <c r="B14" s="106" t="s">
        <v>372</v>
      </c>
      <c r="C14" s="106" t="s">
        <v>373</v>
      </c>
      <c r="D14" s="192">
        <f>NOx!O19</f>
        <v>181.4</v>
      </c>
      <c r="E14" s="192">
        <f>NOx!N19</f>
        <v>157.76666666666668</v>
      </c>
      <c r="F14" s="192">
        <f>NOx!O34</f>
        <v>178.6</v>
      </c>
      <c r="G14" s="192">
        <f>NOx!N19</f>
        <v>157.76666666666668</v>
      </c>
      <c r="H14" s="193"/>
      <c r="I14" s="193"/>
      <c r="J14" s="193"/>
      <c r="K14" s="193"/>
      <c r="L14" s="193"/>
      <c r="M14" s="193"/>
      <c r="N14" s="132"/>
      <c r="O14" s="132"/>
      <c r="P14" s="132"/>
    </row>
    <row r="15" spans="1:16" s="12" customFormat="1" ht="23.25" customHeight="1" x14ac:dyDescent="0.25">
      <c r="A15" s="255"/>
      <c r="B15" s="106" t="s">
        <v>374</v>
      </c>
      <c r="C15" s="106" t="s">
        <v>375</v>
      </c>
      <c r="D15" s="192">
        <f>NOx!M19</f>
        <v>303.39999999999998</v>
      </c>
      <c r="E15" s="192">
        <f>NOx!L19</f>
        <v>157.80000000000001</v>
      </c>
      <c r="F15" s="192">
        <f>NOx!M34</f>
        <v>312.8</v>
      </c>
      <c r="G15" s="192">
        <f>NOx!L34</f>
        <v>161.55833333333334</v>
      </c>
      <c r="H15" s="193"/>
      <c r="I15" s="193"/>
      <c r="J15" s="193"/>
      <c r="K15" s="193"/>
      <c r="L15" s="193"/>
      <c r="M15" s="193"/>
      <c r="N15" s="132"/>
      <c r="O15" s="132"/>
      <c r="P15" s="132"/>
    </row>
    <row r="16" spans="1:16" s="12" customFormat="1" ht="23.25" customHeight="1" x14ac:dyDescent="0.25">
      <c r="A16" s="378" t="s">
        <v>224</v>
      </c>
      <c r="B16" s="179" t="s">
        <v>372</v>
      </c>
      <c r="C16" s="106" t="s">
        <v>376</v>
      </c>
      <c r="D16" s="192">
        <f>Particulates!O19</f>
        <v>1.4</v>
      </c>
      <c r="E16" s="192">
        <f>Particulates!N19</f>
        <v>0.23333333333333339</v>
      </c>
      <c r="F16" s="192">
        <f>Particulates!O34</f>
        <v>0.3</v>
      </c>
      <c r="G16" s="192">
        <f>Particulates!N34</f>
        <v>0.2166666666666667</v>
      </c>
      <c r="H16" s="193"/>
      <c r="I16" s="193"/>
      <c r="J16" s="193"/>
      <c r="K16" s="193"/>
      <c r="L16" s="193"/>
      <c r="M16" s="193"/>
      <c r="N16" s="132"/>
      <c r="O16" s="132"/>
      <c r="P16" s="132"/>
    </row>
    <row r="17" spans="1:13" s="12" customFormat="1" ht="23.25" customHeight="1" x14ac:dyDescent="0.25">
      <c r="A17" s="379"/>
      <c r="B17" s="106" t="s">
        <v>374</v>
      </c>
      <c r="C17" s="106" t="s">
        <v>377</v>
      </c>
      <c r="D17" s="192">
        <f>Particulates!M19</f>
        <v>8.3000000000000007</v>
      </c>
      <c r="E17" s="192">
        <f>Particulates!L19</f>
        <v>0.3166666666666666</v>
      </c>
      <c r="F17" s="192">
        <f>Particulates!M34</f>
        <v>0.6</v>
      </c>
      <c r="G17" s="192">
        <f>Particulates!L34</f>
        <v>0.29166666666666663</v>
      </c>
      <c r="H17" s="193"/>
      <c r="I17" s="193"/>
      <c r="J17" s="193"/>
      <c r="K17" s="193"/>
      <c r="L17" s="193"/>
      <c r="M17" s="193"/>
    </row>
    <row r="18" spans="1:13" s="12" customFormat="1" ht="23.25" customHeight="1" x14ac:dyDescent="0.25">
      <c r="A18" s="378" t="s">
        <v>378</v>
      </c>
      <c r="B18" s="106" t="s">
        <v>372</v>
      </c>
      <c r="C18" s="106" t="s">
        <v>379</v>
      </c>
      <c r="D18" s="192">
        <f>TOC!O19</f>
        <v>1.8</v>
      </c>
      <c r="E18" s="192">
        <f>TOC!N19</f>
        <v>6.6666666666666666E-2</v>
      </c>
      <c r="F18" s="192">
        <f>TOC!O34</f>
        <v>1.4</v>
      </c>
      <c r="G18" s="192">
        <f>TOC!N34</f>
        <v>8.3333333333333332E-3</v>
      </c>
      <c r="H18" s="193"/>
      <c r="I18" s="193"/>
      <c r="J18" s="193"/>
      <c r="K18" s="193"/>
      <c r="L18" s="193"/>
      <c r="M18" s="193"/>
    </row>
    <row r="19" spans="1:13" s="12" customFormat="1" ht="23.25" customHeight="1" x14ac:dyDescent="0.25">
      <c r="A19" s="379"/>
      <c r="B19" s="106" t="s">
        <v>374</v>
      </c>
      <c r="C19" s="106" t="s">
        <v>380</v>
      </c>
      <c r="D19" s="192">
        <f>TOC!M19</f>
        <v>13.2</v>
      </c>
      <c r="E19" s="192">
        <f>TOC!L19</f>
        <v>8.3333333333333356E-2</v>
      </c>
      <c r="F19" s="192">
        <f>TOC!M34</f>
        <v>11.4</v>
      </c>
      <c r="G19" s="192">
        <f>TOC!L34</f>
        <v>1.6666666666666666E-2</v>
      </c>
      <c r="H19" s="193"/>
      <c r="I19" s="193"/>
      <c r="J19" s="193"/>
      <c r="K19" s="193"/>
      <c r="L19" s="193"/>
      <c r="M19" s="193"/>
    </row>
    <row r="20" spans="1:13" s="12" customFormat="1" ht="23.25" customHeight="1" x14ac:dyDescent="0.25">
      <c r="A20" s="378" t="s">
        <v>381</v>
      </c>
      <c r="B20" s="106" t="s">
        <v>372</v>
      </c>
      <c r="C20" s="106" t="s">
        <v>379</v>
      </c>
      <c r="D20" s="192">
        <f>HCl!O19</f>
        <v>7.6</v>
      </c>
      <c r="E20" s="192">
        <f>HCl!N19</f>
        <v>3.9583333333333335</v>
      </c>
      <c r="F20" s="192">
        <f>HCl!O34</f>
        <v>8.1</v>
      </c>
      <c r="G20" s="192">
        <f>HCl!N34</f>
        <v>4.083333333333333</v>
      </c>
      <c r="H20" s="193"/>
      <c r="I20" s="193"/>
      <c r="J20" s="193"/>
      <c r="K20" s="193"/>
      <c r="L20" s="193"/>
      <c r="M20" s="193"/>
    </row>
    <row r="21" spans="1:13" s="12" customFormat="1" ht="23.25" customHeight="1" x14ac:dyDescent="0.25">
      <c r="A21" s="379"/>
      <c r="B21" s="106" t="s">
        <v>374</v>
      </c>
      <c r="C21" s="106" t="s">
        <v>382</v>
      </c>
      <c r="D21" s="192">
        <f>HCl!M19</f>
        <v>36.700000000000003</v>
      </c>
      <c r="E21" s="192">
        <f>HCl!L19</f>
        <v>3.9916666666666671</v>
      </c>
      <c r="F21" s="192">
        <f>HCl!M34</f>
        <v>29.2</v>
      </c>
      <c r="G21" s="192">
        <f>HCl!L34</f>
        <v>4.1416666666666666</v>
      </c>
      <c r="H21" s="193"/>
      <c r="I21" s="193"/>
      <c r="J21" s="193"/>
      <c r="K21" s="193"/>
      <c r="L21" s="193"/>
      <c r="M21" s="193"/>
    </row>
    <row r="22" spans="1:13" s="12" customFormat="1" ht="23.25" customHeight="1" x14ac:dyDescent="0.25">
      <c r="A22" s="378" t="s">
        <v>226</v>
      </c>
      <c r="B22" s="106" t="s">
        <v>372</v>
      </c>
      <c r="C22" s="106" t="s">
        <v>383</v>
      </c>
      <c r="D22" s="192">
        <f>'SO2'!O19</f>
        <v>48.1</v>
      </c>
      <c r="E22" s="192">
        <f>'SO2'!N19</f>
        <v>35.18333333333333</v>
      </c>
      <c r="F22" s="192">
        <f>'SO2'!O34</f>
        <v>48.4</v>
      </c>
      <c r="G22" s="192">
        <f>'SO2'!N34</f>
        <v>38.366666666666667</v>
      </c>
      <c r="H22" s="193"/>
      <c r="I22" s="193"/>
      <c r="J22" s="193"/>
      <c r="K22" s="193"/>
      <c r="L22" s="193"/>
      <c r="M22" s="193"/>
    </row>
    <row r="23" spans="1:13" s="12" customFormat="1" ht="23.25" customHeight="1" x14ac:dyDescent="0.25">
      <c r="A23" s="379"/>
      <c r="B23" s="106" t="s">
        <v>374</v>
      </c>
      <c r="C23" s="106" t="s">
        <v>373</v>
      </c>
      <c r="D23" s="192">
        <f>'SO2'!M19</f>
        <v>252.2</v>
      </c>
      <c r="E23" s="192">
        <f>'SO2'!L19</f>
        <v>35.091666666666669</v>
      </c>
      <c r="F23" s="192">
        <f>'SO2'!M34</f>
        <v>169.5</v>
      </c>
      <c r="G23" s="192">
        <f>'SO2'!L34</f>
        <v>38.341666666666676</v>
      </c>
      <c r="H23" s="193"/>
      <c r="I23" s="193"/>
      <c r="J23" s="193"/>
      <c r="K23" s="193"/>
      <c r="L23" s="193"/>
      <c r="M23" s="193"/>
    </row>
    <row r="24" spans="1:13" s="12" customFormat="1" ht="23.25" customHeight="1" x14ac:dyDescent="0.25">
      <c r="A24" s="378" t="s">
        <v>384</v>
      </c>
      <c r="B24" s="106" t="s">
        <v>372</v>
      </c>
      <c r="C24" s="106" t="s">
        <v>383</v>
      </c>
      <c r="D24" s="192">
        <f>'CO 95% 10 min'!Q19</f>
        <v>8.6</v>
      </c>
      <c r="E24" s="192">
        <f>'CO 95% 10 min'!P19</f>
        <v>3.0083333333333333</v>
      </c>
      <c r="F24" s="192">
        <f>'CO 95% 10 min'!Q34</f>
        <v>17.600000000000001</v>
      </c>
      <c r="G24" s="192">
        <f>'CO 95% 10 min'!P34</f>
        <v>2.7249999999999996</v>
      </c>
      <c r="H24" s="193"/>
      <c r="I24" s="193"/>
      <c r="J24" s="193"/>
      <c r="K24" s="193"/>
      <c r="L24" s="193"/>
      <c r="M24" s="193"/>
    </row>
    <row r="25" spans="1:13" s="12" customFormat="1" ht="23.25" hidden="1" customHeight="1" x14ac:dyDescent="0.25">
      <c r="A25" s="383"/>
      <c r="B25" s="190" t="s">
        <v>385</v>
      </c>
      <c r="C25" s="190" t="s">
        <v>386</v>
      </c>
      <c r="D25" s="192"/>
      <c r="E25" s="192"/>
      <c r="F25" s="192"/>
      <c r="G25" s="192"/>
      <c r="H25" s="193"/>
      <c r="I25" s="193"/>
      <c r="J25" s="193"/>
      <c r="K25" s="193"/>
      <c r="L25" s="193"/>
      <c r="M25" s="193"/>
    </row>
    <row r="26" spans="1:13" s="12" customFormat="1" ht="23.25" customHeight="1" x14ac:dyDescent="0.25">
      <c r="A26" s="379"/>
      <c r="B26" s="195" t="s">
        <v>387</v>
      </c>
      <c r="C26" s="195" t="s">
        <v>388</v>
      </c>
      <c r="D26" s="192">
        <f>'CO 95% 10 min'!M19</f>
        <v>6.9083333333333341</v>
      </c>
      <c r="E26" s="192">
        <f>'CO 95% 10 min'!N19</f>
        <v>3.0500000000000003</v>
      </c>
      <c r="F26" s="192">
        <f>'CO 95% 10 min'!M34</f>
        <v>8.8416666666666668</v>
      </c>
      <c r="G26" s="192">
        <f>'CO 95% 10 min'!N34</f>
        <v>2.7749999999999999</v>
      </c>
      <c r="H26" s="193"/>
      <c r="I26" s="193"/>
      <c r="J26" s="193"/>
      <c r="K26" s="193"/>
      <c r="L26" s="193"/>
      <c r="M26" s="193"/>
    </row>
    <row r="27" spans="1:13" s="12" customFormat="1" ht="23.25" customHeight="1" x14ac:dyDescent="0.25">
      <c r="A27" s="194" t="s">
        <v>389</v>
      </c>
      <c r="B27" s="196" t="s">
        <v>372</v>
      </c>
      <c r="C27" s="196" t="s">
        <v>390</v>
      </c>
      <c r="D27" s="197">
        <f>'NH3'!O19</f>
        <v>5.4</v>
      </c>
      <c r="E27" s="197">
        <f>'NH3'!N19</f>
        <v>2</v>
      </c>
      <c r="F27" s="197">
        <f>'NH3'!O34</f>
        <v>3.1</v>
      </c>
      <c r="G27" s="197">
        <f>'NH3'!N34</f>
        <v>1.25</v>
      </c>
      <c r="H27" s="198"/>
      <c r="I27" s="198"/>
      <c r="J27" s="198"/>
      <c r="K27" s="198"/>
      <c r="L27" s="198"/>
      <c r="M27" s="198"/>
    </row>
    <row r="28" spans="1:13" x14ac:dyDescent="0.25">
      <c r="A28" s="384" t="s">
        <v>391</v>
      </c>
      <c r="B28" s="385"/>
      <c r="C28" s="385"/>
      <c r="D28" s="385"/>
      <c r="E28" s="385"/>
      <c r="F28" s="385"/>
      <c r="G28" s="385"/>
      <c r="H28" s="385"/>
      <c r="I28" s="385"/>
      <c r="J28" s="385"/>
      <c r="K28" s="385"/>
      <c r="L28" s="385"/>
      <c r="M28" s="386"/>
    </row>
    <row r="29" spans="1:13" x14ac:dyDescent="0.25">
      <c r="A29" s="83" t="s">
        <v>304</v>
      </c>
      <c r="B29" s="84"/>
      <c r="C29" s="84"/>
      <c r="D29" s="84"/>
      <c r="E29" s="84"/>
      <c r="F29" s="84"/>
      <c r="G29" s="84"/>
      <c r="H29" s="84"/>
      <c r="I29" s="84"/>
      <c r="J29" s="84"/>
      <c r="K29" s="84"/>
      <c r="L29" s="84"/>
      <c r="M29" s="85"/>
    </row>
    <row r="30" spans="1:13" x14ac:dyDescent="0.25">
      <c r="A30" s="387"/>
      <c r="B30" s="387"/>
      <c r="C30" s="387"/>
      <c r="D30" s="387"/>
      <c r="E30" s="387"/>
      <c r="F30" s="387"/>
      <c r="G30" s="387"/>
      <c r="H30" s="387"/>
      <c r="I30" s="387"/>
      <c r="J30" s="387"/>
      <c r="K30" s="387"/>
      <c r="L30" s="387"/>
      <c r="M30" s="387"/>
    </row>
    <row r="31" spans="1:13" x14ac:dyDescent="0.25">
      <c r="A31" s="346"/>
      <c r="B31" s="346"/>
      <c r="C31" s="346"/>
      <c r="D31" s="346"/>
      <c r="E31" s="346"/>
      <c r="F31" s="346"/>
      <c r="G31" s="346"/>
      <c r="H31" s="346"/>
      <c r="I31" s="346"/>
      <c r="J31" s="346"/>
      <c r="K31" s="346"/>
      <c r="L31" s="346"/>
      <c r="M31" s="346"/>
    </row>
    <row r="66" spans="6:6" x14ac:dyDescent="0.25">
      <c r="F66" s="3"/>
    </row>
  </sheetData>
  <mergeCells count="19">
    <mergeCell ref="A20:A21"/>
    <mergeCell ref="A22:A23"/>
    <mergeCell ref="A24:A26"/>
    <mergeCell ref="A28:M28"/>
    <mergeCell ref="A30:M31"/>
    <mergeCell ref="A16:A17"/>
    <mergeCell ref="A18:A19"/>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S77"/>
  <sheetViews>
    <sheetView topLeftCell="G16" workbookViewId="0">
      <selection activeCell="F55" sqref="F55"/>
    </sheetView>
  </sheetViews>
  <sheetFormatPr defaultRowHeight="13.8" x14ac:dyDescent="0.25"/>
  <cols>
    <col min="1" max="1" width="14" style="3" customWidth="1"/>
    <col min="2"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Staffordshire Energy Recovery Facility</v>
      </c>
      <c r="F1" s="92"/>
      <c r="G1" s="92"/>
    </row>
    <row r="3" spans="1:19" ht="14.4" x14ac:dyDescent="0.3">
      <c r="A3" s="60" t="s">
        <v>392</v>
      </c>
      <c r="D3" s="76" t="s">
        <v>393</v>
      </c>
      <c r="G3" s="80" t="s">
        <v>394</v>
      </c>
      <c r="J3" s="9" t="str">
        <f>+A3</f>
        <v>Monitoring of Hydrogen Chloride emissions</v>
      </c>
      <c r="L3" s="9"/>
      <c r="N3" s="9" t="s">
        <v>395</v>
      </c>
      <c r="Q3" s="79" t="s">
        <v>3</v>
      </c>
      <c r="R3" s="74"/>
      <c r="S3" s="74"/>
    </row>
    <row r="4" spans="1:19" ht="13.95" customHeight="1" x14ac:dyDescent="0.25">
      <c r="Q4" s="365" t="s">
        <v>396</v>
      </c>
      <c r="R4" s="365"/>
      <c r="S4" s="365"/>
    </row>
    <row r="5" spans="1:19" ht="16.2" x14ac:dyDescent="0.25">
      <c r="A5" s="68" t="s">
        <v>397</v>
      </c>
      <c r="B5" s="391" t="s">
        <v>398</v>
      </c>
      <c r="C5" s="391"/>
      <c r="D5" s="391"/>
      <c r="E5" s="391" t="s">
        <v>399</v>
      </c>
      <c r="F5" s="391"/>
      <c r="G5" s="391"/>
      <c r="J5" s="390"/>
      <c r="K5" s="390"/>
      <c r="L5" s="390"/>
      <c r="M5" s="390"/>
      <c r="N5" s="390"/>
      <c r="O5" s="390"/>
      <c r="Q5" s="365"/>
      <c r="R5" s="365"/>
      <c r="S5" s="365"/>
    </row>
    <row r="6" spans="1:19" s="58" customFormat="1" ht="37.5" customHeight="1" x14ac:dyDescent="0.3">
      <c r="A6" s="65">
        <f>+'Cover Page'!C39</f>
        <v>2022</v>
      </c>
      <c r="B6" s="55" t="s">
        <v>400</v>
      </c>
      <c r="C6" s="55" t="s">
        <v>401</v>
      </c>
      <c r="D6" s="55" t="s">
        <v>402</v>
      </c>
      <c r="E6" s="55" t="s">
        <v>403</v>
      </c>
      <c r="F6" s="55" t="s">
        <v>404</v>
      </c>
      <c r="G6" s="55" t="s">
        <v>405</v>
      </c>
      <c r="H6" s="59"/>
      <c r="J6" s="61">
        <f>+A6</f>
        <v>2022</v>
      </c>
      <c r="K6" s="61" t="s">
        <v>406</v>
      </c>
      <c r="L6" s="67" t="s">
        <v>401</v>
      </c>
      <c r="M6" s="67" t="s">
        <v>407</v>
      </c>
      <c r="N6" s="67" t="s">
        <v>404</v>
      </c>
      <c r="O6" s="67" t="s">
        <v>408</v>
      </c>
      <c r="Q6" s="365"/>
      <c r="R6" s="365"/>
      <c r="S6" s="365"/>
    </row>
    <row r="7" spans="1:19" ht="13.95" customHeight="1" x14ac:dyDescent="0.25">
      <c r="A7" s="66" t="s">
        <v>409</v>
      </c>
      <c r="B7" s="63">
        <v>50</v>
      </c>
      <c r="C7" s="64">
        <f>AVERAGE(L7,L22)</f>
        <v>3.4</v>
      </c>
      <c r="D7" s="64">
        <f>MAX(M7,M22)</f>
        <v>19.100000000000001</v>
      </c>
      <c r="E7" s="63">
        <v>10</v>
      </c>
      <c r="F7" s="64">
        <f>AVERAGE(N7,N22)</f>
        <v>3.35</v>
      </c>
      <c r="G7" s="64">
        <f>MAX(O7,O22)</f>
        <v>5.4</v>
      </c>
      <c r="J7" s="389" t="s">
        <v>192</v>
      </c>
      <c r="K7" s="66" t="s">
        <v>409</v>
      </c>
      <c r="L7" s="64">
        <v>3.5</v>
      </c>
      <c r="M7" s="64">
        <v>19.100000000000001</v>
      </c>
      <c r="N7" s="64">
        <v>3.5</v>
      </c>
      <c r="O7" s="64">
        <v>5.4</v>
      </c>
      <c r="Q7" s="365"/>
      <c r="R7" s="365"/>
      <c r="S7" s="365"/>
    </row>
    <row r="8" spans="1:19" x14ac:dyDescent="0.25">
      <c r="A8" s="66" t="s">
        <v>410</v>
      </c>
      <c r="B8" s="63">
        <v>50</v>
      </c>
      <c r="C8" s="64">
        <f t="shared" ref="C8" si="0">AVERAGE(L8,L23)</f>
        <v>2.6</v>
      </c>
      <c r="D8" s="64">
        <f t="shared" ref="D8:D18" si="1">MAX(M8,M23)</f>
        <v>9.5</v>
      </c>
      <c r="E8" s="63">
        <v>10</v>
      </c>
      <c r="F8" s="64">
        <f t="shared" ref="F8" si="2">AVERAGE(N8,N23)</f>
        <v>2.5</v>
      </c>
      <c r="G8" s="64">
        <f t="shared" ref="G8:G18" si="3">MAX(O8,O23)</f>
        <v>3.7</v>
      </c>
      <c r="J8" s="389"/>
      <c r="K8" s="66" t="s">
        <v>410</v>
      </c>
      <c r="L8" s="64">
        <v>2.6</v>
      </c>
      <c r="M8" s="64">
        <v>9.5</v>
      </c>
      <c r="N8" s="64">
        <v>2.5</v>
      </c>
      <c r="O8" s="64">
        <v>3.7</v>
      </c>
      <c r="Q8" s="365"/>
      <c r="R8" s="365"/>
      <c r="S8" s="365"/>
    </row>
    <row r="9" spans="1:19" x14ac:dyDescent="0.25">
      <c r="A9" s="66" t="s">
        <v>411</v>
      </c>
      <c r="B9" s="63">
        <v>50</v>
      </c>
      <c r="C9" s="64">
        <f t="shared" ref="C9" si="4">AVERAGE(L9,L24)</f>
        <v>3.2</v>
      </c>
      <c r="D9" s="64">
        <f t="shared" si="1"/>
        <v>17.5</v>
      </c>
      <c r="E9" s="63">
        <v>10</v>
      </c>
      <c r="F9" s="64">
        <f t="shared" ref="F9" si="5">AVERAGE(N9,N24)</f>
        <v>3.15</v>
      </c>
      <c r="G9" s="64">
        <f t="shared" si="3"/>
        <v>6.6</v>
      </c>
      <c r="J9" s="389"/>
      <c r="K9" s="66" t="s">
        <v>411</v>
      </c>
      <c r="L9" s="64">
        <v>2.8</v>
      </c>
      <c r="M9" s="64">
        <v>8</v>
      </c>
      <c r="N9" s="64">
        <v>2.8</v>
      </c>
      <c r="O9" s="64">
        <v>3.6</v>
      </c>
      <c r="Q9" s="78" t="s">
        <v>412</v>
      </c>
    </row>
    <row r="10" spans="1:19" ht="13.95" customHeight="1" x14ac:dyDescent="0.25">
      <c r="A10" s="66" t="s">
        <v>413</v>
      </c>
      <c r="B10" s="63">
        <v>50</v>
      </c>
      <c r="C10" s="64">
        <f t="shared" ref="C10" si="6">AVERAGE(L10,L25)</f>
        <v>2.85</v>
      </c>
      <c r="D10" s="64">
        <f t="shared" si="1"/>
        <v>14.6</v>
      </c>
      <c r="E10" s="63">
        <v>10</v>
      </c>
      <c r="F10" s="64">
        <f t="shared" ref="F10" si="7">AVERAGE(N10,N25)</f>
        <v>2.8</v>
      </c>
      <c r="G10" s="64">
        <f t="shared" si="3"/>
        <v>6.4</v>
      </c>
      <c r="J10" s="389"/>
      <c r="K10" s="66" t="s">
        <v>413</v>
      </c>
      <c r="L10" s="64">
        <v>2.5</v>
      </c>
      <c r="M10" s="64">
        <v>14.6</v>
      </c>
      <c r="N10" s="64">
        <v>2.5</v>
      </c>
      <c r="O10" s="64">
        <v>6.4</v>
      </c>
      <c r="Q10" s="388" t="s">
        <v>414</v>
      </c>
      <c r="R10" s="388"/>
      <c r="S10" s="388"/>
    </row>
    <row r="11" spans="1:19" x14ac:dyDescent="0.25">
      <c r="A11" s="66" t="s">
        <v>415</v>
      </c>
      <c r="B11" s="63">
        <v>50</v>
      </c>
      <c r="C11" s="64">
        <f t="shared" ref="C11" si="8">AVERAGE(L11,L26)</f>
        <v>4.3499999999999996</v>
      </c>
      <c r="D11" s="64">
        <f t="shared" si="1"/>
        <v>14</v>
      </c>
      <c r="E11" s="63">
        <v>10</v>
      </c>
      <c r="F11" s="64">
        <f t="shared" ref="F11" si="9">AVERAGE(N11,N26)</f>
        <v>4.25</v>
      </c>
      <c r="G11" s="64">
        <f t="shared" si="3"/>
        <v>7.6</v>
      </c>
      <c r="J11" s="389"/>
      <c r="K11" s="66" t="s">
        <v>415</v>
      </c>
      <c r="L11" s="64">
        <v>4.8</v>
      </c>
      <c r="M11" s="64">
        <v>10.8</v>
      </c>
      <c r="N11" s="64">
        <v>4.7</v>
      </c>
      <c r="O11" s="64">
        <v>7.6</v>
      </c>
      <c r="Q11" s="388"/>
      <c r="R11" s="388"/>
      <c r="S11" s="388"/>
    </row>
    <row r="12" spans="1:19" x14ac:dyDescent="0.25">
      <c r="A12" s="66" t="s">
        <v>416</v>
      </c>
      <c r="B12" s="63">
        <v>50</v>
      </c>
      <c r="C12" s="64">
        <f t="shared" ref="C12" si="10">AVERAGE(L12,L27)</f>
        <v>4.0999999999999996</v>
      </c>
      <c r="D12" s="64">
        <f t="shared" si="1"/>
        <v>11.4</v>
      </c>
      <c r="E12" s="63">
        <v>10</v>
      </c>
      <c r="F12" s="64">
        <f t="shared" ref="F12" si="11">AVERAGE(N12,N27)</f>
        <v>4.0500000000000007</v>
      </c>
      <c r="G12" s="64">
        <f t="shared" si="3"/>
        <v>7.1</v>
      </c>
      <c r="J12" s="389"/>
      <c r="K12" s="66" t="s">
        <v>416</v>
      </c>
      <c r="L12" s="64">
        <v>4.4000000000000004</v>
      </c>
      <c r="M12" s="64">
        <v>10.5</v>
      </c>
      <c r="N12" s="64">
        <v>4.4000000000000004</v>
      </c>
      <c r="O12" s="64">
        <v>7.1</v>
      </c>
      <c r="Q12" s="388"/>
      <c r="R12" s="388"/>
      <c r="S12" s="388"/>
    </row>
    <row r="13" spans="1:19" ht="13.95" customHeight="1" x14ac:dyDescent="0.25">
      <c r="A13" s="66" t="s">
        <v>417</v>
      </c>
      <c r="B13" s="63">
        <v>50</v>
      </c>
      <c r="C13" s="64">
        <f t="shared" ref="C13" si="12">AVERAGE(L13,L28)</f>
        <v>5.55</v>
      </c>
      <c r="D13" s="64">
        <f t="shared" si="1"/>
        <v>29.2</v>
      </c>
      <c r="E13" s="63">
        <v>10</v>
      </c>
      <c r="F13" s="64">
        <f t="shared" ref="F13" si="13">AVERAGE(N13,N28)</f>
        <v>5.55</v>
      </c>
      <c r="G13" s="64">
        <f t="shared" si="3"/>
        <v>7.9</v>
      </c>
      <c r="J13" s="389"/>
      <c r="K13" s="66" t="s">
        <v>417</v>
      </c>
      <c r="L13" s="64">
        <v>5.3</v>
      </c>
      <c r="M13" s="64">
        <v>11.4</v>
      </c>
      <c r="N13" s="64">
        <v>5.3</v>
      </c>
      <c r="O13" s="64">
        <v>6.7</v>
      </c>
      <c r="Q13" s="388" t="s">
        <v>418</v>
      </c>
      <c r="R13" s="388"/>
      <c r="S13" s="388"/>
    </row>
    <row r="14" spans="1:19" x14ac:dyDescent="0.25">
      <c r="A14" s="66" t="s">
        <v>419</v>
      </c>
      <c r="B14" s="63">
        <v>50</v>
      </c>
      <c r="C14" s="64">
        <f t="shared" ref="C14" si="14">AVERAGE(L14,L29)</f>
        <v>4.9000000000000004</v>
      </c>
      <c r="D14" s="64">
        <f t="shared" si="1"/>
        <v>16.3</v>
      </c>
      <c r="E14" s="63">
        <v>10</v>
      </c>
      <c r="F14" s="64">
        <f t="shared" ref="F14" si="15">AVERAGE(N14,N29)</f>
        <v>4.9000000000000004</v>
      </c>
      <c r="G14" s="64">
        <f t="shared" si="3"/>
        <v>7.2</v>
      </c>
      <c r="J14" s="389"/>
      <c r="K14" s="66" t="s">
        <v>419</v>
      </c>
      <c r="L14" s="64">
        <v>4.8</v>
      </c>
      <c r="M14" s="64">
        <v>16.3</v>
      </c>
      <c r="N14" s="64">
        <v>4.7</v>
      </c>
      <c r="O14" s="64">
        <v>7</v>
      </c>
      <c r="Q14" s="388"/>
      <c r="R14" s="388"/>
      <c r="S14" s="388"/>
    </row>
    <row r="15" spans="1:19" x14ac:dyDescent="0.25">
      <c r="A15" s="66" t="s">
        <v>420</v>
      </c>
      <c r="B15" s="63">
        <v>50</v>
      </c>
      <c r="C15" s="64">
        <f t="shared" ref="C15" si="16">AVERAGE(L15,L30)</f>
        <v>5.15</v>
      </c>
      <c r="D15" s="64">
        <f t="shared" si="1"/>
        <v>14.3</v>
      </c>
      <c r="E15" s="63">
        <v>10</v>
      </c>
      <c r="F15" s="64">
        <f t="shared" ref="F15" si="17">AVERAGE(N15,N30)</f>
        <v>5.0999999999999996</v>
      </c>
      <c r="G15" s="64">
        <f t="shared" si="3"/>
        <v>6.3</v>
      </c>
      <c r="J15" s="389"/>
      <c r="K15" s="66" t="s">
        <v>420</v>
      </c>
      <c r="L15" s="64">
        <v>5.0999999999999996</v>
      </c>
      <c r="M15" s="64">
        <v>14.3</v>
      </c>
      <c r="N15" s="64">
        <v>5.0999999999999996</v>
      </c>
      <c r="O15" s="64">
        <v>6.3</v>
      </c>
      <c r="Q15" s="388"/>
      <c r="R15" s="388"/>
      <c r="S15" s="388"/>
    </row>
    <row r="16" spans="1:19" x14ac:dyDescent="0.25">
      <c r="A16" s="66" t="s">
        <v>421</v>
      </c>
      <c r="B16" s="63">
        <v>50</v>
      </c>
      <c r="C16" s="64">
        <f t="shared" ref="C16" si="18">AVERAGE(L16,L31)</f>
        <v>4</v>
      </c>
      <c r="D16" s="64">
        <f t="shared" si="1"/>
        <v>11.4</v>
      </c>
      <c r="E16" s="63">
        <v>10</v>
      </c>
      <c r="F16" s="64">
        <f t="shared" ref="F16" si="19">AVERAGE(N16,N31)</f>
        <v>3.95</v>
      </c>
      <c r="G16" s="64">
        <f t="shared" si="3"/>
        <v>6</v>
      </c>
      <c r="J16" s="389"/>
      <c r="K16" s="66" t="s">
        <v>421</v>
      </c>
      <c r="L16" s="64">
        <v>4</v>
      </c>
      <c r="M16" s="64">
        <v>9.3000000000000007</v>
      </c>
      <c r="N16" s="64">
        <v>4</v>
      </c>
      <c r="O16" s="64">
        <v>5.9</v>
      </c>
      <c r="Q16" s="388"/>
      <c r="R16" s="388"/>
      <c r="S16" s="388"/>
    </row>
    <row r="17" spans="1:15" x14ac:dyDescent="0.25">
      <c r="A17" s="66" t="s">
        <v>422</v>
      </c>
      <c r="B17" s="63">
        <v>50</v>
      </c>
      <c r="C17" s="64">
        <f t="shared" ref="C17" si="20">AVERAGE(L17,L32)</f>
        <v>4.3499999999999996</v>
      </c>
      <c r="D17" s="64">
        <f t="shared" si="1"/>
        <v>36.700000000000003</v>
      </c>
      <c r="E17" s="63">
        <v>10</v>
      </c>
      <c r="F17" s="64">
        <f t="shared" ref="F17" si="21">AVERAGE(N17,N32)</f>
        <v>4.3499999999999996</v>
      </c>
      <c r="G17" s="64">
        <f t="shared" si="3"/>
        <v>6.5</v>
      </c>
      <c r="J17" s="389"/>
      <c r="K17" s="66" t="s">
        <v>422</v>
      </c>
      <c r="L17" s="64">
        <v>3.9</v>
      </c>
      <c r="M17" s="64">
        <v>36.700000000000003</v>
      </c>
      <c r="N17" s="64">
        <v>3.9</v>
      </c>
      <c r="O17" s="64">
        <v>6.1</v>
      </c>
    </row>
    <row r="18" spans="1:15" x14ac:dyDescent="0.25">
      <c r="A18" s="66" t="s">
        <v>423</v>
      </c>
      <c r="B18" s="63">
        <v>50</v>
      </c>
      <c r="C18" s="64">
        <f t="shared" ref="C18" si="22">AVERAGE(L18,L33)</f>
        <v>4.3499999999999996</v>
      </c>
      <c r="D18" s="64">
        <f t="shared" si="1"/>
        <v>19.600000000000001</v>
      </c>
      <c r="E18" s="63">
        <v>10</v>
      </c>
      <c r="F18" s="64">
        <f t="shared" ref="F18" si="23">AVERAGE(N18,N33)</f>
        <v>4.3</v>
      </c>
      <c r="G18" s="64">
        <f t="shared" si="3"/>
        <v>8.1</v>
      </c>
      <c r="J18" s="389"/>
      <c r="K18" s="66" t="s">
        <v>423</v>
      </c>
      <c r="L18" s="64">
        <v>4.2</v>
      </c>
      <c r="M18" s="64">
        <v>19.3</v>
      </c>
      <c r="N18" s="64">
        <v>4.0999999999999996</v>
      </c>
      <c r="O18" s="64">
        <v>7.4</v>
      </c>
    </row>
    <row r="19" spans="1:15" x14ac:dyDescent="0.25">
      <c r="J19" s="389"/>
      <c r="K19" s="62" t="s">
        <v>424</v>
      </c>
      <c r="L19" s="116">
        <f>AVERAGE(L7:L18)</f>
        <v>3.9916666666666671</v>
      </c>
      <c r="M19" s="116">
        <f>MAX(M7:M18)</f>
        <v>36.700000000000003</v>
      </c>
      <c r="N19" s="116">
        <f>AVERAGE(N7:N18)</f>
        <v>3.9583333333333335</v>
      </c>
      <c r="O19" s="116">
        <f>MAX(O7:O18)</f>
        <v>7.6</v>
      </c>
    </row>
    <row r="21" spans="1:15" ht="41.4" x14ac:dyDescent="0.25">
      <c r="J21" s="61">
        <f>+A6</f>
        <v>2022</v>
      </c>
      <c r="K21" s="61" t="s">
        <v>406</v>
      </c>
      <c r="L21" s="67" t="s">
        <v>401</v>
      </c>
      <c r="M21" s="67" t="s">
        <v>407</v>
      </c>
      <c r="N21" s="67" t="s">
        <v>404</v>
      </c>
      <c r="O21" s="67" t="s">
        <v>408</v>
      </c>
    </row>
    <row r="22" spans="1:15" x14ac:dyDescent="0.25">
      <c r="J22" s="389" t="s">
        <v>193</v>
      </c>
      <c r="K22" s="66" t="s">
        <v>409</v>
      </c>
      <c r="L22" s="64">
        <v>3.3</v>
      </c>
      <c r="M22" s="64">
        <v>13.1</v>
      </c>
      <c r="N22" s="64">
        <v>3.2</v>
      </c>
      <c r="O22" s="64">
        <v>5.3</v>
      </c>
    </row>
    <row r="23" spans="1:15" x14ac:dyDescent="0.25">
      <c r="J23" s="389"/>
      <c r="K23" s="66" t="s">
        <v>410</v>
      </c>
      <c r="L23" s="64">
        <v>2.6</v>
      </c>
      <c r="M23" s="64">
        <v>6.3</v>
      </c>
      <c r="N23" s="64">
        <v>2.5</v>
      </c>
      <c r="O23" s="64">
        <v>3.5</v>
      </c>
    </row>
    <row r="24" spans="1:15" x14ac:dyDescent="0.25">
      <c r="J24" s="389"/>
      <c r="K24" s="66" t="s">
        <v>411</v>
      </c>
      <c r="L24" s="64">
        <v>3.6</v>
      </c>
      <c r="M24" s="64">
        <v>17.5</v>
      </c>
      <c r="N24" s="64">
        <v>3.5</v>
      </c>
      <c r="O24" s="64">
        <v>6.6</v>
      </c>
    </row>
    <row r="25" spans="1:15" x14ac:dyDescent="0.25">
      <c r="J25" s="389"/>
      <c r="K25" s="66" t="s">
        <v>413</v>
      </c>
      <c r="L25" s="64">
        <v>3.2</v>
      </c>
      <c r="M25" s="64">
        <v>8.3000000000000007</v>
      </c>
      <c r="N25" s="64">
        <v>3.1</v>
      </c>
      <c r="O25" s="64">
        <v>5.9</v>
      </c>
    </row>
    <row r="26" spans="1:15" x14ac:dyDescent="0.25">
      <c r="J26" s="389"/>
      <c r="K26" s="66" t="s">
        <v>415</v>
      </c>
      <c r="L26" s="64">
        <v>3.9</v>
      </c>
      <c r="M26" s="64">
        <v>14</v>
      </c>
      <c r="N26" s="64">
        <v>3.8</v>
      </c>
      <c r="O26" s="64">
        <v>6.1</v>
      </c>
    </row>
    <row r="27" spans="1:15" x14ac:dyDescent="0.25">
      <c r="J27" s="389"/>
      <c r="K27" s="66" t="s">
        <v>416</v>
      </c>
      <c r="L27" s="64">
        <v>3.8</v>
      </c>
      <c r="M27" s="64">
        <v>11.4</v>
      </c>
      <c r="N27" s="64">
        <v>3.7</v>
      </c>
      <c r="O27" s="64">
        <v>5.2</v>
      </c>
    </row>
    <row r="28" spans="1:15" x14ac:dyDescent="0.25">
      <c r="J28" s="389"/>
      <c r="K28" s="66" t="s">
        <v>417</v>
      </c>
      <c r="L28" s="64">
        <v>5.8</v>
      </c>
      <c r="M28" s="64">
        <v>29.2</v>
      </c>
      <c r="N28" s="64">
        <v>5.8</v>
      </c>
      <c r="O28" s="64">
        <v>7.9</v>
      </c>
    </row>
    <row r="29" spans="1:15" x14ac:dyDescent="0.25">
      <c r="J29" s="389"/>
      <c r="K29" s="66" t="s">
        <v>419</v>
      </c>
      <c r="L29" s="64">
        <v>5</v>
      </c>
      <c r="M29" s="64">
        <v>13.9</v>
      </c>
      <c r="N29" s="64">
        <v>5.0999999999999996</v>
      </c>
      <c r="O29" s="64">
        <v>7.2</v>
      </c>
    </row>
    <row r="30" spans="1:15" x14ac:dyDescent="0.25">
      <c r="J30" s="389"/>
      <c r="K30" s="66" t="s">
        <v>420</v>
      </c>
      <c r="L30" s="64">
        <v>5.2</v>
      </c>
      <c r="M30" s="64">
        <v>13.5</v>
      </c>
      <c r="N30" s="64">
        <v>5.0999999999999996</v>
      </c>
      <c r="O30" s="64">
        <v>6.1</v>
      </c>
    </row>
    <row r="31" spans="1:15" x14ac:dyDescent="0.25">
      <c r="J31" s="389"/>
      <c r="K31" s="66" t="s">
        <v>421</v>
      </c>
      <c r="L31" s="64">
        <v>4</v>
      </c>
      <c r="M31" s="64">
        <v>11.4</v>
      </c>
      <c r="N31" s="64">
        <v>3.9</v>
      </c>
      <c r="O31" s="64">
        <v>6</v>
      </c>
    </row>
    <row r="32" spans="1:15" x14ac:dyDescent="0.25">
      <c r="J32" s="389"/>
      <c r="K32" s="66" t="s">
        <v>422</v>
      </c>
      <c r="L32" s="64">
        <v>4.8</v>
      </c>
      <c r="M32" s="64">
        <v>13.1</v>
      </c>
      <c r="N32" s="64">
        <v>4.8</v>
      </c>
      <c r="O32" s="64">
        <v>6.5</v>
      </c>
    </row>
    <row r="33" spans="1:15" x14ac:dyDescent="0.25">
      <c r="J33" s="389"/>
      <c r="K33" s="66" t="s">
        <v>423</v>
      </c>
      <c r="L33" s="64">
        <v>4.5</v>
      </c>
      <c r="M33" s="64">
        <v>19.600000000000001</v>
      </c>
      <c r="N33" s="64">
        <v>4.5</v>
      </c>
      <c r="O33" s="64">
        <v>8.1</v>
      </c>
    </row>
    <row r="34" spans="1:15" x14ac:dyDescent="0.25">
      <c r="J34" s="389"/>
      <c r="K34" s="62" t="s">
        <v>424</v>
      </c>
      <c r="L34" s="116">
        <f>AVERAGE(L22:L33)</f>
        <v>4.1416666666666666</v>
      </c>
      <c r="M34" s="116">
        <f>MAX(M22:M33)</f>
        <v>29.2</v>
      </c>
      <c r="N34" s="116">
        <f>AVERAGE(N22:N33)</f>
        <v>4.083333333333333</v>
      </c>
      <c r="O34" s="116">
        <f>MAX(O22:O33)</f>
        <v>8.1</v>
      </c>
    </row>
    <row r="36" spans="1:15" ht="41.4" x14ac:dyDescent="0.25">
      <c r="J36" s="61">
        <f>+A6</f>
        <v>2022</v>
      </c>
      <c r="K36" s="61" t="s">
        <v>406</v>
      </c>
      <c r="L36" s="67" t="s">
        <v>401</v>
      </c>
      <c r="M36" s="67" t="s">
        <v>407</v>
      </c>
      <c r="N36" s="67" t="s">
        <v>404</v>
      </c>
      <c r="O36" s="67" t="s">
        <v>408</v>
      </c>
    </row>
    <row r="37" spans="1:15" x14ac:dyDescent="0.25">
      <c r="J37" s="389" t="s">
        <v>194</v>
      </c>
      <c r="K37" s="66" t="s">
        <v>409</v>
      </c>
      <c r="L37" s="64"/>
      <c r="M37" s="64"/>
      <c r="N37" s="64"/>
      <c r="O37" s="64"/>
    </row>
    <row r="38" spans="1:15" x14ac:dyDescent="0.25">
      <c r="J38" s="389"/>
      <c r="K38" s="66" t="s">
        <v>410</v>
      </c>
      <c r="L38" s="64"/>
      <c r="M38" s="64"/>
      <c r="N38" s="64"/>
      <c r="O38" s="64"/>
    </row>
    <row r="39" spans="1:15" x14ac:dyDescent="0.25">
      <c r="J39" s="389"/>
      <c r="K39" s="66" t="s">
        <v>411</v>
      </c>
      <c r="L39" s="64"/>
      <c r="M39" s="64"/>
      <c r="N39" s="64"/>
      <c r="O39" s="64"/>
    </row>
    <row r="40" spans="1:15" x14ac:dyDescent="0.25">
      <c r="J40" s="389"/>
      <c r="K40" s="66" t="s">
        <v>413</v>
      </c>
      <c r="L40" s="64"/>
      <c r="M40" s="64"/>
      <c r="N40" s="64"/>
      <c r="O40" s="64"/>
    </row>
    <row r="41" spans="1:15" x14ac:dyDescent="0.25">
      <c r="J41" s="389"/>
      <c r="K41" s="66" t="s">
        <v>415</v>
      </c>
      <c r="L41" s="64"/>
      <c r="M41" s="64"/>
      <c r="N41" s="64"/>
      <c r="O41" s="64"/>
    </row>
    <row r="42" spans="1:15" x14ac:dyDescent="0.25">
      <c r="J42" s="389"/>
      <c r="K42" s="66" t="s">
        <v>416</v>
      </c>
      <c r="L42" s="64"/>
      <c r="M42" s="64"/>
      <c r="N42" s="64"/>
      <c r="O42" s="64"/>
    </row>
    <row r="43" spans="1:15" x14ac:dyDescent="0.25">
      <c r="J43" s="389"/>
      <c r="K43" s="66" t="s">
        <v>417</v>
      </c>
      <c r="L43" s="64"/>
      <c r="M43" s="64"/>
      <c r="N43" s="64"/>
      <c r="O43" s="64"/>
    </row>
    <row r="44" spans="1:15" x14ac:dyDescent="0.25">
      <c r="J44" s="389"/>
      <c r="K44" s="66" t="s">
        <v>419</v>
      </c>
      <c r="L44" s="64"/>
      <c r="M44" s="64"/>
      <c r="N44" s="64"/>
      <c r="O44" s="64"/>
    </row>
    <row r="45" spans="1:15" x14ac:dyDescent="0.25">
      <c r="J45" s="389"/>
      <c r="K45" s="66" t="s">
        <v>420</v>
      </c>
      <c r="L45" s="64"/>
      <c r="M45" s="64"/>
      <c r="N45" s="64"/>
      <c r="O45" s="64"/>
    </row>
    <row r="46" spans="1:15" x14ac:dyDescent="0.25">
      <c r="J46" s="389"/>
      <c r="K46" s="66" t="s">
        <v>421</v>
      </c>
      <c r="L46" s="64"/>
      <c r="M46" s="64"/>
      <c r="N46" s="64"/>
      <c r="O46" s="64"/>
    </row>
    <row r="47" spans="1:15" x14ac:dyDescent="0.25">
      <c r="J47" s="389"/>
      <c r="K47" s="66" t="s">
        <v>422</v>
      </c>
      <c r="L47" s="64"/>
      <c r="M47" s="64"/>
      <c r="N47" s="64"/>
      <c r="O47" s="64"/>
    </row>
    <row r="48" spans="1:15" x14ac:dyDescent="0.25">
      <c r="A48" s="401" t="s">
        <v>304</v>
      </c>
      <c r="B48" s="402"/>
      <c r="C48" s="402"/>
      <c r="D48" s="402"/>
      <c r="E48" s="402"/>
      <c r="F48" s="402"/>
      <c r="G48" s="403"/>
      <c r="J48" s="389"/>
      <c r="K48" s="66" t="s">
        <v>423</v>
      </c>
      <c r="L48" s="64"/>
      <c r="M48" s="64"/>
      <c r="N48" s="64"/>
      <c r="O48" s="64"/>
    </row>
    <row r="49" spans="1:15" x14ac:dyDescent="0.25">
      <c r="A49" s="392"/>
      <c r="B49" s="393"/>
      <c r="C49" s="393"/>
      <c r="D49" s="393"/>
      <c r="E49" s="393"/>
      <c r="F49" s="393"/>
      <c r="G49" s="394"/>
      <c r="J49" s="389"/>
      <c r="K49" s="62" t="s">
        <v>424</v>
      </c>
      <c r="L49" s="62" t="e">
        <f>AVERAGE(L37:L48)</f>
        <v>#DIV/0!</v>
      </c>
      <c r="M49" s="62">
        <f>MAX(M37:M48)</f>
        <v>0</v>
      </c>
      <c r="N49" s="62" t="e">
        <f>AVERAGE(N37:N48)</f>
        <v>#DIV/0!</v>
      </c>
      <c r="O49" s="62">
        <f>MAX(O37:O48)</f>
        <v>0</v>
      </c>
    </row>
    <row r="50" spans="1:15" x14ac:dyDescent="0.25">
      <c r="A50" s="395"/>
      <c r="B50" s="396"/>
      <c r="C50" s="396"/>
      <c r="D50" s="396"/>
      <c r="E50" s="396"/>
      <c r="F50" s="396"/>
      <c r="G50" s="397"/>
    </row>
    <row r="51" spans="1:15" ht="41.4" x14ac:dyDescent="0.25">
      <c r="A51" s="395"/>
      <c r="B51" s="396"/>
      <c r="C51" s="396"/>
      <c r="D51" s="396"/>
      <c r="E51" s="396"/>
      <c r="F51" s="396"/>
      <c r="G51" s="397"/>
      <c r="J51" s="61">
        <f>+A6</f>
        <v>2022</v>
      </c>
      <c r="K51" s="61" t="s">
        <v>406</v>
      </c>
      <c r="L51" s="67" t="s">
        <v>401</v>
      </c>
      <c r="M51" s="67" t="s">
        <v>407</v>
      </c>
      <c r="N51" s="67" t="s">
        <v>404</v>
      </c>
      <c r="O51" s="67" t="s">
        <v>408</v>
      </c>
    </row>
    <row r="52" spans="1:15" x14ac:dyDescent="0.25">
      <c r="A52" s="398"/>
      <c r="B52" s="399"/>
      <c r="C52" s="399"/>
      <c r="D52" s="399"/>
      <c r="E52" s="399"/>
      <c r="F52" s="399"/>
      <c r="G52" s="400"/>
      <c r="J52" s="389" t="s">
        <v>195</v>
      </c>
      <c r="K52" s="66" t="s">
        <v>409</v>
      </c>
      <c r="L52" s="64"/>
      <c r="M52" s="64"/>
      <c r="N52" s="64"/>
      <c r="O52" s="64"/>
    </row>
    <row r="53" spans="1:15" x14ac:dyDescent="0.25">
      <c r="J53" s="389"/>
      <c r="K53" s="66" t="s">
        <v>410</v>
      </c>
      <c r="L53" s="64"/>
      <c r="M53" s="64"/>
      <c r="N53" s="64"/>
      <c r="O53" s="64"/>
    </row>
    <row r="54" spans="1:15" x14ac:dyDescent="0.25">
      <c r="J54" s="389"/>
      <c r="K54" s="66" t="s">
        <v>415</v>
      </c>
      <c r="L54" s="64"/>
      <c r="M54" s="64"/>
      <c r="N54" s="64"/>
      <c r="O54" s="64"/>
    </row>
    <row r="55" spans="1:15" x14ac:dyDescent="0.25">
      <c r="J55" s="389"/>
      <c r="K55" s="66" t="s">
        <v>416</v>
      </c>
      <c r="L55" s="64"/>
      <c r="M55" s="64"/>
      <c r="N55" s="64"/>
      <c r="O55" s="64"/>
    </row>
    <row r="56" spans="1:15" x14ac:dyDescent="0.25">
      <c r="J56" s="389"/>
      <c r="K56" s="66" t="s">
        <v>417</v>
      </c>
      <c r="L56" s="64"/>
      <c r="M56" s="64"/>
      <c r="N56" s="64"/>
      <c r="O56" s="64"/>
    </row>
    <row r="57" spans="1:15" x14ac:dyDescent="0.25">
      <c r="J57" s="389"/>
      <c r="K57" s="66" t="s">
        <v>419</v>
      </c>
      <c r="L57" s="64"/>
      <c r="M57" s="64"/>
      <c r="N57" s="64"/>
      <c r="O57" s="64"/>
    </row>
    <row r="58" spans="1:15" x14ac:dyDescent="0.25">
      <c r="J58" s="389"/>
      <c r="K58" s="66" t="s">
        <v>420</v>
      </c>
      <c r="L58" s="64"/>
      <c r="M58" s="64"/>
      <c r="N58" s="64"/>
      <c r="O58" s="64"/>
    </row>
    <row r="59" spans="1:15" x14ac:dyDescent="0.25">
      <c r="J59" s="389"/>
      <c r="K59" s="66" t="s">
        <v>421</v>
      </c>
      <c r="L59" s="64"/>
      <c r="M59" s="64"/>
      <c r="N59" s="64"/>
      <c r="O59" s="64"/>
    </row>
    <row r="60" spans="1:15" x14ac:dyDescent="0.25">
      <c r="J60" s="389"/>
      <c r="K60" s="66" t="s">
        <v>422</v>
      </c>
      <c r="L60" s="64"/>
      <c r="M60" s="64"/>
      <c r="N60" s="64"/>
      <c r="O60" s="64"/>
    </row>
    <row r="61" spans="1:15" x14ac:dyDescent="0.25">
      <c r="J61" s="389"/>
      <c r="K61" s="66" t="s">
        <v>423</v>
      </c>
      <c r="L61" s="64"/>
      <c r="M61" s="64"/>
      <c r="N61" s="64"/>
      <c r="O61" s="64"/>
    </row>
    <row r="62" spans="1:15" x14ac:dyDescent="0.25">
      <c r="J62" s="389"/>
      <c r="K62" s="62" t="s">
        <v>424</v>
      </c>
      <c r="L62" s="62" t="e">
        <f>AVERAGE(L52:L61)</f>
        <v>#DIV/0!</v>
      </c>
      <c r="M62" s="62">
        <f>MAX(M52:M61)</f>
        <v>0</v>
      </c>
      <c r="N62" s="62" t="e">
        <f>AVERAGE(N52:N61)</f>
        <v>#DIV/0!</v>
      </c>
      <c r="O62" s="62">
        <f>MAX(O52:O61)</f>
        <v>0</v>
      </c>
    </row>
    <row r="64" spans="1:15" ht="41.4" x14ac:dyDescent="0.25">
      <c r="J64" s="61">
        <f>+A6</f>
        <v>2022</v>
      </c>
      <c r="K64" s="61" t="s">
        <v>406</v>
      </c>
      <c r="L64" s="67" t="s">
        <v>401</v>
      </c>
      <c r="M64" s="67" t="s">
        <v>407</v>
      </c>
      <c r="N64" s="67" t="s">
        <v>404</v>
      </c>
      <c r="O64" s="67" t="s">
        <v>408</v>
      </c>
    </row>
    <row r="65" spans="10:15" x14ac:dyDescent="0.25">
      <c r="J65" s="389" t="s">
        <v>196</v>
      </c>
      <c r="K65" s="66" t="s">
        <v>409</v>
      </c>
      <c r="L65" s="64"/>
      <c r="M65" s="64"/>
      <c r="N65" s="64"/>
      <c r="O65" s="64"/>
    </row>
    <row r="66" spans="10:15" x14ac:dyDescent="0.25">
      <c r="J66" s="389"/>
      <c r="K66" s="66" t="s">
        <v>410</v>
      </c>
      <c r="L66" s="64"/>
      <c r="M66" s="64"/>
      <c r="N66" s="64"/>
      <c r="O66" s="64"/>
    </row>
    <row r="67" spans="10:15" x14ac:dyDescent="0.25">
      <c r="J67" s="389"/>
      <c r="K67" s="66" t="s">
        <v>411</v>
      </c>
      <c r="L67" s="64"/>
      <c r="M67" s="64"/>
      <c r="N67" s="64"/>
      <c r="O67" s="64"/>
    </row>
    <row r="68" spans="10:15" x14ac:dyDescent="0.25">
      <c r="J68" s="389"/>
      <c r="K68" s="66" t="s">
        <v>413</v>
      </c>
      <c r="L68" s="64"/>
      <c r="M68" s="64"/>
      <c r="N68" s="64"/>
      <c r="O68" s="64"/>
    </row>
    <row r="69" spans="10:15" x14ac:dyDescent="0.25">
      <c r="J69" s="389"/>
      <c r="K69" s="66" t="s">
        <v>415</v>
      </c>
      <c r="L69" s="64"/>
      <c r="M69" s="64"/>
      <c r="N69" s="64"/>
      <c r="O69" s="64"/>
    </row>
    <row r="70" spans="10:15" x14ac:dyDescent="0.25">
      <c r="J70" s="389"/>
      <c r="K70" s="66" t="s">
        <v>416</v>
      </c>
      <c r="L70" s="64"/>
      <c r="M70" s="64"/>
      <c r="N70" s="64"/>
      <c r="O70" s="64"/>
    </row>
    <row r="71" spans="10:15" x14ac:dyDescent="0.25">
      <c r="J71" s="389"/>
      <c r="K71" s="66" t="s">
        <v>417</v>
      </c>
      <c r="L71" s="64"/>
      <c r="M71" s="64"/>
      <c r="N71" s="64"/>
      <c r="O71" s="64"/>
    </row>
    <row r="72" spans="10:15" x14ac:dyDescent="0.25">
      <c r="J72" s="389"/>
      <c r="K72" s="66" t="s">
        <v>419</v>
      </c>
      <c r="L72" s="64"/>
      <c r="M72" s="64"/>
      <c r="N72" s="64"/>
      <c r="O72" s="64"/>
    </row>
    <row r="73" spans="10:15" x14ac:dyDescent="0.25">
      <c r="J73" s="389"/>
      <c r="K73" s="66" t="s">
        <v>420</v>
      </c>
      <c r="L73" s="64"/>
      <c r="M73" s="64"/>
      <c r="N73" s="64"/>
      <c r="O73" s="64"/>
    </row>
    <row r="74" spans="10:15" x14ac:dyDescent="0.25">
      <c r="J74" s="389"/>
      <c r="K74" s="66" t="s">
        <v>421</v>
      </c>
      <c r="L74" s="64"/>
      <c r="M74" s="64"/>
      <c r="N74" s="64"/>
      <c r="O74" s="64"/>
    </row>
    <row r="75" spans="10:15" x14ac:dyDescent="0.25">
      <c r="J75" s="389"/>
      <c r="K75" s="66" t="s">
        <v>422</v>
      </c>
      <c r="L75" s="64"/>
      <c r="M75" s="64"/>
      <c r="N75" s="64"/>
      <c r="O75" s="64"/>
    </row>
    <row r="76" spans="10:15" x14ac:dyDescent="0.25">
      <c r="J76" s="389"/>
      <c r="K76" s="66" t="s">
        <v>423</v>
      </c>
      <c r="L76" s="64"/>
      <c r="M76" s="64"/>
      <c r="N76" s="64"/>
      <c r="O76" s="64"/>
    </row>
    <row r="77" spans="10:15" x14ac:dyDescent="0.25">
      <c r="J77" s="389"/>
      <c r="K77" s="62" t="s">
        <v>424</v>
      </c>
      <c r="L77" s="62" t="e">
        <f>AVERAGE(L65:L76)</f>
        <v>#DIV/0!</v>
      </c>
      <c r="M77" s="62">
        <f>MAX(M65:M76)</f>
        <v>0</v>
      </c>
      <c r="N77" s="62" t="e">
        <f>AVERAGE(N65:N76)</f>
        <v>#DIV/0!</v>
      </c>
      <c r="O77" s="62">
        <f>MAX(O65:O76)</f>
        <v>0</v>
      </c>
    </row>
  </sheetData>
  <mergeCells count="13">
    <mergeCell ref="Q13:S16"/>
    <mergeCell ref="J52:J62"/>
    <mergeCell ref="J65:J77"/>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S77"/>
  <sheetViews>
    <sheetView topLeftCell="A13" workbookViewId="0">
      <selection activeCell="F55" sqref="F55"/>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Staffordshire Energy Recovery Facility</v>
      </c>
      <c r="F1" s="92"/>
      <c r="G1" s="92"/>
    </row>
    <row r="3" spans="1:19" ht="14.4" x14ac:dyDescent="0.3">
      <c r="A3" s="60" t="s">
        <v>425</v>
      </c>
      <c r="D3" s="76" t="s">
        <v>393</v>
      </c>
      <c r="G3" s="80" t="s">
        <v>394</v>
      </c>
      <c r="J3" s="9" t="str">
        <f>+A3</f>
        <v>Monitoring of Sulphur dioxide emissions</v>
      </c>
      <c r="L3" s="9"/>
      <c r="N3" s="9" t="s">
        <v>395</v>
      </c>
      <c r="Q3" s="79" t="s">
        <v>3</v>
      </c>
      <c r="R3" s="74"/>
      <c r="S3" s="74"/>
    </row>
    <row r="4" spans="1:19" ht="13.95" customHeight="1" x14ac:dyDescent="0.25">
      <c r="Q4" s="365" t="s">
        <v>396</v>
      </c>
      <c r="R4" s="365"/>
      <c r="S4" s="365"/>
    </row>
    <row r="5" spans="1:19" ht="16.2" x14ac:dyDescent="0.25">
      <c r="A5" s="68" t="s">
        <v>397</v>
      </c>
      <c r="B5" s="391" t="s">
        <v>398</v>
      </c>
      <c r="C5" s="391"/>
      <c r="D5" s="391"/>
      <c r="E5" s="391" t="s">
        <v>399</v>
      </c>
      <c r="F5" s="391"/>
      <c r="G5" s="391"/>
      <c r="J5" s="390"/>
      <c r="K5" s="390"/>
      <c r="L5" s="390"/>
      <c r="M5" s="390"/>
      <c r="N5" s="390"/>
      <c r="O5" s="390"/>
      <c r="Q5" s="365"/>
      <c r="R5" s="365"/>
      <c r="S5" s="365"/>
    </row>
    <row r="6" spans="1:19" s="58" customFormat="1" ht="37.5" customHeight="1" x14ac:dyDescent="0.3">
      <c r="A6" s="65">
        <f>+'Cover Page'!C39</f>
        <v>2022</v>
      </c>
      <c r="B6" s="55" t="s">
        <v>426</v>
      </c>
      <c r="C6" s="55" t="s">
        <v>401</v>
      </c>
      <c r="D6" s="55" t="s">
        <v>402</v>
      </c>
      <c r="E6" s="55" t="s">
        <v>427</v>
      </c>
      <c r="F6" s="55" t="s">
        <v>404</v>
      </c>
      <c r="G6" s="55" t="s">
        <v>405</v>
      </c>
      <c r="H6" s="59"/>
      <c r="J6" s="61">
        <f>+A6</f>
        <v>2022</v>
      </c>
      <c r="K6" s="61" t="s">
        <v>406</v>
      </c>
      <c r="L6" s="67" t="s">
        <v>401</v>
      </c>
      <c r="M6" s="67" t="s">
        <v>407</v>
      </c>
      <c r="N6" s="67" t="s">
        <v>404</v>
      </c>
      <c r="O6" s="67" t="s">
        <v>408</v>
      </c>
      <c r="Q6" s="365"/>
      <c r="R6" s="365"/>
      <c r="S6" s="365"/>
    </row>
    <row r="7" spans="1:19" x14ac:dyDescent="0.25">
      <c r="A7" s="66" t="s">
        <v>409</v>
      </c>
      <c r="B7" s="63">
        <v>200</v>
      </c>
      <c r="C7" s="64">
        <f>AVERAGE(L7,L22)</f>
        <v>30.25</v>
      </c>
      <c r="D7" s="64">
        <f>MAX(M7,M22)</f>
        <v>163.5</v>
      </c>
      <c r="E7" s="63">
        <v>50</v>
      </c>
      <c r="F7" s="64">
        <f>AVERAGE(N7,N22)</f>
        <v>30.2</v>
      </c>
      <c r="G7" s="64">
        <f>MAX(O7,O22)</f>
        <v>48.1</v>
      </c>
      <c r="J7" s="389" t="s">
        <v>192</v>
      </c>
      <c r="K7" s="66" t="s">
        <v>409</v>
      </c>
      <c r="L7" s="64">
        <v>26.5</v>
      </c>
      <c r="M7" s="64">
        <v>106.3</v>
      </c>
      <c r="N7" s="64">
        <v>26.4</v>
      </c>
      <c r="O7" s="64">
        <v>42.1</v>
      </c>
      <c r="Q7" s="365"/>
      <c r="R7" s="365"/>
      <c r="S7" s="365"/>
    </row>
    <row r="8" spans="1:19" x14ac:dyDescent="0.25">
      <c r="A8" s="66" t="s">
        <v>410</v>
      </c>
      <c r="B8" s="63">
        <v>200</v>
      </c>
      <c r="C8" s="64">
        <f t="shared" ref="C8" si="0">AVERAGE(L8,L23)</f>
        <v>40.049999999999997</v>
      </c>
      <c r="D8" s="64">
        <f t="shared" ref="D8:D18" si="1">MAX(M8,M23)</f>
        <v>175.2</v>
      </c>
      <c r="E8" s="63">
        <v>50</v>
      </c>
      <c r="F8" s="64">
        <f t="shared" ref="F8" si="2">AVERAGE(N8,N23)</f>
        <v>40</v>
      </c>
      <c r="G8" s="64">
        <f t="shared" ref="G8:G18" si="3">MAX(O8,O23)</f>
        <v>47</v>
      </c>
      <c r="J8" s="389"/>
      <c r="K8" s="66" t="s">
        <v>410</v>
      </c>
      <c r="L8" s="64">
        <v>38.9</v>
      </c>
      <c r="M8" s="64">
        <v>175.2</v>
      </c>
      <c r="N8" s="64">
        <v>38.9</v>
      </c>
      <c r="O8" s="64">
        <v>46.3</v>
      </c>
      <c r="Q8" s="365"/>
      <c r="R8" s="365"/>
      <c r="S8" s="365"/>
    </row>
    <row r="9" spans="1:19" x14ac:dyDescent="0.25">
      <c r="A9" s="66" t="s">
        <v>411</v>
      </c>
      <c r="B9" s="63">
        <v>200</v>
      </c>
      <c r="C9" s="64">
        <f t="shared" ref="C9" si="4">AVERAGE(L9,L24)</f>
        <v>37.9</v>
      </c>
      <c r="D9" s="64">
        <f t="shared" si="1"/>
        <v>141.6</v>
      </c>
      <c r="E9" s="63">
        <v>50</v>
      </c>
      <c r="F9" s="64">
        <f t="shared" ref="F9" si="5">AVERAGE(N9,N24)</f>
        <v>38.049999999999997</v>
      </c>
      <c r="G9" s="64">
        <f t="shared" si="3"/>
        <v>46.1</v>
      </c>
      <c r="J9" s="389"/>
      <c r="K9" s="66" t="s">
        <v>411</v>
      </c>
      <c r="L9" s="64">
        <v>35.5</v>
      </c>
      <c r="M9" s="64">
        <v>138.1</v>
      </c>
      <c r="N9" s="64">
        <v>35.799999999999997</v>
      </c>
      <c r="O9" s="64">
        <v>44.9</v>
      </c>
      <c r="Q9" s="78" t="s">
        <v>412</v>
      </c>
    </row>
    <row r="10" spans="1:19" ht="14.25" customHeight="1" x14ac:dyDescent="0.25">
      <c r="A10" s="66" t="s">
        <v>413</v>
      </c>
      <c r="B10" s="63">
        <v>200</v>
      </c>
      <c r="C10" s="64">
        <f t="shared" ref="C10" si="6">AVERAGE(L10,L25)</f>
        <v>36.9</v>
      </c>
      <c r="D10" s="64">
        <f t="shared" si="1"/>
        <v>169.5</v>
      </c>
      <c r="E10" s="63">
        <v>50</v>
      </c>
      <c r="F10" s="64">
        <f t="shared" ref="F10" si="7">AVERAGE(N10,N25)</f>
        <v>37.099999999999994</v>
      </c>
      <c r="G10" s="64">
        <f t="shared" si="3"/>
        <v>47.9</v>
      </c>
      <c r="J10" s="389"/>
      <c r="K10" s="66" t="s">
        <v>413</v>
      </c>
      <c r="L10" s="64">
        <v>32</v>
      </c>
      <c r="M10" s="64">
        <v>132.80000000000001</v>
      </c>
      <c r="N10" s="64">
        <v>32.4</v>
      </c>
      <c r="O10" s="64">
        <v>47.1</v>
      </c>
      <c r="Q10" s="388" t="s">
        <v>414</v>
      </c>
      <c r="R10" s="388"/>
      <c r="S10" s="388"/>
    </row>
    <row r="11" spans="1:19" x14ac:dyDescent="0.25">
      <c r="A11" s="66" t="s">
        <v>415</v>
      </c>
      <c r="B11" s="63">
        <v>200</v>
      </c>
      <c r="C11" s="64">
        <f t="shared" ref="C11" si="8">AVERAGE(L11,L26)</f>
        <v>39.4</v>
      </c>
      <c r="D11" s="64">
        <f t="shared" si="1"/>
        <v>130</v>
      </c>
      <c r="E11" s="63">
        <v>50</v>
      </c>
      <c r="F11" s="64">
        <f t="shared" ref="F11" si="9">AVERAGE(N11,N26)</f>
        <v>39.4</v>
      </c>
      <c r="G11" s="64">
        <f t="shared" si="3"/>
        <v>47.5</v>
      </c>
      <c r="J11" s="389"/>
      <c r="K11" s="66" t="s">
        <v>415</v>
      </c>
      <c r="L11" s="64">
        <v>38.4</v>
      </c>
      <c r="M11" s="64">
        <v>105.5</v>
      </c>
      <c r="N11" s="64">
        <v>38.4</v>
      </c>
      <c r="O11" s="64">
        <v>47.3</v>
      </c>
      <c r="Q11" s="388"/>
      <c r="R11" s="388"/>
      <c r="S11" s="388"/>
    </row>
    <row r="12" spans="1:19" x14ac:dyDescent="0.25">
      <c r="A12" s="66" t="s">
        <v>416</v>
      </c>
      <c r="B12" s="63">
        <v>200</v>
      </c>
      <c r="C12" s="64">
        <f t="shared" ref="C12" si="10">AVERAGE(L12,L27)</f>
        <v>37.5</v>
      </c>
      <c r="D12" s="64">
        <f t="shared" si="1"/>
        <v>116.8</v>
      </c>
      <c r="E12" s="63">
        <v>50</v>
      </c>
      <c r="F12" s="64">
        <f t="shared" ref="F12" si="11">AVERAGE(N12,N27)</f>
        <v>37.799999999999997</v>
      </c>
      <c r="G12" s="64">
        <f t="shared" si="3"/>
        <v>46.6</v>
      </c>
      <c r="J12" s="389"/>
      <c r="K12" s="66" t="s">
        <v>416</v>
      </c>
      <c r="L12" s="64">
        <v>36</v>
      </c>
      <c r="M12" s="64">
        <v>88.8</v>
      </c>
      <c r="N12" s="64">
        <v>36.6</v>
      </c>
      <c r="O12" s="64">
        <v>46</v>
      </c>
      <c r="Q12" s="388"/>
      <c r="R12" s="388"/>
      <c r="S12" s="388"/>
    </row>
    <row r="13" spans="1:19" ht="14.25" customHeight="1" x14ac:dyDescent="0.25">
      <c r="A13" s="66" t="s">
        <v>417</v>
      </c>
      <c r="B13" s="63">
        <v>200</v>
      </c>
      <c r="C13" s="64">
        <f t="shared" ref="C13" si="12">AVERAGE(L13,L28)</f>
        <v>36.599999999999994</v>
      </c>
      <c r="D13" s="64">
        <f t="shared" si="1"/>
        <v>140.19999999999999</v>
      </c>
      <c r="E13" s="63">
        <v>50</v>
      </c>
      <c r="F13" s="64">
        <f t="shared" ref="F13" si="13">AVERAGE(N13,N28)</f>
        <v>36.549999999999997</v>
      </c>
      <c r="G13" s="64">
        <f t="shared" si="3"/>
        <v>47.3</v>
      </c>
      <c r="J13" s="389"/>
      <c r="K13" s="66" t="s">
        <v>417</v>
      </c>
      <c r="L13" s="64">
        <v>35.799999999999997</v>
      </c>
      <c r="M13" s="64">
        <v>108.8</v>
      </c>
      <c r="N13" s="64">
        <v>35.700000000000003</v>
      </c>
      <c r="O13" s="64">
        <v>45.3</v>
      </c>
      <c r="Q13" s="388" t="s">
        <v>418</v>
      </c>
      <c r="R13" s="388"/>
      <c r="S13" s="388"/>
    </row>
    <row r="14" spans="1:19" x14ac:dyDescent="0.25">
      <c r="A14" s="66" t="s">
        <v>419</v>
      </c>
      <c r="B14" s="63">
        <v>200</v>
      </c>
      <c r="C14" s="64">
        <f t="shared" ref="C14" si="14">AVERAGE(L14,L29)</f>
        <v>30.55</v>
      </c>
      <c r="D14" s="64">
        <f t="shared" si="1"/>
        <v>131</v>
      </c>
      <c r="E14" s="63">
        <v>50</v>
      </c>
      <c r="F14" s="64">
        <f t="shared" ref="F14" si="15">AVERAGE(N14,N29)</f>
        <v>30.85</v>
      </c>
      <c r="G14" s="64">
        <f t="shared" si="3"/>
        <v>47.2</v>
      </c>
      <c r="J14" s="389"/>
      <c r="K14" s="66" t="s">
        <v>419</v>
      </c>
      <c r="L14" s="64">
        <v>29.3</v>
      </c>
      <c r="M14" s="64">
        <v>131</v>
      </c>
      <c r="N14" s="64">
        <v>29.3</v>
      </c>
      <c r="O14" s="64">
        <v>47.2</v>
      </c>
      <c r="Q14" s="388"/>
      <c r="R14" s="388"/>
      <c r="S14" s="388"/>
    </row>
    <row r="15" spans="1:19" x14ac:dyDescent="0.25">
      <c r="A15" s="66" t="s">
        <v>420</v>
      </c>
      <c r="B15" s="63">
        <v>200</v>
      </c>
      <c r="C15" s="64">
        <f t="shared" ref="C15" si="16">AVERAGE(L15,L30)</f>
        <v>36.5</v>
      </c>
      <c r="D15" s="64">
        <f t="shared" si="1"/>
        <v>156.5</v>
      </c>
      <c r="E15" s="63">
        <v>50</v>
      </c>
      <c r="F15" s="64">
        <f t="shared" ref="F15" si="17">AVERAGE(N15,N30)</f>
        <v>36.25</v>
      </c>
      <c r="G15" s="64">
        <f t="shared" si="3"/>
        <v>47.4</v>
      </c>
      <c r="J15" s="389"/>
      <c r="K15" s="66" t="s">
        <v>420</v>
      </c>
      <c r="L15" s="64">
        <v>35.799999999999997</v>
      </c>
      <c r="M15" s="64">
        <v>147.9</v>
      </c>
      <c r="N15" s="64">
        <v>35.4</v>
      </c>
      <c r="O15" s="64">
        <v>46</v>
      </c>
      <c r="Q15" s="388"/>
      <c r="R15" s="388"/>
      <c r="S15" s="388"/>
    </row>
    <row r="16" spans="1:19" x14ac:dyDescent="0.25">
      <c r="A16" s="66" t="s">
        <v>421</v>
      </c>
      <c r="B16" s="63">
        <v>200</v>
      </c>
      <c r="C16" s="64">
        <f t="shared" ref="C16" si="18">AVERAGE(L16,L31)</f>
        <v>39.349999999999994</v>
      </c>
      <c r="D16" s="64">
        <f t="shared" si="1"/>
        <v>136.5</v>
      </c>
      <c r="E16" s="63">
        <v>50</v>
      </c>
      <c r="F16" s="64">
        <f t="shared" ref="F16" si="19">AVERAGE(N16,N31)</f>
        <v>39.25</v>
      </c>
      <c r="G16" s="64">
        <f t="shared" si="3"/>
        <v>48.1</v>
      </c>
      <c r="J16" s="389"/>
      <c r="K16" s="66" t="s">
        <v>421</v>
      </c>
      <c r="L16" s="64">
        <v>38.9</v>
      </c>
      <c r="M16" s="64">
        <v>122.9</v>
      </c>
      <c r="N16" s="64">
        <v>38.700000000000003</v>
      </c>
      <c r="O16" s="64">
        <v>48.1</v>
      </c>
      <c r="Q16" s="388"/>
      <c r="R16" s="388"/>
      <c r="S16" s="388"/>
    </row>
    <row r="17" spans="1:15" x14ac:dyDescent="0.25">
      <c r="A17" s="66" t="s">
        <v>422</v>
      </c>
      <c r="B17" s="63">
        <v>200</v>
      </c>
      <c r="C17" s="64">
        <f t="shared" ref="C17" si="20">AVERAGE(L17,L32)</f>
        <v>38.35</v>
      </c>
      <c r="D17" s="64">
        <f t="shared" si="1"/>
        <v>155.19999999999999</v>
      </c>
      <c r="E17" s="63">
        <v>50</v>
      </c>
      <c r="F17" s="64">
        <f t="shared" ref="F17" si="21">AVERAGE(N17,N32)</f>
        <v>38.6</v>
      </c>
      <c r="G17" s="64">
        <f t="shared" si="3"/>
        <v>48.4</v>
      </c>
      <c r="J17" s="389"/>
      <c r="K17" s="66" t="s">
        <v>422</v>
      </c>
      <c r="L17" s="64">
        <v>37.6</v>
      </c>
      <c r="M17" s="64">
        <v>120.6</v>
      </c>
      <c r="N17" s="64">
        <v>38.200000000000003</v>
      </c>
      <c r="O17" s="64">
        <v>47.6</v>
      </c>
    </row>
    <row r="18" spans="1:15" x14ac:dyDescent="0.25">
      <c r="A18" s="66" t="s">
        <v>423</v>
      </c>
      <c r="B18" s="63">
        <v>200</v>
      </c>
      <c r="C18" s="64">
        <f t="shared" ref="C18" si="22">AVERAGE(L18,L33)</f>
        <v>37.25</v>
      </c>
      <c r="D18" s="64">
        <f t="shared" si="1"/>
        <v>252.2</v>
      </c>
      <c r="E18" s="63">
        <v>50</v>
      </c>
      <c r="F18" s="64">
        <f t="shared" ref="F18" si="23">AVERAGE(N18,N33)</f>
        <v>37.25</v>
      </c>
      <c r="G18" s="64">
        <f t="shared" si="3"/>
        <v>47.1</v>
      </c>
      <c r="J18" s="389"/>
      <c r="K18" s="66" t="s">
        <v>423</v>
      </c>
      <c r="L18" s="64">
        <v>36.4</v>
      </c>
      <c r="M18" s="64">
        <v>252.2</v>
      </c>
      <c r="N18" s="64">
        <v>36.4</v>
      </c>
      <c r="O18" s="64">
        <v>45.2</v>
      </c>
    </row>
    <row r="19" spans="1:15" x14ac:dyDescent="0.25">
      <c r="J19" s="389"/>
      <c r="K19" s="62" t="s">
        <v>424</v>
      </c>
      <c r="L19" s="116">
        <f>AVERAGE(L7:L18)</f>
        <v>35.091666666666669</v>
      </c>
      <c r="M19" s="116">
        <f>MAX(M7:M18)</f>
        <v>252.2</v>
      </c>
      <c r="N19" s="116">
        <f>AVERAGE(N7:N18)</f>
        <v>35.18333333333333</v>
      </c>
      <c r="O19" s="116">
        <f>MAX(O7:O18)</f>
        <v>48.1</v>
      </c>
    </row>
    <row r="21" spans="1:15" ht="41.4" x14ac:dyDescent="0.25">
      <c r="J21" s="61">
        <f>+A6</f>
        <v>2022</v>
      </c>
      <c r="K21" s="61" t="s">
        <v>406</v>
      </c>
      <c r="L21" s="67" t="s">
        <v>401</v>
      </c>
      <c r="M21" s="67" t="s">
        <v>407</v>
      </c>
      <c r="N21" s="67" t="s">
        <v>404</v>
      </c>
      <c r="O21" s="67" t="s">
        <v>408</v>
      </c>
    </row>
    <row r="22" spans="1:15" x14ac:dyDescent="0.25">
      <c r="J22" s="389" t="s">
        <v>193</v>
      </c>
      <c r="K22" s="66" t="s">
        <v>409</v>
      </c>
      <c r="L22" s="64">
        <v>34</v>
      </c>
      <c r="M22" s="64">
        <v>163.5</v>
      </c>
      <c r="N22" s="64">
        <v>34</v>
      </c>
      <c r="O22" s="64">
        <v>48.1</v>
      </c>
    </row>
    <row r="23" spans="1:15" x14ac:dyDescent="0.25">
      <c r="J23" s="389"/>
      <c r="K23" s="66" t="s">
        <v>410</v>
      </c>
      <c r="L23" s="64">
        <v>41.2</v>
      </c>
      <c r="M23" s="64">
        <v>157.19999999999999</v>
      </c>
      <c r="N23" s="64">
        <v>41.1</v>
      </c>
      <c r="O23" s="64">
        <v>47</v>
      </c>
    </row>
    <row r="24" spans="1:15" x14ac:dyDescent="0.25">
      <c r="J24" s="389"/>
      <c r="K24" s="66" t="s">
        <v>411</v>
      </c>
      <c r="L24" s="64">
        <v>40.299999999999997</v>
      </c>
      <c r="M24" s="64">
        <v>141.6</v>
      </c>
      <c r="N24" s="64">
        <v>40.299999999999997</v>
      </c>
      <c r="O24" s="64">
        <v>46.1</v>
      </c>
    </row>
    <row r="25" spans="1:15" x14ac:dyDescent="0.25">
      <c r="J25" s="389"/>
      <c r="K25" s="66" t="s">
        <v>413</v>
      </c>
      <c r="L25" s="64">
        <v>41.8</v>
      </c>
      <c r="M25" s="64">
        <v>169.5</v>
      </c>
      <c r="N25" s="64">
        <v>41.8</v>
      </c>
      <c r="O25" s="64">
        <v>47.9</v>
      </c>
    </row>
    <row r="26" spans="1:15" x14ac:dyDescent="0.25">
      <c r="J26" s="389"/>
      <c r="K26" s="66" t="s">
        <v>415</v>
      </c>
      <c r="L26" s="64">
        <v>40.4</v>
      </c>
      <c r="M26" s="64">
        <v>130</v>
      </c>
      <c r="N26" s="64">
        <v>40.4</v>
      </c>
      <c r="O26" s="64">
        <v>47.5</v>
      </c>
    </row>
    <row r="27" spans="1:15" x14ac:dyDescent="0.25">
      <c r="J27" s="389"/>
      <c r="K27" s="66" t="s">
        <v>416</v>
      </c>
      <c r="L27" s="64">
        <v>39</v>
      </c>
      <c r="M27" s="64">
        <v>116.8</v>
      </c>
      <c r="N27" s="64">
        <v>39</v>
      </c>
      <c r="O27" s="64">
        <v>46.6</v>
      </c>
    </row>
    <row r="28" spans="1:15" x14ac:dyDescent="0.25">
      <c r="J28" s="389"/>
      <c r="K28" s="66" t="s">
        <v>417</v>
      </c>
      <c r="L28" s="64">
        <v>37.4</v>
      </c>
      <c r="M28" s="64">
        <v>140.19999999999999</v>
      </c>
      <c r="N28" s="64">
        <v>37.4</v>
      </c>
      <c r="O28" s="64">
        <v>47.3</v>
      </c>
    </row>
    <row r="29" spans="1:15" x14ac:dyDescent="0.25">
      <c r="J29" s="389"/>
      <c r="K29" s="66" t="s">
        <v>419</v>
      </c>
      <c r="L29" s="64">
        <v>31.8</v>
      </c>
      <c r="M29" s="64">
        <v>104.8</v>
      </c>
      <c r="N29" s="64">
        <v>32.4</v>
      </c>
      <c r="O29" s="64">
        <v>45.4</v>
      </c>
    </row>
    <row r="30" spans="1:15" x14ac:dyDescent="0.25">
      <c r="J30" s="389"/>
      <c r="K30" s="66" t="s">
        <v>420</v>
      </c>
      <c r="L30" s="64">
        <v>37.200000000000003</v>
      </c>
      <c r="M30" s="64">
        <v>156.5</v>
      </c>
      <c r="N30" s="64">
        <v>37.1</v>
      </c>
      <c r="O30" s="64">
        <v>47.4</v>
      </c>
    </row>
    <row r="31" spans="1:15" x14ac:dyDescent="0.25">
      <c r="J31" s="389"/>
      <c r="K31" s="66" t="s">
        <v>421</v>
      </c>
      <c r="L31" s="64">
        <v>39.799999999999997</v>
      </c>
      <c r="M31" s="64">
        <v>136.5</v>
      </c>
      <c r="N31" s="64">
        <v>39.799999999999997</v>
      </c>
      <c r="O31" s="64">
        <v>46.9</v>
      </c>
    </row>
    <row r="32" spans="1:15" x14ac:dyDescent="0.25">
      <c r="J32" s="389"/>
      <c r="K32" s="66" t="s">
        <v>422</v>
      </c>
      <c r="L32" s="64">
        <v>39.1</v>
      </c>
      <c r="M32" s="64">
        <v>155.19999999999999</v>
      </c>
      <c r="N32" s="64">
        <v>39</v>
      </c>
      <c r="O32" s="64">
        <v>48.4</v>
      </c>
    </row>
    <row r="33" spans="1:15" x14ac:dyDescent="0.25">
      <c r="J33" s="389"/>
      <c r="K33" s="66" t="s">
        <v>423</v>
      </c>
      <c r="L33" s="64">
        <v>38.1</v>
      </c>
      <c r="M33" s="64">
        <v>146</v>
      </c>
      <c r="N33" s="64">
        <v>38.1</v>
      </c>
      <c r="O33" s="64">
        <v>47.1</v>
      </c>
    </row>
    <row r="34" spans="1:15" x14ac:dyDescent="0.25">
      <c r="J34" s="389"/>
      <c r="K34" s="62" t="s">
        <v>424</v>
      </c>
      <c r="L34" s="116">
        <f>AVERAGE(L22:L33)</f>
        <v>38.341666666666676</v>
      </c>
      <c r="M34" s="116">
        <f>MAX(M22:M33)</f>
        <v>169.5</v>
      </c>
      <c r="N34" s="116">
        <f>AVERAGE(N22:N33)</f>
        <v>38.366666666666667</v>
      </c>
      <c r="O34" s="116">
        <f>MAX(O22:O33)</f>
        <v>48.4</v>
      </c>
    </row>
    <row r="36" spans="1:15" ht="41.4" x14ac:dyDescent="0.25">
      <c r="J36" s="61">
        <f>+A6</f>
        <v>2022</v>
      </c>
      <c r="K36" s="61" t="s">
        <v>406</v>
      </c>
      <c r="L36" s="67" t="s">
        <v>401</v>
      </c>
      <c r="M36" s="67" t="s">
        <v>407</v>
      </c>
      <c r="N36" s="67" t="s">
        <v>404</v>
      </c>
      <c r="O36" s="67" t="s">
        <v>408</v>
      </c>
    </row>
    <row r="37" spans="1:15" x14ac:dyDescent="0.25">
      <c r="J37" s="389" t="s">
        <v>194</v>
      </c>
      <c r="K37" s="66" t="s">
        <v>409</v>
      </c>
      <c r="L37" s="64"/>
      <c r="M37" s="64"/>
      <c r="N37" s="64"/>
      <c r="O37" s="64"/>
    </row>
    <row r="38" spans="1:15" x14ac:dyDescent="0.25">
      <c r="J38" s="389"/>
      <c r="K38" s="66" t="s">
        <v>410</v>
      </c>
      <c r="L38" s="64"/>
      <c r="M38" s="64"/>
      <c r="N38" s="64"/>
      <c r="O38" s="64"/>
    </row>
    <row r="39" spans="1:15" x14ac:dyDescent="0.25">
      <c r="J39" s="389"/>
      <c r="K39" s="66" t="s">
        <v>411</v>
      </c>
      <c r="L39" s="64"/>
      <c r="M39" s="64"/>
      <c r="N39" s="64"/>
      <c r="O39" s="64"/>
    </row>
    <row r="40" spans="1:15" x14ac:dyDescent="0.25">
      <c r="J40" s="389"/>
      <c r="K40" s="66" t="s">
        <v>413</v>
      </c>
      <c r="L40" s="64"/>
      <c r="M40" s="64"/>
      <c r="N40" s="64"/>
      <c r="O40" s="64"/>
    </row>
    <row r="41" spans="1:15" x14ac:dyDescent="0.25">
      <c r="J41" s="389"/>
      <c r="K41" s="66" t="s">
        <v>415</v>
      </c>
      <c r="L41" s="64"/>
      <c r="M41" s="64"/>
      <c r="N41" s="64"/>
      <c r="O41" s="64"/>
    </row>
    <row r="42" spans="1:15" x14ac:dyDescent="0.25">
      <c r="J42" s="389"/>
      <c r="K42" s="66" t="s">
        <v>416</v>
      </c>
      <c r="L42" s="64"/>
      <c r="M42" s="64"/>
      <c r="N42" s="64"/>
      <c r="O42" s="64"/>
    </row>
    <row r="43" spans="1:15" x14ac:dyDescent="0.25">
      <c r="J43" s="389"/>
      <c r="K43" s="66" t="s">
        <v>417</v>
      </c>
      <c r="L43" s="64"/>
      <c r="M43" s="64"/>
      <c r="N43" s="64"/>
      <c r="O43" s="64"/>
    </row>
    <row r="44" spans="1:15" x14ac:dyDescent="0.25">
      <c r="J44" s="389"/>
      <c r="K44" s="66" t="s">
        <v>419</v>
      </c>
      <c r="L44" s="64"/>
      <c r="M44" s="64"/>
      <c r="N44" s="64"/>
      <c r="O44" s="64"/>
    </row>
    <row r="45" spans="1:15" x14ac:dyDescent="0.25">
      <c r="J45" s="389"/>
      <c r="K45" s="66" t="s">
        <v>420</v>
      </c>
      <c r="L45" s="64"/>
      <c r="M45" s="64"/>
      <c r="N45" s="64"/>
      <c r="O45" s="64"/>
    </row>
    <row r="46" spans="1:15" x14ac:dyDescent="0.25">
      <c r="J46" s="389"/>
      <c r="K46" s="66" t="s">
        <v>421</v>
      </c>
      <c r="L46" s="64"/>
      <c r="M46" s="64"/>
      <c r="N46" s="64"/>
      <c r="O46" s="64"/>
    </row>
    <row r="47" spans="1:15" x14ac:dyDescent="0.25">
      <c r="J47" s="389"/>
      <c r="K47" s="66" t="s">
        <v>422</v>
      </c>
      <c r="L47" s="64"/>
      <c r="M47" s="64"/>
      <c r="N47" s="64"/>
      <c r="O47" s="64"/>
    </row>
    <row r="48" spans="1:15" x14ac:dyDescent="0.25">
      <c r="A48" s="401" t="s">
        <v>304</v>
      </c>
      <c r="B48" s="402"/>
      <c r="C48" s="402"/>
      <c r="D48" s="402"/>
      <c r="E48" s="402"/>
      <c r="F48" s="402"/>
      <c r="G48" s="403"/>
      <c r="J48" s="389"/>
      <c r="K48" s="66" t="s">
        <v>423</v>
      </c>
      <c r="L48" s="64"/>
      <c r="M48" s="64"/>
      <c r="N48" s="64"/>
      <c r="O48" s="64"/>
    </row>
    <row r="49" spans="1:15" x14ac:dyDescent="0.25">
      <c r="A49" s="392"/>
      <c r="B49" s="393"/>
      <c r="C49" s="393"/>
      <c r="D49" s="393"/>
      <c r="E49" s="393"/>
      <c r="F49" s="393"/>
      <c r="G49" s="394"/>
      <c r="J49" s="389"/>
      <c r="K49" s="62" t="s">
        <v>424</v>
      </c>
      <c r="L49" s="62" t="e">
        <f>AVERAGE(L37:L48)</f>
        <v>#DIV/0!</v>
      </c>
      <c r="M49" s="62">
        <f>MAX(M37:M48)</f>
        <v>0</v>
      </c>
      <c r="N49" s="62" t="e">
        <f>AVERAGE(N37:N48)</f>
        <v>#DIV/0!</v>
      </c>
      <c r="O49" s="62">
        <f>MAX(O37:O48)</f>
        <v>0</v>
      </c>
    </row>
    <row r="50" spans="1:15" x14ac:dyDescent="0.25">
      <c r="A50" s="395"/>
      <c r="B50" s="396"/>
      <c r="C50" s="396"/>
      <c r="D50" s="396"/>
      <c r="E50" s="396"/>
      <c r="F50" s="396"/>
      <c r="G50" s="397"/>
    </row>
    <row r="51" spans="1:15" ht="41.4" x14ac:dyDescent="0.25">
      <c r="A51" s="395"/>
      <c r="B51" s="396"/>
      <c r="C51" s="396"/>
      <c r="D51" s="396"/>
      <c r="E51" s="396"/>
      <c r="F51" s="396"/>
      <c r="G51" s="397"/>
      <c r="J51" s="61">
        <f>+A6</f>
        <v>2022</v>
      </c>
      <c r="K51" s="61" t="s">
        <v>406</v>
      </c>
      <c r="L51" s="67" t="s">
        <v>401</v>
      </c>
      <c r="M51" s="67" t="s">
        <v>407</v>
      </c>
      <c r="N51" s="67" t="s">
        <v>404</v>
      </c>
      <c r="O51" s="67" t="s">
        <v>408</v>
      </c>
    </row>
    <row r="52" spans="1:15" x14ac:dyDescent="0.25">
      <c r="A52" s="398"/>
      <c r="B52" s="399"/>
      <c r="C52" s="399"/>
      <c r="D52" s="399"/>
      <c r="E52" s="399"/>
      <c r="F52" s="399"/>
      <c r="G52" s="400"/>
      <c r="J52" s="389" t="s">
        <v>195</v>
      </c>
      <c r="K52" s="66" t="s">
        <v>409</v>
      </c>
      <c r="L52" s="64"/>
      <c r="M52" s="64"/>
      <c r="N52" s="64"/>
      <c r="O52" s="64"/>
    </row>
    <row r="53" spans="1:15" x14ac:dyDescent="0.25">
      <c r="J53" s="389"/>
      <c r="K53" s="66" t="s">
        <v>410</v>
      </c>
      <c r="L53" s="64"/>
      <c r="M53" s="64"/>
      <c r="N53" s="64"/>
      <c r="O53" s="64"/>
    </row>
    <row r="54" spans="1:15" x14ac:dyDescent="0.25">
      <c r="J54" s="389"/>
      <c r="K54" s="66" t="s">
        <v>415</v>
      </c>
      <c r="L54" s="64"/>
      <c r="M54" s="64"/>
      <c r="N54" s="64"/>
      <c r="O54" s="64"/>
    </row>
    <row r="55" spans="1:15" x14ac:dyDescent="0.25">
      <c r="J55" s="389"/>
      <c r="K55" s="66" t="s">
        <v>416</v>
      </c>
      <c r="L55" s="64"/>
      <c r="M55" s="64"/>
      <c r="N55" s="64"/>
      <c r="O55" s="64"/>
    </row>
    <row r="56" spans="1:15" x14ac:dyDescent="0.25">
      <c r="J56" s="389"/>
      <c r="K56" s="66" t="s">
        <v>417</v>
      </c>
      <c r="L56" s="64"/>
      <c r="M56" s="64"/>
      <c r="N56" s="64"/>
      <c r="O56" s="64"/>
    </row>
    <row r="57" spans="1:15" x14ac:dyDescent="0.25">
      <c r="J57" s="389"/>
      <c r="K57" s="66" t="s">
        <v>419</v>
      </c>
      <c r="L57" s="64"/>
      <c r="M57" s="64"/>
      <c r="N57" s="64"/>
      <c r="O57" s="64"/>
    </row>
    <row r="58" spans="1:15" x14ac:dyDescent="0.25">
      <c r="J58" s="389"/>
      <c r="K58" s="66" t="s">
        <v>420</v>
      </c>
      <c r="L58" s="64"/>
      <c r="M58" s="64"/>
      <c r="N58" s="64"/>
      <c r="O58" s="64"/>
    </row>
    <row r="59" spans="1:15" x14ac:dyDescent="0.25">
      <c r="J59" s="389"/>
      <c r="K59" s="66" t="s">
        <v>421</v>
      </c>
      <c r="L59" s="64"/>
      <c r="M59" s="64"/>
      <c r="N59" s="64"/>
      <c r="O59" s="64"/>
    </row>
    <row r="60" spans="1:15" x14ac:dyDescent="0.25">
      <c r="J60" s="389"/>
      <c r="K60" s="66" t="s">
        <v>422</v>
      </c>
      <c r="L60" s="64"/>
      <c r="M60" s="64"/>
      <c r="N60" s="64"/>
      <c r="O60" s="64"/>
    </row>
    <row r="61" spans="1:15" x14ac:dyDescent="0.25">
      <c r="J61" s="389"/>
      <c r="K61" s="66" t="s">
        <v>423</v>
      </c>
      <c r="L61" s="64"/>
      <c r="M61" s="64"/>
      <c r="N61" s="64"/>
      <c r="O61" s="64"/>
    </row>
    <row r="62" spans="1:15" x14ac:dyDescent="0.25">
      <c r="J62" s="389"/>
      <c r="K62" s="62" t="s">
        <v>424</v>
      </c>
      <c r="L62" s="62" t="e">
        <f>AVERAGE(L52:L61)</f>
        <v>#DIV/0!</v>
      </c>
      <c r="M62" s="62">
        <f>MAX(M52:M61)</f>
        <v>0</v>
      </c>
      <c r="N62" s="62" t="e">
        <f>AVERAGE(N52:N61)</f>
        <v>#DIV/0!</v>
      </c>
      <c r="O62" s="62">
        <f>MAX(O52:O61)</f>
        <v>0</v>
      </c>
    </row>
    <row r="64" spans="1:15" ht="41.4" x14ac:dyDescent="0.25">
      <c r="J64" s="61">
        <f>+A6</f>
        <v>2022</v>
      </c>
      <c r="K64" s="61" t="s">
        <v>406</v>
      </c>
      <c r="L64" s="67" t="s">
        <v>401</v>
      </c>
      <c r="M64" s="67" t="s">
        <v>407</v>
      </c>
      <c r="N64" s="67" t="s">
        <v>404</v>
      </c>
      <c r="O64" s="67" t="s">
        <v>408</v>
      </c>
    </row>
    <row r="65" spans="10:15" x14ac:dyDescent="0.25">
      <c r="J65" s="389" t="s">
        <v>196</v>
      </c>
      <c r="K65" s="66" t="s">
        <v>409</v>
      </c>
      <c r="L65" s="64"/>
      <c r="M65" s="64"/>
      <c r="N65" s="64"/>
      <c r="O65" s="64"/>
    </row>
    <row r="66" spans="10:15" x14ac:dyDescent="0.25">
      <c r="J66" s="389"/>
      <c r="K66" s="66" t="s">
        <v>410</v>
      </c>
      <c r="L66" s="64"/>
      <c r="M66" s="64"/>
      <c r="N66" s="64"/>
      <c r="O66" s="64"/>
    </row>
    <row r="67" spans="10:15" x14ac:dyDescent="0.25">
      <c r="J67" s="389"/>
      <c r="K67" s="66" t="s">
        <v>411</v>
      </c>
      <c r="L67" s="64"/>
      <c r="M67" s="64"/>
      <c r="N67" s="64"/>
      <c r="O67" s="64"/>
    </row>
    <row r="68" spans="10:15" x14ac:dyDescent="0.25">
      <c r="J68" s="389"/>
      <c r="K68" s="66" t="s">
        <v>413</v>
      </c>
      <c r="L68" s="64"/>
      <c r="M68" s="64"/>
      <c r="N68" s="64"/>
      <c r="O68" s="64"/>
    </row>
    <row r="69" spans="10:15" x14ac:dyDescent="0.25">
      <c r="J69" s="389"/>
      <c r="K69" s="66" t="s">
        <v>415</v>
      </c>
      <c r="L69" s="64"/>
      <c r="M69" s="64"/>
      <c r="N69" s="64"/>
      <c r="O69" s="64"/>
    </row>
    <row r="70" spans="10:15" x14ac:dyDescent="0.25">
      <c r="J70" s="389"/>
      <c r="K70" s="66" t="s">
        <v>416</v>
      </c>
      <c r="L70" s="64"/>
      <c r="M70" s="64"/>
      <c r="N70" s="64"/>
      <c r="O70" s="64"/>
    </row>
    <row r="71" spans="10:15" x14ac:dyDescent="0.25">
      <c r="J71" s="389"/>
      <c r="K71" s="66" t="s">
        <v>417</v>
      </c>
      <c r="L71" s="64"/>
      <c r="M71" s="64"/>
      <c r="N71" s="64"/>
      <c r="O71" s="64"/>
    </row>
    <row r="72" spans="10:15" x14ac:dyDescent="0.25">
      <c r="J72" s="389"/>
      <c r="K72" s="66" t="s">
        <v>419</v>
      </c>
      <c r="L72" s="64"/>
      <c r="M72" s="64"/>
      <c r="N72" s="64"/>
      <c r="O72" s="64"/>
    </row>
    <row r="73" spans="10:15" x14ac:dyDescent="0.25">
      <c r="J73" s="389"/>
      <c r="K73" s="66" t="s">
        <v>420</v>
      </c>
      <c r="L73" s="64"/>
      <c r="M73" s="64"/>
      <c r="N73" s="64"/>
      <c r="O73" s="64"/>
    </row>
    <row r="74" spans="10:15" x14ac:dyDescent="0.25">
      <c r="J74" s="389"/>
      <c r="K74" s="66" t="s">
        <v>421</v>
      </c>
      <c r="L74" s="64"/>
      <c r="M74" s="64"/>
      <c r="N74" s="64"/>
      <c r="O74" s="64"/>
    </row>
    <row r="75" spans="10:15" x14ac:dyDescent="0.25">
      <c r="J75" s="389"/>
      <c r="K75" s="66" t="s">
        <v>422</v>
      </c>
      <c r="L75" s="64"/>
      <c r="M75" s="64"/>
      <c r="N75" s="64"/>
      <c r="O75" s="64"/>
    </row>
    <row r="76" spans="10:15" x14ac:dyDescent="0.25">
      <c r="J76" s="389"/>
      <c r="K76" s="66" t="s">
        <v>423</v>
      </c>
      <c r="L76" s="64"/>
      <c r="M76" s="64"/>
      <c r="N76" s="64"/>
      <c r="O76" s="64"/>
    </row>
    <row r="77" spans="10:15" x14ac:dyDescent="0.25">
      <c r="J77" s="389"/>
      <c r="K77" s="62" t="s">
        <v>424</v>
      </c>
      <c r="L77" s="62" t="e">
        <f>AVERAGE(L65:L76)</f>
        <v>#DIV/0!</v>
      </c>
      <c r="M77" s="62">
        <f>MAX(M65:M76)</f>
        <v>0</v>
      </c>
      <c r="N77" s="62" t="e">
        <f>AVERAGE(N65:N76)</f>
        <v>#DIV/0!</v>
      </c>
      <c r="O77" s="62">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S77"/>
  <sheetViews>
    <sheetView topLeftCell="F7" workbookViewId="0">
      <selection activeCell="F55" sqref="F55"/>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Staffordshire Energy Recovery Facility</v>
      </c>
      <c r="F1" s="92"/>
    </row>
    <row r="3" spans="1:19" ht="14.4" x14ac:dyDescent="0.3">
      <c r="A3" s="60" t="s">
        <v>428</v>
      </c>
      <c r="D3" s="76" t="s">
        <v>393</v>
      </c>
      <c r="G3" s="80" t="s">
        <v>394</v>
      </c>
      <c r="J3" s="9" t="str">
        <f>+A3</f>
        <v>Monitoring of Oxides of Nitrogen emissions</v>
      </c>
      <c r="L3" s="9"/>
      <c r="N3" s="9" t="s">
        <v>395</v>
      </c>
      <c r="Q3" s="79" t="s">
        <v>3</v>
      </c>
      <c r="R3" s="74"/>
      <c r="S3" s="74"/>
    </row>
    <row r="4" spans="1:19" ht="13.95" customHeight="1" x14ac:dyDescent="0.25">
      <c r="Q4" s="365" t="s">
        <v>396</v>
      </c>
      <c r="R4" s="365"/>
      <c r="S4" s="365"/>
    </row>
    <row r="5" spans="1:19" ht="16.2" x14ac:dyDescent="0.25">
      <c r="A5" s="68" t="s">
        <v>397</v>
      </c>
      <c r="B5" s="391" t="s">
        <v>398</v>
      </c>
      <c r="C5" s="391"/>
      <c r="D5" s="391"/>
      <c r="E5" s="391" t="s">
        <v>399</v>
      </c>
      <c r="F5" s="391"/>
      <c r="G5" s="391"/>
      <c r="J5" s="390"/>
      <c r="K5" s="390"/>
      <c r="L5" s="390"/>
      <c r="M5" s="390"/>
      <c r="N5" s="390"/>
      <c r="O5" s="390"/>
      <c r="Q5" s="365"/>
      <c r="R5" s="365"/>
      <c r="S5" s="365"/>
    </row>
    <row r="6" spans="1:19" s="58" customFormat="1" ht="37.5" customHeight="1" x14ac:dyDescent="0.3">
      <c r="A6" s="65">
        <f>+'Cover Page'!C39</f>
        <v>2022</v>
      </c>
      <c r="B6" s="55" t="s">
        <v>429</v>
      </c>
      <c r="C6" s="55" t="s">
        <v>401</v>
      </c>
      <c r="D6" s="55" t="s">
        <v>402</v>
      </c>
      <c r="E6" s="55" t="s">
        <v>430</v>
      </c>
      <c r="F6" s="55" t="s">
        <v>404</v>
      </c>
      <c r="G6" s="55" t="s">
        <v>405</v>
      </c>
      <c r="H6" s="59"/>
      <c r="J6" s="61">
        <f>+A6</f>
        <v>2022</v>
      </c>
      <c r="K6" s="61" t="s">
        <v>406</v>
      </c>
      <c r="L6" s="67" t="s">
        <v>401</v>
      </c>
      <c r="M6" s="67" t="s">
        <v>407</v>
      </c>
      <c r="N6" s="67" t="s">
        <v>404</v>
      </c>
      <c r="O6" s="67" t="s">
        <v>408</v>
      </c>
      <c r="Q6" s="365"/>
      <c r="R6" s="365"/>
      <c r="S6" s="365"/>
    </row>
    <row r="7" spans="1:19" x14ac:dyDescent="0.25">
      <c r="A7" s="66" t="s">
        <v>409</v>
      </c>
      <c r="B7" s="63">
        <v>400</v>
      </c>
      <c r="C7" s="64">
        <f>AVERAGE(L7,L22)</f>
        <v>155.5</v>
      </c>
      <c r="D7" s="64">
        <f>MAX(M7,M22)</f>
        <v>312.8</v>
      </c>
      <c r="E7" s="63">
        <v>200</v>
      </c>
      <c r="F7" s="64">
        <f>AVERAGE(N7,N22)</f>
        <v>155.39999999999998</v>
      </c>
      <c r="G7" s="64">
        <f>MAX(O7,O22)</f>
        <v>170.9</v>
      </c>
      <c r="J7" s="389" t="s">
        <v>192</v>
      </c>
      <c r="K7" s="66" t="s">
        <v>409</v>
      </c>
      <c r="L7" s="64">
        <v>148.5</v>
      </c>
      <c r="M7" s="64">
        <v>271.7</v>
      </c>
      <c r="N7" s="64">
        <v>148.19999999999999</v>
      </c>
      <c r="O7" s="64">
        <v>168.6</v>
      </c>
      <c r="Q7" s="365"/>
      <c r="R7" s="365"/>
      <c r="S7" s="365"/>
    </row>
    <row r="8" spans="1:19" x14ac:dyDescent="0.25">
      <c r="A8" s="66" t="s">
        <v>410</v>
      </c>
      <c r="B8" s="63">
        <v>400</v>
      </c>
      <c r="C8" s="64">
        <f t="shared" ref="C8" si="0">AVERAGE(L8,L23)</f>
        <v>152.55000000000001</v>
      </c>
      <c r="D8" s="64">
        <f t="shared" ref="D8:D18" si="1">MAX(M8,M23)</f>
        <v>299.39999999999998</v>
      </c>
      <c r="E8" s="63">
        <v>200</v>
      </c>
      <c r="F8" s="64">
        <f t="shared" ref="F8" si="2">AVERAGE(N8,N23)</f>
        <v>152.44999999999999</v>
      </c>
      <c r="G8" s="64">
        <f t="shared" ref="G8:G18" si="3">MAX(O8,O23)</f>
        <v>172.3</v>
      </c>
      <c r="J8" s="389"/>
      <c r="K8" s="66" t="s">
        <v>410</v>
      </c>
      <c r="L8" s="64">
        <v>143.69999999999999</v>
      </c>
      <c r="M8" s="64">
        <v>299.39999999999998</v>
      </c>
      <c r="N8" s="64">
        <v>143.6</v>
      </c>
      <c r="O8" s="64">
        <v>157.19999999999999</v>
      </c>
      <c r="Q8" s="365"/>
      <c r="R8" s="365"/>
      <c r="S8" s="365"/>
    </row>
    <row r="9" spans="1:19" x14ac:dyDescent="0.25">
      <c r="A9" s="66" t="s">
        <v>411</v>
      </c>
      <c r="B9" s="63">
        <v>400</v>
      </c>
      <c r="C9" s="64">
        <f t="shared" ref="C9" si="4">AVERAGE(L9,L24)</f>
        <v>157.15</v>
      </c>
      <c r="D9" s="64">
        <f t="shared" si="1"/>
        <v>300.5</v>
      </c>
      <c r="E9" s="63">
        <v>200</v>
      </c>
      <c r="F9" s="64">
        <f t="shared" ref="F9" si="5">AVERAGE(N9,N24)</f>
        <v>157.19999999999999</v>
      </c>
      <c r="G9" s="64">
        <f t="shared" si="3"/>
        <v>173.8</v>
      </c>
      <c r="J9" s="389"/>
      <c r="K9" s="66" t="s">
        <v>411</v>
      </c>
      <c r="L9" s="64">
        <v>152</v>
      </c>
      <c r="M9" s="64">
        <v>271.10000000000002</v>
      </c>
      <c r="N9" s="64">
        <v>152.1</v>
      </c>
      <c r="O9" s="64">
        <v>173.6</v>
      </c>
      <c r="Q9" s="78" t="s">
        <v>412</v>
      </c>
    </row>
    <row r="10" spans="1:19" ht="14.25" customHeight="1" x14ac:dyDescent="0.25">
      <c r="A10" s="66" t="s">
        <v>413</v>
      </c>
      <c r="B10" s="63">
        <v>400</v>
      </c>
      <c r="C10" s="64">
        <f t="shared" ref="C10" si="6">AVERAGE(L10,L25)</f>
        <v>156.44999999999999</v>
      </c>
      <c r="D10" s="64">
        <f t="shared" si="1"/>
        <v>303.39999999999998</v>
      </c>
      <c r="E10" s="63">
        <v>200</v>
      </c>
      <c r="F10" s="64">
        <f t="shared" ref="F10" si="7">AVERAGE(N10,N25)</f>
        <v>156.65</v>
      </c>
      <c r="G10" s="64">
        <f t="shared" si="3"/>
        <v>170.7</v>
      </c>
      <c r="J10" s="389"/>
      <c r="K10" s="66" t="s">
        <v>413</v>
      </c>
      <c r="L10" s="64">
        <v>150</v>
      </c>
      <c r="M10" s="64">
        <v>303.39999999999998</v>
      </c>
      <c r="N10" s="64">
        <v>150.30000000000001</v>
      </c>
      <c r="O10" s="64">
        <v>169.7</v>
      </c>
      <c r="Q10" s="388" t="s">
        <v>414</v>
      </c>
      <c r="R10" s="388"/>
      <c r="S10" s="388"/>
    </row>
    <row r="11" spans="1:19" x14ac:dyDescent="0.25">
      <c r="A11" s="66" t="s">
        <v>415</v>
      </c>
      <c r="B11" s="63">
        <v>400</v>
      </c>
      <c r="C11" s="64">
        <f t="shared" ref="C11" si="8">AVERAGE(L11,L26)</f>
        <v>161.10000000000002</v>
      </c>
      <c r="D11" s="64">
        <f t="shared" si="1"/>
        <v>296.39999999999998</v>
      </c>
      <c r="E11" s="63">
        <v>200</v>
      </c>
      <c r="F11" s="64">
        <f t="shared" ref="F11" si="9">AVERAGE(N11,N26)</f>
        <v>161.10000000000002</v>
      </c>
      <c r="G11" s="64">
        <f t="shared" si="3"/>
        <v>172.5</v>
      </c>
      <c r="J11" s="389"/>
      <c r="K11" s="66" t="s">
        <v>415</v>
      </c>
      <c r="L11" s="64">
        <v>160.30000000000001</v>
      </c>
      <c r="M11" s="64">
        <v>290.60000000000002</v>
      </c>
      <c r="N11" s="64">
        <v>160.30000000000001</v>
      </c>
      <c r="O11" s="64">
        <v>172.5</v>
      </c>
      <c r="Q11" s="388"/>
      <c r="R11" s="388"/>
      <c r="S11" s="388"/>
    </row>
    <row r="12" spans="1:19" x14ac:dyDescent="0.25">
      <c r="A12" s="66" t="s">
        <v>416</v>
      </c>
      <c r="B12" s="63">
        <v>400</v>
      </c>
      <c r="C12" s="64">
        <f t="shared" ref="C12" si="10">AVERAGE(L12,L27)</f>
        <v>161.35</v>
      </c>
      <c r="D12" s="64">
        <f t="shared" si="1"/>
        <v>290.5</v>
      </c>
      <c r="E12" s="63">
        <v>200</v>
      </c>
      <c r="F12" s="64">
        <f t="shared" ref="F12" si="11">AVERAGE(N12,N27)</f>
        <v>161.35</v>
      </c>
      <c r="G12" s="64">
        <f t="shared" si="3"/>
        <v>177.8</v>
      </c>
      <c r="J12" s="389"/>
      <c r="K12" s="66" t="s">
        <v>416</v>
      </c>
      <c r="L12" s="64">
        <v>161.69999999999999</v>
      </c>
      <c r="M12" s="64">
        <v>217.7</v>
      </c>
      <c r="N12" s="64">
        <v>161.69999999999999</v>
      </c>
      <c r="O12" s="64">
        <v>177.8</v>
      </c>
      <c r="Q12" s="388"/>
      <c r="R12" s="388"/>
      <c r="S12" s="388"/>
    </row>
    <row r="13" spans="1:19" ht="14.25" customHeight="1" x14ac:dyDescent="0.25">
      <c r="A13" s="66" t="s">
        <v>417</v>
      </c>
      <c r="B13" s="63">
        <v>400</v>
      </c>
      <c r="C13" s="64">
        <f t="shared" ref="C13" si="12">AVERAGE(L13,L28)</f>
        <v>163.44999999999999</v>
      </c>
      <c r="D13" s="64">
        <f t="shared" si="1"/>
        <v>281.2</v>
      </c>
      <c r="E13" s="63">
        <v>200</v>
      </c>
      <c r="F13" s="64">
        <f t="shared" ref="F13" si="13">AVERAGE(N13,N28)</f>
        <v>163.44999999999999</v>
      </c>
      <c r="G13" s="64">
        <f t="shared" si="3"/>
        <v>180.4</v>
      </c>
      <c r="J13" s="389"/>
      <c r="K13" s="66" t="s">
        <v>417</v>
      </c>
      <c r="L13" s="64">
        <v>165.7</v>
      </c>
      <c r="M13" s="64">
        <v>281.2</v>
      </c>
      <c r="N13" s="64">
        <v>165.7</v>
      </c>
      <c r="O13" s="64">
        <v>180.4</v>
      </c>
      <c r="Q13" s="388" t="s">
        <v>418</v>
      </c>
      <c r="R13" s="388"/>
      <c r="S13" s="388"/>
    </row>
    <row r="14" spans="1:19" x14ac:dyDescent="0.25">
      <c r="A14" s="66" t="s">
        <v>419</v>
      </c>
      <c r="B14" s="63">
        <v>400</v>
      </c>
      <c r="C14" s="64">
        <f t="shared" ref="C14" si="14">AVERAGE(L14,L29)</f>
        <v>163.89999999999998</v>
      </c>
      <c r="D14" s="64">
        <f t="shared" si="1"/>
        <v>227.1</v>
      </c>
      <c r="E14" s="63">
        <v>200</v>
      </c>
      <c r="F14" s="64">
        <f t="shared" ref="F14" si="15">AVERAGE(N14,N29)</f>
        <v>163.75</v>
      </c>
      <c r="G14" s="64">
        <f t="shared" si="3"/>
        <v>181.4</v>
      </c>
      <c r="J14" s="389"/>
      <c r="K14" s="66" t="s">
        <v>419</v>
      </c>
      <c r="L14" s="64">
        <v>165.6</v>
      </c>
      <c r="M14" s="64">
        <v>226.5</v>
      </c>
      <c r="N14" s="64">
        <v>165.5</v>
      </c>
      <c r="O14" s="64">
        <v>181.4</v>
      </c>
      <c r="Q14" s="388"/>
      <c r="R14" s="388"/>
      <c r="S14" s="388"/>
    </row>
    <row r="15" spans="1:19" x14ac:dyDescent="0.25">
      <c r="A15" s="66" t="s">
        <v>420</v>
      </c>
      <c r="B15" s="63">
        <v>400</v>
      </c>
      <c r="C15" s="64">
        <f t="shared" ref="C15" si="16">AVERAGE(L15,L30)</f>
        <v>163.15</v>
      </c>
      <c r="D15" s="64">
        <f t="shared" si="1"/>
        <v>302.39999999999998</v>
      </c>
      <c r="E15" s="63">
        <v>200</v>
      </c>
      <c r="F15" s="64">
        <f t="shared" ref="F15" si="17">AVERAGE(N15,N30)</f>
        <v>162.9</v>
      </c>
      <c r="G15" s="64">
        <f t="shared" si="3"/>
        <v>178.6</v>
      </c>
      <c r="J15" s="389"/>
      <c r="K15" s="66" t="s">
        <v>420</v>
      </c>
      <c r="L15" s="64">
        <v>164</v>
      </c>
      <c r="M15" s="64">
        <v>296.60000000000002</v>
      </c>
      <c r="N15" s="64">
        <v>163.5</v>
      </c>
      <c r="O15" s="64">
        <v>177</v>
      </c>
      <c r="Q15" s="388"/>
      <c r="R15" s="388"/>
      <c r="S15" s="388"/>
    </row>
    <row r="16" spans="1:19" x14ac:dyDescent="0.25">
      <c r="A16" s="66" t="s">
        <v>421</v>
      </c>
      <c r="B16" s="63">
        <v>400</v>
      </c>
      <c r="C16" s="64">
        <f t="shared" ref="C16" si="18">AVERAGE(L16,L31)</f>
        <v>162.15</v>
      </c>
      <c r="D16" s="64">
        <f t="shared" si="1"/>
        <v>288.7</v>
      </c>
      <c r="E16" s="63">
        <v>200</v>
      </c>
      <c r="F16" s="64">
        <f t="shared" ref="F16" si="19">AVERAGE(N16,N31)</f>
        <v>161.94999999999999</v>
      </c>
      <c r="G16" s="64">
        <f t="shared" si="3"/>
        <v>179.3</v>
      </c>
      <c r="J16" s="389"/>
      <c r="K16" s="66" t="s">
        <v>421</v>
      </c>
      <c r="L16" s="64">
        <v>163.4</v>
      </c>
      <c r="M16" s="64">
        <v>288.7</v>
      </c>
      <c r="N16" s="64">
        <v>162.80000000000001</v>
      </c>
      <c r="O16" s="64">
        <v>179.3</v>
      </c>
      <c r="Q16" s="388"/>
      <c r="R16" s="388"/>
      <c r="S16" s="388"/>
    </row>
    <row r="17" spans="1:15" x14ac:dyDescent="0.25">
      <c r="A17" s="66" t="s">
        <v>422</v>
      </c>
      <c r="B17" s="63">
        <v>400</v>
      </c>
      <c r="C17" s="64">
        <f t="shared" ref="C17" si="20">AVERAGE(L17,L32)</f>
        <v>158.1</v>
      </c>
      <c r="D17" s="64">
        <f t="shared" si="1"/>
        <v>284.5</v>
      </c>
      <c r="E17" s="63">
        <v>200</v>
      </c>
      <c r="F17" s="64">
        <f t="shared" ref="F17" si="21">AVERAGE(N17,N32)</f>
        <v>158.6</v>
      </c>
      <c r="G17" s="64">
        <f t="shared" si="3"/>
        <v>180.2</v>
      </c>
      <c r="J17" s="389"/>
      <c r="K17" s="66" t="s">
        <v>422</v>
      </c>
      <c r="L17" s="64">
        <v>157.69999999999999</v>
      </c>
      <c r="M17" s="64">
        <v>284.5</v>
      </c>
      <c r="N17" s="64">
        <v>158.6</v>
      </c>
      <c r="O17" s="64">
        <v>180.2</v>
      </c>
    </row>
    <row r="18" spans="1:15" x14ac:dyDescent="0.25">
      <c r="A18" s="66" t="s">
        <v>423</v>
      </c>
      <c r="B18" s="63">
        <v>400</v>
      </c>
      <c r="C18" s="64">
        <f t="shared" ref="C18" si="22">AVERAGE(L18,L33)</f>
        <v>161.30000000000001</v>
      </c>
      <c r="D18" s="64">
        <f t="shared" si="1"/>
        <v>290.2</v>
      </c>
      <c r="E18" s="63">
        <v>200</v>
      </c>
      <c r="F18" s="64">
        <f t="shared" ref="F18" si="23">AVERAGE(N18,N33)</f>
        <v>161.19999999999999</v>
      </c>
      <c r="G18" s="64">
        <f t="shared" si="3"/>
        <v>173.9</v>
      </c>
      <c r="J18" s="389"/>
      <c r="K18" s="66" t="s">
        <v>423</v>
      </c>
      <c r="L18" s="64">
        <v>161</v>
      </c>
      <c r="M18" s="64">
        <v>271.3</v>
      </c>
      <c r="N18" s="64">
        <v>160.9</v>
      </c>
      <c r="O18" s="64">
        <v>173.7</v>
      </c>
    </row>
    <row r="19" spans="1:15" x14ac:dyDescent="0.25">
      <c r="J19" s="389"/>
      <c r="K19" s="62" t="s">
        <v>424</v>
      </c>
      <c r="L19" s="116">
        <f>AVERAGE(L7:L18)</f>
        <v>157.80000000000001</v>
      </c>
      <c r="M19" s="116">
        <f>MAX(M7:M18)</f>
        <v>303.39999999999998</v>
      </c>
      <c r="N19" s="116">
        <f>AVERAGE(N7:N18)</f>
        <v>157.76666666666668</v>
      </c>
      <c r="O19" s="116">
        <f>MAX(O7:O18)</f>
        <v>181.4</v>
      </c>
    </row>
    <row r="21" spans="1:15" ht="41.4" x14ac:dyDescent="0.25">
      <c r="J21" s="61">
        <f>+A6</f>
        <v>2022</v>
      </c>
      <c r="K21" s="61" t="s">
        <v>406</v>
      </c>
      <c r="L21" s="67" t="s">
        <v>401</v>
      </c>
      <c r="M21" s="67" t="s">
        <v>407</v>
      </c>
      <c r="N21" s="67" t="s">
        <v>404</v>
      </c>
      <c r="O21" s="67" t="s">
        <v>408</v>
      </c>
    </row>
    <row r="22" spans="1:15" x14ac:dyDescent="0.25">
      <c r="J22" s="389" t="s">
        <v>193</v>
      </c>
      <c r="K22" s="66" t="s">
        <v>409</v>
      </c>
      <c r="L22" s="64">
        <v>162.5</v>
      </c>
      <c r="M22" s="64">
        <v>312.8</v>
      </c>
      <c r="N22" s="64">
        <v>162.6</v>
      </c>
      <c r="O22" s="64">
        <v>170.9</v>
      </c>
    </row>
    <row r="23" spans="1:15" x14ac:dyDescent="0.25">
      <c r="J23" s="389"/>
      <c r="K23" s="66" t="s">
        <v>410</v>
      </c>
      <c r="L23" s="64">
        <v>161.4</v>
      </c>
      <c r="M23" s="64">
        <v>297.3</v>
      </c>
      <c r="N23" s="64">
        <v>161.30000000000001</v>
      </c>
      <c r="O23" s="64">
        <v>172.3</v>
      </c>
    </row>
    <row r="24" spans="1:15" x14ac:dyDescent="0.25">
      <c r="J24" s="389"/>
      <c r="K24" s="66" t="s">
        <v>411</v>
      </c>
      <c r="L24" s="64">
        <v>162.30000000000001</v>
      </c>
      <c r="M24" s="64">
        <v>300.5</v>
      </c>
      <c r="N24" s="64">
        <v>162.30000000000001</v>
      </c>
      <c r="O24" s="64">
        <v>173.8</v>
      </c>
    </row>
    <row r="25" spans="1:15" x14ac:dyDescent="0.25">
      <c r="J25" s="389"/>
      <c r="K25" s="66" t="s">
        <v>413</v>
      </c>
      <c r="L25" s="64">
        <v>162.9</v>
      </c>
      <c r="M25" s="64">
        <v>227.5</v>
      </c>
      <c r="N25" s="64">
        <v>163</v>
      </c>
      <c r="O25" s="64">
        <v>170.7</v>
      </c>
    </row>
    <row r="26" spans="1:15" x14ac:dyDescent="0.25">
      <c r="J26" s="389"/>
      <c r="K26" s="66" t="s">
        <v>415</v>
      </c>
      <c r="L26" s="64">
        <v>161.9</v>
      </c>
      <c r="M26" s="64">
        <v>296.39999999999998</v>
      </c>
      <c r="N26" s="64">
        <v>161.9</v>
      </c>
      <c r="O26" s="64">
        <v>171.1</v>
      </c>
    </row>
    <row r="27" spans="1:15" x14ac:dyDescent="0.25">
      <c r="J27" s="389"/>
      <c r="K27" s="66" t="s">
        <v>416</v>
      </c>
      <c r="L27" s="64">
        <v>161</v>
      </c>
      <c r="M27" s="64">
        <v>290.5</v>
      </c>
      <c r="N27" s="64">
        <v>161</v>
      </c>
      <c r="O27" s="64">
        <v>170.8</v>
      </c>
    </row>
    <row r="28" spans="1:15" x14ac:dyDescent="0.25">
      <c r="J28" s="389"/>
      <c r="K28" s="66" t="s">
        <v>417</v>
      </c>
      <c r="L28" s="64">
        <v>161.19999999999999</v>
      </c>
      <c r="M28" s="64">
        <v>261.2</v>
      </c>
      <c r="N28" s="64">
        <v>161.19999999999999</v>
      </c>
      <c r="O28" s="64">
        <v>169.1</v>
      </c>
    </row>
    <row r="29" spans="1:15" x14ac:dyDescent="0.25">
      <c r="J29" s="389"/>
      <c r="K29" s="66" t="s">
        <v>419</v>
      </c>
      <c r="L29" s="64">
        <v>162.19999999999999</v>
      </c>
      <c r="M29" s="64">
        <v>227.1</v>
      </c>
      <c r="N29" s="64">
        <v>162</v>
      </c>
      <c r="O29" s="64">
        <v>173.2</v>
      </c>
    </row>
    <row r="30" spans="1:15" x14ac:dyDescent="0.25">
      <c r="J30" s="389"/>
      <c r="K30" s="66" t="s">
        <v>420</v>
      </c>
      <c r="L30" s="64">
        <v>162.30000000000001</v>
      </c>
      <c r="M30" s="64">
        <v>302.39999999999998</v>
      </c>
      <c r="N30" s="64">
        <v>162.30000000000001</v>
      </c>
      <c r="O30" s="64">
        <v>178.6</v>
      </c>
    </row>
    <row r="31" spans="1:15" x14ac:dyDescent="0.25">
      <c r="J31" s="389"/>
      <c r="K31" s="66" t="s">
        <v>421</v>
      </c>
      <c r="L31" s="64">
        <v>160.9</v>
      </c>
      <c r="M31" s="64">
        <v>275.10000000000002</v>
      </c>
      <c r="N31" s="64">
        <v>161.1</v>
      </c>
      <c r="O31" s="64">
        <v>171.7</v>
      </c>
    </row>
    <row r="32" spans="1:15" x14ac:dyDescent="0.25">
      <c r="J32" s="389"/>
      <c r="K32" s="66" t="s">
        <v>422</v>
      </c>
      <c r="L32" s="64">
        <v>158.5</v>
      </c>
      <c r="M32" s="64">
        <v>280.2</v>
      </c>
      <c r="N32" s="64">
        <v>158.6</v>
      </c>
      <c r="O32" s="64">
        <v>176.8</v>
      </c>
    </row>
    <row r="33" spans="1:15" x14ac:dyDescent="0.25">
      <c r="J33" s="389"/>
      <c r="K33" s="66" t="s">
        <v>423</v>
      </c>
      <c r="L33" s="64">
        <v>161.6</v>
      </c>
      <c r="M33" s="64">
        <v>290.2</v>
      </c>
      <c r="N33" s="64">
        <v>161.5</v>
      </c>
      <c r="O33" s="64">
        <v>173.9</v>
      </c>
    </row>
    <row r="34" spans="1:15" x14ac:dyDescent="0.25">
      <c r="J34" s="389"/>
      <c r="K34" s="62" t="s">
        <v>424</v>
      </c>
      <c r="L34" s="116">
        <f>AVERAGE(L22:L33)</f>
        <v>161.55833333333334</v>
      </c>
      <c r="M34" s="116">
        <f>MAX(M22:M33)</f>
        <v>312.8</v>
      </c>
      <c r="N34" s="116">
        <f>AVERAGE(N22:N33)</f>
        <v>161.56666666666663</v>
      </c>
      <c r="O34" s="116">
        <f>MAX(O22:O33)</f>
        <v>178.6</v>
      </c>
    </row>
    <row r="36" spans="1:15" ht="41.4" x14ac:dyDescent="0.25">
      <c r="J36" s="61">
        <f>+A6</f>
        <v>2022</v>
      </c>
      <c r="K36" s="61" t="s">
        <v>406</v>
      </c>
      <c r="L36" s="67" t="s">
        <v>401</v>
      </c>
      <c r="M36" s="67" t="s">
        <v>407</v>
      </c>
      <c r="N36" s="67" t="s">
        <v>404</v>
      </c>
      <c r="O36" s="67" t="s">
        <v>408</v>
      </c>
    </row>
    <row r="37" spans="1:15" x14ac:dyDescent="0.25">
      <c r="J37" s="389" t="s">
        <v>194</v>
      </c>
      <c r="K37" s="66" t="s">
        <v>409</v>
      </c>
      <c r="L37" s="64"/>
      <c r="M37" s="64"/>
      <c r="N37" s="64"/>
      <c r="O37" s="64"/>
    </row>
    <row r="38" spans="1:15" x14ac:dyDescent="0.25">
      <c r="J38" s="389"/>
      <c r="K38" s="66" t="s">
        <v>410</v>
      </c>
      <c r="L38" s="64"/>
      <c r="M38" s="64"/>
      <c r="N38" s="64"/>
      <c r="O38" s="64"/>
    </row>
    <row r="39" spans="1:15" x14ac:dyDescent="0.25">
      <c r="J39" s="389"/>
      <c r="K39" s="66" t="s">
        <v>411</v>
      </c>
      <c r="L39" s="64"/>
      <c r="M39" s="64"/>
      <c r="N39" s="64"/>
      <c r="O39" s="64"/>
    </row>
    <row r="40" spans="1:15" x14ac:dyDescent="0.25">
      <c r="J40" s="389"/>
      <c r="K40" s="66" t="s">
        <v>413</v>
      </c>
      <c r="L40" s="64"/>
      <c r="M40" s="64"/>
      <c r="N40" s="64"/>
      <c r="O40" s="64"/>
    </row>
    <row r="41" spans="1:15" x14ac:dyDescent="0.25">
      <c r="J41" s="389"/>
      <c r="K41" s="66" t="s">
        <v>415</v>
      </c>
      <c r="L41" s="64"/>
      <c r="M41" s="64"/>
      <c r="N41" s="64"/>
      <c r="O41" s="64"/>
    </row>
    <row r="42" spans="1:15" x14ac:dyDescent="0.25">
      <c r="J42" s="389"/>
      <c r="K42" s="66" t="s">
        <v>416</v>
      </c>
      <c r="L42" s="64"/>
      <c r="M42" s="64"/>
      <c r="N42" s="64"/>
      <c r="O42" s="64"/>
    </row>
    <row r="43" spans="1:15" x14ac:dyDescent="0.25">
      <c r="J43" s="389"/>
      <c r="K43" s="66" t="s">
        <v>417</v>
      </c>
      <c r="L43" s="64"/>
      <c r="M43" s="64"/>
      <c r="N43" s="64"/>
      <c r="O43" s="64"/>
    </row>
    <row r="44" spans="1:15" x14ac:dyDescent="0.25">
      <c r="J44" s="389"/>
      <c r="K44" s="66" t="s">
        <v>419</v>
      </c>
      <c r="L44" s="64"/>
      <c r="M44" s="64"/>
      <c r="N44" s="64"/>
      <c r="O44" s="64"/>
    </row>
    <row r="45" spans="1:15" x14ac:dyDescent="0.25">
      <c r="J45" s="389"/>
      <c r="K45" s="66" t="s">
        <v>420</v>
      </c>
      <c r="L45" s="64"/>
      <c r="M45" s="64"/>
      <c r="N45" s="64"/>
      <c r="O45" s="64"/>
    </row>
    <row r="46" spans="1:15" x14ac:dyDescent="0.25">
      <c r="J46" s="389"/>
      <c r="K46" s="66" t="s">
        <v>421</v>
      </c>
      <c r="L46" s="64"/>
      <c r="M46" s="64"/>
      <c r="N46" s="64"/>
      <c r="O46" s="64"/>
    </row>
    <row r="47" spans="1:15" x14ac:dyDescent="0.25">
      <c r="J47" s="389"/>
      <c r="K47" s="66" t="s">
        <v>422</v>
      </c>
      <c r="L47" s="64"/>
      <c r="M47" s="64"/>
      <c r="N47" s="64"/>
      <c r="O47" s="64"/>
    </row>
    <row r="48" spans="1:15" x14ac:dyDescent="0.25">
      <c r="A48" s="401" t="s">
        <v>304</v>
      </c>
      <c r="B48" s="402"/>
      <c r="C48" s="402"/>
      <c r="D48" s="402"/>
      <c r="E48" s="402"/>
      <c r="F48" s="402"/>
      <c r="G48" s="403"/>
      <c r="J48" s="389"/>
      <c r="K48" s="66" t="s">
        <v>423</v>
      </c>
      <c r="L48" s="64"/>
      <c r="M48" s="64"/>
      <c r="N48" s="64"/>
      <c r="O48" s="64"/>
    </row>
    <row r="49" spans="1:15" x14ac:dyDescent="0.25">
      <c r="A49" s="392"/>
      <c r="B49" s="393"/>
      <c r="C49" s="393"/>
      <c r="D49" s="393"/>
      <c r="E49" s="393"/>
      <c r="F49" s="393"/>
      <c r="G49" s="394"/>
      <c r="J49" s="389"/>
      <c r="K49" s="62" t="s">
        <v>424</v>
      </c>
      <c r="L49" s="62" t="e">
        <f>AVERAGE(L37:L48)</f>
        <v>#DIV/0!</v>
      </c>
      <c r="M49" s="62">
        <f>MAX(M37:M48)</f>
        <v>0</v>
      </c>
      <c r="N49" s="62" t="e">
        <f>AVERAGE(N37:N48)</f>
        <v>#DIV/0!</v>
      </c>
      <c r="O49" s="62">
        <f>MAX(O37:O48)</f>
        <v>0</v>
      </c>
    </row>
    <row r="50" spans="1:15" x14ac:dyDescent="0.25">
      <c r="A50" s="395"/>
      <c r="B50" s="396"/>
      <c r="C50" s="396"/>
      <c r="D50" s="396"/>
      <c r="E50" s="396"/>
      <c r="F50" s="396"/>
      <c r="G50" s="397"/>
    </row>
    <row r="51" spans="1:15" ht="41.4" x14ac:dyDescent="0.25">
      <c r="A51" s="395"/>
      <c r="B51" s="396"/>
      <c r="C51" s="396"/>
      <c r="D51" s="396"/>
      <c r="E51" s="396"/>
      <c r="F51" s="396"/>
      <c r="G51" s="397"/>
      <c r="J51" s="61">
        <f>+A6</f>
        <v>2022</v>
      </c>
      <c r="K51" s="61" t="s">
        <v>406</v>
      </c>
      <c r="L51" s="67" t="s">
        <v>401</v>
      </c>
      <c r="M51" s="67" t="s">
        <v>407</v>
      </c>
      <c r="N51" s="67" t="s">
        <v>404</v>
      </c>
      <c r="O51" s="67" t="s">
        <v>408</v>
      </c>
    </row>
    <row r="52" spans="1:15" x14ac:dyDescent="0.25">
      <c r="A52" s="398"/>
      <c r="B52" s="399"/>
      <c r="C52" s="399"/>
      <c r="D52" s="399"/>
      <c r="E52" s="399"/>
      <c r="F52" s="399"/>
      <c r="G52" s="400"/>
      <c r="J52" s="389" t="s">
        <v>195</v>
      </c>
      <c r="K52" s="66" t="s">
        <v>409</v>
      </c>
      <c r="L52" s="64"/>
      <c r="M52" s="64"/>
      <c r="N52" s="64"/>
      <c r="O52" s="64"/>
    </row>
    <row r="53" spans="1:15" x14ac:dyDescent="0.25">
      <c r="J53" s="389"/>
      <c r="K53" s="66" t="s">
        <v>410</v>
      </c>
      <c r="L53" s="64"/>
      <c r="M53" s="64"/>
      <c r="N53" s="64"/>
      <c r="O53" s="64"/>
    </row>
    <row r="54" spans="1:15" x14ac:dyDescent="0.25">
      <c r="J54" s="389"/>
      <c r="K54" s="66" t="s">
        <v>415</v>
      </c>
      <c r="L54" s="64"/>
      <c r="M54" s="64"/>
      <c r="N54" s="64"/>
      <c r="O54" s="64"/>
    </row>
    <row r="55" spans="1:15" x14ac:dyDescent="0.25">
      <c r="J55" s="389"/>
      <c r="K55" s="66" t="s">
        <v>416</v>
      </c>
      <c r="L55" s="64"/>
      <c r="M55" s="64"/>
      <c r="N55" s="64"/>
      <c r="O55" s="64"/>
    </row>
    <row r="56" spans="1:15" x14ac:dyDescent="0.25">
      <c r="J56" s="389"/>
      <c r="K56" s="66" t="s">
        <v>417</v>
      </c>
      <c r="L56" s="64"/>
      <c r="M56" s="64"/>
      <c r="N56" s="64"/>
      <c r="O56" s="64"/>
    </row>
    <row r="57" spans="1:15" x14ac:dyDescent="0.25">
      <c r="J57" s="389"/>
      <c r="K57" s="66" t="s">
        <v>419</v>
      </c>
      <c r="L57" s="64"/>
      <c r="M57" s="64"/>
      <c r="N57" s="64"/>
      <c r="O57" s="64"/>
    </row>
    <row r="58" spans="1:15" x14ac:dyDescent="0.25">
      <c r="J58" s="389"/>
      <c r="K58" s="66" t="s">
        <v>420</v>
      </c>
      <c r="L58" s="64"/>
      <c r="M58" s="64"/>
      <c r="N58" s="64"/>
      <c r="O58" s="64"/>
    </row>
    <row r="59" spans="1:15" x14ac:dyDescent="0.25">
      <c r="J59" s="389"/>
      <c r="K59" s="66" t="s">
        <v>421</v>
      </c>
      <c r="L59" s="64"/>
      <c r="M59" s="64"/>
      <c r="N59" s="64"/>
      <c r="O59" s="64"/>
    </row>
    <row r="60" spans="1:15" x14ac:dyDescent="0.25">
      <c r="J60" s="389"/>
      <c r="K60" s="66" t="s">
        <v>422</v>
      </c>
      <c r="L60" s="64"/>
      <c r="M60" s="64"/>
      <c r="N60" s="64"/>
      <c r="O60" s="64"/>
    </row>
    <row r="61" spans="1:15" x14ac:dyDescent="0.25">
      <c r="J61" s="389"/>
      <c r="K61" s="66" t="s">
        <v>423</v>
      </c>
      <c r="L61" s="64"/>
      <c r="M61" s="64"/>
      <c r="N61" s="64"/>
      <c r="O61" s="64"/>
    </row>
    <row r="62" spans="1:15" x14ac:dyDescent="0.25">
      <c r="J62" s="389"/>
      <c r="K62" s="62" t="s">
        <v>424</v>
      </c>
      <c r="L62" s="62" t="e">
        <f>AVERAGE(L52:L61)</f>
        <v>#DIV/0!</v>
      </c>
      <c r="M62" s="62">
        <f>MAX(M52:M61)</f>
        <v>0</v>
      </c>
      <c r="N62" s="62" t="e">
        <f>AVERAGE(N52:N61)</f>
        <v>#DIV/0!</v>
      </c>
      <c r="O62" s="62">
        <f>MAX(O52:O61)</f>
        <v>0</v>
      </c>
    </row>
    <row r="64" spans="1:15" ht="41.4" x14ac:dyDescent="0.25">
      <c r="J64" s="61">
        <f>+A6</f>
        <v>2022</v>
      </c>
      <c r="K64" s="61" t="s">
        <v>406</v>
      </c>
      <c r="L64" s="67" t="s">
        <v>401</v>
      </c>
      <c r="M64" s="67" t="s">
        <v>407</v>
      </c>
      <c r="N64" s="67" t="s">
        <v>404</v>
      </c>
      <c r="O64" s="67" t="s">
        <v>408</v>
      </c>
    </row>
    <row r="65" spans="10:15" x14ac:dyDescent="0.25">
      <c r="J65" s="389" t="s">
        <v>196</v>
      </c>
      <c r="K65" s="66" t="s">
        <v>409</v>
      </c>
      <c r="L65" s="64"/>
      <c r="M65" s="64"/>
      <c r="N65" s="64"/>
      <c r="O65" s="64"/>
    </row>
    <row r="66" spans="10:15" x14ac:dyDescent="0.25">
      <c r="J66" s="389"/>
      <c r="K66" s="66" t="s">
        <v>410</v>
      </c>
      <c r="L66" s="64"/>
      <c r="M66" s="64"/>
      <c r="N66" s="64"/>
      <c r="O66" s="64"/>
    </row>
    <row r="67" spans="10:15" x14ac:dyDescent="0.25">
      <c r="J67" s="389"/>
      <c r="K67" s="66" t="s">
        <v>411</v>
      </c>
      <c r="L67" s="64"/>
      <c r="M67" s="64"/>
      <c r="N67" s="64"/>
      <c r="O67" s="64"/>
    </row>
    <row r="68" spans="10:15" x14ac:dyDescent="0.25">
      <c r="J68" s="389"/>
      <c r="K68" s="66" t="s">
        <v>413</v>
      </c>
      <c r="L68" s="64"/>
      <c r="M68" s="64"/>
      <c r="N68" s="64"/>
      <c r="O68" s="64"/>
    </row>
    <row r="69" spans="10:15" x14ac:dyDescent="0.25">
      <c r="J69" s="389"/>
      <c r="K69" s="66" t="s">
        <v>415</v>
      </c>
      <c r="L69" s="64"/>
      <c r="M69" s="64"/>
      <c r="N69" s="64"/>
      <c r="O69" s="64"/>
    </row>
    <row r="70" spans="10:15" x14ac:dyDescent="0.25">
      <c r="J70" s="389"/>
      <c r="K70" s="66" t="s">
        <v>416</v>
      </c>
      <c r="L70" s="64"/>
      <c r="M70" s="64"/>
      <c r="N70" s="64"/>
      <c r="O70" s="64"/>
    </row>
    <row r="71" spans="10:15" x14ac:dyDescent="0.25">
      <c r="J71" s="389"/>
      <c r="K71" s="66" t="s">
        <v>417</v>
      </c>
      <c r="L71" s="64"/>
      <c r="M71" s="64"/>
      <c r="N71" s="64"/>
      <c r="O71" s="64"/>
    </row>
    <row r="72" spans="10:15" x14ac:dyDescent="0.25">
      <c r="J72" s="389"/>
      <c r="K72" s="66" t="s">
        <v>419</v>
      </c>
      <c r="L72" s="64"/>
      <c r="M72" s="64"/>
      <c r="N72" s="64"/>
      <c r="O72" s="64"/>
    </row>
    <row r="73" spans="10:15" x14ac:dyDescent="0.25">
      <c r="J73" s="389"/>
      <c r="K73" s="66" t="s">
        <v>420</v>
      </c>
      <c r="L73" s="64"/>
      <c r="M73" s="64"/>
      <c r="N73" s="64"/>
      <c r="O73" s="64"/>
    </row>
    <row r="74" spans="10:15" x14ac:dyDescent="0.25">
      <c r="J74" s="389"/>
      <c r="K74" s="66" t="s">
        <v>421</v>
      </c>
      <c r="L74" s="64"/>
      <c r="M74" s="64"/>
      <c r="N74" s="64"/>
      <c r="O74" s="64"/>
    </row>
    <row r="75" spans="10:15" x14ac:dyDescent="0.25">
      <c r="J75" s="389"/>
      <c r="K75" s="66" t="s">
        <v>422</v>
      </c>
      <c r="L75" s="64"/>
      <c r="M75" s="64"/>
      <c r="N75" s="64"/>
      <c r="O75" s="64"/>
    </row>
    <row r="76" spans="10:15" x14ac:dyDescent="0.25">
      <c r="J76" s="389"/>
      <c r="K76" s="66" t="s">
        <v>423</v>
      </c>
      <c r="L76" s="64"/>
      <c r="M76" s="64"/>
      <c r="N76" s="64"/>
      <c r="O76" s="64"/>
    </row>
    <row r="77" spans="10:15" x14ac:dyDescent="0.25">
      <c r="J77" s="389"/>
      <c r="K77" s="62" t="s">
        <v>424</v>
      </c>
      <c r="L77" s="62" t="e">
        <f>AVERAGE(L65:L76)</f>
        <v>#DIV/0!</v>
      </c>
      <c r="M77" s="62">
        <f>MAX(M65:M76)</f>
        <v>0</v>
      </c>
      <c r="N77" s="62" t="e">
        <f>AVERAGE(N65:N76)</f>
        <v>#DIV/0!</v>
      </c>
      <c r="O77" s="62">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S77"/>
  <sheetViews>
    <sheetView topLeftCell="G22" workbookViewId="0">
      <selection activeCell="F55" sqref="F55"/>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Staffordshire Energy Recovery Facility</v>
      </c>
    </row>
    <row r="3" spans="1:19" ht="14.4" x14ac:dyDescent="0.3">
      <c r="A3" s="60" t="s">
        <v>431</v>
      </c>
      <c r="D3" s="76" t="s">
        <v>393</v>
      </c>
      <c r="G3" s="80" t="s">
        <v>394</v>
      </c>
      <c r="J3" s="9" t="str">
        <f>+A3</f>
        <v>Monitoring of Total organic carbon emissions</v>
      </c>
      <c r="L3" s="9"/>
      <c r="N3" s="9" t="s">
        <v>395</v>
      </c>
      <c r="Q3" s="79" t="s">
        <v>3</v>
      </c>
      <c r="R3" s="74"/>
      <c r="S3" s="74"/>
    </row>
    <row r="4" spans="1:19" ht="13.95" customHeight="1" x14ac:dyDescent="0.25">
      <c r="Q4" s="365" t="s">
        <v>396</v>
      </c>
      <c r="R4" s="365"/>
      <c r="S4" s="365"/>
    </row>
    <row r="5" spans="1:19" ht="16.2" x14ac:dyDescent="0.25">
      <c r="A5" s="68" t="s">
        <v>397</v>
      </c>
      <c r="B5" s="391" t="s">
        <v>398</v>
      </c>
      <c r="C5" s="391"/>
      <c r="D5" s="391"/>
      <c r="E5" s="391" t="s">
        <v>399</v>
      </c>
      <c r="F5" s="391"/>
      <c r="G5" s="391"/>
      <c r="J5" s="390"/>
      <c r="K5" s="390"/>
      <c r="L5" s="390"/>
      <c r="M5" s="390"/>
      <c r="N5" s="390"/>
      <c r="O5" s="390"/>
      <c r="Q5" s="365"/>
      <c r="R5" s="365"/>
      <c r="S5" s="365"/>
    </row>
    <row r="6" spans="1:19" s="58" customFormat="1" ht="37.5" customHeight="1" x14ac:dyDescent="0.3">
      <c r="A6" s="65">
        <f>+'Cover Page'!C39</f>
        <v>2022</v>
      </c>
      <c r="B6" s="55" t="s">
        <v>432</v>
      </c>
      <c r="C6" s="55" t="s">
        <v>401</v>
      </c>
      <c r="D6" s="55" t="s">
        <v>402</v>
      </c>
      <c r="E6" s="55" t="s">
        <v>433</v>
      </c>
      <c r="F6" s="55" t="s">
        <v>404</v>
      </c>
      <c r="G6" s="55" t="s">
        <v>405</v>
      </c>
      <c r="H6" s="59"/>
      <c r="J6" s="61">
        <f>+A6</f>
        <v>2022</v>
      </c>
      <c r="K6" s="61" t="s">
        <v>406</v>
      </c>
      <c r="L6" s="67" t="s">
        <v>401</v>
      </c>
      <c r="M6" s="67" t="s">
        <v>407</v>
      </c>
      <c r="N6" s="67" t="s">
        <v>404</v>
      </c>
      <c r="O6" s="67" t="s">
        <v>408</v>
      </c>
      <c r="Q6" s="365"/>
      <c r="R6" s="365"/>
      <c r="S6" s="365"/>
    </row>
    <row r="7" spans="1:19" x14ac:dyDescent="0.25">
      <c r="A7" s="66" t="s">
        <v>409</v>
      </c>
      <c r="B7" s="63">
        <v>20</v>
      </c>
      <c r="C7" s="64">
        <f>AVERAGE(L7,L22)</f>
        <v>0.05</v>
      </c>
      <c r="D7" s="64">
        <f>MAX(M7,M22)</f>
        <v>6.9</v>
      </c>
      <c r="E7" s="63">
        <v>10</v>
      </c>
      <c r="F7" s="64">
        <f>AVERAGE(N7,N22)</f>
        <v>0.05</v>
      </c>
      <c r="G7" s="64">
        <f>MAX(O7,O22)</f>
        <v>0.6</v>
      </c>
      <c r="J7" s="389" t="s">
        <v>192</v>
      </c>
      <c r="K7" s="66" t="s">
        <v>409</v>
      </c>
      <c r="L7" s="64">
        <v>0.1</v>
      </c>
      <c r="M7" s="64">
        <v>6.7</v>
      </c>
      <c r="N7" s="64">
        <v>0.1</v>
      </c>
      <c r="O7" s="64">
        <v>0.6</v>
      </c>
      <c r="Q7" s="365"/>
      <c r="R7" s="365"/>
      <c r="S7" s="365"/>
    </row>
    <row r="8" spans="1:19" x14ac:dyDescent="0.25">
      <c r="A8" s="66" t="s">
        <v>410</v>
      </c>
      <c r="B8" s="63">
        <v>20</v>
      </c>
      <c r="C8" s="64">
        <f t="shared" ref="C8" si="0">AVERAGE(L8,L23)</f>
        <v>0.15000000000000002</v>
      </c>
      <c r="D8" s="64">
        <f t="shared" ref="D8:D18" si="1">MAX(M8,M23)</f>
        <v>5.9</v>
      </c>
      <c r="E8" s="63">
        <v>10</v>
      </c>
      <c r="F8" s="64">
        <f t="shared" ref="F8" si="2">AVERAGE(N8,N23)</f>
        <v>0.1</v>
      </c>
      <c r="G8" s="64">
        <f t="shared" ref="G8:G18" si="3">MAX(O8,O23)</f>
        <v>1.4</v>
      </c>
      <c r="J8" s="389"/>
      <c r="K8" s="66" t="s">
        <v>410</v>
      </c>
      <c r="L8" s="64">
        <v>0.1</v>
      </c>
      <c r="M8" s="64">
        <v>4</v>
      </c>
      <c r="N8" s="64">
        <v>0.1</v>
      </c>
      <c r="O8" s="64">
        <v>0.5</v>
      </c>
      <c r="Q8" s="365"/>
      <c r="R8" s="365"/>
      <c r="S8" s="365"/>
    </row>
    <row r="9" spans="1:19" x14ac:dyDescent="0.25">
      <c r="A9" s="66" t="s">
        <v>411</v>
      </c>
      <c r="B9" s="63">
        <v>20</v>
      </c>
      <c r="C9" s="64">
        <f t="shared" ref="C9" si="4">AVERAGE(L9,L24)</f>
        <v>0.1</v>
      </c>
      <c r="D9" s="64">
        <f t="shared" si="1"/>
        <v>5</v>
      </c>
      <c r="E9" s="63">
        <v>10</v>
      </c>
      <c r="F9" s="64">
        <f t="shared" ref="F9" si="5">AVERAGE(N9,N24)</f>
        <v>0.1</v>
      </c>
      <c r="G9" s="64">
        <f t="shared" si="3"/>
        <v>0.6</v>
      </c>
      <c r="J9" s="389"/>
      <c r="K9" s="66" t="s">
        <v>411</v>
      </c>
      <c r="L9" s="64">
        <v>0.2</v>
      </c>
      <c r="M9" s="64">
        <v>1.3</v>
      </c>
      <c r="N9" s="64">
        <v>0.2</v>
      </c>
      <c r="O9" s="64">
        <v>0.6</v>
      </c>
      <c r="Q9" s="78" t="s">
        <v>412</v>
      </c>
    </row>
    <row r="10" spans="1:19" ht="14.25" customHeight="1" x14ac:dyDescent="0.25">
      <c r="A10" s="66" t="s">
        <v>413</v>
      </c>
      <c r="B10" s="63">
        <v>20</v>
      </c>
      <c r="C10" s="64">
        <f t="shared" ref="C10" si="6">AVERAGE(L10,L25)</f>
        <v>0.1</v>
      </c>
      <c r="D10" s="64">
        <f t="shared" si="1"/>
        <v>6.4</v>
      </c>
      <c r="E10" s="63">
        <v>10</v>
      </c>
      <c r="F10" s="64">
        <f t="shared" ref="F10" si="7">AVERAGE(N10,N25)</f>
        <v>0.1</v>
      </c>
      <c r="G10" s="64">
        <f t="shared" si="3"/>
        <v>0.4</v>
      </c>
      <c r="J10" s="389"/>
      <c r="K10" s="66" t="s">
        <v>413</v>
      </c>
      <c r="L10" s="64">
        <v>0.2</v>
      </c>
      <c r="M10" s="64">
        <v>2.5</v>
      </c>
      <c r="N10" s="64">
        <v>0.2</v>
      </c>
      <c r="O10" s="64">
        <v>0.4</v>
      </c>
      <c r="Q10" s="388" t="s">
        <v>414</v>
      </c>
      <c r="R10" s="388"/>
      <c r="S10" s="388"/>
    </row>
    <row r="11" spans="1:19" x14ac:dyDescent="0.25">
      <c r="A11" s="66" t="s">
        <v>415</v>
      </c>
      <c r="B11" s="63">
        <v>20</v>
      </c>
      <c r="C11" s="64">
        <f t="shared" ref="C11" si="8">AVERAGE(L11,L26)</f>
        <v>0.05</v>
      </c>
      <c r="D11" s="64">
        <f t="shared" si="1"/>
        <v>3</v>
      </c>
      <c r="E11" s="63">
        <v>10</v>
      </c>
      <c r="F11" s="64">
        <f t="shared" ref="F11" si="9">AVERAGE(N11,N26)</f>
        <v>0</v>
      </c>
      <c r="G11" s="64">
        <f t="shared" si="3"/>
        <v>0.2</v>
      </c>
      <c r="J11" s="389"/>
      <c r="K11" s="66" t="s">
        <v>415</v>
      </c>
      <c r="L11" s="64">
        <v>0.1</v>
      </c>
      <c r="M11" s="64">
        <v>3</v>
      </c>
      <c r="N11" s="64">
        <v>0</v>
      </c>
      <c r="O11" s="64">
        <v>0.2</v>
      </c>
      <c r="Q11" s="388"/>
      <c r="R11" s="388"/>
      <c r="S11" s="388"/>
    </row>
    <row r="12" spans="1:19" x14ac:dyDescent="0.25">
      <c r="A12" s="66" t="s">
        <v>416</v>
      </c>
      <c r="B12" s="63">
        <v>20</v>
      </c>
      <c r="C12" s="64">
        <f t="shared" ref="C12" si="10">AVERAGE(L12,L27)</f>
        <v>0</v>
      </c>
      <c r="D12" s="64">
        <f t="shared" si="1"/>
        <v>11.4</v>
      </c>
      <c r="E12" s="63">
        <v>10</v>
      </c>
      <c r="F12" s="64">
        <f t="shared" ref="F12" si="11">AVERAGE(N12,N27)</f>
        <v>0</v>
      </c>
      <c r="G12" s="64">
        <f t="shared" si="3"/>
        <v>0.3</v>
      </c>
      <c r="J12" s="389"/>
      <c r="K12" s="66" t="s">
        <v>416</v>
      </c>
      <c r="L12" s="64">
        <v>0</v>
      </c>
      <c r="M12" s="64">
        <v>2.2999999999999998</v>
      </c>
      <c r="N12" s="64">
        <v>0</v>
      </c>
      <c r="O12" s="64">
        <v>0.2</v>
      </c>
      <c r="Q12" s="388"/>
      <c r="R12" s="388"/>
      <c r="S12" s="388"/>
    </row>
    <row r="13" spans="1:19" ht="14.25" customHeight="1" x14ac:dyDescent="0.25">
      <c r="A13" s="66" t="s">
        <v>417</v>
      </c>
      <c r="B13" s="63">
        <v>20</v>
      </c>
      <c r="C13" s="64">
        <f t="shared" ref="C13" si="12">AVERAGE(L13,L28)</f>
        <v>0</v>
      </c>
      <c r="D13" s="64">
        <f t="shared" si="1"/>
        <v>3.1</v>
      </c>
      <c r="E13" s="63">
        <v>10</v>
      </c>
      <c r="F13" s="64">
        <f t="shared" ref="F13" si="13">AVERAGE(N13,N28)</f>
        <v>0</v>
      </c>
      <c r="G13" s="64">
        <f t="shared" si="3"/>
        <v>0.1</v>
      </c>
      <c r="J13" s="389"/>
      <c r="K13" s="66" t="s">
        <v>417</v>
      </c>
      <c r="L13" s="64">
        <v>0</v>
      </c>
      <c r="M13" s="64">
        <v>1.2</v>
      </c>
      <c r="N13" s="64">
        <v>0</v>
      </c>
      <c r="O13" s="64">
        <v>0.1</v>
      </c>
      <c r="Q13" s="388" t="s">
        <v>418</v>
      </c>
      <c r="R13" s="388"/>
      <c r="S13" s="388"/>
    </row>
    <row r="14" spans="1:19" x14ac:dyDescent="0.25">
      <c r="A14" s="66" t="s">
        <v>419</v>
      </c>
      <c r="B14" s="63">
        <v>20</v>
      </c>
      <c r="C14" s="64">
        <f t="shared" ref="C14" si="14">AVERAGE(L14,L29)</f>
        <v>0</v>
      </c>
      <c r="D14" s="64">
        <f t="shared" si="1"/>
        <v>7.9</v>
      </c>
      <c r="E14" s="63">
        <v>10</v>
      </c>
      <c r="F14" s="64">
        <f t="shared" ref="F14" si="15">AVERAGE(N14,N29)</f>
        <v>0</v>
      </c>
      <c r="G14" s="64">
        <f t="shared" si="3"/>
        <v>0.3</v>
      </c>
      <c r="J14" s="389"/>
      <c r="K14" s="66" t="s">
        <v>419</v>
      </c>
      <c r="L14" s="64">
        <v>0</v>
      </c>
      <c r="M14" s="64">
        <v>1.8</v>
      </c>
      <c r="N14" s="64">
        <v>0</v>
      </c>
      <c r="O14" s="64">
        <v>0.3</v>
      </c>
      <c r="Q14" s="388"/>
      <c r="R14" s="388"/>
      <c r="S14" s="388"/>
    </row>
    <row r="15" spans="1:19" x14ac:dyDescent="0.25">
      <c r="A15" s="66" t="s">
        <v>420</v>
      </c>
      <c r="B15" s="63">
        <v>20</v>
      </c>
      <c r="C15" s="64">
        <f t="shared" ref="C15" si="16">AVERAGE(L15,L30)</f>
        <v>0.1</v>
      </c>
      <c r="D15" s="64">
        <f t="shared" si="1"/>
        <v>13.2</v>
      </c>
      <c r="E15" s="63">
        <v>10</v>
      </c>
      <c r="F15" s="64">
        <f t="shared" ref="F15" si="17">AVERAGE(N15,N30)</f>
        <v>0.1</v>
      </c>
      <c r="G15" s="64">
        <f t="shared" si="3"/>
        <v>1.8</v>
      </c>
      <c r="J15" s="389"/>
      <c r="K15" s="66" t="s">
        <v>420</v>
      </c>
      <c r="L15" s="64">
        <v>0.2</v>
      </c>
      <c r="M15" s="64">
        <v>13.2</v>
      </c>
      <c r="N15" s="64">
        <v>0.2</v>
      </c>
      <c r="O15" s="64">
        <v>1.8</v>
      </c>
      <c r="Q15" s="388"/>
      <c r="R15" s="388"/>
      <c r="S15" s="388"/>
    </row>
    <row r="16" spans="1:19" x14ac:dyDescent="0.25">
      <c r="A16" s="66" t="s">
        <v>421</v>
      </c>
      <c r="B16" s="63">
        <v>20</v>
      </c>
      <c r="C16" s="64">
        <f t="shared" ref="C16" si="18">AVERAGE(L16,L31)</f>
        <v>0</v>
      </c>
      <c r="D16" s="64">
        <f t="shared" si="1"/>
        <v>5.7</v>
      </c>
      <c r="E16" s="63">
        <v>10</v>
      </c>
      <c r="F16" s="64">
        <f t="shared" ref="F16" si="19">AVERAGE(N16,N31)</f>
        <v>0</v>
      </c>
      <c r="G16" s="64">
        <f t="shared" si="3"/>
        <v>0.2</v>
      </c>
      <c r="J16" s="389"/>
      <c r="K16" s="66" t="s">
        <v>421</v>
      </c>
      <c r="L16" s="64">
        <v>0</v>
      </c>
      <c r="M16" s="64">
        <v>1.5</v>
      </c>
      <c r="N16" s="64">
        <v>0</v>
      </c>
      <c r="O16" s="64">
        <v>0.2</v>
      </c>
      <c r="Q16" s="388"/>
      <c r="R16" s="388"/>
      <c r="S16" s="388"/>
    </row>
    <row r="17" spans="1:15" x14ac:dyDescent="0.25">
      <c r="A17" s="66" t="s">
        <v>422</v>
      </c>
      <c r="B17" s="63">
        <v>20</v>
      </c>
      <c r="C17" s="64">
        <f t="shared" ref="C17" si="20">AVERAGE(L17,L32)</f>
        <v>0.05</v>
      </c>
      <c r="D17" s="64">
        <f t="shared" si="1"/>
        <v>2.5</v>
      </c>
      <c r="E17" s="63">
        <v>10</v>
      </c>
      <c r="F17" s="64">
        <f t="shared" ref="F17" si="21">AVERAGE(N17,N32)</f>
        <v>0</v>
      </c>
      <c r="G17" s="64">
        <f t="shared" si="3"/>
        <v>0.2</v>
      </c>
      <c r="J17" s="389"/>
      <c r="K17" s="66" t="s">
        <v>422</v>
      </c>
      <c r="L17" s="64">
        <v>0.1</v>
      </c>
      <c r="M17" s="64">
        <v>1.9</v>
      </c>
      <c r="N17" s="64">
        <v>0</v>
      </c>
      <c r="O17" s="64">
        <v>0.2</v>
      </c>
    </row>
    <row r="18" spans="1:15" x14ac:dyDescent="0.25">
      <c r="A18" s="66" t="s">
        <v>423</v>
      </c>
      <c r="B18" s="63">
        <v>20</v>
      </c>
      <c r="C18" s="64">
        <f t="shared" ref="C18" si="22">AVERAGE(L18,L33)</f>
        <v>0</v>
      </c>
      <c r="D18" s="64">
        <f t="shared" si="1"/>
        <v>2.2000000000000002</v>
      </c>
      <c r="E18" s="63">
        <v>10</v>
      </c>
      <c r="F18" s="64">
        <f t="shared" ref="F18" si="23">AVERAGE(N18,N33)</f>
        <v>0</v>
      </c>
      <c r="G18" s="64">
        <f t="shared" si="3"/>
        <v>0.2</v>
      </c>
      <c r="J18" s="389"/>
      <c r="K18" s="66" t="s">
        <v>423</v>
      </c>
      <c r="L18" s="64">
        <v>0</v>
      </c>
      <c r="M18" s="64">
        <v>1.1000000000000001</v>
      </c>
      <c r="N18" s="64">
        <v>0</v>
      </c>
      <c r="O18" s="64">
        <v>0.1</v>
      </c>
    </row>
    <row r="19" spans="1:15" x14ac:dyDescent="0.25">
      <c r="J19" s="389"/>
      <c r="K19" s="62" t="s">
        <v>424</v>
      </c>
      <c r="L19" s="116">
        <f>AVERAGE(L7:L18)</f>
        <v>8.3333333333333356E-2</v>
      </c>
      <c r="M19" s="116">
        <f>MAX(M7:M18)</f>
        <v>13.2</v>
      </c>
      <c r="N19" s="116">
        <f>AVERAGE(N7:N18)</f>
        <v>6.6666666666666666E-2</v>
      </c>
      <c r="O19" s="116">
        <f>MAX(O7:O18)</f>
        <v>1.8</v>
      </c>
    </row>
    <row r="21" spans="1:15" ht="41.4" x14ac:dyDescent="0.25">
      <c r="J21" s="61">
        <f>+A6</f>
        <v>2022</v>
      </c>
      <c r="K21" s="61" t="s">
        <v>406</v>
      </c>
      <c r="L21" s="67" t="s">
        <v>401</v>
      </c>
      <c r="M21" s="67" t="s">
        <v>407</v>
      </c>
      <c r="N21" s="67" t="s">
        <v>404</v>
      </c>
      <c r="O21" s="67" t="s">
        <v>408</v>
      </c>
    </row>
    <row r="22" spans="1:15" x14ac:dyDescent="0.25">
      <c r="J22" s="389" t="s">
        <v>193</v>
      </c>
      <c r="K22" s="66" t="s">
        <v>409</v>
      </c>
      <c r="L22" s="64">
        <v>0</v>
      </c>
      <c r="M22" s="64">
        <v>6.9</v>
      </c>
      <c r="N22" s="64">
        <v>0</v>
      </c>
      <c r="O22" s="64">
        <v>0.2</v>
      </c>
    </row>
    <row r="23" spans="1:15" x14ac:dyDescent="0.25">
      <c r="J23" s="389"/>
      <c r="K23" s="66" t="s">
        <v>410</v>
      </c>
      <c r="L23" s="64">
        <v>0.2</v>
      </c>
      <c r="M23" s="64">
        <v>5.9</v>
      </c>
      <c r="N23" s="64">
        <v>0.1</v>
      </c>
      <c r="O23" s="64">
        <v>1.4</v>
      </c>
    </row>
    <row r="24" spans="1:15" x14ac:dyDescent="0.25">
      <c r="J24" s="389"/>
      <c r="K24" s="66" t="s">
        <v>411</v>
      </c>
      <c r="L24" s="64">
        <v>0</v>
      </c>
      <c r="M24" s="64">
        <v>5</v>
      </c>
      <c r="N24" s="64">
        <v>0</v>
      </c>
      <c r="O24" s="64">
        <v>0.1</v>
      </c>
    </row>
    <row r="25" spans="1:15" x14ac:dyDescent="0.25">
      <c r="J25" s="389"/>
      <c r="K25" s="66" t="s">
        <v>413</v>
      </c>
      <c r="L25" s="64">
        <v>0</v>
      </c>
      <c r="M25" s="64">
        <v>6.4</v>
      </c>
      <c r="N25" s="64">
        <v>0</v>
      </c>
      <c r="O25" s="64">
        <v>0.1</v>
      </c>
    </row>
    <row r="26" spans="1:15" x14ac:dyDescent="0.25">
      <c r="J26" s="389"/>
      <c r="K26" s="66" t="s">
        <v>415</v>
      </c>
      <c r="L26" s="64">
        <v>0</v>
      </c>
      <c r="M26" s="64">
        <v>2.2000000000000002</v>
      </c>
      <c r="N26" s="64">
        <v>0</v>
      </c>
      <c r="O26" s="64">
        <v>0.1</v>
      </c>
    </row>
    <row r="27" spans="1:15" x14ac:dyDescent="0.25">
      <c r="J27" s="389"/>
      <c r="K27" s="66" t="s">
        <v>416</v>
      </c>
      <c r="L27" s="64">
        <v>0</v>
      </c>
      <c r="M27" s="64">
        <v>11.4</v>
      </c>
      <c r="N27" s="64">
        <v>0</v>
      </c>
      <c r="O27" s="64">
        <v>0.3</v>
      </c>
    </row>
    <row r="28" spans="1:15" x14ac:dyDescent="0.25">
      <c r="J28" s="389"/>
      <c r="K28" s="66" t="s">
        <v>417</v>
      </c>
      <c r="L28" s="64">
        <v>0</v>
      </c>
      <c r="M28" s="64">
        <v>3.1</v>
      </c>
      <c r="N28" s="64">
        <v>0</v>
      </c>
      <c r="O28" s="64">
        <v>0.1</v>
      </c>
    </row>
    <row r="29" spans="1:15" x14ac:dyDescent="0.25">
      <c r="J29" s="389"/>
      <c r="K29" s="66" t="s">
        <v>419</v>
      </c>
      <c r="L29" s="64">
        <v>0</v>
      </c>
      <c r="M29" s="64">
        <v>7.9</v>
      </c>
      <c r="N29" s="64">
        <v>0</v>
      </c>
      <c r="O29" s="64">
        <v>0.2</v>
      </c>
    </row>
    <row r="30" spans="1:15" x14ac:dyDescent="0.25">
      <c r="J30" s="389"/>
      <c r="K30" s="66" t="s">
        <v>420</v>
      </c>
      <c r="L30" s="64">
        <v>0</v>
      </c>
      <c r="M30" s="64">
        <v>1.3</v>
      </c>
      <c r="N30" s="64">
        <v>0</v>
      </c>
      <c r="O30" s="64">
        <v>0.3</v>
      </c>
    </row>
    <row r="31" spans="1:15" x14ac:dyDescent="0.25">
      <c r="J31" s="389"/>
      <c r="K31" s="66" t="s">
        <v>421</v>
      </c>
      <c r="L31" s="64">
        <v>0</v>
      </c>
      <c r="M31" s="64">
        <v>5.7</v>
      </c>
      <c r="N31" s="64">
        <v>0</v>
      </c>
      <c r="O31" s="64">
        <v>0.2</v>
      </c>
    </row>
    <row r="32" spans="1:15" x14ac:dyDescent="0.25">
      <c r="J32" s="389"/>
      <c r="K32" s="66" t="s">
        <v>422</v>
      </c>
      <c r="L32" s="64">
        <v>0</v>
      </c>
      <c r="M32" s="64">
        <v>2.5</v>
      </c>
      <c r="N32" s="64">
        <v>0</v>
      </c>
      <c r="O32" s="64">
        <v>0.1</v>
      </c>
    </row>
    <row r="33" spans="1:15" x14ac:dyDescent="0.25">
      <c r="J33" s="389"/>
      <c r="K33" s="66" t="s">
        <v>423</v>
      </c>
      <c r="L33" s="64">
        <v>0</v>
      </c>
      <c r="M33" s="64">
        <v>2.2000000000000002</v>
      </c>
      <c r="N33" s="64">
        <v>0</v>
      </c>
      <c r="O33" s="64">
        <v>0.2</v>
      </c>
    </row>
    <row r="34" spans="1:15" x14ac:dyDescent="0.25">
      <c r="J34" s="389"/>
      <c r="K34" s="62" t="s">
        <v>424</v>
      </c>
      <c r="L34" s="116">
        <f>AVERAGE(L22:L33)</f>
        <v>1.6666666666666666E-2</v>
      </c>
      <c r="M34" s="116">
        <f>MAX(M22:M33)</f>
        <v>11.4</v>
      </c>
      <c r="N34" s="116">
        <f>AVERAGE(N22:N33)</f>
        <v>8.3333333333333332E-3</v>
      </c>
      <c r="O34" s="116">
        <f>MAX(O22:O33)</f>
        <v>1.4</v>
      </c>
    </row>
    <row r="36" spans="1:15" ht="41.4" x14ac:dyDescent="0.25">
      <c r="J36" s="61">
        <f>+A6</f>
        <v>2022</v>
      </c>
      <c r="K36" s="61" t="s">
        <v>406</v>
      </c>
      <c r="L36" s="67" t="s">
        <v>401</v>
      </c>
      <c r="M36" s="67" t="s">
        <v>407</v>
      </c>
      <c r="N36" s="67" t="s">
        <v>404</v>
      </c>
      <c r="O36" s="67" t="s">
        <v>408</v>
      </c>
    </row>
    <row r="37" spans="1:15" x14ac:dyDescent="0.25">
      <c r="J37" s="389" t="s">
        <v>194</v>
      </c>
      <c r="K37" s="66" t="s">
        <v>409</v>
      </c>
      <c r="L37" s="64"/>
      <c r="M37" s="64"/>
      <c r="N37" s="64"/>
      <c r="O37" s="64"/>
    </row>
    <row r="38" spans="1:15" x14ac:dyDescent="0.25">
      <c r="J38" s="389"/>
      <c r="K38" s="66" t="s">
        <v>410</v>
      </c>
      <c r="L38" s="64"/>
      <c r="M38" s="64"/>
      <c r="N38" s="64"/>
      <c r="O38" s="64"/>
    </row>
    <row r="39" spans="1:15" x14ac:dyDescent="0.25">
      <c r="J39" s="389"/>
      <c r="K39" s="66" t="s">
        <v>411</v>
      </c>
      <c r="L39" s="64"/>
      <c r="M39" s="64"/>
      <c r="N39" s="64"/>
      <c r="O39" s="64"/>
    </row>
    <row r="40" spans="1:15" x14ac:dyDescent="0.25">
      <c r="J40" s="389"/>
      <c r="K40" s="66" t="s">
        <v>413</v>
      </c>
      <c r="L40" s="64"/>
      <c r="M40" s="64"/>
      <c r="N40" s="64"/>
      <c r="O40" s="64"/>
    </row>
    <row r="41" spans="1:15" x14ac:dyDescent="0.25">
      <c r="J41" s="389"/>
      <c r="K41" s="66" t="s">
        <v>415</v>
      </c>
      <c r="L41" s="64"/>
      <c r="M41" s="64"/>
      <c r="N41" s="64"/>
      <c r="O41" s="64"/>
    </row>
    <row r="42" spans="1:15" x14ac:dyDescent="0.25">
      <c r="J42" s="389"/>
      <c r="K42" s="66" t="s">
        <v>416</v>
      </c>
      <c r="L42" s="64"/>
      <c r="M42" s="64"/>
      <c r="N42" s="64"/>
      <c r="O42" s="64"/>
    </row>
    <row r="43" spans="1:15" x14ac:dyDescent="0.25">
      <c r="J43" s="389"/>
      <c r="K43" s="66" t="s">
        <v>417</v>
      </c>
      <c r="L43" s="64"/>
      <c r="M43" s="64"/>
      <c r="N43" s="64"/>
      <c r="O43" s="64"/>
    </row>
    <row r="44" spans="1:15" x14ac:dyDescent="0.25">
      <c r="J44" s="389"/>
      <c r="K44" s="66" t="s">
        <v>419</v>
      </c>
      <c r="L44" s="64"/>
      <c r="M44" s="64"/>
      <c r="N44" s="64"/>
      <c r="O44" s="64"/>
    </row>
    <row r="45" spans="1:15" x14ac:dyDescent="0.25">
      <c r="J45" s="389"/>
      <c r="K45" s="66" t="s">
        <v>420</v>
      </c>
      <c r="L45" s="64"/>
      <c r="M45" s="64"/>
      <c r="N45" s="64"/>
      <c r="O45" s="64"/>
    </row>
    <row r="46" spans="1:15" x14ac:dyDescent="0.25">
      <c r="J46" s="389"/>
      <c r="K46" s="66" t="s">
        <v>421</v>
      </c>
      <c r="L46" s="64"/>
      <c r="M46" s="64"/>
      <c r="N46" s="64"/>
      <c r="O46" s="64"/>
    </row>
    <row r="47" spans="1:15" x14ac:dyDescent="0.25">
      <c r="J47" s="389"/>
      <c r="K47" s="66" t="s">
        <v>422</v>
      </c>
      <c r="L47" s="64"/>
      <c r="M47" s="64"/>
      <c r="N47" s="64"/>
      <c r="O47" s="64"/>
    </row>
    <row r="48" spans="1:15" x14ac:dyDescent="0.25">
      <c r="A48" s="401" t="s">
        <v>304</v>
      </c>
      <c r="B48" s="402"/>
      <c r="C48" s="402"/>
      <c r="D48" s="402"/>
      <c r="E48" s="402"/>
      <c r="F48" s="402"/>
      <c r="G48" s="403"/>
      <c r="J48" s="389"/>
      <c r="K48" s="66" t="s">
        <v>423</v>
      </c>
      <c r="L48" s="64"/>
      <c r="M48" s="64"/>
      <c r="N48" s="64"/>
      <c r="O48" s="64"/>
    </row>
    <row r="49" spans="1:15" x14ac:dyDescent="0.25">
      <c r="A49" s="392"/>
      <c r="B49" s="393"/>
      <c r="C49" s="393"/>
      <c r="D49" s="393"/>
      <c r="E49" s="393"/>
      <c r="F49" s="393"/>
      <c r="G49" s="394"/>
      <c r="J49" s="389"/>
      <c r="K49" s="62" t="s">
        <v>424</v>
      </c>
      <c r="L49" s="62" t="e">
        <f>AVERAGE(L37:L48)</f>
        <v>#DIV/0!</v>
      </c>
      <c r="M49" s="62">
        <f>MAX(M37:M48)</f>
        <v>0</v>
      </c>
      <c r="N49" s="62" t="e">
        <f>AVERAGE(N37:N48)</f>
        <v>#DIV/0!</v>
      </c>
      <c r="O49" s="62">
        <f>MAX(O37:O48)</f>
        <v>0</v>
      </c>
    </row>
    <row r="50" spans="1:15" x14ac:dyDescent="0.25">
      <c r="A50" s="395"/>
      <c r="B50" s="396"/>
      <c r="C50" s="396"/>
      <c r="D50" s="396"/>
      <c r="E50" s="396"/>
      <c r="F50" s="396"/>
      <c r="G50" s="397"/>
    </row>
    <row r="51" spans="1:15" ht="41.4" x14ac:dyDescent="0.25">
      <c r="A51" s="395"/>
      <c r="B51" s="396"/>
      <c r="C51" s="396"/>
      <c r="D51" s="396"/>
      <c r="E51" s="396"/>
      <c r="F51" s="396"/>
      <c r="G51" s="397"/>
      <c r="J51" s="61">
        <f>+A6</f>
        <v>2022</v>
      </c>
      <c r="K51" s="61" t="s">
        <v>406</v>
      </c>
      <c r="L51" s="67" t="s">
        <v>401</v>
      </c>
      <c r="M51" s="67" t="s">
        <v>407</v>
      </c>
      <c r="N51" s="67" t="s">
        <v>404</v>
      </c>
      <c r="O51" s="67" t="s">
        <v>408</v>
      </c>
    </row>
    <row r="52" spans="1:15" x14ac:dyDescent="0.25">
      <c r="A52" s="398"/>
      <c r="B52" s="399"/>
      <c r="C52" s="399"/>
      <c r="D52" s="399"/>
      <c r="E52" s="399"/>
      <c r="F52" s="399"/>
      <c r="G52" s="400"/>
      <c r="J52" s="389" t="s">
        <v>195</v>
      </c>
      <c r="K52" s="66" t="s">
        <v>409</v>
      </c>
      <c r="L52" s="64"/>
      <c r="M52" s="64"/>
      <c r="N52" s="64"/>
      <c r="O52" s="64"/>
    </row>
    <row r="53" spans="1:15" x14ac:dyDescent="0.25">
      <c r="J53" s="389"/>
      <c r="K53" s="66" t="s">
        <v>410</v>
      </c>
      <c r="L53" s="64"/>
      <c r="M53" s="64"/>
      <c r="N53" s="64"/>
      <c r="O53" s="64"/>
    </row>
    <row r="54" spans="1:15" x14ac:dyDescent="0.25">
      <c r="J54" s="389"/>
      <c r="K54" s="66" t="s">
        <v>415</v>
      </c>
      <c r="L54" s="64"/>
      <c r="M54" s="64"/>
      <c r="N54" s="64"/>
      <c r="O54" s="64"/>
    </row>
    <row r="55" spans="1:15" x14ac:dyDescent="0.25">
      <c r="J55" s="389"/>
      <c r="K55" s="66" t="s">
        <v>416</v>
      </c>
      <c r="L55" s="64"/>
      <c r="M55" s="64"/>
      <c r="N55" s="64"/>
      <c r="O55" s="64"/>
    </row>
    <row r="56" spans="1:15" x14ac:dyDescent="0.25">
      <c r="J56" s="389"/>
      <c r="K56" s="66" t="s">
        <v>417</v>
      </c>
      <c r="L56" s="64"/>
      <c r="M56" s="64"/>
      <c r="N56" s="64"/>
      <c r="O56" s="64"/>
    </row>
    <row r="57" spans="1:15" x14ac:dyDescent="0.25">
      <c r="J57" s="389"/>
      <c r="K57" s="66" t="s">
        <v>419</v>
      </c>
      <c r="L57" s="64"/>
      <c r="M57" s="64"/>
      <c r="N57" s="64"/>
      <c r="O57" s="64"/>
    </row>
    <row r="58" spans="1:15" x14ac:dyDescent="0.25">
      <c r="J58" s="389"/>
      <c r="K58" s="66" t="s">
        <v>420</v>
      </c>
      <c r="L58" s="64"/>
      <c r="M58" s="64"/>
      <c r="N58" s="64"/>
      <c r="O58" s="64"/>
    </row>
    <row r="59" spans="1:15" x14ac:dyDescent="0.25">
      <c r="J59" s="389"/>
      <c r="K59" s="66" t="s">
        <v>421</v>
      </c>
      <c r="L59" s="64"/>
      <c r="M59" s="64"/>
      <c r="N59" s="64"/>
      <c r="O59" s="64"/>
    </row>
    <row r="60" spans="1:15" x14ac:dyDescent="0.25">
      <c r="J60" s="389"/>
      <c r="K60" s="66" t="s">
        <v>422</v>
      </c>
      <c r="L60" s="64"/>
      <c r="M60" s="64"/>
      <c r="N60" s="64"/>
      <c r="O60" s="64"/>
    </row>
    <row r="61" spans="1:15" x14ac:dyDescent="0.25">
      <c r="J61" s="389"/>
      <c r="K61" s="66" t="s">
        <v>423</v>
      </c>
      <c r="L61" s="64"/>
      <c r="M61" s="64"/>
      <c r="N61" s="64"/>
      <c r="O61" s="64"/>
    </row>
    <row r="62" spans="1:15" x14ac:dyDescent="0.25">
      <c r="J62" s="389"/>
      <c r="K62" s="62" t="s">
        <v>424</v>
      </c>
      <c r="L62" s="62" t="e">
        <f>AVERAGE(L52:L61)</f>
        <v>#DIV/0!</v>
      </c>
      <c r="M62" s="62">
        <f>MAX(M52:M61)</f>
        <v>0</v>
      </c>
      <c r="N62" s="62" t="e">
        <f>AVERAGE(N52:N61)</f>
        <v>#DIV/0!</v>
      </c>
      <c r="O62" s="62">
        <f>MAX(O52:O61)</f>
        <v>0</v>
      </c>
    </row>
    <row r="64" spans="1:15" ht="41.4" x14ac:dyDescent="0.25">
      <c r="J64" s="61">
        <f>+A6</f>
        <v>2022</v>
      </c>
      <c r="K64" s="61" t="s">
        <v>406</v>
      </c>
      <c r="L64" s="67" t="s">
        <v>401</v>
      </c>
      <c r="M64" s="67" t="s">
        <v>407</v>
      </c>
      <c r="N64" s="67" t="s">
        <v>404</v>
      </c>
      <c r="O64" s="67" t="s">
        <v>408</v>
      </c>
    </row>
    <row r="65" spans="10:15" x14ac:dyDescent="0.25">
      <c r="J65" s="389" t="s">
        <v>196</v>
      </c>
      <c r="K65" s="66" t="s">
        <v>409</v>
      </c>
      <c r="L65" s="64"/>
      <c r="M65" s="64"/>
      <c r="N65" s="64"/>
      <c r="O65" s="64"/>
    </row>
    <row r="66" spans="10:15" x14ac:dyDescent="0.25">
      <c r="J66" s="389"/>
      <c r="K66" s="66" t="s">
        <v>410</v>
      </c>
      <c r="L66" s="64"/>
      <c r="M66" s="64"/>
      <c r="N66" s="64"/>
      <c r="O66" s="64"/>
    </row>
    <row r="67" spans="10:15" x14ac:dyDescent="0.25">
      <c r="J67" s="389"/>
      <c r="K67" s="66" t="s">
        <v>411</v>
      </c>
      <c r="L67" s="64"/>
      <c r="M67" s="64"/>
      <c r="N67" s="64"/>
      <c r="O67" s="64"/>
    </row>
    <row r="68" spans="10:15" x14ac:dyDescent="0.25">
      <c r="J68" s="389"/>
      <c r="K68" s="66" t="s">
        <v>413</v>
      </c>
      <c r="L68" s="64"/>
      <c r="M68" s="64"/>
      <c r="N68" s="64"/>
      <c r="O68" s="64"/>
    </row>
    <row r="69" spans="10:15" x14ac:dyDescent="0.25">
      <c r="J69" s="389"/>
      <c r="K69" s="66" t="s">
        <v>415</v>
      </c>
      <c r="L69" s="64"/>
      <c r="M69" s="64"/>
      <c r="N69" s="64"/>
      <c r="O69" s="64"/>
    </row>
    <row r="70" spans="10:15" x14ac:dyDescent="0.25">
      <c r="J70" s="389"/>
      <c r="K70" s="66" t="s">
        <v>416</v>
      </c>
      <c r="L70" s="64"/>
      <c r="M70" s="64"/>
      <c r="N70" s="64"/>
      <c r="O70" s="64"/>
    </row>
    <row r="71" spans="10:15" x14ac:dyDescent="0.25">
      <c r="J71" s="389"/>
      <c r="K71" s="66" t="s">
        <v>417</v>
      </c>
      <c r="L71" s="64"/>
      <c r="M71" s="64"/>
      <c r="N71" s="64"/>
      <c r="O71" s="64"/>
    </row>
    <row r="72" spans="10:15" x14ac:dyDescent="0.25">
      <c r="J72" s="389"/>
      <c r="K72" s="66" t="s">
        <v>419</v>
      </c>
      <c r="L72" s="64"/>
      <c r="M72" s="64"/>
      <c r="N72" s="64"/>
      <c r="O72" s="64"/>
    </row>
    <row r="73" spans="10:15" x14ac:dyDescent="0.25">
      <c r="J73" s="389"/>
      <c r="K73" s="66" t="s">
        <v>420</v>
      </c>
      <c r="L73" s="64"/>
      <c r="M73" s="64"/>
      <c r="N73" s="64"/>
      <c r="O73" s="64"/>
    </row>
    <row r="74" spans="10:15" x14ac:dyDescent="0.25">
      <c r="J74" s="389"/>
      <c r="K74" s="66" t="s">
        <v>421</v>
      </c>
      <c r="L74" s="64"/>
      <c r="M74" s="64"/>
      <c r="N74" s="64"/>
      <c r="O74" s="64"/>
    </row>
    <row r="75" spans="10:15" x14ac:dyDescent="0.25">
      <c r="J75" s="389"/>
      <c r="K75" s="66" t="s">
        <v>422</v>
      </c>
      <c r="L75" s="64"/>
      <c r="M75" s="64"/>
      <c r="N75" s="64"/>
      <c r="O75" s="64"/>
    </row>
    <row r="76" spans="10:15" x14ac:dyDescent="0.25">
      <c r="J76" s="389"/>
      <c r="K76" s="66" t="s">
        <v>423</v>
      </c>
      <c r="L76" s="64"/>
      <c r="M76" s="64"/>
      <c r="N76" s="64"/>
      <c r="O76" s="64"/>
    </row>
    <row r="77" spans="10:15" x14ac:dyDescent="0.25">
      <c r="J77" s="389"/>
      <c r="K77" s="62" t="s">
        <v>424</v>
      </c>
      <c r="L77" s="62" t="e">
        <f>AVERAGE(L65:L76)</f>
        <v>#DIV/0!</v>
      </c>
      <c r="M77" s="62">
        <f>MAX(M65:M76)</f>
        <v>0</v>
      </c>
      <c r="N77" s="62" t="e">
        <f>AVERAGE(N65:N76)</f>
        <v>#DIV/0!</v>
      </c>
      <c r="O77" s="62">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92D050"/>
    <pageSetUpPr fitToPage="1"/>
  </sheetPr>
  <dimension ref="A1:S77"/>
  <sheetViews>
    <sheetView topLeftCell="G16" workbookViewId="0">
      <selection activeCell="F55" sqref="F55"/>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Staffordshire Energy Recovery Facility</v>
      </c>
    </row>
    <row r="3" spans="1:19" ht="14.4" x14ac:dyDescent="0.3">
      <c r="A3" s="60" t="s">
        <v>434</v>
      </c>
      <c r="D3" s="76" t="s">
        <v>393</v>
      </c>
      <c r="G3" s="80" t="s">
        <v>394</v>
      </c>
      <c r="J3" s="9" t="str">
        <f>+A3</f>
        <v>Monitoring of Particulate matter emissions</v>
      </c>
      <c r="L3" s="9"/>
      <c r="N3" s="9" t="s">
        <v>395</v>
      </c>
      <c r="Q3" s="79" t="s">
        <v>3</v>
      </c>
      <c r="R3" s="74"/>
      <c r="S3" s="74"/>
    </row>
    <row r="4" spans="1:19" ht="13.95" customHeight="1" x14ac:dyDescent="0.25">
      <c r="Q4" s="365" t="s">
        <v>396</v>
      </c>
      <c r="R4" s="365"/>
      <c r="S4" s="365"/>
    </row>
    <row r="5" spans="1:19" ht="16.2" x14ac:dyDescent="0.25">
      <c r="A5" s="68" t="s">
        <v>397</v>
      </c>
      <c r="B5" s="391" t="s">
        <v>398</v>
      </c>
      <c r="C5" s="391"/>
      <c r="D5" s="391"/>
      <c r="E5" s="391" t="s">
        <v>399</v>
      </c>
      <c r="F5" s="391"/>
      <c r="G5" s="391"/>
      <c r="J5" s="390"/>
      <c r="K5" s="390"/>
      <c r="L5" s="390"/>
      <c r="M5" s="390"/>
      <c r="N5" s="390"/>
      <c r="O5" s="390"/>
      <c r="Q5" s="365"/>
      <c r="R5" s="365"/>
      <c r="S5" s="365"/>
    </row>
    <row r="6" spans="1:19" s="58" customFormat="1" ht="37.5" customHeight="1" x14ac:dyDescent="0.3">
      <c r="A6" s="65">
        <f>+'Cover Page'!C39</f>
        <v>2022</v>
      </c>
      <c r="B6" s="55" t="s">
        <v>435</v>
      </c>
      <c r="C6" s="55" t="s">
        <v>401</v>
      </c>
      <c r="D6" s="55" t="s">
        <v>402</v>
      </c>
      <c r="E6" s="55" t="s">
        <v>436</v>
      </c>
      <c r="F6" s="55" t="s">
        <v>404</v>
      </c>
      <c r="G6" s="55" t="s">
        <v>405</v>
      </c>
      <c r="H6" s="59"/>
      <c r="J6" s="61">
        <f>+A6</f>
        <v>2022</v>
      </c>
      <c r="K6" s="61" t="s">
        <v>406</v>
      </c>
      <c r="L6" s="67" t="s">
        <v>401</v>
      </c>
      <c r="M6" s="67" t="s">
        <v>407</v>
      </c>
      <c r="N6" s="67" t="s">
        <v>404</v>
      </c>
      <c r="O6" s="67" t="s">
        <v>408</v>
      </c>
      <c r="Q6" s="365"/>
      <c r="R6" s="365"/>
      <c r="S6" s="365"/>
    </row>
    <row r="7" spans="1:19" x14ac:dyDescent="0.25">
      <c r="A7" s="66" t="s">
        <v>409</v>
      </c>
      <c r="B7" s="63">
        <v>30</v>
      </c>
      <c r="C7" s="64">
        <f>AVERAGE(L7,L22)</f>
        <v>0.3</v>
      </c>
      <c r="D7" s="64">
        <f>MAX(M7,M22)</f>
        <v>0.7</v>
      </c>
      <c r="E7" s="63">
        <v>10</v>
      </c>
      <c r="F7" s="64">
        <f>AVERAGE(N7,N22)</f>
        <v>0.25</v>
      </c>
      <c r="G7" s="64">
        <f>MAX(O7,O22)</f>
        <v>0.4</v>
      </c>
      <c r="J7" s="389" t="s">
        <v>192</v>
      </c>
      <c r="K7" s="66" t="s">
        <v>409</v>
      </c>
      <c r="L7" s="64">
        <v>0.3</v>
      </c>
      <c r="M7" s="64">
        <v>0.7</v>
      </c>
      <c r="N7" s="64">
        <v>0.3</v>
      </c>
      <c r="O7" s="64">
        <v>0.4</v>
      </c>
      <c r="Q7" s="365"/>
      <c r="R7" s="365"/>
      <c r="S7" s="365"/>
    </row>
    <row r="8" spans="1:19" x14ac:dyDescent="0.25">
      <c r="A8" s="66" t="s">
        <v>410</v>
      </c>
      <c r="B8" s="63">
        <v>30</v>
      </c>
      <c r="C8" s="64">
        <f t="shared" ref="C8" si="0">AVERAGE(L8,L23)</f>
        <v>0.35</v>
      </c>
      <c r="D8" s="64">
        <f t="shared" ref="D8:D18" si="1">MAX(M8,M23)</f>
        <v>1.8</v>
      </c>
      <c r="E8" s="63">
        <v>10</v>
      </c>
      <c r="F8" s="64">
        <f t="shared" ref="F8" si="2">AVERAGE(N8,N23)</f>
        <v>0.25</v>
      </c>
      <c r="G8" s="64">
        <f t="shared" ref="G8:G18" si="3">MAX(O8,O23)</f>
        <v>0.8</v>
      </c>
      <c r="J8" s="389"/>
      <c r="K8" s="66" t="s">
        <v>410</v>
      </c>
      <c r="L8" s="64">
        <v>0.4</v>
      </c>
      <c r="M8" s="64">
        <v>1.8</v>
      </c>
      <c r="N8" s="64">
        <v>0.3</v>
      </c>
      <c r="O8" s="64">
        <v>0.8</v>
      </c>
      <c r="Q8" s="365"/>
      <c r="R8" s="365"/>
      <c r="S8" s="365"/>
    </row>
    <row r="9" spans="1:19" x14ac:dyDescent="0.25">
      <c r="A9" s="66" t="s">
        <v>411</v>
      </c>
      <c r="B9" s="63">
        <v>30</v>
      </c>
      <c r="C9" s="64">
        <f t="shared" ref="C9" si="4">AVERAGE(L9,L24)</f>
        <v>0.3</v>
      </c>
      <c r="D9" s="64">
        <f t="shared" si="1"/>
        <v>1.4</v>
      </c>
      <c r="E9" s="63">
        <v>10</v>
      </c>
      <c r="F9" s="64">
        <f t="shared" ref="F9" si="5">AVERAGE(N9,N24)</f>
        <v>0.2</v>
      </c>
      <c r="G9" s="64">
        <f t="shared" si="3"/>
        <v>0.6</v>
      </c>
      <c r="J9" s="389"/>
      <c r="K9" s="66" t="s">
        <v>411</v>
      </c>
      <c r="L9" s="64">
        <v>0.3</v>
      </c>
      <c r="M9" s="64">
        <v>1.4</v>
      </c>
      <c r="N9" s="64">
        <v>0.2</v>
      </c>
      <c r="O9" s="64">
        <v>0.6</v>
      </c>
      <c r="Q9" s="78" t="s">
        <v>412</v>
      </c>
    </row>
    <row r="10" spans="1:19" ht="14.25" customHeight="1" x14ac:dyDescent="0.25">
      <c r="A10" s="66" t="s">
        <v>413</v>
      </c>
      <c r="B10" s="63">
        <v>30</v>
      </c>
      <c r="C10" s="64">
        <f t="shared" ref="C10" si="6">AVERAGE(L10,L25)</f>
        <v>0.35</v>
      </c>
      <c r="D10" s="64">
        <f t="shared" si="1"/>
        <v>8.3000000000000007</v>
      </c>
      <c r="E10" s="63">
        <v>10</v>
      </c>
      <c r="F10" s="64">
        <f t="shared" ref="F10" si="7">AVERAGE(N10,N25)</f>
        <v>0.30000000000000004</v>
      </c>
      <c r="G10" s="64">
        <f t="shared" si="3"/>
        <v>1.4</v>
      </c>
      <c r="J10" s="389"/>
      <c r="K10" s="66" t="s">
        <v>413</v>
      </c>
      <c r="L10" s="64">
        <v>0.4</v>
      </c>
      <c r="M10" s="64">
        <v>8.3000000000000007</v>
      </c>
      <c r="N10" s="64">
        <v>0.4</v>
      </c>
      <c r="O10" s="64">
        <v>1.4</v>
      </c>
      <c r="Q10" s="388" t="s">
        <v>414</v>
      </c>
      <c r="R10" s="388"/>
      <c r="S10" s="388"/>
    </row>
    <row r="11" spans="1:19" x14ac:dyDescent="0.25">
      <c r="A11" s="66" t="s">
        <v>415</v>
      </c>
      <c r="B11" s="63">
        <v>30</v>
      </c>
      <c r="C11" s="64">
        <f t="shared" ref="C11" si="8">AVERAGE(L11,L26)</f>
        <v>0.3</v>
      </c>
      <c r="D11" s="64">
        <f t="shared" si="1"/>
        <v>0.4</v>
      </c>
      <c r="E11" s="63">
        <v>10</v>
      </c>
      <c r="F11" s="64">
        <f t="shared" ref="F11" si="9">AVERAGE(N11,N26)</f>
        <v>0.2</v>
      </c>
      <c r="G11" s="64">
        <f t="shared" si="3"/>
        <v>0.3</v>
      </c>
      <c r="J11" s="389"/>
      <c r="K11" s="66" t="s">
        <v>415</v>
      </c>
      <c r="L11" s="64">
        <v>0.3</v>
      </c>
      <c r="M11" s="64">
        <v>0.4</v>
      </c>
      <c r="N11" s="64">
        <v>0.2</v>
      </c>
      <c r="O11" s="64">
        <v>0.3</v>
      </c>
      <c r="Q11" s="388"/>
      <c r="R11" s="388"/>
      <c r="S11" s="388"/>
    </row>
    <row r="12" spans="1:19" x14ac:dyDescent="0.25">
      <c r="A12" s="66" t="s">
        <v>416</v>
      </c>
      <c r="B12" s="63">
        <v>30</v>
      </c>
      <c r="C12" s="64">
        <f t="shared" ref="C12" si="10">AVERAGE(L12,L27)</f>
        <v>0.3</v>
      </c>
      <c r="D12" s="64">
        <f t="shared" si="1"/>
        <v>0.5</v>
      </c>
      <c r="E12" s="63">
        <v>10</v>
      </c>
      <c r="F12" s="64">
        <f t="shared" ref="F12" si="11">AVERAGE(N12,N27)</f>
        <v>0.25</v>
      </c>
      <c r="G12" s="64">
        <f t="shared" si="3"/>
        <v>0.3</v>
      </c>
      <c r="J12" s="389"/>
      <c r="K12" s="66" t="s">
        <v>416</v>
      </c>
      <c r="L12" s="64">
        <v>0.3</v>
      </c>
      <c r="M12" s="64">
        <v>0.5</v>
      </c>
      <c r="N12" s="64">
        <v>0.2</v>
      </c>
      <c r="O12" s="64">
        <v>0.3</v>
      </c>
      <c r="Q12" s="388"/>
      <c r="R12" s="388"/>
      <c r="S12" s="388"/>
    </row>
    <row r="13" spans="1:19" ht="14.25" customHeight="1" x14ac:dyDescent="0.25">
      <c r="A13" s="66" t="s">
        <v>417</v>
      </c>
      <c r="B13" s="63">
        <v>30</v>
      </c>
      <c r="C13" s="64">
        <f t="shared" ref="C13" si="12">AVERAGE(L13,L28)</f>
        <v>0.3</v>
      </c>
      <c r="D13" s="64">
        <f t="shared" si="1"/>
        <v>0.3</v>
      </c>
      <c r="E13" s="63">
        <v>10</v>
      </c>
      <c r="F13" s="64">
        <f t="shared" ref="F13" si="13">AVERAGE(N13,N28)</f>
        <v>0.25</v>
      </c>
      <c r="G13" s="64">
        <f t="shared" si="3"/>
        <v>0.3</v>
      </c>
      <c r="J13" s="389"/>
      <c r="K13" s="66" t="s">
        <v>417</v>
      </c>
      <c r="L13" s="64">
        <v>0.3</v>
      </c>
      <c r="M13" s="64">
        <v>0.3</v>
      </c>
      <c r="N13" s="64">
        <v>0.2</v>
      </c>
      <c r="O13" s="64">
        <v>0.3</v>
      </c>
      <c r="Q13" s="388" t="s">
        <v>418</v>
      </c>
      <c r="R13" s="388"/>
      <c r="S13" s="388"/>
    </row>
    <row r="14" spans="1:19" x14ac:dyDescent="0.25">
      <c r="A14" s="66" t="s">
        <v>419</v>
      </c>
      <c r="B14" s="63">
        <v>30</v>
      </c>
      <c r="C14" s="64">
        <f t="shared" ref="C14" si="14">AVERAGE(L14,L29)</f>
        <v>0.3</v>
      </c>
      <c r="D14" s="64">
        <f t="shared" si="1"/>
        <v>0.3</v>
      </c>
      <c r="E14" s="63">
        <v>10</v>
      </c>
      <c r="F14" s="64">
        <f t="shared" ref="F14" si="15">AVERAGE(N14,N29)</f>
        <v>0.2</v>
      </c>
      <c r="G14" s="64">
        <f t="shared" si="3"/>
        <v>0.3</v>
      </c>
      <c r="J14" s="389"/>
      <c r="K14" s="66" t="s">
        <v>419</v>
      </c>
      <c r="L14" s="64">
        <v>0.3</v>
      </c>
      <c r="M14" s="64">
        <v>0.3</v>
      </c>
      <c r="N14" s="64">
        <v>0.2</v>
      </c>
      <c r="O14" s="64">
        <v>0.3</v>
      </c>
      <c r="Q14" s="388"/>
      <c r="R14" s="388"/>
      <c r="S14" s="388"/>
    </row>
    <row r="15" spans="1:19" x14ac:dyDescent="0.25">
      <c r="A15" s="66" t="s">
        <v>420</v>
      </c>
      <c r="B15" s="63">
        <v>30</v>
      </c>
      <c r="C15" s="64">
        <f t="shared" ref="C15" si="16">AVERAGE(L15,L30)</f>
        <v>0.3</v>
      </c>
      <c r="D15" s="64">
        <f t="shared" si="1"/>
        <v>0.6</v>
      </c>
      <c r="E15" s="63">
        <v>10</v>
      </c>
      <c r="F15" s="64">
        <f t="shared" ref="F15" si="17">AVERAGE(N15,N30)</f>
        <v>0.2</v>
      </c>
      <c r="G15" s="64">
        <f t="shared" si="3"/>
        <v>0.3</v>
      </c>
      <c r="J15" s="389"/>
      <c r="K15" s="66" t="s">
        <v>420</v>
      </c>
      <c r="L15" s="64">
        <v>0.3</v>
      </c>
      <c r="M15" s="64">
        <v>0.4</v>
      </c>
      <c r="N15" s="64">
        <v>0.2</v>
      </c>
      <c r="O15" s="64">
        <v>0.3</v>
      </c>
      <c r="Q15" s="388"/>
      <c r="R15" s="388"/>
      <c r="S15" s="388"/>
    </row>
    <row r="16" spans="1:19" x14ac:dyDescent="0.25">
      <c r="A16" s="66" t="s">
        <v>421</v>
      </c>
      <c r="B16" s="63">
        <v>30</v>
      </c>
      <c r="C16" s="64">
        <f t="shared" ref="C16" si="18">AVERAGE(L16,L31)</f>
        <v>0.3</v>
      </c>
      <c r="D16" s="64">
        <f t="shared" si="1"/>
        <v>0.4</v>
      </c>
      <c r="E16" s="63">
        <v>10</v>
      </c>
      <c r="F16" s="64">
        <f t="shared" ref="F16" si="19">AVERAGE(N16,N31)</f>
        <v>0.2</v>
      </c>
      <c r="G16" s="64">
        <f t="shared" si="3"/>
        <v>0.3</v>
      </c>
      <c r="J16" s="389"/>
      <c r="K16" s="66" t="s">
        <v>421</v>
      </c>
      <c r="L16" s="64">
        <v>0.3</v>
      </c>
      <c r="M16" s="64">
        <v>0.4</v>
      </c>
      <c r="N16" s="64">
        <v>0.2</v>
      </c>
      <c r="O16" s="64">
        <v>0.3</v>
      </c>
      <c r="Q16" s="388"/>
      <c r="R16" s="388"/>
      <c r="S16" s="388"/>
    </row>
    <row r="17" spans="1:15" x14ac:dyDescent="0.25">
      <c r="A17" s="66" t="s">
        <v>422</v>
      </c>
      <c r="B17" s="63">
        <v>30</v>
      </c>
      <c r="C17" s="64">
        <f t="shared" ref="C17" si="20">AVERAGE(L17,L32)</f>
        <v>0.3</v>
      </c>
      <c r="D17" s="64">
        <f t="shared" si="1"/>
        <v>0.4</v>
      </c>
      <c r="E17" s="63">
        <v>10</v>
      </c>
      <c r="F17" s="64">
        <f t="shared" ref="F17" si="21">AVERAGE(N17,N32)</f>
        <v>0.2</v>
      </c>
      <c r="G17" s="64">
        <f t="shared" si="3"/>
        <v>0.3</v>
      </c>
      <c r="J17" s="389"/>
      <c r="K17" s="66" t="s">
        <v>422</v>
      </c>
      <c r="L17" s="64">
        <v>0.3</v>
      </c>
      <c r="M17" s="64">
        <v>0.4</v>
      </c>
      <c r="N17" s="64">
        <v>0.2</v>
      </c>
      <c r="O17" s="64">
        <v>0.3</v>
      </c>
    </row>
    <row r="18" spans="1:15" x14ac:dyDescent="0.25">
      <c r="A18" s="66" t="s">
        <v>423</v>
      </c>
      <c r="B18" s="63">
        <v>30</v>
      </c>
      <c r="C18" s="64">
        <f t="shared" ref="C18" si="22">AVERAGE(L18,L33)</f>
        <v>0.25</v>
      </c>
      <c r="D18" s="64">
        <f t="shared" si="1"/>
        <v>0.4</v>
      </c>
      <c r="E18" s="63">
        <v>10</v>
      </c>
      <c r="F18" s="64">
        <f t="shared" ref="F18" si="23">AVERAGE(N18,N33)</f>
        <v>0.2</v>
      </c>
      <c r="G18" s="64">
        <f t="shared" si="3"/>
        <v>0.3</v>
      </c>
      <c r="J18" s="389"/>
      <c r="K18" s="66" t="s">
        <v>423</v>
      </c>
      <c r="L18" s="64">
        <v>0.3</v>
      </c>
      <c r="M18" s="64">
        <v>0.4</v>
      </c>
      <c r="N18" s="64">
        <v>0.2</v>
      </c>
      <c r="O18" s="64">
        <v>0.3</v>
      </c>
    </row>
    <row r="19" spans="1:15" x14ac:dyDescent="0.25">
      <c r="J19" s="389"/>
      <c r="K19" s="62" t="s">
        <v>424</v>
      </c>
      <c r="L19" s="116">
        <f>AVERAGE(L7:L18)</f>
        <v>0.3166666666666666</v>
      </c>
      <c r="M19" s="117">
        <f>MAX(M7:M18)</f>
        <v>8.3000000000000007</v>
      </c>
      <c r="N19" s="116">
        <f>AVERAGE(N7:N18)</f>
        <v>0.23333333333333339</v>
      </c>
      <c r="O19" s="117">
        <f>MAX(O7:O18)</f>
        <v>1.4</v>
      </c>
    </row>
    <row r="21" spans="1:15" ht="41.4" x14ac:dyDescent="0.25">
      <c r="J21" s="61">
        <f>+A6</f>
        <v>2022</v>
      </c>
      <c r="K21" s="61" t="s">
        <v>406</v>
      </c>
      <c r="L21" s="67" t="s">
        <v>401</v>
      </c>
      <c r="M21" s="67" t="s">
        <v>407</v>
      </c>
      <c r="N21" s="67" t="s">
        <v>404</v>
      </c>
      <c r="O21" s="67" t="s">
        <v>408</v>
      </c>
    </row>
    <row r="22" spans="1:15" x14ac:dyDescent="0.25">
      <c r="J22" s="389" t="s">
        <v>193</v>
      </c>
      <c r="K22" s="66" t="s">
        <v>409</v>
      </c>
      <c r="L22" s="64">
        <v>0.3</v>
      </c>
      <c r="M22" s="64">
        <v>0.3</v>
      </c>
      <c r="N22" s="64">
        <v>0.2</v>
      </c>
      <c r="O22" s="64">
        <v>0.3</v>
      </c>
    </row>
    <row r="23" spans="1:15" x14ac:dyDescent="0.25">
      <c r="J23" s="389"/>
      <c r="K23" s="66" t="s">
        <v>410</v>
      </c>
      <c r="L23" s="64">
        <v>0.3</v>
      </c>
      <c r="M23" s="64">
        <v>0.5</v>
      </c>
      <c r="N23" s="64">
        <v>0.2</v>
      </c>
      <c r="O23" s="64">
        <v>0.3</v>
      </c>
    </row>
    <row r="24" spans="1:15" x14ac:dyDescent="0.25">
      <c r="J24" s="389"/>
      <c r="K24" s="66" t="s">
        <v>411</v>
      </c>
      <c r="L24" s="64">
        <v>0.3</v>
      </c>
      <c r="M24" s="64">
        <v>0.4</v>
      </c>
      <c r="N24" s="64">
        <v>0.2</v>
      </c>
      <c r="O24" s="64">
        <v>0.3</v>
      </c>
    </row>
    <row r="25" spans="1:15" x14ac:dyDescent="0.25">
      <c r="J25" s="389"/>
      <c r="K25" s="66" t="s">
        <v>413</v>
      </c>
      <c r="L25" s="64">
        <v>0.3</v>
      </c>
      <c r="M25" s="64">
        <v>0.4</v>
      </c>
      <c r="N25" s="64">
        <v>0.2</v>
      </c>
      <c r="O25" s="64">
        <v>0.3</v>
      </c>
    </row>
    <row r="26" spans="1:15" x14ac:dyDescent="0.25">
      <c r="J26" s="389"/>
      <c r="K26" s="66" t="s">
        <v>415</v>
      </c>
      <c r="L26" s="64">
        <v>0.3</v>
      </c>
      <c r="M26" s="64">
        <v>0.4</v>
      </c>
      <c r="N26" s="64">
        <v>0.2</v>
      </c>
      <c r="O26" s="64">
        <v>0.3</v>
      </c>
    </row>
    <row r="27" spans="1:15" x14ac:dyDescent="0.25">
      <c r="J27" s="389"/>
      <c r="K27" s="66" t="s">
        <v>416</v>
      </c>
      <c r="L27" s="64">
        <v>0.3</v>
      </c>
      <c r="M27" s="64">
        <v>0.5</v>
      </c>
      <c r="N27" s="64">
        <v>0.3</v>
      </c>
      <c r="O27" s="64">
        <v>0.3</v>
      </c>
    </row>
    <row r="28" spans="1:15" x14ac:dyDescent="0.25">
      <c r="J28" s="389"/>
      <c r="K28" s="66" t="s">
        <v>417</v>
      </c>
      <c r="L28" s="64">
        <v>0.3</v>
      </c>
      <c r="M28" s="64">
        <v>0.3</v>
      </c>
      <c r="N28" s="64">
        <v>0.3</v>
      </c>
      <c r="O28" s="64">
        <v>0.3</v>
      </c>
    </row>
    <row r="29" spans="1:15" x14ac:dyDescent="0.25">
      <c r="J29" s="389"/>
      <c r="K29" s="66" t="s">
        <v>419</v>
      </c>
      <c r="L29" s="64">
        <v>0.3</v>
      </c>
      <c r="M29" s="64">
        <v>0.3</v>
      </c>
      <c r="N29" s="64">
        <v>0.2</v>
      </c>
      <c r="O29" s="64">
        <v>0.3</v>
      </c>
    </row>
    <row r="30" spans="1:15" x14ac:dyDescent="0.25">
      <c r="J30" s="389"/>
      <c r="K30" s="66" t="s">
        <v>420</v>
      </c>
      <c r="L30" s="64">
        <v>0.3</v>
      </c>
      <c r="M30" s="64">
        <v>0.6</v>
      </c>
      <c r="N30" s="64">
        <v>0.2</v>
      </c>
      <c r="O30" s="64">
        <v>0.3</v>
      </c>
    </row>
    <row r="31" spans="1:15" x14ac:dyDescent="0.25">
      <c r="J31" s="389"/>
      <c r="K31" s="66" t="s">
        <v>421</v>
      </c>
      <c r="L31" s="64">
        <v>0.3</v>
      </c>
      <c r="M31" s="64">
        <v>0.3</v>
      </c>
      <c r="N31" s="64">
        <v>0.2</v>
      </c>
      <c r="O31" s="64">
        <v>0.3</v>
      </c>
    </row>
    <row r="32" spans="1:15" x14ac:dyDescent="0.25">
      <c r="J32" s="389"/>
      <c r="K32" s="66" t="s">
        <v>422</v>
      </c>
      <c r="L32" s="64">
        <v>0.3</v>
      </c>
      <c r="M32" s="64">
        <v>0.4</v>
      </c>
      <c r="N32" s="64">
        <v>0.2</v>
      </c>
      <c r="O32" s="64">
        <v>0.3</v>
      </c>
    </row>
    <row r="33" spans="1:15" x14ac:dyDescent="0.25">
      <c r="J33" s="389"/>
      <c r="K33" s="66" t="s">
        <v>423</v>
      </c>
      <c r="L33" s="64">
        <v>0.2</v>
      </c>
      <c r="M33" s="64">
        <v>0.3</v>
      </c>
      <c r="N33" s="64">
        <v>0.2</v>
      </c>
      <c r="O33" s="64">
        <v>0.3</v>
      </c>
    </row>
    <row r="34" spans="1:15" x14ac:dyDescent="0.25">
      <c r="J34" s="389"/>
      <c r="K34" s="62" t="s">
        <v>424</v>
      </c>
      <c r="L34" s="116">
        <f>AVERAGE(L22:L33)</f>
        <v>0.29166666666666663</v>
      </c>
      <c r="M34" s="117">
        <f>MAX(M22:M33)</f>
        <v>0.6</v>
      </c>
      <c r="N34" s="116">
        <f>AVERAGE(N22:N33)</f>
        <v>0.2166666666666667</v>
      </c>
      <c r="O34" s="117">
        <f>MAX(O22:O33)</f>
        <v>0.3</v>
      </c>
    </row>
    <row r="36" spans="1:15" ht="41.4" x14ac:dyDescent="0.25">
      <c r="J36" s="61">
        <f>+A6</f>
        <v>2022</v>
      </c>
      <c r="K36" s="61" t="s">
        <v>406</v>
      </c>
      <c r="L36" s="67" t="s">
        <v>401</v>
      </c>
      <c r="M36" s="67" t="s">
        <v>407</v>
      </c>
      <c r="N36" s="67" t="s">
        <v>404</v>
      </c>
      <c r="O36" s="67" t="s">
        <v>408</v>
      </c>
    </row>
    <row r="37" spans="1:15" x14ac:dyDescent="0.25">
      <c r="J37" s="389" t="s">
        <v>194</v>
      </c>
      <c r="K37" s="66" t="s">
        <v>409</v>
      </c>
      <c r="L37" s="64"/>
      <c r="M37" s="64"/>
      <c r="N37" s="64"/>
      <c r="O37" s="64"/>
    </row>
    <row r="38" spans="1:15" x14ac:dyDescent="0.25">
      <c r="J38" s="389"/>
      <c r="K38" s="66" t="s">
        <v>410</v>
      </c>
      <c r="L38" s="64"/>
      <c r="M38" s="64"/>
      <c r="N38" s="64"/>
      <c r="O38" s="64"/>
    </row>
    <row r="39" spans="1:15" x14ac:dyDescent="0.25">
      <c r="J39" s="389"/>
      <c r="K39" s="66" t="s">
        <v>411</v>
      </c>
      <c r="L39" s="64"/>
      <c r="M39" s="64"/>
      <c r="N39" s="64"/>
      <c r="O39" s="64"/>
    </row>
    <row r="40" spans="1:15" x14ac:dyDescent="0.25">
      <c r="J40" s="389"/>
      <c r="K40" s="66" t="s">
        <v>413</v>
      </c>
      <c r="L40" s="64"/>
      <c r="M40" s="64"/>
      <c r="N40" s="64"/>
      <c r="O40" s="64"/>
    </row>
    <row r="41" spans="1:15" x14ac:dyDescent="0.25">
      <c r="J41" s="389"/>
      <c r="K41" s="66" t="s">
        <v>415</v>
      </c>
      <c r="L41" s="64"/>
      <c r="M41" s="64"/>
      <c r="N41" s="64"/>
      <c r="O41" s="64"/>
    </row>
    <row r="42" spans="1:15" x14ac:dyDescent="0.25">
      <c r="J42" s="389"/>
      <c r="K42" s="66" t="s">
        <v>416</v>
      </c>
      <c r="L42" s="64"/>
      <c r="M42" s="64"/>
      <c r="N42" s="64"/>
      <c r="O42" s="64"/>
    </row>
    <row r="43" spans="1:15" x14ac:dyDescent="0.25">
      <c r="J43" s="389"/>
      <c r="K43" s="66" t="s">
        <v>417</v>
      </c>
      <c r="L43" s="64"/>
      <c r="M43" s="64"/>
      <c r="N43" s="64"/>
      <c r="O43" s="64"/>
    </row>
    <row r="44" spans="1:15" x14ac:dyDescent="0.25">
      <c r="J44" s="389"/>
      <c r="K44" s="66" t="s">
        <v>419</v>
      </c>
      <c r="L44" s="64"/>
      <c r="M44" s="64"/>
      <c r="N44" s="64"/>
      <c r="O44" s="64"/>
    </row>
    <row r="45" spans="1:15" x14ac:dyDescent="0.25">
      <c r="J45" s="389"/>
      <c r="K45" s="66" t="s">
        <v>420</v>
      </c>
      <c r="L45" s="64"/>
      <c r="M45" s="64"/>
      <c r="N45" s="64"/>
      <c r="O45" s="64"/>
    </row>
    <row r="46" spans="1:15" x14ac:dyDescent="0.25">
      <c r="J46" s="389"/>
      <c r="K46" s="66" t="s">
        <v>421</v>
      </c>
      <c r="L46" s="64"/>
      <c r="M46" s="64"/>
      <c r="N46" s="64"/>
      <c r="O46" s="64"/>
    </row>
    <row r="47" spans="1:15" x14ac:dyDescent="0.25">
      <c r="J47" s="389"/>
      <c r="K47" s="66" t="s">
        <v>422</v>
      </c>
      <c r="L47" s="64"/>
      <c r="M47" s="64"/>
      <c r="N47" s="64"/>
      <c r="O47" s="64"/>
    </row>
    <row r="48" spans="1:15" x14ac:dyDescent="0.25">
      <c r="A48" s="401" t="s">
        <v>304</v>
      </c>
      <c r="B48" s="402"/>
      <c r="C48" s="402"/>
      <c r="D48" s="402"/>
      <c r="E48" s="402"/>
      <c r="F48" s="402"/>
      <c r="G48" s="403"/>
      <c r="J48" s="389"/>
      <c r="K48" s="66" t="s">
        <v>423</v>
      </c>
      <c r="L48" s="64"/>
      <c r="M48" s="64"/>
      <c r="N48" s="64"/>
      <c r="O48" s="64"/>
    </row>
    <row r="49" spans="1:15" x14ac:dyDescent="0.25">
      <c r="A49" s="392"/>
      <c r="B49" s="393"/>
      <c r="C49" s="393"/>
      <c r="D49" s="393"/>
      <c r="E49" s="393"/>
      <c r="F49" s="393"/>
      <c r="G49" s="394"/>
      <c r="J49" s="389"/>
      <c r="K49" s="62" t="s">
        <v>424</v>
      </c>
      <c r="L49" s="62" t="e">
        <f>AVERAGE(L37:L48)</f>
        <v>#DIV/0!</v>
      </c>
      <c r="M49" s="62">
        <f>MAX(M37:M48)</f>
        <v>0</v>
      </c>
      <c r="N49" s="62" t="e">
        <f>AVERAGE(N37:N48)</f>
        <v>#DIV/0!</v>
      </c>
      <c r="O49" s="62">
        <f>MAX(O37:O48)</f>
        <v>0</v>
      </c>
    </row>
    <row r="50" spans="1:15" x14ac:dyDescent="0.25">
      <c r="A50" s="395"/>
      <c r="B50" s="396"/>
      <c r="C50" s="396"/>
      <c r="D50" s="396"/>
      <c r="E50" s="396"/>
      <c r="F50" s="396"/>
      <c r="G50" s="397"/>
    </row>
    <row r="51" spans="1:15" ht="41.4" x14ac:dyDescent="0.25">
      <c r="A51" s="395"/>
      <c r="B51" s="396"/>
      <c r="C51" s="396"/>
      <c r="D51" s="396"/>
      <c r="E51" s="396"/>
      <c r="F51" s="396"/>
      <c r="G51" s="397"/>
      <c r="J51" s="61">
        <f>+A6</f>
        <v>2022</v>
      </c>
      <c r="K51" s="61" t="s">
        <v>406</v>
      </c>
      <c r="L51" s="67" t="s">
        <v>401</v>
      </c>
      <c r="M51" s="67" t="s">
        <v>407</v>
      </c>
      <c r="N51" s="67" t="s">
        <v>404</v>
      </c>
      <c r="O51" s="67" t="s">
        <v>408</v>
      </c>
    </row>
    <row r="52" spans="1:15" x14ac:dyDescent="0.25">
      <c r="A52" s="398"/>
      <c r="B52" s="399"/>
      <c r="C52" s="399"/>
      <c r="D52" s="399"/>
      <c r="E52" s="399"/>
      <c r="F52" s="399"/>
      <c r="G52" s="400"/>
      <c r="J52" s="389" t="s">
        <v>195</v>
      </c>
      <c r="K52" s="66" t="s">
        <v>409</v>
      </c>
      <c r="L52" s="64"/>
      <c r="M52" s="64"/>
      <c r="N52" s="64"/>
      <c r="O52" s="64"/>
    </row>
    <row r="53" spans="1:15" x14ac:dyDescent="0.25">
      <c r="J53" s="389"/>
      <c r="K53" s="66" t="s">
        <v>410</v>
      </c>
      <c r="L53" s="64"/>
      <c r="M53" s="64"/>
      <c r="N53" s="64"/>
      <c r="O53" s="64"/>
    </row>
    <row r="54" spans="1:15" x14ac:dyDescent="0.25">
      <c r="J54" s="389"/>
      <c r="K54" s="66" t="s">
        <v>415</v>
      </c>
      <c r="L54" s="64"/>
      <c r="M54" s="64"/>
      <c r="N54" s="64"/>
      <c r="O54" s="64"/>
    </row>
    <row r="55" spans="1:15" x14ac:dyDescent="0.25">
      <c r="J55" s="389"/>
      <c r="K55" s="66" t="s">
        <v>416</v>
      </c>
      <c r="L55" s="64"/>
      <c r="M55" s="64"/>
      <c r="N55" s="64"/>
      <c r="O55" s="64"/>
    </row>
    <row r="56" spans="1:15" x14ac:dyDescent="0.25">
      <c r="J56" s="389"/>
      <c r="K56" s="66" t="s">
        <v>417</v>
      </c>
      <c r="L56" s="64"/>
      <c r="M56" s="64"/>
      <c r="N56" s="64"/>
      <c r="O56" s="64"/>
    </row>
    <row r="57" spans="1:15" x14ac:dyDescent="0.25">
      <c r="J57" s="389"/>
      <c r="K57" s="66" t="s">
        <v>419</v>
      </c>
      <c r="L57" s="64"/>
      <c r="M57" s="64"/>
      <c r="N57" s="64"/>
      <c r="O57" s="64"/>
    </row>
    <row r="58" spans="1:15" x14ac:dyDescent="0.25">
      <c r="J58" s="389"/>
      <c r="K58" s="66" t="s">
        <v>420</v>
      </c>
      <c r="L58" s="64"/>
      <c r="M58" s="64"/>
      <c r="N58" s="64"/>
      <c r="O58" s="64"/>
    </row>
    <row r="59" spans="1:15" x14ac:dyDescent="0.25">
      <c r="J59" s="389"/>
      <c r="K59" s="66" t="s">
        <v>421</v>
      </c>
      <c r="L59" s="64"/>
      <c r="M59" s="64"/>
      <c r="N59" s="64"/>
      <c r="O59" s="64"/>
    </row>
    <row r="60" spans="1:15" x14ac:dyDescent="0.25">
      <c r="J60" s="389"/>
      <c r="K60" s="66" t="s">
        <v>422</v>
      </c>
      <c r="L60" s="64"/>
      <c r="M60" s="64"/>
      <c r="N60" s="64"/>
      <c r="O60" s="64"/>
    </row>
    <row r="61" spans="1:15" x14ac:dyDescent="0.25">
      <c r="J61" s="389"/>
      <c r="K61" s="66" t="s">
        <v>423</v>
      </c>
      <c r="L61" s="64"/>
      <c r="M61" s="64"/>
      <c r="N61" s="64"/>
      <c r="O61" s="64"/>
    </row>
    <row r="62" spans="1:15" x14ac:dyDescent="0.25">
      <c r="J62" s="389"/>
      <c r="K62" s="62" t="s">
        <v>424</v>
      </c>
      <c r="L62" s="62" t="e">
        <f>AVERAGE(L52:L61)</f>
        <v>#DIV/0!</v>
      </c>
      <c r="M62" s="62">
        <f>MAX(M52:M61)</f>
        <v>0</v>
      </c>
      <c r="N62" s="62" t="e">
        <f>AVERAGE(N52:N61)</f>
        <v>#DIV/0!</v>
      </c>
      <c r="O62" s="62">
        <f>MAX(O52:O61)</f>
        <v>0</v>
      </c>
    </row>
    <row r="64" spans="1:15" ht="41.4" x14ac:dyDescent="0.25">
      <c r="J64" s="61">
        <f>+A6</f>
        <v>2022</v>
      </c>
      <c r="K64" s="61" t="s">
        <v>406</v>
      </c>
      <c r="L64" s="67" t="s">
        <v>401</v>
      </c>
      <c r="M64" s="67" t="s">
        <v>407</v>
      </c>
      <c r="N64" s="67" t="s">
        <v>404</v>
      </c>
      <c r="O64" s="67" t="s">
        <v>408</v>
      </c>
    </row>
    <row r="65" spans="10:15" x14ac:dyDescent="0.25">
      <c r="J65" s="389" t="s">
        <v>196</v>
      </c>
      <c r="K65" s="66" t="s">
        <v>409</v>
      </c>
      <c r="L65" s="64"/>
      <c r="M65" s="64"/>
      <c r="N65" s="64"/>
      <c r="O65" s="64"/>
    </row>
    <row r="66" spans="10:15" x14ac:dyDescent="0.25">
      <c r="J66" s="389"/>
      <c r="K66" s="66" t="s">
        <v>410</v>
      </c>
      <c r="L66" s="64"/>
      <c r="M66" s="64"/>
      <c r="N66" s="64"/>
      <c r="O66" s="64"/>
    </row>
    <row r="67" spans="10:15" x14ac:dyDescent="0.25">
      <c r="J67" s="389"/>
      <c r="K67" s="66" t="s">
        <v>411</v>
      </c>
      <c r="L67" s="64"/>
      <c r="M67" s="64"/>
      <c r="N67" s="64"/>
      <c r="O67" s="64"/>
    </row>
    <row r="68" spans="10:15" x14ac:dyDescent="0.25">
      <c r="J68" s="389"/>
      <c r="K68" s="66" t="s">
        <v>413</v>
      </c>
      <c r="L68" s="64"/>
      <c r="M68" s="64"/>
      <c r="N68" s="64"/>
      <c r="O68" s="64"/>
    </row>
    <row r="69" spans="10:15" x14ac:dyDescent="0.25">
      <c r="J69" s="389"/>
      <c r="K69" s="66" t="s">
        <v>415</v>
      </c>
      <c r="L69" s="64"/>
      <c r="M69" s="64"/>
      <c r="N69" s="64"/>
      <c r="O69" s="64"/>
    </row>
    <row r="70" spans="10:15" x14ac:dyDescent="0.25">
      <c r="J70" s="389"/>
      <c r="K70" s="66" t="s">
        <v>416</v>
      </c>
      <c r="L70" s="64"/>
      <c r="M70" s="64"/>
      <c r="N70" s="64"/>
      <c r="O70" s="64"/>
    </row>
    <row r="71" spans="10:15" x14ac:dyDescent="0.25">
      <c r="J71" s="389"/>
      <c r="K71" s="66" t="s">
        <v>417</v>
      </c>
      <c r="L71" s="64"/>
      <c r="M71" s="64"/>
      <c r="N71" s="64"/>
      <c r="O71" s="64"/>
    </row>
    <row r="72" spans="10:15" x14ac:dyDescent="0.25">
      <c r="J72" s="389"/>
      <c r="K72" s="66" t="s">
        <v>419</v>
      </c>
      <c r="L72" s="64"/>
      <c r="M72" s="64"/>
      <c r="N72" s="64"/>
      <c r="O72" s="64"/>
    </row>
    <row r="73" spans="10:15" x14ac:dyDescent="0.25">
      <c r="J73" s="389"/>
      <c r="K73" s="66" t="s">
        <v>420</v>
      </c>
      <c r="L73" s="64"/>
      <c r="M73" s="64"/>
      <c r="N73" s="64"/>
      <c r="O73" s="64"/>
    </row>
    <row r="74" spans="10:15" x14ac:dyDescent="0.25">
      <c r="J74" s="389"/>
      <c r="K74" s="66" t="s">
        <v>421</v>
      </c>
      <c r="L74" s="64"/>
      <c r="M74" s="64"/>
      <c r="N74" s="64"/>
      <c r="O74" s="64"/>
    </row>
    <row r="75" spans="10:15" x14ac:dyDescent="0.25">
      <c r="J75" s="389"/>
      <c r="K75" s="66" t="s">
        <v>422</v>
      </c>
      <c r="L75" s="64"/>
      <c r="M75" s="64"/>
      <c r="N75" s="64"/>
      <c r="O75" s="64"/>
    </row>
    <row r="76" spans="10:15" x14ac:dyDescent="0.25">
      <c r="J76" s="389"/>
      <c r="K76" s="66" t="s">
        <v>423</v>
      </c>
      <c r="L76" s="64"/>
      <c r="M76" s="64"/>
      <c r="N76" s="64"/>
      <c r="O76" s="64"/>
    </row>
    <row r="77" spans="10:15" x14ac:dyDescent="0.25">
      <c r="J77" s="389"/>
      <c r="K77" s="62" t="s">
        <v>424</v>
      </c>
      <c r="L77" s="62" t="e">
        <f>AVERAGE(L65:L76)</f>
        <v>#DIV/0!</v>
      </c>
      <c r="M77" s="62">
        <f>MAX(M65:M76)</f>
        <v>0</v>
      </c>
      <c r="N77" s="62" t="e">
        <f>AVERAGE(N65:N76)</f>
        <v>#DIV/0!</v>
      </c>
      <c r="O77" s="62">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92D050"/>
    <pageSetUpPr fitToPage="1"/>
  </sheetPr>
  <dimension ref="A1:S79"/>
  <sheetViews>
    <sheetView workbookViewId="0">
      <selection activeCell="H14" sqref="H14"/>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Staffordshire Energy Recovery Facility</v>
      </c>
    </row>
    <row r="3" spans="1:19" ht="14.4" x14ac:dyDescent="0.3">
      <c r="A3" s="60" t="s">
        <v>437</v>
      </c>
      <c r="D3" s="76" t="s">
        <v>393</v>
      </c>
      <c r="G3" s="80" t="s">
        <v>394</v>
      </c>
      <c r="J3" s="9" t="str">
        <f>+A3</f>
        <v>Monitoring of Carbon Monoxide (half hourly)</v>
      </c>
      <c r="L3" s="9"/>
      <c r="N3" s="9" t="s">
        <v>395</v>
      </c>
      <c r="Q3" s="79" t="s">
        <v>3</v>
      </c>
      <c r="R3" s="74"/>
      <c r="S3" s="74"/>
    </row>
    <row r="4" spans="1:19" ht="13.95" customHeight="1" x14ac:dyDescent="0.25">
      <c r="Q4" s="365" t="s">
        <v>396</v>
      </c>
      <c r="R4" s="365"/>
      <c r="S4" s="365"/>
    </row>
    <row r="5" spans="1:19" ht="16.2" x14ac:dyDescent="0.25">
      <c r="A5" s="68" t="s">
        <v>397</v>
      </c>
      <c r="B5" s="391" t="s">
        <v>398</v>
      </c>
      <c r="C5" s="391"/>
      <c r="D5" s="391"/>
      <c r="E5" s="391" t="s">
        <v>399</v>
      </c>
      <c r="F5" s="391"/>
      <c r="G5" s="391"/>
      <c r="J5" s="390"/>
      <c r="K5" s="390"/>
      <c r="L5" s="390"/>
      <c r="M5" s="390"/>
      <c r="N5" s="390"/>
      <c r="O5" s="390"/>
      <c r="Q5" s="365"/>
      <c r="R5" s="365"/>
      <c r="S5" s="365"/>
    </row>
    <row r="6" spans="1:19" s="58" customFormat="1" ht="37.5" customHeight="1" x14ac:dyDescent="0.3">
      <c r="A6" s="65">
        <f>+'Cover Page'!C39</f>
        <v>2022</v>
      </c>
      <c r="B6" s="55" t="s">
        <v>438</v>
      </c>
      <c r="C6" s="55" t="s">
        <v>401</v>
      </c>
      <c r="D6" s="55" t="s">
        <v>402</v>
      </c>
      <c r="E6" s="55" t="s">
        <v>439</v>
      </c>
      <c r="F6" s="55" t="s">
        <v>404</v>
      </c>
      <c r="G6" s="55" t="s">
        <v>405</v>
      </c>
      <c r="H6" s="59"/>
      <c r="J6" s="61">
        <f>+A6</f>
        <v>2022</v>
      </c>
      <c r="K6" s="61" t="s">
        <v>406</v>
      </c>
      <c r="L6" s="67" t="s">
        <v>401</v>
      </c>
      <c r="M6" s="67" t="s">
        <v>407</v>
      </c>
      <c r="N6" s="67" t="s">
        <v>404</v>
      </c>
      <c r="O6" s="67" t="s">
        <v>408</v>
      </c>
      <c r="Q6" s="365"/>
      <c r="R6" s="365"/>
      <c r="S6" s="365"/>
    </row>
    <row r="7" spans="1:19" x14ac:dyDescent="0.25">
      <c r="A7" s="66" t="s">
        <v>409</v>
      </c>
      <c r="B7" s="69">
        <v>100</v>
      </c>
      <c r="C7" s="64"/>
      <c r="D7" s="64"/>
      <c r="E7" s="69">
        <v>50</v>
      </c>
      <c r="F7" s="64"/>
      <c r="G7" s="64"/>
      <c r="J7" s="389" t="s">
        <v>192</v>
      </c>
      <c r="K7" s="66" t="s">
        <v>409</v>
      </c>
      <c r="L7" s="64"/>
      <c r="M7" s="64"/>
      <c r="N7" s="64"/>
      <c r="O7" s="64"/>
      <c r="Q7" s="365"/>
      <c r="R7" s="365"/>
      <c r="S7" s="365"/>
    </row>
    <row r="8" spans="1:19" x14ac:dyDescent="0.25">
      <c r="A8" s="66" t="s">
        <v>410</v>
      </c>
      <c r="B8" s="63">
        <f>+B7</f>
        <v>100</v>
      </c>
      <c r="C8" s="64"/>
      <c r="D8" s="64"/>
      <c r="E8" s="63">
        <f>+E7</f>
        <v>50</v>
      </c>
      <c r="F8" s="64"/>
      <c r="G8" s="64"/>
      <c r="J8" s="389"/>
      <c r="K8" s="66" t="s">
        <v>410</v>
      </c>
      <c r="L8" s="64"/>
      <c r="M8" s="64"/>
      <c r="N8" s="64"/>
      <c r="O8" s="64"/>
      <c r="Q8" s="365"/>
      <c r="R8" s="365"/>
      <c r="S8" s="365"/>
    </row>
    <row r="9" spans="1:19" x14ac:dyDescent="0.25">
      <c r="A9" s="66" t="s">
        <v>411</v>
      </c>
      <c r="B9" s="63">
        <f t="shared" ref="B9:B18" si="0">+B8</f>
        <v>100</v>
      </c>
      <c r="C9" s="64"/>
      <c r="D9" s="64"/>
      <c r="E9" s="63">
        <f t="shared" ref="E9:E18" si="1">+E8</f>
        <v>50</v>
      </c>
      <c r="F9" s="64"/>
      <c r="G9" s="64"/>
      <c r="J9" s="389"/>
      <c r="K9" s="66" t="s">
        <v>411</v>
      </c>
      <c r="L9" s="64"/>
      <c r="M9" s="64"/>
      <c r="N9" s="64"/>
      <c r="O9" s="64"/>
      <c r="Q9" s="78" t="s">
        <v>412</v>
      </c>
    </row>
    <row r="10" spans="1:19" ht="14.25" customHeight="1" x14ac:dyDescent="0.25">
      <c r="A10" s="66" t="s">
        <v>413</v>
      </c>
      <c r="B10" s="63">
        <f t="shared" si="0"/>
        <v>100</v>
      </c>
      <c r="C10" s="64"/>
      <c r="D10" s="64"/>
      <c r="E10" s="63">
        <f t="shared" si="1"/>
        <v>50</v>
      </c>
      <c r="F10" s="64"/>
      <c r="G10" s="64"/>
      <c r="J10" s="389"/>
      <c r="K10" s="66" t="s">
        <v>413</v>
      </c>
      <c r="L10" s="64"/>
      <c r="M10" s="64"/>
      <c r="N10" s="64"/>
      <c r="O10" s="64"/>
      <c r="Q10" s="388" t="s">
        <v>414</v>
      </c>
      <c r="R10" s="388"/>
      <c r="S10" s="388"/>
    </row>
    <row r="11" spans="1:19" x14ac:dyDescent="0.25">
      <c r="A11" s="66" t="s">
        <v>415</v>
      </c>
      <c r="B11" s="63">
        <f t="shared" si="0"/>
        <v>100</v>
      </c>
      <c r="C11" s="64"/>
      <c r="D11" s="64"/>
      <c r="E11" s="63">
        <f t="shared" si="1"/>
        <v>50</v>
      </c>
      <c r="F11" s="64"/>
      <c r="G11" s="64"/>
      <c r="J11" s="389"/>
      <c r="K11" s="66" t="s">
        <v>415</v>
      </c>
      <c r="L11" s="64"/>
      <c r="M11" s="64"/>
      <c r="N11" s="64"/>
      <c r="O11" s="64"/>
      <c r="Q11" s="388"/>
      <c r="R11" s="388"/>
      <c r="S11" s="388"/>
    </row>
    <row r="12" spans="1:19" x14ac:dyDescent="0.25">
      <c r="A12" s="66" t="s">
        <v>416</v>
      </c>
      <c r="B12" s="63">
        <f t="shared" si="0"/>
        <v>100</v>
      </c>
      <c r="C12" s="64"/>
      <c r="D12" s="64"/>
      <c r="E12" s="63">
        <f t="shared" si="1"/>
        <v>50</v>
      </c>
      <c r="F12" s="64"/>
      <c r="G12" s="64"/>
      <c r="J12" s="389"/>
      <c r="K12" s="66" t="s">
        <v>416</v>
      </c>
      <c r="L12" s="64"/>
      <c r="M12" s="64"/>
      <c r="N12" s="64"/>
      <c r="O12" s="64"/>
      <c r="Q12" s="388"/>
      <c r="R12" s="388"/>
      <c r="S12" s="388"/>
    </row>
    <row r="13" spans="1:19" ht="14.25" customHeight="1" x14ac:dyDescent="0.25">
      <c r="A13" s="66" t="s">
        <v>417</v>
      </c>
      <c r="B13" s="63">
        <f t="shared" si="0"/>
        <v>100</v>
      </c>
      <c r="C13" s="64"/>
      <c r="D13" s="64"/>
      <c r="E13" s="63">
        <f t="shared" si="1"/>
        <v>50</v>
      </c>
      <c r="F13" s="64"/>
      <c r="G13" s="64"/>
      <c r="J13" s="389"/>
      <c r="K13" s="66" t="s">
        <v>417</v>
      </c>
      <c r="L13" s="64"/>
      <c r="M13" s="64"/>
      <c r="N13" s="64"/>
      <c r="O13" s="64"/>
      <c r="Q13" s="388" t="s">
        <v>418</v>
      </c>
      <c r="R13" s="388"/>
      <c r="S13" s="388"/>
    </row>
    <row r="14" spans="1:19" x14ac:dyDescent="0.25">
      <c r="A14" s="66" t="s">
        <v>419</v>
      </c>
      <c r="B14" s="63">
        <f t="shared" si="0"/>
        <v>100</v>
      </c>
      <c r="C14" s="64"/>
      <c r="D14" s="64"/>
      <c r="E14" s="63">
        <f t="shared" si="1"/>
        <v>50</v>
      </c>
      <c r="F14" s="64"/>
      <c r="G14" s="64"/>
      <c r="J14" s="389"/>
      <c r="K14" s="66" t="s">
        <v>419</v>
      </c>
      <c r="L14" s="64"/>
      <c r="M14" s="64"/>
      <c r="N14" s="64"/>
      <c r="O14" s="64"/>
      <c r="Q14" s="388"/>
      <c r="R14" s="388"/>
      <c r="S14" s="388"/>
    </row>
    <row r="15" spans="1:19" x14ac:dyDescent="0.25">
      <c r="A15" s="66" t="s">
        <v>420</v>
      </c>
      <c r="B15" s="63">
        <f t="shared" si="0"/>
        <v>100</v>
      </c>
      <c r="C15" s="64"/>
      <c r="D15" s="64"/>
      <c r="E15" s="63">
        <f t="shared" si="1"/>
        <v>50</v>
      </c>
      <c r="F15" s="64"/>
      <c r="G15" s="64"/>
      <c r="J15" s="389"/>
      <c r="K15" s="66" t="s">
        <v>420</v>
      </c>
      <c r="L15" s="64"/>
      <c r="M15" s="64"/>
      <c r="N15" s="64"/>
      <c r="O15" s="64"/>
      <c r="Q15" s="388"/>
      <c r="R15" s="388"/>
      <c r="S15" s="388"/>
    </row>
    <row r="16" spans="1:19" x14ac:dyDescent="0.25">
      <c r="A16" s="66" t="s">
        <v>421</v>
      </c>
      <c r="B16" s="63">
        <f t="shared" si="0"/>
        <v>100</v>
      </c>
      <c r="C16" s="64"/>
      <c r="D16" s="64"/>
      <c r="E16" s="63">
        <f t="shared" si="1"/>
        <v>50</v>
      </c>
      <c r="F16" s="64"/>
      <c r="G16" s="64"/>
      <c r="J16" s="389"/>
      <c r="K16" s="66" t="s">
        <v>421</v>
      </c>
      <c r="L16" s="64"/>
      <c r="M16" s="64"/>
      <c r="N16" s="64"/>
      <c r="O16" s="64"/>
      <c r="Q16" s="388"/>
      <c r="R16" s="388"/>
      <c r="S16" s="388"/>
    </row>
    <row r="17" spans="1:15" x14ac:dyDescent="0.25">
      <c r="A17" s="66" t="s">
        <v>422</v>
      </c>
      <c r="B17" s="63">
        <f t="shared" si="0"/>
        <v>100</v>
      </c>
      <c r="C17" s="64"/>
      <c r="D17" s="64"/>
      <c r="E17" s="63">
        <f t="shared" si="1"/>
        <v>50</v>
      </c>
      <c r="F17" s="64"/>
      <c r="G17" s="64"/>
      <c r="J17" s="389"/>
      <c r="K17" s="66" t="s">
        <v>422</v>
      </c>
      <c r="L17" s="64"/>
      <c r="M17" s="64"/>
      <c r="N17" s="64"/>
      <c r="O17" s="64"/>
    </row>
    <row r="18" spans="1:15" x14ac:dyDescent="0.25">
      <c r="A18" s="66" t="s">
        <v>423</v>
      </c>
      <c r="B18" s="63">
        <f t="shared" si="0"/>
        <v>100</v>
      </c>
      <c r="C18" s="64"/>
      <c r="D18" s="64"/>
      <c r="E18" s="63">
        <f t="shared" si="1"/>
        <v>50</v>
      </c>
      <c r="F18" s="64"/>
      <c r="G18" s="64"/>
      <c r="J18" s="389"/>
      <c r="K18" s="66" t="s">
        <v>423</v>
      </c>
      <c r="L18" s="64"/>
      <c r="M18" s="64"/>
      <c r="N18" s="64"/>
      <c r="O18" s="64"/>
    </row>
    <row r="19" spans="1:15" x14ac:dyDescent="0.25">
      <c r="J19" s="389"/>
      <c r="K19" s="62" t="s">
        <v>424</v>
      </c>
      <c r="L19" s="62" t="e">
        <f>AVERAGE(L7:L18)</f>
        <v>#DIV/0!</v>
      </c>
      <c r="M19" s="62">
        <f>MAX(M7:M18)</f>
        <v>0</v>
      </c>
      <c r="N19" s="62" t="e">
        <f>AVERAGE(N7:N18)</f>
        <v>#DIV/0!</v>
      </c>
      <c r="O19" s="62">
        <f>MAX(O7:O18)</f>
        <v>0</v>
      </c>
    </row>
    <row r="21" spans="1:15" ht="41.4" x14ac:dyDescent="0.25">
      <c r="J21" s="61">
        <f>+A6</f>
        <v>2022</v>
      </c>
      <c r="K21" s="61" t="s">
        <v>406</v>
      </c>
      <c r="L21" s="67" t="s">
        <v>401</v>
      </c>
      <c r="M21" s="67" t="s">
        <v>407</v>
      </c>
      <c r="N21" s="67" t="s">
        <v>404</v>
      </c>
      <c r="O21" s="67" t="s">
        <v>408</v>
      </c>
    </row>
    <row r="22" spans="1:15" x14ac:dyDescent="0.25">
      <c r="J22" s="389" t="s">
        <v>193</v>
      </c>
      <c r="K22" s="66" t="s">
        <v>409</v>
      </c>
      <c r="L22" s="64"/>
      <c r="M22" s="64"/>
      <c r="N22" s="64"/>
      <c r="O22" s="64"/>
    </row>
    <row r="23" spans="1:15" x14ac:dyDescent="0.25">
      <c r="J23" s="389"/>
      <c r="K23" s="66" t="s">
        <v>410</v>
      </c>
      <c r="L23" s="64"/>
      <c r="M23" s="64"/>
      <c r="N23" s="64"/>
      <c r="O23" s="64"/>
    </row>
    <row r="24" spans="1:15" x14ac:dyDescent="0.25">
      <c r="J24" s="389"/>
      <c r="K24" s="66" t="s">
        <v>411</v>
      </c>
      <c r="L24" s="64"/>
      <c r="M24" s="64"/>
      <c r="N24" s="64"/>
      <c r="O24" s="64"/>
    </row>
    <row r="25" spans="1:15" x14ac:dyDescent="0.25">
      <c r="J25" s="389"/>
      <c r="K25" s="66" t="s">
        <v>413</v>
      </c>
      <c r="L25" s="64"/>
      <c r="M25" s="64"/>
      <c r="N25" s="64"/>
      <c r="O25" s="64"/>
    </row>
    <row r="26" spans="1:15" x14ac:dyDescent="0.25">
      <c r="J26" s="389"/>
      <c r="K26" s="66" t="s">
        <v>415</v>
      </c>
      <c r="L26" s="64"/>
      <c r="M26" s="64"/>
      <c r="N26" s="64"/>
      <c r="O26" s="64"/>
    </row>
    <row r="27" spans="1:15" x14ac:dyDescent="0.25">
      <c r="J27" s="389"/>
      <c r="K27" s="66" t="s">
        <v>416</v>
      </c>
      <c r="L27" s="64"/>
      <c r="M27" s="64"/>
      <c r="N27" s="64"/>
      <c r="O27" s="64"/>
    </row>
    <row r="28" spans="1:15" x14ac:dyDescent="0.25">
      <c r="J28" s="389"/>
      <c r="K28" s="66" t="s">
        <v>417</v>
      </c>
      <c r="L28" s="64"/>
      <c r="M28" s="64"/>
      <c r="N28" s="64"/>
      <c r="O28" s="64"/>
    </row>
    <row r="29" spans="1:15" x14ac:dyDescent="0.25">
      <c r="J29" s="389"/>
      <c r="K29" s="66" t="s">
        <v>419</v>
      </c>
      <c r="L29" s="64"/>
      <c r="M29" s="64"/>
      <c r="N29" s="64"/>
      <c r="O29" s="64"/>
    </row>
    <row r="30" spans="1:15" x14ac:dyDescent="0.25">
      <c r="J30" s="389"/>
      <c r="K30" s="66" t="s">
        <v>420</v>
      </c>
      <c r="L30" s="64"/>
      <c r="M30" s="64"/>
      <c r="N30" s="64"/>
      <c r="O30" s="64"/>
    </row>
    <row r="31" spans="1:15" x14ac:dyDescent="0.25">
      <c r="J31" s="389"/>
      <c r="K31" s="66" t="s">
        <v>421</v>
      </c>
      <c r="L31" s="64"/>
      <c r="M31" s="64"/>
      <c r="N31" s="64"/>
      <c r="O31" s="64"/>
    </row>
    <row r="32" spans="1:15" x14ac:dyDescent="0.25">
      <c r="J32" s="389"/>
      <c r="K32" s="66" t="s">
        <v>422</v>
      </c>
      <c r="L32" s="64"/>
      <c r="M32" s="64"/>
      <c r="N32" s="64"/>
      <c r="O32" s="64"/>
    </row>
    <row r="33" spans="1:15" x14ac:dyDescent="0.25">
      <c r="J33" s="389"/>
      <c r="K33" s="66" t="s">
        <v>423</v>
      </c>
      <c r="L33" s="64"/>
      <c r="M33" s="64"/>
      <c r="N33" s="64"/>
      <c r="O33" s="64"/>
    </row>
    <row r="34" spans="1:15" x14ac:dyDescent="0.25">
      <c r="J34" s="389"/>
      <c r="K34" s="62" t="s">
        <v>424</v>
      </c>
      <c r="L34" s="62" t="e">
        <f>AVERAGE(L22:L33)</f>
        <v>#DIV/0!</v>
      </c>
      <c r="M34" s="62">
        <f>MAX(M22:M33)</f>
        <v>0</v>
      </c>
      <c r="N34" s="62" t="e">
        <f>AVERAGE(N22:N33)</f>
        <v>#DIV/0!</v>
      </c>
      <c r="O34" s="62">
        <f>MAX(O22:O33)</f>
        <v>0</v>
      </c>
    </row>
    <row r="36" spans="1:15" ht="41.4" x14ac:dyDescent="0.25">
      <c r="J36" s="61">
        <f>+A6</f>
        <v>2022</v>
      </c>
      <c r="K36" s="61" t="s">
        <v>406</v>
      </c>
      <c r="L36" s="67" t="s">
        <v>401</v>
      </c>
      <c r="M36" s="67" t="s">
        <v>407</v>
      </c>
      <c r="N36" s="67" t="s">
        <v>404</v>
      </c>
      <c r="O36" s="67" t="s">
        <v>408</v>
      </c>
    </row>
    <row r="37" spans="1:15" x14ac:dyDescent="0.25">
      <c r="J37" s="389" t="s">
        <v>194</v>
      </c>
      <c r="K37" s="66" t="s">
        <v>409</v>
      </c>
      <c r="L37" s="64"/>
      <c r="M37" s="64"/>
      <c r="N37" s="64"/>
      <c r="O37" s="64"/>
    </row>
    <row r="38" spans="1:15" x14ac:dyDescent="0.25">
      <c r="J38" s="389"/>
      <c r="K38" s="66" t="s">
        <v>410</v>
      </c>
      <c r="L38" s="64"/>
      <c r="M38" s="64"/>
      <c r="N38" s="64"/>
      <c r="O38" s="64"/>
    </row>
    <row r="39" spans="1:15" x14ac:dyDescent="0.25">
      <c r="J39" s="389"/>
      <c r="K39" s="66" t="s">
        <v>411</v>
      </c>
      <c r="L39" s="64"/>
      <c r="M39" s="64"/>
      <c r="N39" s="64"/>
      <c r="O39" s="64"/>
    </row>
    <row r="40" spans="1:15" x14ac:dyDescent="0.25">
      <c r="J40" s="389"/>
      <c r="K40" s="66" t="s">
        <v>413</v>
      </c>
      <c r="L40" s="64"/>
      <c r="M40" s="64"/>
      <c r="N40" s="64"/>
      <c r="O40" s="64"/>
    </row>
    <row r="41" spans="1:15" x14ac:dyDescent="0.25">
      <c r="J41" s="389"/>
      <c r="K41" s="66" t="s">
        <v>415</v>
      </c>
      <c r="L41" s="64"/>
      <c r="M41" s="64"/>
      <c r="N41" s="64"/>
      <c r="O41" s="64"/>
    </row>
    <row r="42" spans="1:15" x14ac:dyDescent="0.25">
      <c r="J42" s="389"/>
      <c r="K42" s="66" t="s">
        <v>416</v>
      </c>
      <c r="L42" s="64"/>
      <c r="M42" s="64"/>
      <c r="N42" s="64"/>
      <c r="O42" s="64"/>
    </row>
    <row r="43" spans="1:15" x14ac:dyDescent="0.25">
      <c r="J43" s="389"/>
      <c r="K43" s="66" t="s">
        <v>417</v>
      </c>
      <c r="L43" s="64"/>
      <c r="M43" s="64"/>
      <c r="N43" s="64"/>
      <c r="O43" s="64"/>
    </row>
    <row r="44" spans="1:15" x14ac:dyDescent="0.25">
      <c r="J44" s="389"/>
      <c r="K44" s="66" t="s">
        <v>419</v>
      </c>
      <c r="L44" s="64"/>
      <c r="M44" s="64"/>
      <c r="N44" s="64"/>
      <c r="O44" s="64"/>
    </row>
    <row r="45" spans="1:15" x14ac:dyDescent="0.25">
      <c r="J45" s="389"/>
      <c r="K45" s="66" t="s">
        <v>420</v>
      </c>
      <c r="L45" s="64"/>
      <c r="M45" s="64"/>
      <c r="N45" s="64"/>
      <c r="O45" s="64"/>
    </row>
    <row r="46" spans="1:15" x14ac:dyDescent="0.25">
      <c r="J46" s="389"/>
      <c r="K46" s="66" t="s">
        <v>421</v>
      </c>
      <c r="L46" s="64"/>
      <c r="M46" s="64"/>
      <c r="N46" s="64"/>
      <c r="O46" s="64"/>
    </row>
    <row r="47" spans="1:15" x14ac:dyDescent="0.25">
      <c r="J47" s="389"/>
      <c r="K47" s="66" t="s">
        <v>422</v>
      </c>
      <c r="L47" s="64"/>
      <c r="M47" s="64"/>
      <c r="N47" s="64"/>
      <c r="O47" s="64"/>
    </row>
    <row r="48" spans="1:15" x14ac:dyDescent="0.25">
      <c r="A48" s="401" t="s">
        <v>304</v>
      </c>
      <c r="B48" s="402"/>
      <c r="C48" s="402"/>
      <c r="D48" s="402"/>
      <c r="E48" s="402"/>
      <c r="F48" s="402"/>
      <c r="G48" s="403"/>
      <c r="J48" s="389"/>
      <c r="K48" s="66" t="s">
        <v>423</v>
      </c>
      <c r="L48" s="64"/>
      <c r="M48" s="64"/>
      <c r="N48" s="64"/>
      <c r="O48" s="64"/>
    </row>
    <row r="49" spans="1:15" x14ac:dyDescent="0.25">
      <c r="A49" s="392"/>
      <c r="B49" s="393"/>
      <c r="C49" s="393"/>
      <c r="D49" s="393"/>
      <c r="E49" s="393"/>
      <c r="F49" s="393"/>
      <c r="G49" s="394"/>
      <c r="J49" s="389"/>
      <c r="K49" s="62" t="s">
        <v>424</v>
      </c>
      <c r="L49" s="62" t="e">
        <f>AVERAGE(L37:L48)</f>
        <v>#DIV/0!</v>
      </c>
      <c r="M49" s="62">
        <f>MAX(M37:M48)</f>
        <v>0</v>
      </c>
      <c r="N49" s="62" t="e">
        <f>AVERAGE(N37:N48)</f>
        <v>#DIV/0!</v>
      </c>
      <c r="O49" s="62">
        <f>MAX(O37:O48)</f>
        <v>0</v>
      </c>
    </row>
    <row r="50" spans="1:15" x14ac:dyDescent="0.25">
      <c r="A50" s="395"/>
      <c r="B50" s="396"/>
      <c r="C50" s="396"/>
      <c r="D50" s="396"/>
      <c r="E50" s="396"/>
      <c r="F50" s="396"/>
      <c r="G50" s="397"/>
    </row>
    <row r="51" spans="1:15" ht="41.4" x14ac:dyDescent="0.25">
      <c r="A51" s="395"/>
      <c r="B51" s="396"/>
      <c r="C51" s="396"/>
      <c r="D51" s="396"/>
      <c r="E51" s="396"/>
      <c r="F51" s="396"/>
      <c r="G51" s="397"/>
      <c r="J51" s="61">
        <f>+A6</f>
        <v>2022</v>
      </c>
      <c r="K51" s="61" t="s">
        <v>406</v>
      </c>
      <c r="L51" s="67" t="s">
        <v>401</v>
      </c>
      <c r="M51" s="67" t="s">
        <v>407</v>
      </c>
      <c r="N51" s="67" t="s">
        <v>404</v>
      </c>
      <c r="O51" s="67" t="s">
        <v>408</v>
      </c>
    </row>
    <row r="52" spans="1:15" x14ac:dyDescent="0.25">
      <c r="A52" s="398"/>
      <c r="B52" s="399"/>
      <c r="C52" s="399"/>
      <c r="D52" s="399"/>
      <c r="E52" s="399"/>
      <c r="F52" s="399"/>
      <c r="G52" s="400"/>
      <c r="J52" s="389" t="s">
        <v>195</v>
      </c>
      <c r="K52" s="66" t="s">
        <v>409</v>
      </c>
      <c r="L52" s="64"/>
      <c r="M52" s="64"/>
      <c r="N52" s="64"/>
      <c r="O52" s="64"/>
    </row>
    <row r="53" spans="1:15" x14ac:dyDescent="0.25">
      <c r="J53" s="389"/>
      <c r="K53" s="66" t="s">
        <v>410</v>
      </c>
      <c r="L53" s="64"/>
      <c r="M53" s="64"/>
      <c r="N53" s="64"/>
      <c r="O53" s="64"/>
    </row>
    <row r="54" spans="1:15" x14ac:dyDescent="0.25">
      <c r="J54" s="389"/>
      <c r="K54" s="66" t="s">
        <v>411</v>
      </c>
      <c r="L54" s="64"/>
      <c r="M54" s="64"/>
      <c r="N54" s="64"/>
      <c r="O54" s="64"/>
    </row>
    <row r="55" spans="1:15" x14ac:dyDescent="0.25">
      <c r="J55" s="389"/>
      <c r="K55" s="66" t="s">
        <v>413</v>
      </c>
      <c r="L55" s="64"/>
      <c r="M55" s="64"/>
      <c r="N55" s="64"/>
      <c r="O55" s="64"/>
    </row>
    <row r="56" spans="1:15" x14ac:dyDescent="0.25">
      <c r="J56" s="389"/>
      <c r="K56" s="66" t="s">
        <v>415</v>
      </c>
      <c r="L56" s="64"/>
      <c r="M56" s="64"/>
      <c r="N56" s="64"/>
      <c r="O56" s="64"/>
    </row>
    <row r="57" spans="1:15" x14ac:dyDescent="0.25">
      <c r="J57" s="389"/>
      <c r="K57" s="66" t="s">
        <v>416</v>
      </c>
      <c r="L57" s="64"/>
      <c r="M57" s="64"/>
      <c r="N57" s="64"/>
      <c r="O57" s="64"/>
    </row>
    <row r="58" spans="1:15" x14ac:dyDescent="0.25">
      <c r="J58" s="389"/>
      <c r="K58" s="66" t="s">
        <v>417</v>
      </c>
      <c r="L58" s="64"/>
      <c r="M58" s="64"/>
      <c r="N58" s="64"/>
      <c r="O58" s="64"/>
    </row>
    <row r="59" spans="1:15" x14ac:dyDescent="0.25">
      <c r="J59" s="389"/>
      <c r="K59" s="66" t="s">
        <v>419</v>
      </c>
      <c r="L59" s="64"/>
      <c r="M59" s="64"/>
      <c r="N59" s="64"/>
      <c r="O59" s="64"/>
    </row>
    <row r="60" spans="1:15" x14ac:dyDescent="0.25">
      <c r="J60" s="389"/>
      <c r="K60" s="66" t="s">
        <v>420</v>
      </c>
      <c r="L60" s="64"/>
      <c r="M60" s="64"/>
      <c r="N60" s="64"/>
      <c r="O60" s="64"/>
    </row>
    <row r="61" spans="1:15" x14ac:dyDescent="0.25">
      <c r="J61" s="389"/>
      <c r="K61" s="66" t="s">
        <v>421</v>
      </c>
      <c r="L61" s="64"/>
      <c r="M61" s="64"/>
      <c r="N61" s="64"/>
      <c r="O61" s="64"/>
    </row>
    <row r="62" spans="1:15" x14ac:dyDescent="0.25">
      <c r="J62" s="389"/>
      <c r="K62" s="66" t="s">
        <v>422</v>
      </c>
      <c r="L62" s="64"/>
      <c r="M62" s="64"/>
      <c r="N62" s="64"/>
      <c r="O62" s="64"/>
    </row>
    <row r="63" spans="1:15" x14ac:dyDescent="0.25">
      <c r="J63" s="389"/>
      <c r="K63" s="66" t="s">
        <v>423</v>
      </c>
      <c r="L63" s="64"/>
      <c r="M63" s="64"/>
      <c r="N63" s="64"/>
      <c r="O63" s="64"/>
    </row>
    <row r="64" spans="1:15" x14ac:dyDescent="0.25">
      <c r="J64" s="389"/>
      <c r="K64" s="62" t="s">
        <v>424</v>
      </c>
      <c r="L64" s="62" t="e">
        <f>AVERAGE(L52:L63)</f>
        <v>#DIV/0!</v>
      </c>
      <c r="M64" s="62">
        <f>MAX(M52:M63)</f>
        <v>0</v>
      </c>
      <c r="N64" s="62" t="e">
        <f>AVERAGE(N52:N63)</f>
        <v>#DIV/0!</v>
      </c>
      <c r="O64" s="62">
        <f>MAX(O52:O63)</f>
        <v>0</v>
      </c>
    </row>
    <row r="66" spans="10:15" ht="41.4" x14ac:dyDescent="0.25">
      <c r="J66" s="61">
        <f>+A6</f>
        <v>2022</v>
      </c>
      <c r="K66" s="61" t="s">
        <v>406</v>
      </c>
      <c r="L66" s="67" t="s">
        <v>401</v>
      </c>
      <c r="M66" s="67" t="s">
        <v>407</v>
      </c>
      <c r="N66" s="67" t="s">
        <v>404</v>
      </c>
      <c r="O66" s="67" t="s">
        <v>408</v>
      </c>
    </row>
    <row r="67" spans="10:15" x14ac:dyDescent="0.25">
      <c r="J67" s="389" t="s">
        <v>196</v>
      </c>
      <c r="K67" s="66" t="s">
        <v>409</v>
      </c>
      <c r="L67" s="64"/>
      <c r="M67" s="64"/>
      <c r="N67" s="64"/>
      <c r="O67" s="64"/>
    </row>
    <row r="68" spans="10:15" x14ac:dyDescent="0.25">
      <c r="J68" s="389"/>
      <c r="K68" s="66" t="s">
        <v>410</v>
      </c>
      <c r="L68" s="64"/>
      <c r="M68" s="64"/>
      <c r="N68" s="64"/>
      <c r="O68" s="64"/>
    </row>
    <row r="69" spans="10:15" x14ac:dyDescent="0.25">
      <c r="J69" s="389"/>
      <c r="K69" s="66" t="s">
        <v>411</v>
      </c>
      <c r="L69" s="64"/>
      <c r="M69" s="64"/>
      <c r="N69" s="64"/>
      <c r="O69" s="64"/>
    </row>
    <row r="70" spans="10:15" x14ac:dyDescent="0.25">
      <c r="J70" s="389"/>
      <c r="K70" s="66" t="s">
        <v>413</v>
      </c>
      <c r="L70" s="64"/>
      <c r="M70" s="64"/>
      <c r="N70" s="64"/>
      <c r="O70" s="64"/>
    </row>
    <row r="71" spans="10:15" x14ac:dyDescent="0.25">
      <c r="J71" s="389"/>
      <c r="K71" s="66" t="s">
        <v>415</v>
      </c>
      <c r="L71" s="64"/>
      <c r="M71" s="64"/>
      <c r="N71" s="64"/>
      <c r="O71" s="64"/>
    </row>
    <row r="72" spans="10:15" x14ac:dyDescent="0.25">
      <c r="J72" s="389"/>
      <c r="K72" s="66" t="s">
        <v>416</v>
      </c>
      <c r="L72" s="64"/>
      <c r="M72" s="64"/>
      <c r="N72" s="64"/>
      <c r="O72" s="64"/>
    </row>
    <row r="73" spans="10:15" x14ac:dyDescent="0.25">
      <c r="J73" s="389"/>
      <c r="K73" s="66" t="s">
        <v>417</v>
      </c>
      <c r="L73" s="64"/>
      <c r="M73" s="64"/>
      <c r="N73" s="64"/>
      <c r="O73" s="64"/>
    </row>
    <row r="74" spans="10:15" x14ac:dyDescent="0.25">
      <c r="J74" s="389"/>
      <c r="K74" s="66" t="s">
        <v>419</v>
      </c>
      <c r="L74" s="64"/>
      <c r="M74" s="64"/>
      <c r="N74" s="64"/>
      <c r="O74" s="64"/>
    </row>
    <row r="75" spans="10:15" x14ac:dyDescent="0.25">
      <c r="J75" s="389"/>
      <c r="K75" s="66" t="s">
        <v>420</v>
      </c>
      <c r="L75" s="64"/>
      <c r="M75" s="64"/>
      <c r="N75" s="64"/>
      <c r="O75" s="64"/>
    </row>
    <row r="76" spans="10:15" x14ac:dyDescent="0.25">
      <c r="J76" s="389"/>
      <c r="K76" s="66" t="s">
        <v>421</v>
      </c>
      <c r="L76" s="64"/>
      <c r="M76" s="64"/>
      <c r="N76" s="64"/>
      <c r="O76" s="64"/>
    </row>
    <row r="77" spans="10:15" x14ac:dyDescent="0.25">
      <c r="J77" s="389"/>
      <c r="K77" s="66" t="s">
        <v>422</v>
      </c>
      <c r="L77" s="64"/>
      <c r="M77" s="64"/>
      <c r="N77" s="64"/>
      <c r="O77" s="64"/>
    </row>
    <row r="78" spans="10:15" x14ac:dyDescent="0.25">
      <c r="J78" s="389"/>
      <c r="K78" s="66" t="s">
        <v>423</v>
      </c>
      <c r="L78" s="64"/>
      <c r="M78" s="64"/>
      <c r="N78" s="64"/>
      <c r="O78" s="64"/>
    </row>
    <row r="79" spans="10:15" x14ac:dyDescent="0.25">
      <c r="J79" s="389"/>
      <c r="K79" s="62" t="s">
        <v>424</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92D050"/>
    <pageSetUpPr fitToPage="1"/>
  </sheetPr>
  <dimension ref="A1:U77"/>
  <sheetViews>
    <sheetView topLeftCell="G16" workbookViewId="0">
      <selection activeCell="F55" sqref="F55"/>
    </sheetView>
  </sheetViews>
  <sheetFormatPr defaultRowHeight="13.8" x14ac:dyDescent="0.25"/>
  <cols>
    <col min="1" max="1" width="14" style="3" customWidth="1"/>
    <col min="2" max="2" width="12.6640625" style="35" customWidth="1"/>
    <col min="3" max="3" width="15.33203125" style="35" customWidth="1"/>
    <col min="4" max="4" width="17.6640625" style="35" customWidth="1"/>
    <col min="5" max="5" width="14.6640625" style="35" customWidth="1"/>
    <col min="6" max="6" width="11.5546875" style="35" customWidth="1"/>
    <col min="7" max="7" width="15" style="35" customWidth="1"/>
    <col min="8" max="8" width="14.6640625" style="35"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2" t="str">
        <f>+'Cover Page'!$B$29</f>
        <v>Annual Performance Report 2022</v>
      </c>
      <c r="B1" s="92"/>
      <c r="C1" s="92"/>
      <c r="D1" s="92"/>
      <c r="E1" s="92" t="str">
        <f>+'Cover Page'!$B$33</f>
        <v>Staffordshire Energy Recovery Facility</v>
      </c>
    </row>
    <row r="3" spans="1:21" ht="14.4" x14ac:dyDescent="0.3">
      <c r="A3" s="60" t="s">
        <v>440</v>
      </c>
      <c r="E3" s="76" t="s">
        <v>393</v>
      </c>
      <c r="H3" s="80" t="s">
        <v>441</v>
      </c>
      <c r="J3" s="9" t="str">
        <f>+A3</f>
        <v>Monitoring of Carbon Monoxide (10-minute avg)</v>
      </c>
      <c r="L3" s="9"/>
      <c r="O3" s="9" t="s">
        <v>395</v>
      </c>
      <c r="Q3" s="77" t="s">
        <v>3</v>
      </c>
      <c r="S3" s="79" t="s">
        <v>3</v>
      </c>
      <c r="T3" s="74"/>
      <c r="U3" s="74"/>
    </row>
    <row r="4" spans="1:21" ht="13.95" customHeight="1" x14ac:dyDescent="0.25">
      <c r="S4" s="365" t="s">
        <v>442</v>
      </c>
      <c r="T4" s="365"/>
      <c r="U4" s="365"/>
    </row>
    <row r="5" spans="1:21" ht="16.2" x14ac:dyDescent="0.25">
      <c r="A5" s="68" t="s">
        <v>397</v>
      </c>
      <c r="B5" s="391" t="s">
        <v>443</v>
      </c>
      <c r="C5" s="391"/>
      <c r="D5" s="391"/>
      <c r="E5" s="391"/>
      <c r="F5" s="391" t="s">
        <v>399</v>
      </c>
      <c r="G5" s="391"/>
      <c r="H5" s="391"/>
      <c r="K5" s="390"/>
      <c r="L5" s="390"/>
      <c r="M5" s="390"/>
      <c r="N5" s="390"/>
      <c r="O5" s="390"/>
      <c r="P5" s="390"/>
      <c r="Q5" s="390"/>
      <c r="S5" s="365"/>
      <c r="T5" s="365"/>
      <c r="U5" s="365"/>
    </row>
    <row r="6" spans="1:21" s="58" customFormat="1" ht="37.5" customHeight="1" x14ac:dyDescent="0.3">
      <c r="A6" s="65">
        <f>+'Cover Page'!C39</f>
        <v>2022</v>
      </c>
      <c r="B6" s="55" t="s">
        <v>444</v>
      </c>
      <c r="C6" s="55" t="s">
        <v>445</v>
      </c>
      <c r="D6" s="55" t="s">
        <v>446</v>
      </c>
      <c r="E6" s="55" t="s">
        <v>447</v>
      </c>
      <c r="F6" s="55" t="s">
        <v>439</v>
      </c>
      <c r="G6" s="55" t="s">
        <v>404</v>
      </c>
      <c r="H6" s="55" t="s">
        <v>405</v>
      </c>
      <c r="I6" s="59"/>
      <c r="K6" s="61">
        <f>+A6</f>
        <v>2022</v>
      </c>
      <c r="L6" s="61" t="s">
        <v>406</v>
      </c>
      <c r="M6" s="55" t="s">
        <v>445</v>
      </c>
      <c r="N6" s="55" t="s">
        <v>446</v>
      </c>
      <c r="O6" s="55" t="s">
        <v>447</v>
      </c>
      <c r="P6" s="67" t="s">
        <v>404</v>
      </c>
      <c r="Q6" s="67" t="s">
        <v>408</v>
      </c>
      <c r="S6" s="365"/>
      <c r="T6" s="365"/>
      <c r="U6" s="365"/>
    </row>
    <row r="7" spans="1:21" x14ac:dyDescent="0.25">
      <c r="A7" s="66" t="s">
        <v>409</v>
      </c>
      <c r="B7" s="69">
        <v>150</v>
      </c>
      <c r="C7" s="64">
        <f>MAX(M7,M22)</f>
        <v>6.4</v>
      </c>
      <c r="D7" s="64">
        <f>AVERAGE(N7,N22)</f>
        <v>3.2</v>
      </c>
      <c r="E7" s="64">
        <f>MAX(O7,O22)</f>
        <v>350.7</v>
      </c>
      <c r="F7" s="69">
        <v>50</v>
      </c>
      <c r="G7" s="64">
        <f>AVERAGE(P7,P22)</f>
        <v>3.1500000000000004</v>
      </c>
      <c r="H7" s="64">
        <f>MAX(Q7,Q22)</f>
        <v>5.0999999999999996</v>
      </c>
      <c r="K7" s="389" t="s">
        <v>192</v>
      </c>
      <c r="L7" s="66" t="s">
        <v>409</v>
      </c>
      <c r="M7" s="64">
        <v>6.4</v>
      </c>
      <c r="N7" s="64">
        <v>3.7</v>
      </c>
      <c r="O7" s="64">
        <v>19.899999999999999</v>
      </c>
      <c r="P7" s="64">
        <v>3.6</v>
      </c>
      <c r="Q7" s="64">
        <v>4.5</v>
      </c>
      <c r="S7" s="365"/>
      <c r="T7" s="365"/>
      <c r="U7" s="365"/>
    </row>
    <row r="8" spans="1:21" x14ac:dyDescent="0.25">
      <c r="A8" s="66" t="s">
        <v>410</v>
      </c>
      <c r="B8" s="63">
        <f>+B7</f>
        <v>150</v>
      </c>
      <c r="C8" s="64">
        <f t="shared" ref="C8:C18" si="0">MAX(M8,M23)</f>
        <v>7.8</v>
      </c>
      <c r="D8" s="64">
        <f t="shared" ref="D8:D18" si="1">AVERAGE(N8,N23)</f>
        <v>3.1500000000000004</v>
      </c>
      <c r="E8" s="64">
        <f t="shared" ref="E8:E18" si="2">MAX(O8,O23)</f>
        <v>452</v>
      </c>
      <c r="F8" s="63">
        <f>+F7</f>
        <v>50</v>
      </c>
      <c r="G8" s="64">
        <f t="shared" ref="G8:G18" si="3">AVERAGE(P8,P23)</f>
        <v>3.1</v>
      </c>
      <c r="H8" s="64">
        <f t="shared" ref="H8:H18" si="4">MAX(Q8,Q23)</f>
        <v>6.7</v>
      </c>
      <c r="K8" s="389"/>
      <c r="L8" s="66" t="s">
        <v>410</v>
      </c>
      <c r="M8" s="64">
        <v>7.8</v>
      </c>
      <c r="N8" s="64">
        <v>3.7</v>
      </c>
      <c r="O8" s="64">
        <v>452</v>
      </c>
      <c r="P8" s="64">
        <v>3.7</v>
      </c>
      <c r="Q8" s="64">
        <v>6.7</v>
      </c>
      <c r="S8" s="365"/>
      <c r="T8" s="365"/>
      <c r="U8" s="365"/>
    </row>
    <row r="9" spans="1:21" x14ac:dyDescent="0.25">
      <c r="A9" s="66" t="s">
        <v>411</v>
      </c>
      <c r="B9" s="63">
        <f t="shared" ref="B9:B18" si="5">+B8</f>
        <v>150</v>
      </c>
      <c r="C9" s="64">
        <f t="shared" si="0"/>
        <v>13.1</v>
      </c>
      <c r="D9" s="64">
        <f t="shared" si="1"/>
        <v>2.8499999999999996</v>
      </c>
      <c r="E9" s="64">
        <f t="shared" si="2"/>
        <v>439.3</v>
      </c>
      <c r="F9" s="63">
        <f t="shared" ref="F9:F18" si="6">+F8</f>
        <v>50</v>
      </c>
      <c r="G9" s="64">
        <f t="shared" si="3"/>
        <v>2.8499999999999996</v>
      </c>
      <c r="H9" s="64">
        <f t="shared" si="4"/>
        <v>6.3</v>
      </c>
      <c r="K9" s="389"/>
      <c r="L9" s="66" t="s">
        <v>411</v>
      </c>
      <c r="M9" s="64">
        <v>4.5</v>
      </c>
      <c r="N9" s="64">
        <v>2.9</v>
      </c>
      <c r="O9" s="64">
        <v>73.3</v>
      </c>
      <c r="P9" s="64">
        <v>2.9</v>
      </c>
      <c r="Q9" s="64">
        <v>3.6</v>
      </c>
      <c r="S9" s="78" t="s">
        <v>448</v>
      </c>
    </row>
    <row r="10" spans="1:21" x14ac:dyDescent="0.25">
      <c r="A10" s="66" t="s">
        <v>413</v>
      </c>
      <c r="B10" s="63">
        <f t="shared" si="5"/>
        <v>150</v>
      </c>
      <c r="C10" s="64">
        <f t="shared" si="0"/>
        <v>9.1999999999999993</v>
      </c>
      <c r="D10" s="64">
        <f t="shared" si="1"/>
        <v>2.6</v>
      </c>
      <c r="E10" s="64">
        <f t="shared" si="2"/>
        <v>485.7</v>
      </c>
      <c r="F10" s="63">
        <f t="shared" si="6"/>
        <v>50</v>
      </c>
      <c r="G10" s="64">
        <f t="shared" si="3"/>
        <v>2.6</v>
      </c>
      <c r="H10" s="64">
        <f t="shared" si="4"/>
        <v>5.8</v>
      </c>
      <c r="K10" s="389"/>
      <c r="L10" s="66" t="s">
        <v>413</v>
      </c>
      <c r="M10" s="64">
        <v>7.7</v>
      </c>
      <c r="N10" s="64">
        <v>2.6</v>
      </c>
      <c r="O10" s="64">
        <v>118.9</v>
      </c>
      <c r="P10" s="64">
        <v>2.6</v>
      </c>
      <c r="Q10" s="64">
        <v>3.4</v>
      </c>
      <c r="S10" s="388" t="s">
        <v>449</v>
      </c>
      <c r="T10" s="388"/>
      <c r="U10" s="388"/>
    </row>
    <row r="11" spans="1:21" x14ac:dyDescent="0.25">
      <c r="A11" s="66" t="s">
        <v>415</v>
      </c>
      <c r="B11" s="63">
        <f t="shared" si="5"/>
        <v>150</v>
      </c>
      <c r="C11" s="64">
        <f t="shared" si="0"/>
        <v>9.5</v>
      </c>
      <c r="D11" s="64">
        <f t="shared" si="1"/>
        <v>2.95</v>
      </c>
      <c r="E11" s="64">
        <f t="shared" si="2"/>
        <v>486</v>
      </c>
      <c r="F11" s="63">
        <f t="shared" si="6"/>
        <v>50</v>
      </c>
      <c r="G11" s="64">
        <f t="shared" si="3"/>
        <v>2.95</v>
      </c>
      <c r="H11" s="64">
        <f t="shared" si="4"/>
        <v>7.2</v>
      </c>
      <c r="K11" s="389"/>
      <c r="L11" s="66" t="s">
        <v>415</v>
      </c>
      <c r="M11" s="64">
        <v>4.9000000000000004</v>
      </c>
      <c r="N11" s="64">
        <v>2.5</v>
      </c>
      <c r="O11" s="64">
        <v>187.4</v>
      </c>
      <c r="P11" s="64">
        <v>2.5</v>
      </c>
      <c r="Q11" s="64">
        <v>3.7</v>
      </c>
      <c r="S11" s="388"/>
      <c r="T11" s="388"/>
      <c r="U11" s="388"/>
    </row>
    <row r="12" spans="1:21" x14ac:dyDescent="0.25">
      <c r="A12" s="66" t="s">
        <v>416</v>
      </c>
      <c r="B12" s="63">
        <f t="shared" si="5"/>
        <v>150</v>
      </c>
      <c r="C12" s="64">
        <f t="shared" si="0"/>
        <v>14.3</v>
      </c>
      <c r="D12" s="64">
        <f t="shared" si="1"/>
        <v>2.7</v>
      </c>
      <c r="E12" s="64">
        <f t="shared" si="2"/>
        <v>1025.5999999999999</v>
      </c>
      <c r="F12" s="63">
        <f t="shared" si="6"/>
        <v>50</v>
      </c>
      <c r="G12" s="64">
        <f t="shared" si="3"/>
        <v>2.6500000000000004</v>
      </c>
      <c r="H12" s="64">
        <f t="shared" si="4"/>
        <v>17.600000000000001</v>
      </c>
      <c r="K12" s="389"/>
      <c r="L12" s="66" t="s">
        <v>416</v>
      </c>
      <c r="M12" s="64">
        <v>9.1999999999999993</v>
      </c>
      <c r="N12" s="64">
        <v>2.7</v>
      </c>
      <c r="O12" s="64">
        <v>57.5</v>
      </c>
      <c r="P12" s="64">
        <v>2.6</v>
      </c>
      <c r="Q12" s="64">
        <v>3.9</v>
      </c>
      <c r="S12" s="388"/>
      <c r="T12" s="388"/>
      <c r="U12" s="388"/>
    </row>
    <row r="13" spans="1:21" x14ac:dyDescent="0.25">
      <c r="A13" s="66" t="s">
        <v>417</v>
      </c>
      <c r="B13" s="63">
        <f t="shared" si="5"/>
        <v>150</v>
      </c>
      <c r="C13" s="64">
        <f t="shared" si="0"/>
        <v>4.3</v>
      </c>
      <c r="D13" s="64">
        <f t="shared" si="1"/>
        <v>2.4000000000000004</v>
      </c>
      <c r="E13" s="64">
        <f t="shared" si="2"/>
        <v>595.70000000000005</v>
      </c>
      <c r="F13" s="63">
        <f t="shared" si="6"/>
        <v>50</v>
      </c>
      <c r="G13" s="64">
        <f t="shared" si="3"/>
        <v>2.4000000000000004</v>
      </c>
      <c r="H13" s="64">
        <f t="shared" si="4"/>
        <v>5.9</v>
      </c>
      <c r="K13" s="389"/>
      <c r="L13" s="66" t="s">
        <v>417</v>
      </c>
      <c r="M13" s="64">
        <v>4.0999999999999996</v>
      </c>
      <c r="N13" s="64">
        <v>2.6</v>
      </c>
      <c r="O13" s="64">
        <v>195.9</v>
      </c>
      <c r="P13" s="64">
        <v>2.6</v>
      </c>
      <c r="Q13" s="64">
        <v>4</v>
      </c>
      <c r="S13" s="388" t="s">
        <v>450</v>
      </c>
      <c r="T13" s="388"/>
      <c r="U13" s="388"/>
    </row>
    <row r="14" spans="1:21" x14ac:dyDescent="0.25">
      <c r="A14" s="66" t="s">
        <v>419</v>
      </c>
      <c r="B14" s="63">
        <f t="shared" si="5"/>
        <v>150</v>
      </c>
      <c r="C14" s="64">
        <f t="shared" si="0"/>
        <v>10.1</v>
      </c>
      <c r="D14" s="64">
        <f t="shared" si="1"/>
        <v>2.35</v>
      </c>
      <c r="E14" s="64">
        <f t="shared" si="2"/>
        <v>641.20000000000005</v>
      </c>
      <c r="F14" s="63">
        <f t="shared" si="6"/>
        <v>50</v>
      </c>
      <c r="G14" s="64">
        <f t="shared" si="3"/>
        <v>2.25</v>
      </c>
      <c r="H14" s="64">
        <f t="shared" si="4"/>
        <v>7.5</v>
      </c>
      <c r="K14" s="389"/>
      <c r="L14" s="66" t="s">
        <v>419</v>
      </c>
      <c r="M14" s="64">
        <v>10.1</v>
      </c>
      <c r="N14" s="64">
        <v>2.7</v>
      </c>
      <c r="O14" s="64">
        <v>192.4</v>
      </c>
      <c r="P14" s="64">
        <v>2.6</v>
      </c>
      <c r="Q14" s="64">
        <v>4</v>
      </c>
      <c r="S14" s="388"/>
      <c r="T14" s="388"/>
      <c r="U14" s="388"/>
    </row>
    <row r="15" spans="1:21" x14ac:dyDescent="0.25">
      <c r="A15" s="66" t="s">
        <v>420</v>
      </c>
      <c r="B15" s="63">
        <f t="shared" si="5"/>
        <v>150</v>
      </c>
      <c r="C15" s="64">
        <f t="shared" si="0"/>
        <v>6.4</v>
      </c>
      <c r="D15" s="64">
        <f t="shared" si="1"/>
        <v>2.75</v>
      </c>
      <c r="E15" s="64">
        <f t="shared" si="2"/>
        <v>828.3</v>
      </c>
      <c r="F15" s="63">
        <f t="shared" si="6"/>
        <v>50</v>
      </c>
      <c r="G15" s="64">
        <f t="shared" si="3"/>
        <v>2.75</v>
      </c>
      <c r="H15" s="64">
        <f t="shared" si="4"/>
        <v>8.6</v>
      </c>
      <c r="K15" s="389"/>
      <c r="L15" s="66" t="s">
        <v>420</v>
      </c>
      <c r="M15" s="64">
        <v>6.4</v>
      </c>
      <c r="N15" s="64">
        <v>3.1</v>
      </c>
      <c r="O15" s="64">
        <v>828.3</v>
      </c>
      <c r="P15" s="64">
        <v>3.1</v>
      </c>
      <c r="Q15" s="64">
        <v>8.6</v>
      </c>
      <c r="S15" s="388"/>
      <c r="T15" s="388"/>
      <c r="U15" s="388"/>
    </row>
    <row r="16" spans="1:21" x14ac:dyDescent="0.25">
      <c r="A16" s="66" t="s">
        <v>421</v>
      </c>
      <c r="B16" s="63">
        <f t="shared" si="5"/>
        <v>150</v>
      </c>
      <c r="C16" s="64">
        <f t="shared" si="0"/>
        <v>8.4</v>
      </c>
      <c r="D16" s="64">
        <f t="shared" si="1"/>
        <v>2.85</v>
      </c>
      <c r="E16" s="64">
        <f t="shared" si="2"/>
        <v>131.69999999999999</v>
      </c>
      <c r="F16" s="63">
        <f t="shared" si="6"/>
        <v>50</v>
      </c>
      <c r="G16" s="64">
        <f t="shared" si="3"/>
        <v>2.8</v>
      </c>
      <c r="H16" s="64">
        <f t="shared" si="4"/>
        <v>4.0999999999999996</v>
      </c>
      <c r="K16" s="389"/>
      <c r="L16" s="66" t="s">
        <v>421</v>
      </c>
      <c r="M16" s="64">
        <v>7.3</v>
      </c>
      <c r="N16" s="64">
        <v>3</v>
      </c>
      <c r="O16" s="64">
        <v>56.9</v>
      </c>
      <c r="P16" s="64">
        <v>3</v>
      </c>
      <c r="Q16" s="64">
        <v>4.0999999999999996</v>
      </c>
      <c r="S16" s="388"/>
      <c r="T16" s="388"/>
      <c r="U16" s="388"/>
    </row>
    <row r="17" spans="1:17" x14ac:dyDescent="0.25">
      <c r="A17" s="66" t="s">
        <v>422</v>
      </c>
      <c r="B17" s="63">
        <f t="shared" si="5"/>
        <v>150</v>
      </c>
      <c r="C17" s="64">
        <f t="shared" si="0"/>
        <v>10.4</v>
      </c>
      <c r="D17" s="64">
        <f t="shared" si="1"/>
        <v>3.6500000000000004</v>
      </c>
      <c r="E17" s="64">
        <f t="shared" si="2"/>
        <v>352</v>
      </c>
      <c r="F17" s="63">
        <f t="shared" si="6"/>
        <v>50</v>
      </c>
      <c r="G17" s="64">
        <f t="shared" si="3"/>
        <v>3.5</v>
      </c>
      <c r="H17" s="64">
        <f t="shared" si="4"/>
        <v>6.2</v>
      </c>
      <c r="K17" s="389"/>
      <c r="L17" s="66" t="s">
        <v>422</v>
      </c>
      <c r="M17" s="64">
        <v>7.2</v>
      </c>
      <c r="N17" s="64">
        <v>3.6</v>
      </c>
      <c r="O17" s="64">
        <v>118.4</v>
      </c>
      <c r="P17" s="64">
        <v>3.5</v>
      </c>
      <c r="Q17" s="64">
        <v>5.4</v>
      </c>
    </row>
    <row r="18" spans="1:17" x14ac:dyDescent="0.25">
      <c r="A18" s="66" t="s">
        <v>423</v>
      </c>
      <c r="B18" s="63">
        <f t="shared" si="5"/>
        <v>150</v>
      </c>
      <c r="C18" s="64">
        <f t="shared" si="0"/>
        <v>10.7</v>
      </c>
      <c r="D18" s="64">
        <f t="shared" si="1"/>
        <v>3.5</v>
      </c>
      <c r="E18" s="64">
        <f t="shared" si="2"/>
        <v>361.1</v>
      </c>
      <c r="F18" s="63">
        <f t="shared" si="6"/>
        <v>50</v>
      </c>
      <c r="G18" s="64">
        <f t="shared" si="3"/>
        <v>3.4</v>
      </c>
      <c r="H18" s="64">
        <f t="shared" si="4"/>
        <v>6.4</v>
      </c>
      <c r="K18" s="389"/>
      <c r="L18" s="66" t="s">
        <v>423</v>
      </c>
      <c r="M18" s="64">
        <v>7.3</v>
      </c>
      <c r="N18" s="64">
        <v>3.5</v>
      </c>
      <c r="O18" s="64">
        <v>296.89999999999998</v>
      </c>
      <c r="P18" s="64">
        <v>3.4</v>
      </c>
      <c r="Q18" s="64">
        <v>5.7</v>
      </c>
    </row>
    <row r="19" spans="1:17" x14ac:dyDescent="0.25">
      <c r="K19" s="389"/>
      <c r="L19" s="62" t="s">
        <v>424</v>
      </c>
      <c r="M19" s="116">
        <f>AVERAGE(M7:M18)</f>
        <v>6.9083333333333341</v>
      </c>
      <c r="N19" s="116">
        <f>AVERAGE(N7:N18)</f>
        <v>3.0500000000000003</v>
      </c>
      <c r="O19" s="116">
        <f>MAX(O7:O18)</f>
        <v>828.3</v>
      </c>
      <c r="P19" s="116">
        <f>AVERAGE(P7:P18)</f>
        <v>3.0083333333333333</v>
      </c>
      <c r="Q19" s="116">
        <f>MAX(Q7:Q18)</f>
        <v>8.6</v>
      </c>
    </row>
    <row r="21" spans="1:17" ht="27.6" x14ac:dyDescent="0.25">
      <c r="K21" s="61">
        <f>+A6</f>
        <v>2022</v>
      </c>
      <c r="L21" s="61" t="s">
        <v>406</v>
      </c>
      <c r="M21" s="55" t="s">
        <v>445</v>
      </c>
      <c r="N21" s="55" t="s">
        <v>446</v>
      </c>
      <c r="O21" s="55" t="s">
        <v>447</v>
      </c>
      <c r="P21" s="67" t="s">
        <v>404</v>
      </c>
      <c r="Q21" s="67" t="s">
        <v>408</v>
      </c>
    </row>
    <row r="22" spans="1:17" x14ac:dyDescent="0.25">
      <c r="K22" s="389" t="s">
        <v>193</v>
      </c>
      <c r="L22" s="66" t="s">
        <v>409</v>
      </c>
      <c r="M22" s="64">
        <v>5.3</v>
      </c>
      <c r="N22" s="64">
        <v>2.7</v>
      </c>
      <c r="O22" s="64">
        <v>350.7</v>
      </c>
      <c r="P22" s="64">
        <v>2.7</v>
      </c>
      <c r="Q22" s="64">
        <v>5.0999999999999996</v>
      </c>
    </row>
    <row r="23" spans="1:17" x14ac:dyDescent="0.25">
      <c r="K23" s="389"/>
      <c r="L23" s="66" t="s">
        <v>410</v>
      </c>
      <c r="M23" s="64">
        <v>6.5</v>
      </c>
      <c r="N23" s="64">
        <v>2.6</v>
      </c>
      <c r="O23" s="64">
        <v>175.9</v>
      </c>
      <c r="P23" s="64">
        <v>2.5</v>
      </c>
      <c r="Q23" s="64">
        <v>4.8</v>
      </c>
    </row>
    <row r="24" spans="1:17" x14ac:dyDescent="0.25">
      <c r="K24" s="389"/>
      <c r="L24" s="66" t="s">
        <v>411</v>
      </c>
      <c r="M24" s="64">
        <v>13.1</v>
      </c>
      <c r="N24" s="64">
        <v>2.8</v>
      </c>
      <c r="O24" s="64">
        <v>439.3</v>
      </c>
      <c r="P24" s="64">
        <v>2.8</v>
      </c>
      <c r="Q24" s="64">
        <v>6.3</v>
      </c>
    </row>
    <row r="25" spans="1:17" x14ac:dyDescent="0.25">
      <c r="K25" s="389"/>
      <c r="L25" s="66" t="s">
        <v>413</v>
      </c>
      <c r="M25" s="64">
        <v>9.1999999999999993</v>
      </c>
      <c r="N25" s="64">
        <v>2.6</v>
      </c>
      <c r="O25" s="64">
        <v>485.7</v>
      </c>
      <c r="P25" s="64">
        <v>2.6</v>
      </c>
      <c r="Q25" s="64">
        <v>5.8</v>
      </c>
    </row>
    <row r="26" spans="1:17" x14ac:dyDescent="0.25">
      <c r="K26" s="389"/>
      <c r="L26" s="66" t="s">
        <v>415</v>
      </c>
      <c r="M26" s="64">
        <v>9.5</v>
      </c>
      <c r="N26" s="64">
        <v>3.4</v>
      </c>
      <c r="O26" s="64">
        <v>486</v>
      </c>
      <c r="P26" s="64">
        <v>3.4</v>
      </c>
      <c r="Q26" s="64">
        <v>7.2</v>
      </c>
    </row>
    <row r="27" spans="1:17" x14ac:dyDescent="0.25">
      <c r="K27" s="389"/>
      <c r="L27" s="66" t="s">
        <v>416</v>
      </c>
      <c r="M27" s="64">
        <v>14.3</v>
      </c>
      <c r="N27" s="64">
        <v>2.7</v>
      </c>
      <c r="O27" s="64">
        <v>1025.5999999999999</v>
      </c>
      <c r="P27" s="64">
        <v>2.7</v>
      </c>
      <c r="Q27" s="64">
        <v>17.600000000000001</v>
      </c>
    </row>
    <row r="28" spans="1:17" x14ac:dyDescent="0.25">
      <c r="K28" s="389"/>
      <c r="L28" s="66" t="s">
        <v>417</v>
      </c>
      <c r="M28" s="64">
        <v>4.3</v>
      </c>
      <c r="N28" s="64">
        <v>2.2000000000000002</v>
      </c>
      <c r="O28" s="64">
        <v>595.70000000000005</v>
      </c>
      <c r="P28" s="64">
        <v>2.2000000000000002</v>
      </c>
      <c r="Q28" s="64">
        <v>5.9</v>
      </c>
    </row>
    <row r="29" spans="1:17" x14ac:dyDescent="0.25">
      <c r="K29" s="389"/>
      <c r="L29" s="66" t="s">
        <v>419</v>
      </c>
      <c r="M29" s="64">
        <v>8.1</v>
      </c>
      <c r="N29" s="64">
        <v>2</v>
      </c>
      <c r="O29" s="64">
        <v>641.20000000000005</v>
      </c>
      <c r="P29" s="64">
        <v>1.9</v>
      </c>
      <c r="Q29" s="64">
        <v>7.5</v>
      </c>
    </row>
    <row r="30" spans="1:17" x14ac:dyDescent="0.25">
      <c r="K30" s="389"/>
      <c r="L30" s="66" t="s">
        <v>420</v>
      </c>
      <c r="M30" s="64">
        <v>6.3</v>
      </c>
      <c r="N30" s="64">
        <v>2.4</v>
      </c>
      <c r="O30" s="64">
        <v>247.2</v>
      </c>
      <c r="P30" s="64">
        <v>2.4</v>
      </c>
      <c r="Q30" s="64">
        <v>4.5999999999999996</v>
      </c>
    </row>
    <row r="31" spans="1:17" x14ac:dyDescent="0.25">
      <c r="K31" s="389"/>
      <c r="L31" s="66" t="s">
        <v>421</v>
      </c>
      <c r="M31" s="64">
        <v>8.4</v>
      </c>
      <c r="N31" s="64">
        <v>2.7</v>
      </c>
      <c r="O31" s="64">
        <v>131.69999999999999</v>
      </c>
      <c r="P31" s="64">
        <v>2.6</v>
      </c>
      <c r="Q31" s="64">
        <v>4.0999999999999996</v>
      </c>
    </row>
    <row r="32" spans="1:17" x14ac:dyDescent="0.25">
      <c r="K32" s="389"/>
      <c r="L32" s="66" t="s">
        <v>422</v>
      </c>
      <c r="M32" s="64">
        <v>10.4</v>
      </c>
      <c r="N32" s="64">
        <v>3.7</v>
      </c>
      <c r="O32" s="64">
        <v>352</v>
      </c>
      <c r="P32" s="64">
        <v>3.5</v>
      </c>
      <c r="Q32" s="64">
        <v>6.2</v>
      </c>
    </row>
    <row r="33" spans="1:17" x14ac:dyDescent="0.25">
      <c r="K33" s="389"/>
      <c r="L33" s="66" t="s">
        <v>423</v>
      </c>
      <c r="M33" s="64">
        <v>10.7</v>
      </c>
      <c r="N33" s="64">
        <v>3.5</v>
      </c>
      <c r="O33" s="64">
        <v>361.1</v>
      </c>
      <c r="P33" s="64">
        <v>3.4</v>
      </c>
      <c r="Q33" s="64">
        <v>6.4</v>
      </c>
    </row>
    <row r="34" spans="1:17" x14ac:dyDescent="0.25">
      <c r="K34" s="389"/>
      <c r="L34" s="62" t="s">
        <v>424</v>
      </c>
      <c r="M34" s="116">
        <f>AVERAGE(M22:M33)</f>
        <v>8.8416666666666668</v>
      </c>
      <c r="N34" s="116">
        <f>AVERAGE(N22:N33)</f>
        <v>2.7749999999999999</v>
      </c>
      <c r="O34" s="116">
        <f>MAX(O22:O33)</f>
        <v>1025.5999999999999</v>
      </c>
      <c r="P34" s="116">
        <f>AVERAGE(P22:P33)</f>
        <v>2.7249999999999996</v>
      </c>
      <c r="Q34" s="116">
        <f>MAX(Q22:Q33)</f>
        <v>17.600000000000001</v>
      </c>
    </row>
    <row r="36" spans="1:17" ht="27.6" x14ac:dyDescent="0.25">
      <c r="K36" s="61">
        <f>+A6</f>
        <v>2022</v>
      </c>
      <c r="L36" s="61" t="s">
        <v>406</v>
      </c>
      <c r="M36" s="55" t="s">
        <v>445</v>
      </c>
      <c r="N36" s="55" t="s">
        <v>446</v>
      </c>
      <c r="O36" s="55" t="s">
        <v>447</v>
      </c>
      <c r="P36" s="67" t="s">
        <v>404</v>
      </c>
      <c r="Q36" s="67" t="s">
        <v>408</v>
      </c>
    </row>
    <row r="37" spans="1:17" x14ac:dyDescent="0.25">
      <c r="K37" s="389" t="s">
        <v>194</v>
      </c>
      <c r="L37" s="66" t="s">
        <v>409</v>
      </c>
      <c r="M37" s="64"/>
      <c r="N37" s="64"/>
      <c r="O37" s="64"/>
      <c r="P37" s="64"/>
      <c r="Q37" s="64"/>
    </row>
    <row r="38" spans="1:17" x14ac:dyDescent="0.25">
      <c r="K38" s="389"/>
      <c r="L38" s="66" t="s">
        <v>410</v>
      </c>
      <c r="M38" s="64"/>
      <c r="N38" s="64"/>
      <c r="O38" s="64"/>
      <c r="P38" s="64"/>
      <c r="Q38" s="64"/>
    </row>
    <row r="39" spans="1:17" x14ac:dyDescent="0.25">
      <c r="K39" s="389"/>
      <c r="L39" s="66" t="s">
        <v>411</v>
      </c>
      <c r="M39" s="64"/>
      <c r="N39" s="64"/>
      <c r="O39" s="64"/>
      <c r="P39" s="64"/>
      <c r="Q39" s="64"/>
    </row>
    <row r="40" spans="1:17" x14ac:dyDescent="0.25">
      <c r="K40" s="389"/>
      <c r="L40" s="66" t="s">
        <v>413</v>
      </c>
      <c r="M40" s="64"/>
      <c r="N40" s="64"/>
      <c r="O40" s="64"/>
      <c r="P40" s="64"/>
      <c r="Q40" s="64"/>
    </row>
    <row r="41" spans="1:17" x14ac:dyDescent="0.25">
      <c r="K41" s="389"/>
      <c r="L41" s="66" t="s">
        <v>415</v>
      </c>
      <c r="M41" s="64"/>
      <c r="N41" s="64"/>
      <c r="O41" s="64"/>
      <c r="P41" s="64"/>
      <c r="Q41" s="64"/>
    </row>
    <row r="42" spans="1:17" x14ac:dyDescent="0.25">
      <c r="K42" s="389"/>
      <c r="L42" s="66" t="s">
        <v>416</v>
      </c>
      <c r="M42" s="64"/>
      <c r="N42" s="64"/>
      <c r="O42" s="64"/>
      <c r="P42" s="64"/>
      <c r="Q42" s="64"/>
    </row>
    <row r="43" spans="1:17" x14ac:dyDescent="0.25">
      <c r="K43" s="389"/>
      <c r="L43" s="66" t="s">
        <v>417</v>
      </c>
      <c r="M43" s="64"/>
      <c r="N43" s="64"/>
      <c r="O43" s="64"/>
      <c r="P43" s="64"/>
      <c r="Q43" s="64"/>
    </row>
    <row r="44" spans="1:17" x14ac:dyDescent="0.25">
      <c r="K44" s="389"/>
      <c r="L44" s="66" t="s">
        <v>419</v>
      </c>
      <c r="M44" s="64"/>
      <c r="N44" s="64"/>
      <c r="O44" s="64"/>
      <c r="P44" s="64"/>
      <c r="Q44" s="64"/>
    </row>
    <row r="45" spans="1:17" x14ac:dyDescent="0.25">
      <c r="K45" s="389"/>
      <c r="L45" s="66" t="s">
        <v>420</v>
      </c>
      <c r="M45" s="64"/>
      <c r="N45" s="64"/>
      <c r="O45" s="64"/>
      <c r="P45" s="64"/>
      <c r="Q45" s="64"/>
    </row>
    <row r="46" spans="1:17" x14ac:dyDescent="0.25">
      <c r="K46" s="389"/>
      <c r="L46" s="66" t="s">
        <v>421</v>
      </c>
      <c r="M46" s="64"/>
      <c r="N46" s="64"/>
      <c r="O46" s="64"/>
      <c r="P46" s="64"/>
      <c r="Q46" s="64"/>
    </row>
    <row r="47" spans="1:17" x14ac:dyDescent="0.25">
      <c r="K47" s="389"/>
      <c r="L47" s="66" t="s">
        <v>422</v>
      </c>
      <c r="M47" s="64"/>
      <c r="N47" s="64"/>
      <c r="O47" s="64"/>
      <c r="P47" s="64"/>
      <c r="Q47" s="64"/>
    </row>
    <row r="48" spans="1:17" x14ac:dyDescent="0.25">
      <c r="A48" s="401" t="s">
        <v>304</v>
      </c>
      <c r="B48" s="402"/>
      <c r="C48" s="402"/>
      <c r="D48" s="402"/>
      <c r="E48" s="402"/>
      <c r="F48" s="402"/>
      <c r="G48" s="402"/>
      <c r="H48" s="403"/>
      <c r="K48" s="389"/>
      <c r="L48" s="66" t="s">
        <v>423</v>
      </c>
      <c r="M48" s="64"/>
      <c r="N48" s="64"/>
      <c r="O48" s="64"/>
      <c r="P48" s="64"/>
      <c r="Q48" s="64"/>
    </row>
    <row r="49" spans="1:17" x14ac:dyDescent="0.25">
      <c r="A49" s="404" t="s">
        <v>451</v>
      </c>
      <c r="B49" s="405"/>
      <c r="C49" s="405"/>
      <c r="D49" s="405"/>
      <c r="E49" s="405"/>
      <c r="F49" s="405"/>
      <c r="G49" s="405"/>
      <c r="H49" s="406"/>
      <c r="K49" s="389"/>
      <c r="L49" s="62" t="s">
        <v>424</v>
      </c>
      <c r="M49" s="62" t="e">
        <f>AVERAGE(M37:M48)</f>
        <v>#DIV/0!</v>
      </c>
      <c r="N49" s="62"/>
      <c r="O49" s="62">
        <f>MAX(O37:O48)</f>
        <v>0</v>
      </c>
      <c r="P49" s="62" t="e">
        <f>AVERAGE(P37:P48)</f>
        <v>#DIV/0!</v>
      </c>
      <c r="Q49" s="62">
        <f>MAX(Q37:Q48)</f>
        <v>0</v>
      </c>
    </row>
    <row r="50" spans="1:17" x14ac:dyDescent="0.25">
      <c r="A50" s="407"/>
      <c r="B50" s="408"/>
      <c r="C50" s="408"/>
      <c r="D50" s="408"/>
      <c r="E50" s="408"/>
      <c r="F50" s="408"/>
      <c r="G50" s="408"/>
      <c r="H50" s="409"/>
    </row>
    <row r="51" spans="1:17" ht="27.6" x14ac:dyDescent="0.25">
      <c r="A51" s="407"/>
      <c r="B51" s="408"/>
      <c r="C51" s="408"/>
      <c r="D51" s="408"/>
      <c r="E51" s="408"/>
      <c r="F51" s="408"/>
      <c r="G51" s="408"/>
      <c r="H51" s="409"/>
      <c r="K51" s="61">
        <f>+A6</f>
        <v>2022</v>
      </c>
      <c r="L51" s="61" t="s">
        <v>406</v>
      </c>
      <c r="M51" s="55" t="s">
        <v>445</v>
      </c>
      <c r="N51" s="55" t="s">
        <v>446</v>
      </c>
      <c r="O51" s="55" t="s">
        <v>447</v>
      </c>
      <c r="P51" s="67" t="s">
        <v>404</v>
      </c>
      <c r="Q51" s="67" t="s">
        <v>408</v>
      </c>
    </row>
    <row r="52" spans="1:17" x14ac:dyDescent="0.25">
      <c r="A52" s="410"/>
      <c r="B52" s="411"/>
      <c r="C52" s="411"/>
      <c r="D52" s="411"/>
      <c r="E52" s="411"/>
      <c r="F52" s="411"/>
      <c r="G52" s="411"/>
      <c r="H52" s="412"/>
      <c r="K52" s="389" t="s">
        <v>195</v>
      </c>
      <c r="L52" s="66" t="s">
        <v>409</v>
      </c>
      <c r="M52" s="64"/>
      <c r="N52" s="64"/>
      <c r="O52" s="64"/>
      <c r="P52" s="64"/>
      <c r="Q52" s="64"/>
    </row>
    <row r="53" spans="1:17" x14ac:dyDescent="0.25">
      <c r="K53" s="389"/>
      <c r="L53" s="66" t="s">
        <v>410</v>
      </c>
      <c r="M53" s="64"/>
      <c r="N53" s="64"/>
      <c r="O53" s="64"/>
      <c r="P53" s="64"/>
      <c r="Q53" s="64"/>
    </row>
    <row r="54" spans="1:17" x14ac:dyDescent="0.25">
      <c r="K54" s="389"/>
      <c r="L54" s="66" t="s">
        <v>415</v>
      </c>
      <c r="M54" s="64"/>
      <c r="N54" s="64"/>
      <c r="O54" s="64"/>
      <c r="P54" s="64"/>
      <c r="Q54" s="64"/>
    </row>
    <row r="55" spans="1:17" x14ac:dyDescent="0.25">
      <c r="K55" s="389"/>
      <c r="L55" s="66" t="s">
        <v>416</v>
      </c>
      <c r="M55" s="64"/>
      <c r="N55" s="64"/>
      <c r="O55" s="64"/>
      <c r="P55" s="64"/>
      <c r="Q55" s="64"/>
    </row>
    <row r="56" spans="1:17" x14ac:dyDescent="0.25">
      <c r="K56" s="389"/>
      <c r="L56" s="66" t="s">
        <v>417</v>
      </c>
      <c r="M56" s="64"/>
      <c r="N56" s="64"/>
      <c r="O56" s="64"/>
      <c r="P56" s="64"/>
      <c r="Q56" s="64"/>
    </row>
    <row r="57" spans="1:17" x14ac:dyDescent="0.25">
      <c r="K57" s="389"/>
      <c r="L57" s="66" t="s">
        <v>419</v>
      </c>
      <c r="M57" s="64"/>
      <c r="N57" s="64"/>
      <c r="O57" s="64"/>
      <c r="P57" s="64"/>
      <c r="Q57" s="64"/>
    </row>
    <row r="58" spans="1:17" x14ac:dyDescent="0.25">
      <c r="K58" s="389"/>
      <c r="L58" s="66" t="s">
        <v>420</v>
      </c>
      <c r="M58" s="64"/>
      <c r="N58" s="64"/>
      <c r="O58" s="64"/>
      <c r="P58" s="64"/>
      <c r="Q58" s="64"/>
    </row>
    <row r="59" spans="1:17" x14ac:dyDescent="0.25">
      <c r="K59" s="389"/>
      <c r="L59" s="66" t="s">
        <v>421</v>
      </c>
      <c r="M59" s="64"/>
      <c r="N59" s="64"/>
      <c r="O59" s="64"/>
      <c r="P59" s="64"/>
      <c r="Q59" s="64"/>
    </row>
    <row r="60" spans="1:17" x14ac:dyDescent="0.25">
      <c r="K60" s="389"/>
      <c r="L60" s="66" t="s">
        <v>422</v>
      </c>
      <c r="M60" s="64"/>
      <c r="N60" s="64"/>
      <c r="O60" s="64"/>
      <c r="P60" s="64"/>
      <c r="Q60" s="64"/>
    </row>
    <row r="61" spans="1:17" x14ac:dyDescent="0.25">
      <c r="K61" s="389"/>
      <c r="L61" s="66" t="s">
        <v>423</v>
      </c>
      <c r="M61" s="64"/>
      <c r="N61" s="64"/>
      <c r="O61" s="64"/>
      <c r="P61" s="64"/>
      <c r="Q61" s="64"/>
    </row>
    <row r="62" spans="1:17" x14ac:dyDescent="0.25">
      <c r="K62" s="389"/>
      <c r="L62" s="62" t="s">
        <v>424</v>
      </c>
      <c r="M62" s="62" t="e">
        <f>AVERAGE(M52:M61)</f>
        <v>#DIV/0!</v>
      </c>
      <c r="N62" s="62"/>
      <c r="O62" s="62">
        <f>MAX(O52:O61)</f>
        <v>0</v>
      </c>
      <c r="P62" s="62" t="e">
        <f>AVERAGE(P52:P61)</f>
        <v>#DIV/0!</v>
      </c>
      <c r="Q62" s="62">
        <f>MAX(Q52:Q61)</f>
        <v>0</v>
      </c>
    </row>
    <row r="64" spans="1:17" ht="27.6" x14ac:dyDescent="0.25">
      <c r="K64" s="61">
        <f>+A6</f>
        <v>2022</v>
      </c>
      <c r="L64" s="61" t="s">
        <v>406</v>
      </c>
      <c r="M64" s="55" t="s">
        <v>445</v>
      </c>
      <c r="N64" s="55" t="s">
        <v>446</v>
      </c>
      <c r="O64" s="55" t="s">
        <v>447</v>
      </c>
      <c r="P64" s="67" t="s">
        <v>404</v>
      </c>
      <c r="Q64" s="67" t="s">
        <v>408</v>
      </c>
    </row>
    <row r="65" spans="11:17" x14ac:dyDescent="0.25">
      <c r="K65" s="389" t="s">
        <v>196</v>
      </c>
      <c r="L65" s="66" t="s">
        <v>409</v>
      </c>
      <c r="M65" s="64"/>
      <c r="N65" s="64"/>
      <c r="O65" s="64"/>
      <c r="P65" s="64"/>
      <c r="Q65" s="64"/>
    </row>
    <row r="66" spans="11:17" x14ac:dyDescent="0.25">
      <c r="K66" s="389"/>
      <c r="L66" s="66" t="s">
        <v>410</v>
      </c>
      <c r="M66" s="64"/>
      <c r="N66" s="64"/>
      <c r="O66" s="64"/>
      <c r="P66" s="64"/>
      <c r="Q66" s="64"/>
    </row>
    <row r="67" spans="11:17" x14ac:dyDescent="0.25">
      <c r="K67" s="389"/>
      <c r="L67" s="66" t="s">
        <v>411</v>
      </c>
      <c r="M67" s="64"/>
      <c r="N67" s="64"/>
      <c r="O67" s="64"/>
      <c r="P67" s="64"/>
      <c r="Q67" s="64"/>
    </row>
    <row r="68" spans="11:17" x14ac:dyDescent="0.25">
      <c r="K68" s="389"/>
      <c r="L68" s="66" t="s">
        <v>413</v>
      </c>
      <c r="M68" s="64"/>
      <c r="N68" s="64"/>
      <c r="O68" s="64"/>
      <c r="P68" s="64"/>
      <c r="Q68" s="64"/>
    </row>
    <row r="69" spans="11:17" x14ac:dyDescent="0.25">
      <c r="K69" s="389"/>
      <c r="L69" s="66" t="s">
        <v>415</v>
      </c>
      <c r="M69" s="64"/>
      <c r="N69" s="64"/>
      <c r="O69" s="64"/>
      <c r="P69" s="64"/>
      <c r="Q69" s="64"/>
    </row>
    <row r="70" spans="11:17" x14ac:dyDescent="0.25">
      <c r="K70" s="389"/>
      <c r="L70" s="66" t="s">
        <v>416</v>
      </c>
      <c r="M70" s="64"/>
      <c r="N70" s="64"/>
      <c r="O70" s="64"/>
      <c r="P70" s="64"/>
      <c r="Q70" s="64"/>
    </row>
    <row r="71" spans="11:17" x14ac:dyDescent="0.25">
      <c r="K71" s="389"/>
      <c r="L71" s="66" t="s">
        <v>417</v>
      </c>
      <c r="M71" s="64"/>
      <c r="N71" s="64"/>
      <c r="O71" s="64"/>
      <c r="P71" s="64"/>
      <c r="Q71" s="64"/>
    </row>
    <row r="72" spans="11:17" x14ac:dyDescent="0.25">
      <c r="K72" s="389"/>
      <c r="L72" s="66" t="s">
        <v>419</v>
      </c>
      <c r="M72" s="64"/>
      <c r="N72" s="64"/>
      <c r="O72" s="64"/>
      <c r="P72" s="64"/>
      <c r="Q72" s="64"/>
    </row>
    <row r="73" spans="11:17" x14ac:dyDescent="0.25">
      <c r="K73" s="389"/>
      <c r="L73" s="66" t="s">
        <v>420</v>
      </c>
      <c r="M73" s="64"/>
      <c r="N73" s="64"/>
      <c r="O73" s="64"/>
      <c r="P73" s="64"/>
      <c r="Q73" s="64"/>
    </row>
    <row r="74" spans="11:17" x14ac:dyDescent="0.25">
      <c r="K74" s="389"/>
      <c r="L74" s="66" t="s">
        <v>421</v>
      </c>
      <c r="M74" s="64"/>
      <c r="N74" s="64"/>
      <c r="O74" s="64"/>
      <c r="P74" s="64"/>
      <c r="Q74" s="64"/>
    </row>
    <row r="75" spans="11:17" x14ac:dyDescent="0.25">
      <c r="K75" s="389"/>
      <c r="L75" s="66" t="s">
        <v>422</v>
      </c>
      <c r="M75" s="64"/>
      <c r="N75" s="64"/>
      <c r="O75" s="64"/>
      <c r="P75" s="64"/>
      <c r="Q75" s="64"/>
    </row>
    <row r="76" spans="11:17" x14ac:dyDescent="0.25">
      <c r="K76" s="389"/>
      <c r="L76" s="66" t="s">
        <v>423</v>
      </c>
      <c r="M76" s="64"/>
      <c r="N76" s="64"/>
      <c r="O76" s="64"/>
      <c r="P76" s="64"/>
      <c r="Q76" s="64"/>
    </row>
    <row r="77" spans="11:17" x14ac:dyDescent="0.25">
      <c r="K77" s="389"/>
      <c r="L77" s="62" t="s">
        <v>424</v>
      </c>
      <c r="M77" s="62" t="e">
        <f>AVERAGE(M65:M76)</f>
        <v>#DIV/0!</v>
      </c>
      <c r="N77" s="62"/>
      <c r="O77" s="62">
        <f>MAX(O65:O76)</f>
        <v>0</v>
      </c>
      <c r="P77" s="62" t="e">
        <f>AVERAGE(P65:P76)</f>
        <v>#DIV/0!</v>
      </c>
      <c r="Q77" s="62">
        <f>MAX(Q65:Q76)</f>
        <v>0</v>
      </c>
    </row>
  </sheetData>
  <mergeCells count="13">
    <mergeCell ref="S4:U8"/>
    <mergeCell ref="S10:U12"/>
    <mergeCell ref="S13:U16"/>
    <mergeCell ref="K65:K77"/>
    <mergeCell ref="B5:E5"/>
    <mergeCell ref="F5:H5"/>
    <mergeCell ref="K5:Q5"/>
    <mergeCell ref="K7:K19"/>
    <mergeCell ref="K22:K34"/>
    <mergeCell ref="K37:K49"/>
    <mergeCell ref="A48:H48"/>
    <mergeCell ref="A49:H52"/>
    <mergeCell ref="K52:K6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rgb="FF92D050"/>
    <pageSetUpPr fitToPage="1"/>
  </sheetPr>
  <dimension ref="A1:S77"/>
  <sheetViews>
    <sheetView topLeftCell="B1" workbookViewId="0">
      <selection activeCell="F55" sqref="F55"/>
    </sheetView>
  </sheetViews>
  <sheetFormatPr defaultRowHeight="13.8" x14ac:dyDescent="0.25"/>
  <cols>
    <col min="1" max="1" width="14" style="3" customWidth="1"/>
    <col min="2" max="4" width="17" style="35" customWidth="1"/>
    <col min="5" max="5" width="14.6640625" style="35" customWidth="1"/>
    <col min="6" max="7" width="17" style="35"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2" t="str">
        <f>+'Cover Page'!$B$29</f>
        <v>Annual Performance Report 2022</v>
      </c>
      <c r="B1" s="92"/>
      <c r="C1" s="92"/>
      <c r="D1" s="92"/>
      <c r="E1" s="92" t="str">
        <f>+'Cover Page'!$B$33</f>
        <v>Staffordshire Energy Recovery Facility</v>
      </c>
    </row>
    <row r="3" spans="1:19" ht="14.4" x14ac:dyDescent="0.3">
      <c r="A3" s="60" t="s">
        <v>452</v>
      </c>
      <c r="D3" s="76" t="s">
        <v>393</v>
      </c>
      <c r="G3" s="80" t="s">
        <v>394</v>
      </c>
      <c r="J3" s="9" t="str">
        <f>+A3</f>
        <v xml:space="preserve">Monitoring of Ammnonia emissions </v>
      </c>
      <c r="L3" s="9"/>
      <c r="N3" s="9" t="s">
        <v>395</v>
      </c>
      <c r="Q3" s="79" t="s">
        <v>3</v>
      </c>
      <c r="R3" s="74"/>
      <c r="S3" s="74"/>
    </row>
    <row r="4" spans="1:19" ht="13.95" customHeight="1" x14ac:dyDescent="0.25">
      <c r="Q4" s="365" t="s">
        <v>396</v>
      </c>
      <c r="R4" s="365"/>
      <c r="S4" s="365"/>
    </row>
    <row r="5" spans="1:19" ht="16.2" x14ac:dyDescent="0.25">
      <c r="A5" s="68" t="s">
        <v>397</v>
      </c>
      <c r="B5" s="391" t="s">
        <v>398</v>
      </c>
      <c r="C5" s="391"/>
      <c r="D5" s="391"/>
      <c r="E5" s="391" t="s">
        <v>399</v>
      </c>
      <c r="F5" s="391"/>
      <c r="G5" s="391"/>
      <c r="J5" s="390"/>
      <c r="K5" s="390"/>
      <c r="L5" s="390"/>
      <c r="M5" s="390"/>
      <c r="N5" s="390"/>
      <c r="O5" s="390"/>
      <c r="Q5" s="365"/>
      <c r="R5" s="365"/>
      <c r="S5" s="365"/>
    </row>
    <row r="6" spans="1:19" s="58" customFormat="1" ht="37.5" customHeight="1" x14ac:dyDescent="0.3">
      <c r="A6" s="65">
        <f>+'Cover Page'!C39</f>
        <v>2022</v>
      </c>
      <c r="B6" s="55" t="s">
        <v>453</v>
      </c>
      <c r="C6" s="55" t="s">
        <v>401</v>
      </c>
      <c r="D6" s="55" t="s">
        <v>402</v>
      </c>
      <c r="E6" s="55" t="s">
        <v>454</v>
      </c>
      <c r="F6" s="55" t="s">
        <v>404</v>
      </c>
      <c r="G6" s="55" t="s">
        <v>405</v>
      </c>
      <c r="H6" s="59"/>
      <c r="J6" s="61">
        <f>+A6</f>
        <v>2022</v>
      </c>
      <c r="K6" s="61" t="s">
        <v>406</v>
      </c>
      <c r="L6" s="67" t="s">
        <v>401</v>
      </c>
      <c r="M6" s="67" t="s">
        <v>407</v>
      </c>
      <c r="N6" s="67" t="s">
        <v>404</v>
      </c>
      <c r="O6" s="67" t="s">
        <v>408</v>
      </c>
      <c r="Q6" s="365"/>
      <c r="R6" s="365"/>
      <c r="S6" s="365"/>
    </row>
    <row r="7" spans="1:19" x14ac:dyDescent="0.25">
      <c r="A7" s="66" t="s">
        <v>409</v>
      </c>
      <c r="B7" s="69">
        <v>0</v>
      </c>
      <c r="C7" s="64">
        <f>AVERAGE(L7,L22)</f>
        <v>1.7999999999999998</v>
      </c>
      <c r="D7" s="64">
        <f>MAX(M7,M22)</f>
        <v>10.5</v>
      </c>
      <c r="E7" s="69">
        <v>10</v>
      </c>
      <c r="F7" s="64">
        <f>AVERAGE(N7,N22)</f>
        <v>1.7999999999999998</v>
      </c>
      <c r="G7" s="64">
        <f>MAX(O7,O22)</f>
        <v>5.2</v>
      </c>
      <c r="J7" s="389" t="s">
        <v>192</v>
      </c>
      <c r="K7" s="66" t="s">
        <v>409</v>
      </c>
      <c r="L7" s="64">
        <v>2.4</v>
      </c>
      <c r="M7" s="64">
        <v>10.5</v>
      </c>
      <c r="N7" s="64">
        <v>2.4</v>
      </c>
      <c r="O7" s="64">
        <v>5.2</v>
      </c>
      <c r="Q7" s="365"/>
      <c r="R7" s="365"/>
      <c r="S7" s="365"/>
    </row>
    <row r="8" spans="1:19" x14ac:dyDescent="0.25">
      <c r="A8" s="66" t="s">
        <v>410</v>
      </c>
      <c r="B8" s="63">
        <f>+B7</f>
        <v>0</v>
      </c>
      <c r="C8" s="64">
        <f t="shared" ref="C8" si="0">AVERAGE(L8,L23)</f>
        <v>2.5</v>
      </c>
      <c r="D8" s="64">
        <f t="shared" ref="D8:D18" si="1">MAX(M8,M23)</f>
        <v>12.4</v>
      </c>
      <c r="E8" s="63">
        <f>+E7</f>
        <v>10</v>
      </c>
      <c r="F8" s="64">
        <f t="shared" ref="F8" si="2">AVERAGE(N8,N23)</f>
        <v>2.4500000000000002</v>
      </c>
      <c r="G8" s="64">
        <f t="shared" ref="G8:G18" si="3">MAX(O8,O23)</f>
        <v>5.4</v>
      </c>
      <c r="J8" s="389"/>
      <c r="K8" s="66" t="s">
        <v>410</v>
      </c>
      <c r="L8" s="64">
        <v>3.9</v>
      </c>
      <c r="M8" s="64">
        <v>12.4</v>
      </c>
      <c r="N8" s="64">
        <v>3.8</v>
      </c>
      <c r="O8" s="64">
        <v>5.4</v>
      </c>
      <c r="Q8" s="365"/>
      <c r="R8" s="365"/>
      <c r="S8" s="365"/>
    </row>
    <row r="9" spans="1:19" x14ac:dyDescent="0.25">
      <c r="A9" s="66" t="s">
        <v>411</v>
      </c>
      <c r="B9" s="63">
        <f t="shared" ref="B9:B18" si="4">+B8</f>
        <v>0</v>
      </c>
      <c r="C9" s="64">
        <f t="shared" ref="C9" si="5">AVERAGE(L9,L24)</f>
        <v>1.45</v>
      </c>
      <c r="D9" s="64">
        <f t="shared" si="1"/>
        <v>7.4</v>
      </c>
      <c r="E9" s="63">
        <f t="shared" ref="E9:E18" si="6">+E8</f>
        <v>10</v>
      </c>
      <c r="F9" s="64">
        <f t="shared" ref="F9" si="7">AVERAGE(N9,N24)</f>
        <v>1.45</v>
      </c>
      <c r="G9" s="64">
        <f t="shared" si="3"/>
        <v>4.0999999999999996</v>
      </c>
      <c r="J9" s="389"/>
      <c r="K9" s="66" t="s">
        <v>411</v>
      </c>
      <c r="L9" s="64">
        <v>1.9</v>
      </c>
      <c r="M9" s="64">
        <v>7.4</v>
      </c>
      <c r="N9" s="64">
        <v>1.9</v>
      </c>
      <c r="O9" s="64">
        <v>4.0999999999999996</v>
      </c>
      <c r="Q9" s="78" t="s">
        <v>412</v>
      </c>
    </row>
    <row r="10" spans="1:19" ht="14.25" customHeight="1" x14ac:dyDescent="0.25">
      <c r="A10" s="66" t="s">
        <v>413</v>
      </c>
      <c r="B10" s="63">
        <f t="shared" si="4"/>
        <v>0</v>
      </c>
      <c r="C10" s="64">
        <f t="shared" ref="C10" si="8">AVERAGE(L10,L25)</f>
        <v>1.7000000000000002</v>
      </c>
      <c r="D10" s="64">
        <f t="shared" si="1"/>
        <v>7.5</v>
      </c>
      <c r="E10" s="63">
        <f t="shared" si="6"/>
        <v>10</v>
      </c>
      <c r="F10" s="64">
        <f t="shared" ref="F10" si="9">AVERAGE(N10,N25)</f>
        <v>1.65</v>
      </c>
      <c r="G10" s="64">
        <f t="shared" si="3"/>
        <v>3.5</v>
      </c>
      <c r="J10" s="389"/>
      <c r="K10" s="66" t="s">
        <v>413</v>
      </c>
      <c r="L10" s="64">
        <v>2.2000000000000002</v>
      </c>
      <c r="M10" s="64">
        <v>7.5</v>
      </c>
      <c r="N10" s="64">
        <v>2.1</v>
      </c>
      <c r="O10" s="64">
        <v>3.5</v>
      </c>
      <c r="Q10" s="388" t="s">
        <v>414</v>
      </c>
      <c r="R10" s="388"/>
      <c r="S10" s="388"/>
    </row>
    <row r="11" spans="1:19" x14ac:dyDescent="0.25">
      <c r="A11" s="66" t="s">
        <v>415</v>
      </c>
      <c r="B11" s="63">
        <f t="shared" si="4"/>
        <v>0</v>
      </c>
      <c r="C11" s="64">
        <f t="shared" ref="C11" si="10">AVERAGE(L11,L26)</f>
        <v>1.7000000000000002</v>
      </c>
      <c r="D11" s="64">
        <f t="shared" si="1"/>
        <v>8.5</v>
      </c>
      <c r="E11" s="63">
        <f t="shared" si="6"/>
        <v>10</v>
      </c>
      <c r="F11" s="64">
        <f t="shared" ref="F11" si="11">AVERAGE(N11,N26)</f>
        <v>1.65</v>
      </c>
      <c r="G11" s="64">
        <f t="shared" si="3"/>
        <v>4</v>
      </c>
      <c r="J11" s="389"/>
      <c r="K11" s="66" t="s">
        <v>415</v>
      </c>
      <c r="L11" s="64">
        <v>2.1</v>
      </c>
      <c r="M11" s="64">
        <v>8.5</v>
      </c>
      <c r="N11" s="64">
        <v>2</v>
      </c>
      <c r="O11" s="64">
        <v>4</v>
      </c>
      <c r="Q11" s="388"/>
      <c r="R11" s="388"/>
      <c r="S11" s="388"/>
    </row>
    <row r="12" spans="1:19" x14ac:dyDescent="0.25">
      <c r="A12" s="66" t="s">
        <v>416</v>
      </c>
      <c r="B12" s="63">
        <f t="shared" si="4"/>
        <v>0</v>
      </c>
      <c r="C12" s="64">
        <f t="shared" ref="C12" si="12">AVERAGE(L12,L27)</f>
        <v>1.95</v>
      </c>
      <c r="D12" s="64">
        <f t="shared" si="1"/>
        <v>8.3000000000000007</v>
      </c>
      <c r="E12" s="63">
        <f t="shared" si="6"/>
        <v>10</v>
      </c>
      <c r="F12" s="64">
        <f t="shared" ref="F12" si="13">AVERAGE(N12,N27)</f>
        <v>1.9</v>
      </c>
      <c r="G12" s="64">
        <f t="shared" si="3"/>
        <v>3.1</v>
      </c>
      <c r="J12" s="389"/>
      <c r="K12" s="66" t="s">
        <v>416</v>
      </c>
      <c r="L12" s="64">
        <v>2</v>
      </c>
      <c r="M12" s="64">
        <v>8.3000000000000007</v>
      </c>
      <c r="N12" s="64">
        <v>1.9</v>
      </c>
      <c r="O12" s="64">
        <v>3.1</v>
      </c>
      <c r="Q12" s="388"/>
      <c r="R12" s="388"/>
      <c r="S12" s="388"/>
    </row>
    <row r="13" spans="1:19" ht="14.25" customHeight="1" x14ac:dyDescent="0.25">
      <c r="A13" s="66" t="s">
        <v>417</v>
      </c>
      <c r="B13" s="63">
        <f t="shared" si="4"/>
        <v>0</v>
      </c>
      <c r="C13" s="64">
        <f t="shared" ref="C13" si="14">AVERAGE(L13,L28)</f>
        <v>1.5</v>
      </c>
      <c r="D13" s="64">
        <f t="shared" si="1"/>
        <v>8.4</v>
      </c>
      <c r="E13" s="63">
        <f t="shared" si="6"/>
        <v>10</v>
      </c>
      <c r="F13" s="64">
        <f t="shared" ref="F13" si="15">AVERAGE(N13,N28)</f>
        <v>1.4500000000000002</v>
      </c>
      <c r="G13" s="64">
        <f t="shared" si="3"/>
        <v>2.6</v>
      </c>
      <c r="J13" s="389"/>
      <c r="K13" s="66" t="s">
        <v>417</v>
      </c>
      <c r="L13" s="64">
        <v>1.7</v>
      </c>
      <c r="M13" s="64">
        <v>8.4</v>
      </c>
      <c r="N13" s="64">
        <v>1.6</v>
      </c>
      <c r="O13" s="64">
        <v>2.6</v>
      </c>
      <c r="Q13" s="388" t="s">
        <v>418</v>
      </c>
      <c r="R13" s="388"/>
      <c r="S13" s="388"/>
    </row>
    <row r="14" spans="1:19" x14ac:dyDescent="0.25">
      <c r="A14" s="66" t="s">
        <v>419</v>
      </c>
      <c r="B14" s="63">
        <f t="shared" si="4"/>
        <v>0</v>
      </c>
      <c r="C14" s="64">
        <f t="shared" ref="C14" si="16">AVERAGE(L14,L29)</f>
        <v>1.3</v>
      </c>
      <c r="D14" s="64">
        <f t="shared" si="1"/>
        <v>7.2</v>
      </c>
      <c r="E14" s="63">
        <f t="shared" si="6"/>
        <v>10</v>
      </c>
      <c r="F14" s="64">
        <f t="shared" ref="F14" si="17">AVERAGE(N14,N29)</f>
        <v>1.2</v>
      </c>
      <c r="G14" s="64">
        <f t="shared" si="3"/>
        <v>2.6</v>
      </c>
      <c r="J14" s="389"/>
      <c r="K14" s="66" t="s">
        <v>419</v>
      </c>
      <c r="L14" s="64">
        <v>1.6</v>
      </c>
      <c r="M14" s="64">
        <v>7.2</v>
      </c>
      <c r="N14" s="64">
        <v>1.5</v>
      </c>
      <c r="O14" s="64">
        <v>2.6</v>
      </c>
      <c r="Q14" s="388"/>
      <c r="R14" s="388"/>
      <c r="S14" s="388"/>
    </row>
    <row r="15" spans="1:19" x14ac:dyDescent="0.25">
      <c r="A15" s="66" t="s">
        <v>420</v>
      </c>
      <c r="B15" s="63">
        <f t="shared" si="4"/>
        <v>0</v>
      </c>
      <c r="C15" s="64">
        <f t="shared" ref="C15" si="18">AVERAGE(L15,L30)</f>
        <v>1.35</v>
      </c>
      <c r="D15" s="64">
        <f t="shared" si="1"/>
        <v>9.9</v>
      </c>
      <c r="E15" s="63">
        <f t="shared" si="6"/>
        <v>10</v>
      </c>
      <c r="F15" s="64">
        <f t="shared" ref="F15" si="19">AVERAGE(N15,N30)</f>
        <v>1.35</v>
      </c>
      <c r="G15" s="64">
        <f t="shared" si="3"/>
        <v>4</v>
      </c>
      <c r="J15" s="389"/>
      <c r="K15" s="66" t="s">
        <v>420</v>
      </c>
      <c r="L15" s="64">
        <v>1.7</v>
      </c>
      <c r="M15" s="64">
        <v>9.9</v>
      </c>
      <c r="N15" s="64">
        <v>1.7</v>
      </c>
      <c r="O15" s="64">
        <v>4</v>
      </c>
      <c r="Q15" s="388"/>
      <c r="R15" s="388"/>
      <c r="S15" s="388"/>
    </row>
    <row r="16" spans="1:19" x14ac:dyDescent="0.25">
      <c r="A16" s="66" t="s">
        <v>421</v>
      </c>
      <c r="B16" s="63">
        <f t="shared" si="4"/>
        <v>0</v>
      </c>
      <c r="C16" s="64">
        <f t="shared" ref="C16" si="20">AVERAGE(L16,L31)</f>
        <v>1.4500000000000002</v>
      </c>
      <c r="D16" s="64">
        <f t="shared" si="1"/>
        <v>10.6</v>
      </c>
      <c r="E16" s="63">
        <f t="shared" si="6"/>
        <v>10</v>
      </c>
      <c r="F16" s="64">
        <f t="shared" ref="F16" si="21">AVERAGE(N16,N31)</f>
        <v>1.4500000000000002</v>
      </c>
      <c r="G16" s="64">
        <f t="shared" si="3"/>
        <v>3.7</v>
      </c>
      <c r="J16" s="389"/>
      <c r="K16" s="66" t="s">
        <v>421</v>
      </c>
      <c r="L16" s="64">
        <v>1.8</v>
      </c>
      <c r="M16" s="64">
        <v>10.6</v>
      </c>
      <c r="N16" s="64">
        <v>1.8</v>
      </c>
      <c r="O16" s="64">
        <v>3.7</v>
      </c>
      <c r="Q16" s="388"/>
      <c r="R16" s="388"/>
      <c r="S16" s="388"/>
    </row>
    <row r="17" spans="1:15" x14ac:dyDescent="0.25">
      <c r="A17" s="66" t="s">
        <v>422</v>
      </c>
      <c r="B17" s="63">
        <f t="shared" si="4"/>
        <v>0</v>
      </c>
      <c r="C17" s="64">
        <f t="shared" ref="C17" si="22">AVERAGE(L17,L32)</f>
        <v>1.9</v>
      </c>
      <c r="D17" s="64">
        <f t="shared" si="1"/>
        <v>10.9</v>
      </c>
      <c r="E17" s="63">
        <f t="shared" si="6"/>
        <v>10</v>
      </c>
      <c r="F17" s="64">
        <f t="shared" ref="F17" si="23">AVERAGE(N17,N32)</f>
        <v>1.85</v>
      </c>
      <c r="G17" s="64">
        <f t="shared" si="3"/>
        <v>3.3</v>
      </c>
      <c r="J17" s="389"/>
      <c r="K17" s="66" t="s">
        <v>422</v>
      </c>
      <c r="L17" s="64">
        <v>2.1</v>
      </c>
      <c r="M17" s="64">
        <v>10.9</v>
      </c>
      <c r="N17" s="64">
        <v>2</v>
      </c>
      <c r="O17" s="64">
        <v>3.3</v>
      </c>
    </row>
    <row r="18" spans="1:15" x14ac:dyDescent="0.25">
      <c r="A18" s="66" t="s">
        <v>423</v>
      </c>
      <c r="B18" s="63">
        <f t="shared" si="4"/>
        <v>0</v>
      </c>
      <c r="C18" s="64">
        <f t="shared" ref="C18" si="24">AVERAGE(L18,L33)</f>
        <v>1.3</v>
      </c>
      <c r="D18" s="64">
        <f t="shared" si="1"/>
        <v>5.2</v>
      </c>
      <c r="E18" s="63">
        <f t="shared" si="6"/>
        <v>10</v>
      </c>
      <c r="F18" s="64">
        <f t="shared" ref="F18" si="25">AVERAGE(N18,N33)</f>
        <v>1.3</v>
      </c>
      <c r="G18" s="64">
        <f t="shared" si="3"/>
        <v>2</v>
      </c>
      <c r="J18" s="389"/>
      <c r="K18" s="66" t="s">
        <v>423</v>
      </c>
      <c r="L18" s="64">
        <v>1.3</v>
      </c>
      <c r="M18" s="64">
        <v>5.2</v>
      </c>
      <c r="N18" s="64">
        <v>1.3</v>
      </c>
      <c r="O18" s="64">
        <v>1.9</v>
      </c>
    </row>
    <row r="19" spans="1:15" x14ac:dyDescent="0.25">
      <c r="J19" s="389"/>
      <c r="K19" s="62" t="s">
        <v>424</v>
      </c>
      <c r="L19" s="111">
        <f>AVERAGE(L7:L18)</f>
        <v>2.0583333333333336</v>
      </c>
      <c r="M19" s="111">
        <f>MAX(M7:M18)</f>
        <v>12.4</v>
      </c>
      <c r="N19" s="111">
        <f>AVERAGE(N7:N18)</f>
        <v>2</v>
      </c>
      <c r="O19" s="111">
        <f>MAX(O7:O18)</f>
        <v>5.4</v>
      </c>
    </row>
    <row r="21" spans="1:15" ht="41.4" x14ac:dyDescent="0.25">
      <c r="J21" s="61">
        <f>+A6</f>
        <v>2022</v>
      </c>
      <c r="K21" s="61" t="s">
        <v>406</v>
      </c>
      <c r="L21" s="67" t="s">
        <v>401</v>
      </c>
      <c r="M21" s="67" t="s">
        <v>407</v>
      </c>
      <c r="N21" s="67" t="s">
        <v>404</v>
      </c>
      <c r="O21" s="67" t="s">
        <v>408</v>
      </c>
    </row>
    <row r="22" spans="1:15" x14ac:dyDescent="0.25">
      <c r="J22" s="389" t="s">
        <v>193</v>
      </c>
      <c r="K22" s="66" t="s">
        <v>409</v>
      </c>
      <c r="L22" s="64">
        <v>1.2</v>
      </c>
      <c r="M22" s="64">
        <v>4.4000000000000004</v>
      </c>
      <c r="N22" s="64">
        <v>1.2</v>
      </c>
      <c r="O22" s="64">
        <v>1.7</v>
      </c>
    </row>
    <row r="23" spans="1:15" x14ac:dyDescent="0.25">
      <c r="J23" s="389"/>
      <c r="K23" s="66" t="s">
        <v>410</v>
      </c>
      <c r="L23" s="64">
        <v>1.1000000000000001</v>
      </c>
      <c r="M23" s="64">
        <v>5.7</v>
      </c>
      <c r="N23" s="64">
        <v>1.1000000000000001</v>
      </c>
      <c r="O23" s="64">
        <v>1.6</v>
      </c>
    </row>
    <row r="24" spans="1:15" x14ac:dyDescent="0.25">
      <c r="J24" s="389"/>
      <c r="K24" s="66" t="s">
        <v>411</v>
      </c>
      <c r="L24" s="64">
        <v>1</v>
      </c>
      <c r="M24" s="64">
        <v>3.7</v>
      </c>
      <c r="N24" s="64">
        <v>1</v>
      </c>
      <c r="O24" s="64">
        <v>1.9</v>
      </c>
    </row>
    <row r="25" spans="1:15" x14ac:dyDescent="0.25">
      <c r="J25" s="389"/>
      <c r="K25" s="66" t="s">
        <v>413</v>
      </c>
      <c r="L25" s="64">
        <v>1.2</v>
      </c>
      <c r="M25" s="64">
        <v>6.2</v>
      </c>
      <c r="N25" s="64">
        <v>1.2</v>
      </c>
      <c r="O25" s="64">
        <v>2.1</v>
      </c>
    </row>
    <row r="26" spans="1:15" x14ac:dyDescent="0.25">
      <c r="J26" s="389"/>
      <c r="K26" s="66" t="s">
        <v>415</v>
      </c>
      <c r="L26" s="64">
        <v>1.3</v>
      </c>
      <c r="M26" s="64">
        <v>5.6</v>
      </c>
      <c r="N26" s="64">
        <v>1.3</v>
      </c>
      <c r="O26" s="64">
        <v>2.2000000000000002</v>
      </c>
    </row>
    <row r="27" spans="1:15" x14ac:dyDescent="0.25">
      <c r="J27" s="389"/>
      <c r="K27" s="66" t="s">
        <v>416</v>
      </c>
      <c r="L27" s="64">
        <v>1.9</v>
      </c>
      <c r="M27" s="64">
        <v>6.8</v>
      </c>
      <c r="N27" s="64">
        <v>1.9</v>
      </c>
      <c r="O27" s="64">
        <v>3.1</v>
      </c>
    </row>
    <row r="28" spans="1:15" x14ac:dyDescent="0.25">
      <c r="J28" s="389"/>
      <c r="K28" s="66" t="s">
        <v>417</v>
      </c>
      <c r="L28" s="64">
        <v>1.3</v>
      </c>
      <c r="M28" s="64">
        <v>4.3</v>
      </c>
      <c r="N28" s="64">
        <v>1.3</v>
      </c>
      <c r="O28" s="64">
        <v>2.2000000000000002</v>
      </c>
    </row>
    <row r="29" spans="1:15" x14ac:dyDescent="0.25">
      <c r="J29" s="389"/>
      <c r="K29" s="66" t="s">
        <v>419</v>
      </c>
      <c r="L29" s="64">
        <v>1</v>
      </c>
      <c r="M29" s="64">
        <v>4.3</v>
      </c>
      <c r="N29" s="64">
        <v>0.9</v>
      </c>
      <c r="O29" s="64">
        <v>1.5</v>
      </c>
    </row>
    <row r="30" spans="1:15" x14ac:dyDescent="0.25">
      <c r="J30" s="389"/>
      <c r="K30" s="66" t="s">
        <v>420</v>
      </c>
      <c r="L30" s="64">
        <v>1</v>
      </c>
      <c r="M30" s="64">
        <v>4.0999999999999996</v>
      </c>
      <c r="N30" s="64">
        <v>1</v>
      </c>
      <c r="O30" s="64">
        <v>1.9</v>
      </c>
    </row>
    <row r="31" spans="1:15" x14ac:dyDescent="0.25">
      <c r="J31" s="389"/>
      <c r="K31" s="66" t="s">
        <v>421</v>
      </c>
      <c r="L31" s="64">
        <v>1.1000000000000001</v>
      </c>
      <c r="M31" s="64">
        <v>4.8</v>
      </c>
      <c r="N31" s="64">
        <v>1.1000000000000001</v>
      </c>
      <c r="O31" s="64">
        <v>1.8</v>
      </c>
    </row>
    <row r="32" spans="1:15" x14ac:dyDescent="0.25">
      <c r="J32" s="389"/>
      <c r="K32" s="66" t="s">
        <v>422</v>
      </c>
      <c r="L32" s="64">
        <v>1.7</v>
      </c>
      <c r="M32" s="64">
        <v>5.3</v>
      </c>
      <c r="N32" s="64">
        <v>1.7</v>
      </c>
      <c r="O32" s="64">
        <v>2.4</v>
      </c>
    </row>
    <row r="33" spans="1:15" x14ac:dyDescent="0.25">
      <c r="J33" s="389"/>
      <c r="K33" s="66" t="s">
        <v>423</v>
      </c>
      <c r="L33" s="64">
        <v>1.3</v>
      </c>
      <c r="M33" s="64">
        <v>4.5999999999999996</v>
      </c>
      <c r="N33" s="64">
        <v>1.3</v>
      </c>
      <c r="O33" s="64">
        <v>2</v>
      </c>
    </row>
    <row r="34" spans="1:15" x14ac:dyDescent="0.25">
      <c r="J34" s="389"/>
      <c r="K34" s="62" t="s">
        <v>424</v>
      </c>
      <c r="L34" s="111">
        <f>AVERAGE(L22:L33)</f>
        <v>1.2583333333333333</v>
      </c>
      <c r="M34" s="111">
        <f>MAX(M22:M33)</f>
        <v>6.8</v>
      </c>
      <c r="N34" s="111">
        <f>AVERAGE(N22:N33)</f>
        <v>1.25</v>
      </c>
      <c r="O34" s="111">
        <f>MAX(O22:O33)</f>
        <v>3.1</v>
      </c>
    </row>
    <row r="36" spans="1:15" ht="41.4" x14ac:dyDescent="0.25">
      <c r="J36" s="61">
        <f>+A6</f>
        <v>2022</v>
      </c>
      <c r="K36" s="61" t="s">
        <v>406</v>
      </c>
      <c r="L36" s="67" t="s">
        <v>401</v>
      </c>
      <c r="M36" s="67" t="s">
        <v>407</v>
      </c>
      <c r="N36" s="67" t="s">
        <v>404</v>
      </c>
      <c r="O36" s="67" t="s">
        <v>408</v>
      </c>
    </row>
    <row r="37" spans="1:15" x14ac:dyDescent="0.25">
      <c r="J37" s="389" t="s">
        <v>194</v>
      </c>
      <c r="K37" s="66" t="s">
        <v>409</v>
      </c>
      <c r="L37" s="64"/>
      <c r="M37" s="64"/>
      <c r="N37" s="64"/>
      <c r="O37" s="64"/>
    </row>
    <row r="38" spans="1:15" x14ac:dyDescent="0.25">
      <c r="J38" s="389"/>
      <c r="K38" s="66" t="s">
        <v>410</v>
      </c>
      <c r="L38" s="64"/>
      <c r="M38" s="64"/>
      <c r="N38" s="64"/>
      <c r="O38" s="64"/>
    </row>
    <row r="39" spans="1:15" x14ac:dyDescent="0.25">
      <c r="J39" s="389"/>
      <c r="K39" s="66" t="s">
        <v>411</v>
      </c>
      <c r="L39" s="64"/>
      <c r="M39" s="64"/>
      <c r="N39" s="64"/>
      <c r="O39" s="64"/>
    </row>
    <row r="40" spans="1:15" x14ac:dyDescent="0.25">
      <c r="J40" s="389"/>
      <c r="K40" s="66" t="s">
        <v>413</v>
      </c>
      <c r="L40" s="64"/>
      <c r="M40" s="64"/>
      <c r="N40" s="64"/>
      <c r="O40" s="64"/>
    </row>
    <row r="41" spans="1:15" x14ac:dyDescent="0.25">
      <c r="J41" s="389"/>
      <c r="K41" s="66" t="s">
        <v>415</v>
      </c>
      <c r="L41" s="64"/>
      <c r="M41" s="64"/>
      <c r="N41" s="64"/>
      <c r="O41" s="64"/>
    </row>
    <row r="42" spans="1:15" x14ac:dyDescent="0.25">
      <c r="J42" s="389"/>
      <c r="K42" s="66" t="s">
        <v>416</v>
      </c>
      <c r="L42" s="64"/>
      <c r="M42" s="64"/>
      <c r="N42" s="64"/>
      <c r="O42" s="64"/>
    </row>
    <row r="43" spans="1:15" x14ac:dyDescent="0.25">
      <c r="J43" s="389"/>
      <c r="K43" s="66" t="s">
        <v>417</v>
      </c>
      <c r="L43" s="64"/>
      <c r="M43" s="64"/>
      <c r="N43" s="64"/>
      <c r="O43" s="64"/>
    </row>
    <row r="44" spans="1:15" x14ac:dyDescent="0.25">
      <c r="J44" s="389"/>
      <c r="K44" s="66" t="s">
        <v>419</v>
      </c>
      <c r="L44" s="64"/>
      <c r="M44" s="64"/>
      <c r="N44" s="64"/>
      <c r="O44" s="64"/>
    </row>
    <row r="45" spans="1:15" x14ac:dyDescent="0.25">
      <c r="J45" s="389"/>
      <c r="K45" s="66" t="s">
        <v>420</v>
      </c>
      <c r="L45" s="64"/>
      <c r="M45" s="64"/>
      <c r="N45" s="64"/>
      <c r="O45" s="64"/>
    </row>
    <row r="46" spans="1:15" x14ac:dyDescent="0.25">
      <c r="J46" s="389"/>
      <c r="K46" s="66" t="s">
        <v>421</v>
      </c>
      <c r="L46" s="64"/>
      <c r="M46" s="64"/>
      <c r="N46" s="64"/>
      <c r="O46" s="64"/>
    </row>
    <row r="47" spans="1:15" x14ac:dyDescent="0.25">
      <c r="J47" s="389"/>
      <c r="K47" s="66" t="s">
        <v>422</v>
      </c>
      <c r="L47" s="64"/>
      <c r="M47" s="64"/>
      <c r="N47" s="64"/>
      <c r="O47" s="64"/>
    </row>
    <row r="48" spans="1:15" x14ac:dyDescent="0.25">
      <c r="A48" s="401" t="s">
        <v>304</v>
      </c>
      <c r="B48" s="402"/>
      <c r="C48" s="402"/>
      <c r="D48" s="402"/>
      <c r="E48" s="402"/>
      <c r="F48" s="402"/>
      <c r="G48" s="403"/>
      <c r="J48" s="389"/>
      <c r="K48" s="66" t="s">
        <v>423</v>
      </c>
      <c r="L48" s="64"/>
      <c r="M48" s="64"/>
      <c r="N48" s="64"/>
      <c r="O48" s="64"/>
    </row>
    <row r="49" spans="1:15" x14ac:dyDescent="0.25">
      <c r="A49" s="392" t="s">
        <v>455</v>
      </c>
      <c r="B49" s="393"/>
      <c r="C49" s="393"/>
      <c r="D49" s="393"/>
      <c r="E49" s="393"/>
      <c r="F49" s="393"/>
      <c r="G49" s="394"/>
      <c r="J49" s="389"/>
      <c r="K49" s="62" t="s">
        <v>424</v>
      </c>
      <c r="L49" s="62" t="e">
        <f>AVERAGE(L37:L48)</f>
        <v>#DIV/0!</v>
      </c>
      <c r="M49" s="62">
        <f>MAX(M37:M48)</f>
        <v>0</v>
      </c>
      <c r="N49" s="62" t="e">
        <f>AVERAGE(N37:N48)</f>
        <v>#DIV/0!</v>
      </c>
      <c r="O49" s="62">
        <f>MAX(O37:O48)</f>
        <v>0</v>
      </c>
    </row>
    <row r="50" spans="1:15" x14ac:dyDescent="0.25">
      <c r="A50" s="395"/>
      <c r="B50" s="396"/>
      <c r="C50" s="396"/>
      <c r="D50" s="396"/>
      <c r="E50" s="396"/>
      <c r="F50" s="396"/>
      <c r="G50" s="397"/>
    </row>
    <row r="51" spans="1:15" ht="41.4" x14ac:dyDescent="0.25">
      <c r="A51" s="395"/>
      <c r="B51" s="396"/>
      <c r="C51" s="396"/>
      <c r="D51" s="396"/>
      <c r="E51" s="396"/>
      <c r="F51" s="396"/>
      <c r="G51" s="397"/>
      <c r="J51" s="61">
        <f>+A6</f>
        <v>2022</v>
      </c>
      <c r="K51" s="61" t="s">
        <v>406</v>
      </c>
      <c r="L51" s="67" t="s">
        <v>401</v>
      </c>
      <c r="M51" s="67" t="s">
        <v>407</v>
      </c>
      <c r="N51" s="67" t="s">
        <v>404</v>
      </c>
      <c r="O51" s="67" t="s">
        <v>408</v>
      </c>
    </row>
    <row r="52" spans="1:15" x14ac:dyDescent="0.25">
      <c r="A52" s="398"/>
      <c r="B52" s="399"/>
      <c r="C52" s="399"/>
      <c r="D52" s="399"/>
      <c r="E52" s="399"/>
      <c r="F52" s="399"/>
      <c r="G52" s="400"/>
      <c r="J52" s="389" t="s">
        <v>195</v>
      </c>
      <c r="K52" s="66" t="s">
        <v>409</v>
      </c>
      <c r="L52" s="64"/>
      <c r="M52" s="64"/>
      <c r="N52" s="64"/>
      <c r="O52" s="64"/>
    </row>
    <row r="53" spans="1:15" x14ac:dyDescent="0.25">
      <c r="J53" s="389"/>
      <c r="K53" s="66" t="s">
        <v>410</v>
      </c>
      <c r="L53" s="64"/>
      <c r="M53" s="64"/>
      <c r="N53" s="64"/>
      <c r="O53" s="64"/>
    </row>
    <row r="54" spans="1:15" x14ac:dyDescent="0.25">
      <c r="J54" s="389"/>
      <c r="K54" s="66" t="s">
        <v>415</v>
      </c>
      <c r="L54" s="64"/>
      <c r="M54" s="64"/>
      <c r="N54" s="64"/>
      <c r="O54" s="64"/>
    </row>
    <row r="55" spans="1:15" x14ac:dyDescent="0.25">
      <c r="J55" s="389"/>
      <c r="K55" s="66" t="s">
        <v>416</v>
      </c>
      <c r="L55" s="64"/>
      <c r="M55" s="64"/>
      <c r="N55" s="64"/>
      <c r="O55" s="64"/>
    </row>
    <row r="56" spans="1:15" x14ac:dyDescent="0.25">
      <c r="J56" s="389"/>
      <c r="K56" s="66" t="s">
        <v>417</v>
      </c>
      <c r="L56" s="64"/>
      <c r="M56" s="64"/>
      <c r="N56" s="64"/>
      <c r="O56" s="64"/>
    </row>
    <row r="57" spans="1:15" x14ac:dyDescent="0.25">
      <c r="J57" s="389"/>
      <c r="K57" s="66" t="s">
        <v>419</v>
      </c>
      <c r="L57" s="64"/>
      <c r="M57" s="64"/>
      <c r="N57" s="64"/>
      <c r="O57" s="64"/>
    </row>
    <row r="58" spans="1:15" x14ac:dyDescent="0.25">
      <c r="J58" s="389"/>
      <c r="K58" s="66" t="s">
        <v>420</v>
      </c>
      <c r="L58" s="64"/>
      <c r="M58" s="64"/>
      <c r="N58" s="64"/>
      <c r="O58" s="64"/>
    </row>
    <row r="59" spans="1:15" x14ac:dyDescent="0.25">
      <c r="J59" s="389"/>
      <c r="K59" s="66" t="s">
        <v>421</v>
      </c>
      <c r="L59" s="64"/>
      <c r="M59" s="64"/>
      <c r="N59" s="64"/>
      <c r="O59" s="64"/>
    </row>
    <row r="60" spans="1:15" x14ac:dyDescent="0.25">
      <c r="J60" s="389"/>
      <c r="K60" s="66" t="s">
        <v>422</v>
      </c>
      <c r="L60" s="64"/>
      <c r="M60" s="64"/>
      <c r="N60" s="64"/>
      <c r="O60" s="64"/>
    </row>
    <row r="61" spans="1:15" x14ac:dyDescent="0.25">
      <c r="J61" s="389"/>
      <c r="K61" s="66" t="s">
        <v>423</v>
      </c>
      <c r="L61" s="64"/>
      <c r="M61" s="64"/>
      <c r="N61" s="64"/>
      <c r="O61" s="64"/>
    </row>
    <row r="62" spans="1:15" x14ac:dyDescent="0.25">
      <c r="J62" s="389"/>
      <c r="K62" s="62" t="s">
        <v>424</v>
      </c>
      <c r="L62" s="62" t="e">
        <f>AVERAGE(L52:L61)</f>
        <v>#DIV/0!</v>
      </c>
      <c r="M62" s="62">
        <f>MAX(M52:M61)</f>
        <v>0</v>
      </c>
      <c r="N62" s="62" t="e">
        <f>AVERAGE(N52:N61)</f>
        <v>#DIV/0!</v>
      </c>
      <c r="O62" s="62">
        <f>MAX(O52:O61)</f>
        <v>0</v>
      </c>
    </row>
    <row r="64" spans="1:15" ht="41.4" x14ac:dyDescent="0.25">
      <c r="J64" s="61">
        <f>+A6</f>
        <v>2022</v>
      </c>
      <c r="K64" s="61" t="s">
        <v>406</v>
      </c>
      <c r="L64" s="67" t="s">
        <v>401</v>
      </c>
      <c r="M64" s="67" t="s">
        <v>407</v>
      </c>
      <c r="N64" s="67" t="s">
        <v>404</v>
      </c>
      <c r="O64" s="67" t="s">
        <v>408</v>
      </c>
    </row>
    <row r="65" spans="10:15" x14ac:dyDescent="0.25">
      <c r="J65" s="389" t="s">
        <v>196</v>
      </c>
      <c r="K65" s="66" t="s">
        <v>409</v>
      </c>
      <c r="L65" s="64"/>
      <c r="M65" s="64"/>
      <c r="N65" s="64"/>
      <c r="O65" s="64"/>
    </row>
    <row r="66" spans="10:15" x14ac:dyDescent="0.25">
      <c r="J66" s="389"/>
      <c r="K66" s="66" t="s">
        <v>410</v>
      </c>
      <c r="L66" s="64"/>
      <c r="M66" s="64"/>
      <c r="N66" s="64"/>
      <c r="O66" s="64"/>
    </row>
    <row r="67" spans="10:15" x14ac:dyDescent="0.25">
      <c r="J67" s="389"/>
      <c r="K67" s="66" t="s">
        <v>411</v>
      </c>
      <c r="L67" s="64"/>
      <c r="M67" s="64"/>
      <c r="N67" s="64"/>
      <c r="O67" s="64"/>
    </row>
    <row r="68" spans="10:15" x14ac:dyDescent="0.25">
      <c r="J68" s="389"/>
      <c r="K68" s="66" t="s">
        <v>413</v>
      </c>
      <c r="L68" s="64"/>
      <c r="M68" s="64"/>
      <c r="N68" s="64"/>
      <c r="O68" s="64"/>
    </row>
    <row r="69" spans="10:15" x14ac:dyDescent="0.25">
      <c r="J69" s="389"/>
      <c r="K69" s="66" t="s">
        <v>415</v>
      </c>
      <c r="L69" s="64"/>
      <c r="M69" s="64"/>
      <c r="N69" s="64"/>
      <c r="O69" s="64"/>
    </row>
    <row r="70" spans="10:15" x14ac:dyDescent="0.25">
      <c r="J70" s="389"/>
      <c r="K70" s="66" t="s">
        <v>416</v>
      </c>
      <c r="L70" s="64"/>
      <c r="M70" s="64"/>
      <c r="N70" s="64"/>
      <c r="O70" s="64"/>
    </row>
    <row r="71" spans="10:15" x14ac:dyDescent="0.25">
      <c r="J71" s="389"/>
      <c r="K71" s="66" t="s">
        <v>417</v>
      </c>
      <c r="L71" s="64"/>
      <c r="M71" s="64"/>
      <c r="N71" s="64"/>
      <c r="O71" s="64"/>
    </row>
    <row r="72" spans="10:15" x14ac:dyDescent="0.25">
      <c r="J72" s="389"/>
      <c r="K72" s="66" t="s">
        <v>419</v>
      </c>
      <c r="L72" s="64"/>
      <c r="M72" s="64"/>
      <c r="N72" s="64"/>
      <c r="O72" s="64"/>
    </row>
    <row r="73" spans="10:15" x14ac:dyDescent="0.25">
      <c r="J73" s="389"/>
      <c r="K73" s="66" t="s">
        <v>420</v>
      </c>
      <c r="L73" s="64"/>
      <c r="M73" s="64"/>
      <c r="N73" s="64"/>
      <c r="O73" s="64"/>
    </row>
    <row r="74" spans="10:15" x14ac:dyDescent="0.25">
      <c r="J74" s="389"/>
      <c r="K74" s="66" t="s">
        <v>421</v>
      </c>
      <c r="L74" s="64"/>
      <c r="M74" s="64"/>
      <c r="N74" s="64"/>
      <c r="O74" s="64"/>
    </row>
    <row r="75" spans="10:15" x14ac:dyDescent="0.25">
      <c r="J75" s="389"/>
      <c r="K75" s="66" t="s">
        <v>422</v>
      </c>
      <c r="L75" s="64"/>
      <c r="M75" s="64"/>
      <c r="N75" s="64"/>
      <c r="O75" s="64"/>
    </row>
    <row r="76" spans="10:15" x14ac:dyDescent="0.25">
      <c r="J76" s="389"/>
      <c r="K76" s="66" t="s">
        <v>423</v>
      </c>
      <c r="L76" s="64"/>
      <c r="M76" s="64"/>
      <c r="N76" s="64"/>
      <c r="O76" s="64"/>
    </row>
    <row r="77" spans="10:15" x14ac:dyDescent="0.25">
      <c r="J77" s="389"/>
      <c r="K77" s="62" t="s">
        <v>424</v>
      </c>
      <c r="L77" s="62" t="e">
        <f>AVERAGE(L65:L76)</f>
        <v>#DIV/0!</v>
      </c>
      <c r="M77" s="62">
        <f>MAX(M65:M76)</f>
        <v>0</v>
      </c>
      <c r="N77" s="62" t="e">
        <f>AVERAGE(N65:N76)</f>
        <v>#DIV/0!</v>
      </c>
      <c r="O77" s="62">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FBE69E-1B75-46CE-8023-6398EE7C0098}">
  <ds:schemaRefs>
    <ds:schemaRef ds:uri="Microsoft.SharePoint.Taxonomy.ContentTypeSync"/>
  </ds:schemaRefs>
</ds:datastoreItem>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4.xml><?xml version="1.0" encoding="utf-8"?>
<ds:datastoreItem xmlns:ds="http://schemas.openxmlformats.org/officeDocument/2006/customXml" ds:itemID="{025F9F82-6604-4237-B1F2-B4F0CFC9C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23</vt:i4>
      </vt:variant>
    </vt:vector>
  </HeadingPairs>
  <TitlesOfParts>
    <vt:vector size="46" baseType="lpstr">
      <vt:lpstr>Cover Page</vt:lpstr>
      <vt:lpstr>Contents</vt:lpstr>
      <vt:lpstr>Facility Info</vt:lpstr>
      <vt:lpstr>Operational Summary</vt:lpstr>
      <vt:lpstr>Operational Data</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2023-03-22T17:35:18Z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