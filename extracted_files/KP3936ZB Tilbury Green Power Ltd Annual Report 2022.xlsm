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East Anglia/"/>
    </mc:Choice>
  </mc:AlternateContent>
  <xr:revisionPtr revIDLastSave="0" documentId="8_{C60940DD-FC62-46EE-8150-E7E8C7DD63CB}"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CO 95% 10 min" sheetId="30" r:id="rId21"/>
    <sheet name="NH3" sheetId="31" r:id="rId22"/>
  </sheets>
  <definedNames>
    <definedName name="_xlnm.Print_Area" localSheetId="13">'Air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3">'Operational Data'!$A$1:$H$64</definedName>
    <definedName name="_xlnm.Print_Area" localSheetId="4">'Operational Summary'!$A$1:$I$52</definedName>
    <definedName name="_xlnm.Print_Area" localSheetId="18">Particulates!$A$1:$G$52</definedName>
    <definedName name="_xlnm.Print_Area" localSheetId="5">'Perf. Form 1'!$A$1:$J$56</definedName>
    <definedName name="_xlnm.Print_Area" localSheetId="7">'Permit Compliance'!$A$1:$J$42</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4" i="7" l="1"/>
  <c r="H58" i="6"/>
  <c r="G58" i="6"/>
  <c r="H57" i="6" l="1"/>
  <c r="G61" i="6"/>
  <c r="H52" i="6" l="1"/>
  <c r="G17" i="6" l="1"/>
  <c r="H17" i="6" s="1"/>
  <c r="G16" i="6"/>
  <c r="H16" i="6" s="1"/>
  <c r="G43" i="6" l="1"/>
  <c r="H60" i="6" l="1"/>
  <c r="G13" i="6" l="1"/>
  <c r="H13" i="6" s="1"/>
  <c r="G44" i="6"/>
  <c r="J3" i="31" l="1"/>
  <c r="J3" i="30"/>
  <c r="J3" i="29"/>
  <c r="J3" i="28"/>
  <c r="J3" i="27"/>
  <c r="J3" i="26"/>
  <c r="J3" i="25"/>
  <c r="J3" i="13"/>
  <c r="G19" i="6" l="1"/>
  <c r="G56" i="6" l="1"/>
  <c r="G64" i="6" l="1"/>
  <c r="G63" i="6"/>
  <c r="H63" i="6" s="1"/>
  <c r="G62" i="6"/>
  <c r="G60" i="6"/>
  <c r="G52" i="6"/>
  <c r="G57" i="6" s="1"/>
  <c r="G53" i="6"/>
  <c r="G54" i="6"/>
  <c r="G55" i="6"/>
  <c r="G59" i="6"/>
  <c r="D18" i="6" l="1"/>
  <c r="E18" i="6"/>
  <c r="F18" i="6"/>
  <c r="C18" i="6"/>
  <c r="E1" i="31" l="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15" i="29"/>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3" i="7"/>
  <c r="I22" i="7"/>
  <c r="I21" i="7"/>
  <c r="I19" i="7"/>
  <c r="I14" i="7"/>
  <c r="I15" i="7"/>
  <c r="D27" i="6"/>
  <c r="E27" i="6"/>
  <c r="F27" i="6"/>
  <c r="C27" i="6"/>
  <c r="G7" i="8"/>
  <c r="D7" i="8"/>
  <c r="B5" i="8"/>
  <c r="G3" i="8"/>
  <c r="A3" i="8"/>
  <c r="A1" i="8"/>
  <c r="G24" i="7"/>
  <c r="E24" i="7"/>
  <c r="G16" i="7"/>
  <c r="E16" i="7"/>
  <c r="B4" i="7"/>
  <c r="G3" i="7"/>
  <c r="A3" i="7"/>
  <c r="A1" i="7"/>
  <c r="A8" i="7" s="1"/>
  <c r="H64" i="6"/>
  <c r="H62" i="6"/>
  <c r="B52" i="6"/>
  <c r="G49" i="6"/>
  <c r="G48" i="6"/>
  <c r="G47" i="6"/>
  <c r="G46" i="6"/>
  <c r="G45" i="6"/>
  <c r="G42" i="6"/>
  <c r="H42" i="6" s="1"/>
  <c r="G41" i="6"/>
  <c r="G38" i="6"/>
  <c r="H38" i="6" s="1"/>
  <c r="G37" i="6"/>
  <c r="H37" i="6" s="1"/>
  <c r="G36" i="6"/>
  <c r="G35" i="6"/>
  <c r="G34" i="6"/>
  <c r="G33" i="6"/>
  <c r="G29" i="6"/>
  <c r="D14" i="8" s="1"/>
  <c r="G28" i="6"/>
  <c r="H28" i="6" s="1"/>
  <c r="G26" i="6"/>
  <c r="D11" i="8" s="1"/>
  <c r="G25" i="6"/>
  <c r="G24" i="6"/>
  <c r="D12" i="8" s="1"/>
  <c r="G23" i="6"/>
  <c r="G20" i="6"/>
  <c r="G15" i="6"/>
  <c r="H15" i="6" s="1"/>
  <c r="G14" i="6"/>
  <c r="G12" i="6"/>
  <c r="G11" i="6"/>
  <c r="G10" i="6"/>
  <c r="G9" i="6"/>
  <c r="G8" i="6"/>
  <c r="H43" i="6" l="1"/>
  <c r="E37" i="7"/>
  <c r="H37" i="7" s="1"/>
  <c r="H45" i="6"/>
  <c r="G25" i="7"/>
  <c r="G18" i="6"/>
  <c r="H25" i="6" s="1"/>
  <c r="H29" i="6"/>
  <c r="G27" i="6"/>
  <c r="E25" i="7"/>
  <c r="E35" i="7"/>
  <c r="H8" i="6"/>
  <c r="D10" i="8"/>
  <c r="A32" i="7"/>
  <c r="A44" i="7" s="1"/>
  <c r="H36" i="7" l="1"/>
  <c r="H19" i="6"/>
  <c r="H20" i="6"/>
  <c r="H23" i="6"/>
  <c r="G10" i="8" s="1"/>
  <c r="H24" i="6"/>
  <c r="G12" i="8" s="1"/>
  <c r="H46" i="6"/>
  <c r="H41" i="6"/>
  <c r="I16" i="7"/>
  <c r="H35" i="7"/>
  <c r="H26" i="6"/>
  <c r="G11" i="8" s="1"/>
  <c r="I24" i="7"/>
  <c r="H38" i="7"/>
  <c r="H34" i="7"/>
  <c r="H18" i="6"/>
  <c r="I12" i="7"/>
  <c r="H44" i="6"/>
  <c r="I11" i="7"/>
  <c r="I20" i="7"/>
  <c r="I13" i="7"/>
  <c r="H47" i="6"/>
  <c r="H36" i="6"/>
  <c r="H12" i="6"/>
  <c r="I25" i="7"/>
  <c r="H35" i="6"/>
  <c r="H33" i="6"/>
  <c r="H10" i="6"/>
  <c r="H14" i="6"/>
  <c r="G14" i="8"/>
  <c r="H11" i="6"/>
  <c r="H9" i="6"/>
  <c r="H34" i="6"/>
</calcChain>
</file>

<file path=xl/sharedStrings.xml><?xml version="1.0" encoding="utf-8"?>
<sst xmlns="http://schemas.openxmlformats.org/spreadsheetml/2006/main" count="1691" uniqueCount="444">
  <si>
    <t>Add company logo</t>
  </si>
  <si>
    <t xml:space="preserve">Version 20.3 </t>
  </si>
  <si>
    <t>Add photo</t>
  </si>
  <si>
    <t>Notes:</t>
  </si>
  <si>
    <t>This template may require adjustments by individual operators to meet specific reporting requirements as defined in the site Permit(s)</t>
  </si>
  <si>
    <t>Annual Performance Report 2022</t>
  </si>
  <si>
    <t>Permit EPR/KP3936ZB</t>
  </si>
  <si>
    <t>Tilbury Green Power Plant</t>
  </si>
  <si>
    <t>other name of facility (if applicable)</t>
  </si>
  <si>
    <t>Year:</t>
  </si>
  <si>
    <t>Address:</t>
  </si>
  <si>
    <t>Tilbury Green Power Plant, Tilbury Docks, Tilbury, Essex, RM18 7NU</t>
  </si>
  <si>
    <t xml:space="preserve">Tel: </t>
  </si>
  <si>
    <t>01375 802074</t>
  </si>
  <si>
    <t xml:space="preserve">Email: </t>
  </si>
  <si>
    <t>bcasey@equitix.co.uk</t>
  </si>
  <si>
    <t>Prepared by:</t>
  </si>
  <si>
    <t>Amadeus Munkelt</t>
  </si>
  <si>
    <t>Position:</t>
  </si>
  <si>
    <t>QHSE Advisor</t>
  </si>
  <si>
    <t>Approved by:</t>
  </si>
  <si>
    <t>Breanna Casey</t>
  </si>
  <si>
    <t>General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</si>
  <si>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</si>
  <si>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</si>
  <si>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</si>
  <si>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</si>
  <si>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</si>
  <si>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</si>
  <si>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</si>
  <si>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</si>
  <si>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</si>
  <si>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</si>
  <si>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</si>
  <si>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</si>
  <si>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</si>
  <si>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</si>
  <si>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</si>
  <si>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</si>
  <si>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</si>
  <si>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</si>
  <si>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</si>
  <si>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</si>
  <si>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</si>
  <si>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</si>
  <si>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</si>
  <si>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</si>
  <si>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</si>
  <si>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</si>
  <si>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</si>
  <si>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</si>
  <si>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</si>
  <si>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</si>
  <si>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</si>
  <si>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</si>
  <si>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</si>
  <si>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</si>
  <si>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</si>
  <si>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</si>
  <si>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 xml:space="preserve">Tilbury Green Power (TGP) operate a 40MWe / 116MWth power plant fuelled by grade C waste wood located within the Port of Tilbury. The TGP site comprises of a Wood Processing Facility (WPF) and Power Plant Facility (PPF) which are operated and maintained by 2 separate contractors. The main areas of the site include the following:
- Unprocessed wood storage area
- Wood processing building
- Woodchip storage bulding
- Various fuel handling coveyors
- Boilerhouse with biomass boiler and ash handling systems
- Turbine building with steam turbine &amp; generator
- Flue gas treatment plant &amp; stack
- Air cooled condensors
- Water treatment plant
- Stormwater basins &amp; fire anneutation ponds
- Various storage tanks
</t>
  </si>
  <si>
    <t xml:space="preserve">Include summary of plant design, design capacity, no. of combustion lines, electrical and heat capacity and any other general information that describes the facility, its location and purpose </t>
  </si>
  <si>
    <t>Summary of Operational Processes and Procedures</t>
  </si>
  <si>
    <t>Waste wood is received and processed on site. The combustion process employs a single travelling grate system, with the hot combustion gases passing through a boiler. The steam generated in the boiler is fed to a steam turbine which in turn drives a generator to produce electricity. Equipment within the Flue Gas Treatment Area is provided to minimise emissions to air, and comprises of selective non-catalytic reduction for control of oxides of nitrogen (by injection of urea into the furnace chamber); a multi-compartment fabric filter (for particulate matter (i.e. dust) control); dry lime (for control of acid gases by injection of lime into the exhaust gas stream prior to the fabric filters); and activated carbon (for control of dioxins, furans and metals by injection of activated carbon into the exhaust gas stream prior to the fabric filters) Whilst activated carbon has been available on site to date there has not been a need to use it in order to control dioxins, furans and metals within the exhaust gas stream. Treated flue gases are monitored and released via a 100 metre high stack. 
Solid residues in the form of bottom ash (from the boiler) and fly ash (from the flue gas treatment system) are stored on site (within the Bottom Ash Store and Fly Ash Silo respectively) for subsequent removal off-site to an appropriately licence waste management facility. Process effluents are generated from boiler blow down and the water treatment plant and equipment, are collected and treated in the sedimentation tank. Treatment provides acid dosing for pH adjustment and settlement of solids prior to discharge to sewer under a trade effluent consent. Uncontaminated surface water run-off will be collected in the surface water drainage system. Where possible it will be harvested for domestic use within the Power Plant Facility, with the remainder being discharged to the Botney Channel watercourse.</t>
  </si>
  <si>
    <t>Include summary of key processes and procedures such as (but not limited to); waste reception, control rooms, grate, bed and boiler,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</si>
  <si>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</si>
  <si>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</si>
  <si>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</si>
  <si>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</si>
  <si>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</si>
  <si>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</si>
  <si>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</si>
  <si>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</si>
  <si>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2021 updates include;  heat in MWh, water in Litres, NCV in MJ/kg</t>
  </si>
  <si>
    <t>Waste types received</t>
  </si>
  <si>
    <t>Unit</t>
  </si>
  <si>
    <t>Q1</t>
  </si>
  <si>
    <t>Q2</t>
  </si>
  <si>
    <t>Q3</t>
  </si>
  <si>
    <t>Q4</t>
  </si>
  <si>
    <t>Year Total</t>
  </si>
  <si>
    <t>%</t>
  </si>
  <si>
    <t>Household / Local Authority</t>
  </si>
  <si>
    <t>tonnes</t>
  </si>
  <si>
    <t>-</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</si>
  <si>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</si>
  <si>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</si>
  <si>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</si>
  <si>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</si>
  <si>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</si>
  <si>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</si>
  <si>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</si>
  <si>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</si>
  <si>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combusted</t>
  </si>
  <si>
    <t xml:space="preserve">Rejected Waste </t>
  </si>
  <si>
    <t>Unprocessed waste transferred out</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</si>
  <si>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</si>
  <si>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</si>
  <si>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</si>
  <si>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</si>
  <si>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</si>
  <si>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</si>
  <si>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</si>
  <si>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</si>
  <si>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</si>
  <si>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</si>
  <si>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</si>
  <si>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</si>
  <si>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</si>
  <si>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</si>
  <si>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</si>
  <si>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</si>
  <si>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</si>
  <si>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</si>
  <si>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</si>
  <si>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</si>
  <si>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</si>
  <si>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</si>
  <si>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</si>
  <si>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ltrs</t>
  </si>
  <si>
    <t>Ammonia</t>
  </si>
  <si>
    <t>kgs</t>
  </si>
  <si>
    <t>Urea</t>
  </si>
  <si>
    <t>Activated Carbon</t>
  </si>
  <si>
    <t>Lime / hydrated lime</t>
  </si>
  <si>
    <t>T</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</si>
  <si>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</si>
  <si>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</si>
  <si>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</si>
  <si>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</si>
  <si>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</si>
  <si>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</si>
  <si>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</si>
  <si>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</si>
  <si>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</si>
  <si>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</si>
  <si>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</si>
  <si>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</si>
  <si>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</si>
  <si>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Abnormal Events</t>
  </si>
  <si>
    <t>qty.</t>
  </si>
  <si>
    <t>Abnormal operation</t>
  </si>
  <si>
    <t>hours</t>
  </si>
  <si>
    <t>Permit Breaches</t>
  </si>
  <si>
    <t>Summary of Plant Operations and Maintenance during the reporting year</t>
  </si>
  <si>
    <t>The plant entered 2022 in full commercial operation following the O&amp;M contract guidelines and guarantees. During 2022 the focus was to further optimise the plant as much as possible, so the plant was able to operate reliably and achieve the highest availability for all the stakeholders.
One maintenance outage was planned during 2022 in May to complete warranty works, routine/defect maintenance that was required to further increase reliability of the plant and tube repairs within the boiler, second pass and third pass. A further unplanned outage was undertaken in November to replace tubes within the superheater. 
Modifications were made to the six rotary valves to improve reliability, reduce blockages and improve combustion stability on the boiler grate. Following a number of CO breaches during 2022, alongside the improvements made to the rotary vaves, modifications to the DCS were also made to ensure the boiler CO automated control was optimised to provide more stable combustion within the furnace and improved CO control.
The plant is currently trial running a briquette machine, utilising the extracted wood fines from the wood fuel, and turning them into a viable fuel source in the form of wood briquettes that are burned alongside the wood fuel, significantly reducing this waste stream and improving plant efficiency.</t>
  </si>
  <si>
    <t xml:space="preserve">Include summary of key operational and/or maintenance activity undertaken in the year, such as any major component upgrades and/or replacements </t>
  </si>
  <si>
    <t>Summary of Residue Handling for the reporting year</t>
  </si>
  <si>
    <t>Both IBA and APCR have been handled as hazardous waste. IBA has been sent to Augean ENRMF, or Whitemoss Landfill facility. APCR has been sent to OCO Technology who have a carbon capture utilisation process which treats and stabilises the APCR which can then be used as sustainable construction products. Full details can be found in the quarterly waste returns which have been completed and submitted throughout 2022.</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</si>
  <si>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</si>
  <si>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</si>
  <si>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</si>
  <si>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</si>
  <si>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</si>
  <si>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</si>
  <si>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</si>
  <si>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</si>
  <si>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</si>
  <si>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</si>
  <si>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</si>
  <si>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</si>
  <si>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</si>
  <si>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</si>
  <si>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</si>
  <si>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</si>
  <si>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R05</t>
  </si>
  <si>
    <t>D01</t>
  </si>
  <si>
    <t>IBA</t>
  </si>
  <si>
    <t>Total Hazardous Waste</t>
  </si>
  <si>
    <t>2) Non-Hazardous Wastes</t>
  </si>
  <si>
    <t>Ferrous Metal</t>
  </si>
  <si>
    <t>Process Water</t>
  </si>
  <si>
    <t>Total Non-Hazardous Waste</t>
  </si>
  <si>
    <t>TOTAL WASTE</t>
  </si>
  <si>
    <t>Operator’s comments :</t>
  </si>
  <si>
    <t xml:space="preserve">Ferrous metal is now internally transferred to the WPF for onward disposal/recycling and is included within the waste returns submissions.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</si>
  <si>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</si>
  <si>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</si>
  <si>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</si>
  <si>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</si>
  <si>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</si>
  <si>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</si>
  <si>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</si>
  <si>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</si>
  <si>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</si>
  <si>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</si>
  <si>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</si>
  <si>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</si>
  <si>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</si>
  <si>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</si>
  <si>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</si>
  <si>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</si>
  <si>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</si>
  <si>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</si>
  <si>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</si>
  <si>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</si>
  <si>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</si>
  <si>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</si>
  <si>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</si>
  <si>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</si>
  <si>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</si>
  <si>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</si>
  <si>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</si>
  <si>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</si>
  <si>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</si>
  <si>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</si>
  <si>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</si>
  <si>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</si>
  <si>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</si>
  <si>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</si>
  <si>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</si>
  <si>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</si>
  <si>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</si>
  <si>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</si>
  <si>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</si>
  <si>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</si>
  <si>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</si>
  <si>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</si>
  <si>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</si>
  <si>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</si>
  <si>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</si>
  <si>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</si>
  <si>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</si>
  <si>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</si>
  <si>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</si>
  <si>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</si>
  <si>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</si>
  <si>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</si>
  <si>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</si>
  <si>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</si>
  <si>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</si>
  <si>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SO2 694.6mg/m3 for one half hourly period</t>
  </si>
  <si>
    <t>The emission breach was most likely caused by gyosum contamination in the fuel.</t>
  </si>
  <si>
    <t>The fuel supplier was notified of the incident and requested to ensure that their QA/QC checks to remove gypsum materials from the fuel were being followed correctly to prevent future occurrence.</t>
  </si>
  <si>
    <t>CO 157.8mg/Nm3 for one half hourly period</t>
  </si>
  <si>
    <t>Following investigations by the site team it was discovered that a large build up of incinerator bottom ash had blocked underneath the furnace grate left side which was restricting air flow for the combustion process. The hopper blockage was eventually identified as the root cause of the poor combustion.</t>
  </si>
  <si>
    <t xml:space="preserve">Routine added on the plant rounds to check the grate hoppers for any signs of build up every 24hrs.
Checks of the grate hoppers on plant outages will be carried out and cleaning as required.
</t>
  </si>
  <si>
    <t>CO 228.0mg/Nm3 for one half hourly period</t>
  </si>
  <si>
    <t>Shift operator cleared a dosing bin blockage on bin 1 line 1 with aux burners in service and no wood feeding to the boiler. Dosing bin 1 line 1 was on test run on its own with no fuel, all the other dosing bin screws off and this has flagged up a breach of 228.0mg/Nm3 for the period whilst the screw was being test run/left in service. All dosing bins empty, no wood chip csent to the grate. The only signal on the CEMs was that the fuel feeder was on which was signaled by the running screw whilst testing.</t>
  </si>
  <si>
    <t>We will look into modifying the control system, so the CEMS only starts reporting when the woodchip dosing group controller is active. This will then allow test runs of individual pieces of equipment to be done while fuel is not being sent to the grate and not activate the CEMS system incorrectly during testing. Operators to be made aware not to test run and leave a screw in service whilst carrying out dosing bin blockages whilst on aux burner support.</t>
  </si>
  <si>
    <t>CO 156.4mg/m3 for one half hourly period</t>
  </si>
  <si>
    <t xml:space="preserve">The CO breach was caused by abnormal operating circumstances that occurred following a fuel line blockage &amp; wet fuel dropping rapidly onto the grate in a large quantity. The fuel was abnormally wet due to one of the fire system valves opening unexpectedly and soaking the fuel within the dosing bin leading up to the incident. When the fuel released it rapidly dropped onto the grate while the boiler was transitioning back onto wood feed. When the wet fuel entered the furnace, the oxygen was starved causing the CO to spike rapidly and breach the ½ hour period limit. </t>
  </si>
  <si>
    <t>The fire valve has since been inspected, reset, and placed back in service without further issue.</t>
  </si>
  <si>
    <t>CO 177.2 mg/nm3 for one half hourly period</t>
  </si>
  <si>
    <t xml:space="preserve">During shift dosing dosing bin 1 feed line 2 tripped and the operators were unable to immediately return the line to service. This caused a high level on dosing bin 1 and locked out the conveyor that feeds wood chip into the three dosing bins.With no feed to supply to the dosing bins the left and right auxiliary burners were put into service to support the furnace. The CO spiked to 1148 mg/Nm3 at 22:52pm (when the second aux burner cut in) and then reduced below 150mg/Nm3 at 22:59pm. During the issues with the blocked dosing bin 1 feed line there was still a smaller than normal fire on the grate burning but depleting. This would have made the CEMs aware that we were still operating on permit conditions despite the wood feed being stopped at 22:50pm. Wood chip was then re-introduced at 22:57pm which would keep the power plant on its environmental permit operating conditions for the reporting period. The CO spike was initiated by the aux burners cutting in even with the boiler O2 at around 15% at the time. Combined with the residual heat/burn on the grate and the re-introduction of wood chip before the half hour period ended contributed to the CEMs recording a half hour breach of 177.2mg/Nm3 at 22:59pm.
</t>
  </si>
  <si>
    <t>Training will have to be delivered to the operations department staff. If one dosing bin feed system is not in service due to malfunctions, then the plant would have to be secured on aux burners support immediately and no wood chip shall be re-introduced until any emissions limits are below the environment limits set by the EA on the site permit.</t>
  </si>
  <si>
    <t>CO 166.7 mg/nm3 for one half hourly period</t>
  </si>
  <si>
    <t>Following investigations into what could be causing CO spikes and breaches it was observed that the boiler 02% spread across the grate was very unbalanced with 02. The right-side aux burner that supports combustion during plant restart, shut down and furnace stability was suffering repeated igniter damage, so the burner door was closed to protect the igniter tip. This has reduced an additional air flow into the boiler and disrupted the balance across the grate which then in turn affected grate combustion, especially during unstable operation.
Upon further investigation it became apparent that the ignitor lance supplier had sent a fractionally longer tip as a spare part than the original igniter tip and when replaced the tip was in the hot zone and burning out. Also, rotary valve one was tripping multiple times causing unstable combustion periods. The valve has now since been replaced.</t>
  </si>
  <si>
    <t>Boiler grate O2 spread unbalance issue rectified by using the correct sized burner lance. New rubber bladed rotary valve installed to improve stable combustion operations. All six feed lines will be fitted with this type of rotary valve.Procedures updated to ensure the aux burner igniter lances are measured before installation so correct length can be set.</t>
  </si>
  <si>
    <t>CO 193.1mg/Nm3 for one half hourly period</t>
  </si>
  <si>
    <t>The Plant was running on aux burner support with no wood chip feeding onto the grate due to a fuel blockage on feed line 2. The shift operators cleared the blockage, however left line 2 screw running after testing following completion of unblocking the fuel. The blocked line feed screw on line 2 was left running at 10% from 04:49am which has triggered the CEMS to show as running from 5am onwards. The other available feed screws did not go back into service until 05:19am. This has registered the half hour CO breach on the CEMS. The operators were unaware that the CEMS was back on it’s reporting permit condition as normal wood feed to the grate had not yet resumed other than running a single screw that was part of a blocked feed line for testing purposes.</t>
  </si>
  <si>
    <t xml:space="preserve">Boiler grate O2 spread unbalance issue rectified by using the correct sized burner lance. New rubber bladed rotary valve installed to improve stable combustion operations. All six feed lines will be fitted with this type of rotary valve. Procedures updated to ensure the aux burner igniter lances are measured before installation so correct length can be set.
</t>
  </si>
  <si>
    <t>CO 205.1mg/Nm3 for one half hourly period</t>
  </si>
  <si>
    <t>Following investigations it was observed that the boiler 02% spread across the grate was very unbalanced with 02. The right-side aux burner that supports combustion during plant restart, shut down and furnace stability was suffering repeated igniter damage, so the burner door was closed to protect the igniter tip. This has reduced an additional air flow into the boiler and disrupted the balance across the grate which then in turn affected grate combustion, especially during unstable operation. Upon further investigation it became apparent that the ignitor lance supplier had sent a fractionally longer tip as a spare part than the original igniter tip and when replaced the tip was in the hot zone and burning out. The igniter has now been adjusted and the burner is now functioning normally with the chamot door open. The boiler O2% spread is returned to normal. The site team were unaware the new burner igniter tip was fractionally longer when the part was sent by the supplier. Also, rotary valve one was tripping multiple times causing unstable combustion periods. The valve has now since been replaced.</t>
  </si>
  <si>
    <t xml:space="preserve">Boiler grate O2 spread unbalance issue rectified by using the correct sized burner lance. New rubber bladed rotary valve installed to improve stable combustion operations. All six feed lines will be fitted with this type of rotary valve.Procedures updated to ensure the aux burner igniter lances are measured before installation so correct length can be set.
</t>
  </si>
  <si>
    <t>Unprocessed Wood in the WPF pre-shred area</t>
  </si>
  <si>
    <t xml:space="preserve">Fuel had been processed overnight for export from T1 but instead of being loaded directly into trailers it was stored on the concrete pad which is a breach of the TGP permit.
This event happened overnight, during wet conditions reducing the event for any emission </t>
  </si>
  <si>
    <t>Site Manger has advised that only himself and one other Supervisor can initiate fuel exports and has reinforced that all fuel exports must be made directly into a trailer. Site Manager &amp; HSQE Business Partner are reviewing and updating the RAMS &amp; SSoW covering the export of finished fuel and the revised versions will be issued to TGP by end November.</t>
  </si>
  <si>
    <t>Summary of any complaints received and actions to taken to resolve them.</t>
  </si>
  <si>
    <t>Summary of complaint [including Line/Reference]</t>
  </si>
  <si>
    <t>Reason *</t>
  </si>
  <si>
    <t xml:space="preserve">Dust complaint from a business neighbour via EA.  </t>
  </si>
  <si>
    <t>A caller contacted the EA to report dust coming from Biomass Power Plant.  Caller was from a business adjacent to the site.  The individual described visible small dust particles in the air which are landing on outside surrounding area, vehicles and potentially inside the building.</t>
  </si>
  <si>
    <t xml:space="preserve">Additional dust suppression has been installed within the Bowling Alley WC 11/07/2022 and dust levels are being closely monitored. </t>
  </si>
  <si>
    <t>Excess Dust internal complaint</t>
  </si>
  <si>
    <t xml:space="preserve">Internal complaint.  It was noticed that the bowling alley misting cannons were not being used and that there is a lot of airborne dust floating around and being drawn into the ACC. The dust was observed blowing into out neighbours yard.  </t>
  </si>
  <si>
    <t>Eskens Renewables immediately contacted to rectify the issue.  Water cannon were on all day and the tractor was suppressing the wood pile the only time it was off is when it needed filling with water and diesel. TGP / Esken in the process of applying more dust suppression measures for this area.</t>
  </si>
  <si>
    <t>Noise complaint at 3:15am through SEC Newgate</t>
  </si>
  <si>
    <t>A lady called to say she heard a very loud noise around 3.15am and wanted to understand whether it was coming from TGP plant or whether it was another source.</t>
  </si>
  <si>
    <t xml:space="preserve">Operational data from this time was reviewed.  The PP was running at the time but there were no abnormal operations or noises noted.  
The WPF was not running at this time.  
It is unlikely TGP was the source of this disturbance.  </t>
  </si>
  <si>
    <t>* including whether substantiated by the operator or the EA</t>
  </si>
  <si>
    <t>Summary of Plant Improvements</t>
  </si>
  <si>
    <t>Summary of any efficiency improvements that have been completed within the year.</t>
  </si>
  <si>
    <t xml:space="preserve">The IMS has continued to be reviewed with set KPI's being monitored and achieved, with the intention to achieve ISO accreditations under ISO 45001/9001/14001. Environmental awareness campaigns and training continued to be delivered to site personnel in terms of permit requirements, waste management, environmental management and process improvements. </t>
  </si>
  <si>
    <t>Summary of any permit improvement conditions that have been completed within the year and the resulting environmental benefits.</t>
  </si>
  <si>
    <t>All permit improvement conditions completed and submitted successfully. Ongoing environmental benefits to be monitored.</t>
  </si>
  <si>
    <t>Summary of any changes to the plant or operating techniques which required a variation to the permit and a summary of the resulting environmental impact.</t>
  </si>
  <si>
    <t>N/A</t>
  </si>
  <si>
    <t>Summary of any other improvements made to the plant or planned to be made and a summary of the resulting environmental benefits.</t>
  </si>
  <si>
    <t xml:space="preserve">Trialling of briquette machines to utilise extracted wood fines from wood fuel, as an additional fuel source with a view to  reduce or negate waste stream and disposal requirements in this regard. 
Solutions to reduce the overall dust content of the fuel are also being discussed.  A fogging system for dust supression in the bowling alley is also been proposed and is under review.  
Additional CEMS equipment has been ordered for installation in 2023.
</t>
  </si>
  <si>
    <t>Details of Public &amp; Stakeholder Liasion</t>
  </si>
  <si>
    <t>Summary of events held during the reporting year.</t>
  </si>
  <si>
    <t>Description</t>
  </si>
  <si>
    <t>List of events planned for next year</t>
  </si>
  <si>
    <t>Q1/Q2 2023</t>
  </si>
  <si>
    <t xml:space="preserve">Community liaison / engagement meeting to be held.  </t>
  </si>
  <si>
    <r>
      <t xml:space="preserve">If you wish to be involved in the public liasion programme, please contact </t>
    </r>
    <r>
      <rPr>
        <b/>
        <u/>
        <sz val="11"/>
        <color theme="1"/>
        <rFont val="Arial"/>
        <family val="2"/>
      </rPr>
      <t>TGP's PR officer via the website phone number</t>
    </r>
  </si>
  <si>
    <t>Residue Quality Monitoring Requirements</t>
  </si>
  <si>
    <t>Summary of monitoring undertaken and compliance</t>
  </si>
  <si>
    <t>Quarterly samples collected and sent for analysis</t>
  </si>
  <si>
    <t>Biannual onsite monitoring undertaken by SOCOTEC.</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</si>
  <si>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</si>
  <si>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</si>
  <si>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</si>
  <si>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</si>
  <si>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</si>
  <si>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</si>
  <si>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</si>
  <si>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</si>
  <si>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</si>
  <si>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</si>
  <si>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</si>
  <si>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All samples &lt;3%</t>
  </si>
  <si>
    <t>No. of Assessments Undertaken</t>
  </si>
  <si>
    <t>---</t>
  </si>
  <si>
    <t>Quarterly when in operation</t>
  </si>
  <si>
    <t>Monthly when in operation</t>
  </si>
  <si>
    <t>No. of Hazardous Results</t>
  </si>
  <si>
    <t>Comments :</t>
  </si>
  <si>
    <t>There a no environmental permit conditions for the site. A trade effluent consent is in place with Anglian Water.</t>
  </si>
  <si>
    <t xml:space="preserve">All trade effulent reports were PASS. </t>
  </si>
  <si>
    <t>Emissions to Water / Sewer</t>
  </si>
  <si>
    <t>Monitoring Frequency</t>
  </si>
  <si>
    <t>Target</t>
  </si>
  <si>
    <t>Max.</t>
  </si>
  <si>
    <t>Average</t>
  </si>
  <si>
    <t>Summary of monitoring undertaken, standards used and compliance</t>
  </si>
  <si>
    <t>Bi-annual emissions monitoring to various ISO and EN standards (dependent on substance).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</si>
  <si>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</si>
  <si>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</si>
  <si>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</si>
  <si>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</si>
  <si>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</si>
  <si>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</si>
  <si>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</si>
  <si>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</si>
  <si>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</si>
  <si>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</si>
  <si>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</si>
  <si>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</si>
  <si>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</si>
  <si>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</si>
  <si>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</si>
  <si>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</si>
  <si>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</si>
  <si>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</si>
  <si>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</si>
  <si>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</si>
  <si>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</si>
  <si>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</si>
  <si>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</si>
  <si>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</si>
  <si>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</si>
  <si>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</si>
  <si>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</si>
  <si>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</si>
  <si>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</si>
  <si>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</si>
  <si>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</si>
  <si>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</si>
  <si>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</si>
  <si>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</si>
  <si>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</si>
  <si>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</si>
  <si>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</si>
  <si>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</si>
  <si>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</si>
  <si>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</si>
  <si>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</si>
  <si>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</si>
  <si>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</si>
  <si>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</si>
  <si>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</si>
  <si>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</si>
  <si>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300 mg/m</t>
    </r>
    <r>
      <rPr>
        <vertAlign val="superscript"/>
        <sz val="10"/>
        <color theme="1"/>
        <rFont val="Arial"/>
        <family val="2"/>
      </rPr>
      <t>3</t>
    </r>
    <r>
      <rPr>
        <sz val="10"/>
        <color theme="1"/>
        <rFont val="Arial"/>
        <family val="2"/>
      </rPr>
      <t xml:space="preserve"> </t>
    </r>
  </si>
  <si>
    <t>½ hourly mean</t>
  </si>
  <si>
    <r>
      <t>600 mg/m</t>
    </r>
    <r>
      <rPr>
        <vertAlign val="superscript"/>
        <sz val="10"/>
        <color theme="1"/>
        <rFont val="Arial"/>
        <family val="2"/>
      </rPr>
      <t>3</t>
    </r>
    <r>
      <rPr>
        <sz val="10"/>
        <color theme="1"/>
        <rFont val="Arial"/>
        <family val="2"/>
      </rPr>
      <t xml:space="preserve"> </t>
    </r>
  </si>
  <si>
    <r>
      <t>15 mg/m</t>
    </r>
    <r>
      <rPr>
        <vertAlign val="superscript"/>
        <sz val="10"/>
        <color theme="1"/>
        <rFont val="Arial"/>
        <family val="2"/>
      </rPr>
      <t>3</t>
    </r>
  </si>
  <si>
    <r>
      <t>45 mg/m</t>
    </r>
    <r>
      <rPr>
        <vertAlign val="superscript"/>
        <sz val="10"/>
        <color theme="1"/>
        <rFont val="Arial"/>
        <family val="2"/>
      </rPr>
      <t>3</t>
    </r>
    <r>
      <rPr>
        <sz val="10"/>
        <color theme="1"/>
        <rFont val="Arial"/>
        <family val="2"/>
      </rPr>
      <t xml:space="preserve"> </t>
    </r>
  </si>
  <si>
    <t xml:space="preserve">Total Organic Carbon </t>
  </si>
  <si>
    <r>
      <t>30 mg/m</t>
    </r>
    <r>
      <rPr>
        <vertAlign val="superscript"/>
        <sz val="10"/>
        <color theme="1"/>
        <rFont val="Arial"/>
        <family val="2"/>
      </rPr>
      <t>3</t>
    </r>
    <r>
      <rPr>
        <sz val="10"/>
        <color theme="1"/>
        <rFont val="Arial"/>
        <family val="2"/>
      </rPr>
      <t xml:space="preserve"> </t>
    </r>
  </si>
  <si>
    <r>
      <t>15 mg/m</t>
    </r>
    <r>
      <rPr>
        <vertAlign val="superscript"/>
        <sz val="10"/>
        <color theme="1"/>
        <rFont val="Arial"/>
        <family val="2"/>
      </rPr>
      <t>3</t>
    </r>
    <r>
      <rPr>
        <sz val="10"/>
        <color theme="1"/>
        <rFont val="Arial"/>
        <family val="2"/>
      </rPr>
      <t xml:space="preserve"> </t>
    </r>
  </si>
  <si>
    <t xml:space="preserve">Hydrogen chloride </t>
  </si>
  <si>
    <r>
      <t>90 mg/m</t>
    </r>
    <r>
      <rPr>
        <vertAlign val="superscript"/>
        <sz val="10"/>
        <color theme="1"/>
        <rFont val="Arial"/>
        <family val="2"/>
      </rPr>
      <t>3</t>
    </r>
    <r>
      <rPr>
        <sz val="10"/>
        <color theme="1"/>
        <rFont val="Arial"/>
        <family val="2"/>
      </rPr>
      <t xml:space="preserve"> </t>
    </r>
  </si>
  <si>
    <r>
      <t>75 mg/m</t>
    </r>
    <r>
      <rPr>
        <vertAlign val="superscript"/>
        <sz val="10"/>
        <color theme="1"/>
        <rFont val="Arial"/>
        <family val="2"/>
      </rPr>
      <t>3</t>
    </r>
    <r>
      <rPr>
        <sz val="10"/>
        <color theme="1"/>
        <rFont val="Arial"/>
        <family val="2"/>
      </rPr>
      <t xml:space="preserve"> </t>
    </r>
  </si>
  <si>
    <t xml:space="preserve">Carbon monoxide </t>
  </si>
  <si>
    <t>½ hourly mean *</t>
  </si>
  <si>
    <r>
      <t>150 mg/m</t>
    </r>
    <r>
      <rPr>
        <vertAlign val="superscript"/>
        <sz val="10"/>
        <color theme="1"/>
        <rFont val="Arial"/>
        <family val="2"/>
      </rPr>
      <t>3</t>
    </r>
    <r>
      <rPr>
        <sz val="10"/>
        <color theme="1"/>
        <rFont val="Arial"/>
        <family val="2"/>
      </rPr>
      <t xml:space="preserve"> *</t>
    </r>
  </si>
  <si>
    <t>95%ile 10-min avg *</t>
  </si>
  <si>
    <t xml:space="preserve"> Ammonia</t>
  </si>
  <si>
    <t>No limit set</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</si>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</sst>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9" x14ac:knownFonts="1">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sz val="10"/>
      <name val="Arial"/>
      <family val="2"/>
    </font>
    <font>
      <u/>
      <sz val="11"/>
      <color theme="10"/>
      <name val="Calibri"/>
      <family val="2"/>
      <scheme val="minor"/>
    </font>
    <font>
      <sz val="10"/>
      <color theme="1"/>
      <name val="Calibri"/>
      <family val="2"/>
      <scheme val="minor"/>
    </font>
    <font>
      <u/>
      <sz val="11"/>
      <color theme="1"/>
      <name val="Ink Free"/>
      <family val="4"/>
    </font>
    <font>
      <b/>
      <sz val="12"/>
      <color rgb="FF000000"/>
      <name val="Arial"/>
      <family val="2"/>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theme="0" tint="-0.14999847407452621"/>
        <bgColor theme="0" tint="-0.14999847407452621"/>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64"/>
      </left>
      <right style="thin">
        <color indexed="64"/>
      </right>
      <top style="thick">
        <color indexed="64"/>
      </top>
      <bottom style="thin">
        <color indexed="64"/>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417">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0" fontId="10" fillId="0" borderId="9" xfId="0" applyFont="1" applyBorder="1" applyAlignment="1">
      <alignment vertic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0" fontId="1" fillId="0" borderId="0" xfId="0" applyFont="1"/>
    <xf numFmtId="0" fontId="2" fillId="0" borderId="0" xfId="0" applyFont="1" applyAlignment="1">
      <alignment horizontal="center" vertical="center"/>
    </xf>
    <xf numFmtId="0" fontId="2" fillId="2" borderId="2" xfId="0" applyFont="1" applyFill="1" applyBorder="1" applyAlignment="1">
      <alignment horizontal="center" vertical="center" wrapText="1"/>
    </xf>
    <xf numFmtId="0" fontId="2" fillId="5" borderId="2" xfId="0" applyFont="1" applyFill="1" applyBorder="1" applyAlignment="1">
      <alignment horizontal="center" vertical="center" wrapText="1"/>
    </xf>
    <xf numFmtId="164" fontId="2" fillId="2" borderId="7" xfId="1" applyNumberFormat="1" applyFont="1" applyFill="1" applyBorder="1" applyAlignment="1">
      <alignment horizontal="center"/>
    </xf>
    <xf numFmtId="164" fontId="2" fillId="2" borderId="0" xfId="1" applyNumberFormat="1" applyFont="1" applyFill="1" applyAlignment="1">
      <alignment horizontal="center"/>
    </xf>
    <xf numFmtId="164" fontId="2" fillId="2" borderId="0" xfId="1" applyNumberFormat="1" applyFont="1" applyFill="1" applyAlignment="1">
      <alignment horizontal="center" vertical="center"/>
    </xf>
    <xf numFmtId="164" fontId="2" fillId="2" borderId="0" xfId="1" applyNumberFormat="1" applyFont="1" applyFill="1" applyBorder="1" applyAlignment="1">
      <alignment horizontal="center"/>
    </xf>
    <xf numFmtId="165" fontId="2" fillId="0" borderId="8" xfId="2" applyNumberFormat="1" applyFont="1" applyBorder="1" applyAlignment="1">
      <alignment horizontal="center"/>
    </xf>
    <xf numFmtId="0" fontId="1" fillId="2" borderId="2" xfId="0" applyFont="1" applyFill="1" applyBorder="1" applyAlignment="1">
      <alignment horizontal="center" vertical="center"/>
    </xf>
    <xf numFmtId="165" fontId="2" fillId="0" borderId="10" xfId="2" applyNumberFormat="1" applyFont="1" applyBorder="1" applyAlignment="1">
      <alignment horizontal="center"/>
    </xf>
    <xf numFmtId="164" fontId="10" fillId="0" borderId="0" xfId="1" applyNumberFormat="1" applyFont="1" applyFill="1" applyAlignment="1">
      <alignment horizontal="center"/>
    </xf>
    <xf numFmtId="4" fontId="2" fillId="0" borderId="2" xfId="0" applyNumberFormat="1" applyFont="1" applyBorder="1" applyAlignment="1">
      <alignment horizontal="center" vertical="center" wrapText="1"/>
    </xf>
    <xf numFmtId="14" fontId="0" fillId="0" borderId="2" xfId="0" applyNumberFormat="1" applyBorder="1" applyAlignment="1">
      <alignment horizontal="left" vertical="top"/>
    </xf>
    <xf numFmtId="14" fontId="36" fillId="0" borderId="18" xfId="0" applyNumberFormat="1" applyFont="1" applyBorder="1" applyAlignment="1">
      <alignment horizontal="left" vertical="top"/>
    </xf>
    <xf numFmtId="14" fontId="36" fillId="0" borderId="2" xfId="0" applyNumberFormat="1" applyFont="1" applyBorder="1" applyAlignment="1">
      <alignment horizontal="left" vertical="top"/>
    </xf>
    <xf numFmtId="0" fontId="2" fillId="0" borderId="2" xfId="0" applyFont="1" applyBorder="1" applyAlignment="1">
      <alignment horizontal="center" vertical="center" wrapText="1"/>
    </xf>
    <xf numFmtId="2" fontId="2" fillId="5" borderId="2" xfId="0" applyNumberFormat="1" applyFont="1" applyFill="1" applyBorder="1" applyAlignment="1">
      <alignment horizontal="center" vertical="center" wrapText="1"/>
    </xf>
    <xf numFmtId="2" fontId="6" fillId="5" borderId="2" xfId="0" applyNumberFormat="1" applyFont="1" applyFill="1" applyBorder="1" applyAlignment="1">
      <alignment horizontal="center"/>
    </xf>
    <xf numFmtId="0" fontId="1" fillId="2" borderId="0" xfId="0" applyFont="1" applyFill="1" applyAlignment="1">
      <alignment horizontal="left"/>
    </xf>
    <xf numFmtId="14" fontId="0" fillId="8" borderId="15" xfId="0" applyNumberFormat="1" applyFill="1" applyBorder="1" applyAlignment="1">
      <alignment horizontal="left" vertical="center" wrapText="1"/>
    </xf>
    <xf numFmtId="14" fontId="0" fillId="8" borderId="2" xfId="0" applyNumberFormat="1" applyFill="1" applyBorder="1" applyAlignment="1">
      <alignment horizontal="left" vertical="center" wrapText="1"/>
    </xf>
    <xf numFmtId="0" fontId="2" fillId="9" borderId="2" xfId="0" applyFont="1" applyFill="1" applyBorder="1" applyAlignment="1">
      <alignment horizontal="left"/>
    </xf>
    <xf numFmtId="14" fontId="0" fillId="9" borderId="2" xfId="0" applyNumberFormat="1" applyFill="1" applyBorder="1" applyAlignment="1">
      <alignment horizontal="left" vertical="center" wrapText="1"/>
    </xf>
    <xf numFmtId="14" fontId="37" fillId="0" borderId="12" xfId="0" applyNumberFormat="1" applyFont="1" applyBorder="1"/>
    <xf numFmtId="0" fontId="1" fillId="2" borderId="0" xfId="0" applyFont="1" applyFill="1" applyAlignment="1">
      <alignment horizontal="center"/>
    </xf>
    <xf numFmtId="0" fontId="2" fillId="0" borderId="2" xfId="0" applyFont="1" applyBorder="1" applyAlignment="1">
      <alignment horizontal="center" vertical="center"/>
    </xf>
    <xf numFmtId="0" fontId="2" fillId="0" borderId="2" xfId="0" applyFont="1" applyBorder="1" applyAlignment="1">
      <alignment horizontal="left" vertical="center" wrapText="1"/>
    </xf>
    <xf numFmtId="17" fontId="1" fillId="0" borderId="0" xfId="0" applyNumberFormat="1" applyFont="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0" fontId="2" fillId="0" borderId="9" xfId="0" applyFont="1" applyBorder="1" applyAlignment="1">
      <alignment vertical="center"/>
    </xf>
    <xf numFmtId="0" fontId="2" fillId="7" borderId="9" xfId="0" applyFont="1" applyFill="1" applyBorder="1" applyAlignment="1">
      <alignment vertical="center"/>
    </xf>
    <xf numFmtId="0" fontId="2" fillId="0" borderId="11" xfId="0" applyFont="1" applyBorder="1" applyAlignment="1">
      <alignment vertical="center"/>
    </xf>
    <xf numFmtId="164" fontId="2" fillId="2" borderId="12" xfId="1" applyNumberFormat="1" applyFont="1" applyFill="1" applyBorder="1" applyAlignment="1">
      <alignment horizontal="center"/>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0" fontId="2" fillId="0" borderId="9" xfId="0" applyFont="1" applyBorder="1"/>
    <xf numFmtId="164" fontId="2" fillId="0" borderId="10" xfId="0" applyNumberFormat="1" applyFont="1" applyBorder="1" applyAlignment="1">
      <alignment horizontal="center"/>
    </xf>
    <xf numFmtId="164" fontId="2" fillId="5" borderId="0" xfId="1" applyNumberFormat="1" applyFont="1" applyFill="1" applyAlignment="1">
      <alignment horizontal="center"/>
    </xf>
    <xf numFmtId="165" fontId="2" fillId="0" borderId="0" xfId="2" applyNumberFormat="1" applyFont="1" applyAlignment="1">
      <alignment horizontal="right" vertical="center"/>
    </xf>
    <xf numFmtId="0" fontId="2" fillId="0" borderId="11" xfId="0" applyFont="1" applyBorder="1"/>
    <xf numFmtId="0" fontId="2" fillId="0" borderId="12" xfId="0" applyFont="1" applyBorder="1"/>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2" borderId="9" xfId="0" applyFont="1" applyFill="1" applyBorder="1"/>
    <xf numFmtId="0" fontId="2" fillId="2" borderId="11" xfId="0" applyFont="1" applyFill="1" applyBorder="1"/>
    <xf numFmtId="164" fontId="2" fillId="2" borderId="12" xfId="1" applyNumberFormat="1" applyFont="1" applyFill="1" applyBorder="1" applyAlignment="1">
      <alignment horizontal="center" vertic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5" borderId="10" xfId="0" applyNumberFormat="1" applyFont="1" applyFill="1" applyBorder="1" applyAlignment="1">
      <alignment horizontal="center" vertical="center"/>
    </xf>
    <xf numFmtId="0" fontId="2" fillId="2"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164" fontId="2" fillId="5" borderId="0" xfId="1" applyNumberFormat="1" applyFont="1" applyFill="1" applyBorder="1" applyAlignment="1">
      <alignment horizontal="center"/>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0" borderId="0" xfId="0" applyFont="1" applyAlignment="1">
      <alignment vertical="center"/>
    </xf>
    <xf numFmtId="4" fontId="2" fillId="2" borderId="2" xfId="0" applyNumberFormat="1" applyFont="1" applyFill="1" applyBorder="1" applyAlignment="1">
      <alignment horizontal="center" vertical="center" wrapText="1"/>
    </xf>
    <xf numFmtId="0" fontId="1" fillId="2" borderId="2" xfId="0" applyFont="1" applyFill="1" applyBorder="1"/>
    <xf numFmtId="2" fontId="1" fillId="2" borderId="2" xfId="0" applyNumberFormat="1" applyFont="1" applyFill="1" applyBorder="1" applyAlignment="1">
      <alignment horizontal="center" vertical="center"/>
    </xf>
    <xf numFmtId="20" fontId="2" fillId="2" borderId="2" xfId="0" applyNumberFormat="1" applyFont="1" applyFill="1" applyBorder="1" applyAlignment="1">
      <alignment horizontal="center" vertical="center" wrapText="1"/>
    </xf>
    <xf numFmtId="9" fontId="2" fillId="0" borderId="2" xfId="0" applyNumberFormat="1" applyFont="1" applyBorder="1" applyAlignment="1">
      <alignment horizontal="center" vertical="center" wrapText="1"/>
    </xf>
    <xf numFmtId="0" fontId="2" fillId="0" borderId="2" xfId="0" applyFont="1" applyBorder="1" applyAlignment="1">
      <alignmen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5"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xf numFmtId="0" fontId="22" fillId="0" borderId="0" xfId="0" applyFont="1" applyAlignment="1">
      <alignment horizontal="left" wrapText="1"/>
    </xf>
    <xf numFmtId="0" fontId="8" fillId="2" borderId="0" xfId="0" applyFont="1" applyFill="1" applyAlignment="1">
      <alignment horizontal="center"/>
    </xf>
    <xf numFmtId="0" fontId="1" fillId="2" borderId="0" xfId="0" applyFont="1" applyFill="1" applyAlignment="1">
      <alignment horizontal="center" vertical="center"/>
    </xf>
    <xf numFmtId="0" fontId="1" fillId="2" borderId="0" xfId="0" applyFont="1" applyFill="1" applyAlignment="1">
      <alignment horizontal="left"/>
    </xf>
    <xf numFmtId="0" fontId="1" fillId="2" borderId="0" xfId="0" applyFont="1" applyFill="1" applyAlignment="1">
      <alignment horizontal="center"/>
    </xf>
    <xf numFmtId="14" fontId="1" fillId="2" borderId="0" xfId="0" applyNumberFormat="1" applyFont="1" applyFill="1" applyAlignment="1">
      <alignment horizontal="center"/>
    </xf>
    <xf numFmtId="0" fontId="35" fillId="2" borderId="0" xfId="3" applyFill="1" applyAlignment="1">
      <alignment horizontal="left"/>
    </xf>
    <xf numFmtId="0" fontId="6" fillId="3" borderId="2" xfId="0" applyFont="1" applyFill="1" applyBorder="1" applyAlignment="1">
      <alignment horizontal="left"/>
    </xf>
    <xf numFmtId="0" fontId="7" fillId="0" borderId="2" xfId="0" applyFont="1" applyBorder="1" applyAlignment="1">
      <alignment horizontal="left"/>
    </xf>
    <xf numFmtId="0" fontId="2"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2" borderId="2" xfId="0" applyFont="1" applyFill="1" applyBorder="1" applyAlignment="1">
      <alignment horizontal="left" vertical="top" wrapText="1"/>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 fillId="0" borderId="0" xfId="0" applyFont="1" applyAlignment="1">
      <alignment horizontal="left" vertical="top" wrapText="1"/>
    </xf>
    <xf numFmtId="164" fontId="6" fillId="2" borderId="7" xfId="1" applyNumberFormat="1" applyFont="1" applyFill="1" applyBorder="1" applyAlignment="1"/>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12" xfId="0" applyFont="1" applyBorder="1" applyAlignment="1">
      <alignment horizontal="center" vertical="center" textRotation="90"/>
    </xf>
    <xf numFmtId="0" fontId="2" fillId="0" borderId="0" xfId="0" applyFont="1" applyAlignment="1">
      <alignment horizontal="center" textRotation="90"/>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12" fillId="0" borderId="0" xfId="0" applyFont="1" applyAlignment="1">
      <alignment horizontal="left" wrapText="1"/>
    </xf>
    <xf numFmtId="0" fontId="12" fillId="0" borderId="0" xfId="0" applyFont="1" applyAlignment="1">
      <alignment horizontal="left" vertical="top" wrapText="1"/>
    </xf>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0" borderId="2" xfId="0" applyFont="1" applyBorder="1" applyAlignment="1">
      <alignment horizontal="lef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14" xfId="0" applyFont="1" applyBorder="1" applyAlignment="1">
      <alignment vertical="center" wrapText="1"/>
    </xf>
    <xf numFmtId="0" fontId="2" fillId="0" borderId="1" xfId="0" applyFont="1" applyBorder="1" applyAlignment="1">
      <alignment vertical="center" wrapText="1"/>
    </xf>
    <xf numFmtId="168" fontId="2" fillId="0" borderId="1" xfId="0" applyNumberFormat="1" applyFont="1" applyBorder="1" applyAlignment="1">
      <alignment horizontal="center" vertical="center" wrapText="1"/>
    </xf>
    <xf numFmtId="0" fontId="2" fillId="2" borderId="2" xfId="0" applyFont="1" applyFill="1" applyBorder="1" applyAlignment="1">
      <alignment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2" fillId="0" borderId="2" xfId="2" applyNumberFormat="1" applyFont="1" applyBorder="1" applyAlignment="1">
      <alignment horizontal="center" vertical="center" wrapText="1"/>
    </xf>
    <xf numFmtId="0" fontId="7" fillId="0" borderId="2" xfId="0" applyFont="1" applyBorder="1" applyAlignment="1">
      <alignment horizontal="left" vertical="top" wrapText="1"/>
    </xf>
    <xf numFmtId="0" fontId="6" fillId="0" borderId="2" xfId="0" applyFont="1" applyBorder="1" applyAlignment="1">
      <alignment horizontal="left" vertical="top" wrapText="1"/>
    </xf>
    <xf numFmtId="0" fontId="2" fillId="0" borderId="2" xfId="0" applyFont="1" applyBorder="1" applyAlignment="1">
      <alignment vertical="center" wrapText="1"/>
    </xf>
    <xf numFmtId="0" fontId="2" fillId="0" borderId="3"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2" fillId="0" borderId="5" xfId="0" applyFont="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168" fontId="2" fillId="2" borderId="3" xfId="0" applyNumberFormat="1" applyFont="1" applyFill="1" applyBorder="1" applyAlignment="1">
      <alignment horizontal="center" vertical="center" wrapText="1"/>
    </xf>
    <xf numFmtId="168" fontId="2" fillId="2" borderId="5" xfId="0" applyNumberFormat="1" applyFont="1" applyFill="1" applyBorder="1" applyAlignment="1">
      <alignment horizontal="center" vertical="center"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3" fontId="2" fillId="0" borderId="3" xfId="0" applyNumberFormat="1"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0" fontId="2" fillId="0" borderId="2" xfId="0" applyFont="1" applyBorder="1" applyAlignment="1">
      <alignment horizontal="center" vertical="center"/>
    </xf>
    <xf numFmtId="0" fontId="10" fillId="0" borderId="7" xfId="0" applyFont="1" applyBorder="1" applyAlignment="1">
      <alignment horizontal="center" wrapText="1"/>
    </xf>
    <xf numFmtId="0" fontId="7" fillId="0" borderId="2" xfId="0" applyFont="1" applyBorder="1" applyAlignment="1">
      <alignment horizontal="left" vertical="center" wrapText="1"/>
    </xf>
    <xf numFmtId="9" fontId="2" fillId="2" borderId="2" xfId="0" applyNumberFormat="1" applyFont="1" applyFill="1" applyBorder="1" applyAlignment="1">
      <alignment horizontal="center" vertical="center"/>
    </xf>
    <xf numFmtId="0" fontId="2" fillId="2" borderId="2" xfId="0" applyFont="1" applyFill="1" applyBorder="1" applyAlignment="1">
      <alignment horizontal="center" vertical="center"/>
    </xf>
    <xf numFmtId="10" fontId="2" fillId="2" borderId="2" xfId="0" applyNumberFormat="1" applyFont="1" applyFill="1" applyBorder="1" applyAlignment="1">
      <alignment horizontal="center" vertical="center"/>
    </xf>
    <xf numFmtId="10" fontId="2" fillId="5" borderId="2" xfId="0" applyNumberFormat="1" applyFont="1" applyFill="1" applyBorder="1" applyAlignment="1">
      <alignment horizontal="center" vertical="center" wrapText="1"/>
    </xf>
    <xf numFmtId="0" fontId="2" fillId="5"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34" fillId="2" borderId="3" xfId="0" applyFont="1" applyFill="1" applyBorder="1" applyAlignment="1">
      <alignment horizontal="left" vertical="top"/>
    </xf>
    <xf numFmtId="0" fontId="34" fillId="2" borderId="4" xfId="0" applyFont="1" applyFill="1" applyBorder="1" applyAlignment="1">
      <alignment horizontal="left" vertical="top"/>
    </xf>
    <xf numFmtId="0" fontId="34" fillId="2" borderId="5" xfId="0" applyFont="1" applyFill="1" applyBorder="1" applyAlignment="1">
      <alignment horizontal="left" vertical="top"/>
    </xf>
    <xf numFmtId="0" fontId="2" fillId="2" borderId="3" xfId="0" applyFont="1" applyFill="1" applyBorder="1" applyAlignment="1">
      <alignment horizontal="left" vertical="top" wrapText="1"/>
    </xf>
    <xf numFmtId="0" fontId="2" fillId="2" borderId="4" xfId="0" applyFont="1" applyFill="1" applyBorder="1" applyAlignment="1">
      <alignment horizontal="left" vertical="top" wrapText="1"/>
    </xf>
    <xf numFmtId="0" fontId="2" fillId="2" borderId="5" xfId="0" applyFont="1" applyFill="1" applyBorder="1" applyAlignment="1">
      <alignment horizontal="left" vertical="top" wrapText="1"/>
    </xf>
    <xf numFmtId="0" fontId="2" fillId="2" borderId="3" xfId="0" applyFont="1" applyFill="1" applyBorder="1" applyAlignment="1">
      <alignment horizontal="left" vertical="top"/>
    </xf>
    <xf numFmtId="0" fontId="2" fillId="2" borderId="4" xfId="0" applyFont="1" applyFill="1" applyBorder="1" applyAlignment="1">
      <alignment horizontal="left" vertical="top"/>
    </xf>
    <xf numFmtId="0" fontId="2" fillId="2" borderId="5" xfId="0" applyFont="1" applyFill="1" applyBorder="1" applyAlignment="1">
      <alignment horizontal="left" vertical="top"/>
    </xf>
    <xf numFmtId="0" fontId="2" fillId="9" borderId="2" xfId="0" applyFont="1" applyFill="1" applyBorder="1" applyAlignment="1">
      <alignment horizontal="left"/>
    </xf>
    <xf numFmtId="0" fontId="2" fillId="9" borderId="3" xfId="0" applyFont="1" applyFill="1" applyBorder="1" applyAlignment="1">
      <alignment horizontal="left"/>
    </xf>
    <xf numFmtId="0" fontId="2" fillId="9" borderId="3" xfId="0" applyFont="1" applyFill="1" applyBorder="1" applyAlignment="1">
      <alignment horizontal="left" vertical="center" wrapText="1"/>
    </xf>
    <xf numFmtId="0" fontId="2" fillId="9" borderId="4" xfId="0" applyFont="1" applyFill="1" applyBorder="1" applyAlignment="1">
      <alignment horizontal="left" vertical="center" wrapText="1"/>
    </xf>
    <xf numFmtId="0" fontId="2" fillId="9" borderId="5" xfId="0" applyFont="1" applyFill="1" applyBorder="1" applyAlignment="1">
      <alignment horizontal="left" vertical="center" wrapText="1"/>
    </xf>
    <xf numFmtId="0" fontId="2" fillId="9" borderId="2" xfId="0" applyFont="1" applyFill="1" applyBorder="1" applyAlignment="1">
      <alignment horizontal="left" vertical="center" wrapText="1"/>
    </xf>
    <xf numFmtId="0" fontId="2" fillId="8" borderId="3" xfId="0" applyFont="1" applyFill="1" applyBorder="1" applyAlignment="1">
      <alignment horizontal="left" vertical="center" wrapText="1"/>
    </xf>
    <xf numFmtId="0" fontId="2" fillId="8" borderId="4" xfId="0" applyFont="1" applyFill="1" applyBorder="1" applyAlignment="1">
      <alignment horizontal="left" vertical="center" wrapText="1"/>
    </xf>
    <xf numFmtId="0" fontId="2" fillId="8" borderId="5" xfId="0" applyFont="1" applyFill="1" applyBorder="1" applyAlignment="1">
      <alignment horizontal="left"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2" fillId="9" borderId="4" xfId="0" applyFont="1" applyFill="1" applyBorder="1" applyAlignment="1">
      <alignment horizontal="left"/>
    </xf>
    <xf numFmtId="0" fontId="2" fillId="9" borderId="5" xfId="0" applyFont="1" applyFill="1" applyBorder="1" applyAlignment="1">
      <alignment horizontal="left"/>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xf>
    <xf numFmtId="0" fontId="2" fillId="5" borderId="5" xfId="0" applyFont="1" applyFill="1" applyBorder="1" applyAlignment="1">
      <alignment horizontal="left" vertical="top"/>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0" fontId="2" fillId="2" borderId="6" xfId="0" applyFont="1" applyFill="1" applyBorder="1" applyAlignment="1">
      <alignment horizontal="left" vertical="center"/>
    </xf>
    <xf numFmtId="0" fontId="2" fillId="2" borderId="8" xfId="0" applyFont="1" applyFill="1" applyBorder="1" applyAlignment="1">
      <alignment horizontal="left" vertical="center"/>
    </xf>
    <xf numFmtId="0" fontId="2" fillId="2" borderId="11" xfId="0" applyFont="1" applyFill="1" applyBorder="1" applyAlignment="1">
      <alignment horizontal="left" vertical="center"/>
    </xf>
    <xf numFmtId="0" fontId="2" fillId="2" borderId="13" xfId="0" applyFont="1" applyFill="1" applyBorder="1" applyAlignment="1">
      <alignment horizontal="left" vertical="center"/>
    </xf>
    <xf numFmtId="0" fontId="2" fillId="2" borderId="7" xfId="0" applyFont="1" applyFill="1" applyBorder="1" applyAlignment="1">
      <alignment horizontal="left" vertical="center"/>
    </xf>
    <xf numFmtId="0" fontId="2" fillId="2" borderId="12" xfId="0" applyFont="1" applyFill="1" applyBorder="1" applyAlignment="1">
      <alignment horizontal="left" vertical="center"/>
    </xf>
    <xf numFmtId="0" fontId="18" fillId="0" borderId="2" xfId="0" applyFont="1" applyBorder="1" applyAlignment="1">
      <alignment horizontal="left" vertical="center"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8"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2</c:v>
                </c:pt>
                <c:pt idx="1">
                  <c:v>1.6</c:v>
                </c:pt>
                <c:pt idx="2">
                  <c:v>2.7</c:v>
                </c:pt>
                <c:pt idx="3">
                  <c:v>4.2</c:v>
                </c:pt>
                <c:pt idx="4">
                  <c:v>4.0999999999999996</c:v>
                </c:pt>
                <c:pt idx="5">
                  <c:v>1.8</c:v>
                </c:pt>
                <c:pt idx="6">
                  <c:v>1.6</c:v>
                </c:pt>
                <c:pt idx="7">
                  <c:v>2.5</c:v>
                </c:pt>
                <c:pt idx="8">
                  <c:v>1.6</c:v>
                </c:pt>
                <c:pt idx="9">
                  <c:v>1.3</c:v>
                </c:pt>
                <c:pt idx="10">
                  <c:v>1</c:v>
                </c:pt>
                <c:pt idx="11">
                  <c:v>0.7</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10</c:v>
                </c:pt>
                <c:pt idx="1">
                  <c:v>6.4</c:v>
                </c:pt>
                <c:pt idx="2">
                  <c:v>10.6</c:v>
                </c:pt>
                <c:pt idx="3">
                  <c:v>12.3</c:v>
                </c:pt>
                <c:pt idx="4">
                  <c:v>12.2</c:v>
                </c:pt>
                <c:pt idx="5">
                  <c:v>5.6</c:v>
                </c:pt>
                <c:pt idx="6">
                  <c:v>8.3000000000000007</c:v>
                </c:pt>
                <c:pt idx="7">
                  <c:v>6.8</c:v>
                </c:pt>
                <c:pt idx="8">
                  <c:v>6.6</c:v>
                </c:pt>
                <c:pt idx="9">
                  <c:v>3.7</c:v>
                </c:pt>
                <c:pt idx="10">
                  <c:v>2.4</c:v>
                </c:pt>
                <c:pt idx="11">
                  <c:v>2.5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1.18</c:v>
                </c:pt>
                <c:pt idx="1">
                  <c:v>0.95</c:v>
                </c:pt>
                <c:pt idx="2">
                  <c:v>1.62</c:v>
                </c:pt>
                <c:pt idx="3">
                  <c:v>2.2400000000000002</c:v>
                </c:pt>
                <c:pt idx="4">
                  <c:v>1.08</c:v>
                </c:pt>
                <c:pt idx="5">
                  <c:v>1.02</c:v>
                </c:pt>
                <c:pt idx="6">
                  <c:v>1</c:v>
                </c:pt>
                <c:pt idx="7">
                  <c:v>1.27</c:v>
                </c:pt>
                <c:pt idx="8">
                  <c:v>0.91</c:v>
                </c:pt>
                <c:pt idx="9">
                  <c:v>0.63</c:v>
                </c:pt>
                <c:pt idx="10">
                  <c:v>0.42</c:v>
                </c:pt>
                <c:pt idx="11">
                  <c:v>0.4</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5.3</c:v>
                </c:pt>
                <c:pt idx="1">
                  <c:v>3.8</c:v>
                </c:pt>
                <c:pt idx="2">
                  <c:v>6.4</c:v>
                </c:pt>
                <c:pt idx="3">
                  <c:v>7.4</c:v>
                </c:pt>
                <c:pt idx="4">
                  <c:v>7.3</c:v>
                </c:pt>
                <c:pt idx="5">
                  <c:v>3.4</c:v>
                </c:pt>
                <c:pt idx="6">
                  <c:v>5</c:v>
                </c:pt>
                <c:pt idx="7">
                  <c:v>4.0999999999999996</c:v>
                </c:pt>
                <c:pt idx="8">
                  <c:v>3.4</c:v>
                </c:pt>
                <c:pt idx="9">
                  <c:v>2.2000000000000002</c:v>
                </c:pt>
                <c:pt idx="10">
                  <c:v>1.5</c:v>
                </c:pt>
                <c:pt idx="11">
                  <c:v>1.5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0466016"/>
        <c:axId val="313318072"/>
      </c:lineChart>
      <c:catAx>
        <c:axId val="310466016"/>
        <c:scaling>
          <c:orientation val="minMax"/>
        </c:scaling>
        <c:delete val="0"/>
        <c:axPos val="b"/>
        <c:numFmt formatCode="General" sourceLinked="1"/>
        <c:majorTickMark val="out"/>
        <c:minorTickMark val="none"/>
        <c:tickLblPos val="nextTo"/>
        <c:crossAx val="313318072"/>
        <c:crosses val="autoZero"/>
        <c:auto val="1"/>
        <c:lblAlgn val="ctr"/>
        <c:lblOffset val="100"/>
        <c:noMultiLvlLbl val="0"/>
      </c:catAx>
      <c:valAx>
        <c:axId val="3133180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0466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69.7</c:v>
                </c:pt>
                <c:pt idx="1">
                  <c:v>68.599999999999994</c:v>
                </c:pt>
                <c:pt idx="2">
                  <c:v>67.400000000000006</c:v>
                </c:pt>
                <c:pt idx="3">
                  <c:v>65.099999999999994</c:v>
                </c:pt>
                <c:pt idx="4">
                  <c:v>67.400000000000006</c:v>
                </c:pt>
                <c:pt idx="5">
                  <c:v>67.8</c:v>
                </c:pt>
                <c:pt idx="6">
                  <c:v>64.3</c:v>
                </c:pt>
                <c:pt idx="7">
                  <c:v>67.400000000000006</c:v>
                </c:pt>
                <c:pt idx="8">
                  <c:v>67.8</c:v>
                </c:pt>
                <c:pt idx="9">
                  <c:v>71.400000000000006</c:v>
                </c:pt>
                <c:pt idx="10">
                  <c:v>76.7</c:v>
                </c:pt>
                <c:pt idx="11">
                  <c:v>71.3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694.6</c:v>
                </c:pt>
                <c:pt idx="1">
                  <c:v>152.30000000000001</c:v>
                </c:pt>
                <c:pt idx="2">
                  <c:v>141</c:v>
                </c:pt>
                <c:pt idx="3">
                  <c:v>112.3</c:v>
                </c:pt>
                <c:pt idx="4">
                  <c:v>142.1</c:v>
                </c:pt>
                <c:pt idx="5">
                  <c:v>156.69999999999999</c:v>
                </c:pt>
                <c:pt idx="6">
                  <c:v>181.8</c:v>
                </c:pt>
                <c:pt idx="7">
                  <c:v>144.80000000000001</c:v>
                </c:pt>
                <c:pt idx="8">
                  <c:v>203.9</c:v>
                </c:pt>
                <c:pt idx="9">
                  <c:v>235.7</c:v>
                </c:pt>
                <c:pt idx="10">
                  <c:v>277.89999999999998</c:v>
                </c:pt>
                <c:pt idx="11">
                  <c:v>208.1</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55.76</c:v>
                </c:pt>
                <c:pt idx="1">
                  <c:v>54.52</c:v>
                </c:pt>
                <c:pt idx="2">
                  <c:v>52.03</c:v>
                </c:pt>
                <c:pt idx="3">
                  <c:v>46.78</c:v>
                </c:pt>
                <c:pt idx="4">
                  <c:v>24.33</c:v>
                </c:pt>
                <c:pt idx="5">
                  <c:v>51.82</c:v>
                </c:pt>
                <c:pt idx="6">
                  <c:v>51.4</c:v>
                </c:pt>
                <c:pt idx="7">
                  <c:v>45.18</c:v>
                </c:pt>
                <c:pt idx="8">
                  <c:v>50.28</c:v>
                </c:pt>
                <c:pt idx="9">
                  <c:v>45.35</c:v>
                </c:pt>
                <c:pt idx="10">
                  <c:v>40.39</c:v>
                </c:pt>
                <c:pt idx="11">
                  <c:v>56.9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555.70000000000005</c:v>
                </c:pt>
                <c:pt idx="1">
                  <c:v>121.9</c:v>
                </c:pt>
                <c:pt idx="2">
                  <c:v>112.8</c:v>
                </c:pt>
                <c:pt idx="3">
                  <c:v>89.8</c:v>
                </c:pt>
                <c:pt idx="4">
                  <c:v>113.7</c:v>
                </c:pt>
                <c:pt idx="5">
                  <c:v>125.4</c:v>
                </c:pt>
                <c:pt idx="6">
                  <c:v>145.4</c:v>
                </c:pt>
                <c:pt idx="7">
                  <c:v>115.8</c:v>
                </c:pt>
                <c:pt idx="8">
                  <c:v>163.19999999999999</c:v>
                </c:pt>
                <c:pt idx="9">
                  <c:v>188.5</c:v>
                </c:pt>
                <c:pt idx="10">
                  <c:v>222.3</c:v>
                </c:pt>
                <c:pt idx="11">
                  <c:v>166.5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319248"/>
        <c:axId val="313319640"/>
      </c:lineChart>
      <c:catAx>
        <c:axId val="313319248"/>
        <c:scaling>
          <c:orientation val="minMax"/>
        </c:scaling>
        <c:delete val="0"/>
        <c:axPos val="b"/>
        <c:numFmt formatCode="General" sourceLinked="1"/>
        <c:majorTickMark val="out"/>
        <c:minorTickMark val="none"/>
        <c:tickLblPos val="nextTo"/>
        <c:crossAx val="313319640"/>
        <c:crosses val="autoZero"/>
        <c:auto val="1"/>
        <c:lblAlgn val="ctr"/>
        <c:lblOffset val="100"/>
        <c:noMultiLvlLbl val="0"/>
      </c:catAx>
      <c:valAx>
        <c:axId val="3133196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3192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600</c:v>
                </c:pt>
                <c:pt idx="1">
                  <c:v>600</c:v>
                </c:pt>
                <c:pt idx="2">
                  <c:v>600</c:v>
                </c:pt>
                <c:pt idx="3">
                  <c:v>600</c:v>
                </c:pt>
                <c:pt idx="4">
                  <c:v>600</c:v>
                </c:pt>
                <c:pt idx="5">
                  <c:v>600</c:v>
                </c:pt>
                <c:pt idx="6">
                  <c:v>600</c:v>
                </c:pt>
                <c:pt idx="7">
                  <c:v>600</c:v>
                </c:pt>
                <c:pt idx="8">
                  <c:v>600</c:v>
                </c:pt>
                <c:pt idx="9">
                  <c:v>600</c:v>
                </c:pt>
                <c:pt idx="10">
                  <c:v>600</c:v>
                </c:pt>
                <c:pt idx="11">
                  <c:v>600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240.7</c:v>
                </c:pt>
                <c:pt idx="1">
                  <c:v>226.2</c:v>
                </c:pt>
                <c:pt idx="2">
                  <c:v>235.8</c:v>
                </c:pt>
                <c:pt idx="3">
                  <c:v>246.4</c:v>
                </c:pt>
                <c:pt idx="4">
                  <c:v>267.39999999999998</c:v>
                </c:pt>
                <c:pt idx="5">
                  <c:v>267.60000000000002</c:v>
                </c:pt>
                <c:pt idx="6">
                  <c:v>249.7</c:v>
                </c:pt>
                <c:pt idx="7">
                  <c:v>243.4</c:v>
                </c:pt>
                <c:pt idx="8">
                  <c:v>250</c:v>
                </c:pt>
                <c:pt idx="9">
                  <c:v>211.9</c:v>
                </c:pt>
                <c:pt idx="10">
                  <c:v>224.5</c:v>
                </c:pt>
                <c:pt idx="11">
                  <c:v>231.2</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300.2</c:v>
                </c:pt>
                <c:pt idx="1">
                  <c:v>291.3</c:v>
                </c:pt>
                <c:pt idx="2">
                  <c:v>303.60000000000002</c:v>
                </c:pt>
                <c:pt idx="3">
                  <c:v>318.39999999999998</c:v>
                </c:pt>
                <c:pt idx="4">
                  <c:v>309.5</c:v>
                </c:pt>
                <c:pt idx="5">
                  <c:v>306.2</c:v>
                </c:pt>
                <c:pt idx="6">
                  <c:v>298.39999999999998</c:v>
                </c:pt>
                <c:pt idx="7">
                  <c:v>303.5</c:v>
                </c:pt>
                <c:pt idx="8">
                  <c:v>307.3</c:v>
                </c:pt>
                <c:pt idx="9">
                  <c:v>388.2</c:v>
                </c:pt>
                <c:pt idx="10">
                  <c:v>293.5</c:v>
                </c:pt>
                <c:pt idx="11">
                  <c:v>300.8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192.54</c:v>
                </c:pt>
                <c:pt idx="1">
                  <c:v>180.2</c:v>
                </c:pt>
                <c:pt idx="2">
                  <c:v>182.6</c:v>
                </c:pt>
                <c:pt idx="3">
                  <c:v>177.91</c:v>
                </c:pt>
                <c:pt idx="4">
                  <c:v>99.32</c:v>
                </c:pt>
                <c:pt idx="5">
                  <c:v>205.4</c:v>
                </c:pt>
                <c:pt idx="6">
                  <c:v>199.34</c:v>
                </c:pt>
                <c:pt idx="7">
                  <c:v>166.33</c:v>
                </c:pt>
                <c:pt idx="8">
                  <c:v>185.47</c:v>
                </c:pt>
                <c:pt idx="9">
                  <c:v>134.57</c:v>
                </c:pt>
                <c:pt idx="10">
                  <c:v>124.95</c:v>
                </c:pt>
                <c:pt idx="11">
                  <c:v>185.41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240.1</c:v>
                </c:pt>
                <c:pt idx="1">
                  <c:v>233.1</c:v>
                </c:pt>
                <c:pt idx="2">
                  <c:v>242.9</c:v>
                </c:pt>
                <c:pt idx="3">
                  <c:v>254.7</c:v>
                </c:pt>
                <c:pt idx="4">
                  <c:v>247.6</c:v>
                </c:pt>
                <c:pt idx="5">
                  <c:v>242.1</c:v>
                </c:pt>
                <c:pt idx="6">
                  <c:v>238.7</c:v>
                </c:pt>
                <c:pt idx="7">
                  <c:v>242.8</c:v>
                </c:pt>
                <c:pt idx="8">
                  <c:v>245.8</c:v>
                </c:pt>
                <c:pt idx="9">
                  <c:v>310.5</c:v>
                </c:pt>
                <c:pt idx="10">
                  <c:v>234.8</c:v>
                </c:pt>
                <c:pt idx="11">
                  <c:v>240.7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320816"/>
        <c:axId val="313321208"/>
      </c:lineChart>
      <c:catAx>
        <c:axId val="313320816"/>
        <c:scaling>
          <c:orientation val="minMax"/>
        </c:scaling>
        <c:delete val="0"/>
        <c:axPos val="b"/>
        <c:numFmt formatCode="General" sourceLinked="1"/>
        <c:majorTickMark val="out"/>
        <c:minorTickMark val="none"/>
        <c:tickLblPos val="nextTo"/>
        <c:crossAx val="313321208"/>
        <c:crosses val="autoZero"/>
        <c:auto val="1"/>
        <c:lblAlgn val="ctr"/>
        <c:lblOffset val="100"/>
        <c:noMultiLvlLbl val="0"/>
      </c:catAx>
      <c:valAx>
        <c:axId val="3133212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3208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1.3</c:v>
                </c:pt>
                <c:pt idx="1">
                  <c:v>1.4</c:v>
                </c:pt>
                <c:pt idx="2">
                  <c:v>1.4</c:v>
                </c:pt>
                <c:pt idx="3">
                  <c:v>1.3</c:v>
                </c:pt>
                <c:pt idx="4">
                  <c:v>1.4</c:v>
                </c:pt>
                <c:pt idx="5">
                  <c:v>1.4</c:v>
                </c:pt>
                <c:pt idx="6">
                  <c:v>1.4</c:v>
                </c:pt>
                <c:pt idx="7">
                  <c:v>1.3</c:v>
                </c:pt>
                <c:pt idx="8">
                  <c:v>1.4</c:v>
                </c:pt>
                <c:pt idx="9">
                  <c:v>1.4</c:v>
                </c:pt>
                <c:pt idx="10">
                  <c:v>1.3</c:v>
                </c:pt>
                <c:pt idx="11">
                  <c:v>1.3</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1.9</c:v>
                </c:pt>
                <c:pt idx="1">
                  <c:v>2.1</c:v>
                </c:pt>
                <c:pt idx="2">
                  <c:v>2.4</c:v>
                </c:pt>
                <c:pt idx="3">
                  <c:v>2.4</c:v>
                </c:pt>
                <c:pt idx="4">
                  <c:v>2.6</c:v>
                </c:pt>
                <c:pt idx="5">
                  <c:v>4.2</c:v>
                </c:pt>
                <c:pt idx="6">
                  <c:v>2.9</c:v>
                </c:pt>
                <c:pt idx="7">
                  <c:v>2.6</c:v>
                </c:pt>
                <c:pt idx="8">
                  <c:v>2.8</c:v>
                </c:pt>
                <c:pt idx="9">
                  <c:v>1.9</c:v>
                </c:pt>
                <c:pt idx="10">
                  <c:v>3.4</c:v>
                </c:pt>
                <c:pt idx="11">
                  <c:v>1.8</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0.91</c:v>
                </c:pt>
                <c:pt idx="1">
                  <c:v>0.95</c:v>
                </c:pt>
                <c:pt idx="2">
                  <c:v>0.93</c:v>
                </c:pt>
                <c:pt idx="3">
                  <c:v>0.83</c:v>
                </c:pt>
                <c:pt idx="4">
                  <c:v>0.47</c:v>
                </c:pt>
                <c:pt idx="5">
                  <c:v>0.97</c:v>
                </c:pt>
                <c:pt idx="6">
                  <c:v>0.94</c:v>
                </c:pt>
                <c:pt idx="7">
                  <c:v>0.83</c:v>
                </c:pt>
                <c:pt idx="8">
                  <c:v>0.89</c:v>
                </c:pt>
                <c:pt idx="9">
                  <c:v>0.77</c:v>
                </c:pt>
                <c:pt idx="10">
                  <c:v>0.67</c:v>
                </c:pt>
                <c:pt idx="11">
                  <c:v>0.92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1.4</c:v>
                </c:pt>
                <c:pt idx="1">
                  <c:v>1.5</c:v>
                </c:pt>
                <c:pt idx="2">
                  <c:v>1.7</c:v>
                </c:pt>
                <c:pt idx="3">
                  <c:v>1.7</c:v>
                </c:pt>
                <c:pt idx="4">
                  <c:v>1.9</c:v>
                </c:pt>
                <c:pt idx="5">
                  <c:v>2.9</c:v>
                </c:pt>
                <c:pt idx="6">
                  <c:v>1.8</c:v>
                </c:pt>
                <c:pt idx="7">
                  <c:v>1.8</c:v>
                </c:pt>
                <c:pt idx="8">
                  <c:v>1.9</c:v>
                </c:pt>
                <c:pt idx="9">
                  <c:v>1.3</c:v>
                </c:pt>
                <c:pt idx="10">
                  <c:v>2.4</c:v>
                </c:pt>
                <c:pt idx="11">
                  <c:v>1.3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323952"/>
        <c:axId val="316930088"/>
      </c:lineChart>
      <c:catAx>
        <c:axId val="313323952"/>
        <c:scaling>
          <c:orientation val="minMax"/>
        </c:scaling>
        <c:delete val="0"/>
        <c:axPos val="b"/>
        <c:numFmt formatCode="General" sourceLinked="1"/>
        <c:majorTickMark val="out"/>
        <c:minorTickMark val="none"/>
        <c:tickLblPos val="nextTo"/>
        <c:crossAx val="316930088"/>
        <c:crosses val="autoZero"/>
        <c:auto val="1"/>
        <c:lblAlgn val="ctr"/>
        <c:lblOffset val="100"/>
        <c:noMultiLvlLbl val="0"/>
      </c:catAx>
      <c:valAx>
        <c:axId val="3169300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323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45</c:v>
                </c:pt>
                <c:pt idx="1">
                  <c:v>45</c:v>
                </c:pt>
                <c:pt idx="2">
                  <c:v>45</c:v>
                </c:pt>
                <c:pt idx="3">
                  <c:v>45</c:v>
                </c:pt>
                <c:pt idx="4">
                  <c:v>45</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c:v>
                </c:pt>
                <c:pt idx="2">
                  <c:v>0.1</c:v>
                </c:pt>
                <c:pt idx="3">
                  <c:v>0</c:v>
                </c:pt>
                <c:pt idx="4">
                  <c:v>0.1</c:v>
                </c:pt>
                <c:pt idx="5">
                  <c:v>0.1</c:v>
                </c:pt>
                <c:pt idx="6">
                  <c:v>0</c:v>
                </c:pt>
                <c:pt idx="7">
                  <c:v>0.1</c:v>
                </c:pt>
                <c:pt idx="8">
                  <c:v>0.1</c:v>
                </c:pt>
                <c:pt idx="9">
                  <c:v>0.1</c:v>
                </c:pt>
                <c:pt idx="10">
                  <c:v>0.3</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c:v>
                </c:pt>
                <c:pt idx="1">
                  <c:v>9.5</c:v>
                </c:pt>
                <c:pt idx="2">
                  <c:v>51.7</c:v>
                </c:pt>
                <c:pt idx="3">
                  <c:v>17.899999999999999</c:v>
                </c:pt>
                <c:pt idx="4">
                  <c:v>19.5</c:v>
                </c:pt>
                <c:pt idx="5">
                  <c:v>21.4</c:v>
                </c:pt>
                <c:pt idx="6">
                  <c:v>11.4</c:v>
                </c:pt>
                <c:pt idx="7">
                  <c:v>31.7</c:v>
                </c:pt>
                <c:pt idx="8">
                  <c:v>25.3</c:v>
                </c:pt>
                <c:pt idx="9">
                  <c:v>15.7</c:v>
                </c:pt>
                <c:pt idx="10">
                  <c:v>39.9</c:v>
                </c:pt>
                <c:pt idx="11">
                  <c:v>0.6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c:v>
                </c:pt>
                <c:pt idx="1">
                  <c:v>5.7000000000000002E-2</c:v>
                </c:pt>
                <c:pt idx="2">
                  <c:v>0.09</c:v>
                </c:pt>
                <c:pt idx="3">
                  <c:v>0.03</c:v>
                </c:pt>
                <c:pt idx="4">
                  <c:v>0.02</c:v>
                </c:pt>
                <c:pt idx="5">
                  <c:v>0.13</c:v>
                </c:pt>
                <c:pt idx="6">
                  <c:v>0.02</c:v>
                </c:pt>
                <c:pt idx="7">
                  <c:v>0.04</c:v>
                </c:pt>
                <c:pt idx="8">
                  <c:v>0.1</c:v>
                </c:pt>
                <c:pt idx="9">
                  <c:v>3.2000000000000001E-2</c:v>
                </c:pt>
                <c:pt idx="10">
                  <c:v>0.59</c:v>
                </c:pt>
                <c:pt idx="11">
                  <c:v>0</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c:v>
                </c:pt>
                <c:pt idx="1">
                  <c:v>6.7</c:v>
                </c:pt>
                <c:pt idx="2">
                  <c:v>36.200000000000003</c:v>
                </c:pt>
                <c:pt idx="3">
                  <c:v>12.5</c:v>
                </c:pt>
                <c:pt idx="4">
                  <c:v>13.6</c:v>
                </c:pt>
                <c:pt idx="5">
                  <c:v>15</c:v>
                </c:pt>
                <c:pt idx="6">
                  <c:v>7.9</c:v>
                </c:pt>
                <c:pt idx="7">
                  <c:v>22.2</c:v>
                </c:pt>
                <c:pt idx="8">
                  <c:v>17.7</c:v>
                </c:pt>
                <c:pt idx="9">
                  <c:v>11</c:v>
                </c:pt>
                <c:pt idx="10">
                  <c:v>27.9</c:v>
                </c:pt>
                <c:pt idx="11">
                  <c:v>0.4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323560"/>
        <c:axId val="313323168"/>
      </c:lineChart>
      <c:catAx>
        <c:axId val="313323560"/>
        <c:scaling>
          <c:orientation val="minMax"/>
        </c:scaling>
        <c:delete val="0"/>
        <c:axPos val="b"/>
        <c:numFmt formatCode="General" sourceLinked="1"/>
        <c:majorTickMark val="out"/>
        <c:minorTickMark val="none"/>
        <c:tickLblPos val="nextTo"/>
        <c:crossAx val="313323168"/>
        <c:crosses val="autoZero"/>
        <c:auto val="1"/>
        <c:lblAlgn val="ctr"/>
        <c:lblOffset val="100"/>
        <c:noMultiLvlLbl val="0"/>
      </c:catAx>
      <c:valAx>
        <c:axId val="3133231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3235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39.200000000000003</c:v>
                </c:pt>
                <c:pt idx="1">
                  <c:v>44.2</c:v>
                </c:pt>
                <c:pt idx="2">
                  <c:v>45.9</c:v>
                </c:pt>
                <c:pt idx="3">
                  <c:v>46.2</c:v>
                </c:pt>
                <c:pt idx="4">
                  <c:v>43.6</c:v>
                </c:pt>
                <c:pt idx="5">
                  <c:v>45.4</c:v>
                </c:pt>
                <c:pt idx="6">
                  <c:v>43.9</c:v>
                </c:pt>
                <c:pt idx="7">
                  <c:v>38.799999999999997</c:v>
                </c:pt>
                <c:pt idx="8">
                  <c:v>40.700000000000003</c:v>
                </c:pt>
                <c:pt idx="9">
                  <c:v>44.7</c:v>
                </c:pt>
                <c:pt idx="10">
                  <c:v>44.4</c:v>
                </c:pt>
                <c:pt idx="11">
                  <c:v>42.3</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100</c:v>
                </c:pt>
                <c:pt idx="1">
                  <c:v>128.19999999999999</c:v>
                </c:pt>
                <c:pt idx="2">
                  <c:v>157.5</c:v>
                </c:pt>
                <c:pt idx="3">
                  <c:v>122.2</c:v>
                </c:pt>
                <c:pt idx="4">
                  <c:v>158.69999999999999</c:v>
                </c:pt>
                <c:pt idx="5">
                  <c:v>253.4</c:v>
                </c:pt>
                <c:pt idx="6">
                  <c:v>227.9</c:v>
                </c:pt>
                <c:pt idx="7">
                  <c:v>128.6</c:v>
                </c:pt>
                <c:pt idx="8">
                  <c:v>147.6</c:v>
                </c:pt>
                <c:pt idx="9">
                  <c:v>87.5</c:v>
                </c:pt>
                <c:pt idx="10">
                  <c:v>139.4</c:v>
                </c:pt>
                <c:pt idx="11">
                  <c:v>98</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35.29</c:v>
                </c:pt>
                <c:pt idx="1">
                  <c:v>40.49</c:v>
                </c:pt>
                <c:pt idx="2">
                  <c:v>39.92</c:v>
                </c:pt>
                <c:pt idx="3">
                  <c:v>37.36</c:v>
                </c:pt>
                <c:pt idx="4">
                  <c:v>17.86</c:v>
                </c:pt>
                <c:pt idx="5">
                  <c:v>39.450000000000003</c:v>
                </c:pt>
                <c:pt idx="6">
                  <c:v>39.57</c:v>
                </c:pt>
                <c:pt idx="7">
                  <c:v>29.9</c:v>
                </c:pt>
                <c:pt idx="8">
                  <c:v>34.4</c:v>
                </c:pt>
                <c:pt idx="9">
                  <c:v>32.72</c:v>
                </c:pt>
                <c:pt idx="10">
                  <c:v>28.63</c:v>
                </c:pt>
                <c:pt idx="11">
                  <c:v>38.01</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85.4</c:v>
                </c:pt>
                <c:pt idx="1">
                  <c:v>115.4</c:v>
                </c:pt>
                <c:pt idx="2">
                  <c:v>141.69999999999999</c:v>
                </c:pt>
                <c:pt idx="3">
                  <c:v>106.1</c:v>
                </c:pt>
                <c:pt idx="4">
                  <c:v>142.80000000000001</c:v>
                </c:pt>
                <c:pt idx="5">
                  <c:v>177.2</c:v>
                </c:pt>
                <c:pt idx="6">
                  <c:v>205.1</c:v>
                </c:pt>
                <c:pt idx="7">
                  <c:v>115.8</c:v>
                </c:pt>
                <c:pt idx="8">
                  <c:v>132.80000000000001</c:v>
                </c:pt>
                <c:pt idx="9">
                  <c:v>78.8</c:v>
                </c:pt>
                <c:pt idx="10">
                  <c:v>125.5</c:v>
                </c:pt>
                <c:pt idx="11">
                  <c:v>88.2</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6931264"/>
        <c:axId val="316931656"/>
      </c:lineChart>
      <c:catAx>
        <c:axId val="316931264"/>
        <c:scaling>
          <c:orientation val="minMax"/>
        </c:scaling>
        <c:delete val="0"/>
        <c:axPos val="b"/>
        <c:numFmt formatCode="General" sourceLinked="1"/>
        <c:majorTickMark val="out"/>
        <c:minorTickMark val="none"/>
        <c:tickLblPos val="nextTo"/>
        <c:crossAx val="316931656"/>
        <c:crosses val="autoZero"/>
        <c:auto val="1"/>
        <c:lblAlgn val="ctr"/>
        <c:lblOffset val="100"/>
        <c:noMultiLvlLbl val="0"/>
      </c:catAx>
      <c:valAx>
        <c:axId val="31693165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693126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6932832"/>
        <c:axId val="316933224"/>
      </c:lineChart>
      <c:catAx>
        <c:axId val="316932832"/>
        <c:scaling>
          <c:orientation val="minMax"/>
        </c:scaling>
        <c:delete val="0"/>
        <c:axPos val="b"/>
        <c:numFmt formatCode="General" sourceLinked="1"/>
        <c:majorTickMark val="out"/>
        <c:minorTickMark val="none"/>
        <c:tickLblPos val="nextTo"/>
        <c:crossAx val="316933224"/>
        <c:crosses val="autoZero"/>
        <c:auto val="1"/>
        <c:lblAlgn val="ctr"/>
        <c:lblOffset val="100"/>
        <c:noMultiLvlLbl val="0"/>
      </c:catAx>
      <c:valAx>
        <c:axId val="3169332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69328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0.9</c:v>
                </c:pt>
                <c:pt idx="1">
                  <c:v>1.2</c:v>
                </c:pt>
                <c:pt idx="2">
                  <c:v>1.1000000000000001</c:v>
                </c:pt>
                <c:pt idx="3">
                  <c:v>1.1000000000000001</c:v>
                </c:pt>
                <c:pt idx="4">
                  <c:v>1.6</c:v>
                </c:pt>
                <c:pt idx="5">
                  <c:v>2.1</c:v>
                </c:pt>
                <c:pt idx="6">
                  <c:v>1.6</c:v>
                </c:pt>
                <c:pt idx="7">
                  <c:v>1.2</c:v>
                </c:pt>
                <c:pt idx="8">
                  <c:v>1.2</c:v>
                </c:pt>
                <c:pt idx="9">
                  <c:v>1.2</c:v>
                </c:pt>
                <c:pt idx="10">
                  <c:v>1.7</c:v>
                </c:pt>
                <c:pt idx="11">
                  <c:v>1</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42.7</c:v>
                </c:pt>
                <c:pt idx="1">
                  <c:v>51.2</c:v>
                </c:pt>
                <c:pt idx="2">
                  <c:v>25.2</c:v>
                </c:pt>
                <c:pt idx="3">
                  <c:v>20.399999999999999</c:v>
                </c:pt>
                <c:pt idx="4">
                  <c:v>60.7</c:v>
                </c:pt>
                <c:pt idx="5">
                  <c:v>105</c:v>
                </c:pt>
                <c:pt idx="6">
                  <c:v>76.3</c:v>
                </c:pt>
                <c:pt idx="7">
                  <c:v>43.4</c:v>
                </c:pt>
                <c:pt idx="8">
                  <c:v>45.1</c:v>
                </c:pt>
                <c:pt idx="9">
                  <c:v>20.6</c:v>
                </c:pt>
                <c:pt idx="10">
                  <c:v>49.6</c:v>
                </c:pt>
                <c:pt idx="11">
                  <c:v>22.7</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0.94</c:v>
                </c:pt>
                <c:pt idx="1">
                  <c:v>1.27</c:v>
                </c:pt>
                <c:pt idx="2">
                  <c:v>1.07</c:v>
                </c:pt>
                <c:pt idx="3">
                  <c:v>1</c:v>
                </c:pt>
                <c:pt idx="4">
                  <c:v>0.85</c:v>
                </c:pt>
                <c:pt idx="5">
                  <c:v>2.69</c:v>
                </c:pt>
                <c:pt idx="6">
                  <c:v>1.65</c:v>
                </c:pt>
                <c:pt idx="7">
                  <c:v>1.28</c:v>
                </c:pt>
                <c:pt idx="8">
                  <c:v>1.22</c:v>
                </c:pt>
                <c:pt idx="9">
                  <c:v>1</c:v>
                </c:pt>
                <c:pt idx="10">
                  <c:v>1.59</c:v>
                </c:pt>
                <c:pt idx="11">
                  <c:v>1.03</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42.7</c:v>
                </c:pt>
                <c:pt idx="1">
                  <c:v>51.2</c:v>
                </c:pt>
                <c:pt idx="2">
                  <c:v>25.2</c:v>
                </c:pt>
                <c:pt idx="3">
                  <c:v>20.399999999999999</c:v>
                </c:pt>
                <c:pt idx="4">
                  <c:v>60.7</c:v>
                </c:pt>
                <c:pt idx="5">
                  <c:v>105</c:v>
                </c:pt>
                <c:pt idx="6">
                  <c:v>76.3</c:v>
                </c:pt>
                <c:pt idx="7">
                  <c:v>43.4</c:v>
                </c:pt>
                <c:pt idx="8">
                  <c:v>45.1</c:v>
                </c:pt>
                <c:pt idx="9">
                  <c:v>20.6</c:v>
                </c:pt>
                <c:pt idx="10">
                  <c:v>49.6</c:v>
                </c:pt>
                <c:pt idx="11">
                  <c:v>22.7</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6934400"/>
        <c:axId val="316934792"/>
      </c:lineChart>
      <c:catAx>
        <c:axId val="316934400"/>
        <c:scaling>
          <c:orientation val="minMax"/>
        </c:scaling>
        <c:delete val="0"/>
        <c:axPos val="b"/>
        <c:numFmt formatCode="General" sourceLinked="1"/>
        <c:majorTickMark val="out"/>
        <c:minorTickMark val="none"/>
        <c:tickLblPos val="nextTo"/>
        <c:crossAx val="316934792"/>
        <c:crosses val="autoZero"/>
        <c:auto val="1"/>
        <c:lblAlgn val="ctr"/>
        <c:lblOffset val="100"/>
        <c:noMultiLvlLbl val="0"/>
      </c:catAx>
      <c:valAx>
        <c:axId val="3169347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69344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7</xdr:col>
      <xdr:colOff>123825</xdr:colOff>
      <xdr:row>6</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9800" y="0"/>
          <a:ext cx="2600325" cy="1257300"/>
        </a:xfrm>
        <a:prstGeom prst="rect">
          <a:avLst/>
        </a:prstGeom>
      </xdr:spPr>
    </xdr:pic>
    <xdr:clientData/>
  </xdr:twoCellAnchor>
  <xdr:twoCellAnchor editAs="oneCell">
    <xdr:from>
      <xdr:col>1</xdr:col>
      <xdr:colOff>0</xdr:colOff>
      <xdr:row>7</xdr:row>
      <xdr:rowOff>0</xdr:rowOff>
    </xdr:from>
    <xdr:to>
      <xdr:col>8</xdr:col>
      <xdr:colOff>718185</xdr:colOff>
      <xdr:row>24</xdr:row>
      <xdr:rowOff>38100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9125" y="1333500"/>
          <a:ext cx="5404485" cy="32861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bcasey@equitix.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38" zoomScaleNormal="100" workbookViewId="0">
      <selection activeCell="G52" sqref="G52"/>
    </sheetView>
  </sheetViews>
  <sheetFormatPr defaultColWidth="9.33203125" defaultRowHeight="15" x14ac:dyDescent="0.25"/>
  <cols>
    <col min="1" max="1" width="9.33203125" style="2" customWidth="1"/>
    <col min="2" max="2" width="14.5546875" style="2" bestFit="1" customWidth="1"/>
    <col min="3" max="8" width="9.33203125" style="2"/>
    <col min="9" max="9" width="13.6640625" style="2" customWidth="1"/>
    <col min="10" max="10" width="11.5546875" style="2" customWidth="1"/>
    <col min="11" max="14" width="9.33203125" style="2"/>
    <col min="15" max="15" width="9.33203125" style="2" customWidth="1"/>
    <col min="16" max="16384" width="9.33203125" style="2"/>
  </cols>
  <sheetData>
    <row r="1" spans="2:16" x14ac:dyDescent="0.25">
      <c r="B1" s="90"/>
      <c r="C1" s="90"/>
      <c r="D1" s="180" t="s">
        <v>0</v>
      </c>
      <c r="E1" s="180"/>
      <c r="F1" s="180"/>
      <c r="G1" s="180"/>
      <c r="H1" s="90"/>
      <c r="I1" s="90"/>
      <c r="J1" s="90"/>
      <c r="K1" s="90"/>
      <c r="L1" s="90"/>
      <c r="M1" s="90"/>
      <c r="N1" s="90"/>
      <c r="O1" s="90"/>
      <c r="P1" s="90"/>
    </row>
    <row r="2" spans="2:16" x14ac:dyDescent="0.25">
      <c r="B2" s="90"/>
      <c r="C2" s="90"/>
      <c r="D2" s="180"/>
      <c r="E2" s="180"/>
      <c r="F2" s="180"/>
      <c r="G2" s="180"/>
      <c r="H2" s="90"/>
      <c r="I2" s="90"/>
      <c r="J2" s="90"/>
      <c r="K2" s="90"/>
      <c r="L2" s="90"/>
      <c r="M2" s="90"/>
      <c r="N2" s="90" t="s">
        <v>1</v>
      </c>
      <c r="O2" s="90"/>
      <c r="P2" s="118"/>
    </row>
    <row r="3" spans="2:16" x14ac:dyDescent="0.25">
      <c r="B3" s="90"/>
      <c r="C3" s="90"/>
      <c r="D3" s="180"/>
      <c r="E3" s="180"/>
      <c r="F3" s="180"/>
      <c r="G3" s="180"/>
      <c r="H3" s="90"/>
      <c r="I3" s="90"/>
      <c r="J3" s="90"/>
      <c r="K3" s="90"/>
      <c r="L3" s="90"/>
      <c r="M3" s="90"/>
      <c r="N3" s="118"/>
      <c r="O3" s="90"/>
      <c r="P3" s="90"/>
    </row>
    <row r="4" spans="2:16" x14ac:dyDescent="0.25">
      <c r="B4" s="90"/>
      <c r="C4" s="90"/>
      <c r="D4" s="180"/>
      <c r="E4" s="180"/>
      <c r="F4" s="180"/>
      <c r="G4" s="180"/>
      <c r="H4" s="90"/>
      <c r="I4" s="90"/>
      <c r="J4" s="90"/>
      <c r="K4" s="90"/>
      <c r="L4" s="90"/>
      <c r="M4" s="90"/>
      <c r="N4" s="90"/>
      <c r="O4" s="90"/>
      <c r="P4" s="90"/>
    </row>
    <row r="5" spans="2:16" x14ac:dyDescent="0.25">
      <c r="B5" s="90"/>
      <c r="C5" s="90"/>
      <c r="D5" s="180"/>
      <c r="E5" s="180"/>
      <c r="F5" s="180"/>
      <c r="G5" s="180"/>
      <c r="H5" s="90"/>
      <c r="I5" s="90"/>
      <c r="J5" s="90"/>
      <c r="K5" s="90"/>
      <c r="L5" s="90"/>
      <c r="M5" s="90"/>
      <c r="N5" s="90"/>
      <c r="O5" s="90"/>
      <c r="P5" s="90"/>
    </row>
    <row r="6" spans="2:16" x14ac:dyDescent="0.25">
      <c r="B6" s="90"/>
      <c r="C6" s="90"/>
      <c r="D6" s="180"/>
      <c r="E6" s="180"/>
      <c r="F6" s="180"/>
      <c r="G6" s="180"/>
      <c r="H6" s="90"/>
      <c r="I6" s="90"/>
      <c r="J6" s="90"/>
      <c r="K6" s="90"/>
      <c r="L6" s="90"/>
      <c r="M6" s="90"/>
      <c r="N6" s="90"/>
      <c r="O6" s="90"/>
      <c r="P6" s="90"/>
    </row>
    <row r="8" spans="2:16" ht="15.75" customHeight="1" x14ac:dyDescent="0.25">
      <c r="B8" s="180" t="s">
        <v>2</v>
      </c>
      <c r="C8" s="180"/>
      <c r="D8" s="180"/>
      <c r="E8" s="180"/>
      <c r="F8" s="180"/>
      <c r="G8" s="180"/>
      <c r="H8" s="180"/>
      <c r="I8" s="180"/>
      <c r="J8" s="90"/>
      <c r="K8" s="90"/>
      <c r="L8" s="90"/>
      <c r="M8" s="90"/>
      <c r="N8" s="72"/>
      <c r="O8" s="90"/>
      <c r="P8" s="90"/>
    </row>
    <row r="9" spans="2:16" x14ac:dyDescent="0.25">
      <c r="B9" s="180"/>
      <c r="C9" s="180"/>
      <c r="D9" s="180"/>
      <c r="E9" s="180"/>
      <c r="F9" s="180"/>
      <c r="G9" s="180"/>
      <c r="H9" s="180"/>
      <c r="I9" s="180"/>
      <c r="J9" s="90"/>
      <c r="K9" s="90"/>
      <c r="L9" s="90"/>
      <c r="M9" s="90"/>
      <c r="N9" s="90"/>
      <c r="O9" s="90"/>
      <c r="P9" s="90"/>
    </row>
    <row r="10" spans="2:16" x14ac:dyDescent="0.25">
      <c r="B10" s="180"/>
      <c r="C10" s="180"/>
      <c r="D10" s="180"/>
      <c r="E10" s="180"/>
      <c r="F10" s="180"/>
      <c r="G10" s="180"/>
      <c r="H10" s="180"/>
      <c r="I10" s="180"/>
      <c r="J10" s="90"/>
      <c r="K10" s="90"/>
      <c r="L10" s="90"/>
      <c r="M10" s="90"/>
      <c r="N10" s="90"/>
      <c r="O10" s="90"/>
      <c r="P10" s="90"/>
    </row>
    <row r="11" spans="2:16" x14ac:dyDescent="0.25">
      <c r="B11" s="180"/>
      <c r="C11" s="180"/>
      <c r="D11" s="180"/>
      <c r="E11" s="180"/>
      <c r="F11" s="180"/>
      <c r="G11" s="180"/>
      <c r="H11" s="180"/>
      <c r="I11" s="180"/>
      <c r="J11" s="90"/>
      <c r="K11" s="90"/>
      <c r="L11" s="90"/>
      <c r="M11" s="90"/>
      <c r="N11" s="90"/>
      <c r="O11" s="90"/>
      <c r="P11" s="90"/>
    </row>
    <row r="12" spans="2:16" x14ac:dyDescent="0.25">
      <c r="B12" s="180"/>
      <c r="C12" s="180"/>
      <c r="D12" s="180"/>
      <c r="E12" s="180"/>
      <c r="F12" s="180"/>
      <c r="G12" s="180"/>
      <c r="H12" s="180"/>
      <c r="I12" s="180"/>
      <c r="J12" s="90"/>
      <c r="K12" s="90"/>
      <c r="L12" s="90"/>
      <c r="M12" s="90"/>
      <c r="N12" s="90"/>
      <c r="O12" s="90"/>
      <c r="P12" s="90"/>
    </row>
    <row r="13" spans="2:16" ht="15.6" x14ac:dyDescent="0.3">
      <c r="B13" s="180"/>
      <c r="C13" s="180"/>
      <c r="D13" s="180"/>
      <c r="E13" s="180"/>
      <c r="F13" s="180"/>
      <c r="G13" s="180"/>
      <c r="H13" s="180"/>
      <c r="I13" s="180"/>
      <c r="J13" s="90"/>
      <c r="K13" s="90"/>
      <c r="L13" s="90"/>
      <c r="M13" s="90"/>
      <c r="N13" s="76" t="s">
        <v>3</v>
      </c>
      <c r="O13" s="74"/>
      <c r="P13" s="74"/>
    </row>
    <row r="14" spans="2:16" ht="15.6" customHeight="1" x14ac:dyDescent="0.25">
      <c r="B14" s="180"/>
      <c r="C14" s="180"/>
      <c r="D14" s="180"/>
      <c r="E14" s="180"/>
      <c r="F14" s="180"/>
      <c r="G14" s="180"/>
      <c r="H14" s="180"/>
      <c r="I14" s="180"/>
      <c r="J14" s="90"/>
      <c r="K14" s="90"/>
      <c r="L14" s="90"/>
      <c r="M14" s="90"/>
      <c r="N14" s="178" t="s">
        <v>4</v>
      </c>
      <c r="O14" s="178"/>
      <c r="P14" s="178"/>
    </row>
    <row r="15" spans="2:16" x14ac:dyDescent="0.25">
      <c r="B15" s="180"/>
      <c r="C15" s="180"/>
      <c r="D15" s="180"/>
      <c r="E15" s="180"/>
      <c r="F15" s="180"/>
      <c r="G15" s="180"/>
      <c r="H15" s="180"/>
      <c r="I15" s="180"/>
      <c r="J15" s="90"/>
      <c r="K15" s="90"/>
      <c r="L15" s="90"/>
      <c r="M15" s="90"/>
      <c r="N15" s="178"/>
      <c r="O15" s="178"/>
      <c r="P15" s="178"/>
    </row>
    <row r="16" spans="2:16" x14ac:dyDescent="0.25">
      <c r="B16" s="180"/>
      <c r="C16" s="180"/>
      <c r="D16" s="180"/>
      <c r="E16" s="180"/>
      <c r="F16" s="180"/>
      <c r="G16" s="180"/>
      <c r="H16" s="180"/>
      <c r="I16" s="180"/>
      <c r="J16" s="90"/>
      <c r="K16" s="90"/>
      <c r="L16" s="90"/>
      <c r="M16" s="90"/>
      <c r="N16" s="178"/>
      <c r="O16" s="178"/>
      <c r="P16" s="178"/>
    </row>
    <row r="17" spans="2:16" x14ac:dyDescent="0.25">
      <c r="B17" s="180"/>
      <c r="C17" s="180"/>
      <c r="D17" s="180"/>
      <c r="E17" s="180"/>
      <c r="F17" s="180"/>
      <c r="G17" s="180"/>
      <c r="H17" s="180"/>
      <c r="I17" s="180"/>
      <c r="J17" s="90"/>
      <c r="K17" s="90"/>
      <c r="L17" s="90"/>
      <c r="M17" s="90"/>
      <c r="N17" s="178"/>
      <c r="O17" s="178"/>
      <c r="P17" s="178"/>
    </row>
    <row r="18" spans="2:16" x14ac:dyDescent="0.25">
      <c r="B18" s="180"/>
      <c r="C18" s="180"/>
      <c r="D18" s="180"/>
      <c r="E18" s="180"/>
      <c r="F18" s="180"/>
      <c r="G18" s="180"/>
      <c r="H18" s="180"/>
      <c r="I18" s="180"/>
      <c r="J18" s="90"/>
      <c r="K18" s="90"/>
      <c r="L18" s="90"/>
      <c r="M18" s="90"/>
      <c r="N18" s="178"/>
      <c r="O18" s="178"/>
      <c r="P18" s="178"/>
    </row>
    <row r="19" spans="2:16" x14ac:dyDescent="0.25">
      <c r="B19" s="180"/>
      <c r="C19" s="180"/>
      <c r="D19" s="180"/>
      <c r="E19" s="180"/>
      <c r="F19" s="180"/>
      <c r="G19" s="180"/>
      <c r="H19" s="180"/>
      <c r="I19" s="180"/>
      <c r="J19" s="90"/>
      <c r="K19" s="90"/>
      <c r="L19" s="90"/>
      <c r="M19" s="90"/>
      <c r="N19" s="178"/>
      <c r="O19" s="178"/>
      <c r="P19" s="178"/>
    </row>
    <row r="20" spans="2:16" x14ac:dyDescent="0.25">
      <c r="B20" s="180"/>
      <c r="C20" s="180"/>
      <c r="D20" s="180"/>
      <c r="E20" s="180"/>
      <c r="F20" s="180"/>
      <c r="G20" s="180"/>
      <c r="H20" s="180"/>
      <c r="I20" s="180"/>
      <c r="J20" s="90"/>
      <c r="K20" s="90"/>
      <c r="L20" s="90"/>
      <c r="M20" s="90"/>
      <c r="N20" s="90"/>
      <c r="O20" s="90"/>
      <c r="P20" s="90"/>
    </row>
    <row r="21" spans="2:16" x14ac:dyDescent="0.25">
      <c r="B21" s="180"/>
      <c r="C21" s="180"/>
      <c r="D21" s="180"/>
      <c r="E21" s="180"/>
      <c r="F21" s="180"/>
      <c r="G21" s="180"/>
      <c r="H21" s="180"/>
      <c r="I21" s="180"/>
      <c r="J21" s="90"/>
      <c r="K21" s="90"/>
      <c r="L21" s="90"/>
      <c r="M21" s="90"/>
      <c r="N21" s="90"/>
      <c r="O21" s="90"/>
      <c r="P21" s="90"/>
    </row>
    <row r="22" spans="2:16" x14ac:dyDescent="0.25">
      <c r="B22" s="180"/>
      <c r="C22" s="180"/>
      <c r="D22" s="180"/>
      <c r="E22" s="180"/>
      <c r="F22" s="180"/>
      <c r="G22" s="180"/>
      <c r="H22" s="180"/>
      <c r="I22" s="180"/>
      <c r="J22" s="90"/>
      <c r="K22" s="90"/>
      <c r="L22" s="90"/>
      <c r="M22" s="90"/>
      <c r="N22" s="90"/>
      <c r="O22" s="90"/>
      <c r="P22" s="90"/>
    </row>
    <row r="23" spans="2:16" x14ac:dyDescent="0.25">
      <c r="B23" s="180"/>
      <c r="C23" s="180"/>
      <c r="D23" s="180"/>
      <c r="E23" s="180"/>
      <c r="F23" s="180"/>
      <c r="G23" s="180"/>
      <c r="H23" s="180"/>
      <c r="I23" s="180"/>
      <c r="J23" s="90"/>
      <c r="K23" s="90"/>
      <c r="L23" s="90"/>
      <c r="M23" s="90"/>
      <c r="N23" s="90"/>
      <c r="O23" s="90"/>
      <c r="P23" s="90"/>
    </row>
    <row r="24" spans="2:16" x14ac:dyDescent="0.25">
      <c r="B24" s="180"/>
      <c r="C24" s="180"/>
      <c r="D24" s="180"/>
      <c r="E24" s="180"/>
      <c r="F24" s="180"/>
      <c r="G24" s="180"/>
      <c r="H24" s="180"/>
      <c r="I24" s="180"/>
      <c r="J24" s="90"/>
      <c r="K24" s="90"/>
      <c r="L24" s="90"/>
      <c r="M24" s="90"/>
      <c r="N24" s="90"/>
      <c r="O24" s="90"/>
      <c r="P24" s="90"/>
    </row>
    <row r="29" spans="2:16" ht="17.399999999999999" x14ac:dyDescent="0.3">
      <c r="B29" s="179" t="s">
        <v>5</v>
      </c>
      <c r="C29" s="179"/>
      <c r="D29" s="179"/>
      <c r="E29" s="179"/>
      <c r="F29" s="179"/>
      <c r="G29" s="179"/>
      <c r="H29" s="179"/>
      <c r="I29" s="179"/>
      <c r="J29" s="90"/>
      <c r="K29" s="90"/>
      <c r="L29" s="90"/>
      <c r="M29" s="90"/>
      <c r="N29" s="90"/>
      <c r="O29" s="90"/>
      <c r="P29" s="90"/>
    </row>
    <row r="30" spans="2:16" ht="17.399999999999999" x14ac:dyDescent="0.3">
      <c r="B30" s="90"/>
      <c r="C30" s="7"/>
      <c r="D30" s="8"/>
      <c r="E30" s="8"/>
      <c r="F30" s="8"/>
      <c r="G30" s="8"/>
      <c r="H30" s="8"/>
      <c r="I30" s="8"/>
      <c r="J30" s="90"/>
      <c r="K30" s="90"/>
      <c r="L30" s="90"/>
      <c r="M30" s="90"/>
      <c r="N30" s="90"/>
      <c r="O30" s="90"/>
      <c r="P30" s="90"/>
    </row>
    <row r="31" spans="2:16" ht="17.399999999999999" x14ac:dyDescent="0.3">
      <c r="B31" s="179" t="s">
        <v>6</v>
      </c>
      <c r="C31" s="179"/>
      <c r="D31" s="179"/>
      <c r="E31" s="179"/>
      <c r="F31" s="179"/>
      <c r="G31" s="179"/>
      <c r="H31" s="179"/>
      <c r="I31" s="179"/>
      <c r="J31" s="90"/>
      <c r="K31" s="90"/>
      <c r="L31" s="90"/>
      <c r="M31" s="90"/>
      <c r="N31" s="90"/>
      <c r="O31" s="90"/>
      <c r="P31" s="90"/>
    </row>
    <row r="32" spans="2:16" ht="17.399999999999999" x14ac:dyDescent="0.3">
      <c r="B32" s="90"/>
      <c r="C32" s="7"/>
      <c r="D32" s="8"/>
      <c r="E32" s="8"/>
      <c r="F32" s="8"/>
      <c r="G32" s="8"/>
      <c r="H32" s="8"/>
      <c r="I32" s="8"/>
      <c r="J32" s="90"/>
      <c r="K32" s="90"/>
      <c r="L32" s="90"/>
      <c r="M32" s="90"/>
      <c r="N32" s="90"/>
      <c r="O32" s="90"/>
      <c r="P32" s="90"/>
    </row>
    <row r="33" spans="2:9" ht="17.399999999999999" x14ac:dyDescent="0.3">
      <c r="B33" s="179" t="s">
        <v>7</v>
      </c>
      <c r="C33" s="179"/>
      <c r="D33" s="179"/>
      <c r="E33" s="179"/>
      <c r="F33" s="179"/>
      <c r="G33" s="179"/>
      <c r="H33" s="179"/>
      <c r="I33" s="179"/>
    </row>
    <row r="34" spans="2:9" ht="17.399999999999999" x14ac:dyDescent="0.3">
      <c r="B34" s="90"/>
      <c r="C34" s="7"/>
      <c r="D34" s="8"/>
      <c r="E34" s="8"/>
      <c r="F34" s="8"/>
      <c r="G34" s="8"/>
      <c r="H34" s="8"/>
      <c r="I34" s="8"/>
    </row>
    <row r="35" spans="2:9" ht="17.399999999999999" x14ac:dyDescent="0.3">
      <c r="B35" s="179" t="s">
        <v>8</v>
      </c>
      <c r="C35" s="179"/>
      <c r="D35" s="179"/>
      <c r="E35" s="179"/>
      <c r="F35" s="179"/>
      <c r="G35" s="179"/>
      <c r="H35" s="179"/>
      <c r="I35" s="179"/>
    </row>
    <row r="37" spans="2:9" ht="17.399999999999999" x14ac:dyDescent="0.3">
      <c r="B37" s="179"/>
      <c r="C37" s="179"/>
      <c r="D37" s="179"/>
      <c r="E37" s="179"/>
      <c r="F37" s="179"/>
      <c r="G37" s="179"/>
      <c r="H37" s="179"/>
      <c r="I37" s="179"/>
    </row>
    <row r="39" spans="2:9" x14ac:dyDescent="0.25">
      <c r="B39" s="90" t="s">
        <v>9</v>
      </c>
      <c r="C39" s="109">
        <v>2022</v>
      </c>
      <c r="D39" s="119"/>
      <c r="E39" s="119"/>
      <c r="F39" s="119"/>
      <c r="G39" s="119"/>
      <c r="H39" s="119"/>
      <c r="I39" s="119"/>
    </row>
    <row r="40" spans="2:9" ht="14.25" customHeight="1" x14ac:dyDescent="0.25">
      <c r="B40" s="90"/>
      <c r="C40" s="119"/>
      <c r="D40" s="119"/>
      <c r="E40" s="119"/>
      <c r="F40" s="119"/>
      <c r="G40" s="119"/>
      <c r="H40" s="119"/>
      <c r="I40" s="119"/>
    </row>
    <row r="41" spans="2:9" x14ac:dyDescent="0.25">
      <c r="B41" s="119" t="s">
        <v>10</v>
      </c>
      <c r="C41" s="181" t="s">
        <v>11</v>
      </c>
      <c r="D41" s="181"/>
      <c r="E41" s="181"/>
      <c r="F41" s="181"/>
      <c r="G41" s="181"/>
      <c r="H41" s="181"/>
      <c r="I41" s="181"/>
    </row>
    <row r="42" spans="2:9" x14ac:dyDescent="0.25">
      <c r="B42" s="119"/>
      <c r="C42" s="119"/>
      <c r="D42" s="119"/>
      <c r="E42" s="119"/>
      <c r="F42" s="119"/>
      <c r="G42" s="119"/>
      <c r="H42" s="119"/>
      <c r="I42" s="119"/>
    </row>
    <row r="43" spans="2:9" x14ac:dyDescent="0.25">
      <c r="B43" s="119" t="s">
        <v>12</v>
      </c>
      <c r="C43" s="181" t="s">
        <v>13</v>
      </c>
      <c r="D43" s="181"/>
      <c r="E43" s="181"/>
      <c r="F43" s="119"/>
      <c r="G43" s="119"/>
      <c r="H43" s="119"/>
      <c r="I43" s="119"/>
    </row>
    <row r="44" spans="2:9" x14ac:dyDescent="0.25">
      <c r="B44" s="119"/>
      <c r="C44" s="119"/>
      <c r="D44" s="119"/>
      <c r="E44" s="119"/>
      <c r="F44" s="119"/>
      <c r="G44" s="119"/>
      <c r="H44" s="119"/>
      <c r="I44" s="119"/>
    </row>
    <row r="45" spans="2:9" ht="15.6" x14ac:dyDescent="0.3">
      <c r="B45" s="119" t="s">
        <v>14</v>
      </c>
      <c r="C45" s="184" t="s">
        <v>15</v>
      </c>
      <c r="D45" s="181"/>
      <c r="E45" s="181"/>
      <c r="F45" s="119"/>
      <c r="G45" s="119"/>
      <c r="H45" s="119"/>
      <c r="I45" s="119"/>
    </row>
    <row r="46" spans="2:9" x14ac:dyDescent="0.25">
      <c r="B46" s="119"/>
      <c r="C46" s="90"/>
      <c r="D46" s="90"/>
      <c r="E46" s="90"/>
      <c r="F46" s="90"/>
      <c r="G46" s="90"/>
      <c r="H46" s="90"/>
      <c r="I46" s="90"/>
    </row>
    <row r="47" spans="2:9" x14ac:dyDescent="0.25">
      <c r="B47" s="119" t="s">
        <v>16</v>
      </c>
      <c r="C47" s="181" t="s">
        <v>17</v>
      </c>
      <c r="D47" s="181"/>
      <c r="E47" s="90"/>
      <c r="F47" s="90" t="s">
        <v>18</v>
      </c>
      <c r="G47" s="182" t="s">
        <v>19</v>
      </c>
      <c r="H47" s="182"/>
      <c r="I47" s="182"/>
    </row>
    <row r="48" spans="2:9" x14ac:dyDescent="0.25">
      <c r="B48" s="119"/>
      <c r="C48" s="119"/>
      <c r="D48" s="119"/>
      <c r="E48" s="90"/>
      <c r="F48" s="90"/>
      <c r="G48" s="90"/>
      <c r="H48" s="90"/>
      <c r="I48" s="90"/>
    </row>
    <row r="49" spans="2:9" x14ac:dyDescent="0.25">
      <c r="B49" s="119" t="s">
        <v>20</v>
      </c>
      <c r="C49" s="181" t="s">
        <v>21</v>
      </c>
      <c r="D49" s="181"/>
      <c r="E49" s="90"/>
      <c r="F49" s="90" t="s">
        <v>18</v>
      </c>
      <c r="G49" s="182" t="s">
        <v>22</v>
      </c>
      <c r="H49" s="182"/>
      <c r="I49" s="182"/>
    </row>
    <row r="50" spans="2:9" x14ac:dyDescent="0.25">
      <c r="B50" s="119"/>
      <c r="C50" s="90"/>
      <c r="D50" s="90"/>
      <c r="E50" s="90"/>
      <c r="F50" s="90"/>
      <c r="G50" s="90"/>
      <c r="H50" s="90"/>
      <c r="I50" s="90"/>
    </row>
    <row r="51" spans="2:9" x14ac:dyDescent="0.25">
      <c r="B51" s="119" t="s">
        <v>23</v>
      </c>
      <c r="C51" s="115">
        <v>1</v>
      </c>
      <c r="D51" s="90"/>
      <c r="E51" s="90"/>
      <c r="F51" s="90"/>
      <c r="G51" s="90"/>
      <c r="H51" s="90"/>
      <c r="I51" s="90"/>
    </row>
    <row r="52" spans="2:9" x14ac:dyDescent="0.25">
      <c r="B52" s="119"/>
      <c r="C52" s="90"/>
      <c r="D52" s="90"/>
      <c r="E52" s="90"/>
      <c r="F52" s="90"/>
      <c r="G52" s="90"/>
      <c r="H52" s="90"/>
      <c r="I52" s="90"/>
    </row>
    <row r="53" spans="2:9" x14ac:dyDescent="0.25">
      <c r="B53" s="119" t="s">
        <v>24</v>
      </c>
      <c r="C53" s="183">
        <v>44953</v>
      </c>
      <c r="D53" s="182"/>
      <c r="E53" s="90"/>
      <c r="F53" s="90"/>
      <c r="G53" s="90"/>
      <c r="H53" s="90"/>
      <c r="I53" s="90"/>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BB603681-C4EA-4F8E-9C91-9386E205333E}"/>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opLeftCell="A37" zoomScaleNormal="100" workbookViewId="0">
      <selection activeCell="N20" sqref="N20"/>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90" t="str">
        <f>+'Cover Page'!$B$29</f>
        <v>Annual Performance Report 2022</v>
      </c>
      <c r="B1" s="90"/>
      <c r="C1" s="90"/>
      <c r="D1" s="90"/>
      <c r="E1" s="90" t="str">
        <f>+'Cover Page'!$B$33</f>
        <v>Tilbury Green Power Plant</v>
      </c>
      <c r="F1" s="90"/>
      <c r="G1" s="90"/>
      <c r="H1" s="90"/>
      <c r="I1" s="90"/>
      <c r="J1" s="90"/>
      <c r="K1" s="90"/>
      <c r="L1" s="90"/>
      <c r="M1" s="90"/>
      <c r="N1" s="90"/>
      <c r="O1" s="90"/>
    </row>
    <row r="3" spans="1:15" ht="15.6" x14ac:dyDescent="0.3">
      <c r="A3" s="54" t="s">
        <v>25</v>
      </c>
      <c r="B3" s="120"/>
      <c r="C3" s="120"/>
      <c r="D3" s="120"/>
      <c r="E3" s="120"/>
      <c r="F3" s="120"/>
      <c r="G3" s="120"/>
      <c r="H3" s="121"/>
      <c r="I3" s="90"/>
      <c r="J3" s="90"/>
      <c r="K3" s="76" t="s">
        <v>3</v>
      </c>
      <c r="L3" s="90"/>
      <c r="M3" s="90"/>
      <c r="N3" s="90"/>
      <c r="O3" s="90"/>
    </row>
    <row r="4" spans="1:15" ht="15.6" x14ac:dyDescent="0.3">
      <c r="A4" s="5" t="s">
        <v>26</v>
      </c>
      <c r="B4" s="186" t="s">
        <v>27</v>
      </c>
      <c r="C4" s="186"/>
      <c r="D4" s="186"/>
      <c r="E4" s="186"/>
      <c r="F4" s="186"/>
      <c r="G4" s="186"/>
      <c r="H4" s="6" t="s">
        <v>28</v>
      </c>
      <c r="I4" s="90"/>
      <c r="J4" s="90"/>
      <c r="K4" s="74" t="s">
        <v>29</v>
      </c>
      <c r="L4" s="90"/>
      <c r="M4" s="90"/>
      <c r="N4" s="90"/>
      <c r="O4" s="90"/>
    </row>
    <row r="5" spans="1:15" ht="15.6" customHeight="1" x14ac:dyDescent="0.25">
      <c r="A5" s="4"/>
      <c r="B5" s="185" t="s">
        <v>30</v>
      </c>
      <c r="C5" s="185"/>
      <c r="D5" s="185"/>
      <c r="E5" s="185"/>
      <c r="F5" s="185"/>
      <c r="G5" s="185"/>
      <c r="H5" s="4"/>
      <c r="I5" s="90"/>
      <c r="J5" s="90"/>
      <c r="K5" s="178" t="s">
        <v>31</v>
      </c>
      <c r="L5" s="178"/>
      <c r="M5" s="178"/>
      <c r="N5" s="178"/>
      <c r="O5" s="178"/>
    </row>
    <row r="6" spans="1:15" x14ac:dyDescent="0.25">
      <c r="A6" s="4"/>
      <c r="B6" s="185" t="s">
        <v>32</v>
      </c>
      <c r="C6" s="185"/>
      <c r="D6" s="185"/>
      <c r="E6" s="185"/>
      <c r="F6" s="185"/>
      <c r="G6" s="185"/>
      <c r="H6" s="4"/>
      <c r="I6" s="90"/>
      <c r="J6" s="90"/>
      <c r="K6" s="178"/>
      <c r="L6" s="178"/>
      <c r="M6" s="178"/>
      <c r="N6" s="178"/>
      <c r="O6" s="178"/>
    </row>
    <row r="7" spans="1:15" ht="15.75" customHeight="1" x14ac:dyDescent="0.25">
      <c r="A7" s="4"/>
      <c r="B7" s="185" t="s">
        <v>33</v>
      </c>
      <c r="C7" s="185"/>
      <c r="D7" s="185"/>
      <c r="E7" s="185"/>
      <c r="F7" s="185"/>
      <c r="G7" s="185"/>
      <c r="H7" s="4"/>
      <c r="I7" s="90"/>
      <c r="J7" s="90"/>
      <c r="K7" s="178"/>
      <c r="L7" s="178"/>
      <c r="M7" s="178"/>
      <c r="N7" s="178"/>
      <c r="O7" s="178"/>
    </row>
    <row r="8" spans="1:15" x14ac:dyDescent="0.25">
      <c r="A8" s="4"/>
      <c r="B8" s="185" t="s">
        <v>34</v>
      </c>
      <c r="C8" s="185"/>
      <c r="D8" s="185"/>
      <c r="E8" s="185"/>
      <c r="F8" s="185"/>
      <c r="G8" s="185"/>
      <c r="H8" s="4"/>
      <c r="I8" s="90"/>
      <c r="J8" s="90"/>
      <c r="K8" s="178"/>
      <c r="L8" s="178"/>
      <c r="M8" s="178"/>
      <c r="N8" s="178"/>
      <c r="O8" s="178"/>
    </row>
    <row r="9" spans="1:15" x14ac:dyDescent="0.25">
      <c r="A9" s="4"/>
      <c r="B9" s="185" t="s">
        <v>35</v>
      </c>
      <c r="C9" s="185"/>
      <c r="D9" s="185"/>
      <c r="E9" s="185"/>
      <c r="F9" s="185"/>
      <c r="G9" s="185"/>
      <c r="H9" s="4"/>
      <c r="I9" s="90"/>
      <c r="J9" s="90"/>
      <c r="K9" s="90"/>
      <c r="L9" s="90"/>
      <c r="M9" s="90"/>
      <c r="N9" s="90"/>
      <c r="O9" s="90"/>
    </row>
    <row r="10" spans="1:15" x14ac:dyDescent="0.25">
      <c r="A10" s="4"/>
      <c r="B10" s="185" t="s">
        <v>36</v>
      </c>
      <c r="C10" s="185"/>
      <c r="D10" s="185"/>
      <c r="E10" s="185"/>
      <c r="F10" s="185"/>
      <c r="G10" s="185"/>
      <c r="H10" s="4"/>
      <c r="I10" s="90"/>
      <c r="J10" s="90"/>
      <c r="K10" s="90"/>
      <c r="L10" s="90"/>
      <c r="M10" s="90"/>
      <c r="N10" s="90"/>
      <c r="O10" s="90"/>
    </row>
    <row r="11" spans="1:15" x14ac:dyDescent="0.25">
      <c r="A11" s="4"/>
      <c r="B11" s="185" t="s">
        <v>37</v>
      </c>
      <c r="C11" s="185"/>
      <c r="D11" s="185"/>
      <c r="E11" s="185"/>
      <c r="F11" s="185"/>
      <c r="G11" s="185"/>
      <c r="H11" s="4"/>
      <c r="I11" s="90"/>
      <c r="J11" s="90"/>
      <c r="K11" s="90"/>
      <c r="L11" s="90"/>
      <c r="M11" s="90"/>
      <c r="N11" s="90"/>
      <c r="O11" s="90"/>
    </row>
    <row r="12" spans="1:15" x14ac:dyDescent="0.25">
      <c r="A12" s="4"/>
      <c r="B12" s="185" t="s">
        <v>38</v>
      </c>
      <c r="C12" s="185"/>
      <c r="D12" s="185"/>
      <c r="E12" s="185"/>
      <c r="F12" s="185"/>
      <c r="G12" s="185"/>
      <c r="H12" s="4"/>
      <c r="I12" s="90"/>
      <c r="J12" s="90"/>
      <c r="K12" s="90"/>
      <c r="L12" s="90"/>
      <c r="M12" s="90"/>
      <c r="N12" s="90"/>
      <c r="O12" s="90"/>
    </row>
    <row r="13" spans="1:15" x14ac:dyDescent="0.25">
      <c r="A13" s="4"/>
      <c r="B13" s="185" t="s">
        <v>39</v>
      </c>
      <c r="C13" s="185"/>
      <c r="D13" s="185"/>
      <c r="E13" s="185"/>
      <c r="F13" s="185"/>
      <c r="G13" s="185"/>
      <c r="H13" s="4"/>
      <c r="I13" s="90"/>
      <c r="J13" s="90"/>
      <c r="K13" s="90"/>
      <c r="L13" s="90"/>
      <c r="M13" s="90"/>
      <c r="N13" s="90"/>
      <c r="O13" s="90"/>
    </row>
    <row r="14" spans="1:15" x14ac:dyDescent="0.25">
      <c r="A14" s="4"/>
      <c r="B14" s="185" t="s">
        <v>40</v>
      </c>
      <c r="C14" s="185"/>
      <c r="D14" s="185"/>
      <c r="E14" s="185"/>
      <c r="F14" s="185"/>
      <c r="G14" s="185"/>
      <c r="H14" s="4"/>
      <c r="I14" s="90"/>
      <c r="J14" s="90"/>
      <c r="K14" s="90"/>
      <c r="L14" s="90"/>
      <c r="M14" s="90"/>
      <c r="N14" s="90"/>
      <c r="O14" s="90"/>
    </row>
    <row r="15" spans="1:15" x14ac:dyDescent="0.25">
      <c r="A15" s="4"/>
      <c r="B15" s="185" t="s">
        <v>41</v>
      </c>
      <c r="C15" s="185"/>
      <c r="D15" s="185"/>
      <c r="E15" s="185"/>
      <c r="F15" s="185"/>
      <c r="G15" s="185"/>
      <c r="H15" s="4"/>
      <c r="I15" s="90"/>
      <c r="J15" s="90"/>
      <c r="K15" s="90"/>
      <c r="L15" s="90"/>
      <c r="M15" s="90"/>
      <c r="N15" s="90"/>
      <c r="O15" s="90"/>
    </row>
    <row r="16" spans="1:15" x14ac:dyDescent="0.25">
      <c r="A16" s="4"/>
      <c r="B16" s="185" t="s">
        <v>42</v>
      </c>
      <c r="C16" s="185"/>
      <c r="D16" s="185"/>
      <c r="E16" s="185"/>
      <c r="F16" s="185"/>
      <c r="G16" s="185"/>
      <c r="H16" s="4"/>
      <c r="I16" s="90"/>
      <c r="J16" s="90"/>
      <c r="K16" s="90"/>
      <c r="L16" s="90"/>
      <c r="M16" s="90"/>
      <c r="N16" s="90"/>
      <c r="O16" s="90"/>
    </row>
    <row r="17" spans="1:8" x14ac:dyDescent="0.25">
      <c r="A17" s="4"/>
      <c r="B17" s="185" t="s">
        <v>43</v>
      </c>
      <c r="C17" s="185"/>
      <c r="D17" s="185"/>
      <c r="E17" s="185"/>
      <c r="F17" s="185"/>
      <c r="G17" s="185"/>
      <c r="H17" s="4"/>
    </row>
    <row r="18" spans="1:8" x14ac:dyDescent="0.25">
      <c r="A18" s="4"/>
      <c r="B18" s="185" t="s">
        <v>44</v>
      </c>
      <c r="C18" s="185"/>
      <c r="D18" s="185"/>
      <c r="E18" s="185"/>
      <c r="F18" s="185"/>
      <c r="G18" s="185"/>
      <c r="H18" s="4"/>
    </row>
    <row r="19" spans="1:8" x14ac:dyDescent="0.25">
      <c r="A19" s="4"/>
      <c r="B19" s="185" t="s">
        <v>45</v>
      </c>
      <c r="C19" s="185"/>
      <c r="D19" s="185"/>
      <c r="E19" s="185"/>
      <c r="F19" s="185"/>
      <c r="G19" s="185"/>
      <c r="H19" s="4"/>
    </row>
    <row r="20" spans="1:8" x14ac:dyDescent="0.25">
      <c r="A20" s="4"/>
      <c r="B20" s="185" t="s">
        <v>46</v>
      </c>
      <c r="C20" s="185"/>
      <c r="D20" s="185"/>
      <c r="E20" s="185"/>
      <c r="F20" s="185"/>
      <c r="G20" s="185"/>
      <c r="H20" s="4"/>
    </row>
    <row r="21" spans="1:8" x14ac:dyDescent="0.25">
      <c r="A21" s="4"/>
      <c r="B21" s="185" t="s">
        <v>47</v>
      </c>
      <c r="C21" s="185"/>
      <c r="D21" s="185"/>
      <c r="E21" s="185"/>
      <c r="F21" s="185"/>
      <c r="G21" s="185"/>
      <c r="H21" s="4"/>
    </row>
    <row r="22" spans="1:8" x14ac:dyDescent="0.25">
      <c r="A22" s="4"/>
      <c r="B22" s="188" t="s">
        <v>48</v>
      </c>
      <c r="C22" s="189"/>
      <c r="D22" s="189"/>
      <c r="E22" s="189"/>
      <c r="F22" s="189"/>
      <c r="G22" s="190"/>
      <c r="H22" s="4"/>
    </row>
    <row r="23" spans="1:8" x14ac:dyDescent="0.25">
      <c r="A23" s="4"/>
      <c r="B23" s="188" t="s">
        <v>49</v>
      </c>
      <c r="C23" s="189"/>
      <c r="D23" s="189"/>
      <c r="E23" s="189"/>
      <c r="F23" s="189"/>
      <c r="G23" s="190"/>
      <c r="H23" s="4"/>
    </row>
    <row r="24" spans="1:8" x14ac:dyDescent="0.25">
      <c r="A24" s="4"/>
      <c r="B24" s="191"/>
      <c r="C24" s="191"/>
      <c r="D24" s="191"/>
      <c r="E24" s="191"/>
      <c r="F24" s="191"/>
      <c r="G24" s="191"/>
      <c r="H24" s="4"/>
    </row>
    <row r="26" spans="1:8" x14ac:dyDescent="0.25">
      <c r="A26" s="53" t="s">
        <v>50</v>
      </c>
      <c r="B26" s="120"/>
      <c r="C26" s="120"/>
      <c r="D26" s="120"/>
      <c r="E26" s="120"/>
      <c r="F26" s="120"/>
      <c r="G26" s="120"/>
      <c r="H26" s="121"/>
    </row>
    <row r="27" spans="1:8" x14ac:dyDescent="0.25">
      <c r="A27" s="10" t="s">
        <v>26</v>
      </c>
      <c r="B27" s="192" t="s">
        <v>51</v>
      </c>
      <c r="C27" s="192"/>
      <c r="D27" s="192"/>
      <c r="E27" s="192"/>
      <c r="F27" s="192"/>
      <c r="G27" s="192"/>
      <c r="H27" s="11" t="s">
        <v>52</v>
      </c>
    </row>
    <row r="28" spans="1:8" x14ac:dyDescent="0.25">
      <c r="A28" s="122"/>
      <c r="B28" s="193"/>
      <c r="C28" s="193"/>
      <c r="D28" s="193"/>
      <c r="E28" s="193"/>
      <c r="F28" s="193"/>
      <c r="G28" s="193"/>
      <c r="H28" s="122"/>
    </row>
    <row r="29" spans="1:8" x14ac:dyDescent="0.25">
      <c r="A29" s="122"/>
      <c r="B29" s="193"/>
      <c r="C29" s="193"/>
      <c r="D29" s="193"/>
      <c r="E29" s="193"/>
      <c r="F29" s="193"/>
      <c r="G29" s="193"/>
      <c r="H29" s="122"/>
    </row>
    <row r="30" spans="1:8" x14ac:dyDescent="0.25">
      <c r="A30" s="122"/>
      <c r="B30" s="193"/>
      <c r="C30" s="193"/>
      <c r="D30" s="193"/>
      <c r="E30" s="193"/>
      <c r="F30" s="193"/>
      <c r="G30" s="193"/>
      <c r="H30" s="122"/>
    </row>
    <row r="31" spans="1:8" x14ac:dyDescent="0.25">
      <c r="A31" s="122"/>
      <c r="B31" s="193"/>
      <c r="C31" s="193"/>
      <c r="D31" s="193"/>
      <c r="E31" s="193"/>
      <c r="F31" s="193"/>
      <c r="G31" s="193"/>
      <c r="H31" s="122"/>
    </row>
    <row r="32" spans="1:8" x14ac:dyDescent="0.25">
      <c r="A32" s="122"/>
      <c r="B32" s="193"/>
      <c r="C32" s="193"/>
      <c r="D32" s="193"/>
      <c r="E32" s="193"/>
      <c r="F32" s="193"/>
      <c r="G32" s="193"/>
      <c r="H32" s="122"/>
    </row>
    <row r="34" spans="1:10" ht="14.25" customHeight="1" x14ac:dyDescent="0.25">
      <c r="A34" s="53" t="s">
        <v>53</v>
      </c>
      <c r="B34" s="120"/>
      <c r="C34" s="120"/>
      <c r="D34" s="120"/>
      <c r="E34" s="120"/>
      <c r="F34" s="120"/>
      <c r="G34" s="120"/>
      <c r="H34" s="121"/>
      <c r="I34" s="90"/>
      <c r="J34" s="90"/>
    </row>
    <row r="35" spans="1:10" x14ac:dyDescent="0.25">
      <c r="A35" s="13" t="s">
        <v>54</v>
      </c>
      <c r="B35" s="194" t="s">
        <v>55</v>
      </c>
      <c r="C35" s="194"/>
      <c r="D35" s="194"/>
      <c r="E35" s="194"/>
      <c r="F35" s="194"/>
      <c r="G35" s="194"/>
      <c r="H35" s="14" t="s">
        <v>56</v>
      </c>
      <c r="I35" s="90"/>
      <c r="J35" s="90"/>
    </row>
    <row r="36" spans="1:10" x14ac:dyDescent="0.25">
      <c r="A36" s="123"/>
      <c r="B36" s="187"/>
      <c r="C36" s="187"/>
      <c r="D36" s="187"/>
      <c r="E36" s="187"/>
      <c r="F36" s="187"/>
      <c r="G36" s="187"/>
      <c r="H36" s="123"/>
      <c r="I36" s="90"/>
      <c r="J36" s="90"/>
    </row>
    <row r="37" spans="1:10" x14ac:dyDescent="0.25">
      <c r="A37" s="123"/>
      <c r="B37" s="187"/>
      <c r="C37" s="187"/>
      <c r="D37" s="187"/>
      <c r="E37" s="187"/>
      <c r="F37" s="187"/>
      <c r="G37" s="187"/>
      <c r="H37" s="123"/>
      <c r="I37" s="90"/>
      <c r="J37" s="90"/>
    </row>
    <row r="38" spans="1:10" x14ac:dyDescent="0.25">
      <c r="A38" s="123"/>
      <c r="B38" s="187"/>
      <c r="C38" s="187"/>
      <c r="D38" s="187"/>
      <c r="E38" s="187"/>
      <c r="F38" s="187"/>
      <c r="G38" s="187"/>
      <c r="H38" s="123"/>
      <c r="I38" s="90"/>
      <c r="J38" s="90"/>
    </row>
    <row r="39" spans="1:10" x14ac:dyDescent="0.25">
      <c r="A39" s="123"/>
      <c r="B39" s="187"/>
      <c r="C39" s="187"/>
      <c r="D39" s="187"/>
      <c r="E39" s="187"/>
      <c r="F39" s="187"/>
      <c r="G39" s="187"/>
      <c r="H39" s="123"/>
      <c r="I39" s="90"/>
      <c r="J39" s="90"/>
    </row>
    <row r="40" spans="1:10" x14ac:dyDescent="0.25">
      <c r="A40" s="123"/>
      <c r="B40" s="187"/>
      <c r="C40" s="187"/>
      <c r="D40" s="187"/>
      <c r="E40" s="187"/>
      <c r="F40" s="187"/>
      <c r="G40" s="187"/>
      <c r="H40" s="123"/>
      <c r="I40" s="90"/>
      <c r="J40" s="90"/>
    </row>
    <row r="41" spans="1:10" x14ac:dyDescent="0.25">
      <c r="A41" s="123"/>
      <c r="B41" s="187"/>
      <c r="C41" s="187"/>
      <c r="D41" s="187"/>
      <c r="E41" s="187"/>
      <c r="F41" s="187"/>
      <c r="G41" s="187"/>
      <c r="H41" s="123"/>
      <c r="I41" s="90"/>
      <c r="J41" s="90"/>
    </row>
    <row r="42" spans="1:10" x14ac:dyDescent="0.25">
      <c r="A42" s="123"/>
      <c r="B42" s="187"/>
      <c r="C42" s="187"/>
      <c r="D42" s="187"/>
      <c r="E42" s="187"/>
      <c r="F42" s="187"/>
      <c r="G42" s="187"/>
      <c r="H42" s="123"/>
      <c r="I42" s="90"/>
      <c r="J42" s="90"/>
    </row>
    <row r="44" spans="1:10" x14ac:dyDescent="0.25">
      <c r="A44" s="195" t="s">
        <v>57</v>
      </c>
      <c r="B44" s="196"/>
      <c r="C44" s="196"/>
      <c r="D44" s="196"/>
      <c r="E44" s="196"/>
      <c r="F44" s="196"/>
      <c r="G44" s="196"/>
      <c r="H44" s="196"/>
      <c r="I44" s="196"/>
      <c r="J44" s="197"/>
    </row>
    <row r="45" spans="1:10" x14ac:dyDescent="0.25">
      <c r="A45" s="198"/>
      <c r="B45" s="199"/>
      <c r="C45" s="199"/>
      <c r="D45" s="199"/>
      <c r="E45" s="199"/>
      <c r="F45" s="199"/>
      <c r="G45" s="199"/>
      <c r="H45" s="199"/>
      <c r="I45" s="199"/>
      <c r="J45" s="200"/>
    </row>
    <row r="46" spans="1:10" x14ac:dyDescent="0.25">
      <c r="A46" s="198"/>
      <c r="B46" s="199"/>
      <c r="C46" s="199"/>
      <c r="D46" s="199"/>
      <c r="E46" s="199"/>
      <c r="F46" s="199"/>
      <c r="G46" s="199"/>
      <c r="H46" s="199"/>
      <c r="I46" s="199"/>
      <c r="J46" s="200"/>
    </row>
    <row r="47" spans="1:10" x14ac:dyDescent="0.25">
      <c r="A47" s="201"/>
      <c r="B47" s="202"/>
      <c r="C47" s="202"/>
      <c r="D47" s="202"/>
      <c r="E47" s="202"/>
      <c r="F47" s="202"/>
      <c r="G47" s="202"/>
      <c r="H47" s="202"/>
      <c r="I47" s="202"/>
      <c r="J47" s="203"/>
    </row>
    <row r="65" spans="6:6" x14ac:dyDescent="0.25">
      <c r="F65" s="3"/>
    </row>
  </sheetData>
  <mergeCells count="37">
    <mergeCell ref="A44:J47"/>
    <mergeCell ref="B37:G37"/>
    <mergeCell ref="B38:G38"/>
    <mergeCell ref="B39:G39"/>
    <mergeCell ref="B40:G40"/>
    <mergeCell ref="B41:G41"/>
    <mergeCell ref="B42:G42"/>
    <mergeCell ref="B36:G36"/>
    <mergeCell ref="B22:G22"/>
    <mergeCell ref="B23:G23"/>
    <mergeCell ref="B24:G24"/>
    <mergeCell ref="B27:G27"/>
    <mergeCell ref="B28:G28"/>
    <mergeCell ref="B29:G29"/>
    <mergeCell ref="B30:G30"/>
    <mergeCell ref="B31:G31"/>
    <mergeCell ref="B32:G32"/>
    <mergeCell ref="B35:G35"/>
    <mergeCell ref="B21:G21"/>
    <mergeCell ref="B10:G10"/>
    <mergeCell ref="B11:G11"/>
    <mergeCell ref="B12:G12"/>
    <mergeCell ref="B13:G13"/>
    <mergeCell ref="B14:G14"/>
    <mergeCell ref="B15:G15"/>
    <mergeCell ref="B16:G16"/>
    <mergeCell ref="B17:G17"/>
    <mergeCell ref="B18:G18"/>
    <mergeCell ref="B19:G19"/>
    <mergeCell ref="B20:G20"/>
    <mergeCell ref="K5:O8"/>
    <mergeCell ref="B9:G9"/>
    <mergeCell ref="B4:G4"/>
    <mergeCell ref="B5:G5"/>
    <mergeCell ref="B6:G6"/>
    <mergeCell ref="B7:G7"/>
    <mergeCell ref="B8:G8"/>
  </mergeCells>
  <pageMargins left="1.0899999999999999" right="0.7" top="0.75" bottom="0.75" header="0.3" footer="0.3"/>
  <pageSetup scale="80" orientation="portrait"/>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opLeftCell="A40" zoomScaleNormal="100" workbookViewId="0">
      <selection activeCell="A5" sqref="A5:I1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0" t="str">
        <f>+'Cover Page'!$B$29</f>
        <v>Annual Performance Report 2022</v>
      </c>
      <c r="B1" s="90"/>
      <c r="C1" s="90"/>
      <c r="D1" s="90"/>
      <c r="E1" s="90" t="str">
        <f>+'Cover Page'!$B$33</f>
        <v>Tilbury Green Power Plant</v>
      </c>
      <c r="F1" s="90"/>
      <c r="G1" s="90"/>
      <c r="H1" s="90"/>
      <c r="I1" s="90"/>
      <c r="J1" s="90"/>
      <c r="K1" s="90"/>
      <c r="L1" s="90"/>
      <c r="M1" s="90"/>
      <c r="N1" s="90"/>
    </row>
    <row r="3" spans="1:14" ht="15.6" x14ac:dyDescent="0.3">
      <c r="A3" s="52" t="s">
        <v>58</v>
      </c>
      <c r="B3" s="124"/>
      <c r="C3" s="124"/>
      <c r="D3" s="124"/>
      <c r="E3" s="124"/>
      <c r="F3" s="124"/>
      <c r="G3" s="124"/>
      <c r="H3" s="124"/>
      <c r="I3" s="125"/>
      <c r="J3" s="90"/>
      <c r="K3" s="82" t="s">
        <v>3</v>
      </c>
      <c r="L3" s="90"/>
      <c r="M3" s="90"/>
      <c r="N3" s="90"/>
    </row>
    <row r="4" spans="1:14" ht="6" customHeight="1" x14ac:dyDescent="0.25">
      <c r="A4" s="126"/>
      <c r="B4" s="127"/>
      <c r="C4" s="127"/>
      <c r="D4" s="127"/>
      <c r="E4" s="127"/>
      <c r="F4" s="127"/>
      <c r="G4" s="127"/>
      <c r="H4" s="127"/>
      <c r="I4" s="128"/>
      <c r="J4" s="90"/>
      <c r="K4" s="90"/>
      <c r="L4" s="90"/>
      <c r="M4" s="90"/>
      <c r="N4" s="90"/>
    </row>
    <row r="5" spans="1:14" ht="15.75" customHeight="1" x14ac:dyDescent="0.25">
      <c r="A5" s="204" t="s">
        <v>59</v>
      </c>
      <c r="B5" s="204"/>
      <c r="C5" s="204"/>
      <c r="D5" s="204"/>
      <c r="E5" s="204"/>
      <c r="F5" s="204"/>
      <c r="G5" s="204"/>
      <c r="H5" s="204"/>
      <c r="I5" s="204"/>
      <c r="J5" s="90"/>
      <c r="K5" s="214" t="s">
        <v>60</v>
      </c>
      <c r="L5" s="214"/>
      <c r="M5" s="214"/>
      <c r="N5" s="214"/>
    </row>
    <row r="6" spans="1:14" x14ac:dyDescent="0.25">
      <c r="A6" s="204"/>
      <c r="B6" s="204"/>
      <c r="C6" s="204"/>
      <c r="D6" s="204"/>
      <c r="E6" s="204"/>
      <c r="F6" s="204"/>
      <c r="G6" s="204"/>
      <c r="H6" s="204"/>
      <c r="I6" s="204"/>
      <c r="J6" s="90"/>
      <c r="K6" s="214"/>
      <c r="L6" s="214"/>
      <c r="M6" s="214"/>
      <c r="N6" s="214"/>
    </row>
    <row r="7" spans="1:14" x14ac:dyDescent="0.25">
      <c r="A7" s="204"/>
      <c r="B7" s="204"/>
      <c r="C7" s="204"/>
      <c r="D7" s="204"/>
      <c r="E7" s="204"/>
      <c r="F7" s="204"/>
      <c r="G7" s="204"/>
      <c r="H7" s="204"/>
      <c r="I7" s="204"/>
      <c r="J7" s="90"/>
      <c r="K7" s="214"/>
      <c r="L7" s="214"/>
      <c r="M7" s="214"/>
      <c r="N7" s="214"/>
    </row>
    <row r="8" spans="1:14" ht="15.75" customHeight="1" x14ac:dyDescent="0.25">
      <c r="A8" s="204"/>
      <c r="B8" s="204"/>
      <c r="C8" s="204"/>
      <c r="D8" s="204"/>
      <c r="E8" s="204"/>
      <c r="F8" s="204"/>
      <c r="G8" s="204"/>
      <c r="H8" s="204"/>
      <c r="I8" s="204"/>
      <c r="J8" s="90"/>
      <c r="K8" s="214"/>
      <c r="L8" s="214"/>
      <c r="M8" s="214"/>
      <c r="N8" s="214"/>
    </row>
    <row r="9" spans="1:14" x14ac:dyDescent="0.25">
      <c r="A9" s="204"/>
      <c r="B9" s="204"/>
      <c r="C9" s="204"/>
      <c r="D9" s="204"/>
      <c r="E9" s="204"/>
      <c r="F9" s="204"/>
      <c r="G9" s="204"/>
      <c r="H9" s="204"/>
      <c r="I9" s="204"/>
      <c r="J9" s="90"/>
      <c r="K9" s="214"/>
      <c r="L9" s="214"/>
      <c r="M9" s="214"/>
      <c r="N9" s="214"/>
    </row>
    <row r="10" spans="1:14" x14ac:dyDescent="0.25">
      <c r="A10" s="204"/>
      <c r="B10" s="204"/>
      <c r="C10" s="204"/>
      <c r="D10" s="204"/>
      <c r="E10" s="204"/>
      <c r="F10" s="204"/>
      <c r="G10" s="204"/>
      <c r="H10" s="204"/>
      <c r="I10" s="204"/>
      <c r="J10" s="90"/>
      <c r="K10" s="214"/>
      <c r="L10" s="214"/>
      <c r="M10" s="214"/>
      <c r="N10" s="214"/>
    </row>
    <row r="11" spans="1:14" x14ac:dyDescent="0.25">
      <c r="A11" s="204"/>
      <c r="B11" s="204"/>
      <c r="C11" s="204"/>
      <c r="D11" s="204"/>
      <c r="E11" s="204"/>
      <c r="F11" s="204"/>
      <c r="G11" s="204"/>
      <c r="H11" s="204"/>
      <c r="I11" s="204"/>
      <c r="J11" s="90"/>
      <c r="K11" s="214"/>
      <c r="L11" s="214"/>
      <c r="M11" s="214"/>
      <c r="N11" s="214"/>
    </row>
    <row r="12" spans="1:14" ht="28.5" customHeight="1" x14ac:dyDescent="0.25">
      <c r="A12" s="204"/>
      <c r="B12" s="204"/>
      <c r="C12" s="204"/>
      <c r="D12" s="204"/>
      <c r="E12" s="204"/>
      <c r="F12" s="204"/>
      <c r="G12" s="204"/>
      <c r="H12" s="204"/>
      <c r="I12" s="204"/>
      <c r="J12" s="90"/>
      <c r="K12" s="214"/>
      <c r="L12" s="214"/>
      <c r="M12" s="214"/>
      <c r="N12" s="214"/>
    </row>
    <row r="13" spans="1:14" x14ac:dyDescent="0.25">
      <c r="A13" s="204"/>
      <c r="B13" s="204"/>
      <c r="C13" s="204"/>
      <c r="D13" s="204"/>
      <c r="E13" s="204"/>
      <c r="F13" s="204"/>
      <c r="G13" s="204"/>
      <c r="H13" s="204"/>
      <c r="I13" s="204"/>
      <c r="J13" s="90"/>
      <c r="K13" s="214"/>
      <c r="L13" s="214"/>
      <c r="M13" s="214"/>
      <c r="N13" s="214"/>
    </row>
    <row r="14" spans="1:14" x14ac:dyDescent="0.25">
      <c r="A14" s="204"/>
      <c r="B14" s="204"/>
      <c r="C14" s="204"/>
      <c r="D14" s="204"/>
      <c r="E14" s="204"/>
      <c r="F14" s="204"/>
      <c r="G14" s="204"/>
      <c r="H14" s="204"/>
      <c r="I14" s="204"/>
      <c r="J14" s="90"/>
      <c r="K14" s="214"/>
      <c r="L14" s="214"/>
      <c r="M14" s="214"/>
      <c r="N14" s="214"/>
    </row>
    <row r="15" spans="1:14" x14ac:dyDescent="0.25">
      <c r="A15" s="204"/>
      <c r="B15" s="204"/>
      <c r="C15" s="204"/>
      <c r="D15" s="204"/>
      <c r="E15" s="204"/>
      <c r="F15" s="204"/>
      <c r="G15" s="204"/>
      <c r="H15" s="204"/>
      <c r="I15" s="204"/>
      <c r="J15" s="90"/>
      <c r="K15" s="90"/>
      <c r="L15" s="90"/>
      <c r="M15" s="90"/>
      <c r="N15" s="90"/>
    </row>
    <row r="16" spans="1:14" x14ac:dyDescent="0.25">
      <c r="A16" s="204"/>
      <c r="B16" s="204"/>
      <c r="C16" s="204"/>
      <c r="D16" s="204"/>
      <c r="E16" s="204"/>
      <c r="F16" s="204"/>
      <c r="G16" s="204"/>
      <c r="H16" s="204"/>
      <c r="I16" s="204"/>
      <c r="J16" s="90"/>
      <c r="K16" s="90"/>
      <c r="L16" s="90"/>
      <c r="M16" s="90"/>
      <c r="N16" s="90"/>
    </row>
    <row r="17" spans="1:14" ht="7.5" customHeight="1" x14ac:dyDescent="0.25">
      <c r="A17" s="204"/>
      <c r="B17" s="204"/>
      <c r="C17" s="204"/>
      <c r="D17" s="204"/>
      <c r="E17" s="204"/>
      <c r="F17" s="204"/>
      <c r="G17" s="204"/>
      <c r="H17" s="204"/>
      <c r="I17" s="204"/>
      <c r="J17" s="90"/>
      <c r="K17" s="90"/>
      <c r="L17" s="90"/>
      <c r="M17" s="90"/>
      <c r="N17" s="90"/>
    </row>
    <row r="18" spans="1:14" ht="7.5" customHeight="1" x14ac:dyDescent="0.25">
      <c r="A18" s="204"/>
      <c r="B18" s="204"/>
      <c r="C18" s="204"/>
      <c r="D18" s="204"/>
      <c r="E18" s="204"/>
      <c r="F18" s="204"/>
      <c r="G18" s="204"/>
      <c r="H18" s="204"/>
      <c r="I18" s="204"/>
      <c r="J18" s="90"/>
      <c r="K18" s="90"/>
      <c r="L18" s="90"/>
      <c r="M18" s="90"/>
      <c r="N18" s="90"/>
    </row>
    <row r="20" spans="1:14" x14ac:dyDescent="0.25">
      <c r="A20" s="52" t="s">
        <v>61</v>
      </c>
      <c r="B20" s="124"/>
      <c r="C20" s="124"/>
      <c r="D20" s="124"/>
      <c r="E20" s="124"/>
      <c r="F20" s="124"/>
      <c r="G20" s="124"/>
      <c r="H20" s="124"/>
      <c r="I20" s="125"/>
      <c r="J20" s="90"/>
      <c r="K20" s="90"/>
      <c r="L20" s="90"/>
      <c r="M20" s="90"/>
      <c r="N20" s="90"/>
    </row>
    <row r="21" spans="1:14" x14ac:dyDescent="0.25">
      <c r="A21" s="126"/>
      <c r="B21" s="127"/>
      <c r="C21" s="127"/>
      <c r="D21" s="127"/>
      <c r="E21" s="127"/>
      <c r="F21" s="127"/>
      <c r="G21" s="127"/>
      <c r="H21" s="127"/>
      <c r="I21" s="128"/>
      <c r="J21" s="90"/>
      <c r="K21" s="90"/>
      <c r="L21" s="90"/>
      <c r="M21" s="90"/>
      <c r="N21" s="90"/>
    </row>
    <row r="22" spans="1:14" x14ac:dyDescent="0.25">
      <c r="A22" s="205" t="s">
        <v>62</v>
      </c>
      <c r="B22" s="206"/>
      <c r="C22" s="206"/>
      <c r="D22" s="206"/>
      <c r="E22" s="206"/>
      <c r="F22" s="206"/>
      <c r="G22" s="206"/>
      <c r="H22" s="206"/>
      <c r="I22" s="207"/>
      <c r="J22" s="90"/>
      <c r="K22" s="214" t="s">
        <v>63</v>
      </c>
      <c r="L22" s="214"/>
      <c r="M22" s="214"/>
      <c r="N22" s="214"/>
    </row>
    <row r="23" spans="1:14" x14ac:dyDescent="0.25">
      <c r="A23" s="208"/>
      <c r="B23" s="209"/>
      <c r="C23" s="209"/>
      <c r="D23" s="209"/>
      <c r="E23" s="209"/>
      <c r="F23" s="209"/>
      <c r="G23" s="209"/>
      <c r="H23" s="209"/>
      <c r="I23" s="210"/>
      <c r="J23" s="90"/>
      <c r="K23" s="214"/>
      <c r="L23" s="214"/>
      <c r="M23" s="214"/>
      <c r="N23" s="214"/>
    </row>
    <row r="24" spans="1:14" x14ac:dyDescent="0.25">
      <c r="A24" s="208"/>
      <c r="B24" s="209"/>
      <c r="C24" s="209"/>
      <c r="D24" s="209"/>
      <c r="E24" s="209"/>
      <c r="F24" s="209"/>
      <c r="G24" s="209"/>
      <c r="H24" s="209"/>
      <c r="I24" s="210"/>
      <c r="J24" s="90"/>
      <c r="K24" s="214"/>
      <c r="L24" s="214"/>
      <c r="M24" s="214"/>
      <c r="N24" s="214"/>
    </row>
    <row r="25" spans="1:14" x14ac:dyDescent="0.25">
      <c r="A25" s="208"/>
      <c r="B25" s="209"/>
      <c r="C25" s="209"/>
      <c r="D25" s="209"/>
      <c r="E25" s="209"/>
      <c r="F25" s="209"/>
      <c r="G25" s="209"/>
      <c r="H25" s="209"/>
      <c r="I25" s="210"/>
      <c r="J25" s="90"/>
      <c r="K25" s="214"/>
      <c r="L25" s="214"/>
      <c r="M25" s="214"/>
      <c r="N25" s="214"/>
    </row>
    <row r="26" spans="1:14" x14ac:dyDescent="0.25">
      <c r="A26" s="208"/>
      <c r="B26" s="209"/>
      <c r="C26" s="209"/>
      <c r="D26" s="209"/>
      <c r="E26" s="209"/>
      <c r="F26" s="209"/>
      <c r="G26" s="209"/>
      <c r="H26" s="209"/>
      <c r="I26" s="210"/>
      <c r="J26" s="90"/>
      <c r="K26" s="214"/>
      <c r="L26" s="214"/>
      <c r="M26" s="214"/>
      <c r="N26" s="214"/>
    </row>
    <row r="27" spans="1:14" x14ac:dyDescent="0.25">
      <c r="A27" s="208"/>
      <c r="B27" s="209"/>
      <c r="C27" s="209"/>
      <c r="D27" s="209"/>
      <c r="E27" s="209"/>
      <c r="F27" s="209"/>
      <c r="G27" s="209"/>
      <c r="H27" s="209"/>
      <c r="I27" s="210"/>
      <c r="J27" s="90"/>
      <c r="K27" s="214"/>
      <c r="L27" s="214"/>
      <c r="M27" s="214"/>
      <c r="N27" s="214"/>
    </row>
    <row r="28" spans="1:14" x14ac:dyDescent="0.25">
      <c r="A28" s="208"/>
      <c r="B28" s="209"/>
      <c r="C28" s="209"/>
      <c r="D28" s="209"/>
      <c r="E28" s="209"/>
      <c r="F28" s="209"/>
      <c r="G28" s="209"/>
      <c r="H28" s="209"/>
      <c r="I28" s="210"/>
      <c r="J28" s="90"/>
      <c r="K28" s="214"/>
      <c r="L28" s="214"/>
      <c r="M28" s="214"/>
      <c r="N28" s="214"/>
    </row>
    <row r="29" spans="1:14" x14ac:dyDescent="0.25">
      <c r="A29" s="208"/>
      <c r="B29" s="209"/>
      <c r="C29" s="209"/>
      <c r="D29" s="209"/>
      <c r="E29" s="209"/>
      <c r="F29" s="209"/>
      <c r="G29" s="209"/>
      <c r="H29" s="209"/>
      <c r="I29" s="210"/>
      <c r="J29" s="90"/>
      <c r="K29" s="214"/>
      <c r="L29" s="214"/>
      <c r="M29" s="214"/>
      <c r="N29" s="214"/>
    </row>
    <row r="30" spans="1:14" x14ac:dyDescent="0.25">
      <c r="A30" s="208"/>
      <c r="B30" s="209"/>
      <c r="C30" s="209"/>
      <c r="D30" s="209"/>
      <c r="E30" s="209"/>
      <c r="F30" s="209"/>
      <c r="G30" s="209"/>
      <c r="H30" s="209"/>
      <c r="I30" s="210"/>
      <c r="J30" s="90"/>
      <c r="K30" s="214"/>
      <c r="L30" s="214"/>
      <c r="M30" s="214"/>
      <c r="N30" s="214"/>
    </row>
    <row r="31" spans="1:14" x14ac:dyDescent="0.25">
      <c r="A31" s="208"/>
      <c r="B31" s="209"/>
      <c r="C31" s="209"/>
      <c r="D31" s="209"/>
      <c r="E31" s="209"/>
      <c r="F31" s="209"/>
      <c r="G31" s="209"/>
      <c r="H31" s="209"/>
      <c r="I31" s="210"/>
      <c r="J31" s="90"/>
      <c r="K31" s="214"/>
      <c r="L31" s="214"/>
      <c r="M31" s="214"/>
      <c r="N31" s="214"/>
    </row>
    <row r="32" spans="1:14" x14ac:dyDescent="0.25">
      <c r="A32" s="208"/>
      <c r="B32" s="209"/>
      <c r="C32" s="209"/>
      <c r="D32" s="209"/>
      <c r="E32" s="209"/>
      <c r="F32" s="209"/>
      <c r="G32" s="209"/>
      <c r="H32" s="209"/>
      <c r="I32" s="210"/>
      <c r="J32" s="90"/>
      <c r="K32" s="90"/>
      <c r="L32" s="90"/>
      <c r="M32" s="90"/>
      <c r="N32" s="90"/>
    </row>
    <row r="33" spans="1:9" x14ac:dyDescent="0.25">
      <c r="A33" s="208"/>
      <c r="B33" s="209"/>
      <c r="C33" s="209"/>
      <c r="D33" s="209"/>
      <c r="E33" s="209"/>
      <c r="F33" s="209"/>
      <c r="G33" s="209"/>
      <c r="H33" s="209"/>
      <c r="I33" s="210"/>
    </row>
    <row r="34" spans="1:9" x14ac:dyDescent="0.25">
      <c r="A34" s="208"/>
      <c r="B34" s="209"/>
      <c r="C34" s="209"/>
      <c r="D34" s="209"/>
      <c r="E34" s="209"/>
      <c r="F34" s="209"/>
      <c r="G34" s="209"/>
      <c r="H34" s="209"/>
      <c r="I34" s="210"/>
    </row>
    <row r="35" spans="1:9" x14ac:dyDescent="0.25">
      <c r="A35" s="208"/>
      <c r="B35" s="209"/>
      <c r="C35" s="209"/>
      <c r="D35" s="209"/>
      <c r="E35" s="209"/>
      <c r="F35" s="209"/>
      <c r="G35" s="209"/>
      <c r="H35" s="209"/>
      <c r="I35" s="210"/>
    </row>
    <row r="36" spans="1:9" x14ac:dyDescent="0.25">
      <c r="A36" s="208"/>
      <c r="B36" s="209"/>
      <c r="C36" s="209"/>
      <c r="D36" s="209"/>
      <c r="E36" s="209"/>
      <c r="F36" s="209"/>
      <c r="G36" s="209"/>
      <c r="H36" s="209"/>
      <c r="I36" s="210"/>
    </row>
    <row r="37" spans="1:9" x14ac:dyDescent="0.25">
      <c r="A37" s="208"/>
      <c r="B37" s="209"/>
      <c r="C37" s="209"/>
      <c r="D37" s="209"/>
      <c r="E37" s="209"/>
      <c r="F37" s="209"/>
      <c r="G37" s="209"/>
      <c r="H37" s="209"/>
      <c r="I37" s="210"/>
    </row>
    <row r="38" spans="1:9" x14ac:dyDescent="0.25">
      <c r="A38" s="208"/>
      <c r="B38" s="209"/>
      <c r="C38" s="209"/>
      <c r="D38" s="209"/>
      <c r="E38" s="209"/>
      <c r="F38" s="209"/>
      <c r="G38" s="209"/>
      <c r="H38" s="209"/>
      <c r="I38" s="210"/>
    </row>
    <row r="39" spans="1:9" x14ac:dyDescent="0.25">
      <c r="A39" s="208"/>
      <c r="B39" s="209"/>
      <c r="C39" s="209"/>
      <c r="D39" s="209"/>
      <c r="E39" s="209"/>
      <c r="F39" s="209"/>
      <c r="G39" s="209"/>
      <c r="H39" s="209"/>
      <c r="I39" s="210"/>
    </row>
    <row r="40" spans="1:9" ht="14.25" customHeight="1" x14ac:dyDescent="0.25">
      <c r="A40" s="208"/>
      <c r="B40" s="209"/>
      <c r="C40" s="209"/>
      <c r="D40" s="209"/>
      <c r="E40" s="209"/>
      <c r="F40" s="209"/>
      <c r="G40" s="209"/>
      <c r="H40" s="209"/>
      <c r="I40" s="210"/>
    </row>
    <row r="41" spans="1:9" x14ac:dyDescent="0.25">
      <c r="A41" s="208"/>
      <c r="B41" s="209"/>
      <c r="C41" s="209"/>
      <c r="D41" s="209"/>
      <c r="E41" s="209"/>
      <c r="F41" s="209"/>
      <c r="G41" s="209"/>
      <c r="H41" s="209"/>
      <c r="I41" s="210"/>
    </row>
    <row r="42" spans="1:9" x14ac:dyDescent="0.25">
      <c r="A42" s="208"/>
      <c r="B42" s="209"/>
      <c r="C42" s="209"/>
      <c r="D42" s="209"/>
      <c r="E42" s="209"/>
      <c r="F42" s="209"/>
      <c r="G42" s="209"/>
      <c r="H42" s="209"/>
      <c r="I42" s="210"/>
    </row>
    <row r="43" spans="1:9" x14ac:dyDescent="0.25">
      <c r="A43" s="208"/>
      <c r="B43" s="209"/>
      <c r="C43" s="209"/>
      <c r="D43" s="209"/>
      <c r="E43" s="209"/>
      <c r="F43" s="209"/>
      <c r="G43" s="209"/>
      <c r="H43" s="209"/>
      <c r="I43" s="210"/>
    </row>
    <row r="44" spans="1:9" x14ac:dyDescent="0.25">
      <c r="A44" s="208"/>
      <c r="B44" s="209"/>
      <c r="C44" s="209"/>
      <c r="D44" s="209"/>
      <c r="E44" s="209"/>
      <c r="F44" s="209"/>
      <c r="G44" s="209"/>
      <c r="H44" s="209"/>
      <c r="I44" s="210"/>
    </row>
    <row r="45" spans="1:9" x14ac:dyDescent="0.25">
      <c r="A45" s="208"/>
      <c r="B45" s="209"/>
      <c r="C45" s="209"/>
      <c r="D45" s="209"/>
      <c r="E45" s="209"/>
      <c r="F45" s="209"/>
      <c r="G45" s="209"/>
      <c r="H45" s="209"/>
      <c r="I45" s="210"/>
    </row>
    <row r="46" spans="1:9" x14ac:dyDescent="0.25">
      <c r="A46" s="208"/>
      <c r="B46" s="209"/>
      <c r="C46" s="209"/>
      <c r="D46" s="209"/>
      <c r="E46" s="209"/>
      <c r="F46" s="209"/>
      <c r="G46" s="209"/>
      <c r="H46" s="209"/>
      <c r="I46" s="210"/>
    </row>
    <row r="47" spans="1:9" x14ac:dyDescent="0.25">
      <c r="A47" s="208"/>
      <c r="B47" s="209"/>
      <c r="C47" s="209"/>
      <c r="D47" s="209"/>
      <c r="E47" s="209"/>
      <c r="F47" s="209"/>
      <c r="G47" s="209"/>
      <c r="H47" s="209"/>
      <c r="I47" s="210"/>
    </row>
    <row r="48" spans="1:9" x14ac:dyDescent="0.25">
      <c r="A48" s="208"/>
      <c r="B48" s="209"/>
      <c r="C48" s="209"/>
      <c r="D48" s="209"/>
      <c r="E48" s="209"/>
      <c r="F48" s="209"/>
      <c r="G48" s="209"/>
      <c r="H48" s="209"/>
      <c r="I48" s="210"/>
    </row>
    <row r="49" spans="1:9" x14ac:dyDescent="0.25">
      <c r="A49" s="208"/>
      <c r="B49" s="209"/>
      <c r="C49" s="209"/>
      <c r="D49" s="209"/>
      <c r="E49" s="209"/>
      <c r="F49" s="209"/>
      <c r="G49" s="209"/>
      <c r="H49" s="209"/>
      <c r="I49" s="210"/>
    </row>
    <row r="50" spans="1:9" x14ac:dyDescent="0.25">
      <c r="A50" s="208"/>
      <c r="B50" s="209"/>
      <c r="C50" s="209"/>
      <c r="D50" s="209"/>
      <c r="E50" s="209"/>
      <c r="F50" s="209"/>
      <c r="G50" s="209"/>
      <c r="H50" s="209"/>
      <c r="I50" s="210"/>
    </row>
    <row r="51" spans="1:9" x14ac:dyDescent="0.25">
      <c r="A51" s="208"/>
      <c r="B51" s="209"/>
      <c r="C51" s="209"/>
      <c r="D51" s="209"/>
      <c r="E51" s="209"/>
      <c r="F51" s="209"/>
      <c r="G51" s="209"/>
      <c r="H51" s="209"/>
      <c r="I51" s="210"/>
    </row>
    <row r="52" spans="1:9" x14ac:dyDescent="0.25">
      <c r="A52" s="208"/>
      <c r="B52" s="209"/>
      <c r="C52" s="209"/>
      <c r="D52" s="209"/>
      <c r="E52" s="209"/>
      <c r="F52" s="209"/>
      <c r="G52" s="209"/>
      <c r="H52" s="209"/>
      <c r="I52" s="210"/>
    </row>
    <row r="53" spans="1:9" x14ac:dyDescent="0.25">
      <c r="A53" s="208"/>
      <c r="B53" s="209"/>
      <c r="C53" s="209"/>
      <c r="D53" s="209"/>
      <c r="E53" s="209"/>
      <c r="F53" s="209"/>
      <c r="G53" s="209"/>
      <c r="H53" s="209"/>
      <c r="I53" s="210"/>
    </row>
    <row r="54" spans="1:9" x14ac:dyDescent="0.25">
      <c r="A54" s="211"/>
      <c r="B54" s="212"/>
      <c r="C54" s="212"/>
      <c r="D54" s="212"/>
      <c r="E54" s="212"/>
      <c r="F54" s="212"/>
      <c r="G54" s="212"/>
      <c r="H54" s="212"/>
      <c r="I54" s="213"/>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7"/>
  <sheetViews>
    <sheetView showGridLines="0" topLeftCell="A67" zoomScale="115" zoomScaleNormal="115" workbookViewId="0">
      <selection activeCell="F61" sqref="F61"/>
    </sheetView>
  </sheetViews>
  <sheetFormatPr defaultColWidth="9.33203125" defaultRowHeight="15" x14ac:dyDescent="0.25"/>
  <cols>
    <col min="1" max="1" width="28.44140625" style="2" customWidth="1"/>
    <col min="2" max="2" width="8.33203125" style="12" customWidth="1"/>
    <col min="3" max="3" width="9.6640625" style="12" bestFit="1" customWidth="1"/>
    <col min="4" max="5" width="9.6640625" style="12" customWidth="1"/>
    <col min="6" max="6" width="10.5546875" style="12" customWidth="1"/>
    <col min="7" max="7" width="11.33203125" style="15" customWidth="1"/>
    <col min="8" max="8" width="11.5546875" style="16" customWidth="1"/>
    <col min="9" max="10" width="9.33203125" style="2"/>
    <col min="11" max="11" width="38.44140625" style="2" customWidth="1"/>
    <col min="12" max="16384" width="9.33203125" style="2"/>
  </cols>
  <sheetData>
    <row r="1" spans="1:11" x14ac:dyDescent="0.25">
      <c r="A1" s="90" t="str">
        <f>+'Cover Page'!$B$29</f>
        <v>Annual Performance Report 2022</v>
      </c>
      <c r="B1" s="90"/>
      <c r="C1" s="90"/>
      <c r="D1" s="90"/>
      <c r="E1" s="90" t="str">
        <f>+'Cover Page'!$B$33</f>
        <v>Tilbury Green Power Plant</v>
      </c>
      <c r="F1" s="90"/>
      <c r="G1" s="90"/>
      <c r="H1" s="90"/>
      <c r="I1" s="90"/>
      <c r="J1" s="90"/>
      <c r="K1" s="90"/>
    </row>
    <row r="3" spans="1:11" ht="15.6" x14ac:dyDescent="0.3">
      <c r="A3" s="1" t="s">
        <v>33</v>
      </c>
      <c r="B3" s="129"/>
      <c r="C3" s="129"/>
      <c r="D3" s="129"/>
      <c r="E3" s="129"/>
      <c r="F3" s="129"/>
      <c r="H3" s="130"/>
      <c r="I3" s="90"/>
      <c r="J3" s="90"/>
      <c r="K3" s="82" t="s">
        <v>3</v>
      </c>
    </row>
    <row r="4" spans="1:11" x14ac:dyDescent="0.25">
      <c r="A4" s="18" t="s">
        <v>64</v>
      </c>
      <c r="B4" s="215">
        <v>320000</v>
      </c>
      <c r="C4" s="215"/>
      <c r="D4" s="20" t="s">
        <v>65</v>
      </c>
      <c r="E4" s="19">
        <v>116</v>
      </c>
      <c r="F4" s="20" t="s">
        <v>66</v>
      </c>
      <c r="G4" s="19">
        <v>40</v>
      </c>
      <c r="H4" s="71" t="s">
        <v>67</v>
      </c>
      <c r="I4" s="90"/>
      <c r="J4" s="90"/>
      <c r="K4" s="17" t="s">
        <v>68</v>
      </c>
    </row>
    <row r="5" spans="1:11" x14ac:dyDescent="0.25">
      <c r="A5" s="21" t="s">
        <v>69</v>
      </c>
      <c r="B5" s="22">
        <v>1</v>
      </c>
      <c r="C5" s="23"/>
      <c r="D5" s="23" t="s">
        <v>70</v>
      </c>
      <c r="E5" s="23"/>
      <c r="F5" s="24">
        <v>1</v>
      </c>
      <c r="G5" s="25"/>
      <c r="H5" s="26"/>
      <c r="I5" s="90"/>
      <c r="J5" s="90"/>
      <c r="K5" s="17" t="s">
        <v>71</v>
      </c>
    </row>
    <row r="6" spans="1:11" x14ac:dyDescent="0.25">
      <c r="A6" s="3"/>
      <c r="B6" s="129"/>
      <c r="C6" s="129"/>
      <c r="D6" s="129"/>
      <c r="E6" s="129"/>
      <c r="F6" s="129"/>
      <c r="H6" s="130"/>
      <c r="I6" s="90"/>
      <c r="J6" s="90"/>
      <c r="K6" s="222" t="s">
        <v>72</v>
      </c>
    </row>
    <row r="7" spans="1:11" x14ac:dyDescent="0.25">
      <c r="A7" s="9" t="s">
        <v>73</v>
      </c>
      <c r="B7" s="131" t="s">
        <v>74</v>
      </c>
      <c r="C7" s="132" t="s">
        <v>75</v>
      </c>
      <c r="D7" s="132" t="s">
        <v>76</v>
      </c>
      <c r="E7" s="132" t="s">
        <v>77</v>
      </c>
      <c r="F7" s="132" t="s">
        <v>78</v>
      </c>
      <c r="G7" s="27" t="s">
        <v>79</v>
      </c>
      <c r="H7" s="133" t="s">
        <v>80</v>
      </c>
      <c r="I7" s="90"/>
      <c r="J7" s="90"/>
      <c r="K7" s="222"/>
    </row>
    <row r="8" spans="1:11" ht="15.75" customHeight="1" x14ac:dyDescent="0.25">
      <c r="A8" s="134" t="s">
        <v>81</v>
      </c>
      <c r="B8" s="216" t="s">
        <v>82</v>
      </c>
      <c r="C8" s="94" t="s">
        <v>83</v>
      </c>
      <c r="D8" s="94" t="s">
        <v>83</v>
      </c>
      <c r="E8" s="94" t="s">
        <v>83</v>
      </c>
      <c r="F8" s="94" t="s">
        <v>83</v>
      </c>
      <c r="G8" s="28">
        <f>SUM(C8:F8)</f>
        <v>0</v>
      </c>
      <c r="H8" s="100" t="str">
        <f t="shared" ref="H8:H17" si="0">IF(G8&gt;0,G8/$G$18,"-")</f>
        <v>-</v>
      </c>
      <c r="I8" s="90"/>
      <c r="J8" s="90"/>
      <c r="K8" s="223" t="s">
        <v>84</v>
      </c>
    </row>
    <row r="9" spans="1:11" x14ac:dyDescent="0.25">
      <c r="A9" s="135" t="s">
        <v>85</v>
      </c>
      <c r="B9" s="217"/>
      <c r="C9" s="95" t="s">
        <v>83</v>
      </c>
      <c r="D9" s="95" t="s">
        <v>83</v>
      </c>
      <c r="E9" s="95" t="s">
        <v>83</v>
      </c>
      <c r="F9" s="95" t="s">
        <v>83</v>
      </c>
      <c r="G9" s="29">
        <f t="shared" ref="G9:G17" si="1">SUM(C9:F9)</f>
        <v>0</v>
      </c>
      <c r="H9" s="100" t="str">
        <f t="shared" si="0"/>
        <v>-</v>
      </c>
      <c r="I9" s="90"/>
      <c r="J9" s="90"/>
      <c r="K9" s="223"/>
    </row>
    <row r="10" spans="1:11" x14ac:dyDescent="0.25">
      <c r="A10" s="135" t="s">
        <v>86</v>
      </c>
      <c r="B10" s="217"/>
      <c r="C10" s="95" t="s">
        <v>83</v>
      </c>
      <c r="D10" s="95" t="s">
        <v>83</v>
      </c>
      <c r="E10" s="95" t="s">
        <v>83</v>
      </c>
      <c r="F10" s="95" t="s">
        <v>83</v>
      </c>
      <c r="G10" s="29">
        <f t="shared" si="1"/>
        <v>0</v>
      </c>
      <c r="H10" s="100" t="str">
        <f t="shared" si="0"/>
        <v>-</v>
      </c>
      <c r="I10" s="90"/>
      <c r="J10" s="90"/>
      <c r="K10" s="223"/>
    </row>
    <row r="11" spans="1:11" x14ac:dyDescent="0.25">
      <c r="A11" s="135" t="s">
        <v>87</v>
      </c>
      <c r="B11" s="217"/>
      <c r="C11" s="95" t="s">
        <v>83</v>
      </c>
      <c r="D11" s="95" t="s">
        <v>83</v>
      </c>
      <c r="E11" s="95" t="s">
        <v>83</v>
      </c>
      <c r="F11" s="95" t="s">
        <v>83</v>
      </c>
      <c r="G11" s="29">
        <f t="shared" si="1"/>
        <v>0</v>
      </c>
      <c r="H11" s="100" t="str">
        <f t="shared" si="0"/>
        <v>-</v>
      </c>
      <c r="I11" s="90"/>
      <c r="J11" s="90"/>
      <c r="K11" s="223"/>
    </row>
    <row r="12" spans="1:11" x14ac:dyDescent="0.25">
      <c r="A12" s="135" t="s">
        <v>88</v>
      </c>
      <c r="B12" s="217"/>
      <c r="C12" s="95">
        <v>67171</v>
      </c>
      <c r="D12" s="95">
        <v>49945</v>
      </c>
      <c r="E12" s="95">
        <v>60382</v>
      </c>
      <c r="F12" s="95">
        <v>55501</v>
      </c>
      <c r="G12" s="29">
        <f t="shared" si="1"/>
        <v>232999</v>
      </c>
      <c r="H12" s="100">
        <f t="shared" si="0"/>
        <v>1</v>
      </c>
      <c r="I12" s="90"/>
      <c r="J12" s="90"/>
      <c r="K12" s="223"/>
    </row>
    <row r="13" spans="1:11" x14ac:dyDescent="0.25">
      <c r="A13" s="135" t="s">
        <v>89</v>
      </c>
      <c r="B13" s="217"/>
      <c r="C13" s="95" t="s">
        <v>83</v>
      </c>
      <c r="D13" s="95" t="s">
        <v>83</v>
      </c>
      <c r="E13" s="95" t="s">
        <v>83</v>
      </c>
      <c r="F13" s="95" t="s">
        <v>83</v>
      </c>
      <c r="G13" s="29">
        <f>SUM(C13:F13)</f>
        <v>0</v>
      </c>
      <c r="H13" s="100" t="str">
        <f t="shared" si="0"/>
        <v>-</v>
      </c>
      <c r="I13" s="90"/>
      <c r="J13" s="90"/>
      <c r="K13" s="223"/>
    </row>
    <row r="14" spans="1:11" x14ac:dyDescent="0.25">
      <c r="A14" s="135" t="s">
        <v>90</v>
      </c>
      <c r="B14" s="217"/>
      <c r="C14" s="95" t="s">
        <v>83</v>
      </c>
      <c r="D14" s="95" t="s">
        <v>83</v>
      </c>
      <c r="E14" s="95" t="s">
        <v>83</v>
      </c>
      <c r="F14" s="95" t="s">
        <v>83</v>
      </c>
      <c r="G14" s="29">
        <f t="shared" si="1"/>
        <v>0</v>
      </c>
      <c r="H14" s="100" t="str">
        <f t="shared" si="0"/>
        <v>-</v>
      </c>
      <c r="I14" s="90"/>
      <c r="J14" s="90"/>
      <c r="K14" s="223"/>
    </row>
    <row r="15" spans="1:11" x14ac:dyDescent="0.25">
      <c r="A15" s="136" t="s">
        <v>91</v>
      </c>
      <c r="B15" s="217"/>
      <c r="C15" s="95" t="s">
        <v>83</v>
      </c>
      <c r="D15" s="95" t="s">
        <v>83</v>
      </c>
      <c r="E15" s="95" t="s">
        <v>83</v>
      </c>
      <c r="F15" s="95" t="s">
        <v>83</v>
      </c>
      <c r="G15" s="29">
        <f t="shared" si="1"/>
        <v>0</v>
      </c>
      <c r="H15" s="100" t="str">
        <f t="shared" si="0"/>
        <v>-</v>
      </c>
      <c r="I15" s="90"/>
      <c r="J15" s="90"/>
      <c r="K15" s="223"/>
    </row>
    <row r="16" spans="1:11" x14ac:dyDescent="0.25">
      <c r="A16" s="136" t="s">
        <v>91</v>
      </c>
      <c r="B16" s="217"/>
      <c r="C16" s="95" t="s">
        <v>83</v>
      </c>
      <c r="D16" s="95" t="s">
        <v>83</v>
      </c>
      <c r="E16" s="95" t="s">
        <v>83</v>
      </c>
      <c r="F16" s="95" t="s">
        <v>83</v>
      </c>
      <c r="G16" s="29">
        <f t="shared" si="1"/>
        <v>0</v>
      </c>
      <c r="H16" s="100" t="str">
        <f t="shared" si="0"/>
        <v>-</v>
      </c>
      <c r="I16" s="90"/>
      <c r="J16" s="90"/>
      <c r="K16" s="223"/>
    </row>
    <row r="17" spans="1:12" x14ac:dyDescent="0.25">
      <c r="A17" s="136" t="s">
        <v>91</v>
      </c>
      <c r="B17" s="217"/>
      <c r="C17" s="95" t="s">
        <v>83</v>
      </c>
      <c r="D17" s="95" t="s">
        <v>83</v>
      </c>
      <c r="E17" s="95" t="s">
        <v>83</v>
      </c>
      <c r="F17" s="95" t="s">
        <v>83</v>
      </c>
      <c r="G17" s="29">
        <f t="shared" si="1"/>
        <v>0</v>
      </c>
      <c r="H17" s="100" t="str">
        <f t="shared" si="0"/>
        <v>-</v>
      </c>
      <c r="I17" s="90"/>
      <c r="J17" s="90"/>
      <c r="K17" s="223"/>
      <c r="L17" s="90"/>
    </row>
    <row r="18" spans="1:12" x14ac:dyDescent="0.25">
      <c r="A18" s="30" t="s">
        <v>92</v>
      </c>
      <c r="B18" s="217"/>
      <c r="C18" s="29">
        <f>SUM(C8:C17)</f>
        <v>67171</v>
      </c>
      <c r="D18" s="29">
        <f>SUM(D8:D17)</f>
        <v>49945</v>
      </c>
      <c r="E18" s="29">
        <f>SUM(E8:E17)</f>
        <v>60382</v>
      </c>
      <c r="F18" s="29">
        <f>SUM(F8:F17)</f>
        <v>55501</v>
      </c>
      <c r="G18" s="29">
        <f>SUM(G8:G17)</f>
        <v>232999</v>
      </c>
      <c r="H18" s="100">
        <f>IF(G18&gt;0,G18/$G$18,"-")</f>
        <v>1</v>
      </c>
      <c r="I18" s="90"/>
      <c r="J18" s="90"/>
      <c r="K18" s="223"/>
      <c r="L18" s="90"/>
    </row>
    <row r="19" spans="1:12" x14ac:dyDescent="0.25">
      <c r="A19" s="135" t="s">
        <v>93</v>
      </c>
      <c r="B19" s="217"/>
      <c r="C19" s="95"/>
      <c r="D19" s="95"/>
      <c r="E19" s="95"/>
      <c r="F19" s="95"/>
      <c r="G19" s="29">
        <f>SUM(C19:F19)</f>
        <v>0</v>
      </c>
      <c r="H19" s="100" t="str">
        <f>IF(G19&gt;0,G19/$G$18,"-")</f>
        <v>-</v>
      </c>
      <c r="I19" s="90"/>
      <c r="J19" s="90"/>
      <c r="K19" s="223"/>
      <c r="L19" s="90"/>
    </row>
    <row r="20" spans="1:12" x14ac:dyDescent="0.25">
      <c r="A20" s="137" t="s">
        <v>94</v>
      </c>
      <c r="B20" s="218"/>
      <c r="C20" s="138"/>
      <c r="D20" s="138"/>
      <c r="E20" s="138"/>
      <c r="F20" s="138"/>
      <c r="G20" s="31">
        <f>SUM(C20:F20)</f>
        <v>0</v>
      </c>
      <c r="H20" s="139" t="str">
        <f>IF(G20&gt;0,G20/$G$18,"-")</f>
        <v>-</v>
      </c>
      <c r="I20" s="90"/>
      <c r="J20" s="90"/>
      <c r="K20" s="90"/>
      <c r="L20" s="90"/>
    </row>
    <row r="21" spans="1:12" x14ac:dyDescent="0.25">
      <c r="A21" s="3"/>
      <c r="B21" s="129"/>
      <c r="C21" s="130"/>
      <c r="D21" s="130"/>
      <c r="E21" s="130"/>
      <c r="F21" s="130"/>
      <c r="G21" s="32"/>
      <c r="H21" s="130"/>
      <c r="I21" s="90"/>
      <c r="J21" s="90"/>
      <c r="K21" s="90"/>
      <c r="L21" s="90"/>
    </row>
    <row r="22" spans="1:12" x14ac:dyDescent="0.25">
      <c r="A22" s="9" t="s">
        <v>95</v>
      </c>
      <c r="B22" s="131" t="s">
        <v>74</v>
      </c>
      <c r="C22" s="140" t="s">
        <v>75</v>
      </c>
      <c r="D22" s="140" t="s">
        <v>76</v>
      </c>
      <c r="E22" s="140" t="s">
        <v>77</v>
      </c>
      <c r="F22" s="140" t="s">
        <v>78</v>
      </c>
      <c r="G22" s="33" t="s">
        <v>79</v>
      </c>
      <c r="H22" s="141" t="s">
        <v>96</v>
      </c>
      <c r="I22" s="90"/>
      <c r="J22" s="90"/>
      <c r="K22" s="90"/>
      <c r="L22" s="90"/>
    </row>
    <row r="23" spans="1:12" ht="15" customHeight="1" x14ac:dyDescent="0.25">
      <c r="A23" s="142" t="s">
        <v>97</v>
      </c>
      <c r="B23" s="216" t="s">
        <v>98</v>
      </c>
      <c r="C23" s="94">
        <v>89740.67</v>
      </c>
      <c r="D23" s="94">
        <v>67397.350000000006</v>
      </c>
      <c r="E23" s="94">
        <v>81018.320000000007</v>
      </c>
      <c r="F23" s="94">
        <v>71820.11</v>
      </c>
      <c r="G23" s="28">
        <f>SUM(C23:F23)</f>
        <v>309976.45</v>
      </c>
      <c r="H23" s="143">
        <f>IF(G23&gt;0,G23*1000/$G$18,"-")</f>
        <v>1330.3767398143339</v>
      </c>
      <c r="I23" s="90"/>
      <c r="J23" s="90"/>
      <c r="K23" s="90"/>
      <c r="L23" s="90"/>
    </row>
    <row r="24" spans="1:12" x14ac:dyDescent="0.25">
      <c r="A24" s="144" t="s">
        <v>99</v>
      </c>
      <c r="B24" s="217"/>
      <c r="C24" s="95">
        <v>83913.33</v>
      </c>
      <c r="D24" s="95">
        <v>62857.01</v>
      </c>
      <c r="E24" s="95">
        <v>75389.81</v>
      </c>
      <c r="F24" s="95">
        <v>67016.759999999995</v>
      </c>
      <c r="G24" s="29">
        <f>SUM(C24:F24)</f>
        <v>289176.90999999997</v>
      </c>
      <c r="H24" s="145">
        <f t="shared" ref="H24:H29" si="2">IF(G24&gt;0,G24*1000/$G$18,"-")</f>
        <v>1241.1079446692904</v>
      </c>
      <c r="I24" s="90"/>
      <c r="J24" s="90"/>
      <c r="K24" s="90"/>
      <c r="L24" s="90"/>
    </row>
    <row r="25" spans="1:12" x14ac:dyDescent="0.25">
      <c r="A25" s="144" t="s">
        <v>100</v>
      </c>
      <c r="B25" s="217"/>
      <c r="C25" s="146">
        <v>5827.34</v>
      </c>
      <c r="D25" s="146">
        <v>4540.34</v>
      </c>
      <c r="E25" s="146">
        <v>5628.51</v>
      </c>
      <c r="F25" s="146">
        <v>4803.3500000000004</v>
      </c>
      <c r="G25" s="29">
        <f>SUM(C25:F25)</f>
        <v>20799.54</v>
      </c>
      <c r="H25" s="145">
        <f>IF(G25&gt;0,G25*1000/$G$18,"-")</f>
        <v>89.268795145043541</v>
      </c>
      <c r="I25" s="90"/>
      <c r="J25" s="90"/>
      <c r="K25" s="90"/>
      <c r="L25" s="90"/>
    </row>
    <row r="26" spans="1:12" x14ac:dyDescent="0.25">
      <c r="A26" s="144" t="s">
        <v>101</v>
      </c>
      <c r="B26" s="217"/>
      <c r="C26" s="95">
        <v>50.69</v>
      </c>
      <c r="D26" s="95">
        <v>357.3</v>
      </c>
      <c r="E26" s="95">
        <v>187.44</v>
      </c>
      <c r="F26" s="95">
        <v>325.95999999999998</v>
      </c>
      <c r="G26" s="29">
        <f>SUM(C26:F26)</f>
        <v>921.3900000000001</v>
      </c>
      <c r="H26" s="145">
        <f t="shared" si="2"/>
        <v>3.9544804913325815</v>
      </c>
      <c r="I26" s="90"/>
      <c r="J26" s="90"/>
      <c r="K26" s="90"/>
      <c r="L26" s="90"/>
    </row>
    <row r="27" spans="1:12" x14ac:dyDescent="0.25">
      <c r="A27" s="144" t="s">
        <v>102</v>
      </c>
      <c r="B27" s="91" t="s">
        <v>80</v>
      </c>
      <c r="C27" s="147">
        <f>IF(C23&gt;0,1-C24/(C23+C26),"-")</f>
        <v>6.5463202695671407E-2</v>
      </c>
      <c r="D27" s="147">
        <f>IF(D23&gt;0,1-D24/(D23+D26),"-")</f>
        <v>7.2284928045529107E-2</v>
      </c>
      <c r="E27" s="147">
        <f>IF(E23&gt;0,1-E24/(E23+E26),"-")</f>
        <v>7.1619919572207813E-2</v>
      </c>
      <c r="F27" s="147">
        <f>IF(F23&gt;0,1-F24/(F23+F26),"-")</f>
        <v>7.10961802909017E-2</v>
      </c>
      <c r="G27" s="147">
        <f>IF(G23&gt;0,1-G24/(G23+G26),"-")</f>
        <v>6.9865168571129455E-2</v>
      </c>
      <c r="H27" s="145"/>
      <c r="I27" s="90"/>
      <c r="J27" s="90"/>
      <c r="K27" s="90"/>
      <c r="L27" s="90"/>
    </row>
    <row r="28" spans="1:12" x14ac:dyDescent="0.25">
      <c r="A28" s="144" t="s">
        <v>103</v>
      </c>
      <c r="B28" s="219" t="s">
        <v>98</v>
      </c>
      <c r="C28" s="95" t="s">
        <v>83</v>
      </c>
      <c r="D28" s="95" t="s">
        <v>83</v>
      </c>
      <c r="E28" s="95" t="s">
        <v>83</v>
      </c>
      <c r="F28" s="95" t="s">
        <v>83</v>
      </c>
      <c r="G28" s="29">
        <f>SUM(C28:F28)</f>
        <v>0</v>
      </c>
      <c r="H28" s="145" t="str">
        <f t="shared" si="2"/>
        <v>-</v>
      </c>
      <c r="I28" s="90"/>
      <c r="J28" s="90"/>
      <c r="K28" s="90"/>
      <c r="L28" s="90"/>
    </row>
    <row r="29" spans="1:12" x14ac:dyDescent="0.25">
      <c r="A29" s="144" t="s">
        <v>104</v>
      </c>
      <c r="B29" s="219"/>
      <c r="C29" s="95" t="s">
        <v>83</v>
      </c>
      <c r="D29" s="95" t="s">
        <v>83</v>
      </c>
      <c r="E29" s="95" t="s">
        <v>83</v>
      </c>
      <c r="F29" s="95" t="s">
        <v>83</v>
      </c>
      <c r="G29" s="29">
        <f>SUM(C29:F29)</f>
        <v>0</v>
      </c>
      <c r="H29" s="145" t="str">
        <f t="shared" si="2"/>
        <v>-</v>
      </c>
      <c r="I29" s="90"/>
      <c r="J29" s="90"/>
      <c r="K29" s="17"/>
      <c r="L29" s="17"/>
    </row>
    <row r="30" spans="1:12" x14ac:dyDescent="0.25">
      <c r="A30" s="148" t="s">
        <v>105</v>
      </c>
      <c r="B30" s="149"/>
      <c r="C30" s="224" t="s">
        <v>83</v>
      </c>
      <c r="D30" s="224"/>
      <c r="E30" s="224"/>
      <c r="F30" s="224"/>
      <c r="G30" s="225" t="s">
        <v>106</v>
      </c>
      <c r="H30" s="226"/>
      <c r="I30" s="90"/>
      <c r="J30" s="90"/>
      <c r="K30" s="90"/>
      <c r="L30" s="17"/>
    </row>
    <row r="31" spans="1:12" x14ac:dyDescent="0.25">
      <c r="A31" s="3"/>
      <c r="B31" s="129"/>
      <c r="C31" s="130"/>
      <c r="D31" s="130"/>
      <c r="E31" s="130"/>
      <c r="F31" s="130"/>
      <c r="G31" s="32"/>
      <c r="H31" s="130"/>
      <c r="I31" s="90"/>
      <c r="J31" s="90"/>
      <c r="K31" s="90"/>
      <c r="L31" s="17"/>
    </row>
    <row r="32" spans="1:12" x14ac:dyDescent="0.25">
      <c r="A32" s="9" t="s">
        <v>107</v>
      </c>
      <c r="B32" s="150" t="s">
        <v>74</v>
      </c>
      <c r="C32" s="140" t="s">
        <v>75</v>
      </c>
      <c r="D32" s="140" t="s">
        <v>76</v>
      </c>
      <c r="E32" s="140" t="s">
        <v>77</v>
      </c>
      <c r="F32" s="140" t="s">
        <v>78</v>
      </c>
      <c r="G32" s="33" t="s">
        <v>79</v>
      </c>
      <c r="H32" s="151" t="s">
        <v>108</v>
      </c>
      <c r="I32" s="90"/>
      <c r="J32" s="90"/>
      <c r="K32" s="90"/>
      <c r="L32" s="17"/>
    </row>
    <row r="33" spans="1:12" ht="15" customHeight="1" x14ac:dyDescent="0.25">
      <c r="A33" s="142" t="s">
        <v>109</v>
      </c>
      <c r="B33" s="216" t="s">
        <v>82</v>
      </c>
      <c r="C33" s="94">
        <v>1433.64</v>
      </c>
      <c r="D33" s="94">
        <v>1065.96</v>
      </c>
      <c r="E33" s="94">
        <v>1288.73</v>
      </c>
      <c r="F33" s="94">
        <v>1183.79</v>
      </c>
      <c r="G33" s="28">
        <f t="shared" ref="G33:G38" si="3">SUM(C33:F33)</f>
        <v>4972.1200000000008</v>
      </c>
      <c r="H33" s="98">
        <f t="shared" ref="H33:H38" si="4">IF(G33&gt;0,G33/$G$18,"-")</f>
        <v>2.1339662401984563E-2</v>
      </c>
      <c r="I33" s="90"/>
      <c r="J33" s="90"/>
      <c r="K33" s="17"/>
      <c r="L33" s="17"/>
    </row>
    <row r="34" spans="1:12" ht="15" customHeight="1" x14ac:dyDescent="0.25">
      <c r="A34" s="144" t="s">
        <v>110</v>
      </c>
      <c r="B34" s="217"/>
      <c r="C34" s="95">
        <v>4475.51</v>
      </c>
      <c r="D34" s="95">
        <v>3397.2</v>
      </c>
      <c r="E34" s="95">
        <v>4044.5</v>
      </c>
      <c r="F34" s="95">
        <v>3741.56</v>
      </c>
      <c r="G34" s="29">
        <f t="shared" si="3"/>
        <v>15658.769999999999</v>
      </c>
      <c r="H34" s="100">
        <f t="shared" si="4"/>
        <v>6.7205309894033879E-2</v>
      </c>
      <c r="I34" s="90"/>
      <c r="J34" s="90"/>
      <c r="K34" s="17"/>
      <c r="L34" s="17"/>
    </row>
    <row r="35" spans="1:12" ht="15" customHeight="1" x14ac:dyDescent="0.25">
      <c r="A35" s="144" t="s">
        <v>111</v>
      </c>
      <c r="B35" s="217"/>
      <c r="C35" s="95">
        <v>15.74</v>
      </c>
      <c r="D35" s="95">
        <v>15.64</v>
      </c>
      <c r="E35" s="95">
        <v>31.72</v>
      </c>
      <c r="F35" s="95">
        <v>25.3</v>
      </c>
      <c r="G35" s="29">
        <f t="shared" si="3"/>
        <v>88.4</v>
      </c>
      <c r="H35" s="100">
        <f t="shared" si="4"/>
        <v>3.7940076996038615E-4</v>
      </c>
      <c r="I35" s="90"/>
      <c r="J35" s="90"/>
      <c r="K35" s="90"/>
      <c r="L35" s="90"/>
    </row>
    <row r="36" spans="1:12" x14ac:dyDescent="0.25">
      <c r="A36" s="152" t="s">
        <v>112</v>
      </c>
      <c r="B36" s="217"/>
      <c r="C36" s="96">
        <v>265.27999999999997</v>
      </c>
      <c r="D36" s="96">
        <v>187.12</v>
      </c>
      <c r="E36" s="96">
        <v>96.04</v>
      </c>
      <c r="F36" s="96">
        <v>9.34</v>
      </c>
      <c r="G36" s="29">
        <f t="shared" si="3"/>
        <v>557.78</v>
      </c>
      <c r="H36" s="100">
        <f t="shared" si="4"/>
        <v>2.3939158537161103E-3</v>
      </c>
      <c r="I36" s="90"/>
      <c r="J36" s="90"/>
      <c r="K36" s="90"/>
      <c r="L36" s="90"/>
    </row>
    <row r="37" spans="1:12" x14ac:dyDescent="0.25">
      <c r="A37" s="152" t="s">
        <v>112</v>
      </c>
      <c r="B37" s="217"/>
      <c r="C37" s="96">
        <v>0</v>
      </c>
      <c r="D37" s="96">
        <v>0</v>
      </c>
      <c r="E37" s="96">
        <v>0</v>
      </c>
      <c r="F37" s="96">
        <v>0</v>
      </c>
      <c r="G37" s="29">
        <f t="shared" si="3"/>
        <v>0</v>
      </c>
      <c r="H37" s="100" t="str">
        <f t="shared" si="4"/>
        <v>-</v>
      </c>
      <c r="I37" s="90"/>
      <c r="J37" s="90"/>
      <c r="K37" s="90"/>
      <c r="L37" s="90"/>
    </row>
    <row r="38" spans="1:12" x14ac:dyDescent="0.25">
      <c r="A38" s="153" t="s">
        <v>112</v>
      </c>
      <c r="B38" s="218"/>
      <c r="C38" s="154">
        <v>0</v>
      </c>
      <c r="D38" s="154">
        <v>0</v>
      </c>
      <c r="E38" s="154">
        <v>0</v>
      </c>
      <c r="F38" s="154">
        <v>0</v>
      </c>
      <c r="G38" s="31">
        <f t="shared" si="3"/>
        <v>0</v>
      </c>
      <c r="H38" s="139" t="str">
        <f t="shared" si="4"/>
        <v>-</v>
      </c>
      <c r="I38" s="90"/>
      <c r="J38" s="90"/>
      <c r="K38" s="90"/>
      <c r="L38" s="90"/>
    </row>
    <row r="39" spans="1:12" x14ac:dyDescent="0.25">
      <c r="A39" s="129"/>
      <c r="B39" s="129"/>
      <c r="C39" s="130"/>
      <c r="D39" s="130"/>
      <c r="E39" s="130"/>
      <c r="F39" s="130"/>
      <c r="G39" s="32"/>
      <c r="H39" s="130"/>
      <c r="I39" s="90"/>
      <c r="J39" s="90"/>
      <c r="K39" s="90"/>
      <c r="L39" s="90"/>
    </row>
    <row r="40" spans="1:12" x14ac:dyDescent="0.25">
      <c r="A40" s="9" t="s">
        <v>113</v>
      </c>
      <c r="B40" s="155" t="s">
        <v>74</v>
      </c>
      <c r="C40" s="132" t="s">
        <v>75</v>
      </c>
      <c r="D40" s="132" t="s">
        <v>76</v>
      </c>
      <c r="E40" s="132" t="s">
        <v>77</v>
      </c>
      <c r="F40" s="132" t="s">
        <v>78</v>
      </c>
      <c r="G40" s="27" t="s">
        <v>79</v>
      </c>
      <c r="H40" s="141" t="s">
        <v>114</v>
      </c>
      <c r="I40" s="90"/>
      <c r="J40" s="90"/>
      <c r="K40" s="90"/>
      <c r="L40" s="90"/>
    </row>
    <row r="41" spans="1:12" ht="15.6" customHeight="1" x14ac:dyDescent="0.25">
      <c r="A41" s="142" t="s">
        <v>115</v>
      </c>
      <c r="B41" s="91" t="s">
        <v>116</v>
      </c>
      <c r="C41" s="94">
        <v>19743</v>
      </c>
      <c r="D41" s="94">
        <v>14389</v>
      </c>
      <c r="E41" s="94">
        <v>16619</v>
      </c>
      <c r="F41" s="94">
        <v>13916</v>
      </c>
      <c r="G41" s="28">
        <f t="shared" ref="G41:G49" si="5">SUM(C41:F41)</f>
        <v>64667</v>
      </c>
      <c r="H41" s="156">
        <f t="shared" ref="H41:H47" si="6">IF(G41&gt;0,G41/$G$18,"-")</f>
        <v>0.27754196369941503</v>
      </c>
      <c r="I41" s="90"/>
      <c r="J41" s="90"/>
      <c r="K41" s="90"/>
      <c r="L41" s="90"/>
    </row>
    <row r="42" spans="1:12" x14ac:dyDescent="0.25">
      <c r="A42" s="144" t="s">
        <v>117</v>
      </c>
      <c r="B42" s="91" t="s">
        <v>118</v>
      </c>
      <c r="C42" s="95" t="s">
        <v>83</v>
      </c>
      <c r="D42" s="95" t="s">
        <v>83</v>
      </c>
      <c r="E42" s="95" t="s">
        <v>83</v>
      </c>
      <c r="F42" s="95" t="s">
        <v>83</v>
      </c>
      <c r="G42" s="29">
        <f t="shared" si="5"/>
        <v>0</v>
      </c>
      <c r="H42" s="156" t="str">
        <f t="shared" si="6"/>
        <v>-</v>
      </c>
      <c r="I42" s="90"/>
      <c r="J42" s="90"/>
      <c r="K42" s="90"/>
      <c r="L42" s="90"/>
    </row>
    <row r="43" spans="1:12" ht="15.6" customHeight="1" x14ac:dyDescent="0.25">
      <c r="A43" s="144" t="s">
        <v>119</v>
      </c>
      <c r="B43" s="91" t="s">
        <v>120</v>
      </c>
      <c r="C43" s="95" t="s">
        <v>83</v>
      </c>
      <c r="D43" s="95" t="s">
        <v>83</v>
      </c>
      <c r="E43" s="95" t="s">
        <v>83</v>
      </c>
      <c r="F43" s="95" t="s">
        <v>83</v>
      </c>
      <c r="G43" s="29">
        <f>SUM(C43:F43)</f>
        <v>0</v>
      </c>
      <c r="H43" s="156" t="str">
        <f t="shared" si="6"/>
        <v>-</v>
      </c>
      <c r="I43" s="90"/>
      <c r="J43" s="90"/>
      <c r="K43" s="90"/>
      <c r="L43" s="90"/>
    </row>
    <row r="44" spans="1:12" ht="15.6" customHeight="1" x14ac:dyDescent="0.25">
      <c r="A44" s="144" t="s">
        <v>121</v>
      </c>
      <c r="B44" s="91" t="s">
        <v>120</v>
      </c>
      <c r="C44" s="95">
        <v>60640</v>
      </c>
      <c r="D44" s="95">
        <v>54880</v>
      </c>
      <c r="E44" s="95">
        <v>57840</v>
      </c>
      <c r="F44" s="95">
        <v>63390</v>
      </c>
      <c r="G44" s="29">
        <f>SUM(C44:F44)</f>
        <v>236750</v>
      </c>
      <c r="H44" s="156">
        <f t="shared" si="6"/>
        <v>1.016098781539835</v>
      </c>
      <c r="I44" s="90"/>
      <c r="J44" s="90"/>
      <c r="K44" s="90"/>
      <c r="L44" s="90"/>
    </row>
    <row r="45" spans="1:12" x14ac:dyDescent="0.25">
      <c r="A45" s="144" t="s">
        <v>122</v>
      </c>
      <c r="B45" s="91" t="s">
        <v>120</v>
      </c>
      <c r="C45" s="95" t="s">
        <v>83</v>
      </c>
      <c r="D45" s="95" t="s">
        <v>83</v>
      </c>
      <c r="E45" s="95" t="s">
        <v>83</v>
      </c>
      <c r="F45" s="95" t="s">
        <v>83</v>
      </c>
      <c r="G45" s="29">
        <f t="shared" si="5"/>
        <v>0</v>
      </c>
      <c r="H45" s="156" t="str">
        <f t="shared" si="6"/>
        <v>-</v>
      </c>
      <c r="I45" s="90"/>
      <c r="J45" s="90"/>
      <c r="K45" s="90"/>
      <c r="L45" s="90"/>
    </row>
    <row r="46" spans="1:12" x14ac:dyDescent="0.25">
      <c r="A46" s="144" t="s">
        <v>123</v>
      </c>
      <c r="B46" s="91" t="s">
        <v>124</v>
      </c>
      <c r="C46" s="95">
        <v>600.83000000000004</v>
      </c>
      <c r="D46" s="95">
        <v>420.34</v>
      </c>
      <c r="E46" s="95">
        <v>595.44000000000005</v>
      </c>
      <c r="F46" s="95">
        <v>821.46</v>
      </c>
      <c r="G46" s="29">
        <f t="shared" si="5"/>
        <v>2438.0700000000002</v>
      </c>
      <c r="H46" s="156">
        <f t="shared" si="6"/>
        <v>1.0463864651779621E-2</v>
      </c>
      <c r="I46" s="90"/>
      <c r="J46" s="90"/>
      <c r="K46" s="90"/>
      <c r="L46" s="90"/>
    </row>
    <row r="47" spans="1:12" x14ac:dyDescent="0.25">
      <c r="A47" s="144" t="s">
        <v>125</v>
      </c>
      <c r="B47" s="91" t="s">
        <v>118</v>
      </c>
      <c r="C47" s="95">
        <v>152933.09</v>
      </c>
      <c r="D47" s="95">
        <v>165685.26</v>
      </c>
      <c r="E47" s="95">
        <v>308131.55</v>
      </c>
      <c r="F47" s="95">
        <v>260350.38</v>
      </c>
      <c r="G47" s="29">
        <f t="shared" si="5"/>
        <v>887100.27999999991</v>
      </c>
      <c r="H47" s="156">
        <f t="shared" si="6"/>
        <v>3.8073136794578515</v>
      </c>
      <c r="I47" s="90"/>
      <c r="J47" s="90"/>
      <c r="K47" s="90"/>
      <c r="L47" s="90"/>
    </row>
    <row r="48" spans="1:12" x14ac:dyDescent="0.25">
      <c r="A48" s="144" t="s">
        <v>126</v>
      </c>
      <c r="B48" s="91" t="s">
        <v>127</v>
      </c>
      <c r="C48" s="95">
        <v>0</v>
      </c>
      <c r="D48" s="95">
        <v>0</v>
      </c>
      <c r="E48" s="95">
        <v>0</v>
      </c>
      <c r="F48" s="95">
        <v>0</v>
      </c>
      <c r="G48" s="29">
        <f t="shared" si="5"/>
        <v>0</v>
      </c>
      <c r="H48" s="157"/>
      <c r="I48" s="90"/>
      <c r="J48" s="90"/>
      <c r="K48" s="90"/>
      <c r="L48" s="90"/>
    </row>
    <row r="49" spans="1:10" x14ac:dyDescent="0.25">
      <c r="A49" s="148" t="s">
        <v>112</v>
      </c>
      <c r="B49" s="158"/>
      <c r="C49" s="138">
        <v>0</v>
      </c>
      <c r="D49" s="138">
        <v>0</v>
      </c>
      <c r="E49" s="138">
        <v>0</v>
      </c>
      <c r="F49" s="138">
        <v>0</v>
      </c>
      <c r="G49" s="31">
        <f t="shared" si="5"/>
        <v>0</v>
      </c>
      <c r="H49" s="159"/>
      <c r="I49" s="90"/>
      <c r="J49" s="90"/>
    </row>
    <row r="50" spans="1:10" x14ac:dyDescent="0.25">
      <c r="A50" s="129"/>
      <c r="B50" s="129"/>
      <c r="C50" s="130"/>
      <c r="D50" s="130"/>
      <c r="E50" s="130"/>
      <c r="F50" s="130"/>
      <c r="G50" s="32"/>
      <c r="H50" s="130"/>
      <c r="I50" s="90"/>
      <c r="J50" s="90"/>
    </row>
    <row r="51" spans="1:10" x14ac:dyDescent="0.25">
      <c r="A51" s="9" t="s">
        <v>128</v>
      </c>
      <c r="B51" s="160" t="s">
        <v>129</v>
      </c>
      <c r="C51" s="140" t="s">
        <v>75</v>
      </c>
      <c r="D51" s="140" t="s">
        <v>76</v>
      </c>
      <c r="E51" s="140" t="s">
        <v>77</v>
      </c>
      <c r="F51" s="140" t="s">
        <v>78</v>
      </c>
      <c r="G51" s="33" t="s">
        <v>79</v>
      </c>
      <c r="H51" s="141"/>
      <c r="I51" s="90"/>
      <c r="J51" s="87" t="s">
        <v>130</v>
      </c>
    </row>
    <row r="52" spans="1:10" ht="14.25" customHeight="1" x14ac:dyDescent="0.25">
      <c r="A52" s="220" t="s">
        <v>131</v>
      </c>
      <c r="B52" s="140">
        <f>+B5</f>
        <v>1</v>
      </c>
      <c r="C52" s="94">
        <v>2098.5</v>
      </c>
      <c r="D52" s="94">
        <v>1556.5</v>
      </c>
      <c r="E52" s="94">
        <v>1918</v>
      </c>
      <c r="F52" s="94">
        <v>1670</v>
      </c>
      <c r="G52" s="28">
        <f t="shared" ref="G52:G64" si="7">SUM(C52:F52)</f>
        <v>7243</v>
      </c>
      <c r="H52" s="98">
        <f>SUM(C52:F52)/J52</f>
        <v>0.82682648401826486</v>
      </c>
      <c r="I52" s="90"/>
      <c r="J52" s="89">
        <v>8760</v>
      </c>
    </row>
    <row r="53" spans="1:10" ht="14.25" customHeight="1" x14ac:dyDescent="0.25">
      <c r="A53" s="221"/>
      <c r="B53" s="130">
        <v>2</v>
      </c>
      <c r="C53" s="97" t="s">
        <v>83</v>
      </c>
      <c r="D53" s="97" t="s">
        <v>83</v>
      </c>
      <c r="E53" s="97" t="s">
        <v>83</v>
      </c>
      <c r="F53" s="97" t="s">
        <v>83</v>
      </c>
      <c r="G53" s="29">
        <f t="shared" si="7"/>
        <v>0</v>
      </c>
      <c r="H53" s="100" t="s">
        <v>132</v>
      </c>
      <c r="I53" s="90"/>
      <c r="J53" s="90"/>
    </row>
    <row r="54" spans="1:10" ht="14.25" customHeight="1" x14ac:dyDescent="0.25">
      <c r="A54" s="221"/>
      <c r="B54" s="130">
        <v>3</v>
      </c>
      <c r="C54" s="97" t="s">
        <v>83</v>
      </c>
      <c r="D54" s="97" t="s">
        <v>83</v>
      </c>
      <c r="E54" s="97" t="s">
        <v>83</v>
      </c>
      <c r="F54" s="97" t="s">
        <v>83</v>
      </c>
      <c r="G54" s="29">
        <f t="shared" si="7"/>
        <v>0</v>
      </c>
      <c r="H54" s="100" t="s">
        <v>132</v>
      </c>
      <c r="I54" s="90"/>
      <c r="J54" s="90"/>
    </row>
    <row r="55" spans="1:10" ht="14.25" customHeight="1" x14ac:dyDescent="0.25">
      <c r="A55" s="221"/>
      <c r="B55" s="130">
        <v>4</v>
      </c>
      <c r="C55" s="97" t="s">
        <v>83</v>
      </c>
      <c r="D55" s="97" t="s">
        <v>83</v>
      </c>
      <c r="E55" s="97" t="s">
        <v>83</v>
      </c>
      <c r="F55" s="97" t="s">
        <v>83</v>
      </c>
      <c r="G55" s="29">
        <f t="shared" si="7"/>
        <v>0</v>
      </c>
      <c r="H55" s="100" t="s">
        <v>132</v>
      </c>
      <c r="I55" s="90"/>
      <c r="J55" s="90"/>
    </row>
    <row r="56" spans="1:10" ht="14.25" customHeight="1" x14ac:dyDescent="0.25">
      <c r="A56" s="221"/>
      <c r="B56" s="130">
        <v>5</v>
      </c>
      <c r="C56" s="97" t="s">
        <v>83</v>
      </c>
      <c r="D56" s="97" t="s">
        <v>83</v>
      </c>
      <c r="E56" s="97" t="s">
        <v>83</v>
      </c>
      <c r="F56" s="97" t="s">
        <v>83</v>
      </c>
      <c r="G56" s="29">
        <f>SUM(C56:F56)</f>
        <v>0</v>
      </c>
      <c r="H56" s="100" t="s">
        <v>132</v>
      </c>
      <c r="I56" s="90"/>
      <c r="J56" s="90"/>
    </row>
    <row r="57" spans="1:10" ht="14.25" customHeight="1" x14ac:dyDescent="0.25">
      <c r="A57" s="144" t="s">
        <v>133</v>
      </c>
      <c r="B57" s="130"/>
      <c r="C57" s="97">
        <v>2098.5</v>
      </c>
      <c r="D57" s="97">
        <v>1556.5</v>
      </c>
      <c r="E57" s="97">
        <v>1918</v>
      </c>
      <c r="F57" s="97">
        <v>1670</v>
      </c>
      <c r="G57" s="29">
        <f>AVERAGE(G52)</f>
        <v>7243</v>
      </c>
      <c r="H57" s="88">
        <f>SUM(C57:F57)/J52</f>
        <v>0.82682648401826486</v>
      </c>
      <c r="I57" s="90"/>
      <c r="J57" s="90"/>
    </row>
    <row r="58" spans="1:10" ht="14.25" customHeight="1" x14ac:dyDescent="0.25">
      <c r="A58" s="144" t="s">
        <v>134</v>
      </c>
      <c r="B58" s="130">
        <v>1</v>
      </c>
      <c r="C58" s="161">
        <v>2052.04</v>
      </c>
      <c r="D58" s="161">
        <v>1583.72</v>
      </c>
      <c r="E58" s="161">
        <v>1934.78</v>
      </c>
      <c r="F58" s="161">
        <v>1688.78</v>
      </c>
      <c r="G58" s="101">
        <f t="shared" si="7"/>
        <v>7259.32</v>
      </c>
      <c r="H58" s="100">
        <f>SUM(C58:F58)/J52</f>
        <v>0.82868949771689493</v>
      </c>
      <c r="I58" s="90"/>
      <c r="J58" s="90"/>
    </row>
    <row r="59" spans="1:10" x14ac:dyDescent="0.25">
      <c r="A59" s="144" t="s">
        <v>134</v>
      </c>
      <c r="B59" s="130">
        <v>2</v>
      </c>
      <c r="C59" s="95" t="s">
        <v>83</v>
      </c>
      <c r="D59" s="95" t="s">
        <v>83</v>
      </c>
      <c r="E59" s="95" t="s">
        <v>83</v>
      </c>
      <c r="F59" s="95" t="s">
        <v>83</v>
      </c>
      <c r="G59" s="29">
        <f t="shared" si="7"/>
        <v>0</v>
      </c>
      <c r="H59" s="100" t="s">
        <v>132</v>
      </c>
      <c r="I59" s="90"/>
      <c r="J59" s="90"/>
    </row>
    <row r="60" spans="1:10" x14ac:dyDescent="0.25">
      <c r="A60" s="144" t="s">
        <v>135</v>
      </c>
      <c r="B60" s="130"/>
      <c r="C60" s="95" t="s">
        <v>83</v>
      </c>
      <c r="D60" s="95" t="s">
        <v>83</v>
      </c>
      <c r="E60" s="95" t="s">
        <v>83</v>
      </c>
      <c r="F60" s="95" t="s">
        <v>83</v>
      </c>
      <c r="G60" s="29">
        <f t="shared" si="7"/>
        <v>0</v>
      </c>
      <c r="H60" s="100" t="str">
        <f>IF(B60&gt;0,G59/J52,"n/a")</f>
        <v>n/a</v>
      </c>
      <c r="I60" s="90"/>
      <c r="J60" s="90"/>
    </row>
    <row r="61" spans="1:10" x14ac:dyDescent="0.25">
      <c r="A61" s="144" t="s">
        <v>136</v>
      </c>
      <c r="B61" s="130" t="s">
        <v>137</v>
      </c>
      <c r="C61" s="95" t="s">
        <v>83</v>
      </c>
      <c r="D61" s="95" t="s">
        <v>83</v>
      </c>
      <c r="E61" s="95" t="s">
        <v>83</v>
      </c>
      <c r="F61" s="95" t="s">
        <v>83</v>
      </c>
      <c r="G61" s="29">
        <f t="shared" si="7"/>
        <v>0</v>
      </c>
      <c r="H61" s="162" t="s">
        <v>83</v>
      </c>
      <c r="I61" s="90"/>
      <c r="J61" s="90"/>
    </row>
    <row r="62" spans="1:10" x14ac:dyDescent="0.25">
      <c r="A62" s="144" t="s">
        <v>138</v>
      </c>
      <c r="B62" s="130" t="s">
        <v>139</v>
      </c>
      <c r="C62" s="95">
        <v>2</v>
      </c>
      <c r="D62" s="95" t="s">
        <v>83</v>
      </c>
      <c r="E62" s="95">
        <v>1</v>
      </c>
      <c r="F62" s="95" t="s">
        <v>83</v>
      </c>
      <c r="G62" s="29">
        <f t="shared" si="7"/>
        <v>3</v>
      </c>
      <c r="H62" s="145" t="str">
        <f>IF(G62&gt;0,"yes","no")</f>
        <v>yes</v>
      </c>
      <c r="I62" s="90"/>
      <c r="J62" s="90"/>
    </row>
    <row r="63" spans="1:10" x14ac:dyDescent="0.25">
      <c r="A63" s="144" t="s">
        <v>140</v>
      </c>
      <c r="B63" s="130" t="s">
        <v>141</v>
      </c>
      <c r="C63" s="95">
        <v>1.35</v>
      </c>
      <c r="D63" s="95">
        <v>0</v>
      </c>
      <c r="E63" s="95">
        <v>2.33</v>
      </c>
      <c r="F63" s="95">
        <v>0</v>
      </c>
      <c r="G63" s="29">
        <f t="shared" si="7"/>
        <v>3.68</v>
      </c>
      <c r="H63" s="163">
        <f>+(G63)/J52</f>
        <v>4.2009132420091328E-4</v>
      </c>
      <c r="I63" s="90"/>
      <c r="J63" s="90"/>
    </row>
    <row r="64" spans="1:10" x14ac:dyDescent="0.25">
      <c r="A64" s="148" t="s">
        <v>142</v>
      </c>
      <c r="B64" s="164" t="s">
        <v>139</v>
      </c>
      <c r="C64" s="138">
        <v>1</v>
      </c>
      <c r="D64" s="138">
        <v>4</v>
      </c>
      <c r="E64" s="138">
        <v>3</v>
      </c>
      <c r="F64" s="138">
        <v>0</v>
      </c>
      <c r="G64" s="31">
        <f t="shared" si="7"/>
        <v>8</v>
      </c>
      <c r="H64" s="165" t="str">
        <f>IF(G64&gt;0,"yes","no")</f>
        <v>yes</v>
      </c>
      <c r="I64" s="90"/>
      <c r="J64" s="90"/>
    </row>
    <row r="77" spans="6:6" x14ac:dyDescent="0.25">
      <c r="F77" s="3"/>
    </row>
  </sheetData>
  <mergeCells count="10">
    <mergeCell ref="K6:K7"/>
    <mergeCell ref="K8:K19"/>
    <mergeCell ref="B33:B38"/>
    <mergeCell ref="C30:F30"/>
    <mergeCell ref="G30:H30"/>
    <mergeCell ref="B4:C4"/>
    <mergeCell ref="B8:B20"/>
    <mergeCell ref="B23:B26"/>
    <mergeCell ref="B28:B29"/>
    <mergeCell ref="A52:A56"/>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8:G59 G53:G55"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13" zoomScale="55" zoomScaleNormal="55" workbookViewId="0">
      <selection activeCell="A5" sqref="A5:I2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90" t="str">
        <f>+'Cover Page'!$B$29</f>
        <v>Annual Performance Report 2022</v>
      </c>
      <c r="B1" s="90"/>
      <c r="C1" s="90"/>
      <c r="D1" s="90"/>
      <c r="E1" s="90" t="str">
        <f>+'Cover Page'!$B$33</f>
        <v>Tilbury Green Power Plant</v>
      </c>
      <c r="F1" s="90"/>
      <c r="G1" s="90"/>
      <c r="H1" s="90"/>
      <c r="I1" s="90"/>
      <c r="J1" s="90"/>
      <c r="K1" s="90"/>
      <c r="L1" s="90"/>
      <c r="M1" s="90"/>
      <c r="N1" s="90"/>
    </row>
    <row r="3" spans="1:14" ht="15.6" x14ac:dyDescent="0.3">
      <c r="A3" s="52" t="s">
        <v>143</v>
      </c>
      <c r="B3" s="124"/>
      <c r="C3" s="124"/>
      <c r="D3" s="124"/>
      <c r="E3" s="124"/>
      <c r="F3" s="124"/>
      <c r="G3" s="124"/>
      <c r="H3" s="124"/>
      <c r="I3" s="125"/>
      <c r="J3" s="90"/>
      <c r="K3" s="82" t="s">
        <v>3</v>
      </c>
      <c r="L3" s="90"/>
      <c r="M3" s="90"/>
      <c r="N3" s="90"/>
    </row>
    <row r="4" spans="1:14" x14ac:dyDescent="0.25">
      <c r="A4" s="126"/>
      <c r="B4" s="127"/>
      <c r="C4" s="127"/>
      <c r="D4" s="127"/>
      <c r="E4" s="127"/>
      <c r="F4" s="127"/>
      <c r="G4" s="127"/>
      <c r="H4" s="127"/>
      <c r="I4" s="128"/>
      <c r="J4" s="90"/>
      <c r="K4" s="90"/>
      <c r="L4" s="90"/>
      <c r="M4" s="90"/>
      <c r="N4" s="90"/>
    </row>
    <row r="5" spans="1:14" ht="15.75" customHeight="1" x14ac:dyDescent="0.25">
      <c r="A5" s="205" t="s">
        <v>144</v>
      </c>
      <c r="B5" s="227"/>
      <c r="C5" s="227"/>
      <c r="D5" s="227"/>
      <c r="E5" s="227"/>
      <c r="F5" s="227"/>
      <c r="G5" s="227"/>
      <c r="H5" s="227"/>
      <c r="I5" s="228"/>
      <c r="J5" s="90"/>
      <c r="K5" s="214" t="s">
        <v>145</v>
      </c>
      <c r="L5" s="214"/>
      <c r="M5" s="214"/>
      <c r="N5" s="214"/>
    </row>
    <row r="6" spans="1:14" x14ac:dyDescent="0.25">
      <c r="A6" s="229"/>
      <c r="B6" s="230"/>
      <c r="C6" s="230"/>
      <c r="D6" s="230"/>
      <c r="E6" s="230"/>
      <c r="F6" s="230"/>
      <c r="G6" s="230"/>
      <c r="H6" s="230"/>
      <c r="I6" s="231"/>
      <c r="J6" s="90"/>
      <c r="K6" s="214"/>
      <c r="L6" s="214"/>
      <c r="M6" s="214"/>
      <c r="N6" s="214"/>
    </row>
    <row r="7" spans="1:14" x14ac:dyDescent="0.25">
      <c r="A7" s="229"/>
      <c r="B7" s="230"/>
      <c r="C7" s="230"/>
      <c r="D7" s="230"/>
      <c r="E7" s="230"/>
      <c r="F7" s="230"/>
      <c r="G7" s="230"/>
      <c r="H7" s="230"/>
      <c r="I7" s="231"/>
      <c r="J7" s="90"/>
      <c r="K7" s="214"/>
      <c r="L7" s="214"/>
      <c r="M7" s="214"/>
      <c r="N7" s="214"/>
    </row>
    <row r="8" spans="1:14" ht="15.75" customHeight="1" x14ac:dyDescent="0.25">
      <c r="A8" s="229"/>
      <c r="B8" s="230"/>
      <c r="C8" s="230"/>
      <c r="D8" s="230"/>
      <c r="E8" s="230"/>
      <c r="F8" s="230"/>
      <c r="G8" s="230"/>
      <c r="H8" s="230"/>
      <c r="I8" s="231"/>
      <c r="J8" s="90"/>
      <c r="K8" s="214"/>
      <c r="L8" s="214"/>
      <c r="M8" s="214"/>
      <c r="N8" s="214"/>
    </row>
    <row r="9" spans="1:14" ht="15.75" customHeight="1" x14ac:dyDescent="0.25">
      <c r="A9" s="229"/>
      <c r="B9" s="230"/>
      <c r="C9" s="230"/>
      <c r="D9" s="230"/>
      <c r="E9" s="230"/>
      <c r="F9" s="230"/>
      <c r="G9" s="230"/>
      <c r="H9" s="230"/>
      <c r="I9" s="231"/>
      <c r="J9" s="90"/>
      <c r="K9" s="214"/>
      <c r="L9" s="214"/>
      <c r="M9" s="214"/>
      <c r="N9" s="214"/>
    </row>
    <row r="10" spans="1:14" ht="15.75" customHeight="1" x14ac:dyDescent="0.25">
      <c r="A10" s="229"/>
      <c r="B10" s="230"/>
      <c r="C10" s="230"/>
      <c r="D10" s="230"/>
      <c r="E10" s="230"/>
      <c r="F10" s="230"/>
      <c r="G10" s="230"/>
      <c r="H10" s="230"/>
      <c r="I10" s="231"/>
      <c r="J10" s="90"/>
      <c r="K10" s="214"/>
      <c r="L10" s="214"/>
      <c r="M10" s="214"/>
      <c r="N10" s="214"/>
    </row>
    <row r="11" spans="1:14" ht="15.75" customHeight="1" x14ac:dyDescent="0.25">
      <c r="A11" s="229"/>
      <c r="B11" s="230"/>
      <c r="C11" s="230"/>
      <c r="D11" s="230"/>
      <c r="E11" s="230"/>
      <c r="F11" s="230"/>
      <c r="G11" s="230"/>
      <c r="H11" s="230"/>
      <c r="I11" s="231"/>
      <c r="J11" s="90"/>
      <c r="K11" s="214"/>
      <c r="L11" s="214"/>
      <c r="M11" s="214"/>
      <c r="N11" s="214"/>
    </row>
    <row r="12" spans="1:14" ht="15.75" customHeight="1" x14ac:dyDescent="0.25">
      <c r="A12" s="229"/>
      <c r="B12" s="230"/>
      <c r="C12" s="230"/>
      <c r="D12" s="230"/>
      <c r="E12" s="230"/>
      <c r="F12" s="230"/>
      <c r="G12" s="230"/>
      <c r="H12" s="230"/>
      <c r="I12" s="231"/>
      <c r="J12" s="90"/>
      <c r="K12" s="214"/>
      <c r="L12" s="214"/>
      <c r="M12" s="214"/>
      <c r="N12" s="214"/>
    </row>
    <row r="13" spans="1:14" ht="15.75" customHeight="1" x14ac:dyDescent="0.25">
      <c r="A13" s="229"/>
      <c r="B13" s="230"/>
      <c r="C13" s="230"/>
      <c r="D13" s="230"/>
      <c r="E13" s="230"/>
      <c r="F13" s="230"/>
      <c r="G13" s="230"/>
      <c r="H13" s="230"/>
      <c r="I13" s="231"/>
      <c r="J13" s="90"/>
      <c r="K13" s="214"/>
      <c r="L13" s="214"/>
      <c r="M13" s="214"/>
      <c r="N13" s="214"/>
    </row>
    <row r="14" spans="1:14" ht="15.75" customHeight="1" x14ac:dyDescent="0.25">
      <c r="A14" s="229"/>
      <c r="B14" s="230"/>
      <c r="C14" s="230"/>
      <c r="D14" s="230"/>
      <c r="E14" s="230"/>
      <c r="F14" s="230"/>
      <c r="G14" s="230"/>
      <c r="H14" s="230"/>
      <c r="I14" s="231"/>
      <c r="J14" s="90"/>
      <c r="K14" s="214"/>
      <c r="L14" s="214"/>
      <c r="M14" s="214"/>
      <c r="N14" s="214"/>
    </row>
    <row r="15" spans="1:14" ht="15.75" customHeight="1" x14ac:dyDescent="0.25">
      <c r="A15" s="229"/>
      <c r="B15" s="230"/>
      <c r="C15" s="230"/>
      <c r="D15" s="230"/>
      <c r="E15" s="230"/>
      <c r="F15" s="230"/>
      <c r="G15" s="230"/>
      <c r="H15" s="230"/>
      <c r="I15" s="231"/>
      <c r="J15" s="90"/>
      <c r="K15" s="90"/>
      <c r="L15" s="90"/>
      <c r="M15" s="90"/>
      <c r="N15" s="90"/>
    </row>
    <row r="16" spans="1:14" ht="15.75" customHeight="1" x14ac:dyDescent="0.25">
      <c r="A16" s="229"/>
      <c r="B16" s="230"/>
      <c r="C16" s="230"/>
      <c r="D16" s="230"/>
      <c r="E16" s="230"/>
      <c r="F16" s="230"/>
      <c r="G16" s="230"/>
      <c r="H16" s="230"/>
      <c r="I16" s="231"/>
      <c r="J16" s="90"/>
      <c r="K16" s="90"/>
      <c r="L16" s="90"/>
      <c r="M16" s="90"/>
      <c r="N16" s="90"/>
    </row>
    <row r="17" spans="1:14" ht="15.75" customHeight="1" x14ac:dyDescent="0.25">
      <c r="A17" s="229"/>
      <c r="B17" s="230"/>
      <c r="C17" s="230"/>
      <c r="D17" s="230"/>
      <c r="E17" s="230"/>
      <c r="F17" s="230"/>
      <c r="G17" s="230"/>
      <c r="H17" s="230"/>
      <c r="I17" s="231"/>
      <c r="J17" s="90"/>
      <c r="K17" s="90"/>
      <c r="L17" s="90"/>
      <c r="M17" s="90"/>
      <c r="N17" s="90"/>
    </row>
    <row r="18" spans="1:14" x14ac:dyDescent="0.25">
      <c r="A18" s="229"/>
      <c r="B18" s="230"/>
      <c r="C18" s="230"/>
      <c r="D18" s="230"/>
      <c r="E18" s="230"/>
      <c r="F18" s="230"/>
      <c r="G18" s="230"/>
      <c r="H18" s="230"/>
      <c r="I18" s="231"/>
      <c r="J18" s="90"/>
      <c r="K18" s="90"/>
      <c r="L18" s="90"/>
      <c r="M18" s="90"/>
      <c r="N18" s="90"/>
    </row>
    <row r="19" spans="1:14" x14ac:dyDescent="0.25">
      <c r="A19" s="229"/>
      <c r="B19" s="230"/>
      <c r="C19" s="230"/>
      <c r="D19" s="230"/>
      <c r="E19" s="230"/>
      <c r="F19" s="230"/>
      <c r="G19" s="230"/>
      <c r="H19" s="230"/>
      <c r="I19" s="231"/>
      <c r="J19" s="90"/>
      <c r="K19" s="90"/>
      <c r="L19" s="90"/>
      <c r="M19" s="90"/>
      <c r="N19" s="90"/>
    </row>
    <row r="20" spans="1:14" x14ac:dyDescent="0.25">
      <c r="A20" s="229"/>
      <c r="B20" s="230"/>
      <c r="C20" s="230"/>
      <c r="D20" s="230"/>
      <c r="E20" s="230"/>
      <c r="F20" s="230"/>
      <c r="G20" s="230"/>
      <c r="H20" s="230"/>
      <c r="I20" s="231"/>
      <c r="J20" s="90"/>
      <c r="K20" s="90"/>
      <c r="L20" s="90"/>
      <c r="M20" s="90"/>
      <c r="N20" s="90"/>
    </row>
    <row r="21" spans="1:14" x14ac:dyDescent="0.25">
      <c r="A21" s="229"/>
      <c r="B21" s="230"/>
      <c r="C21" s="230"/>
      <c r="D21" s="230"/>
      <c r="E21" s="230"/>
      <c r="F21" s="230"/>
      <c r="G21" s="230"/>
      <c r="H21" s="230"/>
      <c r="I21" s="231"/>
      <c r="J21" s="90"/>
      <c r="K21" s="90"/>
      <c r="L21" s="90"/>
      <c r="M21" s="90"/>
      <c r="N21" s="90"/>
    </row>
    <row r="22" spans="1:14" ht="15.45" customHeight="1" x14ac:dyDescent="0.25">
      <c r="A22" s="229"/>
      <c r="B22" s="230"/>
      <c r="C22" s="230"/>
      <c r="D22" s="230"/>
      <c r="E22" s="230"/>
      <c r="F22" s="230"/>
      <c r="G22" s="230"/>
      <c r="H22" s="230"/>
      <c r="I22" s="231"/>
      <c r="J22" s="90"/>
      <c r="K22" s="166"/>
      <c r="L22" s="166"/>
      <c r="M22" s="166"/>
      <c r="N22" s="166"/>
    </row>
    <row r="23" spans="1:14" x14ac:dyDescent="0.25">
      <c r="A23" s="229"/>
      <c r="B23" s="230"/>
      <c r="C23" s="230"/>
      <c r="D23" s="230"/>
      <c r="E23" s="230"/>
      <c r="F23" s="230"/>
      <c r="G23" s="230"/>
      <c r="H23" s="230"/>
      <c r="I23" s="231"/>
      <c r="J23" s="90"/>
      <c r="K23" s="166"/>
      <c r="L23" s="166"/>
      <c r="M23" s="166"/>
      <c r="N23" s="166"/>
    </row>
    <row r="24" spans="1:14" x14ac:dyDescent="0.25">
      <c r="A24" s="229"/>
      <c r="B24" s="230"/>
      <c r="C24" s="230"/>
      <c r="D24" s="230"/>
      <c r="E24" s="230"/>
      <c r="F24" s="230"/>
      <c r="G24" s="230"/>
      <c r="H24" s="230"/>
      <c r="I24" s="231"/>
      <c r="J24" s="90"/>
      <c r="K24" s="166"/>
      <c r="L24" s="166"/>
      <c r="M24" s="166"/>
      <c r="N24" s="166"/>
    </row>
    <row r="25" spans="1:14" x14ac:dyDescent="0.25">
      <c r="A25" s="229"/>
      <c r="B25" s="230"/>
      <c r="C25" s="230"/>
      <c r="D25" s="230"/>
      <c r="E25" s="230"/>
      <c r="F25" s="230"/>
      <c r="G25" s="230"/>
      <c r="H25" s="230"/>
      <c r="I25" s="231"/>
      <c r="J25" s="90"/>
      <c r="K25" s="166"/>
      <c r="L25" s="166"/>
      <c r="M25" s="166"/>
      <c r="N25" s="166"/>
    </row>
    <row r="26" spans="1:14" x14ac:dyDescent="0.25">
      <c r="A26" s="229"/>
      <c r="B26" s="230"/>
      <c r="C26" s="230"/>
      <c r="D26" s="230"/>
      <c r="E26" s="230"/>
      <c r="F26" s="230"/>
      <c r="G26" s="230"/>
      <c r="H26" s="230"/>
      <c r="I26" s="231"/>
      <c r="J26" s="90"/>
      <c r="K26" s="166"/>
      <c r="L26" s="166"/>
      <c r="M26" s="166"/>
      <c r="N26" s="166"/>
    </row>
    <row r="27" spans="1:14" x14ac:dyDescent="0.25">
      <c r="A27" s="232"/>
      <c r="B27" s="233"/>
      <c r="C27" s="233"/>
      <c r="D27" s="233"/>
      <c r="E27" s="233"/>
      <c r="F27" s="233"/>
      <c r="G27" s="233"/>
      <c r="H27" s="233"/>
      <c r="I27" s="234"/>
      <c r="J27" s="90"/>
      <c r="K27" s="166"/>
      <c r="L27" s="166"/>
      <c r="M27" s="166"/>
      <c r="N27" s="166"/>
    </row>
    <row r="28" spans="1:14" x14ac:dyDescent="0.25">
      <c r="A28" s="90"/>
      <c r="B28" s="90"/>
      <c r="C28" s="90"/>
      <c r="D28" s="90"/>
      <c r="E28" s="90"/>
      <c r="F28" s="90"/>
      <c r="G28" s="90"/>
      <c r="H28" s="90"/>
      <c r="I28" s="90"/>
      <c r="J28" s="90"/>
      <c r="K28" s="166"/>
      <c r="L28" s="166"/>
      <c r="M28" s="166"/>
      <c r="N28" s="166"/>
    </row>
    <row r="29" spans="1:14" x14ac:dyDescent="0.25">
      <c r="A29" s="52" t="s">
        <v>146</v>
      </c>
      <c r="B29" s="124"/>
      <c r="C29" s="124"/>
      <c r="D29" s="124"/>
      <c r="E29" s="124"/>
      <c r="F29" s="124"/>
      <c r="G29" s="124"/>
      <c r="H29" s="124"/>
      <c r="I29" s="125"/>
      <c r="J29" s="90"/>
      <c r="K29" s="166"/>
      <c r="L29" s="166"/>
      <c r="M29" s="166"/>
      <c r="N29" s="166"/>
    </row>
    <row r="30" spans="1:14" x14ac:dyDescent="0.25">
      <c r="A30" s="126"/>
      <c r="B30" s="127"/>
      <c r="C30" s="127"/>
      <c r="D30" s="127"/>
      <c r="E30" s="127"/>
      <c r="F30" s="127"/>
      <c r="G30" s="127"/>
      <c r="H30" s="127"/>
      <c r="I30" s="128"/>
      <c r="J30" s="90"/>
      <c r="K30" s="166"/>
      <c r="L30" s="166"/>
      <c r="M30" s="166"/>
      <c r="N30" s="166"/>
    </row>
    <row r="31" spans="1:14" x14ac:dyDescent="0.25">
      <c r="A31" s="205" t="s">
        <v>147</v>
      </c>
      <c r="B31" s="206"/>
      <c r="C31" s="206"/>
      <c r="D31" s="206"/>
      <c r="E31" s="206"/>
      <c r="F31" s="206"/>
      <c r="G31" s="206"/>
      <c r="H31" s="206"/>
      <c r="I31" s="207"/>
      <c r="J31" s="90"/>
      <c r="K31" s="214" t="s">
        <v>148</v>
      </c>
      <c r="L31" s="214"/>
      <c r="M31" s="214"/>
      <c r="N31" s="214"/>
    </row>
    <row r="32" spans="1:14" x14ac:dyDescent="0.25">
      <c r="A32" s="208"/>
      <c r="B32" s="209"/>
      <c r="C32" s="209"/>
      <c r="D32" s="209"/>
      <c r="E32" s="209"/>
      <c r="F32" s="209"/>
      <c r="G32" s="209"/>
      <c r="H32" s="209"/>
      <c r="I32" s="210"/>
      <c r="J32" s="90"/>
      <c r="K32" s="214"/>
      <c r="L32" s="214"/>
      <c r="M32" s="214"/>
      <c r="N32" s="214"/>
    </row>
    <row r="33" spans="1:14" x14ac:dyDescent="0.25">
      <c r="A33" s="208"/>
      <c r="B33" s="209"/>
      <c r="C33" s="209"/>
      <c r="D33" s="209"/>
      <c r="E33" s="209"/>
      <c r="F33" s="209"/>
      <c r="G33" s="209"/>
      <c r="H33" s="209"/>
      <c r="I33" s="210"/>
      <c r="J33" s="90"/>
      <c r="K33" s="214"/>
      <c r="L33" s="214"/>
      <c r="M33" s="214"/>
      <c r="N33" s="214"/>
    </row>
    <row r="34" spans="1:14" x14ac:dyDescent="0.25">
      <c r="A34" s="208"/>
      <c r="B34" s="209"/>
      <c r="C34" s="209"/>
      <c r="D34" s="209"/>
      <c r="E34" s="209"/>
      <c r="F34" s="209"/>
      <c r="G34" s="209"/>
      <c r="H34" s="209"/>
      <c r="I34" s="210"/>
      <c r="J34" s="90"/>
      <c r="K34" s="214"/>
      <c r="L34" s="214"/>
      <c r="M34" s="214"/>
      <c r="N34" s="214"/>
    </row>
    <row r="35" spans="1:14" x14ac:dyDescent="0.25">
      <c r="A35" s="208"/>
      <c r="B35" s="209"/>
      <c r="C35" s="209"/>
      <c r="D35" s="209"/>
      <c r="E35" s="209"/>
      <c r="F35" s="209"/>
      <c r="G35" s="209"/>
      <c r="H35" s="209"/>
      <c r="I35" s="210"/>
      <c r="J35" s="90"/>
      <c r="K35" s="214"/>
      <c r="L35" s="214"/>
      <c r="M35" s="214"/>
      <c r="N35" s="214"/>
    </row>
    <row r="36" spans="1:14" x14ac:dyDescent="0.25">
      <c r="A36" s="208"/>
      <c r="B36" s="209"/>
      <c r="C36" s="209"/>
      <c r="D36" s="209"/>
      <c r="E36" s="209"/>
      <c r="F36" s="209"/>
      <c r="G36" s="209"/>
      <c r="H36" s="209"/>
      <c r="I36" s="210"/>
      <c r="J36" s="90"/>
      <c r="K36" s="214"/>
      <c r="L36" s="214"/>
      <c r="M36" s="214"/>
      <c r="N36" s="214"/>
    </row>
    <row r="37" spans="1:14" x14ac:dyDescent="0.25">
      <c r="A37" s="208"/>
      <c r="B37" s="209"/>
      <c r="C37" s="209"/>
      <c r="D37" s="209"/>
      <c r="E37" s="209"/>
      <c r="F37" s="209"/>
      <c r="G37" s="209"/>
      <c r="H37" s="209"/>
      <c r="I37" s="210"/>
      <c r="J37" s="90"/>
      <c r="K37" s="214"/>
      <c r="L37" s="214"/>
      <c r="M37" s="214"/>
      <c r="N37" s="214"/>
    </row>
    <row r="38" spans="1:14" ht="14.25" customHeight="1" x14ac:dyDescent="0.25">
      <c r="A38" s="208"/>
      <c r="B38" s="209"/>
      <c r="C38" s="209"/>
      <c r="D38" s="209"/>
      <c r="E38" s="209"/>
      <c r="F38" s="209"/>
      <c r="G38" s="209"/>
      <c r="H38" s="209"/>
      <c r="I38" s="210"/>
      <c r="J38" s="90"/>
      <c r="K38" s="214"/>
      <c r="L38" s="214"/>
      <c r="M38" s="214"/>
      <c r="N38" s="214"/>
    </row>
    <row r="39" spans="1:14" x14ac:dyDescent="0.25">
      <c r="A39" s="208"/>
      <c r="B39" s="209"/>
      <c r="C39" s="209"/>
      <c r="D39" s="209"/>
      <c r="E39" s="209"/>
      <c r="F39" s="209"/>
      <c r="G39" s="209"/>
      <c r="H39" s="209"/>
      <c r="I39" s="210"/>
      <c r="J39" s="90"/>
      <c r="K39" s="214"/>
      <c r="L39" s="214"/>
      <c r="M39" s="214"/>
      <c r="N39" s="214"/>
    </row>
    <row r="40" spans="1:14" x14ac:dyDescent="0.25">
      <c r="A40" s="208"/>
      <c r="B40" s="209"/>
      <c r="C40" s="209"/>
      <c r="D40" s="209"/>
      <c r="E40" s="209"/>
      <c r="F40" s="209"/>
      <c r="G40" s="209"/>
      <c r="H40" s="209"/>
      <c r="I40" s="210"/>
      <c r="J40" s="90"/>
      <c r="K40" s="214"/>
      <c r="L40" s="214"/>
      <c r="M40" s="214"/>
      <c r="N40" s="214"/>
    </row>
    <row r="41" spans="1:14" x14ac:dyDescent="0.25">
      <c r="A41" s="208"/>
      <c r="B41" s="209"/>
      <c r="C41" s="209"/>
      <c r="D41" s="209"/>
      <c r="E41" s="209"/>
      <c r="F41" s="209"/>
      <c r="G41" s="209"/>
      <c r="H41" s="209"/>
      <c r="I41" s="210"/>
      <c r="J41" s="90"/>
      <c r="K41" s="90"/>
      <c r="L41" s="90"/>
      <c r="M41" s="90"/>
      <c r="N41" s="90"/>
    </row>
    <row r="42" spans="1:14" x14ac:dyDescent="0.25">
      <c r="A42" s="208"/>
      <c r="B42" s="209"/>
      <c r="C42" s="209"/>
      <c r="D42" s="209"/>
      <c r="E42" s="209"/>
      <c r="F42" s="209"/>
      <c r="G42" s="209"/>
      <c r="H42" s="209"/>
      <c r="I42" s="210"/>
      <c r="J42" s="90"/>
      <c r="K42" s="90"/>
      <c r="L42" s="90"/>
      <c r="M42" s="90"/>
      <c r="N42" s="90"/>
    </row>
    <row r="43" spans="1:14" x14ac:dyDescent="0.25">
      <c r="A43" s="208"/>
      <c r="B43" s="209"/>
      <c r="C43" s="209"/>
      <c r="D43" s="209"/>
      <c r="E43" s="209"/>
      <c r="F43" s="209"/>
      <c r="G43" s="209"/>
      <c r="H43" s="209"/>
      <c r="I43" s="210"/>
      <c r="J43" s="90"/>
      <c r="K43" s="90"/>
      <c r="L43" s="90"/>
      <c r="M43" s="90"/>
      <c r="N43" s="90"/>
    </row>
    <row r="44" spans="1:14" x14ac:dyDescent="0.25">
      <c r="A44" s="208"/>
      <c r="B44" s="209"/>
      <c r="C44" s="209"/>
      <c r="D44" s="209"/>
      <c r="E44" s="209"/>
      <c r="F44" s="209"/>
      <c r="G44" s="209"/>
      <c r="H44" s="209"/>
      <c r="I44" s="210"/>
      <c r="J44" s="90"/>
      <c r="K44" s="90"/>
      <c r="L44" s="90"/>
      <c r="M44" s="90"/>
      <c r="N44" s="90"/>
    </row>
    <row r="45" spans="1:14" x14ac:dyDescent="0.25">
      <c r="A45" s="208"/>
      <c r="B45" s="209"/>
      <c r="C45" s="209"/>
      <c r="D45" s="209"/>
      <c r="E45" s="209"/>
      <c r="F45" s="209"/>
      <c r="G45" s="209"/>
      <c r="H45" s="209"/>
      <c r="I45" s="210"/>
      <c r="J45" s="90"/>
      <c r="K45" s="90"/>
      <c r="L45" s="90"/>
      <c r="M45" s="90"/>
      <c r="N45" s="90"/>
    </row>
    <row r="46" spans="1:14" x14ac:dyDescent="0.25">
      <c r="A46" s="208"/>
      <c r="B46" s="209"/>
      <c r="C46" s="209"/>
      <c r="D46" s="209"/>
      <c r="E46" s="209"/>
      <c r="F46" s="209"/>
      <c r="G46" s="209"/>
      <c r="H46" s="209"/>
      <c r="I46" s="210"/>
      <c r="J46" s="90"/>
      <c r="K46" s="90"/>
      <c r="L46" s="90"/>
      <c r="M46" s="90"/>
      <c r="N46" s="90"/>
    </row>
    <row r="47" spans="1:14" x14ac:dyDescent="0.25">
      <c r="A47" s="208"/>
      <c r="B47" s="209"/>
      <c r="C47" s="209"/>
      <c r="D47" s="209"/>
      <c r="E47" s="209"/>
      <c r="F47" s="209"/>
      <c r="G47" s="209"/>
      <c r="H47" s="209"/>
      <c r="I47" s="210"/>
      <c r="J47" s="90"/>
      <c r="K47" s="90"/>
      <c r="L47" s="90"/>
      <c r="M47" s="90"/>
      <c r="N47" s="90"/>
    </row>
    <row r="48" spans="1:14" x14ac:dyDescent="0.25">
      <c r="A48" s="208"/>
      <c r="B48" s="209"/>
      <c r="C48" s="209"/>
      <c r="D48" s="209"/>
      <c r="E48" s="209"/>
      <c r="F48" s="209"/>
      <c r="G48" s="209"/>
      <c r="H48" s="209"/>
      <c r="I48" s="210"/>
      <c r="J48" s="90"/>
      <c r="K48" s="90"/>
      <c r="L48" s="90"/>
      <c r="M48" s="90"/>
      <c r="N48" s="90"/>
    </row>
    <row r="49" spans="1:9" x14ac:dyDescent="0.25">
      <c r="A49" s="208"/>
      <c r="B49" s="209"/>
      <c r="C49" s="209"/>
      <c r="D49" s="209"/>
      <c r="E49" s="209"/>
      <c r="F49" s="209"/>
      <c r="G49" s="209"/>
      <c r="H49" s="209"/>
      <c r="I49" s="210"/>
    </row>
    <row r="50" spans="1:9" x14ac:dyDescent="0.25">
      <c r="A50" s="208"/>
      <c r="B50" s="209"/>
      <c r="C50" s="209"/>
      <c r="D50" s="209"/>
      <c r="E50" s="209"/>
      <c r="F50" s="209"/>
      <c r="G50" s="209"/>
      <c r="H50" s="209"/>
      <c r="I50" s="210"/>
    </row>
    <row r="51" spans="1:9" x14ac:dyDescent="0.25">
      <c r="A51" s="208"/>
      <c r="B51" s="209"/>
      <c r="C51" s="209"/>
      <c r="D51" s="209"/>
      <c r="E51" s="209"/>
      <c r="F51" s="209"/>
      <c r="G51" s="209"/>
      <c r="H51" s="209"/>
      <c r="I51" s="210"/>
    </row>
    <row r="52" spans="1:9" x14ac:dyDescent="0.25">
      <c r="A52" s="211"/>
      <c r="B52" s="212"/>
      <c r="C52" s="212"/>
      <c r="D52" s="212"/>
      <c r="E52" s="212"/>
      <c r="F52" s="212"/>
      <c r="G52" s="212"/>
      <c r="H52" s="212"/>
      <c r="I52" s="213"/>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3"/>
  <sheetViews>
    <sheetView showGridLines="0" zoomScaleNormal="100" workbookViewId="0">
      <selection activeCell="R10" sqref="R10"/>
    </sheetView>
  </sheetViews>
  <sheetFormatPr defaultColWidth="9.33203125" defaultRowHeight="15" x14ac:dyDescent="0.25"/>
  <cols>
    <col min="1" max="7" width="9.33203125" style="2"/>
    <col min="8" max="8" width="11.5546875" style="2" bestFit="1" customWidth="1"/>
    <col min="9" max="9" width="9.5546875" style="2" bestFit="1" customWidth="1"/>
    <col min="10" max="16384" width="9.33203125" style="2"/>
  </cols>
  <sheetData>
    <row r="1" spans="1:10" ht="15.6" x14ac:dyDescent="0.3">
      <c r="A1" s="34">
        <f>+'Cover Page'!C39</f>
        <v>2022</v>
      </c>
      <c r="B1" s="35" t="s">
        <v>149</v>
      </c>
      <c r="C1" s="35"/>
      <c r="D1" s="35"/>
      <c r="E1" s="35"/>
      <c r="F1" s="35"/>
      <c r="G1" s="35"/>
      <c r="H1" s="35"/>
      <c r="I1" s="35"/>
      <c r="J1" s="35"/>
    </row>
    <row r="2" spans="1:10" ht="8.25" customHeight="1" x14ac:dyDescent="0.25">
      <c r="A2" s="90"/>
      <c r="B2" s="90"/>
      <c r="C2" s="90"/>
      <c r="D2" s="90"/>
      <c r="E2" s="90"/>
      <c r="F2" s="90"/>
      <c r="G2" s="90"/>
      <c r="H2" s="90"/>
      <c r="I2" s="90"/>
      <c r="J2" s="90"/>
    </row>
    <row r="3" spans="1:10" s="3" customFormat="1" ht="13.8" x14ac:dyDescent="0.25">
      <c r="A3" s="239" t="str">
        <f>+'Cover Page'!B31</f>
        <v>Permit EPR/KP3936ZB</v>
      </c>
      <c r="B3" s="239"/>
      <c r="C3" s="239"/>
      <c r="D3" s="239"/>
      <c r="E3" s="239"/>
      <c r="F3" s="3" t="s">
        <v>150</v>
      </c>
      <c r="G3" s="240">
        <f>+'Cover Page'!B37:I37</f>
        <v>0</v>
      </c>
      <c r="H3" s="240"/>
      <c r="I3" s="240"/>
    </row>
    <row r="4" spans="1:10" s="3" customFormat="1" ht="13.8" x14ac:dyDescent="0.25">
      <c r="A4" s="3" t="s">
        <v>151</v>
      </c>
      <c r="B4" s="239" t="str">
        <f>+'Cover Page'!B33:I33</f>
        <v>Tilbury Green Power Plant</v>
      </c>
      <c r="C4" s="239"/>
      <c r="D4" s="239"/>
      <c r="E4" s="239"/>
      <c r="F4" s="3" t="s">
        <v>152</v>
      </c>
      <c r="G4" s="3" t="s">
        <v>153</v>
      </c>
    </row>
    <row r="5" spans="1:10" s="3" customFormat="1" ht="6.75" customHeight="1" x14ac:dyDescent="0.25"/>
    <row r="6" spans="1:10" s="3" customFormat="1" ht="15.75" customHeight="1" x14ac:dyDescent="0.25">
      <c r="A6" s="3" t="s">
        <v>154</v>
      </c>
      <c r="D6" s="241">
        <v>44562</v>
      </c>
      <c r="E6" s="241"/>
      <c r="F6" s="36" t="s">
        <v>155</v>
      </c>
      <c r="G6" s="241">
        <v>44926</v>
      </c>
      <c r="H6" s="241"/>
    </row>
    <row r="7" spans="1:10" s="3" customFormat="1" ht="7.5" customHeight="1" x14ac:dyDescent="0.25"/>
    <row r="8" spans="1:10" s="3" customFormat="1" ht="15.6" x14ac:dyDescent="0.3">
      <c r="A8" s="9">
        <f>+A1</f>
        <v>2022</v>
      </c>
      <c r="B8" s="35" t="s">
        <v>156</v>
      </c>
      <c r="C8"/>
      <c r="D8"/>
      <c r="E8"/>
      <c r="F8"/>
      <c r="G8"/>
    </row>
    <row r="9" spans="1:10" s="3" customFormat="1" ht="28.5" customHeight="1" x14ac:dyDescent="0.25">
      <c r="A9" s="242" t="s">
        <v>157</v>
      </c>
      <c r="B9" s="242"/>
      <c r="C9" s="242" t="s">
        <v>158</v>
      </c>
      <c r="D9" s="242"/>
      <c r="E9" s="242" t="s">
        <v>159</v>
      </c>
      <c r="F9" s="242"/>
      <c r="G9" s="242" t="s">
        <v>160</v>
      </c>
      <c r="H9" s="242"/>
      <c r="I9" s="242" t="s">
        <v>161</v>
      </c>
      <c r="J9" s="242"/>
    </row>
    <row r="10" spans="1:10" s="3" customFormat="1" ht="14.25" customHeight="1" x14ac:dyDescent="0.25">
      <c r="A10" s="235" t="s">
        <v>162</v>
      </c>
      <c r="B10" s="235"/>
      <c r="C10" s="235"/>
      <c r="D10" s="235"/>
      <c r="E10" s="235"/>
      <c r="F10" s="235"/>
      <c r="G10" s="235"/>
      <c r="H10" s="235"/>
      <c r="I10" s="235"/>
      <c r="J10" s="235"/>
    </row>
    <row r="11" spans="1:10" s="3" customFormat="1" ht="14.25" customHeight="1" x14ac:dyDescent="0.25">
      <c r="A11" s="235" t="s">
        <v>163</v>
      </c>
      <c r="B11" s="235"/>
      <c r="C11" s="236" t="s">
        <v>164</v>
      </c>
      <c r="D11" s="236"/>
      <c r="E11" s="237">
        <v>4972</v>
      </c>
      <c r="F11" s="237"/>
      <c r="G11" s="237">
        <v>0</v>
      </c>
      <c r="H11" s="237"/>
      <c r="I11" s="238">
        <f>IF((E11+G11)&gt;0,(E11+G11)/'Operational Data'!$G$18, "-")</f>
        <v>2.1339147378314927E-2</v>
      </c>
      <c r="J11" s="238"/>
    </row>
    <row r="12" spans="1:10" s="3" customFormat="1" ht="14.25" customHeight="1" x14ac:dyDescent="0.25">
      <c r="A12" s="259"/>
      <c r="B12" s="248"/>
      <c r="C12" s="268" t="s">
        <v>165</v>
      </c>
      <c r="D12" s="269"/>
      <c r="E12" s="270">
        <v>0</v>
      </c>
      <c r="F12" s="271"/>
      <c r="G12" s="270">
        <v>0</v>
      </c>
      <c r="H12" s="271"/>
      <c r="I12" s="238" t="str">
        <f>IF((E12+G12)&gt;0,(E12+G12)/'Operational Data'!$G$18, "-")</f>
        <v>-</v>
      </c>
      <c r="J12" s="238"/>
    </row>
    <row r="13" spans="1:10" s="3" customFormat="1" ht="14.25" customHeight="1" x14ac:dyDescent="0.25">
      <c r="A13" s="235" t="s">
        <v>166</v>
      </c>
      <c r="B13" s="235"/>
      <c r="C13" s="236" t="s">
        <v>165</v>
      </c>
      <c r="D13" s="236"/>
      <c r="E13" s="237">
        <v>15659</v>
      </c>
      <c r="F13" s="237"/>
      <c r="G13" s="237">
        <v>0</v>
      </c>
      <c r="H13" s="237"/>
      <c r="I13" s="238">
        <f>IF((E13+G13)&gt;0,(E13+G13)/'Operational Data'!$G$18, "-")</f>
        <v>6.7206297022734007E-2</v>
      </c>
      <c r="J13" s="238"/>
    </row>
    <row r="14" spans="1:10" s="3" customFormat="1" ht="14.25" customHeight="1" x14ac:dyDescent="0.25">
      <c r="A14" s="243"/>
      <c r="B14" s="243"/>
      <c r="C14" s="236"/>
      <c r="D14" s="236"/>
      <c r="E14" s="237"/>
      <c r="F14" s="237"/>
      <c r="G14" s="237"/>
      <c r="H14" s="237"/>
      <c r="I14" s="238" t="str">
        <f>IF((E14+G14)&gt;0,(E14+G14)/'Operational Data'!$G$18, "-")</f>
        <v>-</v>
      </c>
      <c r="J14" s="238"/>
    </row>
    <row r="15" spans="1:10" s="3" customFormat="1" ht="14.25" customHeight="1" x14ac:dyDescent="0.25">
      <c r="A15" s="243"/>
      <c r="B15" s="243"/>
      <c r="C15" s="236"/>
      <c r="D15" s="236"/>
      <c r="E15" s="237"/>
      <c r="F15" s="237"/>
      <c r="G15" s="237"/>
      <c r="H15" s="237"/>
      <c r="I15" s="238" t="str">
        <f>IF((E15+G15)&gt;0,(E15+G15)/'Operational Data'!$G$18, "-")</f>
        <v>-</v>
      </c>
      <c r="J15" s="238"/>
    </row>
    <row r="16" spans="1:10" s="3" customFormat="1" ht="14.25" customHeight="1" x14ac:dyDescent="0.25">
      <c r="A16" s="250" t="s">
        <v>167</v>
      </c>
      <c r="B16" s="250"/>
      <c r="C16" s="250"/>
      <c r="D16" s="250"/>
      <c r="E16" s="251">
        <f>SUM(E11:F15)</f>
        <v>20631</v>
      </c>
      <c r="F16" s="251"/>
      <c r="G16" s="251">
        <f>SUM(G11:H15)</f>
        <v>0</v>
      </c>
      <c r="H16" s="251"/>
      <c r="I16" s="238">
        <f>IF((E16+G16)&gt;0,(E16+G16)/'Operational Data'!$G$18, "-")</f>
        <v>8.8545444401048931E-2</v>
      </c>
      <c r="J16" s="238"/>
    </row>
    <row r="17" spans="1:10" s="3" customFormat="1" ht="14.25" customHeight="1" x14ac:dyDescent="0.25">
      <c r="A17" s="244"/>
      <c r="B17" s="245"/>
      <c r="C17" s="245"/>
      <c r="D17" s="245"/>
      <c r="E17" s="246"/>
      <c r="F17" s="246"/>
      <c r="G17" s="246"/>
      <c r="H17" s="246"/>
      <c r="I17" s="247"/>
      <c r="J17" s="248"/>
    </row>
    <row r="18" spans="1:10" s="3" customFormat="1" ht="14.25" customHeight="1" x14ac:dyDescent="0.25">
      <c r="A18" s="249" t="s">
        <v>168</v>
      </c>
      <c r="B18" s="249"/>
      <c r="C18" s="249"/>
      <c r="D18" s="249"/>
      <c r="E18" s="249"/>
      <c r="F18" s="249"/>
      <c r="G18" s="249"/>
      <c r="H18" s="249"/>
      <c r="I18" s="249"/>
      <c r="J18" s="249"/>
    </row>
    <row r="19" spans="1:10" ht="14.25" customHeight="1" x14ac:dyDescent="0.25">
      <c r="A19" s="235" t="s">
        <v>166</v>
      </c>
      <c r="B19" s="235"/>
      <c r="C19" s="236"/>
      <c r="D19" s="236"/>
      <c r="E19" s="237">
        <v>0</v>
      </c>
      <c r="F19" s="237"/>
      <c r="G19" s="237">
        <v>0</v>
      </c>
      <c r="H19" s="237"/>
      <c r="I19" s="238" t="str">
        <f>IF((E19+G19)&gt;0,(E19+G19)/'Operational Data'!$G$18, "-")</f>
        <v>-</v>
      </c>
      <c r="J19" s="238"/>
    </row>
    <row r="20" spans="1:10" s="3" customFormat="1" ht="14.25" customHeight="1" x14ac:dyDescent="0.25">
      <c r="A20" s="235" t="s">
        <v>169</v>
      </c>
      <c r="B20" s="235"/>
      <c r="C20" s="236" t="s">
        <v>83</v>
      </c>
      <c r="D20" s="236"/>
      <c r="E20" s="237">
        <v>80.48</v>
      </c>
      <c r="F20" s="237"/>
      <c r="G20" s="237">
        <v>0</v>
      </c>
      <c r="H20" s="237"/>
      <c r="I20" s="238">
        <f>IF((E20+G20)&gt;0,(E20+G20)/'Operational Data'!$G$18, "-")</f>
        <v>3.4540920776484019E-4</v>
      </c>
      <c r="J20" s="238"/>
    </row>
    <row r="21" spans="1:10" s="3" customFormat="1" ht="14.25" customHeight="1" x14ac:dyDescent="0.25">
      <c r="A21" s="235" t="s">
        <v>170</v>
      </c>
      <c r="B21" s="235"/>
      <c r="C21" s="236"/>
      <c r="D21" s="236"/>
      <c r="E21" s="237">
        <v>0</v>
      </c>
      <c r="F21" s="237"/>
      <c r="G21" s="237">
        <v>0</v>
      </c>
      <c r="H21" s="237"/>
      <c r="I21" s="238" t="str">
        <f>IF((E21+G21)&gt;0,(E21+G21)/'Operational Data'!$G$18, "-")</f>
        <v>-</v>
      </c>
      <c r="J21" s="238"/>
    </row>
    <row r="22" spans="1:10" s="3" customFormat="1" ht="14.25" customHeight="1" x14ac:dyDescent="0.25">
      <c r="A22" s="252"/>
      <c r="B22" s="252"/>
      <c r="C22" s="236"/>
      <c r="D22" s="236"/>
      <c r="E22" s="237"/>
      <c r="F22" s="237"/>
      <c r="G22" s="237"/>
      <c r="H22" s="237"/>
      <c r="I22" s="238" t="str">
        <f>IF((E22+G22)&gt;0,(E22+G22)/'Operational Data'!$G$18, "-")</f>
        <v>-</v>
      </c>
      <c r="J22" s="238"/>
    </row>
    <row r="23" spans="1:10" s="3" customFormat="1" ht="14.25" customHeight="1" x14ac:dyDescent="0.25">
      <c r="A23" s="252"/>
      <c r="B23" s="252"/>
      <c r="C23" s="236"/>
      <c r="D23" s="236"/>
      <c r="E23" s="237"/>
      <c r="F23" s="237"/>
      <c r="G23" s="237"/>
      <c r="H23" s="237"/>
      <c r="I23" s="238" t="str">
        <f>IF((E23+G23)&gt;0,(E23+G23)/'Operational Data'!$G$18, "-")</f>
        <v>-</v>
      </c>
      <c r="J23" s="238"/>
    </row>
    <row r="24" spans="1:10" s="3" customFormat="1" ht="14.25" customHeight="1" x14ac:dyDescent="0.25">
      <c r="A24" s="258" t="s">
        <v>171</v>
      </c>
      <c r="B24" s="258"/>
      <c r="C24" s="258"/>
      <c r="D24" s="258"/>
      <c r="E24" s="251">
        <f>SUM(E19:F23)</f>
        <v>80.48</v>
      </c>
      <c r="F24" s="251"/>
      <c r="G24" s="251">
        <f>SUM(G19:H23)</f>
        <v>0</v>
      </c>
      <c r="H24" s="251"/>
      <c r="I24" s="238">
        <f>IF((E24+G24)&gt;0,(E24+G24)/'Operational Data'!$G$18, "-")</f>
        <v>3.4540920776484019E-4</v>
      </c>
      <c r="J24" s="238"/>
    </row>
    <row r="25" spans="1:10" s="3" customFormat="1" ht="14.25" customHeight="1" x14ac:dyDescent="0.25">
      <c r="A25" s="253" t="s">
        <v>172</v>
      </c>
      <c r="B25" s="253"/>
      <c r="C25" s="253"/>
      <c r="D25" s="253"/>
      <c r="E25" s="254">
        <f>+E24+E16</f>
        <v>20711.48</v>
      </c>
      <c r="F25" s="254"/>
      <c r="G25" s="254">
        <f>+G24+G16</f>
        <v>0</v>
      </c>
      <c r="H25" s="254"/>
      <c r="I25" s="255">
        <f>IF((E25+G25)&gt;0,(E25+G25)/'Operational Data'!$G$18, "-")</f>
        <v>8.8890853608813769E-2</v>
      </c>
      <c r="J25" s="255"/>
    </row>
    <row r="26" spans="1:10" s="3" customFormat="1" ht="8.25" customHeight="1" x14ac:dyDescent="0.3">
      <c r="A26" s="167"/>
      <c r="B26"/>
      <c r="C26"/>
      <c r="D26"/>
      <c r="E26"/>
      <c r="F26"/>
      <c r="G26"/>
    </row>
    <row r="27" spans="1:10" s="3" customFormat="1" ht="14.25" customHeight="1" x14ac:dyDescent="0.25">
      <c r="A27" s="256" t="s">
        <v>173</v>
      </c>
      <c r="B27" s="256"/>
      <c r="C27" s="256"/>
      <c r="D27" s="256"/>
      <c r="E27" s="256"/>
      <c r="F27" s="256"/>
      <c r="G27" s="256"/>
      <c r="H27" s="256"/>
      <c r="I27" s="256"/>
      <c r="J27" s="256"/>
    </row>
    <row r="28" spans="1:10" s="3" customFormat="1" ht="14.25" customHeight="1" x14ac:dyDescent="0.25">
      <c r="A28" s="257" t="s">
        <v>174</v>
      </c>
      <c r="B28" s="257"/>
      <c r="C28" s="257"/>
      <c r="D28" s="257"/>
      <c r="E28" s="257"/>
      <c r="F28" s="257"/>
      <c r="G28" s="257"/>
      <c r="H28" s="257"/>
      <c r="I28" s="257"/>
      <c r="J28" s="257"/>
    </row>
    <row r="29" spans="1:10" s="3" customFormat="1" ht="14.25" customHeight="1" x14ac:dyDescent="0.25">
      <c r="A29" s="257"/>
      <c r="B29" s="257"/>
      <c r="C29" s="257"/>
      <c r="D29" s="257"/>
      <c r="E29" s="257"/>
      <c r="F29" s="257"/>
      <c r="G29" s="257"/>
      <c r="H29" s="257"/>
      <c r="I29" s="257"/>
      <c r="J29" s="257"/>
    </row>
    <row r="30" spans="1:10" s="3" customFormat="1" ht="32.25" customHeight="1" x14ac:dyDescent="0.25">
      <c r="A30" s="257"/>
      <c r="B30" s="257"/>
      <c r="C30" s="257"/>
      <c r="D30" s="257"/>
      <c r="E30" s="257"/>
      <c r="F30" s="257"/>
      <c r="G30" s="257"/>
      <c r="H30" s="257"/>
      <c r="I30" s="257"/>
      <c r="J30" s="257"/>
    </row>
    <row r="31" spans="1:10" s="3" customFormat="1" ht="14.25" customHeight="1" x14ac:dyDescent="0.3">
      <c r="A31" s="167"/>
      <c r="B31"/>
      <c r="C31"/>
      <c r="D31"/>
      <c r="E31"/>
      <c r="F31"/>
      <c r="G31"/>
    </row>
    <row r="32" spans="1:10" s="3" customFormat="1" ht="14.25" customHeight="1" x14ac:dyDescent="0.3">
      <c r="A32" s="1">
        <f>+A1</f>
        <v>2022</v>
      </c>
      <c r="B32" s="35" t="s">
        <v>175</v>
      </c>
      <c r="C32" s="35"/>
      <c r="D32" s="35"/>
      <c r="E32" s="35"/>
      <c r="F32" s="35"/>
    </row>
    <row r="33" spans="1:10" s="3" customFormat="1" ht="24.75" customHeight="1" x14ac:dyDescent="0.25">
      <c r="A33" s="262" t="s">
        <v>176</v>
      </c>
      <c r="B33" s="263"/>
      <c r="C33" s="263"/>
      <c r="D33" s="264"/>
      <c r="E33" s="39" t="s">
        <v>177</v>
      </c>
      <c r="F33" s="40"/>
      <c r="G33" s="41" t="s">
        <v>74</v>
      </c>
      <c r="H33" s="265" t="s">
        <v>178</v>
      </c>
      <c r="I33" s="266"/>
      <c r="J33" s="42" t="s">
        <v>74</v>
      </c>
    </row>
    <row r="34" spans="1:10" s="3" customFormat="1" ht="14.25" customHeight="1" x14ac:dyDescent="0.25">
      <c r="A34" s="244" t="s">
        <v>115</v>
      </c>
      <c r="B34" s="245"/>
      <c r="C34" s="245"/>
      <c r="D34" s="267"/>
      <c r="E34" s="259">
        <f>+'Operational Data'!G41</f>
        <v>64667</v>
      </c>
      <c r="F34" s="248"/>
      <c r="G34" s="102" t="s">
        <v>116</v>
      </c>
      <c r="H34" s="260">
        <f>IF(E34&gt;0,E34/'Operational Data'!$G$18,"-")</f>
        <v>0.27754196369941503</v>
      </c>
      <c r="I34" s="261"/>
      <c r="J34" s="102" t="s">
        <v>179</v>
      </c>
    </row>
    <row r="35" spans="1:10" s="3" customFormat="1" ht="14.25" customHeight="1" x14ac:dyDescent="0.25">
      <c r="A35" s="244" t="s">
        <v>180</v>
      </c>
      <c r="B35" s="245"/>
      <c r="C35" s="245"/>
      <c r="D35" s="267"/>
      <c r="E35" s="259">
        <f>+'Operational Data'!G42+'Operational Data'!G41</f>
        <v>64667</v>
      </c>
      <c r="F35" s="248"/>
      <c r="G35" s="102" t="s">
        <v>116</v>
      </c>
      <c r="H35" s="260">
        <f>IF(E35&gt;0,E35/'Operational Data'!$G$18,"-")</f>
        <v>0.27754196369941503</v>
      </c>
      <c r="I35" s="261"/>
      <c r="J35" s="102" t="s">
        <v>179</v>
      </c>
    </row>
    <row r="36" spans="1:10" s="3" customFormat="1" ht="14.25" customHeight="1" x14ac:dyDescent="0.25">
      <c r="A36" s="244" t="s">
        <v>181</v>
      </c>
      <c r="B36" s="245"/>
      <c r="C36" s="245"/>
      <c r="D36" s="267"/>
      <c r="E36" s="279">
        <v>236750</v>
      </c>
      <c r="F36" s="248"/>
      <c r="G36" s="102" t="s">
        <v>182</v>
      </c>
      <c r="H36" s="260">
        <f>IF(E36&gt;0,E36/'Operational Data'!$G$18,"-")</f>
        <v>1.016098781539835</v>
      </c>
      <c r="I36" s="261"/>
      <c r="J36" s="102" t="s">
        <v>183</v>
      </c>
    </row>
    <row r="37" spans="1:10" s="3" customFormat="1" ht="14.25" customHeight="1" x14ac:dyDescent="0.25">
      <c r="A37" s="244" t="s">
        <v>122</v>
      </c>
      <c r="B37" s="245"/>
      <c r="C37" s="245"/>
      <c r="D37" s="267"/>
      <c r="E37" s="259">
        <f>+'Operational Data'!G45</f>
        <v>0</v>
      </c>
      <c r="F37" s="248"/>
      <c r="G37" s="102" t="s">
        <v>182</v>
      </c>
      <c r="H37" s="260" t="str">
        <f>IF(E37&gt;0,E37/'Operational Data'!$G$18,"-")</f>
        <v>-</v>
      </c>
      <c r="I37" s="261"/>
      <c r="J37" s="102" t="s">
        <v>183</v>
      </c>
    </row>
    <row r="38" spans="1:10" s="3" customFormat="1" ht="14.25" customHeight="1" x14ac:dyDescent="0.25">
      <c r="A38" s="244" t="s">
        <v>184</v>
      </c>
      <c r="B38" s="245"/>
      <c r="C38" s="245"/>
      <c r="D38" s="267"/>
      <c r="E38" s="259">
        <v>2438000</v>
      </c>
      <c r="F38" s="248"/>
      <c r="G38" s="102" t="s">
        <v>182</v>
      </c>
      <c r="H38" s="260">
        <f>IF(E38&gt;0,E38/'Operational Data'!$G$18,"-")</f>
        <v>10.463564221305671</v>
      </c>
      <c r="I38" s="261"/>
      <c r="J38" s="102" t="s">
        <v>183</v>
      </c>
    </row>
    <row r="39" spans="1:10" s="3" customFormat="1" ht="14.25" customHeight="1" x14ac:dyDescent="0.25">
      <c r="A39" s="274"/>
      <c r="B39" s="275"/>
      <c r="C39" s="275"/>
      <c r="D39" s="276"/>
      <c r="E39" s="268"/>
      <c r="F39" s="269"/>
      <c r="G39" s="168"/>
      <c r="H39" s="277"/>
      <c r="I39" s="278"/>
      <c r="J39" s="168"/>
    </row>
    <row r="40" spans="1:10" s="3" customFormat="1" ht="14.25" customHeight="1" x14ac:dyDescent="0.25">
      <c r="A40" s="256" t="s">
        <v>173</v>
      </c>
      <c r="B40" s="256"/>
      <c r="C40" s="256"/>
      <c r="D40" s="256"/>
      <c r="E40" s="256"/>
      <c r="F40" s="256"/>
      <c r="G40" s="256"/>
      <c r="H40" s="256"/>
      <c r="I40" s="256"/>
      <c r="J40" s="256"/>
    </row>
    <row r="41" spans="1:10" s="3" customFormat="1" ht="14.25" customHeight="1" x14ac:dyDescent="0.25">
      <c r="A41" s="272"/>
      <c r="B41" s="272"/>
      <c r="C41" s="272"/>
      <c r="D41" s="272"/>
      <c r="E41" s="272"/>
      <c r="F41" s="272"/>
      <c r="G41" s="272"/>
      <c r="H41" s="272"/>
      <c r="I41" s="272"/>
      <c r="J41" s="272"/>
    </row>
    <row r="42" spans="1:10" s="3" customFormat="1" ht="14.25" customHeight="1" x14ac:dyDescent="0.25">
      <c r="A42" s="272"/>
      <c r="B42" s="272"/>
      <c r="C42" s="272"/>
      <c r="D42" s="272"/>
      <c r="E42" s="272"/>
      <c r="F42" s="272"/>
      <c r="G42" s="272"/>
      <c r="H42" s="272"/>
      <c r="I42" s="272"/>
      <c r="J42" s="272"/>
    </row>
    <row r="43" spans="1:10" s="3" customFormat="1" ht="14.25" customHeight="1" x14ac:dyDescent="0.25">
      <c r="A43" s="43"/>
      <c r="B43" s="43"/>
      <c r="C43" s="43"/>
      <c r="D43" s="43"/>
      <c r="E43" s="43"/>
      <c r="F43" s="43"/>
      <c r="G43" s="43"/>
      <c r="H43" s="43"/>
      <c r="I43" s="43"/>
      <c r="J43" s="43"/>
    </row>
    <row r="44" spans="1:10" s="3" customFormat="1" ht="14.25" customHeight="1" x14ac:dyDescent="0.25">
      <c r="A44" s="35">
        <f>+A32</f>
        <v>2022</v>
      </c>
      <c r="B44" s="35" t="s">
        <v>185</v>
      </c>
      <c r="C44" s="35"/>
      <c r="D44" s="35"/>
      <c r="E44" s="35"/>
      <c r="F44" s="35"/>
      <c r="G44" s="90"/>
    </row>
    <row r="45" spans="1:10" ht="14.25" customHeight="1" x14ac:dyDescent="0.25">
      <c r="A45" s="273" t="s">
        <v>186</v>
      </c>
      <c r="B45" s="273"/>
      <c r="C45" s="273" t="s">
        <v>187</v>
      </c>
      <c r="D45" s="273"/>
      <c r="E45" s="273"/>
      <c r="F45" s="273"/>
      <c r="G45" s="273"/>
      <c r="H45" s="273"/>
      <c r="I45" s="273"/>
      <c r="J45" s="273"/>
    </row>
    <row r="46" spans="1:10" ht="14.25" customHeight="1" x14ac:dyDescent="0.25">
      <c r="A46" s="44"/>
      <c r="B46" s="44"/>
      <c r="C46" s="37" t="s">
        <v>188</v>
      </c>
      <c r="D46" s="37" t="s">
        <v>189</v>
      </c>
      <c r="E46" s="37" t="s">
        <v>190</v>
      </c>
      <c r="F46" s="37" t="s">
        <v>191</v>
      </c>
      <c r="G46" s="37" t="s">
        <v>192</v>
      </c>
      <c r="H46" s="37"/>
      <c r="I46" s="37" t="s">
        <v>193</v>
      </c>
      <c r="J46" s="37" t="s">
        <v>194</v>
      </c>
    </row>
    <row r="47" spans="1:10" ht="31.5" customHeight="1" x14ac:dyDescent="0.25">
      <c r="A47" s="235" t="s">
        <v>195</v>
      </c>
      <c r="B47" s="235"/>
      <c r="C47" s="168">
        <v>7206</v>
      </c>
      <c r="D47" s="92" t="s">
        <v>83</v>
      </c>
      <c r="E47" s="92" t="s">
        <v>83</v>
      </c>
      <c r="F47" s="99" t="s">
        <v>83</v>
      </c>
      <c r="G47" s="99" t="s">
        <v>83</v>
      </c>
      <c r="H47" s="169"/>
      <c r="I47" s="170">
        <v>7259</v>
      </c>
      <c r="J47" s="99" t="s">
        <v>83</v>
      </c>
    </row>
    <row r="48" spans="1:10" ht="43.5" customHeight="1" x14ac:dyDescent="0.25">
      <c r="A48" s="235" t="s">
        <v>196</v>
      </c>
      <c r="B48" s="235"/>
      <c r="C48" s="92">
        <v>3</v>
      </c>
      <c r="D48" s="92" t="s">
        <v>83</v>
      </c>
      <c r="E48" s="92" t="s">
        <v>83</v>
      </c>
      <c r="F48" s="99" t="s">
        <v>83</v>
      </c>
      <c r="G48" s="99" t="s">
        <v>83</v>
      </c>
      <c r="H48" s="169"/>
      <c r="I48" s="99">
        <v>0</v>
      </c>
      <c r="J48" s="99" t="s">
        <v>83</v>
      </c>
    </row>
    <row r="49" spans="1:10" ht="42.75" customHeight="1" x14ac:dyDescent="0.25">
      <c r="A49" s="235" t="s">
        <v>197</v>
      </c>
      <c r="B49" s="235"/>
      <c r="C49" s="171">
        <v>0.29097222222222224</v>
      </c>
      <c r="D49" s="92" t="s">
        <v>83</v>
      </c>
      <c r="E49" s="92" t="s">
        <v>83</v>
      </c>
      <c r="F49" s="99" t="s">
        <v>83</v>
      </c>
      <c r="G49" s="99" t="s">
        <v>83</v>
      </c>
      <c r="H49" s="169"/>
      <c r="I49" s="99">
        <v>0</v>
      </c>
      <c r="J49" s="99" t="s">
        <v>83</v>
      </c>
    </row>
    <row r="50" spans="1:10" ht="8.25" customHeight="1" x14ac:dyDescent="0.25">
      <c r="A50" s="90"/>
      <c r="B50" s="90"/>
      <c r="C50" s="90"/>
      <c r="D50" s="90"/>
      <c r="E50" s="90"/>
      <c r="F50" s="90"/>
      <c r="G50" s="90"/>
      <c r="H50" s="90"/>
      <c r="I50" s="90"/>
      <c r="J50" s="90"/>
    </row>
    <row r="51" spans="1:10" x14ac:dyDescent="0.25">
      <c r="A51" s="256" t="s">
        <v>173</v>
      </c>
      <c r="B51" s="256"/>
      <c r="C51" s="256"/>
      <c r="D51" s="256"/>
      <c r="E51" s="256"/>
      <c r="F51" s="256"/>
      <c r="G51" s="256"/>
      <c r="H51" s="256"/>
      <c r="I51" s="256"/>
      <c r="J51" s="256"/>
    </row>
    <row r="52" spans="1:10" x14ac:dyDescent="0.25">
      <c r="A52" s="272"/>
      <c r="B52" s="272"/>
      <c r="C52" s="272"/>
      <c r="D52" s="272"/>
      <c r="E52" s="272"/>
      <c r="F52" s="272"/>
      <c r="G52" s="272"/>
      <c r="H52" s="272"/>
      <c r="I52" s="272"/>
      <c r="J52" s="272"/>
    </row>
    <row r="53" spans="1:10" x14ac:dyDescent="0.25">
      <c r="A53" s="272"/>
      <c r="B53" s="272"/>
      <c r="C53" s="272"/>
      <c r="D53" s="272"/>
      <c r="E53" s="272"/>
      <c r="F53" s="272"/>
      <c r="G53" s="272"/>
      <c r="H53" s="272"/>
      <c r="I53" s="272"/>
      <c r="J53" s="272"/>
    </row>
    <row r="55" spans="1:10" ht="16.2" x14ac:dyDescent="0.35">
      <c r="A55" s="3" t="s">
        <v>198</v>
      </c>
      <c r="B55" s="114" t="s">
        <v>21</v>
      </c>
      <c r="C55" s="45"/>
      <c r="D55" s="45"/>
      <c r="E55" s="45"/>
      <c r="F55" s="3"/>
      <c r="G55" s="3" t="s">
        <v>199</v>
      </c>
      <c r="H55" s="114">
        <v>44953</v>
      </c>
      <c r="I55" s="45"/>
      <c r="J55" s="90"/>
    </row>
    <row r="63" spans="1:10" x14ac:dyDescent="0.25">
      <c r="A63" s="90"/>
      <c r="B63" s="90"/>
      <c r="C63" s="90"/>
      <c r="D63" s="90"/>
      <c r="E63" s="90"/>
      <c r="F63" s="3"/>
      <c r="G63" s="90"/>
      <c r="H63" s="90"/>
      <c r="I63" s="90"/>
      <c r="J63" s="90"/>
    </row>
  </sheetData>
  <mergeCells count="110">
    <mergeCell ref="A12:B12"/>
    <mergeCell ref="C12:D12"/>
    <mergeCell ref="E12:F12"/>
    <mergeCell ref="G12:H12"/>
    <mergeCell ref="I12:J12"/>
    <mergeCell ref="A49:B49"/>
    <mergeCell ref="A51:J51"/>
    <mergeCell ref="A52:J53"/>
    <mergeCell ref="A40:J40"/>
    <mergeCell ref="A41:J42"/>
    <mergeCell ref="A45:B45"/>
    <mergeCell ref="C45:J45"/>
    <mergeCell ref="A47:B47"/>
    <mergeCell ref="A48:B48"/>
    <mergeCell ref="A38:D38"/>
    <mergeCell ref="E38:F38"/>
    <mergeCell ref="H38:I38"/>
    <mergeCell ref="A39:D39"/>
    <mergeCell ref="E39:F39"/>
    <mergeCell ref="H39:I39"/>
    <mergeCell ref="A36:D36"/>
    <mergeCell ref="E36:F36"/>
    <mergeCell ref="H36:I36"/>
    <mergeCell ref="A37:D37"/>
    <mergeCell ref="E37:F37"/>
    <mergeCell ref="H37:I37"/>
    <mergeCell ref="A33:D33"/>
    <mergeCell ref="H33:I33"/>
    <mergeCell ref="A34:D34"/>
    <mergeCell ref="E34:F34"/>
    <mergeCell ref="H34:I34"/>
    <mergeCell ref="A35:D35"/>
    <mergeCell ref="E35:F35"/>
    <mergeCell ref="H35:I35"/>
    <mergeCell ref="A25:D25"/>
    <mergeCell ref="E25:F25"/>
    <mergeCell ref="G25:H25"/>
    <mergeCell ref="I25:J25"/>
    <mergeCell ref="A27:J27"/>
    <mergeCell ref="A28:J30"/>
    <mergeCell ref="A23:B23"/>
    <mergeCell ref="C23:D23"/>
    <mergeCell ref="E23:F23"/>
    <mergeCell ref="G23:H23"/>
    <mergeCell ref="I23:J23"/>
    <mergeCell ref="A24:D24"/>
    <mergeCell ref="E24:F24"/>
    <mergeCell ref="G24:H24"/>
    <mergeCell ref="I24:J24"/>
    <mergeCell ref="A21:B21"/>
    <mergeCell ref="C21:D21"/>
    <mergeCell ref="E21:F21"/>
    <mergeCell ref="G21:H21"/>
    <mergeCell ref="I21:J21"/>
    <mergeCell ref="A22:B22"/>
    <mergeCell ref="C22:D22"/>
    <mergeCell ref="E22:F22"/>
    <mergeCell ref="G22:H22"/>
    <mergeCell ref="I22:J22"/>
    <mergeCell ref="A19:B19"/>
    <mergeCell ref="C19:D19"/>
    <mergeCell ref="E19:F19"/>
    <mergeCell ref="G19:H19"/>
    <mergeCell ref="I19:J19"/>
    <mergeCell ref="A20:B20"/>
    <mergeCell ref="C20:D20"/>
    <mergeCell ref="E20:F20"/>
    <mergeCell ref="G20:H20"/>
    <mergeCell ref="I20:J20"/>
    <mergeCell ref="A17:B17"/>
    <mergeCell ref="C17:D17"/>
    <mergeCell ref="E17:F17"/>
    <mergeCell ref="G17:H17"/>
    <mergeCell ref="I17:J17"/>
    <mergeCell ref="A18:J18"/>
    <mergeCell ref="A15:B15"/>
    <mergeCell ref="C15:D15"/>
    <mergeCell ref="E15:F15"/>
    <mergeCell ref="G15:H15"/>
    <mergeCell ref="I15:J15"/>
    <mergeCell ref="A16:D16"/>
    <mergeCell ref="E16:F16"/>
    <mergeCell ref="G16:H16"/>
    <mergeCell ref="I16:J16"/>
    <mergeCell ref="A13:B13"/>
    <mergeCell ref="C13:D13"/>
    <mergeCell ref="E13:F13"/>
    <mergeCell ref="G13:H13"/>
    <mergeCell ref="I13:J13"/>
    <mergeCell ref="A14:B14"/>
    <mergeCell ref="C14:D14"/>
    <mergeCell ref="E14:F14"/>
    <mergeCell ref="G14:H14"/>
    <mergeCell ref="I14:J14"/>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zoomScale="115" zoomScaleNormal="115" workbookViewId="0">
      <selection activeCell="H31" sqref="H31"/>
    </sheetView>
  </sheetViews>
  <sheetFormatPr defaultColWidth="9.33203125" defaultRowHeight="15" x14ac:dyDescent="0.25"/>
  <cols>
    <col min="1" max="1" width="9.44140625" style="2" bestFit="1" customWidth="1"/>
    <col min="2" max="7" width="9.33203125" style="2"/>
    <col min="8" max="8" width="11.6640625" style="2" bestFit="1" customWidth="1"/>
    <col min="9" max="16384" width="9.33203125" style="2"/>
  </cols>
  <sheetData>
    <row r="1" spans="1:10" ht="15.6" x14ac:dyDescent="0.3">
      <c r="A1" s="34">
        <f>+'Cover Page'!C39</f>
        <v>2022</v>
      </c>
      <c r="B1" s="35" t="s">
        <v>200</v>
      </c>
      <c r="C1" s="35"/>
      <c r="D1" s="35"/>
      <c r="E1" s="35"/>
      <c r="F1" s="35"/>
      <c r="G1" s="35"/>
      <c r="H1" s="35"/>
      <c r="I1" s="35"/>
      <c r="J1" s="35"/>
    </row>
    <row r="3" spans="1:10" s="3" customFormat="1" ht="15" customHeight="1" x14ac:dyDescent="0.25">
      <c r="A3" s="3" t="str">
        <f>+'Cover Page'!B31</f>
        <v>Permit EPR/KP3936ZB</v>
      </c>
      <c r="F3" s="3" t="s">
        <v>150</v>
      </c>
      <c r="G3" s="280">
        <f>+'Cover Page'!B37:I37</f>
        <v>0</v>
      </c>
      <c r="H3" s="280"/>
      <c r="I3" s="280"/>
    </row>
    <row r="4" spans="1:10" s="3" customFormat="1" ht="13.8" x14ac:dyDescent="0.25"/>
    <row r="5" spans="1:10" s="3" customFormat="1" ht="13.8" x14ac:dyDescent="0.25">
      <c r="A5" s="3" t="s">
        <v>151</v>
      </c>
      <c r="B5" s="239" t="str">
        <f>+'Cover Page'!B33:I33</f>
        <v>Tilbury Green Power Plant</v>
      </c>
      <c r="C5" s="239"/>
      <c r="D5" s="239"/>
      <c r="E5" s="239"/>
      <c r="F5" s="3" t="s">
        <v>152</v>
      </c>
      <c r="G5" s="3" t="s">
        <v>201</v>
      </c>
    </row>
    <row r="6" spans="1:10" s="3" customFormat="1" ht="13.8" x14ac:dyDescent="0.25"/>
    <row r="7" spans="1:10" s="3" customFormat="1" ht="15.75" customHeight="1" x14ac:dyDescent="0.25">
      <c r="A7" s="3" t="s">
        <v>154</v>
      </c>
      <c r="D7" s="281">
        <f>+'Perf. Form 1'!D6:E6</f>
        <v>44562</v>
      </c>
      <c r="E7" s="281"/>
      <c r="F7" s="36" t="s">
        <v>155</v>
      </c>
      <c r="G7" s="281">
        <f>+'Perf. Form 1'!G6:H6</f>
        <v>44926</v>
      </c>
      <c r="H7" s="281"/>
    </row>
    <row r="8" spans="1:10" s="3" customFormat="1" ht="14.4" x14ac:dyDescent="0.3">
      <c r="B8"/>
      <c r="C8"/>
      <c r="D8"/>
    </row>
    <row r="9" spans="1:10" s="3" customFormat="1" ht="37.5" customHeight="1" x14ac:dyDescent="0.25">
      <c r="A9" s="273" t="s">
        <v>202</v>
      </c>
      <c r="B9" s="273"/>
      <c r="C9" s="273"/>
      <c r="D9" s="242" t="s">
        <v>203</v>
      </c>
      <c r="E9" s="242"/>
      <c r="F9" s="37" t="s">
        <v>74</v>
      </c>
      <c r="G9" s="273" t="s">
        <v>204</v>
      </c>
      <c r="H9" s="273"/>
      <c r="I9" s="273"/>
    </row>
    <row r="10" spans="1:10" s="3" customFormat="1" ht="24.75" customHeight="1" x14ac:dyDescent="0.25">
      <c r="A10" s="235" t="s">
        <v>205</v>
      </c>
      <c r="B10" s="235"/>
      <c r="C10" s="235"/>
      <c r="D10" s="282">
        <f>+'Operational Data'!G23</f>
        <v>309976.45</v>
      </c>
      <c r="E10" s="282"/>
      <c r="F10" s="106" t="s">
        <v>98</v>
      </c>
      <c r="G10" s="283">
        <f>+'Operational Data'!H23</f>
        <v>1330.3767398143339</v>
      </c>
      <c r="H10" s="283"/>
      <c r="I10" s="283"/>
    </row>
    <row r="11" spans="1:10" s="3" customFormat="1" ht="24.75" customHeight="1" x14ac:dyDescent="0.25">
      <c r="A11" s="235" t="s">
        <v>206</v>
      </c>
      <c r="B11" s="235"/>
      <c r="C11" s="235"/>
      <c r="D11" s="284">
        <f>+'Operational Data'!G26</f>
        <v>921.3900000000001</v>
      </c>
      <c r="E11" s="284"/>
      <c r="F11" s="106" t="s">
        <v>98</v>
      </c>
      <c r="G11" s="283">
        <f>+'Operational Data'!H26</f>
        <v>3.9544804913325815</v>
      </c>
      <c r="H11" s="283"/>
      <c r="I11" s="283"/>
    </row>
    <row r="12" spans="1:10" s="3" customFormat="1" ht="24.75" customHeight="1" x14ac:dyDescent="0.25">
      <c r="A12" s="235" t="s">
        <v>207</v>
      </c>
      <c r="B12" s="235"/>
      <c r="C12" s="235"/>
      <c r="D12" s="282">
        <f>+'Operational Data'!G24</f>
        <v>289176.90999999997</v>
      </c>
      <c r="E12" s="282"/>
      <c r="F12" s="106" t="s">
        <v>98</v>
      </c>
      <c r="G12" s="283">
        <f>+'Operational Data'!H24</f>
        <v>1241.1079446692904</v>
      </c>
      <c r="H12" s="283"/>
      <c r="I12" s="283"/>
    </row>
    <row r="13" spans="1:10" s="3" customFormat="1" ht="24.75" customHeight="1" x14ac:dyDescent="0.25">
      <c r="A13" s="235" t="s">
        <v>208</v>
      </c>
      <c r="B13" s="235"/>
      <c r="C13" s="235"/>
      <c r="D13" s="285" t="s">
        <v>83</v>
      </c>
      <c r="E13" s="285"/>
      <c r="F13" s="106" t="s">
        <v>82</v>
      </c>
      <c r="G13" s="286" t="s">
        <v>83</v>
      </c>
      <c r="H13" s="286"/>
      <c r="I13" s="286"/>
    </row>
    <row r="14" spans="1:10" s="3" customFormat="1" ht="24.75" customHeight="1" x14ac:dyDescent="0.25">
      <c r="A14" s="235" t="s">
        <v>209</v>
      </c>
      <c r="B14" s="235"/>
      <c r="C14" s="235"/>
      <c r="D14" s="282">
        <f>+'Operational Data'!G29</f>
        <v>0</v>
      </c>
      <c r="E14" s="282"/>
      <c r="F14" s="106" t="s">
        <v>210</v>
      </c>
      <c r="G14" s="283" t="str">
        <f>+'Operational Data'!H29</f>
        <v>-</v>
      </c>
      <c r="H14" s="283"/>
      <c r="I14" s="283"/>
    </row>
    <row r="15" spans="1:10" s="3" customFormat="1" ht="24.75" customHeight="1" x14ac:dyDescent="0.25">
      <c r="A15" s="243"/>
      <c r="B15" s="243"/>
      <c r="C15" s="243"/>
      <c r="D15" s="243"/>
      <c r="E15" s="243"/>
      <c r="F15" s="92"/>
      <c r="G15" s="193"/>
      <c r="H15" s="193"/>
      <c r="I15" s="193"/>
    </row>
    <row r="16" spans="1:10" s="3" customFormat="1" ht="24.75" customHeight="1" x14ac:dyDescent="0.25">
      <c r="A16" s="243"/>
      <c r="B16" s="243"/>
      <c r="C16" s="243"/>
      <c r="D16" s="243"/>
      <c r="E16" s="243"/>
      <c r="F16" s="92"/>
      <c r="G16" s="193"/>
      <c r="H16" s="193"/>
      <c r="I16" s="193"/>
    </row>
    <row r="17" spans="1:9" s="3" customFormat="1" ht="14.4" x14ac:dyDescent="0.3">
      <c r="A17" s="46"/>
      <c r="B17"/>
      <c r="C17"/>
      <c r="D17"/>
    </row>
    <row r="18" spans="1:9" s="3" customFormat="1" ht="24" customHeight="1" x14ac:dyDescent="0.25">
      <c r="A18" s="256" t="s">
        <v>173</v>
      </c>
      <c r="B18" s="256"/>
      <c r="C18" s="256"/>
      <c r="D18" s="256"/>
      <c r="E18" s="256"/>
      <c r="F18" s="256"/>
      <c r="G18" s="256"/>
      <c r="H18" s="256"/>
      <c r="I18" s="256"/>
    </row>
    <row r="19" spans="1:9" s="3" customFormat="1" ht="13.8" x14ac:dyDescent="0.25">
      <c r="A19" s="204"/>
      <c r="B19" s="204"/>
      <c r="C19" s="204"/>
      <c r="D19" s="204"/>
      <c r="E19" s="204"/>
      <c r="F19" s="204"/>
      <c r="G19" s="204"/>
      <c r="H19" s="204"/>
      <c r="I19" s="204"/>
    </row>
    <row r="20" spans="1:9" s="3" customFormat="1" ht="13.8" x14ac:dyDescent="0.25">
      <c r="A20" s="204"/>
      <c r="B20" s="204"/>
      <c r="C20" s="204"/>
      <c r="D20" s="204"/>
      <c r="E20" s="204"/>
      <c r="F20" s="204"/>
      <c r="G20" s="204"/>
      <c r="H20" s="204"/>
      <c r="I20" s="204"/>
    </row>
    <row r="21" spans="1:9" s="3" customFormat="1" ht="13.8" x14ac:dyDescent="0.25">
      <c r="A21" s="204"/>
      <c r="B21" s="204"/>
      <c r="C21" s="204"/>
      <c r="D21" s="204"/>
      <c r="E21" s="204"/>
      <c r="F21" s="204"/>
      <c r="G21" s="204"/>
      <c r="H21" s="204"/>
      <c r="I21" s="204"/>
    </row>
    <row r="22" spans="1:9" s="3" customFormat="1" ht="13.8" x14ac:dyDescent="0.25">
      <c r="A22" s="204"/>
      <c r="B22" s="204"/>
      <c r="C22" s="204"/>
      <c r="D22" s="204"/>
      <c r="E22" s="204"/>
      <c r="F22" s="204"/>
      <c r="G22" s="204"/>
      <c r="H22" s="204"/>
      <c r="I22" s="204"/>
    </row>
    <row r="23" spans="1:9" s="3" customFormat="1" ht="13.8" x14ac:dyDescent="0.25">
      <c r="A23" s="204"/>
      <c r="B23" s="204"/>
      <c r="C23" s="204"/>
      <c r="D23" s="204"/>
      <c r="E23" s="204"/>
      <c r="F23" s="204"/>
      <c r="G23" s="204"/>
      <c r="H23" s="204"/>
      <c r="I23" s="204"/>
    </row>
    <row r="24" spans="1:9" s="3" customFormat="1" ht="13.8" x14ac:dyDescent="0.25">
      <c r="A24" s="204"/>
      <c r="B24" s="204"/>
      <c r="C24" s="204"/>
      <c r="D24" s="204"/>
      <c r="E24" s="204"/>
      <c r="F24" s="204"/>
      <c r="G24" s="204"/>
      <c r="H24" s="204"/>
      <c r="I24" s="204"/>
    </row>
    <row r="25" spans="1:9" s="3" customFormat="1" ht="13.8" x14ac:dyDescent="0.25">
      <c r="A25" s="204"/>
      <c r="B25" s="204"/>
      <c r="C25" s="204"/>
      <c r="D25" s="204"/>
      <c r="E25" s="204"/>
      <c r="F25" s="204"/>
      <c r="G25" s="204"/>
      <c r="H25" s="204"/>
      <c r="I25" s="204"/>
    </row>
    <row r="26" spans="1:9" s="3" customFormat="1" ht="13.8" x14ac:dyDescent="0.25">
      <c r="A26" s="43"/>
      <c r="B26" s="43"/>
      <c r="C26" s="43"/>
      <c r="D26" s="43"/>
      <c r="E26" s="43"/>
      <c r="F26" s="43"/>
      <c r="G26" s="43"/>
      <c r="H26" s="43"/>
      <c r="I26" s="43"/>
    </row>
    <row r="27" spans="1:9" s="3" customFormat="1" ht="13.8" x14ac:dyDescent="0.25"/>
    <row r="28" spans="1:9" s="3" customFormat="1" ht="13.8" x14ac:dyDescent="0.25"/>
    <row r="29" spans="1:9" s="3" customFormat="1" x14ac:dyDescent="0.35">
      <c r="A29" s="3" t="s">
        <v>198</v>
      </c>
      <c r="B29" s="114" t="s">
        <v>21</v>
      </c>
      <c r="C29" s="45"/>
      <c r="D29" s="45"/>
      <c r="E29" s="45"/>
      <c r="G29" s="3" t="s">
        <v>199</v>
      </c>
      <c r="H29" s="114">
        <v>44953</v>
      </c>
      <c r="I29" s="45"/>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90"/>
      <c r="B34" s="90"/>
      <c r="C34" s="90"/>
      <c r="D34" s="90"/>
      <c r="E34" s="90"/>
      <c r="F34" s="90"/>
      <c r="G34" s="90"/>
      <c r="H34" s="90"/>
      <c r="I34" s="90"/>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3"/>
  <sheetViews>
    <sheetView showGridLines="0" topLeftCell="C9" zoomScale="85" zoomScaleNormal="85" workbookViewId="0">
      <selection activeCell="H38" sqref="H38:J38"/>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34.33203125" style="2" customWidth="1"/>
    <col min="5" max="5" width="3.33203125" style="2" customWidth="1"/>
    <col min="6" max="6" width="9.33203125" style="2"/>
    <col min="7" max="7" width="71.33203125" style="2" customWidth="1"/>
    <col min="8" max="8" width="9.33203125" style="2"/>
    <col min="9" max="9" width="75" style="2" customWidth="1"/>
    <col min="10" max="10" width="9.33203125" style="2" hidden="1" customWidth="1"/>
    <col min="11" max="11" width="10.6640625" style="2" bestFit="1" customWidth="1"/>
    <col min="12" max="12" width="31.6640625" style="2" customWidth="1"/>
    <col min="13" max="16384" width="9.33203125" style="2"/>
  </cols>
  <sheetData>
    <row r="1" spans="1:15" x14ac:dyDescent="0.25">
      <c r="A1" s="90" t="str">
        <f>+'Cover Page'!$B$29</f>
        <v>Annual Performance Report 2022</v>
      </c>
      <c r="B1" s="90"/>
      <c r="C1" s="90"/>
      <c r="D1" s="90"/>
      <c r="E1" s="90" t="str">
        <f>+'Cover Page'!$B$33</f>
        <v>Tilbury Green Power Plant</v>
      </c>
      <c r="F1" s="90"/>
      <c r="G1" s="90"/>
      <c r="H1" s="90"/>
      <c r="I1" s="90"/>
      <c r="J1" s="90"/>
      <c r="K1" s="90"/>
      <c r="L1" s="90"/>
      <c r="M1" s="90"/>
      <c r="N1" s="90"/>
      <c r="O1" s="90"/>
    </row>
    <row r="3" spans="1:15" ht="15.6" x14ac:dyDescent="0.3">
      <c r="A3" s="1" t="s">
        <v>211</v>
      </c>
      <c r="B3" s="90"/>
      <c r="C3" s="90"/>
      <c r="D3" s="90"/>
      <c r="E3" s="90"/>
      <c r="F3" s="90"/>
      <c r="G3" s="90"/>
      <c r="H3" s="90"/>
      <c r="I3" s="90"/>
      <c r="J3" s="90"/>
      <c r="K3" s="90"/>
      <c r="L3" s="90"/>
      <c r="M3" s="90"/>
      <c r="N3" s="90"/>
      <c r="O3" s="90"/>
    </row>
    <row r="4" spans="1:15" ht="15.6" x14ac:dyDescent="0.3">
      <c r="A4" s="1"/>
      <c r="B4" s="90"/>
      <c r="C4" s="90"/>
      <c r="D4" s="90"/>
      <c r="E4" s="90"/>
      <c r="F4" s="90"/>
      <c r="G4" s="90"/>
      <c r="H4" s="90"/>
      <c r="I4" s="90"/>
      <c r="J4" s="90"/>
      <c r="K4" s="90"/>
      <c r="L4" s="90"/>
      <c r="M4" s="90"/>
      <c r="N4" s="90"/>
      <c r="O4" s="90"/>
    </row>
    <row r="5" spans="1:15" x14ac:dyDescent="0.25">
      <c r="A5" s="9" t="s">
        <v>212</v>
      </c>
      <c r="B5" s="90"/>
      <c r="C5" s="90"/>
      <c r="D5" s="90"/>
      <c r="E5" s="90"/>
      <c r="F5" s="90"/>
      <c r="G5" s="90"/>
      <c r="H5" s="90"/>
      <c r="I5" s="90"/>
      <c r="J5" s="90"/>
      <c r="K5" s="90"/>
      <c r="L5" s="90"/>
      <c r="M5" s="90"/>
      <c r="N5" s="90"/>
      <c r="O5" s="90"/>
    </row>
    <row r="6" spans="1:15" x14ac:dyDescent="0.25">
      <c r="A6" s="9"/>
      <c r="B6" s="90"/>
      <c r="C6" s="90"/>
      <c r="D6" s="90"/>
      <c r="E6" s="90"/>
      <c r="F6" s="90"/>
      <c r="G6" s="90"/>
      <c r="H6" s="90"/>
      <c r="I6" s="90"/>
      <c r="J6" s="90"/>
      <c r="K6" s="90"/>
      <c r="L6" s="90"/>
      <c r="M6" s="90"/>
      <c r="N6" s="90"/>
      <c r="O6" s="90"/>
    </row>
    <row r="7" spans="1:15" x14ac:dyDescent="0.25">
      <c r="A7" s="129" t="s">
        <v>213</v>
      </c>
      <c r="B7" s="90"/>
      <c r="C7" s="90"/>
      <c r="D7" s="90"/>
      <c r="E7" s="90"/>
      <c r="F7" s="90"/>
      <c r="G7" s="90"/>
      <c r="H7" s="90"/>
      <c r="I7" s="90"/>
      <c r="J7" s="90"/>
      <c r="K7" s="90"/>
      <c r="L7" s="90"/>
      <c r="M7" s="90"/>
      <c r="N7" s="90"/>
      <c r="O7" s="90"/>
    </row>
    <row r="8" spans="1:15" s="3" customFormat="1" ht="25.5" customHeight="1" x14ac:dyDescent="0.3">
      <c r="A8" s="294" t="s">
        <v>214</v>
      </c>
      <c r="B8" s="295"/>
      <c r="C8" s="294" t="s">
        <v>215</v>
      </c>
      <c r="D8" s="296"/>
      <c r="E8" s="296"/>
      <c r="F8" s="296"/>
      <c r="G8" s="296"/>
      <c r="H8" s="296"/>
      <c r="I8" s="295"/>
      <c r="L8" s="82" t="s">
        <v>3</v>
      </c>
    </row>
    <row r="9" spans="1:15" s="3" customFormat="1" ht="22.5" customHeight="1" x14ac:dyDescent="0.25">
      <c r="A9" s="297"/>
      <c r="B9" s="298"/>
      <c r="C9" s="299" t="s">
        <v>216</v>
      </c>
      <c r="D9" s="299"/>
      <c r="E9" s="299"/>
      <c r="F9" s="299" t="s">
        <v>217</v>
      </c>
      <c r="G9" s="299"/>
      <c r="H9" s="299"/>
      <c r="I9" s="299"/>
      <c r="L9" s="214" t="s">
        <v>218</v>
      </c>
      <c r="M9" s="214"/>
      <c r="N9" s="214"/>
      <c r="O9" s="214"/>
    </row>
    <row r="10" spans="1:15" s="3" customFormat="1" ht="22.5" customHeight="1" x14ac:dyDescent="0.25">
      <c r="A10" s="288" t="s">
        <v>219</v>
      </c>
      <c r="B10" s="288"/>
      <c r="C10" s="289">
        <v>1</v>
      </c>
      <c r="D10" s="290"/>
      <c r="E10" s="290"/>
      <c r="F10" s="289">
        <v>1</v>
      </c>
      <c r="G10" s="290"/>
      <c r="H10" s="290"/>
      <c r="I10" s="290"/>
      <c r="L10" s="214"/>
      <c r="M10" s="214"/>
      <c r="N10" s="214"/>
      <c r="O10" s="214"/>
    </row>
    <row r="11" spans="1:15" s="3" customFormat="1" ht="22.5" customHeight="1" x14ac:dyDescent="0.25">
      <c r="A11" s="288" t="s">
        <v>220</v>
      </c>
      <c r="B11" s="288"/>
      <c r="C11" s="289">
        <v>1</v>
      </c>
      <c r="D11" s="290"/>
      <c r="E11" s="290"/>
      <c r="F11" s="289">
        <v>1</v>
      </c>
      <c r="G11" s="290"/>
      <c r="H11" s="290"/>
      <c r="I11" s="290"/>
      <c r="L11" s="214"/>
      <c r="M11" s="214"/>
      <c r="N11" s="214"/>
      <c r="O11" s="214"/>
    </row>
    <row r="12" spans="1:15" s="3" customFormat="1" ht="22.5" customHeight="1" x14ac:dyDescent="0.25">
      <c r="A12" s="288" t="s">
        <v>221</v>
      </c>
      <c r="B12" s="288"/>
      <c r="C12" s="291">
        <v>0.99990000000000001</v>
      </c>
      <c r="D12" s="291"/>
      <c r="E12" s="291"/>
      <c r="F12" s="289">
        <v>1</v>
      </c>
      <c r="G12" s="290"/>
      <c r="H12" s="290"/>
      <c r="I12" s="290"/>
      <c r="L12" s="214"/>
      <c r="M12" s="214"/>
      <c r="N12" s="214"/>
      <c r="O12" s="214"/>
    </row>
    <row r="13" spans="1:15" s="3" customFormat="1" ht="22.5" customHeight="1" x14ac:dyDescent="0.25">
      <c r="A13" s="288" t="s">
        <v>222</v>
      </c>
      <c r="B13" s="288"/>
      <c r="C13" s="292">
        <v>0.99960000000000004</v>
      </c>
      <c r="D13" s="293"/>
      <c r="E13" s="293"/>
      <c r="F13" s="289">
        <v>1</v>
      </c>
      <c r="G13" s="290"/>
      <c r="H13" s="290"/>
      <c r="I13" s="290"/>
      <c r="L13" s="214"/>
      <c r="M13" s="214"/>
      <c r="N13" s="214"/>
      <c r="O13" s="214"/>
    </row>
    <row r="14" spans="1:15" s="3" customFormat="1" ht="22.5" customHeight="1" x14ac:dyDescent="0.25">
      <c r="A14" s="288" t="s">
        <v>223</v>
      </c>
      <c r="B14" s="288"/>
      <c r="C14" s="289">
        <v>1</v>
      </c>
      <c r="D14" s="290"/>
      <c r="E14" s="290"/>
      <c r="F14" s="289">
        <v>1</v>
      </c>
      <c r="G14" s="290"/>
      <c r="H14" s="290"/>
      <c r="I14" s="290"/>
      <c r="L14" s="214"/>
      <c r="M14" s="214"/>
      <c r="N14" s="214"/>
      <c r="O14" s="214"/>
    </row>
    <row r="15" spans="1:15" s="3" customFormat="1" ht="22.5" customHeight="1" x14ac:dyDescent="0.25">
      <c r="A15" s="288" t="s">
        <v>224</v>
      </c>
      <c r="B15" s="288"/>
      <c r="C15" s="289">
        <v>1</v>
      </c>
      <c r="D15" s="290"/>
      <c r="E15" s="290"/>
      <c r="F15" s="289">
        <v>1</v>
      </c>
      <c r="G15" s="290"/>
      <c r="H15" s="290"/>
      <c r="I15" s="290"/>
      <c r="L15" s="214"/>
      <c r="M15" s="214"/>
      <c r="N15" s="214"/>
      <c r="O15" s="214"/>
    </row>
    <row r="16" spans="1:15" s="3" customFormat="1" ht="22.5" customHeight="1" x14ac:dyDescent="0.25">
      <c r="A16" s="288" t="s">
        <v>225</v>
      </c>
      <c r="B16" s="288"/>
      <c r="C16" s="289">
        <v>1</v>
      </c>
      <c r="D16" s="290"/>
      <c r="E16" s="290"/>
      <c r="F16" s="289">
        <v>1</v>
      </c>
      <c r="G16" s="290"/>
      <c r="H16" s="290"/>
      <c r="I16" s="290"/>
      <c r="L16" s="214"/>
      <c r="M16" s="214"/>
      <c r="N16" s="214"/>
      <c r="O16" s="214"/>
    </row>
    <row r="17" spans="1:15" s="3" customFormat="1" ht="22.5" customHeight="1" x14ac:dyDescent="0.25">
      <c r="A17" s="300"/>
      <c r="B17" s="301"/>
      <c r="C17" s="289">
        <v>1</v>
      </c>
      <c r="D17" s="290"/>
      <c r="E17" s="290"/>
      <c r="F17" s="289">
        <v>1</v>
      </c>
      <c r="G17" s="290"/>
      <c r="H17" s="290"/>
      <c r="I17" s="290"/>
      <c r="L17" s="214"/>
      <c r="M17" s="214"/>
      <c r="N17" s="214"/>
      <c r="O17" s="214"/>
    </row>
    <row r="18" spans="1:15" s="3" customFormat="1" ht="13.8" x14ac:dyDescent="0.25">
      <c r="L18" s="214"/>
      <c r="M18" s="214"/>
      <c r="N18" s="214"/>
      <c r="O18" s="214"/>
    </row>
    <row r="19" spans="1:15" s="46" customFormat="1" ht="21.75" customHeight="1" x14ac:dyDescent="0.3">
      <c r="A19" s="322" t="s">
        <v>226</v>
      </c>
      <c r="B19" s="323"/>
      <c r="C19" s="323"/>
      <c r="D19" s="323"/>
      <c r="E19" s="323"/>
      <c r="F19" s="323"/>
      <c r="G19" s="323"/>
      <c r="H19" s="323"/>
      <c r="I19" s="323"/>
      <c r="J19" s="323"/>
      <c r="K19" s="324"/>
    </row>
    <row r="20" spans="1:15" s="3" customFormat="1" ht="38.25" customHeight="1" thickBot="1" x14ac:dyDescent="0.3">
      <c r="A20" s="47" t="s">
        <v>52</v>
      </c>
      <c r="B20" s="302" t="s">
        <v>227</v>
      </c>
      <c r="C20" s="302"/>
      <c r="D20" s="302"/>
      <c r="E20" s="302" t="s">
        <v>228</v>
      </c>
      <c r="F20" s="302"/>
      <c r="G20" s="302"/>
      <c r="H20" s="302" t="s">
        <v>229</v>
      </c>
      <c r="I20" s="302"/>
      <c r="J20" s="303"/>
      <c r="K20" s="73"/>
    </row>
    <row r="21" spans="1:15" s="3" customFormat="1" ht="30" customHeight="1" thickTop="1" x14ac:dyDescent="0.25">
      <c r="A21" s="104">
        <v>44581</v>
      </c>
      <c r="B21" s="304" t="s">
        <v>230</v>
      </c>
      <c r="C21" s="305"/>
      <c r="D21" s="306"/>
      <c r="E21" s="204" t="s">
        <v>231</v>
      </c>
      <c r="F21" s="204"/>
      <c r="G21" s="204"/>
      <c r="H21" s="307" t="s">
        <v>232</v>
      </c>
      <c r="I21" s="308"/>
      <c r="J21" s="309"/>
      <c r="K21" s="73"/>
    </row>
    <row r="22" spans="1:15" s="3" customFormat="1" ht="52.5" customHeight="1" x14ac:dyDescent="0.25">
      <c r="A22" s="105">
        <v>44715</v>
      </c>
      <c r="B22" s="310" t="s">
        <v>233</v>
      </c>
      <c r="C22" s="311"/>
      <c r="D22" s="312"/>
      <c r="E22" s="204" t="s">
        <v>234</v>
      </c>
      <c r="F22" s="204"/>
      <c r="G22" s="204"/>
      <c r="H22" s="307" t="s">
        <v>235</v>
      </c>
      <c r="I22" s="308"/>
      <c r="J22" s="309"/>
      <c r="K22" s="73"/>
    </row>
    <row r="23" spans="1:15" s="3" customFormat="1" ht="75.75" customHeight="1" x14ac:dyDescent="0.25">
      <c r="A23" s="105">
        <v>44717</v>
      </c>
      <c r="B23" s="310" t="s">
        <v>236</v>
      </c>
      <c r="C23" s="311"/>
      <c r="D23" s="312"/>
      <c r="E23" s="204" t="s">
        <v>237</v>
      </c>
      <c r="F23" s="204"/>
      <c r="G23" s="204"/>
      <c r="H23" s="307" t="s">
        <v>238</v>
      </c>
      <c r="I23" s="308"/>
      <c r="J23" s="309"/>
      <c r="K23" s="73"/>
    </row>
    <row r="24" spans="1:15" s="3" customFormat="1" ht="78" customHeight="1" x14ac:dyDescent="0.25">
      <c r="A24" s="105">
        <v>44718</v>
      </c>
      <c r="B24" s="310" t="s">
        <v>239</v>
      </c>
      <c r="C24" s="311"/>
      <c r="D24" s="312"/>
      <c r="E24" s="204" t="s">
        <v>240</v>
      </c>
      <c r="F24" s="204"/>
      <c r="G24" s="204"/>
      <c r="H24" s="307" t="s">
        <v>241</v>
      </c>
      <c r="I24" s="308"/>
      <c r="J24" s="309"/>
      <c r="K24" s="73"/>
    </row>
    <row r="25" spans="1:15" s="3" customFormat="1" ht="173.25" customHeight="1" x14ac:dyDescent="0.25">
      <c r="A25" s="105">
        <v>44734</v>
      </c>
      <c r="B25" s="310" t="s">
        <v>242</v>
      </c>
      <c r="C25" s="311"/>
      <c r="D25" s="312"/>
      <c r="E25" s="204" t="s">
        <v>243</v>
      </c>
      <c r="F25" s="187"/>
      <c r="G25" s="187"/>
      <c r="H25" s="307" t="s">
        <v>244</v>
      </c>
      <c r="I25" s="308"/>
      <c r="J25" s="309"/>
      <c r="K25" s="73"/>
    </row>
    <row r="26" spans="1:15" s="3" customFormat="1" ht="136.5" customHeight="1" x14ac:dyDescent="0.25">
      <c r="A26" s="105">
        <v>44750</v>
      </c>
      <c r="B26" s="310" t="s">
        <v>245</v>
      </c>
      <c r="C26" s="311"/>
      <c r="D26" s="312"/>
      <c r="E26" s="204" t="s">
        <v>246</v>
      </c>
      <c r="F26" s="187"/>
      <c r="G26" s="187"/>
      <c r="H26" s="307" t="s">
        <v>247</v>
      </c>
      <c r="I26" s="308"/>
      <c r="J26" s="309"/>
    </row>
    <row r="27" spans="1:15" s="3" customFormat="1" ht="108.75" customHeight="1" x14ac:dyDescent="0.25">
      <c r="A27" s="105">
        <v>44763</v>
      </c>
      <c r="B27" s="310" t="s">
        <v>248</v>
      </c>
      <c r="C27" s="311"/>
      <c r="D27" s="312"/>
      <c r="E27" s="327" t="s">
        <v>249</v>
      </c>
      <c r="F27" s="328"/>
      <c r="G27" s="329"/>
      <c r="H27" s="307" t="s">
        <v>250</v>
      </c>
      <c r="I27" s="308"/>
      <c r="J27" s="309"/>
    </row>
    <row r="28" spans="1:15" s="3" customFormat="1" ht="170.4" customHeight="1" x14ac:dyDescent="0.25">
      <c r="A28" s="105">
        <v>44763</v>
      </c>
      <c r="B28" s="310" t="s">
        <v>251</v>
      </c>
      <c r="C28" s="311"/>
      <c r="D28" s="312"/>
      <c r="E28" s="204" t="s">
        <v>252</v>
      </c>
      <c r="F28" s="187"/>
      <c r="G28" s="187"/>
      <c r="H28" s="307" t="s">
        <v>253</v>
      </c>
      <c r="I28" s="308"/>
      <c r="J28" s="309"/>
    </row>
    <row r="29" spans="1:15" s="3" customFormat="1" ht="13.8" x14ac:dyDescent="0.25">
      <c r="A29" s="105">
        <v>44844</v>
      </c>
      <c r="B29" s="310" t="s">
        <v>254</v>
      </c>
      <c r="C29" s="311"/>
      <c r="D29" s="312"/>
      <c r="E29" s="204" t="s">
        <v>255</v>
      </c>
      <c r="F29" s="187"/>
      <c r="G29" s="187"/>
      <c r="H29" s="307" t="s">
        <v>256</v>
      </c>
      <c r="I29" s="308"/>
      <c r="J29" s="309"/>
    </row>
    <row r="30" spans="1:15" s="3" customFormat="1" ht="27" customHeight="1" x14ac:dyDescent="0.25">
      <c r="A30" s="103"/>
      <c r="B30" s="187"/>
      <c r="C30" s="187"/>
      <c r="D30" s="187"/>
      <c r="E30" s="204"/>
      <c r="F30" s="204"/>
      <c r="G30" s="204"/>
      <c r="H30" s="307"/>
      <c r="I30" s="308"/>
      <c r="J30" s="309"/>
    </row>
    <row r="31" spans="1:15" s="3" customFormat="1" ht="14.4" customHeight="1" x14ac:dyDescent="0.25">
      <c r="A31" s="103"/>
      <c r="B31" s="187"/>
      <c r="C31" s="187"/>
      <c r="D31" s="187"/>
      <c r="E31" s="187"/>
      <c r="F31" s="187"/>
      <c r="G31" s="187"/>
      <c r="H31" s="307"/>
      <c r="I31" s="308"/>
      <c r="J31" s="309"/>
    </row>
    <row r="32" spans="1:15" s="3" customFormat="1" ht="14.4" customHeight="1" x14ac:dyDescent="0.25">
      <c r="A32" s="103"/>
      <c r="B32" s="187"/>
      <c r="C32" s="187"/>
      <c r="D32" s="187"/>
      <c r="E32" s="187"/>
      <c r="F32" s="187"/>
      <c r="G32" s="187"/>
      <c r="H32" s="307"/>
      <c r="I32" s="308"/>
      <c r="J32" s="309"/>
    </row>
    <row r="33" spans="1:11" s="3" customFormat="1" ht="33" customHeight="1" x14ac:dyDescent="0.25">
      <c r="A33" s="103"/>
      <c r="B33" s="187"/>
      <c r="C33" s="187"/>
      <c r="D33" s="187"/>
      <c r="E33" s="204"/>
      <c r="F33" s="204"/>
      <c r="G33" s="204"/>
      <c r="H33" s="307"/>
      <c r="I33" s="308"/>
      <c r="J33" s="309"/>
    </row>
    <row r="34" spans="1:11" s="3" customFormat="1" ht="13.8" x14ac:dyDescent="0.25"/>
    <row r="35" spans="1:11" s="46" customFormat="1" ht="22.5" customHeight="1" x14ac:dyDescent="0.3">
      <c r="A35" s="322" t="s">
        <v>257</v>
      </c>
      <c r="B35" s="323"/>
      <c r="C35" s="323"/>
      <c r="D35" s="323"/>
      <c r="E35" s="323"/>
      <c r="F35" s="323"/>
      <c r="G35" s="323"/>
      <c r="H35" s="323"/>
      <c r="I35" s="323"/>
      <c r="J35" s="323"/>
      <c r="K35" s="324"/>
    </row>
    <row r="36" spans="1:11" s="3" customFormat="1" ht="39" customHeight="1" x14ac:dyDescent="0.25">
      <c r="A36" s="47" t="s">
        <v>52</v>
      </c>
      <c r="B36" s="302" t="s">
        <v>258</v>
      </c>
      <c r="C36" s="302"/>
      <c r="D36" s="302"/>
      <c r="E36" s="302" t="s">
        <v>259</v>
      </c>
      <c r="F36" s="302"/>
      <c r="G36" s="302"/>
      <c r="H36" s="302" t="s">
        <v>229</v>
      </c>
      <c r="I36" s="302"/>
      <c r="J36" s="303"/>
      <c r="K36" s="73"/>
    </row>
    <row r="37" spans="1:11" s="3" customFormat="1" ht="51" customHeight="1" x14ac:dyDescent="0.25">
      <c r="A37" s="110">
        <v>44745</v>
      </c>
      <c r="B37" s="315" t="s">
        <v>260</v>
      </c>
      <c r="C37" s="316"/>
      <c r="D37" s="317"/>
      <c r="E37" s="315" t="s">
        <v>261</v>
      </c>
      <c r="F37" s="316"/>
      <c r="G37" s="317"/>
      <c r="H37" s="318" t="s">
        <v>262</v>
      </c>
      <c r="I37" s="318"/>
      <c r="J37" s="315"/>
      <c r="K37" s="73"/>
    </row>
    <row r="38" spans="1:11" s="3" customFormat="1" ht="153.9" customHeight="1" x14ac:dyDescent="0.25">
      <c r="A38" s="113">
        <v>44754</v>
      </c>
      <c r="B38" s="315" t="s">
        <v>263</v>
      </c>
      <c r="C38" s="316"/>
      <c r="D38" s="317"/>
      <c r="E38" s="315" t="s">
        <v>264</v>
      </c>
      <c r="F38" s="316"/>
      <c r="G38" s="317"/>
      <c r="H38" s="318" t="s">
        <v>265</v>
      </c>
      <c r="I38" s="318"/>
      <c r="J38" s="315"/>
      <c r="K38" s="73"/>
    </row>
    <row r="39" spans="1:11" ht="84.6" customHeight="1" x14ac:dyDescent="0.25">
      <c r="A39" s="111">
        <v>44784</v>
      </c>
      <c r="B39" s="319" t="s">
        <v>266</v>
      </c>
      <c r="C39" s="320"/>
      <c r="D39" s="321"/>
      <c r="E39" s="319" t="s">
        <v>267</v>
      </c>
      <c r="F39" s="320"/>
      <c r="G39" s="321"/>
      <c r="H39" s="318" t="s">
        <v>268</v>
      </c>
      <c r="I39" s="318"/>
      <c r="J39" s="315"/>
      <c r="K39" s="73"/>
    </row>
    <row r="40" spans="1:11" s="3" customFormat="1" ht="13.8" x14ac:dyDescent="0.25">
      <c r="A40" s="112"/>
      <c r="B40" s="314"/>
      <c r="C40" s="325"/>
      <c r="D40" s="326"/>
      <c r="E40" s="313"/>
      <c r="F40" s="313"/>
      <c r="G40" s="313"/>
      <c r="H40" s="313"/>
      <c r="I40" s="313"/>
      <c r="J40" s="314"/>
      <c r="K40" s="73"/>
    </row>
    <row r="41" spans="1:11" s="3" customFormat="1" ht="13.8" x14ac:dyDescent="0.25">
      <c r="A41" s="112"/>
      <c r="B41" s="313"/>
      <c r="C41" s="313"/>
      <c r="D41" s="313"/>
      <c r="E41" s="313"/>
      <c r="F41" s="313"/>
      <c r="G41" s="313"/>
      <c r="H41" s="313"/>
      <c r="I41" s="313"/>
      <c r="J41" s="314"/>
      <c r="K41" s="73"/>
    </row>
    <row r="42" spans="1:11" s="3" customFormat="1" ht="29.25" customHeight="1" x14ac:dyDescent="0.25">
      <c r="A42" s="129"/>
      <c r="E42" s="287" t="s">
        <v>269</v>
      </c>
      <c r="F42" s="287"/>
      <c r="G42" s="287"/>
      <c r="H42" s="287"/>
      <c r="I42" s="287"/>
      <c r="J42" s="129"/>
    </row>
    <row r="63" spans="6:6" x14ac:dyDescent="0.25">
      <c r="F63" s="3"/>
    </row>
  </sheetData>
  <mergeCells count="93">
    <mergeCell ref="H26:J26"/>
    <mergeCell ref="H27:J27"/>
    <mergeCell ref="H28:J28"/>
    <mergeCell ref="H29:J29"/>
    <mergeCell ref="H30:J30"/>
    <mergeCell ref="H31:J31"/>
    <mergeCell ref="H32:J32"/>
    <mergeCell ref="H33:J33"/>
    <mergeCell ref="B31:D31"/>
    <mergeCell ref="B32:D32"/>
    <mergeCell ref="B33:D33"/>
    <mergeCell ref="E31:G31"/>
    <mergeCell ref="E32:G32"/>
    <mergeCell ref="E33:G33"/>
    <mergeCell ref="E26:G26"/>
    <mergeCell ref="E28:G28"/>
    <mergeCell ref="E29:G29"/>
    <mergeCell ref="E30:G30"/>
    <mergeCell ref="E27:G27"/>
    <mergeCell ref="B26:D26"/>
    <mergeCell ref="B27:D27"/>
    <mergeCell ref="B28:D28"/>
    <mergeCell ref="B29:D29"/>
    <mergeCell ref="B30:D30"/>
    <mergeCell ref="A35:K35"/>
    <mergeCell ref="A19:K19"/>
    <mergeCell ref="B40:D40"/>
    <mergeCell ref="E40:G40"/>
    <mergeCell ref="H40:J40"/>
    <mergeCell ref="B36:D36"/>
    <mergeCell ref="E36:G36"/>
    <mergeCell ref="H36:J36"/>
    <mergeCell ref="B37:D37"/>
    <mergeCell ref="E37:G37"/>
    <mergeCell ref="H37:J37"/>
    <mergeCell ref="B24:D24"/>
    <mergeCell ref="E24:G24"/>
    <mergeCell ref="H24:J24"/>
    <mergeCell ref="B25:D25"/>
    <mergeCell ref="E25:G25"/>
    <mergeCell ref="B41:D41"/>
    <mergeCell ref="E41:G41"/>
    <mergeCell ref="H41:J41"/>
    <mergeCell ref="B38:D38"/>
    <mergeCell ref="E38:G38"/>
    <mergeCell ref="H38:J38"/>
    <mergeCell ref="E39:G39"/>
    <mergeCell ref="H39:J39"/>
    <mergeCell ref="B39:D39"/>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42:I42"/>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zoomScale="85" zoomScaleNormal="85" workbookViewId="0">
      <selection activeCell="M49" sqref="M49"/>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0" t="str">
        <f>+'Cover Page'!$B$29</f>
        <v>Annual Performance Report 2022</v>
      </c>
      <c r="B1" s="90"/>
      <c r="C1" s="90"/>
      <c r="D1" s="90"/>
      <c r="E1" s="90" t="str">
        <f>+'Cover Page'!$B$33</f>
        <v>Tilbury Green Power Plant</v>
      </c>
      <c r="F1" s="90"/>
      <c r="G1" s="90"/>
      <c r="H1" s="90"/>
      <c r="I1" s="90"/>
      <c r="J1" s="90"/>
    </row>
    <row r="3" spans="1:10" ht="15.6" x14ac:dyDescent="0.3">
      <c r="A3" s="1" t="s">
        <v>270</v>
      </c>
      <c r="B3" s="90"/>
      <c r="C3" s="90"/>
      <c r="D3" s="90"/>
      <c r="E3" s="90"/>
      <c r="F3" s="90"/>
      <c r="G3" s="90"/>
      <c r="H3" s="90"/>
      <c r="I3" s="90"/>
      <c r="J3" s="90"/>
    </row>
    <row r="4" spans="1:10" ht="15.6" x14ac:dyDescent="0.3">
      <c r="A4" s="1"/>
      <c r="B4" s="90"/>
      <c r="C4" s="90"/>
      <c r="D4" s="90"/>
      <c r="E4" s="90"/>
      <c r="F4" s="90"/>
      <c r="G4" s="90"/>
      <c r="H4" s="90"/>
      <c r="I4" s="90"/>
      <c r="J4" s="90"/>
    </row>
    <row r="5" spans="1:10" s="3" customFormat="1" ht="13.8" x14ac:dyDescent="0.25">
      <c r="A5" s="333" t="s">
        <v>271</v>
      </c>
      <c r="B5" s="334"/>
      <c r="C5" s="334"/>
      <c r="D5" s="334"/>
      <c r="E5" s="334"/>
      <c r="F5" s="334"/>
      <c r="G5" s="334"/>
      <c r="H5" s="334"/>
      <c r="I5" s="334"/>
      <c r="J5" s="335"/>
    </row>
    <row r="6" spans="1:10" s="3" customFormat="1" ht="15.75" customHeight="1" x14ac:dyDescent="0.25">
      <c r="A6" s="205" t="s">
        <v>272</v>
      </c>
      <c r="B6" s="227"/>
      <c r="C6" s="227"/>
      <c r="D6" s="227"/>
      <c r="E6" s="227"/>
      <c r="F6" s="227"/>
      <c r="G6" s="227"/>
      <c r="H6" s="227"/>
      <c r="I6" s="227"/>
      <c r="J6" s="228"/>
    </row>
    <row r="7" spans="1:10" s="3" customFormat="1" ht="15.75" customHeight="1" x14ac:dyDescent="0.25">
      <c r="A7" s="229"/>
      <c r="B7" s="230"/>
      <c r="C7" s="230"/>
      <c r="D7" s="230"/>
      <c r="E7" s="230"/>
      <c r="F7" s="230"/>
      <c r="G7" s="230"/>
      <c r="H7" s="230"/>
      <c r="I7" s="230"/>
      <c r="J7" s="231"/>
    </row>
    <row r="8" spans="1:10" s="3" customFormat="1" ht="15.75" customHeight="1" x14ac:dyDescent="0.25">
      <c r="A8" s="229"/>
      <c r="B8" s="230"/>
      <c r="C8" s="230"/>
      <c r="D8" s="230"/>
      <c r="E8" s="230"/>
      <c r="F8" s="230"/>
      <c r="G8" s="230"/>
      <c r="H8" s="230"/>
      <c r="I8" s="230"/>
      <c r="J8" s="231"/>
    </row>
    <row r="9" spans="1:10" s="3" customFormat="1" ht="15.75" customHeight="1" x14ac:dyDescent="0.25">
      <c r="A9" s="229"/>
      <c r="B9" s="230"/>
      <c r="C9" s="230"/>
      <c r="D9" s="230"/>
      <c r="E9" s="230"/>
      <c r="F9" s="230"/>
      <c r="G9" s="230"/>
      <c r="H9" s="230"/>
      <c r="I9" s="230"/>
      <c r="J9" s="231"/>
    </row>
    <row r="10" spans="1:10" s="3" customFormat="1" ht="15.75" customHeight="1" x14ac:dyDescent="0.25">
      <c r="A10" s="229"/>
      <c r="B10" s="230"/>
      <c r="C10" s="230"/>
      <c r="D10" s="230"/>
      <c r="E10" s="230"/>
      <c r="F10" s="230"/>
      <c r="G10" s="230"/>
      <c r="H10" s="230"/>
      <c r="I10" s="230"/>
      <c r="J10" s="231"/>
    </row>
    <row r="11" spans="1:10" s="3" customFormat="1" ht="15.75" customHeight="1" x14ac:dyDescent="0.25">
      <c r="A11" s="229"/>
      <c r="B11" s="230"/>
      <c r="C11" s="230"/>
      <c r="D11" s="230"/>
      <c r="E11" s="230"/>
      <c r="F11" s="230"/>
      <c r="G11" s="230"/>
      <c r="H11" s="230"/>
      <c r="I11" s="230"/>
      <c r="J11" s="231"/>
    </row>
    <row r="12" spans="1:10" s="3" customFormat="1" ht="15.75" customHeight="1" x14ac:dyDescent="0.25">
      <c r="A12" s="229"/>
      <c r="B12" s="230"/>
      <c r="C12" s="230"/>
      <c r="D12" s="230"/>
      <c r="E12" s="230"/>
      <c r="F12" s="230"/>
      <c r="G12" s="230"/>
      <c r="H12" s="230"/>
      <c r="I12" s="230"/>
      <c r="J12" s="231"/>
    </row>
    <row r="13" spans="1:10" s="3" customFormat="1" ht="15.75" customHeight="1" x14ac:dyDescent="0.25">
      <c r="A13" s="229"/>
      <c r="B13" s="230"/>
      <c r="C13" s="230"/>
      <c r="D13" s="230"/>
      <c r="E13" s="230"/>
      <c r="F13" s="230"/>
      <c r="G13" s="230"/>
      <c r="H13" s="230"/>
      <c r="I13" s="230"/>
      <c r="J13" s="231"/>
    </row>
    <row r="14" spans="1:10" s="3" customFormat="1" ht="15.75" customHeight="1" x14ac:dyDescent="0.25">
      <c r="A14" s="232"/>
      <c r="B14" s="233"/>
      <c r="C14" s="233"/>
      <c r="D14" s="233"/>
      <c r="E14" s="233"/>
      <c r="F14" s="233"/>
      <c r="G14" s="233"/>
      <c r="H14" s="233"/>
      <c r="I14" s="233"/>
      <c r="J14" s="234"/>
    </row>
    <row r="15" spans="1:10" s="3" customFormat="1" ht="13.8" x14ac:dyDescent="0.25"/>
    <row r="16" spans="1:10" s="48" customFormat="1" ht="33.75" customHeight="1" x14ac:dyDescent="0.3">
      <c r="A16" s="330" t="s">
        <v>273</v>
      </c>
      <c r="B16" s="331"/>
      <c r="C16" s="331"/>
      <c r="D16" s="331"/>
      <c r="E16" s="331"/>
      <c r="F16" s="331"/>
      <c r="G16" s="331"/>
      <c r="H16" s="331"/>
      <c r="I16" s="331"/>
      <c r="J16" s="332"/>
    </row>
    <row r="17" spans="1:10" ht="15.75" customHeight="1" x14ac:dyDescent="0.25">
      <c r="A17" s="336" t="s">
        <v>274</v>
      </c>
      <c r="B17" s="206"/>
      <c r="C17" s="206"/>
      <c r="D17" s="206"/>
      <c r="E17" s="206"/>
      <c r="F17" s="206"/>
      <c r="G17" s="206"/>
      <c r="H17" s="206"/>
      <c r="I17" s="206"/>
      <c r="J17" s="207"/>
    </row>
    <row r="18" spans="1:10" ht="15.75" customHeight="1" x14ac:dyDescent="0.25">
      <c r="A18" s="208"/>
      <c r="B18" s="209"/>
      <c r="C18" s="209"/>
      <c r="D18" s="209"/>
      <c r="E18" s="209"/>
      <c r="F18" s="209"/>
      <c r="G18" s="209"/>
      <c r="H18" s="209"/>
      <c r="I18" s="209"/>
      <c r="J18" s="210"/>
    </row>
    <row r="19" spans="1:10" ht="15.75" customHeight="1" x14ac:dyDescent="0.25">
      <c r="A19" s="208"/>
      <c r="B19" s="209"/>
      <c r="C19" s="209"/>
      <c r="D19" s="209"/>
      <c r="E19" s="209"/>
      <c r="F19" s="209"/>
      <c r="G19" s="209"/>
      <c r="H19" s="209"/>
      <c r="I19" s="209"/>
      <c r="J19" s="210"/>
    </row>
    <row r="20" spans="1:10" ht="15.75" customHeight="1" x14ac:dyDescent="0.25">
      <c r="A20" s="208"/>
      <c r="B20" s="209"/>
      <c r="C20" s="209"/>
      <c r="D20" s="209"/>
      <c r="E20" s="209"/>
      <c r="F20" s="209"/>
      <c r="G20" s="209"/>
      <c r="H20" s="209"/>
      <c r="I20" s="209"/>
      <c r="J20" s="210"/>
    </row>
    <row r="21" spans="1:10" ht="15.75" customHeight="1" x14ac:dyDescent="0.25">
      <c r="A21" s="208"/>
      <c r="B21" s="209"/>
      <c r="C21" s="209"/>
      <c r="D21" s="209"/>
      <c r="E21" s="209"/>
      <c r="F21" s="209"/>
      <c r="G21" s="209"/>
      <c r="H21" s="209"/>
      <c r="I21" s="209"/>
      <c r="J21" s="210"/>
    </row>
    <row r="22" spans="1:10" ht="15.75" customHeight="1" x14ac:dyDescent="0.25">
      <c r="A22" s="208"/>
      <c r="B22" s="209"/>
      <c r="C22" s="209"/>
      <c r="D22" s="209"/>
      <c r="E22" s="209"/>
      <c r="F22" s="209"/>
      <c r="G22" s="209"/>
      <c r="H22" s="209"/>
      <c r="I22" s="209"/>
      <c r="J22" s="210"/>
    </row>
    <row r="23" spans="1:10" ht="15.75" customHeight="1" x14ac:dyDescent="0.25">
      <c r="A23" s="208"/>
      <c r="B23" s="209"/>
      <c r="C23" s="209"/>
      <c r="D23" s="209"/>
      <c r="E23" s="209"/>
      <c r="F23" s="209"/>
      <c r="G23" s="209"/>
      <c r="H23" s="209"/>
      <c r="I23" s="209"/>
      <c r="J23" s="210"/>
    </row>
    <row r="24" spans="1:10" ht="15.75" customHeight="1" x14ac:dyDescent="0.25">
      <c r="A24" s="208"/>
      <c r="B24" s="209"/>
      <c r="C24" s="209"/>
      <c r="D24" s="209"/>
      <c r="E24" s="209"/>
      <c r="F24" s="209"/>
      <c r="G24" s="209"/>
      <c r="H24" s="209"/>
      <c r="I24" s="209"/>
      <c r="J24" s="210"/>
    </row>
    <row r="25" spans="1:10" ht="15.75" customHeight="1" x14ac:dyDescent="0.25">
      <c r="A25" s="211"/>
      <c r="B25" s="212"/>
      <c r="C25" s="212"/>
      <c r="D25" s="212"/>
      <c r="E25" s="212"/>
      <c r="F25" s="212"/>
      <c r="G25" s="212"/>
      <c r="H25" s="212"/>
      <c r="I25" s="212"/>
      <c r="J25" s="213"/>
    </row>
    <row r="26" spans="1:10" ht="15.6" x14ac:dyDescent="0.3">
      <c r="A26" s="1"/>
      <c r="B26" s="90"/>
      <c r="C26" s="90"/>
      <c r="D26" s="90"/>
      <c r="E26" s="90"/>
      <c r="F26" s="90"/>
      <c r="G26" s="90"/>
      <c r="H26" s="90"/>
      <c r="I26" s="90"/>
      <c r="J26" s="90"/>
    </row>
    <row r="27" spans="1:10" ht="36.75" customHeight="1" x14ac:dyDescent="0.25">
      <c r="A27" s="330" t="s">
        <v>275</v>
      </c>
      <c r="B27" s="331"/>
      <c r="C27" s="331"/>
      <c r="D27" s="331"/>
      <c r="E27" s="331"/>
      <c r="F27" s="331"/>
      <c r="G27" s="331"/>
      <c r="H27" s="331"/>
      <c r="I27" s="331"/>
      <c r="J27" s="332"/>
    </row>
    <row r="28" spans="1:10" ht="15.75" customHeight="1" x14ac:dyDescent="0.25">
      <c r="A28" s="336" t="s">
        <v>276</v>
      </c>
      <c r="B28" s="206"/>
      <c r="C28" s="206"/>
      <c r="D28" s="206"/>
      <c r="E28" s="206"/>
      <c r="F28" s="206"/>
      <c r="G28" s="206"/>
      <c r="H28" s="206"/>
      <c r="I28" s="206"/>
      <c r="J28" s="207"/>
    </row>
    <row r="29" spans="1:10" ht="15.75" customHeight="1" x14ac:dyDescent="0.25">
      <c r="A29" s="208"/>
      <c r="B29" s="209"/>
      <c r="C29" s="209"/>
      <c r="D29" s="209"/>
      <c r="E29" s="209"/>
      <c r="F29" s="209"/>
      <c r="G29" s="209"/>
      <c r="H29" s="209"/>
      <c r="I29" s="209"/>
      <c r="J29" s="210"/>
    </row>
    <row r="30" spans="1:10" ht="15.75" customHeight="1" x14ac:dyDescent="0.25">
      <c r="A30" s="208"/>
      <c r="B30" s="209"/>
      <c r="C30" s="209"/>
      <c r="D30" s="209"/>
      <c r="E30" s="209"/>
      <c r="F30" s="209"/>
      <c r="G30" s="209"/>
      <c r="H30" s="209"/>
      <c r="I30" s="209"/>
      <c r="J30" s="210"/>
    </row>
    <row r="31" spans="1:10" ht="15.75" customHeight="1" x14ac:dyDescent="0.25">
      <c r="A31" s="208"/>
      <c r="B31" s="209"/>
      <c r="C31" s="209"/>
      <c r="D31" s="209"/>
      <c r="E31" s="209"/>
      <c r="F31" s="209"/>
      <c r="G31" s="209"/>
      <c r="H31" s="209"/>
      <c r="I31" s="209"/>
      <c r="J31" s="210"/>
    </row>
    <row r="32" spans="1:10" ht="15.75" customHeight="1" x14ac:dyDescent="0.25">
      <c r="A32" s="208"/>
      <c r="B32" s="209"/>
      <c r="C32" s="209"/>
      <c r="D32" s="209"/>
      <c r="E32" s="209"/>
      <c r="F32" s="209"/>
      <c r="G32" s="209"/>
      <c r="H32" s="209"/>
      <c r="I32" s="209"/>
      <c r="J32" s="210"/>
    </row>
    <row r="33" spans="1:10" ht="15.75" customHeight="1" x14ac:dyDescent="0.25">
      <c r="A33" s="208"/>
      <c r="B33" s="209"/>
      <c r="C33" s="209"/>
      <c r="D33" s="209"/>
      <c r="E33" s="209"/>
      <c r="F33" s="209"/>
      <c r="G33" s="209"/>
      <c r="H33" s="209"/>
      <c r="I33" s="209"/>
      <c r="J33" s="210"/>
    </row>
    <row r="34" spans="1:10" ht="15.75" customHeight="1" x14ac:dyDescent="0.25">
      <c r="A34" s="208"/>
      <c r="B34" s="209"/>
      <c r="C34" s="209"/>
      <c r="D34" s="209"/>
      <c r="E34" s="209"/>
      <c r="F34" s="209"/>
      <c r="G34" s="209"/>
      <c r="H34" s="209"/>
      <c r="I34" s="209"/>
      <c r="J34" s="210"/>
    </row>
    <row r="35" spans="1:10" ht="15.75" customHeight="1" x14ac:dyDescent="0.25">
      <c r="A35" s="208"/>
      <c r="B35" s="209"/>
      <c r="C35" s="209"/>
      <c r="D35" s="209"/>
      <c r="E35" s="209"/>
      <c r="F35" s="209"/>
      <c r="G35" s="209"/>
      <c r="H35" s="209"/>
      <c r="I35" s="209"/>
      <c r="J35" s="210"/>
    </row>
    <row r="36" spans="1:10" ht="15.75" customHeight="1" x14ac:dyDescent="0.25">
      <c r="A36" s="211"/>
      <c r="B36" s="212"/>
      <c r="C36" s="212"/>
      <c r="D36" s="212"/>
      <c r="E36" s="212"/>
      <c r="F36" s="212"/>
      <c r="G36" s="212"/>
      <c r="H36" s="212"/>
      <c r="I36" s="212"/>
      <c r="J36" s="213"/>
    </row>
    <row r="38" spans="1:10" ht="33" customHeight="1" x14ac:dyDescent="0.25">
      <c r="A38" s="330" t="s">
        <v>277</v>
      </c>
      <c r="B38" s="331"/>
      <c r="C38" s="331"/>
      <c r="D38" s="331"/>
      <c r="E38" s="331"/>
      <c r="F38" s="331"/>
      <c r="G38" s="331"/>
      <c r="H38" s="331"/>
      <c r="I38" s="331"/>
      <c r="J38" s="332"/>
    </row>
    <row r="39" spans="1:10" ht="15.75" customHeight="1" x14ac:dyDescent="0.25">
      <c r="A39" s="205" t="s">
        <v>278</v>
      </c>
      <c r="B39" s="227"/>
      <c r="C39" s="227"/>
      <c r="D39" s="227"/>
      <c r="E39" s="227"/>
      <c r="F39" s="227"/>
      <c r="G39" s="227"/>
      <c r="H39" s="227"/>
      <c r="I39" s="227"/>
      <c r="J39" s="228"/>
    </row>
    <row r="40" spans="1:10" ht="15.75" customHeight="1" x14ac:dyDescent="0.25">
      <c r="A40" s="229"/>
      <c r="B40" s="230"/>
      <c r="C40" s="230"/>
      <c r="D40" s="230"/>
      <c r="E40" s="230"/>
      <c r="F40" s="230"/>
      <c r="G40" s="230"/>
      <c r="H40" s="230"/>
      <c r="I40" s="230"/>
      <c r="J40" s="231"/>
    </row>
    <row r="41" spans="1:10" ht="15.75" customHeight="1" x14ac:dyDescent="0.25">
      <c r="A41" s="229"/>
      <c r="B41" s="230"/>
      <c r="C41" s="230"/>
      <c r="D41" s="230"/>
      <c r="E41" s="230"/>
      <c r="F41" s="230"/>
      <c r="G41" s="230"/>
      <c r="H41" s="230"/>
      <c r="I41" s="230"/>
      <c r="J41" s="231"/>
    </row>
    <row r="42" spans="1:10" ht="15.75" customHeight="1" x14ac:dyDescent="0.25">
      <c r="A42" s="229"/>
      <c r="B42" s="230"/>
      <c r="C42" s="230"/>
      <c r="D42" s="230"/>
      <c r="E42" s="230"/>
      <c r="F42" s="230"/>
      <c r="G42" s="230"/>
      <c r="H42" s="230"/>
      <c r="I42" s="230"/>
      <c r="J42" s="231"/>
    </row>
    <row r="43" spans="1:10" ht="15.75" customHeight="1" x14ac:dyDescent="0.25">
      <c r="A43" s="229"/>
      <c r="B43" s="230"/>
      <c r="C43" s="230"/>
      <c r="D43" s="230"/>
      <c r="E43" s="230"/>
      <c r="F43" s="230"/>
      <c r="G43" s="230"/>
      <c r="H43" s="230"/>
      <c r="I43" s="230"/>
      <c r="J43" s="231"/>
    </row>
    <row r="44" spans="1:10" ht="15.75" customHeight="1" x14ac:dyDescent="0.25">
      <c r="A44" s="229"/>
      <c r="B44" s="230"/>
      <c r="C44" s="230"/>
      <c r="D44" s="230"/>
      <c r="E44" s="230"/>
      <c r="F44" s="230"/>
      <c r="G44" s="230"/>
      <c r="H44" s="230"/>
      <c r="I44" s="230"/>
      <c r="J44" s="231"/>
    </row>
    <row r="45" spans="1:10" ht="15.75" customHeight="1" x14ac:dyDescent="0.25">
      <c r="A45" s="229"/>
      <c r="B45" s="230"/>
      <c r="C45" s="230"/>
      <c r="D45" s="230"/>
      <c r="E45" s="230"/>
      <c r="F45" s="230"/>
      <c r="G45" s="230"/>
      <c r="H45" s="230"/>
      <c r="I45" s="230"/>
      <c r="J45" s="231"/>
    </row>
    <row r="46" spans="1:10" ht="15.75" customHeight="1" x14ac:dyDescent="0.25">
      <c r="A46" s="229"/>
      <c r="B46" s="230"/>
      <c r="C46" s="230"/>
      <c r="D46" s="230"/>
      <c r="E46" s="230"/>
      <c r="F46" s="230"/>
      <c r="G46" s="230"/>
      <c r="H46" s="230"/>
      <c r="I46" s="230"/>
      <c r="J46" s="231"/>
    </row>
    <row r="47" spans="1:10" ht="15.75" customHeight="1" x14ac:dyDescent="0.25">
      <c r="A47" s="229"/>
      <c r="B47" s="230"/>
      <c r="C47" s="230"/>
      <c r="D47" s="230"/>
      <c r="E47" s="230"/>
      <c r="F47" s="230"/>
      <c r="G47" s="230"/>
      <c r="H47" s="230"/>
      <c r="I47" s="230"/>
      <c r="J47" s="231"/>
    </row>
    <row r="48" spans="1:10" ht="15.75" customHeight="1" x14ac:dyDescent="0.25">
      <c r="A48" s="232"/>
      <c r="B48" s="233"/>
      <c r="C48" s="233"/>
      <c r="D48" s="233"/>
      <c r="E48" s="233"/>
      <c r="F48" s="233"/>
      <c r="G48" s="233"/>
      <c r="H48" s="233"/>
      <c r="I48" s="233"/>
      <c r="J48" s="234"/>
    </row>
    <row r="66" spans="6:6" x14ac:dyDescent="0.2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115" zoomScaleNormal="115" workbookViewId="0">
      <selection activeCell="I35" sqref="I35"/>
    </sheetView>
  </sheetViews>
  <sheetFormatPr defaultColWidth="9.33203125" defaultRowHeight="15" x14ac:dyDescent="0.25"/>
  <cols>
    <col min="1" max="2" width="8.33203125" style="2" customWidth="1"/>
    <col min="3" max="9" width="9.33203125" style="2"/>
    <col min="10" max="10" width="11.5546875" style="2" customWidth="1"/>
    <col min="11" max="16384" width="9.33203125" style="2"/>
  </cols>
  <sheetData>
    <row r="1" spans="1:10" x14ac:dyDescent="0.25">
      <c r="A1" s="90" t="str">
        <f>+'Cover Page'!$B$29</f>
        <v>Annual Performance Report 2022</v>
      </c>
      <c r="B1" s="90"/>
      <c r="C1" s="90"/>
      <c r="D1" s="90"/>
      <c r="E1" s="90" t="str">
        <f>+'Cover Page'!$B$33</f>
        <v>Tilbury Green Power Plant</v>
      </c>
      <c r="F1" s="90"/>
      <c r="G1" s="90"/>
      <c r="H1" s="90"/>
      <c r="I1" s="90"/>
      <c r="J1" s="90"/>
    </row>
    <row r="3" spans="1:10" ht="15.6" x14ac:dyDescent="0.3">
      <c r="A3" s="1" t="s">
        <v>279</v>
      </c>
      <c r="B3" s="90"/>
      <c r="C3" s="90"/>
      <c r="D3" s="90"/>
      <c r="E3" s="90"/>
      <c r="F3" s="90"/>
      <c r="G3" s="90"/>
      <c r="H3" s="90"/>
      <c r="I3" s="90"/>
      <c r="J3" s="90"/>
    </row>
    <row r="4" spans="1:10" ht="15.6" x14ac:dyDescent="0.3">
      <c r="A4" s="1"/>
      <c r="B4" s="90"/>
      <c r="C4" s="90"/>
      <c r="D4" s="90"/>
      <c r="E4" s="90"/>
      <c r="F4" s="90"/>
      <c r="G4" s="90"/>
      <c r="H4" s="90"/>
      <c r="I4" s="90"/>
      <c r="J4" s="90"/>
    </row>
    <row r="5" spans="1:10" s="3" customFormat="1" ht="28.5" customHeight="1" x14ac:dyDescent="0.25">
      <c r="A5" s="49" t="s">
        <v>280</v>
      </c>
      <c r="B5" s="50"/>
      <c r="C5" s="50"/>
      <c r="D5" s="50"/>
      <c r="E5" s="50"/>
      <c r="F5" s="50"/>
      <c r="G5" s="50"/>
      <c r="H5" s="50"/>
      <c r="I5" s="50"/>
      <c r="J5" s="51"/>
    </row>
    <row r="6" spans="1:10" s="3" customFormat="1" ht="15.75" customHeight="1" x14ac:dyDescent="0.25">
      <c r="A6" s="333" t="s">
        <v>52</v>
      </c>
      <c r="B6" s="335"/>
      <c r="C6" s="333" t="s">
        <v>281</v>
      </c>
      <c r="D6" s="334"/>
      <c r="E6" s="334"/>
      <c r="F6" s="334"/>
      <c r="G6" s="334"/>
      <c r="H6" s="334"/>
      <c r="I6" s="334"/>
      <c r="J6" s="335"/>
    </row>
    <row r="7" spans="1:10" s="3" customFormat="1" ht="15.75" customHeight="1" x14ac:dyDescent="0.25">
      <c r="A7" s="336"/>
      <c r="B7" s="207"/>
      <c r="C7" s="336"/>
      <c r="D7" s="206"/>
      <c r="E7" s="206"/>
      <c r="F7" s="206"/>
      <c r="G7" s="206"/>
      <c r="H7" s="206"/>
      <c r="I7" s="206"/>
      <c r="J7" s="207"/>
    </row>
    <row r="8" spans="1:10" s="3" customFormat="1" ht="15.75" customHeight="1" x14ac:dyDescent="0.25">
      <c r="A8" s="211"/>
      <c r="B8" s="213"/>
      <c r="C8" s="211"/>
      <c r="D8" s="212"/>
      <c r="E8" s="212"/>
      <c r="F8" s="212"/>
      <c r="G8" s="212"/>
      <c r="H8" s="212"/>
      <c r="I8" s="212"/>
      <c r="J8" s="213"/>
    </row>
    <row r="9" spans="1:10" s="3" customFormat="1" ht="15.75" customHeight="1" x14ac:dyDescent="0.25">
      <c r="A9" s="336"/>
      <c r="B9" s="207"/>
      <c r="C9" s="336"/>
      <c r="D9" s="206"/>
      <c r="E9" s="206"/>
      <c r="F9" s="206"/>
      <c r="G9" s="206"/>
      <c r="H9" s="206"/>
      <c r="I9" s="206"/>
      <c r="J9" s="207"/>
    </row>
    <row r="10" spans="1:10" s="3" customFormat="1" ht="15.75" customHeight="1" x14ac:dyDescent="0.25">
      <c r="A10" s="211"/>
      <c r="B10" s="213"/>
      <c r="C10" s="211"/>
      <c r="D10" s="212"/>
      <c r="E10" s="212"/>
      <c r="F10" s="212"/>
      <c r="G10" s="212"/>
      <c r="H10" s="212"/>
      <c r="I10" s="212"/>
      <c r="J10" s="213"/>
    </row>
    <row r="11" spans="1:10" s="3" customFormat="1" ht="15.75" customHeight="1" x14ac:dyDescent="0.25">
      <c r="A11" s="336"/>
      <c r="B11" s="207"/>
      <c r="C11" s="336"/>
      <c r="D11" s="206"/>
      <c r="E11" s="206"/>
      <c r="F11" s="206"/>
      <c r="G11" s="206"/>
      <c r="H11" s="206"/>
      <c r="I11" s="206"/>
      <c r="J11" s="207"/>
    </row>
    <row r="12" spans="1:10" s="3" customFormat="1" ht="15.75" customHeight="1" x14ac:dyDescent="0.25">
      <c r="A12" s="211"/>
      <c r="B12" s="213"/>
      <c r="C12" s="211"/>
      <c r="D12" s="212"/>
      <c r="E12" s="212"/>
      <c r="F12" s="212"/>
      <c r="G12" s="212"/>
      <c r="H12" s="212"/>
      <c r="I12" s="212"/>
      <c r="J12" s="213"/>
    </row>
    <row r="13" spans="1:10" s="3" customFormat="1" ht="15.75" customHeight="1" x14ac:dyDescent="0.25">
      <c r="A13" s="336"/>
      <c r="B13" s="207"/>
      <c r="C13" s="336"/>
      <c r="D13" s="206"/>
      <c r="E13" s="206"/>
      <c r="F13" s="206"/>
      <c r="G13" s="206"/>
      <c r="H13" s="206"/>
      <c r="I13" s="206"/>
      <c r="J13" s="207"/>
    </row>
    <row r="14" spans="1:10" s="3" customFormat="1" ht="15.75" customHeight="1" x14ac:dyDescent="0.25">
      <c r="A14" s="211"/>
      <c r="B14" s="213"/>
      <c r="C14" s="211"/>
      <c r="D14" s="212"/>
      <c r="E14" s="212"/>
      <c r="F14" s="212"/>
      <c r="G14" s="212"/>
      <c r="H14" s="212"/>
      <c r="I14" s="212"/>
      <c r="J14" s="213"/>
    </row>
    <row r="15" spans="1:10" s="3" customFormat="1" ht="13.8" x14ac:dyDescent="0.25"/>
    <row r="16" spans="1:10" s="48" customFormat="1" ht="33.75" customHeight="1" x14ac:dyDescent="0.3">
      <c r="A16" s="330" t="s">
        <v>282</v>
      </c>
      <c r="B16" s="331"/>
      <c r="C16" s="331"/>
      <c r="D16" s="331"/>
      <c r="E16" s="331"/>
      <c r="F16" s="331"/>
      <c r="G16" s="331"/>
      <c r="H16" s="331"/>
      <c r="I16" s="331"/>
      <c r="J16" s="332"/>
    </row>
    <row r="17" spans="1:10" ht="15.75" customHeight="1" x14ac:dyDescent="0.25">
      <c r="A17" s="333" t="s">
        <v>52</v>
      </c>
      <c r="B17" s="335"/>
      <c r="C17" s="333" t="s">
        <v>281</v>
      </c>
      <c r="D17" s="334"/>
      <c r="E17" s="334"/>
      <c r="F17" s="334"/>
      <c r="G17" s="334"/>
      <c r="H17" s="334"/>
      <c r="I17" s="334"/>
      <c r="J17" s="334"/>
    </row>
    <row r="18" spans="1:10" ht="15.75" customHeight="1" x14ac:dyDescent="0.25">
      <c r="A18" s="337" t="s">
        <v>283</v>
      </c>
      <c r="B18" s="338"/>
      <c r="C18" s="337" t="s">
        <v>284</v>
      </c>
      <c r="D18" s="341"/>
      <c r="E18" s="341"/>
      <c r="F18" s="341"/>
      <c r="G18" s="341"/>
      <c r="H18" s="341"/>
      <c r="I18" s="341"/>
      <c r="J18" s="338"/>
    </row>
    <row r="19" spans="1:10" ht="15.75" customHeight="1" x14ac:dyDescent="0.25">
      <c r="A19" s="339"/>
      <c r="B19" s="340"/>
      <c r="C19" s="339"/>
      <c r="D19" s="342"/>
      <c r="E19" s="342"/>
      <c r="F19" s="342"/>
      <c r="G19" s="342"/>
      <c r="H19" s="342"/>
      <c r="I19" s="342"/>
      <c r="J19" s="340"/>
    </row>
    <row r="20" spans="1:10" ht="15.75" customHeight="1" x14ac:dyDescent="0.25">
      <c r="A20" s="336"/>
      <c r="B20" s="207"/>
      <c r="C20" s="336"/>
      <c r="D20" s="206"/>
      <c r="E20" s="206"/>
      <c r="F20" s="206"/>
      <c r="G20" s="206"/>
      <c r="H20" s="206"/>
      <c r="I20" s="206"/>
      <c r="J20" s="207"/>
    </row>
    <row r="21" spans="1:10" ht="15.75" customHeight="1" x14ac:dyDescent="0.25">
      <c r="A21" s="211"/>
      <c r="B21" s="213"/>
      <c r="C21" s="211"/>
      <c r="D21" s="212"/>
      <c r="E21" s="212"/>
      <c r="F21" s="212"/>
      <c r="G21" s="212"/>
      <c r="H21" s="212"/>
      <c r="I21" s="212"/>
      <c r="J21" s="213"/>
    </row>
    <row r="22" spans="1:10" ht="15.75" customHeight="1" x14ac:dyDescent="0.25">
      <c r="A22" s="336"/>
      <c r="B22" s="207"/>
      <c r="C22" s="336"/>
      <c r="D22" s="206"/>
      <c r="E22" s="206"/>
      <c r="F22" s="206"/>
      <c r="G22" s="206"/>
      <c r="H22" s="206"/>
      <c r="I22" s="206"/>
      <c r="J22" s="207"/>
    </row>
    <row r="23" spans="1:10" ht="15.75" customHeight="1" x14ac:dyDescent="0.25">
      <c r="A23" s="211"/>
      <c r="B23" s="213"/>
      <c r="C23" s="211"/>
      <c r="D23" s="212"/>
      <c r="E23" s="212"/>
      <c r="F23" s="212"/>
      <c r="G23" s="212"/>
      <c r="H23" s="212"/>
      <c r="I23" s="212"/>
      <c r="J23" s="213"/>
    </row>
    <row r="24" spans="1:10" ht="15.75" customHeight="1" x14ac:dyDescent="0.25">
      <c r="A24" s="336"/>
      <c r="B24" s="207"/>
      <c r="C24" s="336"/>
      <c r="D24" s="206"/>
      <c r="E24" s="206"/>
      <c r="F24" s="206"/>
      <c r="G24" s="206"/>
      <c r="H24" s="206"/>
      <c r="I24" s="206"/>
      <c r="J24" s="207"/>
    </row>
    <row r="25" spans="1:10" ht="15.75" customHeight="1" x14ac:dyDescent="0.25">
      <c r="A25" s="211"/>
      <c r="B25" s="213"/>
      <c r="C25" s="211"/>
      <c r="D25" s="212"/>
      <c r="E25" s="212"/>
      <c r="F25" s="212"/>
      <c r="G25" s="212"/>
      <c r="H25" s="212"/>
      <c r="I25" s="212"/>
      <c r="J25" s="213"/>
    </row>
    <row r="26" spans="1:10" ht="15.75" customHeight="1" x14ac:dyDescent="0.25">
      <c r="A26" s="336"/>
      <c r="B26" s="207"/>
      <c r="C26" s="336"/>
      <c r="D26" s="206"/>
      <c r="E26" s="206"/>
      <c r="F26" s="206"/>
      <c r="G26" s="206"/>
      <c r="H26" s="206"/>
      <c r="I26" s="206"/>
      <c r="J26" s="207"/>
    </row>
    <row r="27" spans="1:10" ht="15.75" customHeight="1" x14ac:dyDescent="0.25">
      <c r="A27" s="211"/>
      <c r="B27" s="213"/>
      <c r="C27" s="211"/>
      <c r="D27" s="212"/>
      <c r="E27" s="212"/>
      <c r="F27" s="212"/>
      <c r="G27" s="212"/>
      <c r="H27" s="212"/>
      <c r="I27" s="212"/>
      <c r="J27" s="213"/>
    </row>
    <row r="28" spans="1:10" ht="15.6" x14ac:dyDescent="0.3">
      <c r="A28" s="1"/>
      <c r="B28" s="90"/>
      <c r="C28" s="90"/>
      <c r="D28" s="90"/>
      <c r="E28" s="90"/>
      <c r="F28" s="90"/>
      <c r="G28" s="90"/>
      <c r="H28" s="90"/>
      <c r="I28" s="90"/>
      <c r="J28" s="90"/>
    </row>
    <row r="29" spans="1:10" ht="36.75" customHeight="1" x14ac:dyDescent="0.25">
      <c r="A29" s="330" t="s">
        <v>285</v>
      </c>
      <c r="B29" s="331"/>
      <c r="C29" s="331"/>
      <c r="D29" s="331"/>
      <c r="E29" s="331"/>
      <c r="F29" s="331"/>
      <c r="G29" s="331"/>
      <c r="H29" s="331"/>
      <c r="I29" s="331"/>
      <c r="J29" s="332"/>
    </row>
    <row r="66" spans="6:6" x14ac:dyDescent="0.25">
      <c r="F66" s="3"/>
    </row>
  </sheetData>
  <mergeCells count="24">
    <mergeCell ref="A24:B25"/>
    <mergeCell ref="C24:J25"/>
    <mergeCell ref="A26:B27"/>
    <mergeCell ref="C26:J27"/>
    <mergeCell ref="A29:J29"/>
    <mergeCell ref="A18:B19"/>
    <mergeCell ref="C18:J19"/>
    <mergeCell ref="A20:B21"/>
    <mergeCell ref="C20:J21"/>
    <mergeCell ref="A22:B23"/>
    <mergeCell ref="C22:J23"/>
    <mergeCell ref="A17:B17"/>
    <mergeCell ref="C17:J17"/>
    <mergeCell ref="A6:B6"/>
    <mergeCell ref="C6:J6"/>
    <mergeCell ref="A7:B8"/>
    <mergeCell ref="C7:J8"/>
    <mergeCell ref="A9:B10"/>
    <mergeCell ref="C9:J10"/>
    <mergeCell ref="A11:B12"/>
    <mergeCell ref="C11:J12"/>
    <mergeCell ref="A13:B14"/>
    <mergeCell ref="C13:J14"/>
    <mergeCell ref="A16:J16"/>
  </mergeCells>
  <pageMargins left="0.7" right="0.7" top="0.75" bottom="0.75" header="0.3" footer="0.3"/>
  <pageSetup paperSize="9" scale="87" orientation="portrait"/>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opLeftCell="A35" zoomScale="130" zoomScaleNormal="130" workbookViewId="0">
      <selection activeCell="A10" sqref="A10:G11"/>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90" t="str">
        <f>+'Cover Page'!$B$29</f>
        <v>Annual Performance Report 2022</v>
      </c>
      <c r="B1" s="90"/>
      <c r="C1" s="90"/>
      <c r="D1" s="90"/>
      <c r="E1" s="90" t="str">
        <f>+'Cover Page'!$B$33</f>
        <v>Tilbury Green Power Plant</v>
      </c>
      <c r="F1" s="90"/>
      <c r="G1" s="90"/>
    </row>
    <row r="3" spans="1:7" ht="15.6" x14ac:dyDescent="0.3">
      <c r="A3" s="1" t="s">
        <v>286</v>
      </c>
      <c r="B3" s="90"/>
      <c r="C3" s="90"/>
      <c r="D3" s="90"/>
      <c r="E3" s="90"/>
      <c r="F3" s="90"/>
      <c r="G3" s="90"/>
    </row>
    <row r="4" spans="1:7" ht="15.6" x14ac:dyDescent="0.3">
      <c r="A4" s="1"/>
      <c r="B4" s="90"/>
      <c r="C4" s="90"/>
      <c r="D4" s="90"/>
      <c r="E4" s="90"/>
      <c r="F4" s="90"/>
      <c r="G4" s="90"/>
    </row>
    <row r="5" spans="1:7" s="3" customFormat="1" ht="21.75" customHeight="1" x14ac:dyDescent="0.25">
      <c r="A5" s="49" t="s">
        <v>287</v>
      </c>
      <c r="B5" s="50"/>
      <c r="C5" s="50"/>
      <c r="D5" s="50"/>
      <c r="E5" s="50"/>
      <c r="F5" s="50"/>
      <c r="G5" s="51"/>
    </row>
    <row r="6" spans="1:7" s="3" customFormat="1" ht="15.75" customHeight="1" x14ac:dyDescent="0.25">
      <c r="A6" s="336" t="s">
        <v>288</v>
      </c>
      <c r="B6" s="206"/>
      <c r="C6" s="206"/>
      <c r="D6" s="206"/>
      <c r="E6" s="206"/>
      <c r="F6" s="206"/>
      <c r="G6" s="207"/>
    </row>
    <row r="7" spans="1:7" s="3" customFormat="1" ht="15.75" customHeight="1" x14ac:dyDescent="0.25">
      <c r="A7" s="211"/>
      <c r="B7" s="212"/>
      <c r="C7" s="212"/>
      <c r="D7" s="212"/>
      <c r="E7" s="212"/>
      <c r="F7" s="212"/>
      <c r="G7" s="213"/>
    </row>
    <row r="8" spans="1:7" s="3" customFormat="1" ht="15.75" customHeight="1" x14ac:dyDescent="0.25">
      <c r="A8" s="205" t="s">
        <v>289</v>
      </c>
      <c r="B8" s="227"/>
      <c r="C8" s="227"/>
      <c r="D8" s="227"/>
      <c r="E8" s="227"/>
      <c r="F8" s="227"/>
      <c r="G8" s="228"/>
    </row>
    <row r="9" spans="1:7" s="3" customFormat="1" ht="15.75" customHeight="1" x14ac:dyDescent="0.25">
      <c r="A9" s="232"/>
      <c r="B9" s="233"/>
      <c r="C9" s="233"/>
      <c r="D9" s="233"/>
      <c r="E9" s="233"/>
      <c r="F9" s="233"/>
      <c r="G9" s="234"/>
    </row>
    <row r="10" spans="1:7" s="3" customFormat="1" ht="15.75" customHeight="1" x14ac:dyDescent="0.25">
      <c r="A10" s="205"/>
      <c r="B10" s="227"/>
      <c r="C10" s="227"/>
      <c r="D10" s="227"/>
      <c r="E10" s="227"/>
      <c r="F10" s="227"/>
      <c r="G10" s="228"/>
    </row>
    <row r="11" spans="1:7" s="3" customFormat="1" ht="15.75" customHeight="1" x14ac:dyDescent="0.25">
      <c r="A11" s="232"/>
      <c r="B11" s="233"/>
      <c r="C11" s="233"/>
      <c r="D11" s="233"/>
      <c r="E11" s="233"/>
      <c r="F11" s="233"/>
      <c r="G11" s="234"/>
    </row>
    <row r="12" spans="1:7" s="3" customFormat="1" ht="13.8" x14ac:dyDescent="0.25"/>
    <row r="13" spans="1:7" s="48" customFormat="1" ht="33.75" customHeight="1" x14ac:dyDescent="0.3">
      <c r="A13" s="330" t="s">
        <v>290</v>
      </c>
      <c r="B13" s="331"/>
      <c r="C13" s="331"/>
      <c r="D13" s="331"/>
      <c r="E13" s="331"/>
      <c r="F13" s="331"/>
      <c r="G13" s="332"/>
    </row>
    <row r="14" spans="1:7" ht="15.75" customHeight="1" x14ac:dyDescent="0.25">
      <c r="A14" s="333" t="s">
        <v>291</v>
      </c>
      <c r="B14" s="335"/>
      <c r="C14" s="333" t="s">
        <v>281</v>
      </c>
      <c r="D14" s="334"/>
      <c r="E14" s="334"/>
      <c r="F14" s="334"/>
      <c r="G14" s="334"/>
    </row>
    <row r="15" spans="1:7" ht="15.75" customHeight="1" x14ac:dyDescent="0.25">
      <c r="A15" s="205"/>
      <c r="B15" s="228"/>
      <c r="C15" s="336"/>
      <c r="D15" s="206"/>
      <c r="E15" s="206"/>
      <c r="F15" s="206"/>
      <c r="G15" s="207"/>
    </row>
    <row r="16" spans="1:7" ht="15.75" customHeight="1" x14ac:dyDescent="0.25">
      <c r="A16" s="232"/>
      <c r="B16" s="234"/>
      <c r="C16" s="211"/>
      <c r="D16" s="212"/>
      <c r="E16" s="212"/>
      <c r="F16" s="212"/>
      <c r="G16" s="213"/>
    </row>
    <row r="17" spans="1:11" ht="15.75" customHeight="1" x14ac:dyDescent="0.25">
      <c r="A17" s="336"/>
      <c r="B17" s="207"/>
      <c r="C17" s="336"/>
      <c r="D17" s="206"/>
      <c r="E17" s="206"/>
      <c r="F17" s="206"/>
      <c r="G17" s="207"/>
      <c r="H17" s="90"/>
      <c r="I17" s="90"/>
      <c r="J17" s="90"/>
      <c r="K17" s="90"/>
    </row>
    <row r="18" spans="1:11" ht="15.75" customHeight="1" x14ac:dyDescent="0.25">
      <c r="A18" s="211"/>
      <c r="B18" s="213"/>
      <c r="C18" s="211"/>
      <c r="D18" s="212"/>
      <c r="E18" s="212"/>
      <c r="F18" s="212"/>
      <c r="G18" s="213"/>
      <c r="H18" s="90"/>
      <c r="I18" s="90"/>
      <c r="J18" s="90"/>
      <c r="K18" s="90"/>
    </row>
    <row r="19" spans="1:11" ht="15.75" customHeight="1" x14ac:dyDescent="0.25">
      <c r="A19" s="336"/>
      <c r="B19" s="207"/>
      <c r="C19" s="336"/>
      <c r="D19" s="206"/>
      <c r="E19" s="206"/>
      <c r="F19" s="206"/>
      <c r="G19" s="207"/>
      <c r="H19" s="90"/>
      <c r="I19" s="90"/>
      <c r="J19" s="90"/>
      <c r="K19" s="90"/>
    </row>
    <row r="20" spans="1:11" ht="15.75" customHeight="1" x14ac:dyDescent="0.25">
      <c r="A20" s="211"/>
      <c r="B20" s="213"/>
      <c r="C20" s="211"/>
      <c r="D20" s="212"/>
      <c r="E20" s="212"/>
      <c r="F20" s="212"/>
      <c r="G20" s="213"/>
      <c r="H20" s="90"/>
      <c r="I20" s="90"/>
      <c r="J20" s="90"/>
      <c r="K20" s="90"/>
    </row>
    <row r="21" spans="1:11" ht="15.75" customHeight="1" x14ac:dyDescent="0.25">
      <c r="A21" s="336"/>
      <c r="B21" s="207"/>
      <c r="C21" s="336"/>
      <c r="D21" s="206"/>
      <c r="E21" s="206"/>
      <c r="F21" s="206"/>
      <c r="G21" s="207"/>
      <c r="H21" s="90"/>
      <c r="I21" s="90"/>
      <c r="J21" s="90"/>
      <c r="K21" s="90"/>
    </row>
    <row r="22" spans="1:11" ht="15.75" customHeight="1" x14ac:dyDescent="0.25">
      <c r="A22" s="211"/>
      <c r="B22" s="213"/>
      <c r="C22" s="211"/>
      <c r="D22" s="212"/>
      <c r="E22" s="212"/>
      <c r="F22" s="212"/>
      <c r="G22" s="213"/>
      <c r="H22" s="90"/>
      <c r="I22" s="90"/>
      <c r="J22" s="90"/>
      <c r="K22" s="90"/>
    </row>
    <row r="23" spans="1:11" ht="15.75" customHeight="1" x14ac:dyDescent="0.25">
      <c r="A23" s="336"/>
      <c r="B23" s="207"/>
      <c r="C23" s="336"/>
      <c r="D23" s="206"/>
      <c r="E23" s="206"/>
      <c r="F23" s="206"/>
      <c r="G23" s="207"/>
      <c r="H23" s="90"/>
      <c r="I23" s="90"/>
      <c r="J23" s="90"/>
      <c r="K23" s="90"/>
    </row>
    <row r="24" spans="1:11" ht="15.75" customHeight="1" x14ac:dyDescent="0.25">
      <c r="A24" s="211"/>
      <c r="B24" s="213"/>
      <c r="C24" s="211"/>
      <c r="D24" s="212"/>
      <c r="E24" s="212"/>
      <c r="F24" s="212"/>
      <c r="G24" s="213"/>
      <c r="H24" s="90"/>
      <c r="I24" s="90"/>
      <c r="J24" s="90"/>
      <c r="K24" s="90"/>
    </row>
    <row r="26" spans="1:11" x14ac:dyDescent="0.25">
      <c r="A26" s="129"/>
      <c r="B26" s="129"/>
      <c r="C26" s="129"/>
      <c r="D26" s="129"/>
      <c r="E26" s="129"/>
      <c r="F26" s="129"/>
      <c r="G26" s="129"/>
      <c r="H26" s="90"/>
      <c r="I26" s="90"/>
      <c r="J26" s="90"/>
      <c r="K26" s="90"/>
    </row>
    <row r="27" spans="1:11" s="57" customFormat="1" ht="16.5" customHeight="1" x14ac:dyDescent="0.25">
      <c r="A27" s="343" t="s">
        <v>292</v>
      </c>
      <c r="B27" s="343"/>
      <c r="C27" s="343"/>
      <c r="D27" s="343"/>
      <c r="E27" s="343"/>
      <c r="F27" s="343"/>
      <c r="G27" s="343"/>
    </row>
    <row r="28" spans="1:11" s="12" customFormat="1" ht="17.25" customHeight="1" x14ac:dyDescent="0.25">
      <c r="A28" s="345" t="s">
        <v>293</v>
      </c>
      <c r="B28" s="345"/>
      <c r="C28" s="302" t="s">
        <v>294</v>
      </c>
      <c r="D28" s="302" t="s">
        <v>295</v>
      </c>
      <c r="E28" s="302"/>
      <c r="F28" s="302"/>
      <c r="G28" s="302"/>
      <c r="H28" s="129"/>
      <c r="I28" s="129"/>
      <c r="J28" s="129"/>
      <c r="K28" s="129"/>
    </row>
    <row r="29" spans="1:11" s="12" customFormat="1" ht="17.25" customHeight="1" x14ac:dyDescent="0.25">
      <c r="A29" s="345"/>
      <c r="B29" s="345"/>
      <c r="C29" s="302"/>
      <c r="D29" s="302" t="s">
        <v>296</v>
      </c>
      <c r="E29" s="302"/>
      <c r="F29" s="302" t="s">
        <v>163</v>
      </c>
      <c r="G29" s="302"/>
      <c r="H29" s="129"/>
      <c r="I29" s="129"/>
      <c r="J29" s="129"/>
      <c r="K29" s="129"/>
    </row>
    <row r="30" spans="1:11" s="38" customFormat="1" ht="38.1" customHeight="1" x14ac:dyDescent="0.25">
      <c r="A30" s="235" t="s">
        <v>297</v>
      </c>
      <c r="B30" s="235"/>
      <c r="C30" s="172" t="s">
        <v>298</v>
      </c>
      <c r="D30" s="285" t="s">
        <v>276</v>
      </c>
      <c r="E30" s="285"/>
      <c r="F30" s="346"/>
      <c r="G30" s="347"/>
      <c r="H30" s="167"/>
      <c r="I30" s="167"/>
      <c r="J30" s="129"/>
      <c r="K30" s="129"/>
    </row>
    <row r="31" spans="1:11" s="38" customFormat="1" ht="38.1" customHeight="1" x14ac:dyDescent="0.25">
      <c r="A31" s="235" t="s">
        <v>299</v>
      </c>
      <c r="B31" s="235"/>
      <c r="C31" s="106" t="s">
        <v>300</v>
      </c>
      <c r="D31" s="285" t="s">
        <v>301</v>
      </c>
      <c r="E31" s="285"/>
      <c r="F31" s="346"/>
      <c r="G31" s="347"/>
      <c r="H31" s="167"/>
      <c r="I31" s="167"/>
      <c r="J31" s="129"/>
      <c r="K31" s="129"/>
    </row>
    <row r="32" spans="1:11" s="38" customFormat="1" ht="38.1" customHeight="1" x14ac:dyDescent="0.25">
      <c r="A32" s="235" t="s">
        <v>302</v>
      </c>
      <c r="B32" s="235"/>
      <c r="C32" s="106" t="s">
        <v>303</v>
      </c>
      <c r="D32" s="285" t="s">
        <v>304</v>
      </c>
      <c r="E32" s="285"/>
      <c r="F32" s="348" t="s">
        <v>305</v>
      </c>
      <c r="G32" s="349"/>
      <c r="H32" s="167"/>
      <c r="I32" s="167"/>
      <c r="J32" s="129"/>
      <c r="K32" s="129"/>
    </row>
    <row r="33" spans="1:7" s="38" customFormat="1" ht="38.1" customHeight="1" x14ac:dyDescent="0.3">
      <c r="A33" s="235" t="s">
        <v>306</v>
      </c>
      <c r="B33" s="235"/>
      <c r="C33" s="106" t="s">
        <v>303</v>
      </c>
      <c r="D33" s="285" t="s">
        <v>276</v>
      </c>
      <c r="E33" s="285"/>
      <c r="F33" s="346"/>
      <c r="G33" s="347"/>
    </row>
    <row r="35" spans="1:7" x14ac:dyDescent="0.25">
      <c r="A35" s="256" t="s">
        <v>307</v>
      </c>
      <c r="B35" s="256"/>
      <c r="C35" s="256"/>
      <c r="D35" s="256"/>
      <c r="E35" s="256"/>
      <c r="F35" s="256"/>
      <c r="G35" s="256"/>
    </row>
    <row r="36" spans="1:7" x14ac:dyDescent="0.25">
      <c r="A36" s="344"/>
      <c r="B36" s="344"/>
      <c r="C36" s="344"/>
      <c r="D36" s="344"/>
      <c r="E36" s="344"/>
      <c r="F36" s="344"/>
      <c r="G36" s="344"/>
    </row>
    <row r="37" spans="1:7" x14ac:dyDescent="0.25">
      <c r="A37" s="344"/>
      <c r="B37" s="344"/>
      <c r="C37" s="344"/>
      <c r="D37" s="344"/>
      <c r="E37" s="344"/>
      <c r="F37" s="344"/>
      <c r="G37" s="344"/>
    </row>
    <row r="38" spans="1:7" x14ac:dyDescent="0.25">
      <c r="A38" s="344"/>
      <c r="B38" s="344"/>
      <c r="C38" s="344"/>
      <c r="D38" s="344"/>
      <c r="E38" s="344"/>
      <c r="F38" s="344"/>
      <c r="G38" s="344"/>
    </row>
    <row r="39" spans="1:7" x14ac:dyDescent="0.25">
      <c r="A39" s="344"/>
      <c r="B39" s="344"/>
      <c r="C39" s="344"/>
      <c r="D39" s="344"/>
      <c r="E39" s="344"/>
      <c r="F39" s="344"/>
      <c r="G39" s="344"/>
    </row>
    <row r="40" spans="1:7" x14ac:dyDescent="0.25">
      <c r="A40" s="344"/>
      <c r="B40" s="344"/>
      <c r="C40" s="344"/>
      <c r="D40" s="344"/>
      <c r="E40" s="344"/>
      <c r="F40" s="344"/>
      <c r="G40" s="344"/>
    </row>
    <row r="41" spans="1:7" x14ac:dyDescent="0.25">
      <c r="A41" s="344"/>
      <c r="B41" s="344"/>
      <c r="C41" s="344"/>
      <c r="D41" s="344"/>
      <c r="E41" s="344"/>
      <c r="F41" s="344"/>
      <c r="G41" s="344"/>
    </row>
    <row r="56" spans="6:6" x14ac:dyDescent="0.25">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zoomScaleNormal="100" workbookViewId="0">
      <selection activeCell="A8" sqref="A8:J9"/>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90" t="str">
        <f>+'Cover Page'!$B$29</f>
        <v>Annual Performance Report 2022</v>
      </c>
      <c r="B1" s="90"/>
      <c r="C1" s="90"/>
      <c r="D1" s="90"/>
      <c r="E1" s="90" t="str">
        <f>+'Cover Page'!$B$33</f>
        <v>Tilbury Green Power Plant</v>
      </c>
      <c r="F1" s="90"/>
      <c r="G1" s="90"/>
      <c r="H1" s="90"/>
      <c r="I1" s="90"/>
      <c r="J1" s="90"/>
    </row>
    <row r="3" spans="1:10" ht="15.6" x14ac:dyDescent="0.3">
      <c r="A3" s="1" t="s">
        <v>40</v>
      </c>
      <c r="B3" s="90"/>
      <c r="C3" s="90"/>
      <c r="D3" s="90"/>
      <c r="E3" s="90"/>
      <c r="F3" s="90"/>
      <c r="G3" s="90"/>
      <c r="H3" s="90"/>
      <c r="I3" s="90"/>
      <c r="J3" s="90"/>
    </row>
    <row r="4" spans="1:10" ht="15.6" x14ac:dyDescent="0.3">
      <c r="A4" s="1"/>
      <c r="B4" s="90"/>
      <c r="C4" s="90"/>
      <c r="D4" s="90"/>
      <c r="E4" s="90"/>
      <c r="F4" s="90"/>
      <c r="G4" s="90"/>
      <c r="H4" s="90"/>
      <c r="I4" s="90"/>
      <c r="J4" s="90"/>
    </row>
    <row r="5" spans="1:10" s="3" customFormat="1" ht="21.75" customHeight="1" x14ac:dyDescent="0.25">
      <c r="A5" s="49" t="s">
        <v>287</v>
      </c>
      <c r="B5" s="50"/>
      <c r="C5" s="50"/>
      <c r="D5" s="50"/>
      <c r="E5" s="50"/>
      <c r="F5" s="50"/>
      <c r="G5" s="50"/>
      <c r="H5" s="50"/>
      <c r="I5" s="50"/>
      <c r="J5" s="51"/>
    </row>
    <row r="6" spans="1:10" s="3" customFormat="1" ht="15.75" customHeight="1" x14ac:dyDescent="0.25">
      <c r="A6" s="337" t="s">
        <v>308</v>
      </c>
      <c r="B6" s="341"/>
      <c r="C6" s="341"/>
      <c r="D6" s="341"/>
      <c r="E6" s="341"/>
      <c r="F6" s="341"/>
      <c r="G6" s="341"/>
      <c r="H6" s="341"/>
      <c r="I6" s="341"/>
      <c r="J6" s="338"/>
    </row>
    <row r="7" spans="1:10" s="3" customFormat="1" ht="15.75" customHeight="1" x14ac:dyDescent="0.25">
      <c r="A7" s="339"/>
      <c r="B7" s="342"/>
      <c r="C7" s="342"/>
      <c r="D7" s="342"/>
      <c r="E7" s="342"/>
      <c r="F7" s="342"/>
      <c r="G7" s="342"/>
      <c r="H7" s="342"/>
      <c r="I7" s="342"/>
      <c r="J7" s="340"/>
    </row>
    <row r="8" spans="1:10" s="3" customFormat="1" ht="15.75" customHeight="1" x14ac:dyDescent="0.25">
      <c r="A8" s="350" t="s">
        <v>309</v>
      </c>
      <c r="B8" s="351"/>
      <c r="C8" s="351"/>
      <c r="D8" s="351"/>
      <c r="E8" s="351"/>
      <c r="F8" s="351"/>
      <c r="G8" s="351"/>
      <c r="H8" s="351"/>
      <c r="I8" s="351"/>
      <c r="J8" s="352"/>
    </row>
    <row r="9" spans="1:10" s="3" customFormat="1" ht="15.75" customHeight="1" x14ac:dyDescent="0.25">
      <c r="A9" s="353"/>
      <c r="B9" s="354"/>
      <c r="C9" s="354"/>
      <c r="D9" s="354"/>
      <c r="E9" s="354"/>
      <c r="F9" s="354"/>
      <c r="G9" s="354"/>
      <c r="H9" s="354"/>
      <c r="I9" s="354"/>
      <c r="J9" s="355"/>
    </row>
    <row r="10" spans="1:10" s="3" customFormat="1" ht="15.75" customHeight="1" x14ac:dyDescent="0.25">
      <c r="A10" s="205"/>
      <c r="B10" s="227"/>
      <c r="C10" s="227"/>
      <c r="D10" s="227"/>
      <c r="E10" s="227"/>
      <c r="F10" s="227"/>
      <c r="G10" s="227"/>
      <c r="H10" s="227"/>
      <c r="I10" s="227"/>
      <c r="J10" s="228"/>
    </row>
    <row r="11" spans="1:10" s="3" customFormat="1" ht="15.75" customHeight="1" x14ac:dyDescent="0.25">
      <c r="A11" s="232"/>
      <c r="B11" s="233"/>
      <c r="C11" s="233"/>
      <c r="D11" s="233"/>
      <c r="E11" s="233"/>
      <c r="F11" s="233"/>
      <c r="G11" s="233"/>
      <c r="H11" s="233"/>
      <c r="I11" s="233"/>
      <c r="J11" s="234"/>
    </row>
    <row r="12" spans="1:10" s="3" customFormat="1" ht="13.8" x14ac:dyDescent="0.25"/>
    <row r="13" spans="1:10" s="48" customFormat="1" ht="33.75" customHeight="1" x14ac:dyDescent="0.3">
      <c r="A13" s="330" t="s">
        <v>290</v>
      </c>
      <c r="B13" s="331"/>
      <c r="C13" s="331"/>
      <c r="D13" s="331"/>
      <c r="E13" s="331"/>
      <c r="F13" s="331"/>
      <c r="G13" s="331"/>
      <c r="H13" s="331"/>
      <c r="I13" s="331"/>
      <c r="J13" s="332"/>
    </row>
    <row r="14" spans="1:10" ht="15.75" customHeight="1" x14ac:dyDescent="0.25">
      <c r="A14" s="333" t="s">
        <v>291</v>
      </c>
      <c r="B14" s="335"/>
      <c r="C14" s="333" t="s">
        <v>281</v>
      </c>
      <c r="D14" s="334"/>
      <c r="E14" s="334"/>
      <c r="F14" s="334"/>
      <c r="G14" s="334"/>
      <c r="H14" s="334"/>
      <c r="I14" s="334"/>
      <c r="J14" s="334"/>
    </row>
    <row r="15" spans="1:10" ht="15.75" customHeight="1" x14ac:dyDescent="0.25">
      <c r="A15" s="205"/>
      <c r="B15" s="228"/>
      <c r="C15" s="336"/>
      <c r="D15" s="206"/>
      <c r="E15" s="206"/>
      <c r="F15" s="206"/>
      <c r="G15" s="206"/>
      <c r="H15" s="206"/>
      <c r="I15" s="206"/>
      <c r="J15" s="207"/>
    </row>
    <row r="16" spans="1:10" ht="15.75" customHeight="1" x14ac:dyDescent="0.25">
      <c r="A16" s="232"/>
      <c r="B16" s="234"/>
      <c r="C16" s="211"/>
      <c r="D16" s="212"/>
      <c r="E16" s="212"/>
      <c r="F16" s="212"/>
      <c r="G16" s="212"/>
      <c r="H16" s="212"/>
      <c r="I16" s="212"/>
      <c r="J16" s="213"/>
    </row>
    <row r="17" spans="1:10" ht="15.75" customHeight="1" x14ac:dyDescent="0.25">
      <c r="A17" s="336"/>
      <c r="B17" s="207"/>
      <c r="C17" s="336"/>
      <c r="D17" s="206"/>
      <c r="E17" s="206"/>
      <c r="F17" s="206"/>
      <c r="G17" s="206"/>
      <c r="H17" s="206"/>
      <c r="I17" s="206"/>
      <c r="J17" s="207"/>
    </row>
    <row r="18" spans="1:10" ht="15.75" customHeight="1" x14ac:dyDescent="0.25">
      <c r="A18" s="211"/>
      <c r="B18" s="213"/>
      <c r="C18" s="211"/>
      <c r="D18" s="212"/>
      <c r="E18" s="212"/>
      <c r="F18" s="212"/>
      <c r="G18" s="212"/>
      <c r="H18" s="212"/>
      <c r="I18" s="212"/>
      <c r="J18" s="213"/>
    </row>
    <row r="19" spans="1:10" ht="15.75" customHeight="1" x14ac:dyDescent="0.25">
      <c r="A19" s="336"/>
      <c r="B19" s="207"/>
      <c r="C19" s="336"/>
      <c r="D19" s="206"/>
      <c r="E19" s="206"/>
      <c r="F19" s="206"/>
      <c r="G19" s="206"/>
      <c r="H19" s="206"/>
      <c r="I19" s="206"/>
      <c r="J19" s="207"/>
    </row>
    <row r="20" spans="1:10" ht="15.75" customHeight="1" x14ac:dyDescent="0.25">
      <c r="A20" s="211"/>
      <c r="B20" s="213"/>
      <c r="C20" s="211"/>
      <c r="D20" s="212"/>
      <c r="E20" s="212"/>
      <c r="F20" s="212"/>
      <c r="G20" s="212"/>
      <c r="H20" s="212"/>
      <c r="I20" s="212"/>
      <c r="J20" s="213"/>
    </row>
    <row r="22" spans="1:10" ht="22.5" customHeight="1" x14ac:dyDescent="0.25">
      <c r="A22" s="356" t="s">
        <v>310</v>
      </c>
      <c r="B22" s="357"/>
      <c r="C22" s="357"/>
      <c r="D22" s="357"/>
      <c r="E22" s="357"/>
      <c r="F22" s="357"/>
      <c r="G22" s="357"/>
      <c r="H22" s="357"/>
      <c r="I22" s="357"/>
      <c r="J22" s="357"/>
    </row>
    <row r="23" spans="1:10" ht="19.5" customHeight="1" x14ac:dyDescent="0.25">
      <c r="A23" s="358" t="s">
        <v>186</v>
      </c>
      <c r="B23" s="359"/>
      <c r="C23" s="360"/>
      <c r="D23" s="361" t="s">
        <v>311</v>
      </c>
      <c r="E23" s="362"/>
      <c r="F23" s="363"/>
      <c r="G23" s="55" t="s">
        <v>294</v>
      </c>
      <c r="H23" s="55" t="s">
        <v>312</v>
      </c>
      <c r="I23" s="55" t="s">
        <v>313</v>
      </c>
      <c r="J23" s="55" t="s">
        <v>314</v>
      </c>
    </row>
    <row r="24" spans="1:10" x14ac:dyDescent="0.25">
      <c r="A24" s="364"/>
      <c r="B24" s="365"/>
      <c r="C24" s="366"/>
      <c r="D24" s="367"/>
      <c r="E24" s="368"/>
      <c r="F24" s="369"/>
      <c r="G24" s="93"/>
      <c r="H24" s="93"/>
      <c r="I24" s="93"/>
      <c r="J24" s="93"/>
    </row>
    <row r="25" spans="1:10" x14ac:dyDescent="0.25">
      <c r="A25" s="364"/>
      <c r="B25" s="365"/>
      <c r="C25" s="366"/>
      <c r="D25" s="367"/>
      <c r="E25" s="368"/>
      <c r="F25" s="369"/>
      <c r="G25" s="93"/>
      <c r="H25" s="93"/>
      <c r="I25" s="93"/>
      <c r="J25" s="93"/>
    </row>
    <row r="26" spans="1:10" x14ac:dyDescent="0.25">
      <c r="A26" s="364"/>
      <c r="B26" s="365"/>
      <c r="C26" s="366"/>
      <c r="D26" s="367"/>
      <c r="E26" s="368"/>
      <c r="F26" s="369"/>
      <c r="G26" s="93"/>
      <c r="H26" s="93"/>
      <c r="I26" s="93"/>
      <c r="J26" s="93"/>
    </row>
    <row r="27" spans="1:10" x14ac:dyDescent="0.25">
      <c r="A27" s="364"/>
      <c r="B27" s="365"/>
      <c r="C27" s="366"/>
      <c r="D27" s="367"/>
      <c r="E27" s="368"/>
      <c r="F27" s="369"/>
      <c r="G27" s="93"/>
      <c r="H27" s="93"/>
      <c r="I27" s="93"/>
      <c r="J27" s="93"/>
    </row>
    <row r="28" spans="1:10" x14ac:dyDescent="0.25">
      <c r="A28" s="364"/>
      <c r="B28" s="365"/>
      <c r="C28" s="366"/>
      <c r="D28" s="367"/>
      <c r="E28" s="368"/>
      <c r="F28" s="369"/>
      <c r="G28" s="93"/>
      <c r="H28" s="93"/>
      <c r="I28" s="93"/>
      <c r="J28" s="93"/>
    </row>
    <row r="29" spans="1:10" x14ac:dyDescent="0.25">
      <c r="A29" s="364"/>
      <c r="B29" s="365"/>
      <c r="C29" s="366"/>
      <c r="D29" s="367"/>
      <c r="E29" s="368"/>
      <c r="F29" s="369"/>
      <c r="G29" s="93"/>
      <c r="H29" s="93"/>
      <c r="I29" s="93"/>
      <c r="J29" s="93"/>
    </row>
    <row r="30" spans="1:10" x14ac:dyDescent="0.25">
      <c r="A30" s="370"/>
      <c r="B30" s="370"/>
      <c r="C30" s="370"/>
      <c r="D30" s="367"/>
      <c r="E30" s="368"/>
      <c r="F30" s="369"/>
      <c r="G30" s="93"/>
      <c r="H30" s="93"/>
      <c r="I30" s="93"/>
      <c r="J30" s="93"/>
    </row>
    <row r="31" spans="1:10" x14ac:dyDescent="0.25">
      <c r="A31" s="129"/>
      <c r="B31" s="129"/>
      <c r="C31" s="129"/>
      <c r="D31" s="129"/>
      <c r="E31" s="129"/>
      <c r="F31" s="129"/>
      <c r="G31" s="129"/>
      <c r="H31" s="129"/>
      <c r="I31" s="129"/>
      <c r="J31" s="129"/>
    </row>
    <row r="32" spans="1:10" x14ac:dyDescent="0.25">
      <c r="A32" s="129"/>
      <c r="B32" s="129"/>
      <c r="C32" s="129"/>
      <c r="D32" s="129"/>
      <c r="E32" s="129"/>
      <c r="F32" s="129"/>
      <c r="G32" s="129"/>
      <c r="H32" s="129"/>
      <c r="I32" s="129"/>
      <c r="J32" s="129"/>
    </row>
    <row r="33" spans="1:10" x14ac:dyDescent="0.25">
      <c r="A33" s="129"/>
      <c r="B33" s="129"/>
      <c r="C33" s="129"/>
      <c r="D33" s="129"/>
      <c r="E33" s="129"/>
      <c r="F33" s="129"/>
      <c r="G33" s="129"/>
      <c r="H33" s="129"/>
      <c r="I33" s="129"/>
      <c r="J33" s="129"/>
    </row>
    <row r="66" spans="6:6" x14ac:dyDescent="0.25">
      <c r="F66" s="3"/>
    </row>
  </sheetData>
  <mergeCells count="29">
    <mergeCell ref="A30:C30"/>
    <mergeCell ref="D30:F30"/>
    <mergeCell ref="A27:C27"/>
    <mergeCell ref="D27:F27"/>
    <mergeCell ref="A28:C28"/>
    <mergeCell ref="D28:F28"/>
    <mergeCell ref="A29:C29"/>
    <mergeCell ref="D29:F29"/>
    <mergeCell ref="A24:C24"/>
    <mergeCell ref="D24:F24"/>
    <mergeCell ref="A25:C25"/>
    <mergeCell ref="D25:F25"/>
    <mergeCell ref="A26:C26"/>
    <mergeCell ref="D26:F26"/>
    <mergeCell ref="A22:J22"/>
    <mergeCell ref="A23:C23"/>
    <mergeCell ref="D23:F23"/>
    <mergeCell ref="A15:B16"/>
    <mergeCell ref="C15:J16"/>
    <mergeCell ref="A17:B18"/>
    <mergeCell ref="C17:J18"/>
    <mergeCell ref="A19:B20"/>
    <mergeCell ref="C19:J20"/>
    <mergeCell ref="A6:J7"/>
    <mergeCell ref="A8:J9"/>
    <mergeCell ref="A10:J11"/>
    <mergeCell ref="A13:J13"/>
    <mergeCell ref="A14:B14"/>
    <mergeCell ref="C14:J14"/>
  </mergeCells>
  <pageMargins left="0.7" right="0.7" top="0.75" bottom="0.75" header="0.3" footer="0.3"/>
  <pageSetup paperSize="9" scale="87" orientation="portrait"/>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opLeftCell="A4" zoomScaleNormal="100" workbookViewId="0">
      <selection activeCell="H37" sqref="H37"/>
    </sheetView>
  </sheetViews>
  <sheetFormatPr defaultColWidth="9.33203125" defaultRowHeight="15" x14ac:dyDescent="0.25"/>
  <cols>
    <col min="1" max="1" width="9.33203125" style="2" customWidth="1"/>
    <col min="2" max="2" width="14.5546875" style="2" bestFit="1" customWidth="1"/>
    <col min="3" max="5" width="9.33203125" style="2"/>
    <col min="6" max="6" width="10.6640625" style="2" customWidth="1"/>
    <col min="7" max="9" width="9.33203125" style="2"/>
    <col min="10" max="10" width="10.44140625" style="2" customWidth="1"/>
    <col min="11" max="16384" width="9.33203125" style="2"/>
  </cols>
  <sheetData>
    <row r="1" spans="1:16" x14ac:dyDescent="0.25">
      <c r="A1" s="90" t="str">
        <f>+'Cover Page'!$B$29</f>
        <v>Annual Performance Report 2022</v>
      </c>
      <c r="B1" s="90"/>
      <c r="C1" s="90"/>
      <c r="D1" s="90"/>
      <c r="E1" s="90" t="str">
        <f>+'Cover Page'!$B$33</f>
        <v>Tilbury Green Power Plant</v>
      </c>
      <c r="F1" s="90"/>
      <c r="G1" s="90"/>
      <c r="H1" s="90"/>
      <c r="I1" s="90"/>
      <c r="J1" s="90"/>
      <c r="K1" s="90"/>
      <c r="L1" s="90"/>
      <c r="M1" s="90"/>
      <c r="N1" s="90"/>
      <c r="O1" s="90"/>
      <c r="P1" s="90"/>
    </row>
    <row r="2" spans="1:16" ht="7.5" customHeight="1" x14ac:dyDescent="0.25">
      <c r="A2" s="90"/>
      <c r="B2" s="90"/>
      <c r="C2" s="90"/>
      <c r="D2" s="90"/>
      <c r="E2" s="90"/>
      <c r="F2" s="90"/>
      <c r="G2" s="90"/>
      <c r="H2" s="90"/>
      <c r="I2" s="90"/>
      <c r="J2" s="90"/>
      <c r="K2" s="90"/>
      <c r="L2" s="90"/>
      <c r="M2" s="90"/>
      <c r="N2" s="90"/>
      <c r="O2" s="90"/>
      <c r="P2" s="90"/>
    </row>
    <row r="3" spans="1:16" ht="15.6" x14ac:dyDescent="0.3">
      <c r="A3" s="1" t="s">
        <v>41</v>
      </c>
      <c r="B3" s="90"/>
      <c r="C3" s="90"/>
      <c r="D3" s="90"/>
      <c r="E3" s="90"/>
      <c r="F3" s="90"/>
      <c r="G3" s="90"/>
      <c r="H3" s="90"/>
      <c r="I3" s="90"/>
      <c r="J3" s="90"/>
      <c r="K3" s="90"/>
      <c r="L3" s="90"/>
      <c r="M3" s="90"/>
      <c r="N3" s="90"/>
      <c r="O3" s="90"/>
      <c r="P3" s="90"/>
    </row>
    <row r="4" spans="1:16" ht="9.75" customHeight="1" x14ac:dyDescent="0.3">
      <c r="A4" s="1"/>
      <c r="B4" s="90"/>
      <c r="C4" s="90"/>
      <c r="D4" s="90"/>
      <c r="E4" s="90"/>
      <c r="F4" s="90"/>
      <c r="G4" s="90"/>
      <c r="H4" s="90"/>
      <c r="I4" s="90"/>
      <c r="J4" s="90"/>
      <c r="K4" s="90"/>
      <c r="L4" s="90"/>
      <c r="M4" s="90"/>
      <c r="N4" s="90"/>
      <c r="O4" s="90"/>
      <c r="P4" s="90"/>
    </row>
    <row r="5" spans="1:16" s="3" customFormat="1" ht="21.75" customHeight="1" x14ac:dyDescent="0.3">
      <c r="A5" s="49" t="s">
        <v>315</v>
      </c>
      <c r="B5" s="50"/>
      <c r="C5" s="50"/>
      <c r="D5" s="50"/>
      <c r="E5" s="50"/>
      <c r="F5" s="50"/>
      <c r="G5" s="50"/>
      <c r="H5" s="50"/>
      <c r="I5" s="50"/>
      <c r="J5" s="51"/>
      <c r="M5" s="83" t="s">
        <v>3</v>
      </c>
    </row>
    <row r="6" spans="1:16" s="3" customFormat="1" ht="15.75" customHeight="1" x14ac:dyDescent="0.25">
      <c r="A6" s="336" t="s">
        <v>316</v>
      </c>
      <c r="B6" s="206"/>
      <c r="C6" s="206"/>
      <c r="D6" s="206"/>
      <c r="E6" s="206"/>
      <c r="F6" s="206"/>
      <c r="G6" s="206"/>
      <c r="H6" s="206"/>
      <c r="I6" s="206"/>
      <c r="J6" s="207"/>
      <c r="M6" s="371" t="s">
        <v>317</v>
      </c>
      <c r="N6" s="371"/>
      <c r="O6" s="371"/>
      <c r="P6" s="371"/>
    </row>
    <row r="7" spans="1:16" s="3" customFormat="1" ht="15.75" customHeight="1" x14ac:dyDescent="0.25">
      <c r="A7" s="211"/>
      <c r="B7" s="212"/>
      <c r="C7" s="212"/>
      <c r="D7" s="212"/>
      <c r="E7" s="212"/>
      <c r="F7" s="212"/>
      <c r="G7" s="212"/>
      <c r="H7" s="212"/>
      <c r="I7" s="212"/>
      <c r="J7" s="213"/>
      <c r="M7" s="371"/>
      <c r="N7" s="371"/>
      <c r="O7" s="371"/>
      <c r="P7" s="371"/>
    </row>
    <row r="8" spans="1:16" s="3" customFormat="1" ht="13.8" x14ac:dyDescent="0.25">
      <c r="M8" s="371"/>
      <c r="N8" s="371"/>
      <c r="O8" s="371"/>
      <c r="P8" s="371"/>
    </row>
    <row r="9" spans="1:16" s="57" customFormat="1" ht="16.5" customHeight="1" x14ac:dyDescent="0.25">
      <c r="A9" s="343" t="s">
        <v>318</v>
      </c>
      <c r="B9" s="343"/>
      <c r="C9" s="343"/>
      <c r="D9" s="343"/>
      <c r="E9" s="343"/>
      <c r="F9" s="343"/>
      <c r="G9" s="343"/>
      <c r="H9" s="343"/>
      <c r="I9" s="343"/>
      <c r="J9" s="343"/>
      <c r="M9" s="371"/>
      <c r="N9" s="371"/>
      <c r="O9" s="371"/>
      <c r="P9" s="371"/>
    </row>
    <row r="10" spans="1:16" s="57" customFormat="1" ht="16.5" customHeight="1" x14ac:dyDescent="0.25">
      <c r="A10" s="372" t="s">
        <v>214</v>
      </c>
      <c r="B10" s="373"/>
      <c r="C10" s="383" t="s">
        <v>319</v>
      </c>
      <c r="D10" s="379" t="s">
        <v>320</v>
      </c>
      <c r="E10" s="380"/>
      <c r="F10" s="376" t="s">
        <v>314</v>
      </c>
      <c r="G10" s="377"/>
      <c r="H10" s="377"/>
      <c r="I10" s="377"/>
      <c r="J10" s="378"/>
      <c r="M10" s="371" t="s">
        <v>321</v>
      </c>
      <c r="N10" s="371"/>
      <c r="O10" s="371"/>
      <c r="P10" s="371"/>
    </row>
    <row r="11" spans="1:16" s="12" customFormat="1" ht="17.25" customHeight="1" x14ac:dyDescent="0.25">
      <c r="A11" s="374"/>
      <c r="B11" s="375"/>
      <c r="C11" s="384"/>
      <c r="D11" s="381"/>
      <c r="E11" s="382"/>
      <c r="F11" s="47" t="s">
        <v>188</v>
      </c>
      <c r="G11" s="47" t="s">
        <v>189</v>
      </c>
      <c r="H11" s="47" t="s">
        <v>190</v>
      </c>
      <c r="I11" s="47" t="s">
        <v>191</v>
      </c>
      <c r="J11" s="47" t="s">
        <v>192</v>
      </c>
      <c r="K11" s="129"/>
      <c r="L11" s="129"/>
      <c r="M11" s="371"/>
      <c r="N11" s="371"/>
      <c r="O11" s="371"/>
      <c r="P11" s="371"/>
    </row>
    <row r="12" spans="1:16" s="12" customFormat="1" ht="23.25" customHeight="1" x14ac:dyDescent="0.25">
      <c r="A12" s="235" t="s">
        <v>225</v>
      </c>
      <c r="B12" s="235"/>
      <c r="C12" s="116" t="s">
        <v>322</v>
      </c>
      <c r="D12" s="284" t="s">
        <v>323</v>
      </c>
      <c r="E12" s="284"/>
      <c r="F12" s="93">
        <v>4.9500000000000002E-2</v>
      </c>
      <c r="G12" s="93"/>
      <c r="H12" s="93"/>
      <c r="I12" s="93"/>
      <c r="J12" s="93"/>
      <c r="K12" s="129"/>
      <c r="L12" s="129"/>
      <c r="M12" s="371"/>
      <c r="N12" s="371"/>
      <c r="O12" s="371"/>
      <c r="P12" s="371"/>
    </row>
    <row r="13" spans="1:16" s="12" customFormat="1" ht="23.25" customHeight="1" x14ac:dyDescent="0.25">
      <c r="A13" s="235" t="s">
        <v>324</v>
      </c>
      <c r="B13" s="235"/>
      <c r="C13" s="116" t="s">
        <v>325</v>
      </c>
      <c r="D13" s="284" t="s">
        <v>326</v>
      </c>
      <c r="E13" s="284"/>
      <c r="F13" s="93">
        <v>1E-3</v>
      </c>
      <c r="G13" s="93"/>
      <c r="H13" s="93"/>
      <c r="I13" s="93"/>
      <c r="J13" s="93"/>
      <c r="K13" s="129"/>
      <c r="L13" s="129"/>
      <c r="M13" s="129"/>
      <c r="N13" s="129"/>
      <c r="O13" s="129"/>
      <c r="P13" s="129"/>
    </row>
    <row r="14" spans="1:16" s="12" customFormat="1" ht="23.25" customHeight="1" x14ac:dyDescent="0.25">
      <c r="A14" s="235" t="s">
        <v>327</v>
      </c>
      <c r="B14" s="235"/>
      <c r="C14" s="116" t="s">
        <v>325</v>
      </c>
      <c r="D14" s="284" t="s">
        <v>326</v>
      </c>
      <c r="E14" s="284"/>
      <c r="F14" s="93">
        <v>3.8000000000000002E-4</v>
      </c>
      <c r="G14" s="93"/>
      <c r="H14" s="93"/>
      <c r="I14" s="93"/>
      <c r="J14" s="93"/>
      <c r="K14" s="129"/>
      <c r="L14" s="129"/>
      <c r="M14" s="129"/>
      <c r="N14" s="129"/>
      <c r="O14" s="129"/>
      <c r="P14" s="129"/>
    </row>
    <row r="15" spans="1:16" s="12" customFormat="1" ht="23.25" customHeight="1" x14ac:dyDescent="0.25">
      <c r="A15" s="235" t="s">
        <v>328</v>
      </c>
      <c r="B15" s="235"/>
      <c r="C15" s="116" t="s">
        <v>325</v>
      </c>
      <c r="D15" s="284" t="s">
        <v>329</v>
      </c>
      <c r="E15" s="284"/>
      <c r="F15" s="93">
        <v>1.9E-2</v>
      </c>
      <c r="G15" s="93"/>
      <c r="H15" s="93"/>
      <c r="I15" s="93"/>
      <c r="J15" s="93"/>
      <c r="K15" s="129"/>
      <c r="L15" s="129"/>
      <c r="M15" s="129"/>
      <c r="N15" s="129"/>
      <c r="O15" s="129"/>
      <c r="P15" s="129"/>
    </row>
    <row r="16" spans="1:16" s="12" customFormat="1" ht="23.25" customHeight="1" x14ac:dyDescent="0.25">
      <c r="A16" s="235" t="s">
        <v>330</v>
      </c>
      <c r="B16" s="235"/>
      <c r="C16" s="116" t="s">
        <v>325</v>
      </c>
      <c r="D16" s="284" t="s">
        <v>331</v>
      </c>
      <c r="E16" s="284"/>
      <c r="F16" s="93">
        <v>1.5499999999999999E-3</v>
      </c>
      <c r="G16" s="93"/>
      <c r="H16" s="93"/>
      <c r="I16" s="93"/>
      <c r="J16" s="93"/>
      <c r="K16" s="129"/>
      <c r="L16" s="129"/>
      <c r="M16" s="129"/>
      <c r="N16" s="129"/>
      <c r="O16" s="129"/>
      <c r="P16" s="129"/>
    </row>
    <row r="17" spans="1:10" s="12" customFormat="1" ht="23.25" customHeight="1" x14ac:dyDescent="0.25">
      <c r="A17" s="235" t="s">
        <v>332</v>
      </c>
      <c r="B17" s="235"/>
      <c r="C17" s="116" t="s">
        <v>325</v>
      </c>
      <c r="D17" s="284" t="s">
        <v>333</v>
      </c>
      <c r="E17" s="284"/>
      <c r="F17" s="93">
        <v>4.1100000000000002E-4</v>
      </c>
      <c r="G17" s="93"/>
      <c r="H17" s="93"/>
      <c r="I17" s="93"/>
      <c r="J17" s="93"/>
    </row>
    <row r="18" spans="1:10" s="12" customFormat="1" ht="23.25" customHeight="1" x14ac:dyDescent="0.25">
      <c r="A18" s="235" t="s">
        <v>334</v>
      </c>
      <c r="B18" s="235"/>
      <c r="C18" s="116" t="s">
        <v>325</v>
      </c>
      <c r="D18" s="284" t="s">
        <v>333</v>
      </c>
      <c r="E18" s="284"/>
      <c r="F18" s="93">
        <v>5.0000000000000004E-6</v>
      </c>
      <c r="G18" s="93"/>
      <c r="H18" s="93"/>
      <c r="I18" s="93"/>
      <c r="J18" s="93"/>
    </row>
    <row r="19" spans="1:10" s="12" customFormat="1" ht="23.25" customHeight="1" x14ac:dyDescent="0.25">
      <c r="A19" s="235" t="s">
        <v>335</v>
      </c>
      <c r="B19" s="235"/>
      <c r="C19" s="116" t="s">
        <v>325</v>
      </c>
      <c r="D19" s="284" t="s">
        <v>333</v>
      </c>
      <c r="E19" s="284"/>
      <c r="F19" s="93">
        <v>4.0000000000000002E-4</v>
      </c>
      <c r="G19" s="93"/>
      <c r="H19" s="93"/>
      <c r="I19" s="93"/>
      <c r="J19" s="93"/>
    </row>
    <row r="20" spans="1:10" s="12" customFormat="1" ht="23.25" customHeight="1" x14ac:dyDescent="0.25">
      <c r="A20" s="235" t="s">
        <v>336</v>
      </c>
      <c r="B20" s="235"/>
      <c r="C20" s="116" t="s">
        <v>325</v>
      </c>
      <c r="D20" s="284" t="s">
        <v>333</v>
      </c>
      <c r="E20" s="284"/>
      <c r="F20" s="93">
        <v>1.5E-3</v>
      </c>
      <c r="G20" s="93"/>
      <c r="H20" s="93"/>
      <c r="I20" s="93"/>
      <c r="J20" s="93"/>
    </row>
    <row r="21" spans="1:10" s="12" customFormat="1" ht="23.25" customHeight="1" x14ac:dyDescent="0.25">
      <c r="A21" s="235" t="s">
        <v>337</v>
      </c>
      <c r="B21" s="235"/>
      <c r="C21" s="116" t="s">
        <v>325</v>
      </c>
      <c r="D21" s="284" t="s">
        <v>333</v>
      </c>
      <c r="E21" s="284"/>
      <c r="F21" s="93">
        <v>1.65E-3</v>
      </c>
      <c r="G21" s="93"/>
      <c r="H21" s="93"/>
      <c r="I21" s="93"/>
      <c r="J21" s="93"/>
    </row>
    <row r="22" spans="1:10" s="12" customFormat="1" ht="23.25" customHeight="1" x14ac:dyDescent="0.25">
      <c r="A22" s="235" t="s">
        <v>338</v>
      </c>
      <c r="B22" s="235"/>
      <c r="C22" s="116" t="s">
        <v>325</v>
      </c>
      <c r="D22" s="284" t="s">
        <v>333</v>
      </c>
      <c r="E22" s="284"/>
      <c r="F22" s="93">
        <v>2.8E-3</v>
      </c>
      <c r="G22" s="93"/>
      <c r="H22" s="93"/>
      <c r="I22" s="93"/>
      <c r="J22" s="93"/>
    </row>
    <row r="23" spans="1:10" s="12" customFormat="1" ht="23.25" customHeight="1" x14ac:dyDescent="0.25">
      <c r="A23" s="235" t="s">
        <v>339</v>
      </c>
      <c r="B23" s="235"/>
      <c r="C23" s="116" t="s">
        <v>325</v>
      </c>
      <c r="D23" s="284" t="s">
        <v>340</v>
      </c>
      <c r="E23" s="284"/>
      <c r="F23" s="93">
        <v>1.2999999999999999E-3</v>
      </c>
      <c r="G23" s="93"/>
      <c r="H23" s="93"/>
      <c r="I23" s="93"/>
      <c r="J23" s="93"/>
    </row>
    <row r="24" spans="1:10" s="12" customFormat="1" ht="23.25" customHeight="1" x14ac:dyDescent="0.25">
      <c r="A24" s="235" t="s">
        <v>341</v>
      </c>
      <c r="B24" s="235"/>
      <c r="C24" s="116" t="s">
        <v>325</v>
      </c>
      <c r="D24" s="284" t="s">
        <v>340</v>
      </c>
      <c r="E24" s="284"/>
      <c r="F24" s="93">
        <v>2.5999999999999999E-3</v>
      </c>
      <c r="G24" s="93"/>
      <c r="H24" s="93"/>
      <c r="I24" s="93"/>
      <c r="J24" s="93"/>
    </row>
    <row r="25" spans="1:10" s="12" customFormat="1" ht="23.25" customHeight="1" x14ac:dyDescent="0.25">
      <c r="A25" s="235" t="s">
        <v>342</v>
      </c>
      <c r="B25" s="235"/>
      <c r="C25" s="116" t="s">
        <v>325</v>
      </c>
      <c r="D25" s="284" t="s">
        <v>340</v>
      </c>
      <c r="E25" s="284"/>
      <c r="F25" s="93">
        <v>2.5999999999999999E-3</v>
      </c>
      <c r="G25" s="93"/>
      <c r="H25" s="93"/>
      <c r="I25" s="93"/>
      <c r="J25" s="93"/>
    </row>
    <row r="26" spans="1:10" s="12" customFormat="1" ht="23.25" customHeight="1" x14ac:dyDescent="0.25">
      <c r="A26" s="235" t="s">
        <v>343</v>
      </c>
      <c r="B26" s="235"/>
      <c r="C26" s="116" t="s">
        <v>325</v>
      </c>
      <c r="D26" s="284" t="s">
        <v>340</v>
      </c>
      <c r="E26" s="284"/>
      <c r="F26" s="93">
        <v>4.5999999999999999E-3</v>
      </c>
      <c r="G26" s="93"/>
      <c r="H26" s="93"/>
      <c r="I26" s="93"/>
      <c r="J26" s="93"/>
    </row>
    <row r="27" spans="1:10" s="12" customFormat="1" ht="23.25" customHeight="1" x14ac:dyDescent="0.25">
      <c r="A27" s="235" t="s">
        <v>344</v>
      </c>
      <c r="B27" s="235"/>
      <c r="C27" s="116" t="s">
        <v>325</v>
      </c>
      <c r="D27" s="284" t="s">
        <v>340</v>
      </c>
      <c r="E27" s="284"/>
      <c r="F27" s="93">
        <v>7.1000000000000004E-3</v>
      </c>
      <c r="G27" s="93"/>
      <c r="H27" s="93"/>
      <c r="I27" s="93"/>
      <c r="J27" s="93"/>
    </row>
    <row r="28" spans="1:10" s="12" customFormat="1" ht="23.25" customHeight="1" x14ac:dyDescent="0.25">
      <c r="A28" s="235" t="s">
        <v>345</v>
      </c>
      <c r="B28" s="235"/>
      <c r="C28" s="116" t="s">
        <v>325</v>
      </c>
      <c r="D28" s="284" t="s">
        <v>340</v>
      </c>
      <c r="E28" s="284"/>
      <c r="F28" s="93">
        <v>2.7000000000000001E-3</v>
      </c>
      <c r="G28" s="93"/>
      <c r="H28" s="93"/>
      <c r="I28" s="93"/>
      <c r="J28" s="93"/>
    </row>
    <row r="29" spans="1:10" s="12" customFormat="1" ht="23.25" customHeight="1" x14ac:dyDescent="0.25">
      <c r="A29" s="235" t="s">
        <v>346</v>
      </c>
      <c r="B29" s="235"/>
      <c r="C29" s="116" t="s">
        <v>325</v>
      </c>
      <c r="D29" s="284" t="s">
        <v>340</v>
      </c>
      <c r="E29" s="284"/>
      <c r="F29" s="93">
        <v>2.8E-3</v>
      </c>
      <c r="G29" s="93"/>
      <c r="H29" s="93"/>
      <c r="I29" s="93"/>
      <c r="J29" s="93"/>
    </row>
    <row r="30" spans="1:10" s="12" customFormat="1" ht="23.25" customHeight="1" x14ac:dyDescent="0.25">
      <c r="A30" s="235" t="s">
        <v>347</v>
      </c>
      <c r="B30" s="235"/>
      <c r="C30" s="116" t="s">
        <v>325</v>
      </c>
      <c r="D30" s="284" t="s">
        <v>340</v>
      </c>
      <c r="E30" s="284"/>
      <c r="F30" s="93">
        <v>2.8E-3</v>
      </c>
      <c r="G30" s="93"/>
      <c r="H30" s="93"/>
      <c r="I30" s="93"/>
      <c r="J30" s="93"/>
    </row>
    <row r="31" spans="1:10" s="12" customFormat="1" ht="23.25" customHeight="1" x14ac:dyDescent="0.25">
      <c r="A31" s="235" t="s">
        <v>348</v>
      </c>
      <c r="B31" s="235"/>
      <c r="C31" s="116" t="s">
        <v>325</v>
      </c>
      <c r="D31" s="284" t="s">
        <v>340</v>
      </c>
      <c r="E31" s="284"/>
      <c r="F31" s="93">
        <v>1.2999999999999999E-3</v>
      </c>
      <c r="G31" s="93"/>
      <c r="H31" s="93"/>
      <c r="I31" s="93"/>
      <c r="J31" s="93"/>
    </row>
    <row r="32" spans="1:10" s="12" customFormat="1" ht="23.25" customHeight="1" x14ac:dyDescent="0.25">
      <c r="A32" s="235" t="s">
        <v>349</v>
      </c>
      <c r="B32" s="235"/>
      <c r="C32" s="116" t="s">
        <v>325</v>
      </c>
      <c r="D32" s="284" t="s">
        <v>340</v>
      </c>
      <c r="E32" s="284"/>
      <c r="F32" s="93">
        <v>5.3E-3</v>
      </c>
      <c r="G32" s="93"/>
      <c r="H32" s="93"/>
      <c r="I32" s="93"/>
      <c r="J32" s="93"/>
    </row>
    <row r="33" spans="1:10" s="12" customFormat="1" ht="23.25" customHeight="1" x14ac:dyDescent="0.25">
      <c r="A33" s="235" t="s">
        <v>350</v>
      </c>
      <c r="B33" s="235"/>
      <c r="C33" s="116" t="s">
        <v>325</v>
      </c>
      <c r="D33" s="284" t="s">
        <v>340</v>
      </c>
      <c r="E33" s="284"/>
      <c r="F33" s="93">
        <v>2.5000000000000001E-3</v>
      </c>
      <c r="G33" s="93"/>
      <c r="H33" s="93"/>
      <c r="I33" s="93"/>
      <c r="J33" s="93"/>
    </row>
    <row r="34" spans="1:10" s="12" customFormat="1" ht="23.25" customHeight="1" x14ac:dyDescent="0.25">
      <c r="A34" s="235" t="s">
        <v>351</v>
      </c>
      <c r="B34" s="235"/>
      <c r="C34" s="116" t="s">
        <v>325</v>
      </c>
      <c r="D34" s="284" t="s">
        <v>340</v>
      </c>
      <c r="E34" s="284"/>
      <c r="F34" s="93">
        <v>1.2999999999999999E-3</v>
      </c>
      <c r="G34" s="93"/>
      <c r="H34" s="93"/>
      <c r="I34" s="93"/>
      <c r="J34" s="93"/>
    </row>
    <row r="35" spans="1:10" s="12" customFormat="1" ht="23.25" customHeight="1" x14ac:dyDescent="0.25">
      <c r="A35" s="235" t="s">
        <v>352</v>
      </c>
      <c r="B35" s="235"/>
      <c r="C35" s="116" t="s">
        <v>325</v>
      </c>
      <c r="D35" s="284" t="s">
        <v>340</v>
      </c>
      <c r="E35" s="284"/>
      <c r="F35" s="93">
        <v>1.2999999999999999E-3</v>
      </c>
      <c r="G35" s="93"/>
      <c r="H35" s="93"/>
      <c r="I35" s="93"/>
      <c r="J35" s="93"/>
    </row>
    <row r="36" spans="1:10" s="12" customFormat="1" ht="23.25" customHeight="1" x14ac:dyDescent="0.25">
      <c r="A36" s="235" t="s">
        <v>353</v>
      </c>
      <c r="B36" s="235"/>
      <c r="C36" s="116" t="s">
        <v>325</v>
      </c>
      <c r="D36" s="284" t="s">
        <v>340</v>
      </c>
      <c r="E36" s="284"/>
      <c r="F36" s="93">
        <v>9.5000000000000001E-2</v>
      </c>
      <c r="G36" s="93"/>
      <c r="H36" s="93"/>
      <c r="I36" s="93"/>
      <c r="J36" s="93"/>
    </row>
    <row r="37" spans="1:10" s="12" customFormat="1" ht="23.25" customHeight="1" x14ac:dyDescent="0.25">
      <c r="A37" s="235" t="s">
        <v>354</v>
      </c>
      <c r="B37" s="235"/>
      <c r="C37" s="116" t="s">
        <v>325</v>
      </c>
      <c r="D37" s="284" t="s">
        <v>340</v>
      </c>
      <c r="E37" s="284"/>
      <c r="F37" s="93">
        <v>2.7000000000000001E-3</v>
      </c>
      <c r="G37" s="93"/>
      <c r="H37" s="93"/>
      <c r="I37" s="93"/>
      <c r="J37" s="93"/>
    </row>
    <row r="38" spans="1:10" s="12" customFormat="1" ht="23.25" customHeight="1" x14ac:dyDescent="0.25">
      <c r="A38" s="235" t="s">
        <v>355</v>
      </c>
      <c r="B38" s="235"/>
      <c r="C38" s="116" t="s">
        <v>325</v>
      </c>
      <c r="D38" s="284" t="s">
        <v>340</v>
      </c>
      <c r="E38" s="284"/>
      <c r="F38" s="93">
        <v>0.18</v>
      </c>
      <c r="G38" s="93"/>
      <c r="H38" s="93"/>
      <c r="I38" s="93"/>
      <c r="J38" s="93"/>
    </row>
    <row r="39" spans="1:10" x14ac:dyDescent="0.25">
      <c r="A39" s="256" t="s">
        <v>307</v>
      </c>
      <c r="B39" s="256"/>
      <c r="C39" s="256"/>
      <c r="D39" s="256"/>
      <c r="E39" s="256"/>
      <c r="F39" s="256"/>
      <c r="G39" s="256"/>
      <c r="H39" s="256"/>
      <c r="I39" s="256"/>
      <c r="J39" s="256"/>
    </row>
    <row r="40" spans="1:10" x14ac:dyDescent="0.25">
      <c r="A40" s="344"/>
      <c r="B40" s="344"/>
      <c r="C40" s="344"/>
      <c r="D40" s="344"/>
      <c r="E40" s="344"/>
      <c r="F40" s="344"/>
      <c r="G40" s="344"/>
      <c r="H40" s="344"/>
      <c r="I40" s="344"/>
      <c r="J40" s="344"/>
    </row>
    <row r="41" spans="1:10" x14ac:dyDescent="0.25">
      <c r="A41" s="344"/>
      <c r="B41" s="344"/>
      <c r="C41" s="344"/>
      <c r="D41" s="344"/>
      <c r="E41" s="344"/>
      <c r="F41" s="344"/>
      <c r="G41" s="344"/>
      <c r="H41" s="344"/>
      <c r="I41" s="344"/>
      <c r="J41" s="344"/>
    </row>
    <row r="64" spans="6:6" x14ac:dyDescent="0.25">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opLeftCell="A15" zoomScaleNormal="100" workbookViewId="0">
      <selection activeCell="O19" sqref="O19"/>
    </sheetView>
  </sheetViews>
  <sheetFormatPr defaultColWidth="9.33203125" defaultRowHeight="15" x14ac:dyDescent="0.25"/>
  <cols>
    <col min="1" max="1" width="21.33203125" style="2" customWidth="1"/>
    <col min="2" max="2" width="13.6640625" style="2" customWidth="1"/>
    <col min="3" max="3" width="16.33203125" style="2" customWidth="1"/>
    <col min="4" max="12" width="9.33203125" style="2"/>
    <col min="13" max="13" width="10.44140625" style="2" customWidth="1"/>
    <col min="14" max="16384" width="9.33203125" style="2"/>
  </cols>
  <sheetData>
    <row r="1" spans="1:16" x14ac:dyDescent="0.25">
      <c r="A1" s="90" t="str">
        <f>+'Cover Page'!$B$29</f>
        <v>Annual Performance Report 2022</v>
      </c>
      <c r="B1" s="90"/>
      <c r="C1" s="90"/>
      <c r="D1" s="90"/>
      <c r="E1" s="90"/>
      <c r="F1" s="90"/>
      <c r="G1" s="90"/>
      <c r="H1" s="90"/>
      <c r="I1" s="90" t="str">
        <f>+'Cover Page'!$B$33</f>
        <v>Tilbury Green Power Plant</v>
      </c>
      <c r="J1" s="90"/>
      <c r="K1" s="90"/>
      <c r="L1" s="90"/>
      <c r="M1" s="90"/>
      <c r="N1" s="90"/>
      <c r="O1" s="90"/>
      <c r="P1" s="90"/>
    </row>
    <row r="3" spans="1:16" ht="15.6" x14ac:dyDescent="0.3">
      <c r="A3" s="1" t="s">
        <v>356</v>
      </c>
      <c r="B3" s="90"/>
      <c r="C3" s="90"/>
      <c r="D3" s="90"/>
      <c r="E3" s="90"/>
      <c r="F3" s="90"/>
      <c r="G3" s="90"/>
      <c r="H3" s="90"/>
      <c r="I3" s="90"/>
      <c r="J3" s="90"/>
      <c r="K3" s="90"/>
      <c r="L3" s="90"/>
      <c r="M3" s="90"/>
      <c r="N3" s="90"/>
      <c r="O3" s="90"/>
      <c r="P3" s="90"/>
    </row>
    <row r="4" spans="1:16" ht="15.6" x14ac:dyDescent="0.3">
      <c r="A4" s="1"/>
      <c r="B4" s="90"/>
      <c r="C4" s="90"/>
      <c r="D4" s="90"/>
      <c r="E4" s="90"/>
      <c r="F4" s="90"/>
      <c r="G4" s="90"/>
      <c r="H4" s="90"/>
      <c r="I4" s="90"/>
      <c r="J4" s="90"/>
      <c r="K4" s="90"/>
      <c r="L4" s="90"/>
      <c r="M4" s="90"/>
      <c r="N4" s="90"/>
      <c r="O4" s="90"/>
      <c r="P4" s="74" t="s">
        <v>3</v>
      </c>
    </row>
    <row r="5" spans="1:16" s="3" customFormat="1" ht="21.75" customHeight="1" x14ac:dyDescent="0.3">
      <c r="A5" s="49" t="s">
        <v>315</v>
      </c>
      <c r="B5" s="50"/>
      <c r="C5" s="50"/>
      <c r="D5" s="50"/>
      <c r="E5" s="50"/>
      <c r="F5" s="50"/>
      <c r="G5" s="50"/>
      <c r="H5" s="50"/>
      <c r="I5" s="50"/>
      <c r="J5" s="50"/>
      <c r="K5" s="50"/>
      <c r="L5" s="50"/>
      <c r="M5" s="51"/>
      <c r="P5" s="75" t="s">
        <v>357</v>
      </c>
    </row>
    <row r="6" spans="1:16" s="3" customFormat="1" ht="15.75" customHeight="1" x14ac:dyDescent="0.25">
      <c r="A6" s="336"/>
      <c r="B6" s="206"/>
      <c r="C6" s="206"/>
      <c r="D6" s="206"/>
      <c r="E6" s="206"/>
      <c r="F6" s="206"/>
      <c r="G6" s="206"/>
      <c r="H6" s="206"/>
      <c r="I6" s="206"/>
      <c r="J6" s="206"/>
      <c r="K6" s="206"/>
      <c r="L6" s="206"/>
      <c r="M6" s="207"/>
      <c r="P6" s="3" t="s">
        <v>358</v>
      </c>
    </row>
    <row r="7" spans="1:16" s="3" customFormat="1" ht="15.75" customHeight="1" x14ac:dyDescent="0.25">
      <c r="A7" s="211"/>
      <c r="B7" s="212"/>
      <c r="C7" s="212"/>
      <c r="D7" s="212"/>
      <c r="E7" s="212"/>
      <c r="F7" s="212"/>
      <c r="G7" s="212"/>
      <c r="H7" s="212"/>
      <c r="I7" s="212"/>
      <c r="J7" s="212"/>
      <c r="K7" s="212"/>
      <c r="L7" s="212"/>
      <c r="M7" s="213"/>
    </row>
    <row r="8" spans="1:16" s="3" customFormat="1" ht="15.75" customHeight="1" x14ac:dyDescent="0.25">
      <c r="A8" s="205"/>
      <c r="B8" s="227"/>
      <c r="C8" s="227"/>
      <c r="D8" s="227"/>
      <c r="E8" s="227"/>
      <c r="F8" s="227"/>
      <c r="G8" s="227"/>
      <c r="H8" s="227"/>
      <c r="I8" s="227"/>
      <c r="J8" s="227"/>
      <c r="K8" s="227"/>
      <c r="L8" s="227"/>
      <c r="M8" s="228"/>
    </row>
    <row r="9" spans="1:16" s="3" customFormat="1" ht="15.75" customHeight="1" x14ac:dyDescent="0.25">
      <c r="A9" s="232"/>
      <c r="B9" s="233"/>
      <c r="C9" s="233"/>
      <c r="D9" s="233"/>
      <c r="E9" s="233"/>
      <c r="F9" s="233"/>
      <c r="G9" s="233"/>
      <c r="H9" s="233"/>
      <c r="I9" s="233"/>
      <c r="J9" s="233"/>
      <c r="K9" s="233"/>
      <c r="L9" s="233"/>
      <c r="M9" s="234"/>
    </row>
    <row r="10" spans="1:16" s="3" customFormat="1" ht="13.8" x14ac:dyDescent="0.25"/>
    <row r="11" spans="1:16" s="57" customFormat="1" ht="16.5" customHeight="1" x14ac:dyDescent="0.25">
      <c r="A11" s="343" t="s">
        <v>359</v>
      </c>
      <c r="B11" s="343"/>
      <c r="C11" s="343"/>
      <c r="D11" s="343"/>
      <c r="E11" s="343"/>
      <c r="F11" s="343"/>
      <c r="G11" s="343"/>
      <c r="H11" s="343"/>
      <c r="I11" s="343"/>
      <c r="J11" s="343"/>
      <c r="K11" s="343"/>
      <c r="L11" s="343"/>
      <c r="M11" s="343"/>
    </row>
    <row r="12" spans="1:16" s="57" customFormat="1" ht="16.5" customHeight="1" x14ac:dyDescent="0.25">
      <c r="A12" s="389" t="s">
        <v>214</v>
      </c>
      <c r="B12" s="383" t="s">
        <v>360</v>
      </c>
      <c r="C12" s="302" t="s">
        <v>320</v>
      </c>
      <c r="D12" s="303" t="s">
        <v>188</v>
      </c>
      <c r="E12" s="391"/>
      <c r="F12" s="303" t="s">
        <v>189</v>
      </c>
      <c r="G12" s="391"/>
      <c r="H12" s="303" t="s">
        <v>190</v>
      </c>
      <c r="I12" s="391"/>
      <c r="J12" s="303" t="s">
        <v>191</v>
      </c>
      <c r="K12" s="391"/>
      <c r="L12" s="303" t="s">
        <v>192</v>
      </c>
      <c r="M12" s="391"/>
    </row>
    <row r="13" spans="1:16" s="12" customFormat="1" ht="17.25" customHeight="1" x14ac:dyDescent="0.25">
      <c r="A13" s="389"/>
      <c r="B13" s="390"/>
      <c r="C13" s="302"/>
      <c r="D13" s="47" t="s">
        <v>313</v>
      </c>
      <c r="E13" s="58" t="s">
        <v>361</v>
      </c>
      <c r="F13" s="47" t="s">
        <v>313</v>
      </c>
      <c r="G13" s="58" t="s">
        <v>361</v>
      </c>
      <c r="H13" s="47" t="s">
        <v>313</v>
      </c>
      <c r="I13" s="58" t="s">
        <v>361</v>
      </c>
      <c r="J13" s="47" t="s">
        <v>313</v>
      </c>
      <c r="K13" s="58" t="s">
        <v>361</v>
      </c>
      <c r="L13" s="47" t="s">
        <v>313</v>
      </c>
      <c r="M13" s="58" t="s">
        <v>361</v>
      </c>
      <c r="N13" s="129"/>
      <c r="O13" s="129"/>
      <c r="P13" s="129"/>
    </row>
    <row r="14" spans="1:16" s="12" customFormat="1" ht="23.25" customHeight="1" x14ac:dyDescent="0.25">
      <c r="A14" s="235" t="s">
        <v>220</v>
      </c>
      <c r="B14" s="106" t="s">
        <v>362</v>
      </c>
      <c r="C14" s="106" t="s">
        <v>363</v>
      </c>
      <c r="D14" s="107">
        <v>216.76</v>
      </c>
      <c r="E14" s="107">
        <v>169.37</v>
      </c>
      <c r="F14" s="93"/>
      <c r="G14" s="93"/>
      <c r="H14" s="93"/>
      <c r="I14" s="93"/>
      <c r="J14" s="93"/>
      <c r="K14" s="93"/>
      <c r="L14" s="93"/>
      <c r="M14" s="93"/>
      <c r="N14" s="129"/>
      <c r="O14" s="129"/>
      <c r="P14" s="129"/>
    </row>
    <row r="15" spans="1:16" s="12" customFormat="1" ht="23.25" customHeight="1" x14ac:dyDescent="0.25">
      <c r="A15" s="235"/>
      <c r="B15" s="106" t="s">
        <v>364</v>
      </c>
      <c r="C15" s="106" t="s">
        <v>365</v>
      </c>
      <c r="D15" s="107">
        <v>282.5</v>
      </c>
      <c r="E15" s="107">
        <v>233.12</v>
      </c>
      <c r="F15" s="93"/>
      <c r="G15" s="93"/>
      <c r="H15" s="93"/>
      <c r="I15" s="93"/>
      <c r="J15" s="93"/>
      <c r="K15" s="93"/>
      <c r="L15" s="93"/>
      <c r="M15" s="93"/>
      <c r="N15" s="129"/>
      <c r="O15" s="129"/>
      <c r="P15" s="129"/>
    </row>
    <row r="16" spans="1:16" s="12" customFormat="1" ht="23.25" customHeight="1" x14ac:dyDescent="0.25">
      <c r="A16" s="117" t="s">
        <v>219</v>
      </c>
      <c r="B16" s="173" t="s">
        <v>362</v>
      </c>
      <c r="C16" s="106" t="s">
        <v>366</v>
      </c>
      <c r="D16" s="107">
        <v>3.68</v>
      </c>
      <c r="E16" s="107">
        <v>0.09</v>
      </c>
      <c r="F16" s="93"/>
      <c r="G16" s="93"/>
      <c r="H16" s="93"/>
      <c r="I16" s="93"/>
      <c r="J16" s="93"/>
      <c r="K16" s="93"/>
      <c r="L16" s="93"/>
      <c r="M16" s="93"/>
      <c r="N16" s="129"/>
      <c r="O16" s="129"/>
      <c r="P16" s="129"/>
    </row>
    <row r="17" spans="1:13" s="12" customFormat="1" ht="23.25" customHeight="1" x14ac:dyDescent="0.25">
      <c r="A17" s="117"/>
      <c r="B17" s="106" t="s">
        <v>364</v>
      </c>
      <c r="C17" s="106" t="s">
        <v>367</v>
      </c>
      <c r="D17" s="107">
        <v>10.61</v>
      </c>
      <c r="E17" s="107">
        <v>0.03</v>
      </c>
      <c r="F17" s="93"/>
      <c r="G17" s="93"/>
      <c r="H17" s="93"/>
      <c r="I17" s="93"/>
      <c r="J17" s="93"/>
      <c r="K17" s="93"/>
      <c r="L17" s="93"/>
      <c r="M17" s="93"/>
    </row>
    <row r="18" spans="1:13" s="12" customFormat="1" ht="23.25" customHeight="1" x14ac:dyDescent="0.25">
      <c r="A18" s="117" t="s">
        <v>368</v>
      </c>
      <c r="B18" s="106" t="s">
        <v>362</v>
      </c>
      <c r="C18" s="106" t="s">
        <v>369</v>
      </c>
      <c r="D18" s="107">
        <v>1.1000000000000001</v>
      </c>
      <c r="E18" s="107">
        <v>0.84</v>
      </c>
      <c r="F18" s="93"/>
      <c r="G18" s="93"/>
      <c r="H18" s="93"/>
      <c r="I18" s="93"/>
      <c r="J18" s="93"/>
      <c r="K18" s="93"/>
      <c r="L18" s="93"/>
      <c r="M18" s="93"/>
    </row>
    <row r="19" spans="1:13" s="12" customFormat="1" ht="23.25" customHeight="1" x14ac:dyDescent="0.25">
      <c r="A19" s="117"/>
      <c r="B19" s="106" t="s">
        <v>364</v>
      </c>
      <c r="C19" s="106" t="s">
        <v>370</v>
      </c>
      <c r="D19" s="107">
        <v>2</v>
      </c>
      <c r="E19" s="107">
        <v>1.29</v>
      </c>
      <c r="F19" s="93"/>
      <c r="G19" s="93"/>
      <c r="H19" s="93"/>
      <c r="I19" s="93"/>
      <c r="J19" s="93"/>
      <c r="K19" s="93"/>
      <c r="L19" s="93"/>
      <c r="M19" s="93"/>
    </row>
    <row r="20" spans="1:13" s="12" customFormat="1" ht="23.25" customHeight="1" x14ac:dyDescent="0.25">
      <c r="A20" s="117" t="s">
        <v>371</v>
      </c>
      <c r="B20" s="106" t="s">
        <v>362</v>
      </c>
      <c r="C20" s="106" t="s">
        <v>370</v>
      </c>
      <c r="D20" s="107">
        <v>2.19</v>
      </c>
      <c r="E20" s="107">
        <v>1.06</v>
      </c>
      <c r="F20" s="93"/>
      <c r="G20" s="93"/>
      <c r="H20" s="93"/>
      <c r="I20" s="93"/>
      <c r="J20" s="93"/>
      <c r="K20" s="93"/>
      <c r="L20" s="93"/>
      <c r="M20" s="93"/>
    </row>
    <row r="21" spans="1:13" s="12" customFormat="1" ht="23.25" customHeight="1" x14ac:dyDescent="0.25">
      <c r="A21" s="117"/>
      <c r="B21" s="106" t="s">
        <v>364</v>
      </c>
      <c r="C21" s="106" t="s">
        <v>372</v>
      </c>
      <c r="D21" s="107">
        <v>7.08</v>
      </c>
      <c r="E21" s="107">
        <v>2.0299999999999998</v>
      </c>
      <c r="F21" s="93"/>
      <c r="G21" s="93"/>
      <c r="H21" s="93"/>
      <c r="I21" s="93"/>
      <c r="J21" s="93"/>
      <c r="K21" s="93"/>
      <c r="L21" s="93"/>
      <c r="M21" s="93"/>
    </row>
    <row r="22" spans="1:13" s="12" customFormat="1" ht="23.25" customHeight="1" x14ac:dyDescent="0.25">
      <c r="A22" s="117" t="s">
        <v>221</v>
      </c>
      <c r="B22" s="106" t="s">
        <v>362</v>
      </c>
      <c r="C22" s="106" t="s">
        <v>373</v>
      </c>
      <c r="D22" s="107">
        <v>82.65</v>
      </c>
      <c r="E22" s="107">
        <v>47.85</v>
      </c>
      <c r="F22" s="93"/>
      <c r="G22" s="93"/>
      <c r="H22" s="93"/>
      <c r="I22" s="93"/>
      <c r="J22" s="93"/>
      <c r="K22" s="93"/>
      <c r="L22" s="93"/>
      <c r="M22" s="93"/>
    </row>
    <row r="23" spans="1:13" s="12" customFormat="1" ht="23.25" customHeight="1" x14ac:dyDescent="0.25">
      <c r="A23" s="117"/>
      <c r="B23" s="106" t="s">
        <v>364</v>
      </c>
      <c r="C23" s="106" t="s">
        <v>363</v>
      </c>
      <c r="D23" s="107">
        <v>210.78</v>
      </c>
      <c r="E23" s="107">
        <v>66.73</v>
      </c>
      <c r="F23" s="93"/>
      <c r="G23" s="93"/>
      <c r="H23" s="93"/>
      <c r="I23" s="93"/>
      <c r="J23" s="93"/>
      <c r="K23" s="93"/>
      <c r="L23" s="93"/>
      <c r="M23" s="93"/>
    </row>
    <row r="24" spans="1:13" s="12" customFormat="1" ht="23.25" customHeight="1" x14ac:dyDescent="0.25">
      <c r="A24" s="117" t="s">
        <v>374</v>
      </c>
      <c r="B24" s="106" t="s">
        <v>362</v>
      </c>
      <c r="C24" s="106" t="s">
        <v>373</v>
      </c>
      <c r="D24" s="107">
        <v>59.53</v>
      </c>
      <c r="E24" s="107">
        <v>34.409999999999997</v>
      </c>
      <c r="F24" s="93"/>
      <c r="G24" s="93"/>
      <c r="H24" s="93"/>
      <c r="I24" s="93"/>
      <c r="J24" s="93"/>
      <c r="K24" s="93"/>
      <c r="L24" s="93"/>
      <c r="M24" s="93"/>
    </row>
    <row r="25" spans="1:13" s="12" customFormat="1" ht="23.25" customHeight="1" x14ac:dyDescent="0.25">
      <c r="A25" s="117"/>
      <c r="B25" s="93" t="s">
        <v>375</v>
      </c>
      <c r="C25" s="93" t="s">
        <v>376</v>
      </c>
      <c r="D25" s="107">
        <v>131.49</v>
      </c>
      <c r="E25" s="107">
        <v>41.78</v>
      </c>
      <c r="F25" s="93"/>
      <c r="G25" s="93"/>
      <c r="H25" s="93"/>
      <c r="I25" s="93"/>
      <c r="J25" s="93"/>
      <c r="K25" s="93"/>
      <c r="L25" s="93"/>
      <c r="M25" s="93"/>
    </row>
    <row r="26" spans="1:13" s="12" customFormat="1" ht="23.25" customHeight="1" x14ac:dyDescent="0.25">
      <c r="A26" s="117"/>
      <c r="B26" s="93" t="s">
        <v>377</v>
      </c>
      <c r="C26" s="93" t="s">
        <v>376</v>
      </c>
      <c r="D26" s="107"/>
      <c r="E26" s="107"/>
      <c r="F26" s="93"/>
      <c r="G26" s="93"/>
      <c r="H26" s="93"/>
      <c r="I26" s="93"/>
      <c r="J26" s="93"/>
      <c r="K26" s="93"/>
      <c r="L26" s="93"/>
      <c r="M26" s="93"/>
    </row>
    <row r="27" spans="1:13" s="12" customFormat="1" ht="23.25" customHeight="1" x14ac:dyDescent="0.25">
      <c r="A27" s="174" t="s">
        <v>378</v>
      </c>
      <c r="B27" s="175" t="s">
        <v>362</v>
      </c>
      <c r="C27" s="175" t="s">
        <v>379</v>
      </c>
      <c r="D27" s="176">
        <v>33.520000000000003</v>
      </c>
      <c r="E27" s="176">
        <v>14.6</v>
      </c>
      <c r="F27" s="177"/>
      <c r="G27" s="177"/>
      <c r="H27" s="177"/>
      <c r="I27" s="177"/>
      <c r="J27" s="177"/>
      <c r="K27" s="177"/>
      <c r="L27" s="177"/>
      <c r="M27" s="177"/>
    </row>
    <row r="28" spans="1:13" x14ac:dyDescent="0.25">
      <c r="A28" s="385"/>
      <c r="B28" s="386"/>
      <c r="C28" s="386"/>
      <c r="D28" s="386"/>
      <c r="E28" s="386"/>
      <c r="F28" s="386"/>
      <c r="G28" s="386"/>
      <c r="H28" s="386"/>
      <c r="I28" s="386"/>
      <c r="J28" s="386"/>
      <c r="K28" s="386"/>
      <c r="L28" s="386"/>
      <c r="M28" s="387"/>
    </row>
    <row r="29" spans="1:13" x14ac:dyDescent="0.25">
      <c r="A29" s="84" t="s">
        <v>307</v>
      </c>
      <c r="B29" s="85"/>
      <c r="C29" s="85"/>
      <c r="D29" s="85"/>
      <c r="E29" s="85"/>
      <c r="F29" s="85"/>
      <c r="G29" s="85"/>
      <c r="H29" s="85"/>
      <c r="I29" s="85"/>
      <c r="J29" s="85"/>
      <c r="K29" s="85"/>
      <c r="L29" s="85"/>
      <c r="M29" s="86"/>
    </row>
    <row r="30" spans="1:13" x14ac:dyDescent="0.25">
      <c r="A30" s="388"/>
      <c r="B30" s="388"/>
      <c r="C30" s="388"/>
      <c r="D30" s="388"/>
      <c r="E30" s="388"/>
      <c r="F30" s="388"/>
      <c r="G30" s="388"/>
      <c r="H30" s="388"/>
      <c r="I30" s="388"/>
      <c r="J30" s="388"/>
      <c r="K30" s="388"/>
      <c r="L30" s="388"/>
      <c r="M30" s="388"/>
    </row>
    <row r="31" spans="1:13" x14ac:dyDescent="0.25">
      <c r="A31" s="344"/>
      <c r="B31" s="344"/>
      <c r="C31" s="344"/>
      <c r="D31" s="344"/>
      <c r="E31" s="344"/>
      <c r="F31" s="344"/>
      <c r="G31" s="344"/>
      <c r="H31" s="344"/>
      <c r="I31" s="344"/>
      <c r="J31" s="344"/>
      <c r="K31" s="344"/>
      <c r="L31" s="344"/>
      <c r="M31" s="344"/>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A22" zoomScaleNormal="100" workbookViewId="0">
      <selection activeCell="I15" sqref="I15"/>
    </sheetView>
  </sheetViews>
  <sheetFormatPr defaultRowHeight="13.8" x14ac:dyDescent="0.25"/>
  <cols>
    <col min="1" max="1" width="14" style="3" customWidth="1"/>
    <col min="2"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c r="F1" s="90"/>
      <c r="G1" s="90"/>
    </row>
    <row r="3" spans="1:19" ht="14.4" x14ac:dyDescent="0.3">
      <c r="A3" s="61" t="s">
        <v>380</v>
      </c>
      <c r="D3" s="77" t="s">
        <v>381</v>
      </c>
      <c r="G3" s="81" t="s">
        <v>382</v>
      </c>
      <c r="J3" s="9" t="str">
        <f>+A3</f>
        <v>Monitoring of Hydrogen Chloride emissions</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388</v>
      </c>
      <c r="C6" s="56" t="s">
        <v>389</v>
      </c>
      <c r="D6" s="56" t="s">
        <v>390</v>
      </c>
      <c r="E6" s="56" t="s">
        <v>391</v>
      </c>
      <c r="F6" s="56" t="s">
        <v>392</v>
      </c>
      <c r="G6" s="56" t="s">
        <v>393</v>
      </c>
      <c r="H6" s="60"/>
      <c r="J6" s="62">
        <f>+A6</f>
        <v>2022</v>
      </c>
      <c r="K6" s="62" t="s">
        <v>394</v>
      </c>
      <c r="L6" s="68" t="s">
        <v>389</v>
      </c>
      <c r="M6" s="68" t="s">
        <v>395</v>
      </c>
      <c r="N6" s="68" t="s">
        <v>392</v>
      </c>
      <c r="O6" s="68" t="s">
        <v>396</v>
      </c>
      <c r="Q6" s="371"/>
      <c r="R6" s="371"/>
      <c r="S6" s="371"/>
    </row>
    <row r="7" spans="1:19" ht="13.95" customHeight="1" x14ac:dyDescent="0.25">
      <c r="A7" s="67" t="s">
        <v>397</v>
      </c>
      <c r="B7" s="64">
        <v>90</v>
      </c>
      <c r="C7" s="108">
        <v>2</v>
      </c>
      <c r="D7" s="108">
        <v>10</v>
      </c>
      <c r="E7" s="64">
        <v>15</v>
      </c>
      <c r="F7" s="108">
        <v>1.18</v>
      </c>
      <c r="G7" s="108">
        <v>5.3</v>
      </c>
      <c r="J7" s="393" t="s">
        <v>188</v>
      </c>
      <c r="K7" s="67" t="s">
        <v>397</v>
      </c>
      <c r="L7" s="65">
        <v>2</v>
      </c>
      <c r="M7" s="65">
        <v>10</v>
      </c>
      <c r="N7" s="108">
        <v>1.18</v>
      </c>
      <c r="O7" s="108">
        <v>5.3</v>
      </c>
      <c r="Q7" s="371"/>
      <c r="R7" s="371"/>
      <c r="S7" s="371"/>
    </row>
    <row r="8" spans="1:19" x14ac:dyDescent="0.25">
      <c r="A8" s="67" t="s">
        <v>398</v>
      </c>
      <c r="B8" s="64">
        <v>90</v>
      </c>
      <c r="C8" s="108">
        <v>1.6</v>
      </c>
      <c r="D8" s="108">
        <v>6.4</v>
      </c>
      <c r="E8" s="64">
        <v>15</v>
      </c>
      <c r="F8" s="108">
        <v>0.95</v>
      </c>
      <c r="G8" s="108">
        <v>3.8</v>
      </c>
      <c r="J8" s="393"/>
      <c r="K8" s="67" t="s">
        <v>398</v>
      </c>
      <c r="L8" s="65">
        <v>1.6</v>
      </c>
      <c r="M8" s="65">
        <v>6.4</v>
      </c>
      <c r="N8" s="108">
        <v>0.95</v>
      </c>
      <c r="O8" s="108">
        <v>3.8</v>
      </c>
      <c r="Q8" s="371"/>
      <c r="R8" s="371"/>
      <c r="S8" s="371"/>
    </row>
    <row r="9" spans="1:19" x14ac:dyDescent="0.25">
      <c r="A9" s="67" t="s">
        <v>399</v>
      </c>
      <c r="B9" s="64">
        <v>90</v>
      </c>
      <c r="C9" s="108">
        <v>2.7</v>
      </c>
      <c r="D9" s="108">
        <v>10.6</v>
      </c>
      <c r="E9" s="64">
        <v>15</v>
      </c>
      <c r="F9" s="108">
        <v>1.62</v>
      </c>
      <c r="G9" s="108">
        <v>6.4</v>
      </c>
      <c r="J9" s="393"/>
      <c r="K9" s="67" t="s">
        <v>399</v>
      </c>
      <c r="L9" s="65">
        <v>2.7</v>
      </c>
      <c r="M9" s="65">
        <v>10.6</v>
      </c>
      <c r="N9" s="108">
        <v>1.62</v>
      </c>
      <c r="O9" s="108">
        <v>6.4</v>
      </c>
      <c r="Q9" s="79" t="s">
        <v>400</v>
      </c>
    </row>
    <row r="10" spans="1:19" ht="13.95" customHeight="1" x14ac:dyDescent="0.25">
      <c r="A10" s="67" t="s">
        <v>401</v>
      </c>
      <c r="B10" s="64">
        <v>90</v>
      </c>
      <c r="C10" s="108">
        <v>4.2</v>
      </c>
      <c r="D10" s="108">
        <v>12.3</v>
      </c>
      <c r="E10" s="64">
        <v>15</v>
      </c>
      <c r="F10" s="108">
        <v>2.2400000000000002</v>
      </c>
      <c r="G10" s="108">
        <v>7.4</v>
      </c>
      <c r="J10" s="393"/>
      <c r="K10" s="67" t="s">
        <v>401</v>
      </c>
      <c r="L10" s="65">
        <v>4.2</v>
      </c>
      <c r="M10" s="65">
        <v>12.3</v>
      </c>
      <c r="N10" s="108">
        <v>2.2400000000000002</v>
      </c>
      <c r="O10" s="108">
        <v>7.4</v>
      </c>
      <c r="Q10" s="392" t="s">
        <v>402</v>
      </c>
      <c r="R10" s="392"/>
      <c r="S10" s="392"/>
    </row>
    <row r="11" spans="1:19" x14ac:dyDescent="0.25">
      <c r="A11" s="67" t="s">
        <v>403</v>
      </c>
      <c r="B11" s="64">
        <v>90</v>
      </c>
      <c r="C11" s="108">
        <v>4.0999999999999996</v>
      </c>
      <c r="D11" s="108">
        <v>12.2</v>
      </c>
      <c r="E11" s="64">
        <v>15</v>
      </c>
      <c r="F11" s="108">
        <v>1.08</v>
      </c>
      <c r="G11" s="108">
        <v>7.3</v>
      </c>
      <c r="J11" s="393"/>
      <c r="K11" s="67" t="s">
        <v>403</v>
      </c>
      <c r="L11" s="65">
        <v>4.0999999999999996</v>
      </c>
      <c r="M11" s="65">
        <v>12.2</v>
      </c>
      <c r="N11" s="108">
        <v>1.08</v>
      </c>
      <c r="O11" s="108">
        <v>7.3</v>
      </c>
      <c r="Q11" s="392"/>
      <c r="R11" s="392"/>
      <c r="S11" s="392"/>
    </row>
    <row r="12" spans="1:19" x14ac:dyDescent="0.25">
      <c r="A12" s="67" t="s">
        <v>404</v>
      </c>
      <c r="B12" s="64">
        <v>90</v>
      </c>
      <c r="C12" s="108">
        <v>1.8</v>
      </c>
      <c r="D12" s="108">
        <v>5.6</v>
      </c>
      <c r="E12" s="64">
        <v>15</v>
      </c>
      <c r="F12" s="108">
        <v>1.02</v>
      </c>
      <c r="G12" s="108">
        <v>3.4</v>
      </c>
      <c r="J12" s="393"/>
      <c r="K12" s="67" t="s">
        <v>404</v>
      </c>
      <c r="L12" s="65">
        <v>1.8</v>
      </c>
      <c r="M12" s="65">
        <v>5.6</v>
      </c>
      <c r="N12" s="108">
        <v>1.02</v>
      </c>
      <c r="O12" s="108">
        <v>3.4</v>
      </c>
      <c r="Q12" s="392"/>
      <c r="R12" s="392"/>
      <c r="S12" s="392"/>
    </row>
    <row r="13" spans="1:19" ht="13.95" customHeight="1" x14ac:dyDescent="0.25">
      <c r="A13" s="67" t="s">
        <v>405</v>
      </c>
      <c r="B13" s="64">
        <v>90</v>
      </c>
      <c r="C13" s="108">
        <v>1.6</v>
      </c>
      <c r="D13" s="108">
        <v>8.3000000000000007</v>
      </c>
      <c r="E13" s="64">
        <v>15</v>
      </c>
      <c r="F13" s="108">
        <v>1</v>
      </c>
      <c r="G13" s="108">
        <v>5</v>
      </c>
      <c r="J13" s="393"/>
      <c r="K13" s="67" t="s">
        <v>405</v>
      </c>
      <c r="L13" s="65">
        <v>1.6</v>
      </c>
      <c r="M13" s="65">
        <v>8.3000000000000007</v>
      </c>
      <c r="N13" s="108">
        <v>1</v>
      </c>
      <c r="O13" s="108">
        <v>5</v>
      </c>
      <c r="Q13" s="392" t="s">
        <v>406</v>
      </c>
      <c r="R13" s="392"/>
      <c r="S13" s="392"/>
    </row>
    <row r="14" spans="1:19" x14ac:dyDescent="0.25">
      <c r="A14" s="67" t="s">
        <v>407</v>
      </c>
      <c r="B14" s="64">
        <v>90</v>
      </c>
      <c r="C14" s="108">
        <v>2.5</v>
      </c>
      <c r="D14" s="108">
        <v>6.8</v>
      </c>
      <c r="E14" s="64">
        <v>15</v>
      </c>
      <c r="F14" s="108">
        <v>1.27</v>
      </c>
      <c r="G14" s="108">
        <v>4.0999999999999996</v>
      </c>
      <c r="J14" s="393"/>
      <c r="K14" s="67" t="s">
        <v>407</v>
      </c>
      <c r="L14" s="65">
        <v>2.5</v>
      </c>
      <c r="M14" s="65">
        <v>6.8</v>
      </c>
      <c r="N14" s="108">
        <v>1.27</v>
      </c>
      <c r="O14" s="108">
        <v>4.0999999999999996</v>
      </c>
      <c r="Q14" s="392"/>
      <c r="R14" s="392"/>
      <c r="S14" s="392"/>
    </row>
    <row r="15" spans="1:19" x14ac:dyDescent="0.25">
      <c r="A15" s="67" t="s">
        <v>408</v>
      </c>
      <c r="B15" s="64">
        <v>90</v>
      </c>
      <c r="C15" s="108">
        <v>1.6</v>
      </c>
      <c r="D15" s="108">
        <v>6.6</v>
      </c>
      <c r="E15" s="64">
        <v>15</v>
      </c>
      <c r="F15" s="108">
        <v>0.91</v>
      </c>
      <c r="G15" s="108">
        <v>3.4</v>
      </c>
      <c r="J15" s="393"/>
      <c r="K15" s="67" t="s">
        <v>408</v>
      </c>
      <c r="L15" s="65">
        <v>1.6</v>
      </c>
      <c r="M15" s="65">
        <v>6.6</v>
      </c>
      <c r="N15" s="108">
        <v>0.91</v>
      </c>
      <c r="O15" s="108">
        <v>3.4</v>
      </c>
      <c r="Q15" s="392"/>
      <c r="R15" s="392"/>
      <c r="S15" s="392"/>
    </row>
    <row r="16" spans="1:19" x14ac:dyDescent="0.25">
      <c r="A16" s="67" t="s">
        <v>409</v>
      </c>
      <c r="B16" s="64">
        <v>90</v>
      </c>
      <c r="C16" s="108">
        <v>1.3</v>
      </c>
      <c r="D16" s="108">
        <v>3.7</v>
      </c>
      <c r="E16" s="64">
        <v>15</v>
      </c>
      <c r="F16" s="108">
        <v>0.63</v>
      </c>
      <c r="G16" s="108">
        <v>2.2000000000000002</v>
      </c>
      <c r="J16" s="393"/>
      <c r="K16" s="67" t="s">
        <v>409</v>
      </c>
      <c r="L16" s="65">
        <v>1.3</v>
      </c>
      <c r="M16" s="65">
        <v>3.7</v>
      </c>
      <c r="N16" s="108">
        <v>0.63</v>
      </c>
      <c r="O16" s="108">
        <v>2.2000000000000002</v>
      </c>
      <c r="Q16" s="392"/>
      <c r="R16" s="392"/>
      <c r="S16" s="392"/>
    </row>
    <row r="17" spans="1:15" x14ac:dyDescent="0.25">
      <c r="A17" s="67" t="s">
        <v>410</v>
      </c>
      <c r="B17" s="64">
        <v>90</v>
      </c>
      <c r="C17" s="108">
        <v>1</v>
      </c>
      <c r="D17" s="108">
        <v>2.4</v>
      </c>
      <c r="E17" s="64">
        <v>15</v>
      </c>
      <c r="F17" s="108">
        <v>0.42</v>
      </c>
      <c r="G17" s="108">
        <v>1.5</v>
      </c>
      <c r="J17" s="393"/>
      <c r="K17" s="67" t="s">
        <v>410</v>
      </c>
      <c r="L17" s="65">
        <v>1</v>
      </c>
      <c r="M17" s="65">
        <v>2.4</v>
      </c>
      <c r="N17" s="108">
        <v>0.42</v>
      </c>
      <c r="O17" s="108">
        <v>1.5</v>
      </c>
    </row>
    <row r="18" spans="1:15" x14ac:dyDescent="0.25">
      <c r="A18" s="67" t="s">
        <v>411</v>
      </c>
      <c r="B18" s="64">
        <v>90</v>
      </c>
      <c r="C18" s="108">
        <v>0.7</v>
      </c>
      <c r="D18" s="108">
        <v>2.5</v>
      </c>
      <c r="E18" s="64">
        <v>15</v>
      </c>
      <c r="F18" s="108">
        <v>0.4</v>
      </c>
      <c r="G18" s="108">
        <v>1.5</v>
      </c>
      <c r="J18" s="393"/>
      <c r="K18" s="67" t="s">
        <v>411</v>
      </c>
      <c r="L18" s="65">
        <v>0.7</v>
      </c>
      <c r="M18" s="65">
        <v>2.5</v>
      </c>
      <c r="N18" s="108">
        <v>0.4</v>
      </c>
      <c r="O18" s="108">
        <v>1.5</v>
      </c>
    </row>
    <row r="19" spans="1:15" x14ac:dyDescent="0.25">
      <c r="J19" s="393"/>
      <c r="K19" s="63" t="s">
        <v>412</v>
      </c>
      <c r="L19" s="63">
        <f>AVERAGE(L7:L18)</f>
        <v>2.0916666666666668</v>
      </c>
      <c r="M19" s="63">
        <f>MAX(M7:M18)</f>
        <v>12.3</v>
      </c>
      <c r="N19" s="63">
        <f>AVERAGE(N7:N18)</f>
        <v>1.06</v>
      </c>
      <c r="O19" s="63">
        <f>MAX(O7:O18)</f>
        <v>7.4</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A36" zoomScaleNormal="100" workbookViewId="0">
      <selection activeCell="F13" sqref="F13"/>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c r="F1" s="90"/>
      <c r="G1" s="90"/>
    </row>
    <row r="3" spans="1:19" ht="14.4" x14ac:dyDescent="0.3">
      <c r="A3" s="61" t="s">
        <v>413</v>
      </c>
      <c r="D3" s="77" t="s">
        <v>381</v>
      </c>
      <c r="G3" s="81" t="s">
        <v>382</v>
      </c>
      <c r="J3" s="9" t="str">
        <f>+A3</f>
        <v>Monitoring of Sulphur dioxide emissions</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414</v>
      </c>
      <c r="C6" s="56" t="s">
        <v>389</v>
      </c>
      <c r="D6" s="56" t="s">
        <v>390</v>
      </c>
      <c r="E6" s="56" t="s">
        <v>415</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300</v>
      </c>
      <c r="C7" s="108">
        <v>69.7</v>
      </c>
      <c r="D7" s="108">
        <v>694.6</v>
      </c>
      <c r="E7" s="64">
        <v>75</v>
      </c>
      <c r="F7" s="108">
        <v>55.76</v>
      </c>
      <c r="G7" s="108">
        <v>555.70000000000005</v>
      </c>
      <c r="J7" s="393" t="s">
        <v>188</v>
      </c>
      <c r="K7" s="67" t="s">
        <v>397</v>
      </c>
      <c r="L7" s="65">
        <v>69.7</v>
      </c>
      <c r="M7" s="65">
        <v>694.6</v>
      </c>
      <c r="N7" s="108">
        <v>55.76</v>
      </c>
      <c r="O7" s="108">
        <v>555.70000000000005</v>
      </c>
      <c r="Q7" s="371"/>
      <c r="R7" s="371"/>
      <c r="S7" s="371"/>
    </row>
    <row r="8" spans="1:19" x14ac:dyDescent="0.25">
      <c r="A8" s="67" t="s">
        <v>398</v>
      </c>
      <c r="B8" s="64">
        <v>300</v>
      </c>
      <c r="C8" s="108">
        <v>68.599999999999994</v>
      </c>
      <c r="D8" s="108">
        <v>152.30000000000001</v>
      </c>
      <c r="E8" s="64">
        <v>75</v>
      </c>
      <c r="F8" s="108">
        <v>54.52</v>
      </c>
      <c r="G8" s="108">
        <v>121.9</v>
      </c>
      <c r="J8" s="393"/>
      <c r="K8" s="67" t="s">
        <v>398</v>
      </c>
      <c r="L8" s="65">
        <v>68.599999999999994</v>
      </c>
      <c r="M8" s="65">
        <v>152.30000000000001</v>
      </c>
      <c r="N8" s="108">
        <v>54.52</v>
      </c>
      <c r="O8" s="108">
        <v>121.9</v>
      </c>
      <c r="Q8" s="371"/>
      <c r="R8" s="371"/>
      <c r="S8" s="371"/>
    </row>
    <row r="9" spans="1:19" x14ac:dyDescent="0.25">
      <c r="A9" s="67" t="s">
        <v>399</v>
      </c>
      <c r="B9" s="64">
        <v>300</v>
      </c>
      <c r="C9" s="108">
        <v>67.400000000000006</v>
      </c>
      <c r="D9" s="108">
        <v>141</v>
      </c>
      <c r="E9" s="64">
        <v>75</v>
      </c>
      <c r="F9" s="108">
        <v>52.03</v>
      </c>
      <c r="G9" s="108">
        <v>112.8</v>
      </c>
      <c r="J9" s="393"/>
      <c r="K9" s="67" t="s">
        <v>399</v>
      </c>
      <c r="L9" s="65">
        <v>67.400000000000006</v>
      </c>
      <c r="M9" s="65">
        <v>141</v>
      </c>
      <c r="N9" s="108">
        <v>52.03</v>
      </c>
      <c r="O9" s="108">
        <v>112.8</v>
      </c>
      <c r="Q9" s="79" t="s">
        <v>400</v>
      </c>
    </row>
    <row r="10" spans="1:19" ht="14.25" customHeight="1" x14ac:dyDescent="0.25">
      <c r="A10" s="67" t="s">
        <v>401</v>
      </c>
      <c r="B10" s="64">
        <v>300</v>
      </c>
      <c r="C10" s="108">
        <v>65.099999999999994</v>
      </c>
      <c r="D10" s="108">
        <v>112.3</v>
      </c>
      <c r="E10" s="64">
        <v>75</v>
      </c>
      <c r="F10" s="108">
        <v>46.78</v>
      </c>
      <c r="G10" s="108">
        <v>89.8</v>
      </c>
      <c r="J10" s="393"/>
      <c r="K10" s="67" t="s">
        <v>401</v>
      </c>
      <c r="L10" s="65">
        <v>65.099999999999994</v>
      </c>
      <c r="M10" s="65">
        <v>112.3</v>
      </c>
      <c r="N10" s="108">
        <v>46.78</v>
      </c>
      <c r="O10" s="108">
        <v>89.8</v>
      </c>
      <c r="Q10" s="392" t="s">
        <v>402</v>
      </c>
      <c r="R10" s="392"/>
      <c r="S10" s="392"/>
    </row>
    <row r="11" spans="1:19" x14ac:dyDescent="0.25">
      <c r="A11" s="67" t="s">
        <v>403</v>
      </c>
      <c r="B11" s="64">
        <v>300</v>
      </c>
      <c r="C11" s="108">
        <v>67.400000000000006</v>
      </c>
      <c r="D11" s="108">
        <v>142.1</v>
      </c>
      <c r="E11" s="64">
        <v>75</v>
      </c>
      <c r="F11" s="108">
        <v>24.33</v>
      </c>
      <c r="G11" s="108">
        <v>113.7</v>
      </c>
      <c r="J11" s="393"/>
      <c r="K11" s="67" t="s">
        <v>403</v>
      </c>
      <c r="L11" s="65">
        <v>67.400000000000006</v>
      </c>
      <c r="M11" s="65">
        <v>142.1</v>
      </c>
      <c r="N11" s="108">
        <v>24.33</v>
      </c>
      <c r="O11" s="108">
        <v>113.7</v>
      </c>
      <c r="Q11" s="392"/>
      <c r="R11" s="392"/>
      <c r="S11" s="392"/>
    </row>
    <row r="12" spans="1:19" x14ac:dyDescent="0.25">
      <c r="A12" s="67" t="s">
        <v>404</v>
      </c>
      <c r="B12" s="64">
        <v>300</v>
      </c>
      <c r="C12" s="108">
        <v>67.8</v>
      </c>
      <c r="D12" s="108">
        <v>156.69999999999999</v>
      </c>
      <c r="E12" s="64">
        <v>75</v>
      </c>
      <c r="F12" s="108">
        <v>51.82</v>
      </c>
      <c r="G12" s="108">
        <v>125.4</v>
      </c>
      <c r="J12" s="393"/>
      <c r="K12" s="67" t="s">
        <v>404</v>
      </c>
      <c r="L12" s="65">
        <v>67.8</v>
      </c>
      <c r="M12" s="65">
        <v>156.69999999999999</v>
      </c>
      <c r="N12" s="108">
        <v>51.82</v>
      </c>
      <c r="O12" s="108">
        <v>125.4</v>
      </c>
      <c r="Q12" s="392"/>
      <c r="R12" s="392"/>
      <c r="S12" s="392"/>
    </row>
    <row r="13" spans="1:19" ht="14.25" customHeight="1" x14ac:dyDescent="0.25">
      <c r="A13" s="67" t="s">
        <v>405</v>
      </c>
      <c r="B13" s="64">
        <v>300</v>
      </c>
      <c r="C13" s="108">
        <v>64.3</v>
      </c>
      <c r="D13" s="108">
        <v>181.8</v>
      </c>
      <c r="E13" s="64">
        <v>75</v>
      </c>
      <c r="F13" s="108">
        <v>51.4</v>
      </c>
      <c r="G13" s="108">
        <v>145.4</v>
      </c>
      <c r="J13" s="393"/>
      <c r="K13" s="67" t="s">
        <v>405</v>
      </c>
      <c r="L13" s="65">
        <v>64.3</v>
      </c>
      <c r="M13" s="65">
        <v>181.8</v>
      </c>
      <c r="N13" s="108">
        <v>51.4</v>
      </c>
      <c r="O13" s="108">
        <v>145.4</v>
      </c>
      <c r="Q13" s="392" t="s">
        <v>406</v>
      </c>
      <c r="R13" s="392"/>
      <c r="S13" s="392"/>
    </row>
    <row r="14" spans="1:19" x14ac:dyDescent="0.25">
      <c r="A14" s="67" t="s">
        <v>407</v>
      </c>
      <c r="B14" s="64">
        <v>300</v>
      </c>
      <c r="C14" s="108">
        <v>67.400000000000006</v>
      </c>
      <c r="D14" s="108">
        <v>144.80000000000001</v>
      </c>
      <c r="E14" s="64">
        <v>75</v>
      </c>
      <c r="F14" s="108">
        <v>45.18</v>
      </c>
      <c r="G14" s="108">
        <v>115.8</v>
      </c>
      <c r="J14" s="393"/>
      <c r="K14" s="67" t="s">
        <v>407</v>
      </c>
      <c r="L14" s="65">
        <v>67.400000000000006</v>
      </c>
      <c r="M14" s="65">
        <v>144.80000000000001</v>
      </c>
      <c r="N14" s="108">
        <v>45.18</v>
      </c>
      <c r="O14" s="108">
        <v>115.8</v>
      </c>
      <c r="Q14" s="392"/>
      <c r="R14" s="392"/>
      <c r="S14" s="392"/>
    </row>
    <row r="15" spans="1:19" x14ac:dyDescent="0.25">
      <c r="A15" s="67" t="s">
        <v>408</v>
      </c>
      <c r="B15" s="64">
        <v>300</v>
      </c>
      <c r="C15" s="108">
        <v>67.8</v>
      </c>
      <c r="D15" s="108">
        <v>203.9</v>
      </c>
      <c r="E15" s="64">
        <v>75</v>
      </c>
      <c r="F15" s="108">
        <v>50.28</v>
      </c>
      <c r="G15" s="108">
        <v>163.19999999999999</v>
      </c>
      <c r="J15" s="393"/>
      <c r="K15" s="67" t="s">
        <v>408</v>
      </c>
      <c r="L15" s="65">
        <v>67.8</v>
      </c>
      <c r="M15" s="65">
        <v>203.9</v>
      </c>
      <c r="N15" s="108">
        <v>50.28</v>
      </c>
      <c r="O15" s="108">
        <v>163.19999999999999</v>
      </c>
      <c r="Q15" s="392"/>
      <c r="R15" s="392"/>
      <c r="S15" s="392"/>
    </row>
    <row r="16" spans="1:19" x14ac:dyDescent="0.25">
      <c r="A16" s="67" t="s">
        <v>409</v>
      </c>
      <c r="B16" s="64">
        <v>300</v>
      </c>
      <c r="C16" s="108">
        <v>71.400000000000006</v>
      </c>
      <c r="D16" s="108">
        <v>235.7</v>
      </c>
      <c r="E16" s="64">
        <v>75</v>
      </c>
      <c r="F16" s="108">
        <v>45.35</v>
      </c>
      <c r="G16" s="108">
        <v>188.5</v>
      </c>
      <c r="J16" s="393"/>
      <c r="K16" s="67" t="s">
        <v>409</v>
      </c>
      <c r="L16" s="65">
        <v>71.400000000000006</v>
      </c>
      <c r="M16" s="65">
        <v>235.7</v>
      </c>
      <c r="N16" s="108">
        <v>45.35</v>
      </c>
      <c r="O16" s="108">
        <v>188.5</v>
      </c>
      <c r="Q16" s="392"/>
      <c r="R16" s="392"/>
      <c r="S16" s="392"/>
    </row>
    <row r="17" spans="1:15" x14ac:dyDescent="0.25">
      <c r="A17" s="67" t="s">
        <v>410</v>
      </c>
      <c r="B17" s="64">
        <v>300</v>
      </c>
      <c r="C17" s="108">
        <v>76.7</v>
      </c>
      <c r="D17" s="108">
        <v>277.89999999999998</v>
      </c>
      <c r="E17" s="64">
        <v>75</v>
      </c>
      <c r="F17" s="108">
        <v>40.39</v>
      </c>
      <c r="G17" s="108">
        <v>222.3</v>
      </c>
      <c r="J17" s="393"/>
      <c r="K17" s="67" t="s">
        <v>410</v>
      </c>
      <c r="L17" s="65">
        <v>76.7</v>
      </c>
      <c r="M17" s="65">
        <v>277.89999999999998</v>
      </c>
      <c r="N17" s="108">
        <v>40.39</v>
      </c>
      <c r="O17" s="108">
        <v>222.3</v>
      </c>
    </row>
    <row r="18" spans="1:15" x14ac:dyDescent="0.25">
      <c r="A18" s="67" t="s">
        <v>411</v>
      </c>
      <c r="B18" s="64">
        <v>300</v>
      </c>
      <c r="C18" s="108">
        <v>71.3</v>
      </c>
      <c r="D18" s="108">
        <v>208.1</v>
      </c>
      <c r="E18" s="64">
        <v>75</v>
      </c>
      <c r="F18" s="108">
        <v>56.9</v>
      </c>
      <c r="G18" s="108">
        <v>166.5</v>
      </c>
      <c r="J18" s="393"/>
      <c r="K18" s="67" t="s">
        <v>411</v>
      </c>
      <c r="L18" s="65">
        <v>71.3</v>
      </c>
      <c r="M18" s="65">
        <v>208.1</v>
      </c>
      <c r="N18" s="108">
        <v>56.9</v>
      </c>
      <c r="O18" s="108">
        <v>166.5</v>
      </c>
    </row>
    <row r="19" spans="1:15" x14ac:dyDescent="0.25">
      <c r="J19" s="393"/>
      <c r="K19" s="63" t="s">
        <v>412</v>
      </c>
      <c r="L19" s="63">
        <f>AVERAGE(L7:L18)</f>
        <v>68.74166666666666</v>
      </c>
      <c r="M19" s="63">
        <f>MAX(M7:M18)</f>
        <v>694.6</v>
      </c>
      <c r="N19" s="63">
        <f>AVERAGE(N7:N18)</f>
        <v>47.895000000000003</v>
      </c>
      <c r="O19" s="63">
        <f>MAX(O7:O18)</f>
        <v>555.70000000000005</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A28" zoomScaleNormal="100" workbookViewId="0">
      <selection activeCell="Q19" sqref="Q19"/>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c r="F1" s="90"/>
    </row>
    <row r="3" spans="1:19" ht="14.4" x14ac:dyDescent="0.3">
      <c r="A3" s="61" t="s">
        <v>416</v>
      </c>
      <c r="D3" s="77" t="s">
        <v>381</v>
      </c>
      <c r="G3" s="81" t="s">
        <v>382</v>
      </c>
      <c r="J3" s="9" t="str">
        <f>+A3</f>
        <v>Monitoring of Oxides of Nitrogen emissions</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417</v>
      </c>
      <c r="C6" s="56" t="s">
        <v>389</v>
      </c>
      <c r="D6" s="56" t="s">
        <v>390</v>
      </c>
      <c r="E6" s="56" t="s">
        <v>418</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600</v>
      </c>
      <c r="C7" s="108">
        <v>240.7</v>
      </c>
      <c r="D7" s="108">
        <v>300.2</v>
      </c>
      <c r="E7" s="64">
        <v>300</v>
      </c>
      <c r="F7" s="108">
        <v>192.54</v>
      </c>
      <c r="G7" s="108">
        <v>240.1</v>
      </c>
      <c r="J7" s="393" t="s">
        <v>188</v>
      </c>
      <c r="K7" s="67" t="s">
        <v>397</v>
      </c>
      <c r="L7" s="65">
        <v>240.7</v>
      </c>
      <c r="M7" s="65">
        <v>300.2</v>
      </c>
      <c r="N7" s="108">
        <v>192.54</v>
      </c>
      <c r="O7" s="108">
        <v>240.1</v>
      </c>
      <c r="Q7" s="371"/>
      <c r="R7" s="371"/>
      <c r="S7" s="371"/>
    </row>
    <row r="8" spans="1:19" x14ac:dyDescent="0.25">
      <c r="A8" s="67" t="s">
        <v>398</v>
      </c>
      <c r="B8" s="64">
        <v>600</v>
      </c>
      <c r="C8" s="108">
        <v>226.2</v>
      </c>
      <c r="D8" s="108">
        <v>291.3</v>
      </c>
      <c r="E8" s="64">
        <v>300</v>
      </c>
      <c r="F8" s="108">
        <v>180.2</v>
      </c>
      <c r="G8" s="108">
        <v>233.1</v>
      </c>
      <c r="J8" s="393"/>
      <c r="K8" s="67" t="s">
        <v>398</v>
      </c>
      <c r="L8" s="65">
        <v>226.2</v>
      </c>
      <c r="M8" s="65">
        <v>291.3</v>
      </c>
      <c r="N8" s="108">
        <v>180.2</v>
      </c>
      <c r="O8" s="108">
        <v>233.1</v>
      </c>
      <c r="Q8" s="371"/>
      <c r="R8" s="371"/>
      <c r="S8" s="371"/>
    </row>
    <row r="9" spans="1:19" x14ac:dyDescent="0.25">
      <c r="A9" s="67" t="s">
        <v>399</v>
      </c>
      <c r="B9" s="64">
        <v>600</v>
      </c>
      <c r="C9" s="108">
        <v>235.8</v>
      </c>
      <c r="D9" s="108">
        <v>303.60000000000002</v>
      </c>
      <c r="E9" s="64">
        <v>300</v>
      </c>
      <c r="F9" s="108">
        <v>182.6</v>
      </c>
      <c r="G9" s="108">
        <v>242.9</v>
      </c>
      <c r="J9" s="393"/>
      <c r="K9" s="67" t="s">
        <v>399</v>
      </c>
      <c r="L9" s="65">
        <v>235.8</v>
      </c>
      <c r="M9" s="65">
        <v>303.60000000000002</v>
      </c>
      <c r="N9" s="108">
        <v>182.6</v>
      </c>
      <c r="O9" s="108">
        <v>242.9</v>
      </c>
      <c r="Q9" s="79" t="s">
        <v>400</v>
      </c>
    </row>
    <row r="10" spans="1:19" ht="14.25" customHeight="1" x14ac:dyDescent="0.25">
      <c r="A10" s="67" t="s">
        <v>401</v>
      </c>
      <c r="B10" s="64">
        <v>600</v>
      </c>
      <c r="C10" s="108">
        <v>246.4</v>
      </c>
      <c r="D10" s="108">
        <v>318.39999999999998</v>
      </c>
      <c r="E10" s="64">
        <v>300</v>
      </c>
      <c r="F10" s="108">
        <v>177.91</v>
      </c>
      <c r="G10" s="108">
        <v>254.7</v>
      </c>
      <c r="J10" s="393"/>
      <c r="K10" s="67" t="s">
        <v>401</v>
      </c>
      <c r="L10" s="65">
        <v>246.4</v>
      </c>
      <c r="M10" s="65">
        <v>318.39999999999998</v>
      </c>
      <c r="N10" s="108">
        <v>177.91</v>
      </c>
      <c r="O10" s="108">
        <v>254.7</v>
      </c>
      <c r="Q10" s="392" t="s">
        <v>402</v>
      </c>
      <c r="R10" s="392"/>
      <c r="S10" s="392"/>
    </row>
    <row r="11" spans="1:19" x14ac:dyDescent="0.25">
      <c r="A11" s="67" t="s">
        <v>403</v>
      </c>
      <c r="B11" s="64">
        <v>600</v>
      </c>
      <c r="C11" s="108">
        <v>267.39999999999998</v>
      </c>
      <c r="D11" s="108">
        <v>309.5</v>
      </c>
      <c r="E11" s="64">
        <v>300</v>
      </c>
      <c r="F11" s="108">
        <v>99.32</v>
      </c>
      <c r="G11" s="108">
        <v>247.6</v>
      </c>
      <c r="J11" s="393"/>
      <c r="K11" s="67" t="s">
        <v>403</v>
      </c>
      <c r="L11" s="65">
        <v>267.39999999999998</v>
      </c>
      <c r="M11" s="65">
        <v>309.5</v>
      </c>
      <c r="N11" s="108">
        <v>99.32</v>
      </c>
      <c r="O11" s="108">
        <v>247.6</v>
      </c>
      <c r="Q11" s="392"/>
      <c r="R11" s="392"/>
      <c r="S11" s="392"/>
    </row>
    <row r="12" spans="1:19" x14ac:dyDescent="0.25">
      <c r="A12" s="67" t="s">
        <v>404</v>
      </c>
      <c r="B12" s="64">
        <v>600</v>
      </c>
      <c r="C12" s="108">
        <v>267.60000000000002</v>
      </c>
      <c r="D12" s="108">
        <v>306.2</v>
      </c>
      <c r="E12" s="64">
        <v>300</v>
      </c>
      <c r="F12" s="108">
        <v>205.4</v>
      </c>
      <c r="G12" s="108">
        <v>242.1</v>
      </c>
      <c r="J12" s="393"/>
      <c r="K12" s="67" t="s">
        <v>404</v>
      </c>
      <c r="L12" s="65">
        <v>267.60000000000002</v>
      </c>
      <c r="M12" s="65">
        <v>306.2</v>
      </c>
      <c r="N12" s="108">
        <v>205.4</v>
      </c>
      <c r="O12" s="108">
        <v>242.1</v>
      </c>
      <c r="Q12" s="392"/>
      <c r="R12" s="392"/>
      <c r="S12" s="392"/>
    </row>
    <row r="13" spans="1:19" ht="14.25" customHeight="1" x14ac:dyDescent="0.25">
      <c r="A13" s="67" t="s">
        <v>405</v>
      </c>
      <c r="B13" s="64">
        <v>600</v>
      </c>
      <c r="C13" s="108">
        <v>249.7</v>
      </c>
      <c r="D13" s="108">
        <v>298.39999999999998</v>
      </c>
      <c r="E13" s="64">
        <v>300</v>
      </c>
      <c r="F13" s="108">
        <v>199.34</v>
      </c>
      <c r="G13" s="108">
        <v>238.7</v>
      </c>
      <c r="J13" s="393"/>
      <c r="K13" s="67" t="s">
        <v>405</v>
      </c>
      <c r="L13" s="65">
        <v>249.7</v>
      </c>
      <c r="M13" s="65">
        <v>298.39999999999998</v>
      </c>
      <c r="N13" s="108">
        <v>199.34</v>
      </c>
      <c r="O13" s="108">
        <v>238.7</v>
      </c>
      <c r="Q13" s="392" t="s">
        <v>406</v>
      </c>
      <c r="R13" s="392"/>
      <c r="S13" s="392"/>
    </row>
    <row r="14" spans="1:19" x14ac:dyDescent="0.25">
      <c r="A14" s="67" t="s">
        <v>407</v>
      </c>
      <c r="B14" s="64">
        <v>600</v>
      </c>
      <c r="C14" s="108">
        <v>243.4</v>
      </c>
      <c r="D14" s="108">
        <v>303.5</v>
      </c>
      <c r="E14" s="64">
        <v>300</v>
      </c>
      <c r="F14" s="108">
        <v>166.33</v>
      </c>
      <c r="G14" s="108">
        <v>242.8</v>
      </c>
      <c r="J14" s="393"/>
      <c r="K14" s="67" t="s">
        <v>407</v>
      </c>
      <c r="L14" s="65">
        <v>243.4</v>
      </c>
      <c r="M14" s="65">
        <v>303.5</v>
      </c>
      <c r="N14" s="108">
        <v>166.33</v>
      </c>
      <c r="O14" s="108">
        <v>242.8</v>
      </c>
      <c r="Q14" s="392"/>
      <c r="R14" s="392"/>
      <c r="S14" s="392"/>
    </row>
    <row r="15" spans="1:19" x14ac:dyDescent="0.25">
      <c r="A15" s="67" t="s">
        <v>408</v>
      </c>
      <c r="B15" s="64">
        <v>600</v>
      </c>
      <c r="C15" s="108">
        <v>250</v>
      </c>
      <c r="D15" s="108">
        <v>307.3</v>
      </c>
      <c r="E15" s="64">
        <v>300</v>
      </c>
      <c r="F15" s="108">
        <v>185.47</v>
      </c>
      <c r="G15" s="108">
        <v>245.8</v>
      </c>
      <c r="J15" s="393"/>
      <c r="K15" s="67" t="s">
        <v>408</v>
      </c>
      <c r="L15" s="65">
        <v>250</v>
      </c>
      <c r="M15" s="65">
        <v>307.3</v>
      </c>
      <c r="N15" s="108">
        <v>185.47</v>
      </c>
      <c r="O15" s="108">
        <v>245.8</v>
      </c>
      <c r="Q15" s="392"/>
      <c r="R15" s="392"/>
      <c r="S15" s="392"/>
    </row>
    <row r="16" spans="1:19" x14ac:dyDescent="0.25">
      <c r="A16" s="67" t="s">
        <v>409</v>
      </c>
      <c r="B16" s="64">
        <v>600</v>
      </c>
      <c r="C16" s="108">
        <v>211.9</v>
      </c>
      <c r="D16" s="108">
        <v>388.2</v>
      </c>
      <c r="E16" s="64">
        <v>300</v>
      </c>
      <c r="F16" s="108">
        <v>134.57</v>
      </c>
      <c r="G16" s="108">
        <v>310.5</v>
      </c>
      <c r="J16" s="393"/>
      <c r="K16" s="67" t="s">
        <v>409</v>
      </c>
      <c r="L16" s="65">
        <v>211.9</v>
      </c>
      <c r="M16" s="65">
        <v>388.2</v>
      </c>
      <c r="N16" s="108">
        <v>134.57</v>
      </c>
      <c r="O16" s="108">
        <v>310.5</v>
      </c>
      <c r="Q16" s="392"/>
      <c r="R16" s="392"/>
      <c r="S16" s="392"/>
    </row>
    <row r="17" spans="1:15" x14ac:dyDescent="0.25">
      <c r="A17" s="67" t="s">
        <v>410</v>
      </c>
      <c r="B17" s="64">
        <v>600</v>
      </c>
      <c r="C17" s="108">
        <v>224.5</v>
      </c>
      <c r="D17" s="108">
        <v>293.5</v>
      </c>
      <c r="E17" s="64">
        <v>300</v>
      </c>
      <c r="F17" s="108">
        <v>124.95</v>
      </c>
      <c r="G17" s="108">
        <v>234.8</v>
      </c>
      <c r="J17" s="393"/>
      <c r="K17" s="67" t="s">
        <v>410</v>
      </c>
      <c r="L17" s="65">
        <v>224.5</v>
      </c>
      <c r="M17" s="65">
        <v>293.5</v>
      </c>
      <c r="N17" s="108">
        <v>124.95</v>
      </c>
      <c r="O17" s="108">
        <v>234.8</v>
      </c>
    </row>
    <row r="18" spans="1:15" x14ac:dyDescent="0.25">
      <c r="A18" s="67" t="s">
        <v>411</v>
      </c>
      <c r="B18" s="64">
        <v>600</v>
      </c>
      <c r="C18" s="108">
        <v>231.2</v>
      </c>
      <c r="D18" s="108">
        <v>300.8</v>
      </c>
      <c r="E18" s="64">
        <v>300</v>
      </c>
      <c r="F18" s="108">
        <v>185.41</v>
      </c>
      <c r="G18" s="108">
        <v>240.7</v>
      </c>
      <c r="J18" s="393"/>
      <c r="K18" s="67" t="s">
        <v>411</v>
      </c>
      <c r="L18" s="65">
        <v>231.2</v>
      </c>
      <c r="M18" s="65">
        <v>300.8</v>
      </c>
      <c r="N18" s="108">
        <v>185.41</v>
      </c>
      <c r="O18" s="108">
        <v>240.7</v>
      </c>
    </row>
    <row r="19" spans="1:15" x14ac:dyDescent="0.25">
      <c r="J19" s="393"/>
      <c r="K19" s="63" t="s">
        <v>412</v>
      </c>
      <c r="L19" s="63">
        <f>AVERAGE(L7:L18)</f>
        <v>241.23333333333332</v>
      </c>
      <c r="M19" s="63">
        <f>MAX(M7:M18)</f>
        <v>388.2</v>
      </c>
      <c r="N19" s="63">
        <f>AVERAGE(N7:N18)</f>
        <v>169.50333333333333</v>
      </c>
      <c r="O19" s="63">
        <f>MAX(O7:O18)</f>
        <v>310.5</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A11" zoomScaleNormal="100" workbookViewId="0">
      <selection activeCell="F12" sqref="F12"/>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row>
    <row r="3" spans="1:19" ht="14.4" x14ac:dyDescent="0.3">
      <c r="A3" s="61" t="s">
        <v>419</v>
      </c>
      <c r="D3" s="77" t="s">
        <v>381</v>
      </c>
      <c r="G3" s="81" t="s">
        <v>382</v>
      </c>
      <c r="J3" s="9" t="str">
        <f>+A3</f>
        <v>Monitoring of Total organic carbon emissions</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420</v>
      </c>
      <c r="C6" s="56" t="s">
        <v>389</v>
      </c>
      <c r="D6" s="56" t="s">
        <v>390</v>
      </c>
      <c r="E6" s="56" t="s">
        <v>421</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30</v>
      </c>
      <c r="C7" s="108">
        <v>1.3</v>
      </c>
      <c r="D7" s="108">
        <v>1.9</v>
      </c>
      <c r="E7" s="64">
        <v>15</v>
      </c>
      <c r="F7" s="108">
        <v>0.91</v>
      </c>
      <c r="G7" s="108">
        <v>1.4</v>
      </c>
      <c r="J7" s="393" t="s">
        <v>188</v>
      </c>
      <c r="K7" s="67" t="s">
        <v>397</v>
      </c>
      <c r="L7" s="65">
        <v>1.3</v>
      </c>
      <c r="M7" s="65">
        <v>1.9</v>
      </c>
      <c r="N7" s="108">
        <v>0.91</v>
      </c>
      <c r="O7" s="108">
        <v>1.4</v>
      </c>
      <c r="Q7" s="371"/>
      <c r="R7" s="371"/>
      <c r="S7" s="371"/>
    </row>
    <row r="8" spans="1:19" x14ac:dyDescent="0.25">
      <c r="A8" s="67" t="s">
        <v>398</v>
      </c>
      <c r="B8" s="64">
        <v>30</v>
      </c>
      <c r="C8" s="108">
        <v>1.4</v>
      </c>
      <c r="D8" s="108">
        <v>2.1</v>
      </c>
      <c r="E8" s="64">
        <v>15</v>
      </c>
      <c r="F8" s="108">
        <v>0.95</v>
      </c>
      <c r="G8" s="108">
        <v>1.5</v>
      </c>
      <c r="J8" s="393"/>
      <c r="K8" s="67" t="s">
        <v>398</v>
      </c>
      <c r="L8" s="65">
        <v>1.4</v>
      </c>
      <c r="M8" s="65">
        <v>2.1</v>
      </c>
      <c r="N8" s="108">
        <v>0.95</v>
      </c>
      <c r="O8" s="108">
        <v>1.5</v>
      </c>
      <c r="Q8" s="371"/>
      <c r="R8" s="371"/>
      <c r="S8" s="371"/>
    </row>
    <row r="9" spans="1:19" x14ac:dyDescent="0.25">
      <c r="A9" s="67" t="s">
        <v>399</v>
      </c>
      <c r="B9" s="64">
        <v>30</v>
      </c>
      <c r="C9" s="108">
        <v>1.4</v>
      </c>
      <c r="D9" s="108">
        <v>2.4</v>
      </c>
      <c r="E9" s="64">
        <v>15</v>
      </c>
      <c r="F9" s="108">
        <v>0.93</v>
      </c>
      <c r="G9" s="108">
        <v>1.7</v>
      </c>
      <c r="J9" s="393"/>
      <c r="K9" s="67" t="s">
        <v>399</v>
      </c>
      <c r="L9" s="65">
        <v>1.4</v>
      </c>
      <c r="M9" s="65">
        <v>2.4</v>
      </c>
      <c r="N9" s="108">
        <v>0.93</v>
      </c>
      <c r="O9" s="108">
        <v>1.7</v>
      </c>
      <c r="Q9" s="79" t="s">
        <v>400</v>
      </c>
    </row>
    <row r="10" spans="1:19" ht="14.25" customHeight="1" x14ac:dyDescent="0.25">
      <c r="A10" s="67" t="s">
        <v>401</v>
      </c>
      <c r="B10" s="64">
        <v>30</v>
      </c>
      <c r="C10" s="108">
        <v>1.3</v>
      </c>
      <c r="D10" s="108">
        <v>2.4</v>
      </c>
      <c r="E10" s="64">
        <v>15</v>
      </c>
      <c r="F10" s="108">
        <v>0.83</v>
      </c>
      <c r="G10" s="108">
        <v>1.7</v>
      </c>
      <c r="J10" s="393"/>
      <c r="K10" s="67" t="s">
        <v>401</v>
      </c>
      <c r="L10" s="65">
        <v>1.3</v>
      </c>
      <c r="M10" s="65">
        <v>2.4</v>
      </c>
      <c r="N10" s="108">
        <v>0.83</v>
      </c>
      <c r="O10" s="108">
        <v>1.7</v>
      </c>
      <c r="Q10" s="392" t="s">
        <v>402</v>
      </c>
      <c r="R10" s="392"/>
      <c r="S10" s="392"/>
    </row>
    <row r="11" spans="1:19" x14ac:dyDescent="0.25">
      <c r="A11" s="67" t="s">
        <v>403</v>
      </c>
      <c r="B11" s="64">
        <v>30</v>
      </c>
      <c r="C11" s="108">
        <v>1.4</v>
      </c>
      <c r="D11" s="108">
        <v>2.6</v>
      </c>
      <c r="E11" s="64">
        <v>15</v>
      </c>
      <c r="F11" s="108">
        <v>0.47</v>
      </c>
      <c r="G11" s="108">
        <v>1.9</v>
      </c>
      <c r="J11" s="393"/>
      <c r="K11" s="67" t="s">
        <v>403</v>
      </c>
      <c r="L11" s="65">
        <v>1.4</v>
      </c>
      <c r="M11" s="65">
        <v>2.6</v>
      </c>
      <c r="N11" s="108">
        <v>0.47</v>
      </c>
      <c r="O11" s="108">
        <v>1.9</v>
      </c>
      <c r="Q11" s="392"/>
      <c r="R11" s="392"/>
      <c r="S11" s="392"/>
    </row>
    <row r="12" spans="1:19" x14ac:dyDescent="0.25">
      <c r="A12" s="67" t="s">
        <v>404</v>
      </c>
      <c r="B12" s="64">
        <v>30</v>
      </c>
      <c r="C12" s="108">
        <v>1.4</v>
      </c>
      <c r="D12" s="108">
        <v>4.2</v>
      </c>
      <c r="E12" s="64">
        <v>15</v>
      </c>
      <c r="F12" s="108">
        <v>0.97</v>
      </c>
      <c r="G12" s="108">
        <v>2.9</v>
      </c>
      <c r="J12" s="393"/>
      <c r="K12" s="67" t="s">
        <v>404</v>
      </c>
      <c r="L12" s="65">
        <v>1.4</v>
      </c>
      <c r="M12" s="65">
        <v>4.2</v>
      </c>
      <c r="N12" s="108">
        <v>0.97</v>
      </c>
      <c r="O12" s="108">
        <v>2.9</v>
      </c>
      <c r="Q12" s="392"/>
      <c r="R12" s="392"/>
      <c r="S12" s="392"/>
    </row>
    <row r="13" spans="1:19" ht="14.25" customHeight="1" x14ac:dyDescent="0.25">
      <c r="A13" s="67" t="s">
        <v>405</v>
      </c>
      <c r="B13" s="64">
        <v>30</v>
      </c>
      <c r="C13" s="108">
        <v>1.4</v>
      </c>
      <c r="D13" s="108">
        <v>2.9</v>
      </c>
      <c r="E13" s="64">
        <v>15</v>
      </c>
      <c r="F13" s="108">
        <v>0.94</v>
      </c>
      <c r="G13" s="108">
        <v>1.8</v>
      </c>
      <c r="J13" s="393"/>
      <c r="K13" s="67" t="s">
        <v>405</v>
      </c>
      <c r="L13" s="65">
        <v>1.4</v>
      </c>
      <c r="M13" s="65">
        <v>2.9</v>
      </c>
      <c r="N13" s="108">
        <v>0.94</v>
      </c>
      <c r="O13" s="108">
        <v>1.8</v>
      </c>
      <c r="Q13" s="392" t="s">
        <v>406</v>
      </c>
      <c r="R13" s="392"/>
      <c r="S13" s="392"/>
    </row>
    <row r="14" spans="1:19" x14ac:dyDescent="0.25">
      <c r="A14" s="67" t="s">
        <v>407</v>
      </c>
      <c r="B14" s="64">
        <v>30</v>
      </c>
      <c r="C14" s="108">
        <v>1.3</v>
      </c>
      <c r="D14" s="108">
        <v>2.6</v>
      </c>
      <c r="E14" s="64">
        <v>15</v>
      </c>
      <c r="F14" s="108">
        <v>0.83</v>
      </c>
      <c r="G14" s="108">
        <v>1.8</v>
      </c>
      <c r="J14" s="393"/>
      <c r="K14" s="67" t="s">
        <v>407</v>
      </c>
      <c r="L14" s="65">
        <v>1.3</v>
      </c>
      <c r="M14" s="65">
        <v>2.6</v>
      </c>
      <c r="N14" s="108">
        <v>0.83</v>
      </c>
      <c r="O14" s="108">
        <v>1.8</v>
      </c>
      <c r="Q14" s="392"/>
      <c r="R14" s="392"/>
      <c r="S14" s="392"/>
    </row>
    <row r="15" spans="1:19" x14ac:dyDescent="0.25">
      <c r="A15" s="67" t="s">
        <v>408</v>
      </c>
      <c r="B15" s="64">
        <v>30</v>
      </c>
      <c r="C15" s="108">
        <v>1.4</v>
      </c>
      <c r="D15" s="108">
        <v>2.8</v>
      </c>
      <c r="E15" s="64">
        <v>15</v>
      </c>
      <c r="F15" s="108">
        <v>0.89</v>
      </c>
      <c r="G15" s="108">
        <v>1.9</v>
      </c>
      <c r="J15" s="393"/>
      <c r="K15" s="67" t="s">
        <v>408</v>
      </c>
      <c r="L15" s="65">
        <v>1.4</v>
      </c>
      <c r="M15" s="65">
        <v>2.8</v>
      </c>
      <c r="N15" s="108">
        <v>0.89</v>
      </c>
      <c r="O15" s="108">
        <v>1.9</v>
      </c>
      <c r="Q15" s="392"/>
      <c r="R15" s="392"/>
      <c r="S15" s="392"/>
    </row>
    <row r="16" spans="1:19" x14ac:dyDescent="0.25">
      <c r="A16" s="67" t="s">
        <v>409</v>
      </c>
      <c r="B16" s="64">
        <v>30</v>
      </c>
      <c r="C16" s="108">
        <v>1.4</v>
      </c>
      <c r="D16" s="108">
        <v>1.9</v>
      </c>
      <c r="E16" s="64">
        <v>15</v>
      </c>
      <c r="F16" s="108">
        <v>0.77</v>
      </c>
      <c r="G16" s="108">
        <v>1.3</v>
      </c>
      <c r="J16" s="393"/>
      <c r="K16" s="67" t="s">
        <v>409</v>
      </c>
      <c r="L16" s="65">
        <v>1.4</v>
      </c>
      <c r="M16" s="65">
        <v>1.9</v>
      </c>
      <c r="N16" s="108">
        <v>0.77</v>
      </c>
      <c r="O16" s="108">
        <v>1.3</v>
      </c>
      <c r="Q16" s="392"/>
      <c r="R16" s="392"/>
      <c r="S16" s="392"/>
    </row>
    <row r="17" spans="1:15" x14ac:dyDescent="0.25">
      <c r="A17" s="67" t="s">
        <v>410</v>
      </c>
      <c r="B17" s="64">
        <v>30</v>
      </c>
      <c r="C17" s="108">
        <v>1.3</v>
      </c>
      <c r="D17" s="108">
        <v>3.4</v>
      </c>
      <c r="E17" s="64">
        <v>15</v>
      </c>
      <c r="F17" s="108">
        <v>0.67</v>
      </c>
      <c r="G17" s="108">
        <v>2.4</v>
      </c>
      <c r="J17" s="393"/>
      <c r="K17" s="67" t="s">
        <v>410</v>
      </c>
      <c r="L17" s="65">
        <v>1.3</v>
      </c>
      <c r="M17" s="65">
        <v>3.4</v>
      </c>
      <c r="N17" s="108">
        <v>0.67</v>
      </c>
      <c r="O17" s="108">
        <v>2.4</v>
      </c>
    </row>
    <row r="18" spans="1:15" x14ac:dyDescent="0.25">
      <c r="A18" s="67" t="s">
        <v>411</v>
      </c>
      <c r="B18" s="64">
        <v>30</v>
      </c>
      <c r="C18" s="108">
        <v>1.3</v>
      </c>
      <c r="D18" s="108">
        <v>1.8</v>
      </c>
      <c r="E18" s="64">
        <v>15</v>
      </c>
      <c r="F18" s="108">
        <v>0.92</v>
      </c>
      <c r="G18" s="108">
        <v>1.3</v>
      </c>
      <c r="J18" s="393"/>
      <c r="K18" s="67" t="s">
        <v>411</v>
      </c>
      <c r="L18" s="65">
        <v>1.3</v>
      </c>
      <c r="M18" s="65">
        <v>1.8</v>
      </c>
      <c r="N18" s="108">
        <v>0.92</v>
      </c>
      <c r="O18" s="108">
        <v>1.3</v>
      </c>
    </row>
    <row r="19" spans="1:15" x14ac:dyDescent="0.25">
      <c r="J19" s="393"/>
      <c r="K19" s="63" t="s">
        <v>412</v>
      </c>
      <c r="L19" s="63">
        <f>AVERAGE(L7:L18)</f>
        <v>1.3583333333333334</v>
      </c>
      <c r="M19" s="63">
        <f>MAX(M7:M18)</f>
        <v>4.2</v>
      </c>
      <c r="N19" s="63">
        <f>AVERAGE(N7:N18)</f>
        <v>0.84</v>
      </c>
      <c r="O19" s="63">
        <f>MAX(O7:O18)</f>
        <v>2.9</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A28" zoomScaleNormal="100" workbookViewId="0">
      <selection activeCell="Q13" sqref="Q13:S16"/>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row>
    <row r="3" spans="1:19" ht="14.4" x14ac:dyDescent="0.3">
      <c r="A3" s="61" t="s">
        <v>422</v>
      </c>
      <c r="D3" s="77" t="s">
        <v>381</v>
      </c>
      <c r="G3" s="81" t="s">
        <v>382</v>
      </c>
      <c r="J3" s="9" t="str">
        <f>+A3</f>
        <v>Monitoring of Particulate matter emissions</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423</v>
      </c>
      <c r="C6" s="56" t="s">
        <v>389</v>
      </c>
      <c r="D6" s="56" t="s">
        <v>390</v>
      </c>
      <c r="E6" s="56" t="s">
        <v>424</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45</v>
      </c>
      <c r="C7" s="65">
        <v>0</v>
      </c>
      <c r="D7" s="65">
        <v>0</v>
      </c>
      <c r="E7" s="64">
        <v>15</v>
      </c>
      <c r="F7" s="65">
        <v>0</v>
      </c>
      <c r="G7" s="65">
        <v>0</v>
      </c>
      <c r="J7" s="393" t="s">
        <v>188</v>
      </c>
      <c r="K7" s="67" t="s">
        <v>397</v>
      </c>
      <c r="L7" s="65">
        <v>0</v>
      </c>
      <c r="M7" s="65">
        <v>0</v>
      </c>
      <c r="N7" s="65">
        <v>0</v>
      </c>
      <c r="O7" s="65">
        <v>0</v>
      </c>
      <c r="Q7" s="371"/>
      <c r="R7" s="371"/>
      <c r="S7" s="371"/>
    </row>
    <row r="8" spans="1:19" x14ac:dyDescent="0.25">
      <c r="A8" s="67" t="s">
        <v>398</v>
      </c>
      <c r="B8" s="64">
        <v>45</v>
      </c>
      <c r="C8" s="65">
        <v>0</v>
      </c>
      <c r="D8" s="65">
        <v>9.5</v>
      </c>
      <c r="E8" s="64">
        <v>15</v>
      </c>
      <c r="F8" s="65">
        <v>5.7000000000000002E-2</v>
      </c>
      <c r="G8" s="65">
        <v>6.7</v>
      </c>
      <c r="J8" s="393"/>
      <c r="K8" s="67" t="s">
        <v>398</v>
      </c>
      <c r="L8" s="65">
        <v>0</v>
      </c>
      <c r="M8" s="65">
        <v>9.5</v>
      </c>
      <c r="N8" s="65">
        <v>5.7000000000000002E-2</v>
      </c>
      <c r="O8" s="65">
        <v>6.7</v>
      </c>
      <c r="Q8" s="371"/>
      <c r="R8" s="371"/>
      <c r="S8" s="371"/>
    </row>
    <row r="9" spans="1:19" x14ac:dyDescent="0.25">
      <c r="A9" s="67" t="s">
        <v>399</v>
      </c>
      <c r="B9" s="64">
        <v>45</v>
      </c>
      <c r="C9" s="65">
        <v>0.1</v>
      </c>
      <c r="D9" s="65">
        <v>51.7</v>
      </c>
      <c r="E9" s="64">
        <v>15</v>
      </c>
      <c r="F9" s="65">
        <v>0.09</v>
      </c>
      <c r="G9" s="65">
        <v>36.200000000000003</v>
      </c>
      <c r="J9" s="393"/>
      <c r="K9" s="67" t="s">
        <v>399</v>
      </c>
      <c r="L9" s="65">
        <v>0.1</v>
      </c>
      <c r="M9" s="65">
        <v>51.7</v>
      </c>
      <c r="N9" s="65">
        <v>0.09</v>
      </c>
      <c r="O9" s="65">
        <v>36.200000000000003</v>
      </c>
      <c r="Q9" s="79" t="s">
        <v>400</v>
      </c>
    </row>
    <row r="10" spans="1:19" ht="14.25" customHeight="1" x14ac:dyDescent="0.25">
      <c r="A10" s="67" t="s">
        <v>401</v>
      </c>
      <c r="B10" s="64">
        <v>45</v>
      </c>
      <c r="C10" s="65">
        <v>0</v>
      </c>
      <c r="D10" s="65">
        <v>17.899999999999999</v>
      </c>
      <c r="E10" s="64">
        <v>15</v>
      </c>
      <c r="F10" s="65">
        <v>0.03</v>
      </c>
      <c r="G10" s="65">
        <v>12.5</v>
      </c>
      <c r="J10" s="393"/>
      <c r="K10" s="67" t="s">
        <v>401</v>
      </c>
      <c r="L10" s="65">
        <v>0</v>
      </c>
      <c r="M10" s="65">
        <v>17.899999999999999</v>
      </c>
      <c r="N10" s="65">
        <v>0.03</v>
      </c>
      <c r="O10" s="65">
        <v>12.5</v>
      </c>
      <c r="Q10" s="392" t="s">
        <v>402</v>
      </c>
      <c r="R10" s="392"/>
      <c r="S10" s="392"/>
    </row>
    <row r="11" spans="1:19" x14ac:dyDescent="0.25">
      <c r="A11" s="67" t="s">
        <v>403</v>
      </c>
      <c r="B11" s="64">
        <v>45</v>
      </c>
      <c r="C11" s="65">
        <v>0.1</v>
      </c>
      <c r="D11" s="65">
        <v>19.5</v>
      </c>
      <c r="E11" s="64">
        <v>15</v>
      </c>
      <c r="F11" s="65">
        <v>0.02</v>
      </c>
      <c r="G11" s="65">
        <v>13.6</v>
      </c>
      <c r="J11" s="393"/>
      <c r="K11" s="67" t="s">
        <v>403</v>
      </c>
      <c r="L11" s="65">
        <v>0.1</v>
      </c>
      <c r="M11" s="65">
        <v>19.5</v>
      </c>
      <c r="N11" s="65">
        <v>0.02</v>
      </c>
      <c r="O11" s="65">
        <v>13.6</v>
      </c>
      <c r="Q11" s="392"/>
      <c r="R11" s="392"/>
      <c r="S11" s="392"/>
    </row>
    <row r="12" spans="1:19" x14ac:dyDescent="0.25">
      <c r="A12" s="67" t="s">
        <v>404</v>
      </c>
      <c r="B12" s="64">
        <v>45</v>
      </c>
      <c r="C12" s="65">
        <v>0.1</v>
      </c>
      <c r="D12" s="65">
        <v>21.4</v>
      </c>
      <c r="E12" s="64">
        <v>15</v>
      </c>
      <c r="F12" s="65">
        <v>0.13</v>
      </c>
      <c r="G12" s="65">
        <v>15</v>
      </c>
      <c r="J12" s="393"/>
      <c r="K12" s="67" t="s">
        <v>404</v>
      </c>
      <c r="L12" s="65">
        <v>0.1</v>
      </c>
      <c r="M12" s="65">
        <v>21.4</v>
      </c>
      <c r="N12" s="65">
        <v>0.13</v>
      </c>
      <c r="O12" s="65">
        <v>15</v>
      </c>
      <c r="Q12" s="392"/>
      <c r="R12" s="392"/>
      <c r="S12" s="392"/>
    </row>
    <row r="13" spans="1:19" ht="14.25" customHeight="1" x14ac:dyDescent="0.25">
      <c r="A13" s="67" t="s">
        <v>405</v>
      </c>
      <c r="B13" s="64">
        <v>45</v>
      </c>
      <c r="C13" s="65">
        <v>0</v>
      </c>
      <c r="D13" s="65">
        <v>11.4</v>
      </c>
      <c r="E13" s="64">
        <v>15</v>
      </c>
      <c r="F13" s="65">
        <v>0.02</v>
      </c>
      <c r="G13" s="65">
        <v>7.9</v>
      </c>
      <c r="J13" s="393"/>
      <c r="K13" s="67" t="s">
        <v>405</v>
      </c>
      <c r="L13" s="65">
        <v>0</v>
      </c>
      <c r="M13" s="65">
        <v>11.4</v>
      </c>
      <c r="N13" s="65">
        <v>0.02</v>
      </c>
      <c r="O13" s="65">
        <v>7.9</v>
      </c>
      <c r="Q13" s="392" t="s">
        <v>406</v>
      </c>
      <c r="R13" s="392"/>
      <c r="S13" s="392"/>
    </row>
    <row r="14" spans="1:19" x14ac:dyDescent="0.25">
      <c r="A14" s="67" t="s">
        <v>407</v>
      </c>
      <c r="B14" s="64">
        <v>45</v>
      </c>
      <c r="C14" s="65">
        <v>0.1</v>
      </c>
      <c r="D14" s="65">
        <v>31.7</v>
      </c>
      <c r="E14" s="64">
        <v>15</v>
      </c>
      <c r="F14" s="65">
        <v>0.04</v>
      </c>
      <c r="G14" s="65">
        <v>22.2</v>
      </c>
      <c r="J14" s="393"/>
      <c r="K14" s="67" t="s">
        <v>407</v>
      </c>
      <c r="L14" s="65">
        <v>0.1</v>
      </c>
      <c r="M14" s="65">
        <v>31.7</v>
      </c>
      <c r="N14" s="65">
        <v>0.04</v>
      </c>
      <c r="O14" s="65">
        <v>22.2</v>
      </c>
      <c r="Q14" s="392"/>
      <c r="R14" s="392"/>
      <c r="S14" s="392"/>
    </row>
    <row r="15" spans="1:19" x14ac:dyDescent="0.25">
      <c r="A15" s="67" t="s">
        <v>408</v>
      </c>
      <c r="B15" s="64">
        <v>45</v>
      </c>
      <c r="C15" s="65">
        <v>0.1</v>
      </c>
      <c r="D15" s="65">
        <v>25.3</v>
      </c>
      <c r="E15" s="64">
        <v>15</v>
      </c>
      <c r="F15" s="65">
        <v>0.1</v>
      </c>
      <c r="G15" s="65">
        <v>17.7</v>
      </c>
      <c r="J15" s="393"/>
      <c r="K15" s="67" t="s">
        <v>408</v>
      </c>
      <c r="L15" s="65">
        <v>0.1</v>
      </c>
      <c r="M15" s="65">
        <v>25.3</v>
      </c>
      <c r="N15" s="65">
        <v>0.1</v>
      </c>
      <c r="O15" s="65">
        <v>17.7</v>
      </c>
      <c r="Q15" s="392"/>
      <c r="R15" s="392"/>
      <c r="S15" s="392"/>
    </row>
    <row r="16" spans="1:19" x14ac:dyDescent="0.25">
      <c r="A16" s="67" t="s">
        <v>409</v>
      </c>
      <c r="B16" s="64">
        <v>45</v>
      </c>
      <c r="C16" s="65">
        <v>0.1</v>
      </c>
      <c r="D16" s="65">
        <v>15.7</v>
      </c>
      <c r="E16" s="64">
        <v>15</v>
      </c>
      <c r="F16" s="65">
        <v>3.2000000000000001E-2</v>
      </c>
      <c r="G16" s="65">
        <v>11</v>
      </c>
      <c r="J16" s="393"/>
      <c r="K16" s="67" t="s">
        <v>409</v>
      </c>
      <c r="L16" s="65">
        <v>0.1</v>
      </c>
      <c r="M16" s="65">
        <v>15.7</v>
      </c>
      <c r="N16" s="65">
        <v>3.2000000000000001E-2</v>
      </c>
      <c r="O16" s="65">
        <v>11</v>
      </c>
      <c r="Q16" s="392"/>
      <c r="R16" s="392"/>
      <c r="S16" s="392"/>
    </row>
    <row r="17" spans="1:15" x14ac:dyDescent="0.25">
      <c r="A17" s="67" t="s">
        <v>410</v>
      </c>
      <c r="B17" s="64">
        <v>45</v>
      </c>
      <c r="C17" s="65">
        <v>0.3</v>
      </c>
      <c r="D17" s="65">
        <v>39.9</v>
      </c>
      <c r="E17" s="64">
        <v>15</v>
      </c>
      <c r="F17" s="65">
        <v>0.59</v>
      </c>
      <c r="G17" s="65">
        <v>27.9</v>
      </c>
      <c r="J17" s="393"/>
      <c r="K17" s="67" t="s">
        <v>410</v>
      </c>
      <c r="L17" s="65">
        <v>0.3</v>
      </c>
      <c r="M17" s="65">
        <v>39.9</v>
      </c>
      <c r="N17" s="65">
        <v>0.59</v>
      </c>
      <c r="O17" s="65">
        <v>27.9</v>
      </c>
    </row>
    <row r="18" spans="1:15" x14ac:dyDescent="0.25">
      <c r="A18" s="67" t="s">
        <v>411</v>
      </c>
      <c r="B18" s="64">
        <v>45</v>
      </c>
      <c r="C18" s="65">
        <v>0</v>
      </c>
      <c r="D18" s="65">
        <v>0.6</v>
      </c>
      <c r="E18" s="64">
        <v>15</v>
      </c>
      <c r="F18" s="65">
        <v>0</v>
      </c>
      <c r="G18" s="65">
        <v>0.4</v>
      </c>
      <c r="J18" s="393"/>
      <c r="K18" s="67" t="s">
        <v>411</v>
      </c>
      <c r="L18" s="65">
        <v>0</v>
      </c>
      <c r="M18" s="65">
        <v>0.6</v>
      </c>
      <c r="N18" s="65">
        <v>0</v>
      </c>
      <c r="O18" s="65">
        <v>0.4</v>
      </c>
    </row>
    <row r="19" spans="1:15" x14ac:dyDescent="0.25">
      <c r="J19" s="393"/>
      <c r="K19" s="63" t="s">
        <v>412</v>
      </c>
      <c r="L19" s="63">
        <f>AVERAGE(L7:L18)</f>
        <v>7.4999999999999997E-2</v>
      </c>
      <c r="M19" s="63">
        <f>MAX(M7:M18)</f>
        <v>51.7</v>
      </c>
      <c r="N19" s="63">
        <f>AVERAGE(N7:N18)</f>
        <v>9.2416666666666661E-2</v>
      </c>
      <c r="O19" s="63">
        <f>MAX(O7:O18)</f>
        <v>36.200000000000003</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topLeftCell="A25" zoomScaleNormal="100" workbookViewId="0">
      <selection activeCell="I6" sqref="I6"/>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row>
    <row r="3" spans="1:19" ht="14.4" x14ac:dyDescent="0.3">
      <c r="A3" s="61" t="s">
        <v>425</v>
      </c>
      <c r="D3" s="77" t="s">
        <v>381</v>
      </c>
      <c r="G3" s="81" t="s">
        <v>382</v>
      </c>
      <c r="J3" s="9" t="str">
        <f>+A3</f>
        <v>Monitoring of Carbon Monoxide (half hourly)</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426</v>
      </c>
      <c r="C6" s="56" t="s">
        <v>389</v>
      </c>
      <c r="D6" s="56" t="s">
        <v>390</v>
      </c>
      <c r="E6" s="56" t="s">
        <v>427</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150</v>
      </c>
      <c r="C7" s="65">
        <v>39.200000000000003</v>
      </c>
      <c r="D7" s="65">
        <v>100</v>
      </c>
      <c r="E7" s="64">
        <v>75</v>
      </c>
      <c r="F7" s="65">
        <v>35.29</v>
      </c>
      <c r="G7" s="65">
        <v>85.4</v>
      </c>
      <c r="J7" s="393" t="s">
        <v>188</v>
      </c>
      <c r="K7" s="67" t="s">
        <v>397</v>
      </c>
      <c r="L7" s="65">
        <v>39.200000000000003</v>
      </c>
      <c r="M7" s="65">
        <v>100</v>
      </c>
      <c r="N7" s="65">
        <v>35.29</v>
      </c>
      <c r="O7" s="65">
        <v>85.4</v>
      </c>
      <c r="Q7" s="371"/>
      <c r="R7" s="371"/>
      <c r="S7" s="371"/>
    </row>
    <row r="8" spans="1:19" x14ac:dyDescent="0.25">
      <c r="A8" s="67" t="s">
        <v>398</v>
      </c>
      <c r="B8" s="64">
        <v>150</v>
      </c>
      <c r="C8" s="65">
        <v>44.2</v>
      </c>
      <c r="D8" s="65">
        <v>128.19999999999999</v>
      </c>
      <c r="E8" s="64">
        <f>+E7</f>
        <v>75</v>
      </c>
      <c r="F8" s="65">
        <v>40.49</v>
      </c>
      <c r="G8" s="65">
        <v>115.4</v>
      </c>
      <c r="J8" s="393"/>
      <c r="K8" s="67" t="s">
        <v>398</v>
      </c>
      <c r="L8" s="65">
        <v>44.2</v>
      </c>
      <c r="M8" s="65">
        <v>128.19999999999999</v>
      </c>
      <c r="N8" s="65">
        <v>40.49</v>
      </c>
      <c r="O8" s="65">
        <v>115.4</v>
      </c>
      <c r="Q8" s="371"/>
      <c r="R8" s="371"/>
      <c r="S8" s="371"/>
    </row>
    <row r="9" spans="1:19" x14ac:dyDescent="0.25">
      <c r="A9" s="67" t="s">
        <v>399</v>
      </c>
      <c r="B9" s="64">
        <v>150</v>
      </c>
      <c r="C9" s="65">
        <v>45.9</v>
      </c>
      <c r="D9" s="65">
        <v>157.5</v>
      </c>
      <c r="E9" s="64">
        <f t="shared" ref="E9:E18" si="0">+E8</f>
        <v>75</v>
      </c>
      <c r="F9" s="65">
        <v>39.92</v>
      </c>
      <c r="G9" s="65">
        <v>141.69999999999999</v>
      </c>
      <c r="J9" s="393"/>
      <c r="K9" s="67" t="s">
        <v>399</v>
      </c>
      <c r="L9" s="65">
        <v>45.9</v>
      </c>
      <c r="M9" s="65">
        <v>157.5</v>
      </c>
      <c r="N9" s="65">
        <v>39.92</v>
      </c>
      <c r="O9" s="65">
        <v>141.69999999999999</v>
      </c>
      <c r="Q9" s="79" t="s">
        <v>400</v>
      </c>
    </row>
    <row r="10" spans="1:19" ht="14.25" customHeight="1" x14ac:dyDescent="0.25">
      <c r="A10" s="67" t="s">
        <v>401</v>
      </c>
      <c r="B10" s="64">
        <v>150</v>
      </c>
      <c r="C10" s="65">
        <v>46.2</v>
      </c>
      <c r="D10" s="65">
        <v>122.2</v>
      </c>
      <c r="E10" s="64">
        <f t="shared" si="0"/>
        <v>75</v>
      </c>
      <c r="F10" s="65">
        <v>37.36</v>
      </c>
      <c r="G10" s="65">
        <v>106.1</v>
      </c>
      <c r="J10" s="393"/>
      <c r="K10" s="67" t="s">
        <v>401</v>
      </c>
      <c r="L10" s="65">
        <v>46.2</v>
      </c>
      <c r="M10" s="65">
        <v>122.2</v>
      </c>
      <c r="N10" s="65">
        <v>37.36</v>
      </c>
      <c r="O10" s="65">
        <v>106.1</v>
      </c>
      <c r="Q10" s="392" t="s">
        <v>402</v>
      </c>
      <c r="R10" s="392"/>
      <c r="S10" s="392"/>
    </row>
    <row r="11" spans="1:19" x14ac:dyDescent="0.25">
      <c r="A11" s="67" t="s">
        <v>403</v>
      </c>
      <c r="B11" s="64">
        <v>150</v>
      </c>
      <c r="C11" s="65">
        <v>43.6</v>
      </c>
      <c r="D11" s="65">
        <v>158.69999999999999</v>
      </c>
      <c r="E11" s="64">
        <f t="shared" si="0"/>
        <v>75</v>
      </c>
      <c r="F11" s="65">
        <v>17.86</v>
      </c>
      <c r="G11" s="65">
        <v>142.80000000000001</v>
      </c>
      <c r="J11" s="393"/>
      <c r="K11" s="67" t="s">
        <v>403</v>
      </c>
      <c r="L11" s="65">
        <v>43.6</v>
      </c>
      <c r="M11" s="65">
        <v>158.69999999999999</v>
      </c>
      <c r="N11" s="65">
        <v>17.86</v>
      </c>
      <c r="O11" s="65">
        <v>142.80000000000001</v>
      </c>
      <c r="Q11" s="392"/>
      <c r="R11" s="392"/>
      <c r="S11" s="392"/>
    </row>
    <row r="12" spans="1:19" x14ac:dyDescent="0.25">
      <c r="A12" s="67" t="s">
        <v>404</v>
      </c>
      <c r="B12" s="64">
        <v>150</v>
      </c>
      <c r="C12" s="65">
        <v>45.4</v>
      </c>
      <c r="D12" s="65">
        <v>253.4</v>
      </c>
      <c r="E12" s="64">
        <f t="shared" si="0"/>
        <v>75</v>
      </c>
      <c r="F12" s="65">
        <v>39.450000000000003</v>
      </c>
      <c r="G12" s="65">
        <v>177.2</v>
      </c>
      <c r="J12" s="393"/>
      <c r="K12" s="67" t="s">
        <v>404</v>
      </c>
      <c r="L12" s="65">
        <v>45.4</v>
      </c>
      <c r="M12" s="65">
        <v>253.4</v>
      </c>
      <c r="N12" s="65">
        <v>39.450000000000003</v>
      </c>
      <c r="O12" s="65">
        <v>177.2</v>
      </c>
      <c r="Q12" s="392"/>
      <c r="R12" s="392"/>
      <c r="S12" s="392"/>
    </row>
    <row r="13" spans="1:19" ht="14.25" customHeight="1" x14ac:dyDescent="0.25">
      <c r="A13" s="67" t="s">
        <v>405</v>
      </c>
      <c r="B13" s="64">
        <v>150</v>
      </c>
      <c r="C13" s="65">
        <v>43.9</v>
      </c>
      <c r="D13" s="65">
        <v>227.9</v>
      </c>
      <c r="E13" s="64">
        <f t="shared" si="0"/>
        <v>75</v>
      </c>
      <c r="F13" s="65">
        <v>39.57</v>
      </c>
      <c r="G13" s="65">
        <v>205.1</v>
      </c>
      <c r="J13" s="393"/>
      <c r="K13" s="67" t="s">
        <v>405</v>
      </c>
      <c r="L13" s="65">
        <v>43.9</v>
      </c>
      <c r="M13" s="65">
        <v>227.9</v>
      </c>
      <c r="N13" s="65">
        <v>39.57</v>
      </c>
      <c r="O13" s="65">
        <v>205.1</v>
      </c>
      <c r="Q13" s="392" t="s">
        <v>406</v>
      </c>
      <c r="R13" s="392"/>
      <c r="S13" s="392"/>
    </row>
    <row r="14" spans="1:19" x14ac:dyDescent="0.25">
      <c r="A14" s="67" t="s">
        <v>407</v>
      </c>
      <c r="B14" s="64">
        <v>150</v>
      </c>
      <c r="C14" s="65">
        <v>38.799999999999997</v>
      </c>
      <c r="D14" s="65">
        <v>128.6</v>
      </c>
      <c r="E14" s="64">
        <f t="shared" si="0"/>
        <v>75</v>
      </c>
      <c r="F14" s="65">
        <v>29.9</v>
      </c>
      <c r="G14" s="65">
        <v>115.8</v>
      </c>
      <c r="J14" s="393"/>
      <c r="K14" s="67" t="s">
        <v>407</v>
      </c>
      <c r="L14" s="65">
        <v>38.799999999999997</v>
      </c>
      <c r="M14" s="65">
        <v>128.6</v>
      </c>
      <c r="N14" s="65">
        <v>29.9</v>
      </c>
      <c r="O14" s="65">
        <v>115.8</v>
      </c>
      <c r="Q14" s="392"/>
      <c r="R14" s="392"/>
      <c r="S14" s="392"/>
    </row>
    <row r="15" spans="1:19" x14ac:dyDescent="0.25">
      <c r="A15" s="67" t="s">
        <v>408</v>
      </c>
      <c r="B15" s="64">
        <f t="shared" ref="B15:B18" si="1">+B14</f>
        <v>150</v>
      </c>
      <c r="C15" s="65">
        <v>40.700000000000003</v>
      </c>
      <c r="D15" s="65">
        <v>147.6</v>
      </c>
      <c r="E15" s="64">
        <f t="shared" si="0"/>
        <v>75</v>
      </c>
      <c r="F15" s="65">
        <v>34.4</v>
      </c>
      <c r="G15" s="65">
        <v>132.80000000000001</v>
      </c>
      <c r="J15" s="393"/>
      <c r="K15" s="67" t="s">
        <v>408</v>
      </c>
      <c r="L15" s="65">
        <v>40.700000000000003</v>
      </c>
      <c r="M15" s="65">
        <v>147.6</v>
      </c>
      <c r="N15" s="65">
        <v>34.4</v>
      </c>
      <c r="O15" s="65">
        <v>132.80000000000001</v>
      </c>
      <c r="Q15" s="392"/>
      <c r="R15" s="392"/>
      <c r="S15" s="392"/>
    </row>
    <row r="16" spans="1:19" x14ac:dyDescent="0.25">
      <c r="A16" s="67" t="s">
        <v>409</v>
      </c>
      <c r="B16" s="64">
        <f t="shared" si="1"/>
        <v>150</v>
      </c>
      <c r="C16" s="65">
        <v>44.7</v>
      </c>
      <c r="D16" s="65">
        <v>87.5</v>
      </c>
      <c r="E16" s="64">
        <f t="shared" si="0"/>
        <v>75</v>
      </c>
      <c r="F16" s="65">
        <v>32.72</v>
      </c>
      <c r="G16" s="65">
        <v>78.8</v>
      </c>
      <c r="J16" s="393"/>
      <c r="K16" s="67" t="s">
        <v>409</v>
      </c>
      <c r="L16" s="65">
        <v>44.7</v>
      </c>
      <c r="M16" s="65">
        <v>87.5</v>
      </c>
      <c r="N16" s="65">
        <v>32.72</v>
      </c>
      <c r="O16" s="65">
        <v>78.8</v>
      </c>
      <c r="Q16" s="392"/>
      <c r="R16" s="392"/>
      <c r="S16" s="392"/>
    </row>
    <row r="17" spans="1:15" x14ac:dyDescent="0.25">
      <c r="A17" s="67" t="s">
        <v>410</v>
      </c>
      <c r="B17" s="64">
        <f t="shared" si="1"/>
        <v>150</v>
      </c>
      <c r="C17" s="65">
        <v>44.4</v>
      </c>
      <c r="D17" s="65">
        <v>139.4</v>
      </c>
      <c r="E17" s="64">
        <f t="shared" si="0"/>
        <v>75</v>
      </c>
      <c r="F17" s="65">
        <v>28.63</v>
      </c>
      <c r="G17" s="65">
        <v>125.5</v>
      </c>
      <c r="J17" s="393"/>
      <c r="K17" s="67" t="s">
        <v>410</v>
      </c>
      <c r="L17" s="65">
        <v>44.4</v>
      </c>
      <c r="M17" s="65">
        <v>139.4</v>
      </c>
      <c r="N17" s="65">
        <v>28.63</v>
      </c>
      <c r="O17" s="65">
        <v>125.5</v>
      </c>
    </row>
    <row r="18" spans="1:15" x14ac:dyDescent="0.25">
      <c r="A18" s="67" t="s">
        <v>411</v>
      </c>
      <c r="B18" s="64">
        <f t="shared" si="1"/>
        <v>150</v>
      </c>
      <c r="C18" s="65">
        <v>42.3</v>
      </c>
      <c r="D18" s="65">
        <v>98</v>
      </c>
      <c r="E18" s="64">
        <f t="shared" si="0"/>
        <v>75</v>
      </c>
      <c r="F18" s="65">
        <v>38.01</v>
      </c>
      <c r="G18" s="65">
        <v>88.2</v>
      </c>
      <c r="J18" s="393"/>
      <c r="K18" s="67" t="s">
        <v>411</v>
      </c>
      <c r="L18" s="65">
        <v>42.3</v>
      </c>
      <c r="M18" s="65">
        <v>98</v>
      </c>
      <c r="N18" s="65">
        <v>38.01</v>
      </c>
      <c r="O18" s="65">
        <v>88.2</v>
      </c>
    </row>
    <row r="19" spans="1:15" x14ac:dyDescent="0.25">
      <c r="J19" s="393"/>
      <c r="K19" s="63" t="s">
        <v>412</v>
      </c>
      <c r="L19" s="63">
        <f>AVERAGE(L7:L18)</f>
        <v>43.274999999999999</v>
      </c>
      <c r="M19" s="63">
        <f>MAX(M7:M18)</f>
        <v>253.4</v>
      </c>
      <c r="N19" s="63">
        <f>AVERAGE(N7:N18)</f>
        <v>34.466666666666661</v>
      </c>
      <c r="O19" s="63">
        <f>MAX(O7:O18)</f>
        <v>205.1</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A14" zoomScaleNormal="100" workbookViewId="0">
      <selection activeCell="J12" sqref="J12"/>
    </sheetView>
  </sheetViews>
  <sheetFormatPr defaultRowHeight="13.8" x14ac:dyDescent="0.25"/>
  <cols>
    <col min="1" max="1" width="14" style="3" customWidth="1"/>
    <col min="2" max="2" width="12.6640625" style="36" customWidth="1"/>
    <col min="3" max="3" width="15.33203125" style="36" customWidth="1"/>
    <col min="4" max="4" width="17.6640625" style="36" customWidth="1"/>
    <col min="5" max="5" width="14.6640625" style="36" customWidth="1"/>
    <col min="6" max="6" width="11.5546875" style="36" customWidth="1"/>
    <col min="7" max="7" width="15" style="36" customWidth="1"/>
    <col min="8" max="8" width="14.6640625" style="36"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90" t="str">
        <f>+'Cover Page'!$B$29</f>
        <v>Annual Performance Report 2022</v>
      </c>
      <c r="B1" s="90"/>
      <c r="C1" s="90"/>
      <c r="D1" s="90"/>
      <c r="E1" s="90" t="str">
        <f>+'Cover Page'!$B$33</f>
        <v>Tilbury Green Power Plant</v>
      </c>
    </row>
    <row r="3" spans="1:21" ht="14.4" x14ac:dyDescent="0.3">
      <c r="A3" s="61" t="s">
        <v>428</v>
      </c>
      <c r="E3" s="77" t="s">
        <v>381</v>
      </c>
      <c r="H3" s="81" t="s">
        <v>429</v>
      </c>
      <c r="J3" s="9" t="str">
        <f>+A3</f>
        <v>Monitoring of Carbon Monoxide (10-minute avg)</v>
      </c>
      <c r="L3" s="9"/>
      <c r="O3" s="9" t="s">
        <v>383</v>
      </c>
      <c r="Q3" s="78" t="s">
        <v>3</v>
      </c>
      <c r="S3" s="80" t="s">
        <v>3</v>
      </c>
      <c r="T3" s="75"/>
      <c r="U3" s="75"/>
    </row>
    <row r="4" spans="1:21" ht="13.95" customHeight="1" x14ac:dyDescent="0.25">
      <c r="S4" s="371" t="s">
        <v>430</v>
      </c>
      <c r="T4" s="371"/>
      <c r="U4" s="371"/>
    </row>
    <row r="5" spans="1:21" ht="16.2" x14ac:dyDescent="0.25">
      <c r="A5" s="69" t="s">
        <v>385</v>
      </c>
      <c r="B5" s="395" t="s">
        <v>431</v>
      </c>
      <c r="C5" s="395"/>
      <c r="D5" s="395"/>
      <c r="E5" s="395"/>
      <c r="F5" s="395" t="s">
        <v>387</v>
      </c>
      <c r="G5" s="395"/>
      <c r="H5" s="395"/>
      <c r="K5" s="394"/>
      <c r="L5" s="394"/>
      <c r="M5" s="394"/>
      <c r="N5" s="394"/>
      <c r="O5" s="394"/>
      <c r="P5" s="394"/>
      <c r="Q5" s="394"/>
      <c r="S5" s="371"/>
      <c r="T5" s="371"/>
      <c r="U5" s="371"/>
    </row>
    <row r="6" spans="1:21" s="59" customFormat="1" ht="37.5" customHeight="1" x14ac:dyDescent="0.3">
      <c r="A6" s="66">
        <f>+'Cover Page'!C39</f>
        <v>2022</v>
      </c>
      <c r="B6" s="56" t="s">
        <v>432</v>
      </c>
      <c r="C6" s="56" t="s">
        <v>433</v>
      </c>
      <c r="D6" s="56" t="s">
        <v>434</v>
      </c>
      <c r="E6" s="56" t="s">
        <v>435</v>
      </c>
      <c r="F6" s="56" t="s">
        <v>427</v>
      </c>
      <c r="G6" s="56" t="s">
        <v>392</v>
      </c>
      <c r="H6" s="56" t="s">
        <v>393</v>
      </c>
      <c r="I6" s="60"/>
      <c r="K6" s="62">
        <f>+A6</f>
        <v>2022</v>
      </c>
      <c r="L6" s="62" t="s">
        <v>394</v>
      </c>
      <c r="M6" s="56" t="s">
        <v>433</v>
      </c>
      <c r="N6" s="56" t="s">
        <v>434</v>
      </c>
      <c r="O6" s="56" t="s">
        <v>435</v>
      </c>
      <c r="P6" s="68" t="s">
        <v>392</v>
      </c>
      <c r="Q6" s="68" t="s">
        <v>396</v>
      </c>
      <c r="S6" s="371"/>
      <c r="T6" s="371"/>
      <c r="U6" s="371"/>
    </row>
    <row r="7" spans="1:21" x14ac:dyDescent="0.25">
      <c r="A7" s="67" t="s">
        <v>397</v>
      </c>
      <c r="B7" s="70">
        <v>150</v>
      </c>
      <c r="C7" s="65"/>
      <c r="D7" s="65"/>
      <c r="E7" s="65"/>
      <c r="F7" s="70">
        <v>50</v>
      </c>
      <c r="G7" s="65"/>
      <c r="H7" s="65"/>
      <c r="K7" s="393" t="s">
        <v>188</v>
      </c>
      <c r="L7" s="67" t="s">
        <v>397</v>
      </c>
      <c r="M7" s="65"/>
      <c r="N7" s="65"/>
      <c r="O7" s="65"/>
      <c r="P7" s="65"/>
      <c r="Q7" s="65"/>
      <c r="S7" s="371"/>
      <c r="T7" s="371"/>
      <c r="U7" s="371"/>
    </row>
    <row r="8" spans="1:21" x14ac:dyDescent="0.25">
      <c r="A8" s="67" t="s">
        <v>398</v>
      </c>
      <c r="B8" s="64">
        <f>+B7</f>
        <v>150</v>
      </c>
      <c r="C8" s="65"/>
      <c r="D8" s="65"/>
      <c r="E8" s="65"/>
      <c r="F8" s="64">
        <f>+F7</f>
        <v>50</v>
      </c>
      <c r="G8" s="65"/>
      <c r="H8" s="65"/>
      <c r="K8" s="393"/>
      <c r="L8" s="67" t="s">
        <v>398</v>
      </c>
      <c r="M8" s="65"/>
      <c r="N8" s="65"/>
      <c r="O8" s="65"/>
      <c r="P8" s="65"/>
      <c r="Q8" s="65"/>
      <c r="S8" s="371"/>
      <c r="T8" s="371"/>
      <c r="U8" s="371"/>
    </row>
    <row r="9" spans="1:21" x14ac:dyDescent="0.25">
      <c r="A9" s="67" t="s">
        <v>399</v>
      </c>
      <c r="B9" s="64">
        <f t="shared" ref="B9:B18" si="0">+B8</f>
        <v>150</v>
      </c>
      <c r="C9" s="65"/>
      <c r="D9" s="65"/>
      <c r="E9" s="65"/>
      <c r="F9" s="64">
        <f t="shared" ref="F9:F18" si="1">+F8</f>
        <v>50</v>
      </c>
      <c r="G9" s="65"/>
      <c r="H9" s="65"/>
      <c r="K9" s="393"/>
      <c r="L9" s="67" t="s">
        <v>399</v>
      </c>
      <c r="M9" s="65"/>
      <c r="N9" s="65"/>
      <c r="O9" s="65"/>
      <c r="P9" s="65"/>
      <c r="Q9" s="65"/>
      <c r="S9" s="79" t="s">
        <v>436</v>
      </c>
    </row>
    <row r="10" spans="1:21" x14ac:dyDescent="0.25">
      <c r="A10" s="67" t="s">
        <v>401</v>
      </c>
      <c r="B10" s="64">
        <f t="shared" si="0"/>
        <v>150</v>
      </c>
      <c r="C10" s="65"/>
      <c r="D10" s="65"/>
      <c r="E10" s="65"/>
      <c r="F10" s="64">
        <f t="shared" si="1"/>
        <v>50</v>
      </c>
      <c r="G10" s="65"/>
      <c r="H10" s="65"/>
      <c r="K10" s="393"/>
      <c r="L10" s="67" t="s">
        <v>401</v>
      </c>
      <c r="M10" s="65"/>
      <c r="N10" s="65"/>
      <c r="O10" s="65"/>
      <c r="P10" s="65"/>
      <c r="Q10" s="65"/>
      <c r="S10" s="392" t="s">
        <v>437</v>
      </c>
      <c r="T10" s="392"/>
      <c r="U10" s="392"/>
    </row>
    <row r="11" spans="1:21" x14ac:dyDescent="0.25">
      <c r="A11" s="67" t="s">
        <v>403</v>
      </c>
      <c r="B11" s="64">
        <f t="shared" si="0"/>
        <v>150</v>
      </c>
      <c r="C11" s="65"/>
      <c r="D11" s="65"/>
      <c r="E11" s="65"/>
      <c r="F11" s="64">
        <f t="shared" si="1"/>
        <v>50</v>
      </c>
      <c r="G11" s="65"/>
      <c r="H11" s="65"/>
      <c r="K11" s="393"/>
      <c r="L11" s="67" t="s">
        <v>403</v>
      </c>
      <c r="M11" s="65"/>
      <c r="N11" s="65"/>
      <c r="O11" s="65"/>
      <c r="P11" s="65"/>
      <c r="Q11" s="65"/>
      <c r="S11" s="392"/>
      <c r="T11" s="392"/>
      <c r="U11" s="392"/>
    </row>
    <row r="12" spans="1:21" x14ac:dyDescent="0.25">
      <c r="A12" s="67" t="s">
        <v>404</v>
      </c>
      <c r="B12" s="64">
        <f t="shared" si="0"/>
        <v>150</v>
      </c>
      <c r="C12" s="65"/>
      <c r="D12" s="65"/>
      <c r="E12" s="65"/>
      <c r="F12" s="64">
        <f t="shared" si="1"/>
        <v>50</v>
      </c>
      <c r="G12" s="65"/>
      <c r="H12" s="65"/>
      <c r="K12" s="393"/>
      <c r="L12" s="67" t="s">
        <v>404</v>
      </c>
      <c r="M12" s="65"/>
      <c r="N12" s="65"/>
      <c r="O12" s="65"/>
      <c r="P12" s="65"/>
      <c r="Q12" s="65"/>
      <c r="S12" s="392"/>
      <c r="T12" s="392"/>
      <c r="U12" s="392"/>
    </row>
    <row r="13" spans="1:21" x14ac:dyDescent="0.25">
      <c r="A13" s="67" t="s">
        <v>405</v>
      </c>
      <c r="B13" s="64">
        <f t="shared" si="0"/>
        <v>150</v>
      </c>
      <c r="C13" s="65"/>
      <c r="D13" s="65"/>
      <c r="E13" s="65"/>
      <c r="F13" s="64">
        <f t="shared" si="1"/>
        <v>50</v>
      </c>
      <c r="G13" s="65"/>
      <c r="H13" s="65"/>
      <c r="K13" s="393"/>
      <c r="L13" s="67" t="s">
        <v>405</v>
      </c>
      <c r="M13" s="65"/>
      <c r="N13" s="65"/>
      <c r="O13" s="65"/>
      <c r="P13" s="65"/>
      <c r="Q13" s="65"/>
      <c r="S13" s="392" t="s">
        <v>438</v>
      </c>
      <c r="T13" s="392"/>
      <c r="U13" s="392"/>
    </row>
    <row r="14" spans="1:21" x14ac:dyDescent="0.25">
      <c r="A14" s="67" t="s">
        <v>407</v>
      </c>
      <c r="B14" s="64">
        <f t="shared" si="0"/>
        <v>150</v>
      </c>
      <c r="C14" s="65"/>
      <c r="D14" s="65"/>
      <c r="E14" s="65"/>
      <c r="F14" s="64">
        <f t="shared" si="1"/>
        <v>50</v>
      </c>
      <c r="G14" s="65"/>
      <c r="H14" s="65"/>
      <c r="K14" s="393"/>
      <c r="L14" s="67" t="s">
        <v>407</v>
      </c>
      <c r="M14" s="65"/>
      <c r="N14" s="65"/>
      <c r="O14" s="65"/>
      <c r="P14" s="65"/>
      <c r="Q14" s="65"/>
      <c r="S14" s="392"/>
      <c r="T14" s="392"/>
      <c r="U14" s="392"/>
    </row>
    <row r="15" spans="1:21" x14ac:dyDescent="0.25">
      <c r="A15" s="67" t="s">
        <v>408</v>
      </c>
      <c r="B15" s="64">
        <f t="shared" si="0"/>
        <v>150</v>
      </c>
      <c r="C15" s="65"/>
      <c r="D15" s="65"/>
      <c r="E15" s="65"/>
      <c r="F15" s="64">
        <f t="shared" si="1"/>
        <v>50</v>
      </c>
      <c r="G15" s="65"/>
      <c r="H15" s="65"/>
      <c r="K15" s="393"/>
      <c r="L15" s="67" t="s">
        <v>408</v>
      </c>
      <c r="M15" s="65"/>
      <c r="N15" s="65"/>
      <c r="O15" s="65"/>
      <c r="P15" s="65"/>
      <c r="Q15" s="65"/>
      <c r="S15" s="392"/>
      <c r="T15" s="392"/>
      <c r="U15" s="392"/>
    </row>
    <row r="16" spans="1:21" x14ac:dyDescent="0.25">
      <c r="A16" s="67" t="s">
        <v>409</v>
      </c>
      <c r="B16" s="64">
        <f t="shared" si="0"/>
        <v>150</v>
      </c>
      <c r="C16" s="65"/>
      <c r="D16" s="65"/>
      <c r="E16" s="65"/>
      <c r="F16" s="64">
        <f t="shared" si="1"/>
        <v>50</v>
      </c>
      <c r="G16" s="65"/>
      <c r="H16" s="65"/>
      <c r="K16" s="393"/>
      <c r="L16" s="67" t="s">
        <v>409</v>
      </c>
      <c r="M16" s="65"/>
      <c r="N16" s="65"/>
      <c r="O16" s="65"/>
      <c r="P16" s="65"/>
      <c r="Q16" s="65"/>
      <c r="S16" s="392"/>
      <c r="T16" s="392"/>
      <c r="U16" s="392"/>
    </row>
    <row r="17" spans="1:17" x14ac:dyDescent="0.25">
      <c r="A17" s="67" t="s">
        <v>410</v>
      </c>
      <c r="B17" s="64">
        <f t="shared" si="0"/>
        <v>150</v>
      </c>
      <c r="C17" s="65"/>
      <c r="D17" s="65"/>
      <c r="E17" s="65"/>
      <c r="F17" s="64">
        <f t="shared" si="1"/>
        <v>50</v>
      </c>
      <c r="G17" s="65"/>
      <c r="H17" s="65"/>
      <c r="K17" s="393"/>
      <c r="L17" s="67" t="s">
        <v>410</v>
      </c>
      <c r="M17" s="65"/>
      <c r="N17" s="65"/>
      <c r="O17" s="65"/>
      <c r="P17" s="65"/>
      <c r="Q17" s="65"/>
    </row>
    <row r="18" spans="1:17" x14ac:dyDescent="0.25">
      <c r="A18" s="67" t="s">
        <v>411</v>
      </c>
      <c r="B18" s="64">
        <f t="shared" si="0"/>
        <v>150</v>
      </c>
      <c r="C18" s="65"/>
      <c r="D18" s="65"/>
      <c r="E18" s="65"/>
      <c r="F18" s="64">
        <f t="shared" si="1"/>
        <v>50</v>
      </c>
      <c r="G18" s="65"/>
      <c r="H18" s="65"/>
      <c r="K18" s="393"/>
      <c r="L18" s="67" t="s">
        <v>411</v>
      </c>
      <c r="M18" s="65"/>
      <c r="N18" s="65"/>
      <c r="O18" s="65"/>
      <c r="P18" s="65"/>
      <c r="Q18" s="65"/>
    </row>
    <row r="19" spans="1:17" x14ac:dyDescent="0.25">
      <c r="K19" s="393"/>
      <c r="L19" s="63" t="s">
        <v>412</v>
      </c>
      <c r="M19" s="63" t="e">
        <f>AVERAGE(M7:M18)</f>
        <v>#DIV/0!</v>
      </c>
      <c r="N19" s="63"/>
      <c r="O19" s="63">
        <f>MAX(O7:O18)</f>
        <v>0</v>
      </c>
      <c r="P19" s="63" t="e">
        <f>AVERAGE(P7:P18)</f>
        <v>#DIV/0!</v>
      </c>
      <c r="Q19" s="63">
        <f>MAX(Q7:Q18)</f>
        <v>0</v>
      </c>
    </row>
    <row r="21" spans="1:17" ht="27.6" x14ac:dyDescent="0.25">
      <c r="K21" s="62">
        <f>+A6</f>
        <v>2022</v>
      </c>
      <c r="L21" s="62" t="s">
        <v>394</v>
      </c>
      <c r="M21" s="56" t="s">
        <v>433</v>
      </c>
      <c r="N21" s="56" t="s">
        <v>434</v>
      </c>
      <c r="O21" s="56" t="s">
        <v>435</v>
      </c>
      <c r="P21" s="68" t="s">
        <v>392</v>
      </c>
      <c r="Q21" s="68" t="s">
        <v>396</v>
      </c>
    </row>
    <row r="22" spans="1:17" x14ac:dyDescent="0.25">
      <c r="K22" s="393" t="s">
        <v>189</v>
      </c>
      <c r="L22" s="67" t="s">
        <v>397</v>
      </c>
      <c r="M22" s="65"/>
      <c r="N22" s="65"/>
      <c r="O22" s="65"/>
      <c r="P22" s="65"/>
      <c r="Q22" s="65"/>
    </row>
    <row r="23" spans="1:17" x14ac:dyDescent="0.25">
      <c r="K23" s="393"/>
      <c r="L23" s="67" t="s">
        <v>398</v>
      </c>
      <c r="M23" s="65"/>
      <c r="N23" s="65"/>
      <c r="O23" s="65"/>
      <c r="P23" s="65"/>
      <c r="Q23" s="65"/>
    </row>
    <row r="24" spans="1:17" x14ac:dyDescent="0.25">
      <c r="K24" s="393"/>
      <c r="L24" s="67" t="s">
        <v>399</v>
      </c>
      <c r="M24" s="65"/>
      <c r="N24" s="65"/>
      <c r="O24" s="65"/>
      <c r="P24" s="65"/>
      <c r="Q24" s="65"/>
    </row>
    <row r="25" spans="1:17" x14ac:dyDescent="0.25">
      <c r="K25" s="393"/>
      <c r="L25" s="67" t="s">
        <v>401</v>
      </c>
      <c r="M25" s="65"/>
      <c r="N25" s="65"/>
      <c r="O25" s="65"/>
      <c r="P25" s="65"/>
      <c r="Q25" s="65"/>
    </row>
    <row r="26" spans="1:17" x14ac:dyDescent="0.25">
      <c r="K26" s="393"/>
      <c r="L26" s="67" t="s">
        <v>403</v>
      </c>
      <c r="M26" s="65"/>
      <c r="N26" s="65"/>
      <c r="O26" s="65"/>
      <c r="P26" s="65"/>
      <c r="Q26" s="65"/>
    </row>
    <row r="27" spans="1:17" x14ac:dyDescent="0.25">
      <c r="K27" s="393"/>
      <c r="L27" s="67" t="s">
        <v>404</v>
      </c>
      <c r="M27" s="65"/>
      <c r="N27" s="65"/>
      <c r="O27" s="65"/>
      <c r="P27" s="65"/>
      <c r="Q27" s="65"/>
    </row>
    <row r="28" spans="1:17" x14ac:dyDescent="0.25">
      <c r="K28" s="393"/>
      <c r="L28" s="67" t="s">
        <v>405</v>
      </c>
      <c r="M28" s="65"/>
      <c r="N28" s="65"/>
      <c r="O28" s="65"/>
      <c r="P28" s="65"/>
      <c r="Q28" s="65"/>
    </row>
    <row r="29" spans="1:17" x14ac:dyDescent="0.25">
      <c r="K29" s="393"/>
      <c r="L29" s="67" t="s">
        <v>407</v>
      </c>
      <c r="M29" s="65"/>
      <c r="N29" s="65"/>
      <c r="O29" s="65"/>
      <c r="P29" s="65"/>
      <c r="Q29" s="65"/>
    </row>
    <row r="30" spans="1:17" x14ac:dyDescent="0.25">
      <c r="K30" s="393"/>
      <c r="L30" s="67" t="s">
        <v>408</v>
      </c>
      <c r="M30" s="65"/>
      <c r="N30" s="65"/>
      <c r="O30" s="65"/>
      <c r="P30" s="65"/>
      <c r="Q30" s="65"/>
    </row>
    <row r="31" spans="1:17" x14ac:dyDescent="0.25">
      <c r="K31" s="393"/>
      <c r="L31" s="67" t="s">
        <v>409</v>
      </c>
      <c r="M31" s="65"/>
      <c r="N31" s="65"/>
      <c r="O31" s="65"/>
      <c r="P31" s="65"/>
      <c r="Q31" s="65"/>
    </row>
    <row r="32" spans="1:17" x14ac:dyDescent="0.25">
      <c r="K32" s="393"/>
      <c r="L32" s="67" t="s">
        <v>410</v>
      </c>
      <c r="M32" s="65"/>
      <c r="N32" s="65"/>
      <c r="O32" s="65"/>
      <c r="P32" s="65"/>
      <c r="Q32" s="65"/>
    </row>
    <row r="33" spans="1:17" x14ac:dyDescent="0.25">
      <c r="K33" s="393"/>
      <c r="L33" s="67" t="s">
        <v>411</v>
      </c>
      <c r="M33" s="65"/>
      <c r="N33" s="65"/>
      <c r="O33" s="65"/>
      <c r="P33" s="65"/>
      <c r="Q33" s="65"/>
    </row>
    <row r="34" spans="1:17" x14ac:dyDescent="0.25">
      <c r="K34" s="393"/>
      <c r="L34" s="63" t="s">
        <v>412</v>
      </c>
      <c r="M34" s="63" t="e">
        <f>AVERAGE(M22:M33)</f>
        <v>#DIV/0!</v>
      </c>
      <c r="N34" s="63"/>
      <c r="O34" s="63">
        <f>MAX(O22:O33)</f>
        <v>0</v>
      </c>
      <c r="P34" s="63" t="e">
        <f>AVERAGE(P22:P33)</f>
        <v>#DIV/0!</v>
      </c>
      <c r="Q34" s="63">
        <f>MAX(Q22:Q33)</f>
        <v>0</v>
      </c>
    </row>
    <row r="36" spans="1:17" ht="27.6" x14ac:dyDescent="0.25">
      <c r="K36" s="62">
        <f>+A6</f>
        <v>2022</v>
      </c>
      <c r="L36" s="62" t="s">
        <v>394</v>
      </c>
      <c r="M36" s="56" t="s">
        <v>433</v>
      </c>
      <c r="N36" s="56" t="s">
        <v>434</v>
      </c>
      <c r="O36" s="56" t="s">
        <v>435</v>
      </c>
      <c r="P36" s="68" t="s">
        <v>392</v>
      </c>
      <c r="Q36" s="68" t="s">
        <v>396</v>
      </c>
    </row>
    <row r="37" spans="1:17" x14ac:dyDescent="0.25">
      <c r="K37" s="393" t="s">
        <v>190</v>
      </c>
      <c r="L37" s="67" t="s">
        <v>397</v>
      </c>
      <c r="M37" s="65"/>
      <c r="N37" s="65"/>
      <c r="O37" s="65"/>
      <c r="P37" s="65"/>
      <c r="Q37" s="65"/>
    </row>
    <row r="38" spans="1:17" x14ac:dyDescent="0.25">
      <c r="K38" s="393"/>
      <c r="L38" s="67" t="s">
        <v>398</v>
      </c>
      <c r="M38" s="65"/>
      <c r="N38" s="65"/>
      <c r="O38" s="65"/>
      <c r="P38" s="65"/>
      <c r="Q38" s="65"/>
    </row>
    <row r="39" spans="1:17" x14ac:dyDescent="0.25">
      <c r="K39" s="393"/>
      <c r="L39" s="67" t="s">
        <v>399</v>
      </c>
      <c r="M39" s="65"/>
      <c r="N39" s="65"/>
      <c r="O39" s="65"/>
      <c r="P39" s="65"/>
      <c r="Q39" s="65"/>
    </row>
    <row r="40" spans="1:17" x14ac:dyDescent="0.25">
      <c r="K40" s="393"/>
      <c r="L40" s="67" t="s">
        <v>401</v>
      </c>
      <c r="M40" s="65"/>
      <c r="N40" s="65"/>
      <c r="O40" s="65"/>
      <c r="P40" s="65"/>
      <c r="Q40" s="65"/>
    </row>
    <row r="41" spans="1:17" x14ac:dyDescent="0.25">
      <c r="K41" s="393"/>
      <c r="L41" s="67" t="s">
        <v>403</v>
      </c>
      <c r="M41" s="65"/>
      <c r="N41" s="65"/>
      <c r="O41" s="65"/>
      <c r="P41" s="65"/>
      <c r="Q41" s="65"/>
    </row>
    <row r="42" spans="1:17" x14ac:dyDescent="0.25">
      <c r="K42" s="393"/>
      <c r="L42" s="67" t="s">
        <v>404</v>
      </c>
      <c r="M42" s="65"/>
      <c r="N42" s="65"/>
      <c r="O42" s="65"/>
      <c r="P42" s="65"/>
      <c r="Q42" s="65"/>
    </row>
    <row r="43" spans="1:17" x14ac:dyDescent="0.25">
      <c r="K43" s="393"/>
      <c r="L43" s="67" t="s">
        <v>405</v>
      </c>
      <c r="M43" s="65"/>
      <c r="N43" s="65"/>
      <c r="O43" s="65"/>
      <c r="P43" s="65"/>
      <c r="Q43" s="65"/>
    </row>
    <row r="44" spans="1:17" x14ac:dyDescent="0.25">
      <c r="K44" s="393"/>
      <c r="L44" s="67" t="s">
        <v>407</v>
      </c>
      <c r="M44" s="65"/>
      <c r="N44" s="65"/>
      <c r="O44" s="65"/>
      <c r="P44" s="65"/>
      <c r="Q44" s="65"/>
    </row>
    <row r="45" spans="1:17" x14ac:dyDescent="0.25">
      <c r="K45" s="393"/>
      <c r="L45" s="67" t="s">
        <v>408</v>
      </c>
      <c r="M45" s="65"/>
      <c r="N45" s="65"/>
      <c r="O45" s="65"/>
      <c r="P45" s="65"/>
      <c r="Q45" s="65"/>
    </row>
    <row r="46" spans="1:17" x14ac:dyDescent="0.25">
      <c r="K46" s="393"/>
      <c r="L46" s="67" t="s">
        <v>409</v>
      </c>
      <c r="M46" s="65"/>
      <c r="N46" s="65"/>
      <c r="O46" s="65"/>
      <c r="P46" s="65"/>
      <c r="Q46" s="65"/>
    </row>
    <row r="47" spans="1:17" x14ac:dyDescent="0.25">
      <c r="K47" s="393"/>
      <c r="L47" s="67" t="s">
        <v>410</v>
      </c>
      <c r="M47" s="65"/>
      <c r="N47" s="65"/>
      <c r="O47" s="65"/>
      <c r="P47" s="65"/>
      <c r="Q47" s="65"/>
    </row>
    <row r="48" spans="1:17" x14ac:dyDescent="0.25">
      <c r="A48" s="405" t="s">
        <v>307</v>
      </c>
      <c r="B48" s="406"/>
      <c r="C48" s="406"/>
      <c r="D48" s="406"/>
      <c r="E48" s="406"/>
      <c r="F48" s="406"/>
      <c r="G48" s="406"/>
      <c r="H48" s="407"/>
      <c r="K48" s="393"/>
      <c r="L48" s="67" t="s">
        <v>411</v>
      </c>
      <c r="M48" s="65"/>
      <c r="N48" s="65"/>
      <c r="O48" s="65"/>
      <c r="P48" s="65"/>
      <c r="Q48" s="65"/>
    </row>
    <row r="49" spans="1:17" x14ac:dyDescent="0.25">
      <c r="A49" s="408" t="s">
        <v>439</v>
      </c>
      <c r="B49" s="409"/>
      <c r="C49" s="409"/>
      <c r="D49" s="409"/>
      <c r="E49" s="409"/>
      <c r="F49" s="409"/>
      <c r="G49" s="409"/>
      <c r="H49" s="410"/>
      <c r="K49" s="393"/>
      <c r="L49" s="63" t="s">
        <v>412</v>
      </c>
      <c r="M49" s="63" t="e">
        <f>AVERAGE(M37:M48)</f>
        <v>#DIV/0!</v>
      </c>
      <c r="N49" s="63"/>
      <c r="O49" s="63">
        <f>MAX(O37:O48)</f>
        <v>0</v>
      </c>
      <c r="P49" s="63" t="e">
        <f>AVERAGE(P37:P48)</f>
        <v>#DIV/0!</v>
      </c>
      <c r="Q49" s="63">
        <f>MAX(Q37:Q48)</f>
        <v>0</v>
      </c>
    </row>
    <row r="50" spans="1:17" x14ac:dyDescent="0.25">
      <c r="A50" s="411"/>
      <c r="B50" s="412"/>
      <c r="C50" s="412"/>
      <c r="D50" s="412"/>
      <c r="E50" s="412"/>
      <c r="F50" s="412"/>
      <c r="G50" s="412"/>
      <c r="H50" s="413"/>
    </row>
    <row r="51" spans="1:17" ht="27.6" x14ac:dyDescent="0.25">
      <c r="A51" s="411"/>
      <c r="B51" s="412"/>
      <c r="C51" s="412"/>
      <c r="D51" s="412"/>
      <c r="E51" s="412"/>
      <c r="F51" s="412"/>
      <c r="G51" s="412"/>
      <c r="H51" s="413"/>
      <c r="K51" s="62">
        <f>+A6</f>
        <v>2022</v>
      </c>
      <c r="L51" s="62" t="s">
        <v>394</v>
      </c>
      <c r="M51" s="56" t="s">
        <v>433</v>
      </c>
      <c r="N51" s="56" t="s">
        <v>434</v>
      </c>
      <c r="O51" s="56" t="s">
        <v>435</v>
      </c>
      <c r="P51" s="68" t="s">
        <v>392</v>
      </c>
      <c r="Q51" s="68" t="s">
        <v>396</v>
      </c>
    </row>
    <row r="52" spans="1:17" x14ac:dyDescent="0.25">
      <c r="A52" s="414"/>
      <c r="B52" s="415"/>
      <c r="C52" s="415"/>
      <c r="D52" s="415"/>
      <c r="E52" s="415"/>
      <c r="F52" s="415"/>
      <c r="G52" s="415"/>
      <c r="H52" s="416"/>
      <c r="K52" s="393" t="s">
        <v>191</v>
      </c>
      <c r="L52" s="67" t="s">
        <v>397</v>
      </c>
      <c r="M52" s="65"/>
      <c r="N52" s="65"/>
      <c r="O52" s="65"/>
      <c r="P52" s="65"/>
      <c r="Q52" s="65"/>
    </row>
    <row r="53" spans="1:17" x14ac:dyDescent="0.25">
      <c r="K53" s="393"/>
      <c r="L53" s="67" t="s">
        <v>398</v>
      </c>
      <c r="M53" s="65"/>
      <c r="N53" s="65"/>
      <c r="O53" s="65"/>
      <c r="P53" s="65"/>
      <c r="Q53" s="65"/>
    </row>
    <row r="54" spans="1:17" x14ac:dyDescent="0.25">
      <c r="K54" s="393"/>
      <c r="L54" s="67" t="s">
        <v>399</v>
      </c>
      <c r="M54" s="65"/>
      <c r="N54" s="65"/>
      <c r="O54" s="65"/>
      <c r="P54" s="65"/>
      <c r="Q54" s="65"/>
    </row>
    <row r="55" spans="1:17" x14ac:dyDescent="0.25">
      <c r="K55" s="393"/>
      <c r="L55" s="67" t="s">
        <v>401</v>
      </c>
      <c r="M55" s="65"/>
      <c r="N55" s="65"/>
      <c r="O55" s="65"/>
      <c r="P55" s="65"/>
      <c r="Q55" s="65"/>
    </row>
    <row r="56" spans="1:17" x14ac:dyDescent="0.25">
      <c r="K56" s="393"/>
      <c r="L56" s="67" t="s">
        <v>403</v>
      </c>
      <c r="M56" s="65"/>
      <c r="N56" s="65"/>
      <c r="O56" s="65"/>
      <c r="P56" s="65"/>
      <c r="Q56" s="65"/>
    </row>
    <row r="57" spans="1:17" x14ac:dyDescent="0.25">
      <c r="K57" s="393"/>
      <c r="L57" s="67" t="s">
        <v>404</v>
      </c>
      <c r="M57" s="65"/>
      <c r="N57" s="65"/>
      <c r="O57" s="65"/>
      <c r="P57" s="65"/>
      <c r="Q57" s="65"/>
    </row>
    <row r="58" spans="1:17" x14ac:dyDescent="0.25">
      <c r="K58" s="393"/>
      <c r="L58" s="67" t="s">
        <v>405</v>
      </c>
      <c r="M58" s="65"/>
      <c r="N58" s="65"/>
      <c r="O58" s="65"/>
      <c r="P58" s="65"/>
      <c r="Q58" s="65"/>
    </row>
    <row r="59" spans="1:17" x14ac:dyDescent="0.25">
      <c r="K59" s="393"/>
      <c r="L59" s="67" t="s">
        <v>407</v>
      </c>
      <c r="M59" s="65"/>
      <c r="N59" s="65"/>
      <c r="O59" s="65"/>
      <c r="P59" s="65"/>
      <c r="Q59" s="65"/>
    </row>
    <row r="60" spans="1:17" x14ac:dyDescent="0.25">
      <c r="K60" s="393"/>
      <c r="L60" s="67" t="s">
        <v>408</v>
      </c>
      <c r="M60" s="65"/>
      <c r="N60" s="65"/>
      <c r="O60" s="65"/>
      <c r="P60" s="65"/>
      <c r="Q60" s="65"/>
    </row>
    <row r="61" spans="1:17" x14ac:dyDescent="0.25">
      <c r="K61" s="393"/>
      <c r="L61" s="67" t="s">
        <v>409</v>
      </c>
      <c r="M61" s="65"/>
      <c r="N61" s="65"/>
      <c r="O61" s="65"/>
      <c r="P61" s="65"/>
      <c r="Q61" s="65"/>
    </row>
    <row r="62" spans="1:17" x14ac:dyDescent="0.25">
      <c r="K62" s="393"/>
      <c r="L62" s="67" t="s">
        <v>410</v>
      </c>
      <c r="M62" s="65"/>
      <c r="N62" s="65"/>
      <c r="O62" s="65"/>
      <c r="P62" s="65"/>
      <c r="Q62" s="65"/>
    </row>
    <row r="63" spans="1:17" x14ac:dyDescent="0.25">
      <c r="K63" s="393"/>
      <c r="L63" s="67" t="s">
        <v>411</v>
      </c>
      <c r="M63" s="65"/>
      <c r="N63" s="65"/>
      <c r="O63" s="65"/>
      <c r="P63" s="65"/>
      <c r="Q63" s="65"/>
    </row>
    <row r="64" spans="1:17" x14ac:dyDescent="0.25">
      <c r="K64" s="393"/>
      <c r="L64" s="63" t="s">
        <v>412</v>
      </c>
      <c r="M64" s="63" t="e">
        <f>AVERAGE(M52:M63)</f>
        <v>#DIV/0!</v>
      </c>
      <c r="N64" s="63"/>
      <c r="O64" s="63">
        <f>MAX(O52:O63)</f>
        <v>0</v>
      </c>
      <c r="P64" s="63" t="e">
        <f>AVERAGE(P52:P63)</f>
        <v>#DIV/0!</v>
      </c>
      <c r="Q64" s="63">
        <f>MAX(Q52:Q63)</f>
        <v>0</v>
      </c>
    </row>
    <row r="66" spans="11:17" ht="27.6" x14ac:dyDescent="0.25">
      <c r="K66" s="62">
        <f>+A6</f>
        <v>2022</v>
      </c>
      <c r="L66" s="62" t="s">
        <v>394</v>
      </c>
      <c r="M66" s="56" t="s">
        <v>433</v>
      </c>
      <c r="N66" s="56" t="s">
        <v>434</v>
      </c>
      <c r="O66" s="56" t="s">
        <v>435</v>
      </c>
      <c r="P66" s="68" t="s">
        <v>392</v>
      </c>
      <c r="Q66" s="68" t="s">
        <v>396</v>
      </c>
    </row>
    <row r="67" spans="11:17" x14ac:dyDescent="0.25">
      <c r="K67" s="393" t="s">
        <v>192</v>
      </c>
      <c r="L67" s="67" t="s">
        <v>397</v>
      </c>
      <c r="M67" s="65"/>
      <c r="N67" s="65"/>
      <c r="O67" s="65"/>
      <c r="P67" s="65"/>
      <c r="Q67" s="65"/>
    </row>
    <row r="68" spans="11:17" x14ac:dyDescent="0.25">
      <c r="K68" s="393"/>
      <c r="L68" s="67" t="s">
        <v>398</v>
      </c>
      <c r="M68" s="65"/>
      <c r="N68" s="65"/>
      <c r="O68" s="65"/>
      <c r="P68" s="65"/>
      <c r="Q68" s="65"/>
    </row>
    <row r="69" spans="11:17" x14ac:dyDescent="0.25">
      <c r="K69" s="393"/>
      <c r="L69" s="67" t="s">
        <v>399</v>
      </c>
      <c r="M69" s="65"/>
      <c r="N69" s="65"/>
      <c r="O69" s="65"/>
      <c r="P69" s="65"/>
      <c r="Q69" s="65"/>
    </row>
    <row r="70" spans="11:17" x14ac:dyDescent="0.25">
      <c r="K70" s="393"/>
      <c r="L70" s="67" t="s">
        <v>401</v>
      </c>
      <c r="M70" s="65"/>
      <c r="N70" s="65"/>
      <c r="O70" s="65"/>
      <c r="P70" s="65"/>
      <c r="Q70" s="65"/>
    </row>
    <row r="71" spans="11:17" x14ac:dyDescent="0.25">
      <c r="K71" s="393"/>
      <c r="L71" s="67" t="s">
        <v>403</v>
      </c>
      <c r="M71" s="65"/>
      <c r="N71" s="65"/>
      <c r="O71" s="65"/>
      <c r="P71" s="65"/>
      <c r="Q71" s="65"/>
    </row>
    <row r="72" spans="11:17" x14ac:dyDescent="0.25">
      <c r="K72" s="393"/>
      <c r="L72" s="67" t="s">
        <v>404</v>
      </c>
      <c r="M72" s="65"/>
      <c r="N72" s="65"/>
      <c r="O72" s="65"/>
      <c r="P72" s="65"/>
      <c r="Q72" s="65"/>
    </row>
    <row r="73" spans="11:17" x14ac:dyDescent="0.25">
      <c r="K73" s="393"/>
      <c r="L73" s="67" t="s">
        <v>405</v>
      </c>
      <c r="M73" s="65"/>
      <c r="N73" s="65"/>
      <c r="O73" s="65"/>
      <c r="P73" s="65"/>
      <c r="Q73" s="65"/>
    </row>
    <row r="74" spans="11:17" x14ac:dyDescent="0.25">
      <c r="K74" s="393"/>
      <c r="L74" s="67" t="s">
        <v>407</v>
      </c>
      <c r="M74" s="65"/>
      <c r="N74" s="65"/>
      <c r="O74" s="65"/>
      <c r="P74" s="65"/>
      <c r="Q74" s="65"/>
    </row>
    <row r="75" spans="11:17" x14ac:dyDescent="0.25">
      <c r="K75" s="393"/>
      <c r="L75" s="67" t="s">
        <v>408</v>
      </c>
      <c r="M75" s="65"/>
      <c r="N75" s="65"/>
      <c r="O75" s="65"/>
      <c r="P75" s="65"/>
      <c r="Q75" s="65"/>
    </row>
    <row r="76" spans="11:17" x14ac:dyDescent="0.25">
      <c r="K76" s="393"/>
      <c r="L76" s="67" t="s">
        <v>409</v>
      </c>
      <c r="M76" s="65"/>
      <c r="N76" s="65"/>
      <c r="O76" s="65"/>
      <c r="P76" s="65"/>
      <c r="Q76" s="65"/>
    </row>
    <row r="77" spans="11:17" x14ac:dyDescent="0.25">
      <c r="K77" s="393"/>
      <c r="L77" s="67" t="s">
        <v>410</v>
      </c>
      <c r="M77" s="65"/>
      <c r="N77" s="65"/>
      <c r="O77" s="65"/>
      <c r="P77" s="65"/>
      <c r="Q77" s="65"/>
    </row>
    <row r="78" spans="11:17" x14ac:dyDescent="0.25">
      <c r="K78" s="393"/>
      <c r="L78" s="67" t="s">
        <v>411</v>
      </c>
      <c r="M78" s="65"/>
      <c r="N78" s="65"/>
      <c r="O78" s="65"/>
      <c r="P78" s="65"/>
      <c r="Q78" s="65"/>
    </row>
    <row r="79" spans="11:17" x14ac:dyDescent="0.25">
      <c r="K79" s="393"/>
      <c r="L79" s="63" t="s">
        <v>412</v>
      </c>
      <c r="M79" s="63" t="e">
        <f>AVERAGE(M67:M78)</f>
        <v>#DIV/0!</v>
      </c>
      <c r="N79" s="63"/>
      <c r="O79" s="63">
        <f>MAX(O67:O78)</f>
        <v>0</v>
      </c>
      <c r="P79" s="63" t="e">
        <f>AVERAGE(P67:P78)</f>
        <v>#DIV/0!</v>
      </c>
      <c r="Q79" s="63">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A45" zoomScaleNormal="100" workbookViewId="0">
      <selection activeCell="O14" sqref="O13:O14"/>
    </sheetView>
  </sheetViews>
  <sheetFormatPr defaultRowHeight="13.8" x14ac:dyDescent="0.25"/>
  <cols>
    <col min="1" max="1" width="14" style="3" customWidth="1"/>
    <col min="2" max="4" width="17" style="36" customWidth="1"/>
    <col min="5" max="5" width="14.6640625" style="36" customWidth="1"/>
    <col min="6" max="7" width="17" style="36"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90" t="str">
        <f>+'Cover Page'!$B$29</f>
        <v>Annual Performance Report 2022</v>
      </c>
      <c r="B1" s="90"/>
      <c r="C1" s="90"/>
      <c r="D1" s="90"/>
      <c r="E1" s="90" t="str">
        <f>+'Cover Page'!$B$33</f>
        <v>Tilbury Green Power Plant</v>
      </c>
    </row>
    <row r="3" spans="1:19" ht="14.4" x14ac:dyDescent="0.3">
      <c r="A3" s="61" t="s">
        <v>440</v>
      </c>
      <c r="D3" s="77" t="s">
        <v>381</v>
      </c>
      <c r="G3" s="81" t="s">
        <v>382</v>
      </c>
      <c r="J3" s="9" t="str">
        <f>+A3</f>
        <v xml:space="preserve">Monitoring of Ammnonia emissions </v>
      </c>
      <c r="L3" s="9"/>
      <c r="N3" s="9" t="s">
        <v>383</v>
      </c>
      <c r="Q3" s="80" t="s">
        <v>3</v>
      </c>
      <c r="R3" s="75"/>
      <c r="S3" s="75"/>
    </row>
    <row r="4" spans="1:19" ht="13.95" customHeight="1" x14ac:dyDescent="0.25">
      <c r="Q4" s="371" t="s">
        <v>384</v>
      </c>
      <c r="R4" s="371"/>
      <c r="S4" s="371"/>
    </row>
    <row r="5" spans="1:19" ht="16.2" x14ac:dyDescent="0.25">
      <c r="A5" s="69" t="s">
        <v>385</v>
      </c>
      <c r="B5" s="395" t="s">
        <v>386</v>
      </c>
      <c r="C5" s="395"/>
      <c r="D5" s="395"/>
      <c r="E5" s="395" t="s">
        <v>387</v>
      </c>
      <c r="F5" s="395"/>
      <c r="G5" s="395"/>
      <c r="J5" s="394"/>
      <c r="K5" s="394"/>
      <c r="L5" s="394"/>
      <c r="M5" s="394"/>
      <c r="N5" s="394"/>
      <c r="O5" s="394"/>
      <c r="Q5" s="371"/>
      <c r="R5" s="371"/>
      <c r="S5" s="371"/>
    </row>
    <row r="6" spans="1:19" s="59" customFormat="1" ht="37.5" customHeight="1" x14ac:dyDescent="0.3">
      <c r="A6" s="66">
        <f>+'Cover Page'!C39</f>
        <v>2022</v>
      </c>
      <c r="B6" s="56" t="s">
        <v>441</v>
      </c>
      <c r="C6" s="56" t="s">
        <v>389</v>
      </c>
      <c r="D6" s="56" t="s">
        <v>390</v>
      </c>
      <c r="E6" s="56" t="s">
        <v>442</v>
      </c>
      <c r="F6" s="56" t="s">
        <v>392</v>
      </c>
      <c r="G6" s="56" t="s">
        <v>393</v>
      </c>
      <c r="H6" s="60"/>
      <c r="J6" s="62">
        <f>+A6</f>
        <v>2022</v>
      </c>
      <c r="K6" s="62" t="s">
        <v>394</v>
      </c>
      <c r="L6" s="68" t="s">
        <v>389</v>
      </c>
      <c r="M6" s="68" t="s">
        <v>395</v>
      </c>
      <c r="N6" s="68" t="s">
        <v>392</v>
      </c>
      <c r="O6" s="68" t="s">
        <v>396</v>
      </c>
      <c r="Q6" s="371"/>
      <c r="R6" s="371"/>
      <c r="S6" s="371"/>
    </row>
    <row r="7" spans="1:19" x14ac:dyDescent="0.25">
      <c r="A7" s="67" t="s">
        <v>397</v>
      </c>
      <c r="B7" s="64">
        <v>0</v>
      </c>
      <c r="C7" s="65">
        <v>0.9</v>
      </c>
      <c r="D7" s="65">
        <v>42.7</v>
      </c>
      <c r="E7" s="64">
        <v>0</v>
      </c>
      <c r="F7" s="65">
        <v>0.94</v>
      </c>
      <c r="G7" s="65">
        <v>42.7</v>
      </c>
      <c r="J7" s="393" t="s">
        <v>188</v>
      </c>
      <c r="K7" s="67" t="s">
        <v>397</v>
      </c>
      <c r="L7" s="65">
        <v>0.9</v>
      </c>
      <c r="M7" s="65">
        <v>42.7</v>
      </c>
      <c r="N7" s="65">
        <v>0.94</v>
      </c>
      <c r="O7" s="65">
        <v>42.7</v>
      </c>
      <c r="Q7" s="371"/>
      <c r="R7" s="371"/>
      <c r="S7" s="371"/>
    </row>
    <row r="8" spans="1:19" x14ac:dyDescent="0.25">
      <c r="A8" s="67" t="s">
        <v>398</v>
      </c>
      <c r="B8" s="64">
        <f>+B7</f>
        <v>0</v>
      </c>
      <c r="C8" s="65">
        <v>1.2</v>
      </c>
      <c r="D8" s="65">
        <v>51.2</v>
      </c>
      <c r="E8" s="64">
        <v>0</v>
      </c>
      <c r="F8" s="65">
        <v>1.27</v>
      </c>
      <c r="G8" s="65">
        <v>51.2</v>
      </c>
      <c r="J8" s="393"/>
      <c r="K8" s="67" t="s">
        <v>398</v>
      </c>
      <c r="L8" s="65">
        <v>1.2</v>
      </c>
      <c r="M8" s="65">
        <v>51.2</v>
      </c>
      <c r="N8" s="65">
        <v>1.27</v>
      </c>
      <c r="O8" s="65">
        <v>51.2</v>
      </c>
      <c r="Q8" s="371"/>
      <c r="R8" s="371"/>
      <c r="S8" s="371"/>
    </row>
    <row r="9" spans="1:19" x14ac:dyDescent="0.25">
      <c r="A9" s="67" t="s">
        <v>399</v>
      </c>
      <c r="B9" s="64">
        <f t="shared" ref="B9:B18" si="0">+B8</f>
        <v>0</v>
      </c>
      <c r="C9" s="65">
        <v>1.1000000000000001</v>
      </c>
      <c r="D9" s="65">
        <v>25.2</v>
      </c>
      <c r="E9" s="64">
        <v>0</v>
      </c>
      <c r="F9" s="65">
        <v>1.07</v>
      </c>
      <c r="G9" s="65">
        <v>25.2</v>
      </c>
      <c r="J9" s="393"/>
      <c r="K9" s="67" t="s">
        <v>399</v>
      </c>
      <c r="L9" s="65">
        <v>1.1000000000000001</v>
      </c>
      <c r="M9" s="65">
        <v>25.2</v>
      </c>
      <c r="N9" s="65">
        <v>1.07</v>
      </c>
      <c r="O9" s="65">
        <v>25.2</v>
      </c>
      <c r="Q9" s="79" t="s">
        <v>400</v>
      </c>
    </row>
    <row r="10" spans="1:19" ht="14.25" customHeight="1" x14ac:dyDescent="0.25">
      <c r="A10" s="67" t="s">
        <v>401</v>
      </c>
      <c r="B10" s="64">
        <f t="shared" si="0"/>
        <v>0</v>
      </c>
      <c r="C10" s="65">
        <v>1.1000000000000001</v>
      </c>
      <c r="D10" s="65">
        <v>20.399999999999999</v>
      </c>
      <c r="E10" s="64">
        <v>0</v>
      </c>
      <c r="F10" s="65">
        <v>1</v>
      </c>
      <c r="G10" s="65">
        <v>20.399999999999999</v>
      </c>
      <c r="J10" s="393"/>
      <c r="K10" s="67" t="s">
        <v>401</v>
      </c>
      <c r="L10" s="65">
        <v>1.1000000000000001</v>
      </c>
      <c r="M10" s="65">
        <v>20.399999999999999</v>
      </c>
      <c r="N10" s="65">
        <v>1</v>
      </c>
      <c r="O10" s="65">
        <v>20.399999999999999</v>
      </c>
      <c r="Q10" s="392" t="s">
        <v>402</v>
      </c>
      <c r="R10" s="392"/>
      <c r="S10" s="392"/>
    </row>
    <row r="11" spans="1:19" x14ac:dyDescent="0.25">
      <c r="A11" s="67" t="s">
        <v>403</v>
      </c>
      <c r="B11" s="64">
        <f t="shared" si="0"/>
        <v>0</v>
      </c>
      <c r="C11" s="65">
        <v>1.6</v>
      </c>
      <c r="D11" s="65">
        <v>60.7</v>
      </c>
      <c r="E11" s="64">
        <v>0</v>
      </c>
      <c r="F11" s="65">
        <v>0.85</v>
      </c>
      <c r="G11" s="65">
        <v>60.7</v>
      </c>
      <c r="J11" s="393"/>
      <c r="K11" s="67" t="s">
        <v>403</v>
      </c>
      <c r="L11" s="65">
        <v>1.6</v>
      </c>
      <c r="M11" s="65">
        <v>60.7</v>
      </c>
      <c r="N11" s="65">
        <v>0.85</v>
      </c>
      <c r="O11" s="65">
        <v>60.7</v>
      </c>
      <c r="Q11" s="392"/>
      <c r="R11" s="392"/>
      <c r="S11" s="392"/>
    </row>
    <row r="12" spans="1:19" x14ac:dyDescent="0.25">
      <c r="A12" s="67" t="s">
        <v>404</v>
      </c>
      <c r="B12" s="64">
        <f t="shared" si="0"/>
        <v>0</v>
      </c>
      <c r="C12" s="65">
        <v>2.1</v>
      </c>
      <c r="D12" s="65">
        <v>105</v>
      </c>
      <c r="E12" s="64">
        <v>0</v>
      </c>
      <c r="F12" s="65">
        <v>2.69</v>
      </c>
      <c r="G12" s="65">
        <v>105</v>
      </c>
      <c r="J12" s="393"/>
      <c r="K12" s="67" t="s">
        <v>404</v>
      </c>
      <c r="L12" s="65">
        <v>2.1</v>
      </c>
      <c r="M12" s="65">
        <v>105</v>
      </c>
      <c r="N12" s="65">
        <v>2.69</v>
      </c>
      <c r="O12" s="65">
        <v>105</v>
      </c>
      <c r="Q12" s="392"/>
      <c r="R12" s="392"/>
      <c r="S12" s="392"/>
    </row>
    <row r="13" spans="1:19" ht="14.25" customHeight="1" x14ac:dyDescent="0.25">
      <c r="A13" s="67" t="s">
        <v>405</v>
      </c>
      <c r="B13" s="64">
        <f t="shared" si="0"/>
        <v>0</v>
      </c>
      <c r="C13" s="65">
        <v>1.6</v>
      </c>
      <c r="D13" s="65">
        <v>76.3</v>
      </c>
      <c r="E13" s="64">
        <v>0</v>
      </c>
      <c r="F13" s="65">
        <v>1.65</v>
      </c>
      <c r="G13" s="65">
        <v>76.3</v>
      </c>
      <c r="J13" s="393"/>
      <c r="K13" s="67" t="s">
        <v>405</v>
      </c>
      <c r="L13" s="65">
        <v>1.6</v>
      </c>
      <c r="M13" s="65">
        <v>76.3</v>
      </c>
      <c r="N13" s="65">
        <v>1.65</v>
      </c>
      <c r="O13" s="65">
        <v>76.3</v>
      </c>
      <c r="Q13" s="392" t="s">
        <v>406</v>
      </c>
      <c r="R13" s="392"/>
      <c r="S13" s="392"/>
    </row>
    <row r="14" spans="1:19" x14ac:dyDescent="0.25">
      <c r="A14" s="67" t="s">
        <v>407</v>
      </c>
      <c r="B14" s="64">
        <f t="shared" si="0"/>
        <v>0</v>
      </c>
      <c r="C14" s="65">
        <v>1.2</v>
      </c>
      <c r="D14" s="65">
        <v>43.4</v>
      </c>
      <c r="E14" s="64">
        <v>0</v>
      </c>
      <c r="F14" s="65">
        <v>1.28</v>
      </c>
      <c r="G14" s="65">
        <v>43.4</v>
      </c>
      <c r="J14" s="393"/>
      <c r="K14" s="67" t="s">
        <v>407</v>
      </c>
      <c r="L14" s="65">
        <v>1.2</v>
      </c>
      <c r="M14" s="65">
        <v>43.4</v>
      </c>
      <c r="N14" s="65">
        <v>1.28</v>
      </c>
      <c r="O14" s="65">
        <v>43.4</v>
      </c>
      <c r="Q14" s="392"/>
      <c r="R14" s="392"/>
      <c r="S14" s="392"/>
    </row>
    <row r="15" spans="1:19" x14ac:dyDescent="0.25">
      <c r="A15" s="67" t="s">
        <v>408</v>
      </c>
      <c r="B15" s="64">
        <f t="shared" si="0"/>
        <v>0</v>
      </c>
      <c r="C15" s="65">
        <v>1.2</v>
      </c>
      <c r="D15" s="65">
        <v>45.1</v>
      </c>
      <c r="E15" s="64">
        <v>0</v>
      </c>
      <c r="F15" s="65">
        <v>1.22</v>
      </c>
      <c r="G15" s="65">
        <v>45.1</v>
      </c>
      <c r="J15" s="393"/>
      <c r="K15" s="67" t="s">
        <v>408</v>
      </c>
      <c r="L15" s="65">
        <v>1.2</v>
      </c>
      <c r="M15" s="65">
        <v>45.1</v>
      </c>
      <c r="N15" s="65">
        <v>1.22</v>
      </c>
      <c r="O15" s="65">
        <v>45.1</v>
      </c>
      <c r="Q15" s="392"/>
      <c r="R15" s="392"/>
      <c r="S15" s="392"/>
    </row>
    <row r="16" spans="1:19" x14ac:dyDescent="0.25">
      <c r="A16" s="67" t="s">
        <v>409</v>
      </c>
      <c r="B16" s="64">
        <f t="shared" si="0"/>
        <v>0</v>
      </c>
      <c r="C16" s="65">
        <v>1.2</v>
      </c>
      <c r="D16" s="65">
        <v>20.6</v>
      </c>
      <c r="E16" s="64">
        <v>0</v>
      </c>
      <c r="F16" s="65">
        <v>1</v>
      </c>
      <c r="G16" s="65">
        <v>20.6</v>
      </c>
      <c r="J16" s="393"/>
      <c r="K16" s="67" t="s">
        <v>409</v>
      </c>
      <c r="L16" s="65">
        <v>1.2</v>
      </c>
      <c r="M16" s="65">
        <v>20.6</v>
      </c>
      <c r="N16" s="65">
        <v>1</v>
      </c>
      <c r="O16" s="65">
        <v>20.6</v>
      </c>
      <c r="Q16" s="392"/>
      <c r="R16" s="392"/>
      <c r="S16" s="392"/>
    </row>
    <row r="17" spans="1:15" x14ac:dyDescent="0.25">
      <c r="A17" s="67" t="s">
        <v>410</v>
      </c>
      <c r="B17" s="64">
        <f t="shared" si="0"/>
        <v>0</v>
      </c>
      <c r="C17" s="65">
        <v>1.7</v>
      </c>
      <c r="D17" s="65">
        <v>49.6</v>
      </c>
      <c r="E17" s="64">
        <v>0</v>
      </c>
      <c r="F17" s="65">
        <v>1.59</v>
      </c>
      <c r="G17" s="65">
        <v>49.6</v>
      </c>
      <c r="J17" s="393"/>
      <c r="K17" s="67" t="s">
        <v>410</v>
      </c>
      <c r="L17" s="65">
        <v>1.7</v>
      </c>
      <c r="M17" s="65">
        <v>49.6</v>
      </c>
      <c r="N17" s="65">
        <v>1.59</v>
      </c>
      <c r="O17" s="65">
        <v>49.6</v>
      </c>
    </row>
    <row r="18" spans="1:15" x14ac:dyDescent="0.25">
      <c r="A18" s="67" t="s">
        <v>411</v>
      </c>
      <c r="B18" s="64">
        <f t="shared" si="0"/>
        <v>0</v>
      </c>
      <c r="C18" s="65">
        <v>1</v>
      </c>
      <c r="D18" s="65">
        <v>22.7</v>
      </c>
      <c r="E18" s="64">
        <v>0</v>
      </c>
      <c r="F18" s="65">
        <v>1.03</v>
      </c>
      <c r="G18" s="65">
        <v>22.7</v>
      </c>
      <c r="J18" s="393"/>
      <c r="K18" s="67" t="s">
        <v>411</v>
      </c>
      <c r="L18" s="65">
        <v>1</v>
      </c>
      <c r="M18" s="65">
        <v>22.7</v>
      </c>
      <c r="N18" s="65">
        <v>1.03</v>
      </c>
      <c r="O18" s="65">
        <v>22.7</v>
      </c>
    </row>
    <row r="19" spans="1:15" x14ac:dyDescent="0.25">
      <c r="J19" s="393"/>
      <c r="K19" s="63" t="s">
        <v>412</v>
      </c>
      <c r="L19" s="63">
        <f>AVERAGE(L7:L18)</f>
        <v>1.3249999999999997</v>
      </c>
      <c r="M19" s="63">
        <f>MAX(M7:M18)</f>
        <v>105</v>
      </c>
      <c r="N19" s="63">
        <f>AVERAGE(N7:N18)</f>
        <v>1.2991666666666666</v>
      </c>
      <c r="O19" s="63">
        <f>MAX(O7:O18)</f>
        <v>105</v>
      </c>
    </row>
    <row r="21" spans="1:15" ht="41.4" x14ac:dyDescent="0.25">
      <c r="J21" s="62">
        <f>+A6</f>
        <v>2022</v>
      </c>
      <c r="K21" s="62" t="s">
        <v>394</v>
      </c>
      <c r="L21" s="68" t="s">
        <v>389</v>
      </c>
      <c r="M21" s="68" t="s">
        <v>395</v>
      </c>
      <c r="N21" s="68" t="s">
        <v>392</v>
      </c>
      <c r="O21" s="68" t="s">
        <v>396</v>
      </c>
    </row>
    <row r="22" spans="1:15" x14ac:dyDescent="0.25">
      <c r="J22" s="393" t="s">
        <v>189</v>
      </c>
      <c r="K22" s="67" t="s">
        <v>397</v>
      </c>
      <c r="L22" s="65"/>
      <c r="M22" s="65"/>
      <c r="N22" s="65"/>
      <c r="O22" s="65"/>
    </row>
    <row r="23" spans="1:15" x14ac:dyDescent="0.25">
      <c r="J23" s="393"/>
      <c r="K23" s="67" t="s">
        <v>398</v>
      </c>
      <c r="L23" s="65"/>
      <c r="M23" s="65"/>
      <c r="N23" s="65"/>
      <c r="O23" s="65"/>
    </row>
    <row r="24" spans="1:15" x14ac:dyDescent="0.25">
      <c r="J24" s="393"/>
      <c r="K24" s="67" t="s">
        <v>399</v>
      </c>
      <c r="L24" s="65"/>
      <c r="M24" s="65"/>
      <c r="N24" s="65"/>
      <c r="O24" s="65"/>
    </row>
    <row r="25" spans="1:15" x14ac:dyDescent="0.25">
      <c r="J25" s="393"/>
      <c r="K25" s="67" t="s">
        <v>401</v>
      </c>
      <c r="L25" s="65"/>
      <c r="M25" s="65"/>
      <c r="N25" s="65"/>
      <c r="O25" s="65"/>
    </row>
    <row r="26" spans="1:15" x14ac:dyDescent="0.25">
      <c r="J26" s="393"/>
      <c r="K26" s="67" t="s">
        <v>403</v>
      </c>
      <c r="L26" s="65"/>
      <c r="M26" s="65"/>
      <c r="N26" s="65"/>
      <c r="O26" s="65"/>
    </row>
    <row r="27" spans="1:15" x14ac:dyDescent="0.25">
      <c r="J27" s="393"/>
      <c r="K27" s="67" t="s">
        <v>404</v>
      </c>
      <c r="L27" s="65"/>
      <c r="M27" s="65"/>
      <c r="N27" s="65"/>
      <c r="O27" s="65"/>
    </row>
    <row r="28" spans="1:15" x14ac:dyDescent="0.25">
      <c r="J28" s="393"/>
      <c r="K28" s="67" t="s">
        <v>405</v>
      </c>
      <c r="L28" s="65"/>
      <c r="M28" s="65"/>
      <c r="N28" s="65"/>
      <c r="O28" s="65"/>
    </row>
    <row r="29" spans="1:15" x14ac:dyDescent="0.25">
      <c r="J29" s="393"/>
      <c r="K29" s="67" t="s">
        <v>407</v>
      </c>
      <c r="L29" s="65"/>
      <c r="M29" s="65"/>
      <c r="N29" s="65"/>
      <c r="O29" s="65"/>
    </row>
    <row r="30" spans="1:15" x14ac:dyDescent="0.25">
      <c r="J30" s="393"/>
      <c r="K30" s="67" t="s">
        <v>408</v>
      </c>
      <c r="L30" s="65"/>
      <c r="M30" s="65"/>
      <c r="N30" s="65"/>
      <c r="O30" s="65"/>
    </row>
    <row r="31" spans="1:15" x14ac:dyDescent="0.25">
      <c r="J31" s="393"/>
      <c r="K31" s="67" t="s">
        <v>409</v>
      </c>
      <c r="L31" s="65"/>
      <c r="M31" s="65"/>
      <c r="N31" s="65"/>
      <c r="O31" s="65"/>
    </row>
    <row r="32" spans="1:15" x14ac:dyDescent="0.25">
      <c r="J32" s="393"/>
      <c r="K32" s="67" t="s">
        <v>410</v>
      </c>
      <c r="L32" s="65"/>
      <c r="M32" s="65"/>
      <c r="N32" s="65"/>
      <c r="O32" s="65"/>
    </row>
    <row r="33" spans="1:15" x14ac:dyDescent="0.25">
      <c r="J33" s="393"/>
      <c r="K33" s="67" t="s">
        <v>411</v>
      </c>
      <c r="L33" s="65"/>
      <c r="M33" s="65"/>
      <c r="N33" s="65"/>
      <c r="O33" s="65"/>
    </row>
    <row r="34" spans="1:15" x14ac:dyDescent="0.25">
      <c r="J34" s="393"/>
      <c r="K34" s="63" t="s">
        <v>412</v>
      </c>
      <c r="L34" s="63" t="e">
        <f>AVERAGE(L22:L33)</f>
        <v>#DIV/0!</v>
      </c>
      <c r="M34" s="63">
        <f>MAX(M22:M33)</f>
        <v>0</v>
      </c>
      <c r="N34" s="63" t="e">
        <f>AVERAGE(N22:N33)</f>
        <v>#DIV/0!</v>
      </c>
      <c r="O34" s="63">
        <f>MAX(O22:O33)</f>
        <v>0</v>
      </c>
    </row>
    <row r="36" spans="1:15" ht="41.4" x14ac:dyDescent="0.25">
      <c r="J36" s="62">
        <f>+A6</f>
        <v>2022</v>
      </c>
      <c r="K36" s="62" t="s">
        <v>394</v>
      </c>
      <c r="L36" s="68" t="s">
        <v>389</v>
      </c>
      <c r="M36" s="68" t="s">
        <v>395</v>
      </c>
      <c r="N36" s="68" t="s">
        <v>392</v>
      </c>
      <c r="O36" s="68" t="s">
        <v>396</v>
      </c>
    </row>
    <row r="37" spans="1:15" x14ac:dyDescent="0.25">
      <c r="J37" s="393" t="s">
        <v>190</v>
      </c>
      <c r="K37" s="67" t="s">
        <v>397</v>
      </c>
      <c r="L37" s="65"/>
      <c r="M37" s="65"/>
      <c r="N37" s="65"/>
      <c r="O37" s="65"/>
    </row>
    <row r="38" spans="1:15" x14ac:dyDescent="0.25">
      <c r="J38" s="393"/>
      <c r="K38" s="67" t="s">
        <v>398</v>
      </c>
      <c r="L38" s="65"/>
      <c r="M38" s="65"/>
      <c r="N38" s="65"/>
      <c r="O38" s="65"/>
    </row>
    <row r="39" spans="1:15" x14ac:dyDescent="0.25">
      <c r="J39" s="393"/>
      <c r="K39" s="67" t="s">
        <v>399</v>
      </c>
      <c r="L39" s="65"/>
      <c r="M39" s="65"/>
      <c r="N39" s="65"/>
      <c r="O39" s="65"/>
    </row>
    <row r="40" spans="1:15" x14ac:dyDescent="0.25">
      <c r="J40" s="393"/>
      <c r="K40" s="67" t="s">
        <v>401</v>
      </c>
      <c r="L40" s="65"/>
      <c r="M40" s="65"/>
      <c r="N40" s="65"/>
      <c r="O40" s="65"/>
    </row>
    <row r="41" spans="1:15" x14ac:dyDescent="0.25">
      <c r="J41" s="393"/>
      <c r="K41" s="67" t="s">
        <v>403</v>
      </c>
      <c r="L41" s="65"/>
      <c r="M41" s="65"/>
      <c r="N41" s="65"/>
      <c r="O41" s="65"/>
    </row>
    <row r="42" spans="1:15" x14ac:dyDescent="0.25">
      <c r="J42" s="393"/>
      <c r="K42" s="67" t="s">
        <v>404</v>
      </c>
      <c r="L42" s="65"/>
      <c r="M42" s="65"/>
      <c r="N42" s="65"/>
      <c r="O42" s="65"/>
    </row>
    <row r="43" spans="1:15" x14ac:dyDescent="0.25">
      <c r="J43" s="393"/>
      <c r="K43" s="67" t="s">
        <v>405</v>
      </c>
      <c r="L43" s="65"/>
      <c r="M43" s="65"/>
      <c r="N43" s="65"/>
      <c r="O43" s="65"/>
    </row>
    <row r="44" spans="1:15" x14ac:dyDescent="0.25">
      <c r="J44" s="393"/>
      <c r="K44" s="67" t="s">
        <v>407</v>
      </c>
      <c r="L44" s="65"/>
      <c r="M44" s="65"/>
      <c r="N44" s="65"/>
      <c r="O44" s="65"/>
    </row>
    <row r="45" spans="1:15" x14ac:dyDescent="0.25">
      <c r="J45" s="393"/>
      <c r="K45" s="67" t="s">
        <v>408</v>
      </c>
      <c r="L45" s="65"/>
      <c r="M45" s="65"/>
      <c r="N45" s="65"/>
      <c r="O45" s="65"/>
    </row>
    <row r="46" spans="1:15" x14ac:dyDescent="0.25">
      <c r="J46" s="393"/>
      <c r="K46" s="67" t="s">
        <v>409</v>
      </c>
      <c r="L46" s="65"/>
      <c r="M46" s="65"/>
      <c r="N46" s="65"/>
      <c r="O46" s="65"/>
    </row>
    <row r="47" spans="1:15" x14ac:dyDescent="0.25">
      <c r="J47" s="393"/>
      <c r="K47" s="67" t="s">
        <v>410</v>
      </c>
      <c r="L47" s="65"/>
      <c r="M47" s="65"/>
      <c r="N47" s="65"/>
      <c r="O47" s="65"/>
    </row>
    <row r="48" spans="1:15" x14ac:dyDescent="0.25">
      <c r="A48" s="405" t="s">
        <v>307</v>
      </c>
      <c r="B48" s="406"/>
      <c r="C48" s="406"/>
      <c r="D48" s="406"/>
      <c r="E48" s="406"/>
      <c r="F48" s="406"/>
      <c r="G48" s="407"/>
      <c r="J48" s="393"/>
      <c r="K48" s="67" t="s">
        <v>411</v>
      </c>
      <c r="L48" s="65"/>
      <c r="M48" s="65"/>
      <c r="N48" s="65"/>
      <c r="O48" s="65"/>
    </row>
    <row r="49" spans="1:15" x14ac:dyDescent="0.25">
      <c r="A49" s="396" t="s">
        <v>443</v>
      </c>
      <c r="B49" s="397"/>
      <c r="C49" s="397"/>
      <c r="D49" s="397"/>
      <c r="E49" s="397"/>
      <c r="F49" s="397"/>
      <c r="G49" s="398"/>
      <c r="J49" s="393"/>
      <c r="K49" s="63" t="s">
        <v>412</v>
      </c>
      <c r="L49" s="63" t="e">
        <f>AVERAGE(L37:L48)</f>
        <v>#DIV/0!</v>
      </c>
      <c r="M49" s="63">
        <f>MAX(M37:M48)</f>
        <v>0</v>
      </c>
      <c r="N49" s="63" t="e">
        <f>AVERAGE(N37:N48)</f>
        <v>#DIV/0!</v>
      </c>
      <c r="O49" s="63">
        <f>MAX(O37:O48)</f>
        <v>0</v>
      </c>
    </row>
    <row r="50" spans="1:15" x14ac:dyDescent="0.25">
      <c r="A50" s="399"/>
      <c r="B50" s="400"/>
      <c r="C50" s="400"/>
      <c r="D50" s="400"/>
      <c r="E50" s="400"/>
      <c r="F50" s="400"/>
      <c r="G50" s="401"/>
    </row>
    <row r="51" spans="1:15" ht="41.4" x14ac:dyDescent="0.25">
      <c r="A51" s="399"/>
      <c r="B51" s="400"/>
      <c r="C51" s="400"/>
      <c r="D51" s="400"/>
      <c r="E51" s="400"/>
      <c r="F51" s="400"/>
      <c r="G51" s="401"/>
      <c r="J51" s="62">
        <f>+A6</f>
        <v>2022</v>
      </c>
      <c r="K51" s="62" t="s">
        <v>394</v>
      </c>
      <c r="L51" s="68" t="s">
        <v>389</v>
      </c>
      <c r="M51" s="68" t="s">
        <v>395</v>
      </c>
      <c r="N51" s="68" t="s">
        <v>392</v>
      </c>
      <c r="O51" s="68" t="s">
        <v>396</v>
      </c>
    </row>
    <row r="52" spans="1:15" x14ac:dyDescent="0.25">
      <c r="A52" s="402"/>
      <c r="B52" s="403"/>
      <c r="C52" s="403"/>
      <c r="D52" s="403"/>
      <c r="E52" s="403"/>
      <c r="F52" s="403"/>
      <c r="G52" s="404"/>
      <c r="J52" s="393" t="s">
        <v>191</v>
      </c>
      <c r="K52" s="67" t="s">
        <v>397</v>
      </c>
      <c r="L52" s="65"/>
      <c r="M52" s="65"/>
      <c r="N52" s="65"/>
      <c r="O52" s="65"/>
    </row>
    <row r="53" spans="1:15" x14ac:dyDescent="0.25">
      <c r="J53" s="393"/>
      <c r="K53" s="67" t="s">
        <v>398</v>
      </c>
      <c r="L53" s="65"/>
      <c r="M53" s="65"/>
      <c r="N53" s="65"/>
      <c r="O53" s="65"/>
    </row>
    <row r="54" spans="1:15" x14ac:dyDescent="0.25">
      <c r="J54" s="393"/>
      <c r="K54" s="67" t="s">
        <v>399</v>
      </c>
      <c r="L54" s="65"/>
      <c r="M54" s="65"/>
      <c r="N54" s="65"/>
      <c r="O54" s="65"/>
    </row>
    <row r="55" spans="1:15" x14ac:dyDescent="0.25">
      <c r="J55" s="393"/>
      <c r="K55" s="67" t="s">
        <v>401</v>
      </c>
      <c r="L55" s="65"/>
      <c r="M55" s="65"/>
      <c r="N55" s="65"/>
      <c r="O55" s="65"/>
    </row>
    <row r="56" spans="1:15" x14ac:dyDescent="0.25">
      <c r="J56" s="393"/>
      <c r="K56" s="67" t="s">
        <v>403</v>
      </c>
      <c r="L56" s="65"/>
      <c r="M56" s="65"/>
      <c r="N56" s="65"/>
      <c r="O56" s="65"/>
    </row>
    <row r="57" spans="1:15" x14ac:dyDescent="0.25">
      <c r="J57" s="393"/>
      <c r="K57" s="67" t="s">
        <v>404</v>
      </c>
      <c r="L57" s="65"/>
      <c r="M57" s="65"/>
      <c r="N57" s="65"/>
      <c r="O57" s="65"/>
    </row>
    <row r="58" spans="1:15" x14ac:dyDescent="0.25">
      <c r="J58" s="393"/>
      <c r="K58" s="67" t="s">
        <v>405</v>
      </c>
      <c r="L58" s="65"/>
      <c r="M58" s="65"/>
      <c r="N58" s="65"/>
      <c r="O58" s="65"/>
    </row>
    <row r="59" spans="1:15" x14ac:dyDescent="0.25">
      <c r="J59" s="393"/>
      <c r="K59" s="67" t="s">
        <v>407</v>
      </c>
      <c r="L59" s="65"/>
      <c r="M59" s="65"/>
      <c r="N59" s="65"/>
      <c r="O59" s="65"/>
    </row>
    <row r="60" spans="1:15" x14ac:dyDescent="0.25">
      <c r="J60" s="393"/>
      <c r="K60" s="67" t="s">
        <v>408</v>
      </c>
      <c r="L60" s="65"/>
      <c r="M60" s="65"/>
      <c r="N60" s="65"/>
      <c r="O60" s="65"/>
    </row>
    <row r="61" spans="1:15" x14ac:dyDescent="0.25">
      <c r="J61" s="393"/>
      <c r="K61" s="67" t="s">
        <v>409</v>
      </c>
      <c r="L61" s="65"/>
      <c r="M61" s="65"/>
      <c r="N61" s="65"/>
      <c r="O61" s="65"/>
    </row>
    <row r="62" spans="1:15" x14ac:dyDescent="0.25">
      <c r="J62" s="393"/>
      <c r="K62" s="67" t="s">
        <v>410</v>
      </c>
      <c r="L62" s="65"/>
      <c r="M62" s="65"/>
      <c r="N62" s="65"/>
      <c r="O62" s="65"/>
    </row>
    <row r="63" spans="1:15" x14ac:dyDescent="0.25">
      <c r="J63" s="393"/>
      <c r="K63" s="67" t="s">
        <v>411</v>
      </c>
      <c r="L63" s="65"/>
      <c r="M63" s="65"/>
      <c r="N63" s="65"/>
      <c r="O63" s="65"/>
    </row>
    <row r="64" spans="1:15" x14ac:dyDescent="0.25">
      <c r="J64" s="393"/>
      <c r="K64" s="63" t="s">
        <v>412</v>
      </c>
      <c r="L64" s="63" t="e">
        <f>AVERAGE(L52:L63)</f>
        <v>#DIV/0!</v>
      </c>
      <c r="M64" s="63">
        <f>MAX(M52:M63)</f>
        <v>0</v>
      </c>
      <c r="N64" s="63" t="e">
        <f>AVERAGE(N52:N63)</f>
        <v>#DIV/0!</v>
      </c>
      <c r="O64" s="63">
        <f>MAX(O52:O63)</f>
        <v>0</v>
      </c>
    </row>
    <row r="66" spans="10:15" ht="41.4" x14ac:dyDescent="0.25">
      <c r="J66" s="62">
        <f>+A6</f>
        <v>2022</v>
      </c>
      <c r="K66" s="62" t="s">
        <v>394</v>
      </c>
      <c r="L66" s="68" t="s">
        <v>389</v>
      </c>
      <c r="M66" s="68" t="s">
        <v>395</v>
      </c>
      <c r="N66" s="68" t="s">
        <v>392</v>
      </c>
      <c r="O66" s="68" t="s">
        <v>396</v>
      </c>
    </row>
    <row r="67" spans="10:15" x14ac:dyDescent="0.25">
      <c r="J67" s="393" t="s">
        <v>192</v>
      </c>
      <c r="K67" s="67" t="s">
        <v>397</v>
      </c>
      <c r="L67" s="65"/>
      <c r="M67" s="65"/>
      <c r="N67" s="65"/>
      <c r="O67" s="65"/>
    </row>
    <row r="68" spans="10:15" x14ac:dyDescent="0.25">
      <c r="J68" s="393"/>
      <c r="K68" s="67" t="s">
        <v>398</v>
      </c>
      <c r="L68" s="65"/>
      <c r="M68" s="65"/>
      <c r="N68" s="65"/>
      <c r="O68" s="65"/>
    </row>
    <row r="69" spans="10:15" x14ac:dyDescent="0.25">
      <c r="J69" s="393"/>
      <c r="K69" s="67" t="s">
        <v>399</v>
      </c>
      <c r="L69" s="65"/>
      <c r="M69" s="65"/>
      <c r="N69" s="65"/>
      <c r="O69" s="65"/>
    </row>
    <row r="70" spans="10:15" x14ac:dyDescent="0.25">
      <c r="J70" s="393"/>
      <c r="K70" s="67" t="s">
        <v>401</v>
      </c>
      <c r="L70" s="65"/>
      <c r="M70" s="65"/>
      <c r="N70" s="65"/>
      <c r="O70" s="65"/>
    </row>
    <row r="71" spans="10:15" x14ac:dyDescent="0.25">
      <c r="J71" s="393"/>
      <c r="K71" s="67" t="s">
        <v>403</v>
      </c>
      <c r="L71" s="65"/>
      <c r="M71" s="65"/>
      <c r="N71" s="65"/>
      <c r="O71" s="65"/>
    </row>
    <row r="72" spans="10:15" x14ac:dyDescent="0.25">
      <c r="J72" s="393"/>
      <c r="K72" s="67" t="s">
        <v>404</v>
      </c>
      <c r="L72" s="65"/>
      <c r="M72" s="65"/>
      <c r="N72" s="65"/>
      <c r="O72" s="65"/>
    </row>
    <row r="73" spans="10:15" x14ac:dyDescent="0.25">
      <c r="J73" s="393"/>
      <c r="K73" s="67" t="s">
        <v>405</v>
      </c>
      <c r="L73" s="65"/>
      <c r="M73" s="65"/>
      <c r="N73" s="65"/>
      <c r="O73" s="65"/>
    </row>
    <row r="74" spans="10:15" x14ac:dyDescent="0.25">
      <c r="J74" s="393"/>
      <c r="K74" s="67" t="s">
        <v>407</v>
      </c>
      <c r="L74" s="65"/>
      <c r="M74" s="65"/>
      <c r="N74" s="65"/>
      <c r="O74" s="65"/>
    </row>
    <row r="75" spans="10:15" x14ac:dyDescent="0.25">
      <c r="J75" s="393"/>
      <c r="K75" s="67" t="s">
        <v>408</v>
      </c>
      <c r="L75" s="65"/>
      <c r="M75" s="65"/>
      <c r="N75" s="65"/>
      <c r="O75" s="65"/>
    </row>
    <row r="76" spans="10:15" x14ac:dyDescent="0.25">
      <c r="J76" s="393"/>
      <c r="K76" s="67" t="s">
        <v>409</v>
      </c>
      <c r="L76" s="65"/>
      <c r="M76" s="65"/>
      <c r="N76" s="65"/>
      <c r="O76" s="65"/>
    </row>
    <row r="77" spans="10:15" x14ac:dyDescent="0.25">
      <c r="J77" s="393"/>
      <c r="K77" s="67" t="s">
        <v>410</v>
      </c>
      <c r="L77" s="65"/>
      <c r="M77" s="65"/>
      <c r="N77" s="65"/>
      <c r="O77" s="65"/>
    </row>
    <row r="78" spans="10:15" x14ac:dyDescent="0.25">
      <c r="J78" s="393"/>
      <c r="K78" s="67" t="s">
        <v>411</v>
      </c>
      <c r="L78" s="65"/>
      <c r="M78" s="65"/>
      <c r="N78" s="65"/>
      <c r="O78" s="65"/>
    </row>
    <row r="79" spans="10:15" x14ac:dyDescent="0.25">
      <c r="J79" s="393"/>
      <c r="K79" s="63" t="s">
        <v>412</v>
      </c>
      <c r="L79" s="63" t="e">
        <f>AVERAGE(L67:L78)</f>
        <v>#DIV/0!</v>
      </c>
      <c r="M79" s="63">
        <f>MAX(M67:M78)</f>
        <v>0</v>
      </c>
      <c r="N79" s="63" t="e">
        <f>AVERAGE(N67:N78)</f>
        <v>#DIV/0!</v>
      </c>
      <c r="O79" s="63">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2.xml><?xml version="1.0" encoding="utf-8"?>
<ds:datastoreItem xmlns:ds="http://schemas.openxmlformats.org/officeDocument/2006/customXml" ds:itemID="{7779E80B-3719-43A8-B1FC-D25158F955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4663FCD3-E4A7-4F14-B652-1339DE87D382}">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2023-03-22T16:59:43Z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DL_sAMAccountName">
    <vt:lpwstr>ammun</vt:lpwstr>
  </property>
  <property fmtid="{D5CDD505-2E9C-101B-9397-08002B2CF9AE}" pid="4" name="DL_AuthorInitials">
    <vt:lpwstr>ammun</vt:lpwstr>
  </property>
  <property fmtid="{D5CDD505-2E9C-101B-9397-08002B2CF9AE}" pid="5" name="fInit">
    <vt:lpwstr>ammun</vt:lpwstr>
  </property>
  <property fmtid="{D5CDD505-2E9C-101B-9397-08002B2CF9AE}" pid="6" name="fNavn">
    <vt:lpwstr>Amadeus Munkelt</vt:lpwstr>
  </property>
  <property fmtid="{D5CDD505-2E9C-101B-9397-08002B2CF9AE}" pid="7" name="fAfdeling">
    <vt:lpwstr>Tilbury</vt:lpwstr>
  </property>
  <property fmtid="{D5CDD505-2E9C-101B-9397-08002B2CF9AE}" pid="8" name="fTlf">
    <vt:lpwstr>+45 48125988</vt:lpwstr>
  </property>
  <property fmtid="{D5CDD505-2E9C-101B-9397-08002B2CF9AE}" pid="9" name="fEpost">
    <vt:lpwstr>ammun@wboc.co.uk</vt:lpwstr>
  </property>
  <property fmtid="{D5CDD505-2E9C-101B-9397-08002B2CF9AE}" pid="10" name="fLogo">
    <vt:lpwstr>http://www.exformatics.com/images/logo_new.jpg</vt:lpwstr>
  </property>
  <property fmtid="{D5CDD505-2E9C-101B-9397-08002B2CF9AE}" pid="11" name="fKontor">
    <vt:lpwstr>Tilbury</vt:lpwstr>
  </property>
  <property fmtid="{D5CDD505-2E9C-101B-9397-08002B2CF9AE}" pid="12" name="EXDocumentID">
    <vt:lpwstr/>
  </property>
  <property fmtid="{D5CDD505-2E9C-101B-9397-08002B2CF9AE}" pid="13" name="InformationType">
    <vt:lpwstr/>
  </property>
  <property fmtid="{D5CDD505-2E9C-101B-9397-08002B2CF9AE}" pid="14" name="Distribution">
    <vt:lpwstr>9;#Internal EA|b77da37e-7166-4741-8c12-4679faab22d9</vt:lpwstr>
  </property>
  <property fmtid="{D5CDD505-2E9C-101B-9397-08002B2CF9AE}" pid="15" name="HOCopyrightLevel">
    <vt:lpwstr>7;#Crown|69589897-2828-4761-976e-717fd8e631c9</vt:lpwstr>
  </property>
  <property fmtid="{D5CDD505-2E9C-101B-9397-08002B2CF9AE}" pid="16" name="HOGovernmentSecurityClassification">
    <vt:lpwstr>6;#Official|14c80daa-741b-422c-9722-f71693c9ede4</vt:lpwstr>
  </property>
  <property fmtid="{D5CDD505-2E9C-101B-9397-08002B2CF9AE}" pid="17" name="HOSiteType">
    <vt:lpwstr>10;#Community|144ac7d7-0b9a-42f9-9385-2935294b6de3</vt:lpwstr>
  </property>
  <property fmtid="{D5CDD505-2E9C-101B-9397-08002B2CF9AE}" pid="18" name="OrganisationalUnit">
    <vt:lpwstr>8;#EA|d5f78ddb-b1b6-4328-9877-d7e3ed06fdac</vt:lpwstr>
  </property>
</Properties>
</file>