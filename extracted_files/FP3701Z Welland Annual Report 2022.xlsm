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welland-nas\03000 Environmental\03002 Annual Reporting Procedure\2022 Annual Report\"/>
    </mc:Choice>
  </mc:AlternateContent>
  <xr:revisionPtr revIDLastSave="0" documentId="13_ncr:1_{44043A0E-53DB-4648-951D-C8859377900F}" xr6:coauthVersionLast="47" xr6:coauthVersionMax="47" xr10:uidLastSave="{00000000-0000-0000-0000-000000000000}"/>
  <bookViews>
    <workbookView xWindow="28680" yWindow="-120" windowWidth="29040" windowHeight="16440" tabRatio="900" xr2:uid="{00000000-000D-0000-FFFF-FFFF00000000}"/>
  </bookViews>
  <sheets>
    <sheet name="Cover Page" sheetId="2" r:id="rId1"/>
    <sheet name="Contents" sheetId="3" r:id="rId2"/>
    <sheet name="Facility Info" sheetId="4" r:id="rId3"/>
    <sheet name="Operational Summary" sheetId="5" r:id="rId4"/>
    <sheet name="Operational Data" sheetId="6"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0.5hourly" sheetId="29" r:id="rId20"/>
    <sheet name="CO 95% 10 min" sheetId="30" r:id="rId21"/>
    <sheet name="NH3" sheetId="31" r:id="rId22"/>
  </sheets>
  <definedNames>
    <definedName name="_xlnm.Print_Area" localSheetId="13">'Air (CEMS)'!$A$1:$M$31</definedName>
    <definedName name="_xlnm.Print_Area" localSheetId="12">'Air (periodic)'!$A$1:$J$41</definedName>
    <definedName name="_xlnm.Print_Area" localSheetId="19">'CO 0.5hourly'!$A$1:$G$52</definedName>
    <definedName name="_xlnm.Print_Area" localSheetId="20">'CO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4">HCl!$A$1:$G$52</definedName>
    <definedName name="_xlnm.Print_Area" localSheetId="8">Improvements!$A$1:$J$48</definedName>
    <definedName name="_xlnm.Print_Area" localSheetId="21">'NH3'!$A$1:$G$52</definedName>
    <definedName name="_xlnm.Print_Area" localSheetId="16">NOx!$A$1:$G$52</definedName>
    <definedName name="_xlnm.Print_Area" localSheetId="4">'Operational Data'!$A$1:$H$65</definedName>
    <definedName name="_xlnm.Print_Area" localSheetId="3">'Operational Summary'!$A$1:$I$52</definedName>
    <definedName name="_xlnm.Print_Area" localSheetId="18">Particulates!$A$1:$G$52</definedName>
    <definedName name="_xlnm.Print_Area" localSheetId="5">'Perf. Form 1'!$A$1:$J$55</definedName>
    <definedName name="_xlnm.Print_Area" localSheetId="7">'Permit Compliance'!$A$1:$J$81</definedName>
    <definedName name="_xlnm.Print_Area" localSheetId="9">'Public Liasion'!$A$1:$J$35</definedName>
    <definedName name="_xlnm.Print_Area" localSheetId="10">'Residue Quality '!$A$1:$G$41</definedName>
    <definedName name="_xlnm.Print_Area" localSheetId="15">'SO2'!$A$1:$G$52</definedName>
    <definedName name="_xlnm.Print_Area" localSheetId="17">TOC!$A$1:$G$52</definedName>
    <definedName name="_xlnm.Print_Area" localSheetId="11">Water!$A$1:$J$47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4" i="7" l="1"/>
  <c r="E33" i="7"/>
  <c r="F43" i="6"/>
  <c r="F42" i="6"/>
  <c r="E43" i="6"/>
  <c r="E42" i="6"/>
  <c r="D43" i="6"/>
  <c r="D42" i="6"/>
  <c r="C43" i="6"/>
  <c r="C42" i="6"/>
  <c r="E8" i="29"/>
  <c r="E9" i="29"/>
  <c r="E10" i="29"/>
  <c r="E11" i="29"/>
  <c r="E12" i="29"/>
  <c r="E13" i="29"/>
  <c r="E14" i="29"/>
  <c r="E15" i="29"/>
  <c r="E16" i="29"/>
  <c r="E17" i="29"/>
  <c r="E18" i="29"/>
  <c r="E7" i="29"/>
  <c r="B8" i="29"/>
  <c r="B9" i="29"/>
  <c r="B10" i="29"/>
  <c r="B11" i="29"/>
  <c r="B12" i="29"/>
  <c r="B13" i="29"/>
  <c r="B14" i="29"/>
  <c r="B15" i="29"/>
  <c r="B16" i="29"/>
  <c r="B17" i="29"/>
  <c r="B18" i="29"/>
  <c r="B7" i="29"/>
  <c r="E8" i="28"/>
  <c r="E9" i="28"/>
  <c r="E10" i="28"/>
  <c r="E11" i="28"/>
  <c r="E12" i="28"/>
  <c r="E13" i="28"/>
  <c r="E14" i="28"/>
  <c r="E15" i="28"/>
  <c r="E16" i="28"/>
  <c r="E17" i="28"/>
  <c r="E18" i="28"/>
  <c r="E7" i="28"/>
  <c r="B8" i="28"/>
  <c r="B9" i="28"/>
  <c r="B10" i="28"/>
  <c r="B11" i="28"/>
  <c r="B12" i="28"/>
  <c r="B13" i="28"/>
  <c r="B14" i="28"/>
  <c r="B15" i="28"/>
  <c r="B16" i="28"/>
  <c r="B17" i="28"/>
  <c r="B18" i="28"/>
  <c r="B7" i="28"/>
  <c r="E8" i="27"/>
  <c r="E9" i="27"/>
  <c r="E10" i="27"/>
  <c r="E11" i="27"/>
  <c r="E12" i="27"/>
  <c r="E13" i="27"/>
  <c r="E14" i="27"/>
  <c r="E15" i="27"/>
  <c r="E16" i="27"/>
  <c r="E17" i="27"/>
  <c r="E18" i="27"/>
  <c r="E7" i="27"/>
  <c r="B8" i="27"/>
  <c r="B9" i="27"/>
  <c r="B10" i="27"/>
  <c r="B11" i="27"/>
  <c r="B12" i="27"/>
  <c r="B13" i="27"/>
  <c r="B14" i="27"/>
  <c r="B15" i="27"/>
  <c r="B16" i="27"/>
  <c r="B17" i="27"/>
  <c r="B18" i="27"/>
  <c r="B7" i="27"/>
  <c r="E8" i="26"/>
  <c r="E9" i="26"/>
  <c r="E10" i="26"/>
  <c r="E11" i="26"/>
  <c r="E12" i="26"/>
  <c r="E13" i="26"/>
  <c r="E14" i="26"/>
  <c r="E15" i="26"/>
  <c r="E16" i="26"/>
  <c r="E17" i="26"/>
  <c r="E18" i="26"/>
  <c r="E7" i="26"/>
  <c r="B8" i="26"/>
  <c r="B9" i="26"/>
  <c r="B10" i="26"/>
  <c r="B11" i="26"/>
  <c r="B12" i="26"/>
  <c r="B13" i="26"/>
  <c r="B14" i="26"/>
  <c r="B15" i="26"/>
  <c r="B16" i="26"/>
  <c r="B17" i="26"/>
  <c r="B18" i="26"/>
  <c r="B7" i="26"/>
  <c r="E8" i="25"/>
  <c r="E9" i="25"/>
  <c r="E10" i="25"/>
  <c r="E11" i="25"/>
  <c r="E12" i="25"/>
  <c r="E13" i="25"/>
  <c r="E14" i="25"/>
  <c r="E15" i="25"/>
  <c r="E16" i="25"/>
  <c r="E17" i="25"/>
  <c r="E18" i="25"/>
  <c r="E7" i="25"/>
  <c r="B8" i="25"/>
  <c r="B9" i="25"/>
  <c r="B10" i="25"/>
  <c r="B11" i="25"/>
  <c r="B12" i="25"/>
  <c r="B13" i="25"/>
  <c r="B14" i="25"/>
  <c r="B15" i="25"/>
  <c r="B16" i="25"/>
  <c r="B17" i="25"/>
  <c r="B18" i="25"/>
  <c r="B7" i="25"/>
  <c r="E8" i="13"/>
  <c r="E9" i="13"/>
  <c r="E10" i="13"/>
  <c r="E11" i="13"/>
  <c r="E12" i="13"/>
  <c r="E13" i="13"/>
  <c r="E14" i="13"/>
  <c r="E15" i="13"/>
  <c r="E16" i="13"/>
  <c r="E17" i="13"/>
  <c r="E18" i="13"/>
  <c r="E7" i="13"/>
  <c r="B8" i="13"/>
  <c r="B9" i="13"/>
  <c r="B10" i="13"/>
  <c r="B11" i="13"/>
  <c r="B12" i="13"/>
  <c r="B13" i="13"/>
  <c r="B14" i="13"/>
  <c r="B15" i="13"/>
  <c r="B16" i="13"/>
  <c r="B17" i="13"/>
  <c r="B18" i="13"/>
  <c r="B7" i="13"/>
  <c r="G13" i="8" l="1"/>
  <c r="G62" i="6"/>
  <c r="G21" i="7" l="1"/>
  <c r="G20" i="7" l="1"/>
  <c r="I47" i="7" l="1"/>
  <c r="I48" i="7"/>
  <c r="C48" i="7"/>
  <c r="C47" i="7"/>
  <c r="I46" i="7"/>
  <c r="C46" i="7"/>
  <c r="E35" i="7"/>
  <c r="D58" i="6" l="1"/>
  <c r="E58" i="6"/>
  <c r="F58" i="6"/>
  <c r="C58" i="6"/>
  <c r="E12" i="7" l="1"/>
  <c r="E11" i="7"/>
  <c r="F48" i="6" l="1"/>
  <c r="E48" i="6"/>
  <c r="D48" i="6"/>
  <c r="C48" i="6"/>
  <c r="G34" i="6" l="1"/>
  <c r="D26" i="6" l="1"/>
  <c r="E26" i="6"/>
  <c r="F26" i="6"/>
  <c r="C26" i="6"/>
  <c r="L8" i="29" l="1"/>
  <c r="M8" i="29"/>
  <c r="N8" i="29"/>
  <c r="O8" i="29"/>
  <c r="L9" i="29"/>
  <c r="M9" i="29"/>
  <c r="N9" i="29"/>
  <c r="O9" i="29"/>
  <c r="L10" i="29"/>
  <c r="M10" i="29"/>
  <c r="N10" i="29"/>
  <c r="O10" i="29"/>
  <c r="L11" i="29"/>
  <c r="M11" i="29"/>
  <c r="N11" i="29"/>
  <c r="O11" i="29"/>
  <c r="L12" i="29"/>
  <c r="M12" i="29"/>
  <c r="N12" i="29"/>
  <c r="O12" i="29"/>
  <c r="L13" i="29"/>
  <c r="M13" i="29"/>
  <c r="N13" i="29"/>
  <c r="O13" i="29"/>
  <c r="L14" i="29"/>
  <c r="M14" i="29"/>
  <c r="N14" i="29"/>
  <c r="O14" i="29"/>
  <c r="L15" i="29"/>
  <c r="M15" i="29"/>
  <c r="N15" i="29"/>
  <c r="O15" i="29"/>
  <c r="L16" i="29"/>
  <c r="M16" i="29"/>
  <c r="N16" i="29"/>
  <c r="O16" i="29"/>
  <c r="L17" i="29"/>
  <c r="M17" i="29"/>
  <c r="N17" i="29"/>
  <c r="O17" i="29"/>
  <c r="L18" i="29"/>
  <c r="M18" i="29"/>
  <c r="N18" i="29"/>
  <c r="O18" i="29"/>
  <c r="O7" i="29"/>
  <c r="N7" i="29"/>
  <c r="M7" i="29"/>
  <c r="L7" i="29"/>
  <c r="L8" i="28"/>
  <c r="M8" i="28"/>
  <c r="N8" i="28"/>
  <c r="O8" i="28"/>
  <c r="L9" i="28"/>
  <c r="M9" i="28"/>
  <c r="N9" i="28"/>
  <c r="O9" i="28"/>
  <c r="L10" i="28"/>
  <c r="M10" i="28"/>
  <c r="N10" i="28"/>
  <c r="O10" i="28"/>
  <c r="L11" i="28"/>
  <c r="M11" i="28"/>
  <c r="N11" i="28"/>
  <c r="O11" i="28"/>
  <c r="L12" i="28"/>
  <c r="M12" i="28"/>
  <c r="N12" i="28"/>
  <c r="O12" i="28"/>
  <c r="L13" i="28"/>
  <c r="M13" i="28"/>
  <c r="N13" i="28"/>
  <c r="O13" i="28"/>
  <c r="L14" i="28"/>
  <c r="M14" i="28"/>
  <c r="N14" i="28"/>
  <c r="O14" i="28"/>
  <c r="L15" i="28"/>
  <c r="M15" i="28"/>
  <c r="N15" i="28"/>
  <c r="O15" i="28"/>
  <c r="L16" i="28"/>
  <c r="M16" i="28"/>
  <c r="N16" i="28"/>
  <c r="O16" i="28"/>
  <c r="L17" i="28"/>
  <c r="M17" i="28"/>
  <c r="N17" i="28"/>
  <c r="O17" i="28"/>
  <c r="L18" i="28"/>
  <c r="M18" i="28"/>
  <c r="N18" i="28"/>
  <c r="O18" i="28"/>
  <c r="O7" i="28"/>
  <c r="N7" i="28"/>
  <c r="M7" i="28"/>
  <c r="L7" i="28"/>
  <c r="L8" i="27"/>
  <c r="M8" i="27"/>
  <c r="N8" i="27"/>
  <c r="O8" i="27"/>
  <c r="L9" i="27"/>
  <c r="M9" i="27"/>
  <c r="N9" i="27"/>
  <c r="O9" i="27"/>
  <c r="L10" i="27"/>
  <c r="M10" i="27"/>
  <c r="N10" i="27"/>
  <c r="O10" i="27"/>
  <c r="L11" i="27"/>
  <c r="M11" i="27"/>
  <c r="N11" i="27"/>
  <c r="O11" i="27"/>
  <c r="L12" i="27"/>
  <c r="M12" i="27"/>
  <c r="N12" i="27"/>
  <c r="O12" i="27"/>
  <c r="L13" i="27"/>
  <c r="M13" i="27"/>
  <c r="N13" i="27"/>
  <c r="O13" i="27"/>
  <c r="L14" i="27"/>
  <c r="M14" i="27"/>
  <c r="N14" i="27"/>
  <c r="O14" i="27"/>
  <c r="L15" i="27"/>
  <c r="M15" i="27"/>
  <c r="N15" i="27"/>
  <c r="O15" i="27"/>
  <c r="L16" i="27"/>
  <c r="M16" i="27"/>
  <c r="N16" i="27"/>
  <c r="O16" i="27"/>
  <c r="L17" i="27"/>
  <c r="M17" i="27"/>
  <c r="N17" i="27"/>
  <c r="O17" i="27"/>
  <c r="L18" i="27"/>
  <c r="M18" i="27"/>
  <c r="N18" i="27"/>
  <c r="O18" i="27"/>
  <c r="O7" i="27"/>
  <c r="N7" i="27"/>
  <c r="M7" i="27"/>
  <c r="L7" i="27"/>
  <c r="L8" i="26"/>
  <c r="M8" i="26"/>
  <c r="N8" i="26"/>
  <c r="O8" i="26"/>
  <c r="L9" i="26"/>
  <c r="M9" i="26"/>
  <c r="N9" i="26"/>
  <c r="O9" i="26"/>
  <c r="L10" i="26"/>
  <c r="M10" i="26"/>
  <c r="N10" i="26"/>
  <c r="O10" i="26"/>
  <c r="L11" i="26"/>
  <c r="M11" i="26"/>
  <c r="N11" i="26"/>
  <c r="O11" i="26"/>
  <c r="L12" i="26"/>
  <c r="M12" i="26"/>
  <c r="N12" i="26"/>
  <c r="O12" i="26"/>
  <c r="L13" i="26"/>
  <c r="M13" i="26"/>
  <c r="N13" i="26"/>
  <c r="O13" i="26"/>
  <c r="L14" i="26"/>
  <c r="M14" i="26"/>
  <c r="N14" i="26"/>
  <c r="O14" i="26"/>
  <c r="L15" i="26"/>
  <c r="M15" i="26"/>
  <c r="N15" i="26"/>
  <c r="O15" i="26"/>
  <c r="L16" i="26"/>
  <c r="M16" i="26"/>
  <c r="N16" i="26"/>
  <c r="O16" i="26"/>
  <c r="L17" i="26"/>
  <c r="M17" i="26"/>
  <c r="N17" i="26"/>
  <c r="O17" i="26"/>
  <c r="L18" i="26"/>
  <c r="M18" i="26"/>
  <c r="N18" i="26"/>
  <c r="O18" i="26"/>
  <c r="O7" i="26"/>
  <c r="N7" i="26"/>
  <c r="M7" i="26"/>
  <c r="L7" i="26"/>
  <c r="N8" i="25"/>
  <c r="O8" i="25"/>
  <c r="N9" i="25"/>
  <c r="O9" i="25"/>
  <c r="N10" i="25"/>
  <c r="O10" i="25"/>
  <c r="N11" i="25"/>
  <c r="O11" i="25"/>
  <c r="N12" i="25"/>
  <c r="O12" i="25"/>
  <c r="N13" i="25"/>
  <c r="O13" i="25"/>
  <c r="N14" i="25"/>
  <c r="O14" i="25"/>
  <c r="N15" i="25"/>
  <c r="O15" i="25"/>
  <c r="N16" i="25"/>
  <c r="O16" i="25"/>
  <c r="N17" i="25"/>
  <c r="O17" i="25"/>
  <c r="N18" i="25"/>
  <c r="O18" i="25"/>
  <c r="O7" i="25"/>
  <c r="N7" i="25"/>
  <c r="L8" i="25"/>
  <c r="M8" i="25"/>
  <c r="L9" i="25"/>
  <c r="M9" i="25"/>
  <c r="L10" i="25"/>
  <c r="M10" i="25"/>
  <c r="L11" i="25"/>
  <c r="M11" i="25"/>
  <c r="L12" i="25"/>
  <c r="M12" i="25"/>
  <c r="L13" i="25"/>
  <c r="M13" i="25"/>
  <c r="L14" i="25"/>
  <c r="M14" i="25"/>
  <c r="L15" i="25"/>
  <c r="M15" i="25"/>
  <c r="L16" i="25"/>
  <c r="M16" i="25"/>
  <c r="L17" i="25"/>
  <c r="M17" i="25"/>
  <c r="L18" i="25"/>
  <c r="M18" i="25"/>
  <c r="M7" i="25"/>
  <c r="L7" i="25"/>
  <c r="O8" i="13"/>
  <c r="O9" i="13"/>
  <c r="O10" i="13"/>
  <c r="O11" i="13"/>
  <c r="O12" i="13"/>
  <c r="O13" i="13"/>
  <c r="O14" i="13"/>
  <c r="O15" i="13"/>
  <c r="O16" i="13"/>
  <c r="O17" i="13"/>
  <c r="O18" i="13"/>
  <c r="O7" i="13"/>
  <c r="N8" i="13"/>
  <c r="N9" i="13"/>
  <c r="N10" i="13"/>
  <c r="N11" i="13"/>
  <c r="N12" i="13"/>
  <c r="N13" i="13"/>
  <c r="N14" i="13"/>
  <c r="N15" i="13"/>
  <c r="N16" i="13"/>
  <c r="N17" i="13"/>
  <c r="N18" i="13"/>
  <c r="N7" i="13"/>
  <c r="M8" i="13"/>
  <c r="M9" i="13"/>
  <c r="M10" i="13"/>
  <c r="M11" i="13"/>
  <c r="M12" i="13"/>
  <c r="M13" i="13"/>
  <c r="M14" i="13"/>
  <c r="M15" i="13"/>
  <c r="M16" i="13"/>
  <c r="M17" i="13"/>
  <c r="M18" i="13"/>
  <c r="M7" i="13"/>
  <c r="L8" i="13"/>
  <c r="L9" i="13"/>
  <c r="L10" i="13"/>
  <c r="L11" i="13"/>
  <c r="L12" i="13"/>
  <c r="L13" i="13"/>
  <c r="L14" i="13"/>
  <c r="L15" i="13"/>
  <c r="L16" i="13"/>
  <c r="L17" i="13"/>
  <c r="L18" i="13"/>
  <c r="L7" i="13"/>
  <c r="I19" i="7"/>
  <c r="I20" i="7"/>
  <c r="I21" i="7"/>
  <c r="I22" i="7"/>
  <c r="I18" i="7"/>
  <c r="I12" i="7"/>
  <c r="I13" i="7"/>
  <c r="I14" i="7"/>
  <c r="I11" i="7"/>
  <c r="C18" i="6" l="1"/>
  <c r="C21" i="6" s="1"/>
  <c r="H61" i="6" l="1"/>
  <c r="G13" i="6" l="1"/>
  <c r="H13" i="6" s="1"/>
  <c r="G45" i="6"/>
  <c r="H45" i="6" s="1"/>
  <c r="J3" i="31" l="1"/>
  <c r="J3" i="30"/>
  <c r="J3" i="29"/>
  <c r="J3" i="28"/>
  <c r="J3" i="27"/>
  <c r="J3" i="26"/>
  <c r="J3" i="25"/>
  <c r="J3" i="13"/>
  <c r="G19" i="6" l="1"/>
  <c r="G57" i="6" l="1"/>
  <c r="G59" i="6" l="1"/>
  <c r="G65" i="6"/>
  <c r="G64" i="6"/>
  <c r="H64" i="6" s="1"/>
  <c r="G63" i="6"/>
  <c r="G61" i="6"/>
  <c r="G53" i="6"/>
  <c r="G54" i="6"/>
  <c r="G55" i="6"/>
  <c r="G56" i="6"/>
  <c r="G60" i="6"/>
  <c r="G58" i="6" l="1"/>
  <c r="D18" i="6"/>
  <c r="D21" i="6" s="1"/>
  <c r="E18" i="6"/>
  <c r="E21" i="6" s="1"/>
  <c r="F18" i="6"/>
  <c r="F21" i="6" s="1"/>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O79" i="29"/>
  <c r="N79" i="29"/>
  <c r="M79" i="29"/>
  <c r="L79" i="29"/>
  <c r="O64" i="29"/>
  <c r="N64" i="29"/>
  <c r="M64" i="29"/>
  <c r="L64" i="29"/>
  <c r="O49" i="29"/>
  <c r="N49" i="29"/>
  <c r="M49" i="29"/>
  <c r="L49" i="29"/>
  <c r="O34" i="29"/>
  <c r="N34" i="29"/>
  <c r="M34" i="29"/>
  <c r="L34" i="29"/>
  <c r="O19" i="29"/>
  <c r="D24" i="24" s="1"/>
  <c r="N19" i="29"/>
  <c r="E24" i="24" s="1"/>
  <c r="M19" i="29"/>
  <c r="D25" i="24" s="1"/>
  <c r="L19" i="29"/>
  <c r="E25" i="24" s="1"/>
  <c r="A6" i="29"/>
  <c r="J66" i="29" s="1"/>
  <c r="O79" i="28"/>
  <c r="N79" i="28"/>
  <c r="M79" i="28"/>
  <c r="L79" i="28"/>
  <c r="O64" i="28"/>
  <c r="N64" i="28"/>
  <c r="M64" i="28"/>
  <c r="L64" i="28"/>
  <c r="O49" i="28"/>
  <c r="N49" i="28"/>
  <c r="M49" i="28"/>
  <c r="L49" i="28"/>
  <c r="O34" i="28"/>
  <c r="N34" i="28"/>
  <c r="M34" i="28"/>
  <c r="L34" i="28"/>
  <c r="O19" i="28"/>
  <c r="D16" i="24" s="1"/>
  <c r="N19" i="28"/>
  <c r="E16" i="24" s="1"/>
  <c r="M19" i="28"/>
  <c r="D17" i="24" s="1"/>
  <c r="L19" i="28"/>
  <c r="E17" i="24" s="1"/>
  <c r="A6" i="28"/>
  <c r="J66" i="28" s="1"/>
  <c r="O79" i="27"/>
  <c r="N79" i="27"/>
  <c r="M79" i="27"/>
  <c r="L79" i="27"/>
  <c r="O64" i="27"/>
  <c r="N64" i="27"/>
  <c r="M64" i="27"/>
  <c r="L64" i="27"/>
  <c r="O49" i="27"/>
  <c r="N49" i="27"/>
  <c r="M49" i="27"/>
  <c r="L49" i="27"/>
  <c r="O34" i="27"/>
  <c r="N34" i="27"/>
  <c r="M34" i="27"/>
  <c r="L34" i="27"/>
  <c r="O19" i="27"/>
  <c r="D18" i="24" s="1"/>
  <c r="N19" i="27"/>
  <c r="E18" i="24" s="1"/>
  <c r="M19" i="27"/>
  <c r="D19" i="24" s="1"/>
  <c r="L19" i="27"/>
  <c r="E19" i="24" s="1"/>
  <c r="A6" i="27"/>
  <c r="J66" i="27" s="1"/>
  <c r="O79" i="26"/>
  <c r="N79" i="26"/>
  <c r="M79" i="26"/>
  <c r="L79" i="26"/>
  <c r="O64" i="26"/>
  <c r="N64" i="26"/>
  <c r="M64" i="26"/>
  <c r="L64" i="26"/>
  <c r="O49" i="26"/>
  <c r="N49" i="26"/>
  <c r="M49" i="26"/>
  <c r="L49" i="26"/>
  <c r="O34" i="26"/>
  <c r="N34" i="26"/>
  <c r="M34" i="26"/>
  <c r="L34" i="26"/>
  <c r="O19" i="26"/>
  <c r="D14" i="24" s="1"/>
  <c r="N19" i="26"/>
  <c r="E14" i="24" s="1"/>
  <c r="M19" i="26"/>
  <c r="D15" i="24" s="1"/>
  <c r="L19" i="26"/>
  <c r="E15" i="24" s="1"/>
  <c r="A6" i="26"/>
  <c r="J66" i="26" s="1"/>
  <c r="O79" i="25"/>
  <c r="N79" i="25"/>
  <c r="M79" i="25"/>
  <c r="L79" i="25"/>
  <c r="O64" i="25"/>
  <c r="N64" i="25"/>
  <c r="M64" i="25"/>
  <c r="L64" i="25"/>
  <c r="O49" i="25"/>
  <c r="N49" i="25"/>
  <c r="M49" i="25"/>
  <c r="L49" i="25"/>
  <c r="O34" i="25"/>
  <c r="N34" i="25"/>
  <c r="M34" i="25"/>
  <c r="L34" i="25"/>
  <c r="O19" i="25"/>
  <c r="D22" i="24" s="1"/>
  <c r="N19" i="25"/>
  <c r="E22" i="24" s="1"/>
  <c r="M19" i="25"/>
  <c r="D23" i="24" s="1"/>
  <c r="L19" i="25"/>
  <c r="E23" i="24" s="1"/>
  <c r="A6" i="25"/>
  <c r="J66" i="25" s="1"/>
  <c r="O79" i="13"/>
  <c r="N79" i="13"/>
  <c r="M79" i="13"/>
  <c r="L79" i="13"/>
  <c r="O64" i="13"/>
  <c r="N64" i="13"/>
  <c r="M64" i="13"/>
  <c r="L64" i="13"/>
  <c r="O49" i="13"/>
  <c r="N49" i="13"/>
  <c r="M49" i="13"/>
  <c r="L49" i="13"/>
  <c r="O34" i="13"/>
  <c r="N34" i="13"/>
  <c r="M34" i="13"/>
  <c r="L34" i="13"/>
  <c r="O19" i="13"/>
  <c r="D20" i="24" s="1"/>
  <c r="N19" i="13"/>
  <c r="E20" i="24" s="1"/>
  <c r="M19" i="13"/>
  <c r="D21" i="24" s="1"/>
  <c r="L19" i="13"/>
  <c r="E21" i="24" s="1"/>
  <c r="A6" i="13"/>
  <c r="J66" i="13" s="1"/>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G23" i="7"/>
  <c r="E23" i="7"/>
  <c r="G15" i="7"/>
  <c r="E15" i="7"/>
  <c r="B4" i="7"/>
  <c r="G3" i="7"/>
  <c r="A3" i="7"/>
  <c r="A1" i="7"/>
  <c r="A8" i="7" s="1"/>
  <c r="H65" i="6"/>
  <c r="H63" i="6"/>
  <c r="B53" i="6"/>
  <c r="G50" i="6"/>
  <c r="G49" i="6"/>
  <c r="G48" i="6"/>
  <c r="H48" i="6" s="1"/>
  <c r="G47" i="6"/>
  <c r="G46" i="6"/>
  <c r="G44" i="6"/>
  <c r="G43" i="6"/>
  <c r="H43" i="6" s="1"/>
  <c r="G42" i="6"/>
  <c r="G39" i="6"/>
  <c r="H39" i="6" s="1"/>
  <c r="G38" i="6"/>
  <c r="H38" i="6" s="1"/>
  <c r="G37" i="6"/>
  <c r="H37" i="6" s="1"/>
  <c r="G36" i="6"/>
  <c r="G35" i="6"/>
  <c r="G30" i="6"/>
  <c r="G29" i="6"/>
  <c r="H29" i="6" s="1"/>
  <c r="G27" i="6"/>
  <c r="G26" i="6"/>
  <c r="H26" i="6" s="1"/>
  <c r="G25" i="6"/>
  <c r="G24" i="6"/>
  <c r="H24" i="6" s="1"/>
  <c r="G20" i="6"/>
  <c r="H20" i="6" s="1"/>
  <c r="G15" i="6"/>
  <c r="H15" i="6" s="1"/>
  <c r="G14" i="6"/>
  <c r="G12" i="6"/>
  <c r="G11" i="6"/>
  <c r="G10" i="6"/>
  <c r="G9" i="6"/>
  <c r="G8" i="6"/>
  <c r="H34" i="7" l="1"/>
  <c r="H33" i="7"/>
  <c r="I23" i="7"/>
  <c r="I15" i="7"/>
  <c r="D11" i="8"/>
  <c r="H27" i="6"/>
  <c r="D14" i="8"/>
  <c r="H30" i="6"/>
  <c r="D12" i="8"/>
  <c r="H25" i="6"/>
  <c r="H42" i="6"/>
  <c r="H35" i="7"/>
  <c r="H44" i="6"/>
  <c r="E37" i="7"/>
  <c r="H37" i="7" s="1"/>
  <c r="H47" i="6"/>
  <c r="E36" i="7"/>
  <c r="H36" i="7" s="1"/>
  <c r="H46" i="6"/>
  <c r="G24" i="7"/>
  <c r="G18" i="6"/>
  <c r="H21" i="6" s="1"/>
  <c r="G28" i="6"/>
  <c r="E24" i="7"/>
  <c r="D10" i="8"/>
  <c r="G10" i="8"/>
  <c r="A31" i="7"/>
  <c r="A43" i="7" s="1"/>
  <c r="I24" i="7" l="1"/>
  <c r="H12" i="6"/>
  <c r="H8" i="6"/>
  <c r="H19" i="6"/>
  <c r="H36" i="6"/>
  <c r="H34" i="6"/>
  <c r="H10" i="6"/>
  <c r="G11" i="8"/>
  <c r="G12" i="8"/>
  <c r="H14" i="6"/>
  <c r="G14" i="8"/>
  <c r="H11" i="6"/>
  <c r="H9" i="6"/>
  <c r="H35" i="6"/>
</calcChain>
</file>

<file path=xl/sharedStrings.xml><?xml version="1.0" encoding="utf-8"?>
<sst xmlns="http://schemas.openxmlformats.org/spreadsheetml/2006/main" count="2178" uniqueCount="577">
  <si>
    <t>Add company logo</t>
  </si>
  <si>
    <t xml:space="preserve">Version 20.5 </t>
  </si>
  <si>
    <t>Add photo</t>
  </si>
  <si>
    <t>Notes:</t>
  </si>
  <si>
    <t>This template may require adjustments by individual operators to meet specific reporting requirements as defined in the site Permit(s)</t>
  </si>
  <si>
    <t>Year:</t>
  </si>
  <si>
    <t>Address:</t>
  </si>
  <si>
    <t xml:space="preserve">Tel: </t>
  </si>
  <si>
    <t xml:space="preserve">Email: </t>
  </si>
  <si>
    <t>Prepared by:</t>
  </si>
  <si>
    <t>Position:</t>
  </si>
  <si>
    <t>Approved by:</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</si>
  <si>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</si>
  <si>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</si>
  <si>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</si>
  <si>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</si>
  <si>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</si>
  <si>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</si>
  <si>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</si>
  <si>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</si>
  <si>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</si>
  <si>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</si>
  <si>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</si>
  <si>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</si>
  <si>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</si>
  <si>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</si>
  <si>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</si>
  <si>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</si>
  <si>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</si>
  <si>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</si>
  <si>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</si>
  <si>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</si>
  <si>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</si>
  <si>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</si>
  <si>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</si>
  <si>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</si>
  <si>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</si>
  <si>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</si>
  <si>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</si>
  <si>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</si>
  <si>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</si>
  <si>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</si>
  <si>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</si>
  <si>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</si>
  <si>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</si>
  <si>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</si>
  <si>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</si>
  <si>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</si>
  <si>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Include summary of plant design, design capacity, no. of combustion lines, electrical and heat capacity and any other general information that descibes the facility, its location and purpose </t>
  </si>
  <si>
    <t>Summary of Operational Processes and Procedures</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</si>
  <si>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</si>
  <si>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</si>
  <si>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</si>
  <si>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</si>
  <si>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</si>
  <si>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</si>
  <si>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</si>
  <si>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</si>
  <si>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</si>
  <si>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</si>
  <si>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</si>
  <si>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</si>
  <si>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</si>
  <si>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</si>
  <si>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</si>
  <si>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</si>
  <si>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</si>
  <si>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</si>
  <si>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</si>
  <si>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</si>
  <si>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</si>
  <si>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</si>
  <si>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</si>
  <si>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</si>
  <si>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</si>
  <si>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</si>
  <si>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</si>
  <si>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</si>
  <si>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</si>
  <si>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</si>
  <si>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</si>
  <si>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</si>
  <si>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</si>
  <si>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</si>
  <si>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</si>
  <si>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</si>
  <si>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</si>
  <si>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</si>
  <si>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</si>
  <si>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</si>
  <si>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</si>
  <si>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</si>
  <si>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</si>
  <si>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</si>
  <si>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</si>
  <si>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</si>
  <si>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</si>
  <si>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</si>
  <si>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Metals recycling</t>
  </si>
  <si>
    <t>Other</t>
  </si>
  <si>
    <t>Raw Material Usage</t>
  </si>
  <si>
    <t>kg or Ltr /te</t>
  </si>
  <si>
    <t>Mains Water</t>
  </si>
  <si>
    <t>ltrs</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</si>
  <si>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</si>
  <si>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</si>
  <si>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</si>
  <si>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</si>
  <si>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</si>
  <si>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</si>
  <si>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</si>
  <si>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</si>
  <si>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</si>
  <si>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</si>
  <si>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</si>
  <si>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</si>
  <si>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 xml:space="preserve"> x %</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</si>
  <si>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</si>
  <si>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</si>
  <si>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</si>
  <si>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</si>
  <si>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</si>
  <si>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</si>
  <si>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</si>
  <si>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</si>
  <si>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</si>
  <si>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</si>
  <si>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</si>
  <si>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</si>
  <si>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</si>
  <si>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Include summary of key operational and/or mainteanance activity undertaken in the year, such as any major component upgrades and/or replacements </t>
  </si>
  <si>
    <t>Summary of Residue Handling for the reporting year</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</si>
  <si>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</si>
  <si>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</si>
  <si>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</si>
  <si>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</si>
  <si>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</si>
  <si>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</si>
  <si>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</si>
  <si>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</si>
  <si>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</si>
  <si>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</si>
  <si>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</si>
  <si>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</si>
  <si>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</si>
  <si>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</si>
  <si>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</si>
  <si>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</si>
  <si>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</si>
  <si>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</si>
  <si>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</si>
  <si>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</si>
  <si>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</si>
  <si>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</si>
  <si>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</si>
  <si>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</si>
  <si>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</si>
  <si>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</si>
  <si>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</si>
  <si>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</si>
  <si>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</si>
  <si>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</si>
  <si>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</si>
  <si>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</si>
  <si>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</si>
  <si>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</si>
  <si>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</si>
  <si>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</si>
  <si>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</si>
  <si>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</si>
  <si>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</si>
  <si>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</si>
  <si>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</si>
  <si>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</si>
  <si>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</si>
  <si>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</si>
  <si>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</si>
  <si>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</si>
  <si>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</si>
  <si>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</si>
  <si>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</si>
  <si>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</si>
  <si>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</si>
  <si>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</si>
  <si>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</si>
  <si>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</si>
  <si>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</si>
  <si>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</si>
  <si>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</si>
  <si>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</si>
  <si>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</si>
  <si>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</si>
  <si>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</si>
  <si>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</si>
  <si>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</si>
  <si>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</si>
  <si>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</si>
  <si>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</si>
  <si>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</si>
  <si>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</si>
  <si>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</si>
  <si>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</si>
  <si>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xx.xx %</t>
  </si>
  <si>
    <t>Oxides of nitrogen</t>
  </si>
  <si>
    <t>Sulphur dioxide</t>
  </si>
  <si>
    <t>Carbon monoxide</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</si>
  <si>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</si>
  <si>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</si>
  <si>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</si>
  <si>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</si>
  <si>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</si>
  <si>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</si>
  <si>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</si>
  <si>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</si>
  <si>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</si>
  <si>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</si>
  <si>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</si>
  <si>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</si>
  <si>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</si>
  <si>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</si>
  <si>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</si>
  <si>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</si>
  <si>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</si>
  <si>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</si>
  <si>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</si>
  <si>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</si>
  <si>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Residue Quality Monitoring Requirements</t>
  </si>
  <si>
    <t>Summary of monitoring undertaken and compliance</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</si>
  <si>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</si>
  <si>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</si>
  <si>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</si>
  <si>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</si>
  <si>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</si>
  <si>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</si>
  <si>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</si>
  <si>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</si>
  <si>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</si>
  <si>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</si>
  <si>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</si>
  <si>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</si>
  <si>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</si>
  <si>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</si>
  <si>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</si>
  <si>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Monitoring Frequency</t>
  </si>
  <si>
    <t>Target</t>
  </si>
  <si>
    <t>Max.</t>
  </si>
  <si>
    <t>Average</t>
  </si>
  <si>
    <t>Summary of monitoring undertaken, standards used and compliance</t>
  </si>
  <si>
    <t>Results of emissions to air that are periodically monitored</t>
  </si>
  <si>
    <t>Ref. Period</t>
  </si>
  <si>
    <t>Emission Limit Value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</si>
  <si>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</si>
  <si>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</si>
  <si>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</si>
  <si>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</si>
  <si>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</si>
  <si>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</si>
  <si>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</si>
  <si>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</si>
  <si>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</si>
  <si>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</si>
  <si>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</si>
  <si>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</si>
  <si>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</si>
  <si>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</si>
  <si>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</si>
  <si>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</si>
  <si>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</si>
  <si>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</si>
  <si>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</si>
  <si>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</si>
  <si>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</si>
  <si>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</si>
  <si>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</si>
  <si>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</si>
  <si>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</si>
  <si>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</si>
  <si>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</si>
  <si>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</si>
  <si>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</si>
  <si>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</si>
  <si>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</si>
  <si>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</si>
  <si>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</si>
  <si>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</si>
  <si>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</si>
  <si>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</si>
  <si>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</si>
  <si>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</si>
  <si>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</si>
  <si>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</si>
  <si>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</si>
  <si>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t>½ hourly mean</t>
  </si>
  <si>
    <t xml:space="preserve">Total Organic Carbon </t>
  </si>
  <si>
    <t xml:space="preserve">Hydrogen chloride </t>
  </si>
  <si>
    <t xml:space="preserve">Carbon monoxide </t>
  </si>
  <si>
    <t>½ hourly mean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</si>
  <si>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</si>
  <si>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</si>
  <si>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</si>
  <si>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</si>
  <si>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</si>
  <si>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</si>
  <si>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</si>
  <si>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</si>
  <si>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</si>
  <si>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</si>
  <si>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</si>
  <si>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</si>
  <si>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</si>
  <si>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</si>
  <si>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</si>
  <si>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</si>
  <si>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</si>
  <si>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</si>
  <si>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</si>
  <si>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</si>
  <si>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</si>
  <si>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</si>
  <si>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</si>
  <si>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</si>
  <si>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</si>
  <si>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</si>
  <si>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</si>
  <si>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</si>
  <si>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</si>
  <si>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</si>
  <si>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</si>
  <si>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</si>
  <si>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</si>
  <si>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</si>
  <si>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</si>
  <si>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</si>
  <si>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</si>
  <si>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</si>
  <si>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</si>
  <si>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</si>
  <si>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</si>
  <si>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</si>
  <si>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</si>
  <si>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</si>
  <si>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</si>
  <si>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</si>
  <si>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</si>
  <si>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</si>
  <si>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</si>
  <si>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</si>
  <si>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</si>
  <si>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</si>
  <si>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</si>
  <si>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</si>
  <si>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</si>
  <si>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</si>
  <si>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</si>
  <si>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</si>
  <si>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</si>
  <si>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</si>
  <si>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</si>
  <si>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</si>
  <si>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</si>
  <si>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</si>
  <si>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</si>
  <si>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</si>
  <si>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</si>
  <si>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</si>
  <si>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</si>
  <si>
    <t>n/a</t>
  </si>
  <si>
    <t>Annual Performance Report 2022</t>
  </si>
  <si>
    <t>Permit EPR/FP3701Z</t>
  </si>
  <si>
    <t>Welland Operations Ltd</t>
  </si>
  <si>
    <t>01858 881900</t>
  </si>
  <si>
    <t>brent.charlton@wellandoperations.co.uk</t>
  </si>
  <si>
    <t>Glynn Dunkley</t>
  </si>
  <si>
    <t>Plant Manager</t>
  </si>
  <si>
    <t>Pebble Hall, Theddingworth Road, Theddingworth LE17 6NJ</t>
  </si>
  <si>
    <t>Brent Charlton, Elizabeth Cullum</t>
  </si>
  <si>
    <t>Operations Manager/Technical Administrator</t>
  </si>
  <si>
    <r>
      <t>The Plant operates on a 24/7, 365 days basis with two planned shutdowns of approximately 14 days on each period for essential maintenance. 
The Plant aims to process around 240 Tonnes of low C grade biomass fuel per day which would otherwise go to landfill.
The Fuel is delivered into our Fuel Reception hall from WWML (Welland Waste Management Limited) by Front Loading Shovel which is recorded by our weighbridge per load as it is being delivered to site. During this process the Wood Fuel (Biomass) is checked and monitored by daily sampling to confirm correct specification and to ensure that contaminants are as limited as possible. Any loads that do not meet the desire specification are rejected back to the supplier.  
The Wood Fuel (Biomass) is then conveyed into 4 Gasifiers by a series of drag chains and augers, the moisture content is continually checked by a sensor which is then inputted into the Firing Table on the Nexterra HMI where the Gasification Process is controlled from. The Gasifiers slowly build up Incinerator Bottom Ash (IBA) which is controlled by a movable floor grate and temperature monitoring to control the level which is conveyed into an enclosed skip with an internal level screw. Once the IBA skip is full, this is then exchanged and sent to landfill. The Oxidizer is controlled to maintain temperature of more than 850oC with an O2 content between 3-6%.
Once the syngas is combusted in the Oxidizer it is then considered to be Flue Gas which we aim for a temperature of around 930-1000oC. The Flue Gas is then passed through a Heat Recovery Steam Generator (HRSG) where the heat is used to induce phase change of the water in the HRSG to generate steam and also as a pre-heat for the boiler feedwater to maximize the economy. 
The steam generated is ideally at around 46+ bar at 403</t>
    </r>
    <r>
      <rPr>
        <vertAlign val="superscript"/>
        <sz val="10"/>
        <color theme="1"/>
        <rFont val="Arial"/>
        <family val="2"/>
      </rPr>
      <t>o</t>
    </r>
    <r>
      <rPr>
        <sz val="10"/>
        <color theme="1"/>
        <rFont val="Arial"/>
        <family val="2"/>
      </rPr>
      <t>C and a flow of around 44,500 kg being supplied to the Steam Turbine which will drive the turbine blades and generate electricity through the generator. Site parasitic load is met with excess generator output being sent to the Grid.
The exhaust steam from the turbine is captured by the ACC where it is to be condensed thus providing a closed loop system of operation.
The Stack Emissions are continually monitored  through CEM's to ensure that our levels of potential harmful substances are reduced to a minimal limit which are controlled by our abatement system which consists of Urea dosing to control NOx, Lime dosing to control the HCL and SO2, the oxygen content is controlled to maintain the CO output and the baghouse has particulate filters to prevent particulates being emitted to the atmosphere.</t>
    </r>
  </si>
  <si>
    <t>Welland Biopower Ltd</t>
  </si>
  <si>
    <t>Other Water (borehole + Purchased)</t>
  </si>
  <si>
    <t>Augean</t>
  </si>
  <si>
    <t>Augean/Castle</t>
  </si>
  <si>
    <t>Flow</t>
  </si>
  <si>
    <t>Per Day</t>
  </si>
  <si>
    <t>58m3</t>
  </si>
  <si>
    <t>PH</t>
  </si>
  <si>
    <t>Instanteous</t>
  </si>
  <si>
    <t>6-9</t>
  </si>
  <si>
    <t>Turbidity</t>
  </si>
  <si>
    <t>no limit</t>
  </si>
  <si>
    <t>Oil &amp; Grease</t>
  </si>
  <si>
    <t>Non Visible</t>
  </si>
  <si>
    <t>Daily</t>
  </si>
  <si>
    <t>Total Suspended Solids</t>
  </si>
  <si>
    <t>Weekly</t>
  </si>
  <si>
    <t>30mg/l</t>
  </si>
  <si>
    <t>Ammoniacal Nitrogen</t>
  </si>
  <si>
    <t>5mg/l</t>
  </si>
  <si>
    <t>Total Nitrogen</t>
  </si>
  <si>
    <t>Monthly</t>
  </si>
  <si>
    <t>20mg/l</t>
  </si>
  <si>
    <t>phosphate</t>
  </si>
  <si>
    <t>2mg/l</t>
  </si>
  <si>
    <t>BOD</t>
  </si>
  <si>
    <t>Arsenic</t>
  </si>
  <si>
    <t>Cadmium</t>
  </si>
  <si>
    <t>Chromium</t>
  </si>
  <si>
    <t>Cobalt</t>
  </si>
  <si>
    <t>Copper</t>
  </si>
  <si>
    <t>Lead</t>
  </si>
  <si>
    <t>Mercury</t>
  </si>
  <si>
    <t>Nickel</t>
  </si>
  <si>
    <t>Thalium</t>
  </si>
  <si>
    <t>Vanadium</t>
  </si>
  <si>
    <t>Zinc</t>
  </si>
  <si>
    <t>Iron</t>
  </si>
  <si>
    <t>Emissions to Water / Sewer - Process Water</t>
  </si>
  <si>
    <t>Visual Oil &amp; Grease</t>
  </si>
  <si>
    <t>Suspended Solids</t>
  </si>
  <si>
    <t>Emissions to Water / Sewer - Spot Sample for Upstream &amp; Downstream (Combined)</t>
  </si>
  <si>
    <t>Weekly &amp; monthly sampling of the water discharge to river via water kiosk.  Parameters as per below</t>
  </si>
  <si>
    <t>Monthly sampling of Lagoon.  There are no parameters set. A weekly check is completed for visible oil and grease and recorded on the shift log</t>
  </si>
  <si>
    <t>There was no discharge from the water kiosk prior to May due to a broken pump.  Water not discharged was tankered away</t>
  </si>
  <si>
    <t>Water Kiosk.  Spot discharge on 08/5/22 (1st discharge of 2022) then daily from 7/6/22</t>
  </si>
  <si>
    <t>Water Kiosk 8/5/22 - Breach in Phosphate (2.22)</t>
  </si>
  <si>
    <t>Water Kiosk 11/07/2022 - Breach on Phosphate (2.43) &amp; Suspended Solids (43)</t>
  </si>
  <si>
    <t>Water Kiosk 19/12/22 - breach is suspended solids (42)</t>
  </si>
  <si>
    <t>On investigation we identified a failure on the conder pump (sewage bacterial system), which we believe caused a build up on the solids.  The pump has been replaced.  Sample of 26/12 was within specification (12)</t>
  </si>
  <si>
    <t>Upstream/Downstream 15/2/22 - Excess of Suspended solids in sample</t>
  </si>
  <si>
    <t>The upstream sample contained 325 suspended solids and downstream 335.  As the upstream sample is taken prior to the site area the contamination was already present in the river</t>
  </si>
  <si>
    <t>Upstream/Downstream 26/12/22 - Excess of total Nitrogen in sample</t>
  </si>
  <si>
    <t>Permit requires monthly spot sampling of Upstream &amp; Downstream. However the decision was made to sample weekly to co-incide with the water kiosk sampling.
Parameters set no limit.  Results as per below</t>
  </si>
  <si>
    <t>This was the 1st sample taken.  Disposal via tanker continued during this period.  Another sample was taken on 10/5/22 which showed result of 0.9</t>
  </si>
  <si>
    <t xml:space="preserve">The plant was in start up mode when sample taken.  As soon as the results were analysed the kiosk was stopped and water tankered away until the next sample was analysed and confirmed as in specification.  It is believed that the phoenix plant completed a backwash during this period which affected the sample.   </t>
  </si>
  <si>
    <t>We are not the only contributing site that discharge to the river.  Checking our kiosk sample on the same day it was only showing Total Nitrogen - 7</t>
  </si>
  <si>
    <t>Severn Trent</t>
  </si>
  <si>
    <t>River Welland</t>
  </si>
  <si>
    <t>APCr is quarterly composite sample as per permit requirements</t>
  </si>
  <si>
    <t>IBA - Quarterly Full Suite sample + Monthly short suite samples</t>
  </si>
  <si>
    <t>B-Annual Stack required as per permit
Annual AST Stack Analysis as per permit
Dioxins and Furans retest due to failures</t>
  </si>
  <si>
    <t>&lt;0.0018</t>
  </si>
  <si>
    <t>Test 10/3/22 Failure report on the Dioxins and Furans so retest organised for the 10/5/22</t>
  </si>
  <si>
    <t>Test for Dioxin &amp; Furans for 22/7/22.  
The subcontractor who installed the redesign of the PAC system was recalled to investigate why the system continued to fail showing a breach on the dioxins and furans</t>
  </si>
  <si>
    <t>Test for Dioxin and Furans on 10/5/22.  Failure reported.  Further testing organised for 22/7/22.  
The PAC system was not working properly which was causing the breaches on the dioxins and furans.  The system was being redesigned in the May outage, which should have fixed the issue.
The EA regulator was kept informed of the redesign and expected outcome</t>
  </si>
  <si>
    <t>&lt;0.001</t>
  </si>
  <si>
    <t>&lt;0.0017</t>
  </si>
  <si>
    <t>Bi-Annual Stack test on 5-8th September 22.  
Failure on Dioxin &amp; Furans so restest organised.  
Further works on the PAC system + temporary amendment to permit made to allow the site to use a Combined mixture of Sorbacal/PAC</t>
  </si>
  <si>
    <t>Retest on 2/12/22 on Dioxins and furans</t>
  </si>
  <si>
    <t>Enva/Reconomy</t>
  </si>
  <si>
    <t>m3</t>
  </si>
  <si>
    <t xml:space="preserve">Flow (Exceedance of 58m3) </t>
  </si>
  <si>
    <t>Daily discharge to River from Kiosk</t>
  </si>
  <si>
    <t>Due to operator error the limit has exceeded 58m3.  The recording form has been amended to ensure the SPO doesn't exceed the maximum.  All staff are also receiving further training.  Operations Manager is also completing daily checks of discharge to ensure no further breaches</t>
  </si>
  <si>
    <t>based on 1 per qtr by type</t>
  </si>
  <si>
    <t>From July 22 to December 22 the figures include online &amp; offline data as requested by our regulator</t>
  </si>
  <si>
    <t xml:space="preserve">Welland Operations Limited (WOL), operates an energy from waste (EfW) plant, on behalf of Welland Bio Power Ltd (WBPL, located in Leicester. The Plant) which utilises Advanced Thermal Conversion (ATC) technology
The Plant comprises of 4 (Nexterra Designed) gasification units which char Waste Wood (Bio Mass) at low oxygen to produce syngas that is fed into a single combustion chamber. The resultant combustion gases are subsequently ignited and used as a heat medium for a HRSG boiler. In the boiler the temperature is utilized through transfer of heat energy in the gas to form steam, steam from the boiler then drives a steam turbine to generate renewable electricity which provided enough power to supply c.13960 homes approx. in 2022. 
The plant has a single stack release point and uses established and proven abatement techniques to clean the combustion gases before being released to atmosphere. The plant and the abatement techniques utilised at the facility produce several residues totalling &lt;8% (by tonnage) of the waste input, thus reducing landfill by 92%. The primary residue is bottom ash which is approximately 5%. </t>
  </si>
  <si>
    <t>Welland Operations Limited took over the O and M contract for the site in April 2021. Since the inception, numerous changes and improvements have been carried out to the fuel delivery system amongst others. Renewing and refurbishment of key apparatus/components has vastly improved the efficiency, volume and relaibility of fuel delivery to the gasification apparatus. This alone has contributed to the plant's increase in exported power to the National Grid in the last year. 
The plant was hampered with tube leaks towards the end of the previous year and begining of 2022, these were addressed and had extensive work in the October Outage where Superheater 1 was replaced and various other tubes identified were changed. The reliability of the boiler and reduction of leaks has been significant at the installation since. Reactive maintenance has been dealt with in a timely manner with identified improvements made to the Metering Bin Screws and the Quality of the screws being supplied.
The site utilises Pirana for CMMS activities and is being fully rolled out and mananged to further improve the stability of the Plant.
A number of staff changes occurred during 2022 again which meant some minor losses in more experienced personnel but we have overcome the difficulties that this presents and ae endevoring to bring the experience and knowlege up even further with all staff. 
we have maintained a good Health and Safety Culture, which contiues to develop further to issues being actioned before they are able to develop into occurances and this has been acknowledeged from external/internal auditors and visitors.
Personal Development Reviews are being reviewed on an annual basis as a minimum and sooner if required with an aim to make this 6 monthly reviews.Staff training requirements have been addressed and booked or looking to be booked when practicable - again proving an upturn in staff morale and engagement. 
The staff have had a full site meeting at the start of the year, together with motivation and acceptance of accounatbility from all on site has placed the plant in a strong position to start 2023 with improved availability, a relaible plant and full support from site management.</t>
  </si>
  <si>
    <t xml:space="preserve">Contracts for APCr and IBA have proved reliable and competitive.
IBA to Augean is currently landfilled and treated as hazardous. IBA is transferred into containers holding approximately 8-10 tons - 6 skips per week on average totalling 48-60 tons. 
APCr totals around 17-20 tons per week - 1-2 movements to Kingscliffe Landfill. Plans are being looked at to see if we are able to get the APCr recycled by Castle Environmental further reducing what waste goes to Landfill.  </t>
  </si>
  <si>
    <t>N/A</t>
  </si>
  <si>
    <t>The site has proven that we have improved our reliability and our export has shown that with an increase of 6,980MWh from 2021.</t>
  </si>
  <si>
    <t>We were asked to start to record and submit offline data from our CEM's which highlighted a few potential issues during some of the processes and we have implemented any possible changes to improve/reduce occurances.</t>
  </si>
  <si>
    <t>After having a failure of Dioxin and Furans due to unreliability of the PAC dosing we have applied for a temporary permit variation to trial a Lime/PAC blend. A Human Health Risk Assessment was requested to be conducted and this is in progress of action due to be completed end of March 2023.</t>
  </si>
  <si>
    <t xml:space="preserve">After Further investigation of the PAC dosing, we found that the motor was not increasing as it was supposed to so when It should have been running at 50% for example it was staying at 10%. We believe that this is the main route cause of dosing failure and plan to go back and trial the originakl set up once this is resolved. If this resolves the issue then we will benefit the environment by using less resources and ensuring that we can affectively reduce our emmisions to the required level or better.
</t>
  </si>
  <si>
    <t>Weekly and Monthly         Jan-Dec 2022</t>
  </si>
  <si>
    <t>A meeting between CEL/WOL Management and the Board of Investors is held up to twice a Week and at least one Monthly update.</t>
  </si>
  <si>
    <t>Annual and as required.</t>
  </si>
  <si>
    <t>Meetings, emails and calls to the EA as required for reporting under the permit and additional as well as any queries on regulations or other as disscussed.</t>
  </si>
  <si>
    <t>EA Meeting with Current EA Offcier to discuss where we currently are and the handover of Site Permit reporting and management to our new representative.</t>
  </si>
  <si>
    <t>Weekly and Monthly         Jan-Dec 2023</t>
  </si>
  <si>
    <t>Meetings with Npower.</t>
  </si>
  <si>
    <t>Regular Meetings with WWML (Welland Waste Management Limited) to discuss wood fuel deliveries and quality as well as any other issues between sites that may arise.</t>
  </si>
  <si>
    <t>As often as required    Jan-Dec 2022</t>
  </si>
  <si>
    <t>If you wish to be involved in the public liasion programme, please contact  Glynn Dunkley.</t>
  </si>
  <si>
    <t>01/01/2022 - 31/12/2022</t>
  </si>
  <si>
    <t>01/01/22 - 31/12/2022</t>
  </si>
  <si>
    <t>01/01/2023 - 31/12/2023</t>
  </si>
  <si>
    <t>01/01/23 - 31/12/2023</t>
  </si>
  <si>
    <t>Management Weekly meeting to duscuss plant performance and environmental compliance</t>
  </si>
  <si>
    <t>Staff and management daily operational review of plant performance tracking all outputs and maintenanace actions</t>
  </si>
  <si>
    <t>None</t>
  </si>
  <si>
    <t>CEMS Description not reading the VOC's correct in the Flu gas output.  Exceedance 31.01 mg/nm3 (limit 30)</t>
  </si>
  <si>
    <t>ID Fan Trip on bearing temperature - restarted</t>
  </si>
  <si>
    <t xml:space="preserve">Results from Bi Annual showed a breach of Dioxin and Furan Emmissions </t>
  </si>
  <si>
    <t>CEMS purge and Zero reference carried out.  Output then reading correctly</t>
  </si>
  <si>
    <t xml:space="preserve">The Plant was in burn down but had run out of LPG whilst in this operation. This was due to the timescale from plant start up to burn down which was unexpected. </t>
  </si>
  <si>
    <t>Minor Breach of VOC ELV.</t>
  </si>
  <si>
    <t>Minor Breach of CO/VOC ELV and permit  for availability of Gas Burner diring start up and shut down.</t>
  </si>
  <si>
    <t>Maintain grease levels on fan, applied secondary temp. cooling device</t>
  </si>
  <si>
    <t>Minor Breach of Dioxins and Furans ELV.</t>
  </si>
  <si>
    <t>Upon investigation it was found that the plant had tripped during the testing period which is likely to have given a false reading during sampling</t>
  </si>
  <si>
    <t>No further intervention or course of action was available due to the absence of sufficient LPG to complete the burn down process. The company engaged Calor gas to install an additional LPG storage Tank (actions due to be completed 2023).</t>
  </si>
  <si>
    <t>Minor Breach of CO ELV.</t>
  </si>
  <si>
    <t xml:space="preserve">Plant was in hot state following work on a fuel conveyor. A contractor accidentally activated an emergency stop – thus stopping the gas burner and all apparatus on plant. </t>
  </si>
  <si>
    <t xml:space="preserve">E stop was reset and plant immediately put back into start up process. </t>
  </si>
  <si>
    <t>The System had a plant trip due to draft pressure possibly caused by the Valve slam shut system, Fuel was off and the system was stablised (on Scada) and restarted, however as the spike was quite high the ½ reading hadn’t quite come into normal parameters before the fuel was initated resulting in the online ½ breach.</t>
  </si>
  <si>
    <t>Schedule 5 submitted after checking that the occurance happened during the trip from Running to Hot only and that no other issue was a part of the cause. Ruled as a one off occurance on the programme/ Valve and will be checked and monitored in case of re-occurance.</t>
  </si>
  <si>
    <t>The site has replaced Superheater 1 and 2, changed all filter bags and cages in the Baghouse and added load cells to the PAC System to improve monitoring of dosing.
We found that the Lagoon lining seemed to have become loose and decided to have it refitted and renewed.
Last year we had to tanker away the majority of our waste water but since June we have re-instated the Effluent Kiosk which allows us to discharge some of our wastes water to the river which is cost savings and due to the quality checks sfae for the environment.</t>
  </si>
  <si>
    <t>Occurred during plant transition to “running” from “hot” state</t>
  </si>
  <si>
    <t>Transition from hot to running is program/automatic controlled – as such sudden spikes or sharp rises in output are not usually foreseen.</t>
  </si>
  <si>
    <t>Ocurred during online calibartion of a boiler pressure sensor. Boiler over pressured and instantly reduced firing from 100 MCR to 29.</t>
  </si>
  <si>
    <t>Action of calibrating whilst on line to be prohibited – briefed out to the STL’s via Operations Manager.</t>
  </si>
  <si>
    <t xml:space="preserve">Ocurred whilst returning the plant to running from HOT state. FD fan tripped at 17.10pm resulting CO spike. </t>
  </si>
  <si>
    <t>In this instance the operator suspended fuel feed at 17.50pm to combat the high CO then re starting solid fuel feed at 18.31pm to continue the process of returning the plant to running state.</t>
  </si>
  <si>
    <t>Minor Breach of Particulates ELV - Offline</t>
  </si>
  <si>
    <t>19/07/2022 - 20/07/2022</t>
  </si>
  <si>
    <t xml:space="preserve">Level switch failure on fuel conveyor requiring drop of firing rate to rectfy fault. Firing rate reduced whilst switch repaired resulting in unexpected trip of oxidiser fan.    </t>
  </si>
  <si>
    <t>The Plant was already in Hot State due to issues with GF4 VFS/HFS and the Fuel Feed was already off but after checking the Offline data it showed a couple of spikes in the Particulates.</t>
  </si>
  <si>
    <t>The Plant was restarted and then experienced an issue witht ehfuel E-Stop and tripped the plant spiking the CO and VOC but then the particulates spiked whilst offline indicating a potential Burst bag in the baghouse again.</t>
  </si>
  <si>
    <t>The plant was restarted and had a large generation of syngas which took the Oxidizer fan and ID fan time to adjust and stablise  to normal running.</t>
  </si>
  <si>
    <t>Fuel feed had stopped due to fan trip. Fan has tripped before (no emission breach on that occassion) due to vibrations. Arranged for fan balance to be checked W/C 4th July as plant will be off for scheduled work.</t>
  </si>
  <si>
    <t>Investigated with C&amp;I to check that the readings were correct and he comfirmed that the cems readings seemed to be ok. That lead us to believe that there may be a leak in the baghouse. Offline Data</t>
  </si>
  <si>
    <t>Investigated with C&amp;I to check that the readings were correct and he comfirmed that the cems readings seemed to be ok. That lead us to believe that there may be a leak in the baghouse. Offline Data. 
The Baghouse was found to have a hole in Compartment 4 row 6 #1 and was changed. readings became &lt;1 so was resolved.</t>
  </si>
  <si>
    <t xml:space="preserve"> Offline Data. 
The Baghouse was found to have a hole in Compartment 4 row 4 #1 and was changed. readings became &lt;1 so was resolved.</t>
  </si>
  <si>
    <t xml:space="preserve">Offline Data. 
The business is engaged with the technology manufacturer regarding improved control of combustion processes whilst the plant is restarting – WOL to advise on progress. </t>
  </si>
  <si>
    <t xml:space="preserve"> Offline Data. 
The plant was restarting and we are trying our best to minimise this happening but it is sometimes unavoidable.</t>
  </si>
  <si>
    <t>Minor Breach of CO and VOC ELV - Offline</t>
  </si>
  <si>
    <t>Minor Breach of CO, VOC and Particulate ELV - Offline</t>
  </si>
  <si>
    <t xml:space="preserve">Minor Breach of CO ELV - Offline </t>
  </si>
  <si>
    <t>11/08/2022 - 12/08/2022</t>
  </si>
  <si>
    <t>Plant suffrered a trip of the gasification system at 12.00pm. Plant was returned to service but suffrered 4 x half hourly breach of CO.</t>
  </si>
  <si>
    <t>Plant suffrered a trip of the gasification system at 18.30pm. Plant was returned to service but suffered 2 x half hourly breach of CO and 1 half hourly breach of VOC’s</t>
  </si>
  <si>
    <t>Plant suffrered a trip of the gasification system at 16.40pm. Plant was returned to service but suffered 1 x half hourly breach of CO and 1 half hourly breach of VOC’s</t>
  </si>
  <si>
    <t>Plant trip due to a fault with control valve #2 on the turbine. This tripped the turbine resulting in an overpressure of the boiler.</t>
  </si>
  <si>
    <t>The Plant experienced an issue with the ACC Fans and overheating due to the Hot weather which tripped the plant spiking the CO and VOC .</t>
  </si>
  <si>
    <t>The Oxidizer Fan stopped and tripped the plant then became unavailable to run. After investigation it was found that the connector wires and some of the main cable was damaged and burnt. After midnight the Particulates spiked above the ELV.</t>
  </si>
  <si>
    <t xml:space="preserve">Plant tripped due to Baghouse differential causing ID fan to run hard. </t>
  </si>
  <si>
    <t>The boiler feedwater pumps both tripped resulting in an instant shutdown and that produced the spike emmission of CO.</t>
  </si>
  <si>
    <t>The Plant had been in Hot State for most of the day and when the gasification was restarted a spiked amount of CO and VOC occurred.</t>
  </si>
  <si>
    <t>Investigate the possibility of reprogramming the oxidiser air draft fan system to continue in service after a plant trip.</t>
  </si>
  <si>
    <t>Investigate the possibility of reprogramming the oxidiser air draft fan system to continue in service after a plant trip. This will combat the output of CO during a trip.</t>
  </si>
  <si>
    <t>Try as best as possible to reduce the load or assist the plant in maintaining the Vacuum whilst running the fans slower (however in severe weather Hot/Cold this will still be an issue even with best efforts as in this case)</t>
  </si>
  <si>
    <t>The Oxidizer Fan motor was being looked into to repair and the plant was in Hot state. (after particulate spike -  the lime dosing was turned off and the pac turned down to minimal.)</t>
  </si>
  <si>
    <t>Carousel cleaning on baghouse checked and baghouse clean.</t>
  </si>
  <si>
    <t>The best processes and controls are being looked into to ensure they are as effcient as possible to minimise recurring issues.</t>
  </si>
  <si>
    <t>Offline Data.
Try as best as possible to reduce the load or assist the plant in maintaining the Vacuum whilst running the fans slower (however in severe weather Hot/Cold this will still be an issue even with best efforts as in this case)</t>
  </si>
  <si>
    <t>Offline Data.
The Oxidizer Fan motor was being looked into to repair and the plant was in Hot state. (after particulate spike -  the lime dosing was turned off and the pac turned down to minimal.)</t>
  </si>
  <si>
    <t>Offline Data.
Carousel cleaning on baghouse checked and baghouse clean.</t>
  </si>
  <si>
    <t>Offline Data.
The best processes and controls are being looked into to ensure they are as effcient as possible to minimise recurring issues.</t>
  </si>
  <si>
    <t>Minor Breach of CO and Particulates ELV - Offline</t>
  </si>
  <si>
    <t>The Plant was running well but then had a surge in pressure resulting in an instant trip due to boiler overpressure which spiked the CO and VOC.</t>
  </si>
  <si>
    <t>Nexterra were performing disablement tests which after doing around 40+ one had shut off the Gasifier Damper and caused a trip due to high draft spiking the CO and VOC.</t>
  </si>
  <si>
    <t>Plant was placed into Hot State as we had some issues with The Turbine ESV Oil Block.
After the was initially placed into Hot State there  was a spike of CO and after the draft settled the Particulates increased (potentially another Burst Bag).</t>
  </si>
  <si>
    <t>The Particulates were reading high for a lot of the offline data of the day due to the potential burst bag and  placed the Offline Daily Average above the daily limit.</t>
  </si>
  <si>
    <t xml:space="preserve">Plant was in a restart process after a partial burndown and had a sudden spike in CO, the O2 had fallen to 2.5% in the Stack but this would normally be sufficient to combust the CO coming into the stack.            </t>
  </si>
  <si>
    <t>The plant was placed into Hot State to perform a repair to a Fuel Conveyor and the appropriate steps were taken but still produced some offline exceedances.</t>
  </si>
  <si>
    <t>The Plant was placed into Hot State and the STL couldn't operate the dampers to assist in preventing a breach</t>
  </si>
  <si>
    <t>Gasification restarted and ensured stable running before feeding fuel.</t>
  </si>
  <si>
    <t>Lime Dosing shut off as there is plenty of coating on the bags to eliminate HCL whilst in hot state.</t>
  </si>
  <si>
    <t>Lime Dosing shut off as there is plenty of coating on the bags to eliminate HCL whilst in hot state. This wasn't done soon enough to reduce the total daily average to below the limit.</t>
  </si>
  <si>
    <t>Continue to investigate with Nexterra if there is anything else that can be done to help prevent further breaches.</t>
  </si>
  <si>
    <t>Minor Breach of CO ELV - Offline</t>
  </si>
  <si>
    <t>The Plant had been placed into Hot State as GF1 MB screw had broken again and due to issues with the HFS on GF4 we were unable to run on 2 GF's.
After restarting we had some intial spikes of CO and VOC before the plant stabilised and fuel feeding was commenced.</t>
  </si>
  <si>
    <t>The Plant had been placed into Hot State as Disc Screen Motor B drive sprocket bearing securing bolts had failed. After restarting we had some intial spike of CO before the plant stabilised and fuel feeding was commenced.</t>
  </si>
  <si>
    <t>The Plant tripped following a PLC communication issue from the ACC kiosk (Instant trip if loss of signal)</t>
  </si>
  <si>
    <t>The Plant tripped following the system going high draft during an Ash dump and after restarting the GF air fans went straight to 80% causing a spike in CO.</t>
  </si>
  <si>
    <t>The Plant tripped following the system going high positive draft during an Ash dump causing a spike in CO.</t>
  </si>
  <si>
    <t>Just as the Turbine was about to synchronise the condenser suction fan tripped and tripped the Gasification.</t>
  </si>
  <si>
    <t>Communication error restored and checked.</t>
  </si>
  <si>
    <t>Contacted Nexterra to find out why the GF air fans jumped but appears to have been a minor glitch in the programme which has been resolved.</t>
  </si>
  <si>
    <t>Investigating current issues with GF Pile heights due to Radars being out of calibration.</t>
  </si>
  <si>
    <t>Fan reset and system stabilised then restarted.</t>
  </si>
  <si>
    <t>After the plant tripped due to and instrument fault that then surged GF1’s readings we restarted the gasification and the GF Air fans went straight up to 80% causing a surge in CO which breached the limits on the offline data.</t>
  </si>
  <si>
    <t>After performing a Full Ash Dump on GF1 the Gasification tripped on the Positive hard wired draft.</t>
  </si>
  <si>
    <t>After the investigation on GF1 hardwired draft the oxidizer fan tripped on restart producing a spike of CO.</t>
  </si>
  <si>
    <t xml:space="preserve">After repair of a leak on the Boiler Water sight glass, it was re-energised, during which produced a low level trip on the boiler safeties. </t>
  </si>
  <si>
    <t>During the O2 port cleaning routine the plant tripped due to low O2 and draft.</t>
  </si>
  <si>
    <t>During the investigation as to what happened this morning with the O2 which caused the plant trip, it tripped the plant again.</t>
  </si>
  <si>
    <t>Whilst restarting the plant from Hot state the Oxidizer Fan pressure switch PSL-300 activated tripping the plant and causing a surge in CO.</t>
  </si>
  <si>
    <t>Contacted Nexterra to try and investigate why the fans are ramping up in this way but from other feed back they don't do this all the time.</t>
  </si>
  <si>
    <t>Inspected trip point and seems to have gone early but will monitor and action further if we see a repeat.</t>
  </si>
  <si>
    <t>The Draft tripped on the hard wired switch before its set point, we investigated the transmitter which activated as expected and due to this changed the timer switch.</t>
  </si>
  <si>
    <t>This can sometimes happen during a restart where either a parameter drifts of part of the programme has a slight glitch.</t>
  </si>
  <si>
    <t>Found to be performed correctly- the only potential cause could have been performing the operation too quickly.</t>
  </si>
  <si>
    <t>After reading the shift log it appears that the sensor had gone into fault during operation but will need to be checked.</t>
  </si>
  <si>
    <t>Whislt investigating it appears that there is a fault that has developed on the programme. This issue was picked up during some of the disablement testing and was rectified but it appears to have changed back to previous programming. We will be contacting Nexterra to recfity this again.</t>
  </si>
  <si>
    <t>It is likely to be a slight differential that caused the switch to momentarily activate. If this issue persists we will action by checking calibration/replacing the unit.</t>
  </si>
  <si>
    <t>As often as required    Jan-Dec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</si>
</sst>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7" x14ac:knownFonts="1">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sz val="9"/>
      <name val="Arial"/>
      <family val="2"/>
    </font>
    <font>
      <sz val="9"/>
      <color rgb="FF000000"/>
      <name val="Arial"/>
      <family val="2"/>
    </font>
    <font>
      <b/>
      <sz val="9"/>
      <color theme="1"/>
      <name val="Arial"/>
      <family val="2"/>
    </font>
    <font>
      <b/>
      <sz val="12"/>
      <color rgb="FF000000"/>
      <name val="Arial"/>
      <family val="2"/>
    </font>
    <font>
      <b/>
      <sz val="12"/>
      <color rgb="FFFF0000"/>
      <name val="Arial"/>
      <family val="2"/>
    </font>
    <font>
      <u/>
      <sz val="11"/>
      <color theme="10"/>
      <name val="Calibri"/>
      <family val="2"/>
      <scheme val="minor"/>
    </font>
    <font>
      <b/>
      <sz val="11"/>
      <color rgb="FFFF0000"/>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5">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xf numFmtId="43" fontId="3" fillId="0" borderId="0" applyFont="0" applyFill="0" applyBorder="0" applyAlignment="0" applyProtection="0"/>
  </cellStyleXfs>
  <cellXfs count="391">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164" fontId="6" fillId="2" borderId="7" xfId="1" applyNumberFormat="1" applyFont="1" applyFill="1" applyBorder="1"/>
    <xf numFmtId="0" fontId="14" fillId="4" borderId="2" xfId="0" applyFont="1" applyFill="1" applyBorder="1" applyAlignment="1">
      <alignment horizontal="center" vertical="center" wrapText="1"/>
    </xf>
    <xf numFmtId="0" fontId="10" fillId="0" borderId="2" xfId="0" applyFont="1" applyBorder="1" applyAlignment="1">
      <alignment horizontal="center" vertical="center" wrapText="1"/>
    </xf>
    <xf numFmtId="0" fontId="2" fillId="2" borderId="2" xfId="0" applyFont="1" applyFill="1" applyBorder="1" applyAlignment="1">
      <alignment horizontal="center" vertical="center" wrapText="1"/>
    </xf>
    <xf numFmtId="0" fontId="2" fillId="0" borderId="2" xfId="0" applyFont="1" applyBorder="1" applyAlignment="1">
      <alignment horizontal="left" vertical="center" wrapText="1"/>
    </xf>
    <xf numFmtId="0" fontId="7" fillId="0" borderId="2" xfId="0" applyFont="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1" fillId="0" borderId="0" xfId="0" applyFont="1"/>
    <xf numFmtId="17" fontId="1" fillId="0" borderId="0" xfId="0" applyNumberFormat="1" applyFont="1"/>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2" fillId="2" borderId="2" xfId="0" applyFont="1" applyFill="1" applyBorder="1" applyAlignment="1">
      <alignment horizontal="center"/>
    </xf>
    <xf numFmtId="0" fontId="2" fillId="2" borderId="2" xfId="0" applyFont="1" applyFill="1" applyBorder="1" applyAlignment="1">
      <alignment horizontal="center" vertical="top"/>
    </xf>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2" fillId="0" borderId="0" xfId="0" applyFont="1"/>
    <xf numFmtId="0" fontId="2" fillId="0" borderId="0" xfId="0" applyFont="1" applyAlignment="1">
      <alignment horizontal="center"/>
    </xf>
    <xf numFmtId="0" fontId="2" fillId="0" borderId="3"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vertical="center"/>
    </xf>
    <xf numFmtId="164" fontId="2" fillId="2" borderId="7" xfId="1" applyNumberFormat="1" applyFont="1" applyFill="1" applyBorder="1" applyAlignment="1">
      <alignment horizontal="center"/>
    </xf>
    <xf numFmtId="165" fontId="2" fillId="0" borderId="8" xfId="2" applyNumberFormat="1" applyFont="1" applyBorder="1" applyAlignment="1">
      <alignment horizontal="center"/>
    </xf>
    <xf numFmtId="0" fontId="2" fillId="0" borderId="9" xfId="0" applyFont="1" applyBorder="1" applyAlignment="1">
      <alignment vertical="center"/>
    </xf>
    <xf numFmtId="164" fontId="2" fillId="2" borderId="0" xfId="1" applyNumberFormat="1" applyFont="1" applyFill="1" applyBorder="1" applyAlignment="1">
      <alignment horizontal="center"/>
    </xf>
    <xf numFmtId="165" fontId="2" fillId="0" borderId="10" xfId="2" applyNumberFormat="1" applyFont="1" applyBorder="1" applyAlignment="1">
      <alignment horizontal="center"/>
    </xf>
    <xf numFmtId="0" fontId="2" fillId="7" borderId="9" xfId="0" applyFont="1" applyFill="1" applyBorder="1" applyAlignment="1">
      <alignment vertical="center"/>
    </xf>
    <xf numFmtId="165" fontId="2" fillId="0" borderId="10" xfId="2" applyNumberFormat="1" applyFont="1" applyFill="1" applyBorder="1" applyAlignment="1">
      <alignment horizontal="center"/>
    </xf>
    <xf numFmtId="0" fontId="2" fillId="0" borderId="12" xfId="0" applyFont="1" applyBorder="1" applyAlignment="1">
      <alignment horizontal="center" vertical="center" textRotation="90"/>
    </xf>
    <xf numFmtId="165" fontId="2" fillId="0" borderId="13" xfId="2" applyNumberFormat="1"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6" xfId="0" applyFont="1" applyBorder="1"/>
    <xf numFmtId="164" fontId="2" fillId="0" borderId="8" xfId="0" applyNumberFormat="1" applyFont="1" applyBorder="1" applyAlignment="1">
      <alignment horizontal="center"/>
    </xf>
    <xf numFmtId="0" fontId="2" fillId="0" borderId="9" xfId="0" applyFont="1" applyBorder="1"/>
    <xf numFmtId="164" fontId="2" fillId="2" borderId="0" xfId="1" applyNumberFormat="1" applyFont="1" applyFill="1" applyAlignment="1">
      <alignment horizontal="center"/>
    </xf>
    <xf numFmtId="164" fontId="2" fillId="0" borderId="10" xfId="0" applyNumberFormat="1" applyFont="1" applyBorder="1" applyAlignment="1">
      <alignment horizontal="center"/>
    </xf>
    <xf numFmtId="0" fontId="2" fillId="0" borderId="0" xfId="0" applyFont="1" applyAlignment="1">
      <alignment horizontal="center" vertical="center"/>
    </xf>
    <xf numFmtId="165" fontId="2" fillId="0" borderId="0" xfId="2" applyNumberFormat="1" applyFont="1" applyAlignment="1">
      <alignment horizontal="center" vertical="center"/>
    </xf>
    <xf numFmtId="0" fontId="2" fillId="0" borderId="11" xfId="0" applyFont="1" applyBorder="1"/>
    <xf numFmtId="0" fontId="2" fillId="0" borderId="12" xfId="0" applyFont="1" applyBorder="1"/>
    <xf numFmtId="0" fontId="2" fillId="0" borderId="6" xfId="0" applyFont="1" applyBorder="1" applyAlignment="1">
      <alignment horizontal="center" vertical="center"/>
    </xf>
    <xf numFmtId="0" fontId="2" fillId="0" borderId="8" xfId="0" quotePrefix="1" applyFont="1" applyBorder="1" applyAlignment="1">
      <alignment horizontal="center"/>
    </xf>
    <xf numFmtId="0" fontId="2" fillId="2" borderId="9" xfId="0" applyFont="1" applyFill="1" applyBorder="1"/>
    <xf numFmtId="0" fontId="2" fillId="2" borderId="11" xfId="0" applyFont="1" applyFill="1" applyBorder="1"/>
    <xf numFmtId="164" fontId="2" fillId="2" borderId="12" xfId="1" applyNumberFormat="1" applyFont="1" applyFill="1" applyBorder="1" applyAlignment="1">
      <alignment horizontal="center"/>
    </xf>
    <xf numFmtId="0" fontId="2" fillId="0" borderId="3" xfId="0" applyFont="1" applyBorder="1" applyAlignment="1">
      <alignment horizontal="center" vertical="center"/>
    </xf>
    <xf numFmtId="43" fontId="2" fillId="0" borderId="10" xfId="0" applyNumberFormat="1" applyFont="1" applyBorder="1" applyAlignment="1">
      <alignment horizontal="center" vertical="center"/>
    </xf>
    <xf numFmtId="43" fontId="2" fillId="5" borderId="10" xfId="0" applyNumberFormat="1" applyFont="1" applyFill="1" applyBorder="1" applyAlignment="1">
      <alignment horizontal="center" vertical="center"/>
    </xf>
    <xf numFmtId="0" fontId="2" fillId="2" borderId="12" xfId="0" applyFont="1" applyFill="1" applyBorder="1" applyAlignment="1">
      <alignment horizontal="center" vertical="center"/>
    </xf>
    <xf numFmtId="43" fontId="2" fillId="5" borderId="13" xfId="0" applyNumberFormat="1" applyFont="1" applyFill="1" applyBorder="1" applyAlignment="1">
      <alignment horizontal="center" vertical="center"/>
    </xf>
    <xf numFmtId="0" fontId="2" fillId="0" borderId="6" xfId="0" applyFont="1" applyBorder="1" applyAlignment="1">
      <alignment horizontal="center"/>
    </xf>
    <xf numFmtId="165" fontId="2" fillId="0" borderId="10" xfId="2" quotePrefix="1" applyNumberFormat="1" applyFont="1" applyBorder="1" applyAlignment="1">
      <alignment horizontal="center"/>
    </xf>
    <xf numFmtId="10" fontId="2" fillId="0" borderId="10" xfId="2"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1" fillId="0" borderId="0" xfId="0" applyFont="1" applyAlignment="1">
      <alignment vertical="top" wrapText="1"/>
    </xf>
    <xf numFmtId="0" fontId="2" fillId="0" borderId="0" xfId="0" applyFont="1" applyAlignment="1">
      <alignment vertical="center"/>
    </xf>
    <xf numFmtId="4" fontId="2" fillId="0" borderId="2" xfId="0" applyNumberFormat="1" applyFont="1" applyBorder="1" applyAlignment="1">
      <alignment horizontal="center" vertical="center" wrapText="1"/>
    </xf>
    <xf numFmtId="4" fontId="2" fillId="2" borderId="2" xfId="0" applyNumberFormat="1" applyFont="1" applyFill="1" applyBorder="1" applyAlignment="1">
      <alignment horizontal="center" vertical="center" wrapText="1"/>
    </xf>
    <xf numFmtId="0" fontId="2" fillId="2" borderId="2" xfId="0" applyFont="1" applyFill="1" applyBorder="1" applyAlignment="1">
      <alignment vertical="center" wrapText="1"/>
    </xf>
    <xf numFmtId="0" fontId="1" fillId="2" borderId="2" xfId="0" applyFont="1" applyFill="1" applyBorder="1"/>
    <xf numFmtId="0" fontId="2" fillId="0" borderId="2" xfId="0" applyFont="1" applyBorder="1" applyAlignment="1">
      <alignment horizontal="center" vertical="center" wrapText="1"/>
    </xf>
    <xf numFmtId="0" fontId="2" fillId="2" borderId="2" xfId="0" applyFont="1" applyFill="1" applyBorder="1" applyAlignment="1">
      <alignment horizontal="left"/>
    </xf>
    <xf numFmtId="9" fontId="2" fillId="0" borderId="2" xfId="0" applyNumberFormat="1" applyFont="1" applyBorder="1" applyAlignment="1">
      <alignment horizontal="center" vertical="center" wrapText="1"/>
    </xf>
    <xf numFmtId="0" fontId="2" fillId="5" borderId="2" xfId="0" applyFont="1" applyFill="1" applyBorder="1" applyAlignment="1">
      <alignment horizontal="center" vertical="center" wrapText="1"/>
    </xf>
    <xf numFmtId="0" fontId="2" fillId="0" borderId="2" xfId="0" applyFont="1" applyBorder="1" applyAlignment="1">
      <alignment horizontal="center"/>
    </xf>
    <xf numFmtId="0" fontId="2" fillId="0" borderId="2" xfId="0" applyFont="1" applyBorder="1" applyAlignment="1">
      <alignment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0" fontId="2" fillId="5" borderId="1" xfId="0" applyFont="1" applyFill="1" applyBorder="1" applyAlignment="1">
      <alignment horizontal="center" vertical="center" wrapText="1"/>
    </xf>
    <xf numFmtId="0" fontId="34" fillId="0" borderId="0" xfId="0" applyFont="1"/>
    <xf numFmtId="0" fontId="36" fillId="0" borderId="0" xfId="0" applyFont="1"/>
    <xf numFmtId="166" fontId="2" fillId="2" borderId="0" xfId="1" applyNumberFormat="1" applyFont="1" applyFill="1" applyAlignment="1">
      <alignment horizontal="center"/>
    </xf>
    <xf numFmtId="0" fontId="18" fillId="0" borderId="3" xfId="0" applyFont="1" applyBorder="1" applyAlignment="1">
      <alignment horizontal="center" vertical="center" wrapText="1"/>
    </xf>
    <xf numFmtId="164" fontId="2" fillId="0" borderId="7" xfId="1" applyNumberFormat="1" applyFont="1" applyFill="1" applyBorder="1" applyAlignment="1">
      <alignment horizontal="center"/>
    </xf>
    <xf numFmtId="164" fontId="2" fillId="0" borderId="0" xfId="1" applyNumberFormat="1" applyFont="1" applyFill="1" applyBorder="1" applyAlignment="1">
      <alignment horizontal="center"/>
    </xf>
    <xf numFmtId="164" fontId="2" fillId="0" borderId="0" xfId="1" applyNumberFormat="1" applyFont="1" applyFill="1" applyAlignment="1">
      <alignment horizontal="center"/>
    </xf>
    <xf numFmtId="0" fontId="5" fillId="0" borderId="0" xfId="0" applyFont="1" applyAlignment="1">
      <alignment horizontal="center"/>
    </xf>
    <xf numFmtId="49" fontId="2" fillId="5" borderId="2" xfId="0" applyNumberFormat="1" applyFont="1" applyFill="1" applyBorder="1" applyAlignment="1">
      <alignment horizontal="center" vertical="center" wrapText="1"/>
    </xf>
    <xf numFmtId="164" fontId="2" fillId="5" borderId="12" xfId="1" applyNumberFormat="1" applyFont="1" applyFill="1" applyBorder="1" applyAlignment="1">
      <alignment horizontal="center"/>
    </xf>
    <xf numFmtId="14" fontId="2" fillId="2" borderId="2" xfId="0" applyNumberFormat="1" applyFont="1" applyFill="1" applyBorder="1" applyAlignment="1">
      <alignment horizontal="left" wrapText="1"/>
    </xf>
    <xf numFmtId="0" fontId="22" fillId="0" borderId="0" xfId="0" applyFont="1" applyAlignment="1">
      <alignment horizontal="left" wrapText="1"/>
    </xf>
    <xf numFmtId="0" fontId="8" fillId="2" borderId="0" xfId="0" applyFont="1" applyFill="1" applyAlignment="1">
      <alignment horizontal="center"/>
    </xf>
    <xf numFmtId="0" fontId="1" fillId="2" borderId="0" xfId="0" applyFont="1" applyFill="1" applyAlignment="1">
      <alignment horizontal="center" vertical="center"/>
    </xf>
    <xf numFmtId="0" fontId="1" fillId="2" borderId="0" xfId="0" applyFont="1" applyFill="1" applyAlignment="1">
      <alignment horizontal="center"/>
    </xf>
    <xf numFmtId="14" fontId="1" fillId="2" borderId="0" xfId="0" applyNumberFormat="1" applyFont="1" applyFill="1" applyAlignment="1">
      <alignment horizontal="center"/>
    </xf>
    <xf numFmtId="0" fontId="35"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2"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2" fillId="2" borderId="2" xfId="0" applyFont="1" applyFill="1" applyBorder="1" applyAlignment="1">
      <alignment horizontal="left"/>
    </xf>
    <xf numFmtId="0" fontId="10" fillId="0" borderId="2" xfId="0" applyFont="1" applyBorder="1" applyAlignment="1">
      <alignment horizontal="left" vertical="top"/>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2" fillId="2" borderId="6" xfId="0" applyFont="1" applyFill="1" applyBorder="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0" fontId="2" fillId="2" borderId="7"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13" xfId="0" applyFont="1" applyFill="1" applyBorder="1" applyAlignment="1">
      <alignment horizontal="left" vertical="top"/>
    </xf>
    <xf numFmtId="0" fontId="1" fillId="0" borderId="0" xfId="0" applyFont="1" applyAlignment="1">
      <alignment horizontal="left" vertical="top" wrapText="1"/>
    </xf>
    <xf numFmtId="164" fontId="6" fillId="2" borderId="7" xfId="1" applyNumberFormat="1" applyFont="1" applyFill="1" applyBorder="1" applyAlignment="1"/>
    <xf numFmtId="0" fontId="2" fillId="0" borderId="7" xfId="0" applyFont="1" applyBorder="1" applyAlignment="1">
      <alignment horizontal="center" vertical="center" textRotation="90"/>
    </xf>
    <xf numFmtId="0" fontId="2" fillId="0" borderId="0" xfId="0" applyFont="1" applyAlignment="1">
      <alignment horizontal="center" vertical="center" textRotation="90"/>
    </xf>
    <xf numFmtId="0" fontId="2" fillId="0" borderId="0" xfId="0" applyFont="1" applyAlignment="1">
      <alignment horizontal="center" textRotation="90"/>
    </xf>
    <xf numFmtId="0" fontId="2" fillId="0" borderId="6" xfId="0" applyFont="1" applyBorder="1" applyAlignment="1">
      <alignment horizontal="left" vertical="center" wrapText="1"/>
    </xf>
    <xf numFmtId="0" fontId="2"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2" fillId="0" borderId="12" xfId="0" applyFont="1" applyBorder="1" applyAlignment="1">
      <alignment horizontal="center" vertical="center" textRotation="90"/>
    </xf>
    <xf numFmtId="43" fontId="2" fillId="2" borderId="12" xfId="1" applyFont="1" applyFill="1" applyBorder="1" applyAlignment="1">
      <alignment horizontal="center"/>
    </xf>
    <xf numFmtId="166" fontId="2" fillId="2" borderId="12" xfId="0" applyNumberFormat="1" applyFont="1" applyFill="1" applyBorder="1" applyAlignment="1">
      <alignment horizontal="center"/>
    </xf>
    <xf numFmtId="166" fontId="2" fillId="2" borderId="13" xfId="0" applyNumberFormat="1" applyFont="1" applyFill="1" applyBorder="1" applyAlignment="1">
      <alignment horizontal="center"/>
    </xf>
    <xf numFmtId="0" fontId="2" fillId="0" borderId="2" xfId="0" applyFont="1" applyBorder="1" applyAlignment="1">
      <alignment horizontal="left" vertical="center" wrapText="1"/>
    </xf>
    <xf numFmtId="0" fontId="2" fillId="2" borderId="2" xfId="0" applyFont="1" applyFill="1" applyBorder="1" applyAlignment="1">
      <alignment horizontal="center" vertical="center" wrapText="1"/>
    </xf>
    <xf numFmtId="168" fontId="2" fillId="2" borderId="1" xfId="0" applyNumberFormat="1" applyFont="1" applyFill="1" applyBorder="1" applyAlignment="1">
      <alignment horizontal="center" vertical="center" wrapText="1"/>
    </xf>
    <xf numFmtId="165" fontId="2" fillId="0" borderId="1" xfId="2"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4"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14" xfId="0" applyFont="1" applyBorder="1" applyAlignment="1">
      <alignment vertical="center" wrapText="1"/>
    </xf>
    <xf numFmtId="0" fontId="2" fillId="0" borderId="1" xfId="0" applyFont="1" applyBorder="1" applyAlignment="1">
      <alignment vertical="center" wrapText="1"/>
    </xf>
    <xf numFmtId="168" fontId="2" fillId="0" borderId="1" xfId="0" applyNumberFormat="1" applyFont="1" applyBorder="1" applyAlignment="1">
      <alignment horizontal="center" vertical="center" wrapText="1"/>
    </xf>
    <xf numFmtId="0" fontId="2" fillId="0" borderId="2" xfId="0" applyFont="1" applyBorder="1" applyAlignment="1">
      <alignment horizontal="center" vertical="center" wrapText="1"/>
    </xf>
    <xf numFmtId="0" fontId="2" fillId="2" borderId="2" xfId="0" applyFont="1" applyFill="1" applyBorder="1" applyAlignment="1">
      <alignment vertical="center" wrapText="1"/>
    </xf>
    <xf numFmtId="0" fontId="2" fillId="0" borderId="2" xfId="0" applyFont="1" applyBorder="1" applyAlignment="1">
      <alignmen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2" fillId="0" borderId="5" xfId="0" applyFont="1" applyBorder="1" applyAlignment="1">
      <alignment horizontal="left" vertical="center" wrapText="1"/>
    </xf>
    <xf numFmtId="0" fontId="2" fillId="0" borderId="3" xfId="0"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2"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3" fontId="2" fillId="0" borderId="2" xfId="0" applyNumberFormat="1" applyFont="1" applyBorder="1" applyAlignment="1">
      <alignment horizontal="center" vertical="center" wrapText="1"/>
    </xf>
    <xf numFmtId="1" fontId="2" fillId="0" borderId="2" xfId="0" applyNumberFormat="1" applyFont="1" applyBorder="1" applyAlignment="1">
      <alignment horizontal="center" vertical="center"/>
    </xf>
    <xf numFmtId="0" fontId="2" fillId="5" borderId="2" xfId="0" applyFont="1" applyFill="1" applyBorder="1" applyAlignment="1">
      <alignment horizontal="center" vertical="center" wrapText="1"/>
    </xf>
    <xf numFmtId="0" fontId="2" fillId="2" borderId="2" xfId="0" applyFont="1" applyFill="1" applyBorder="1" applyAlignment="1">
      <alignment horizontal="left" vertical="top" wrapText="1"/>
    </xf>
    <xf numFmtId="0" fontId="2" fillId="2" borderId="3" xfId="0" applyFont="1" applyFill="1" applyBorder="1" applyAlignment="1">
      <alignment horizontal="left" wrapText="1"/>
    </xf>
    <xf numFmtId="0" fontId="2" fillId="2" borderId="4" xfId="0" applyFont="1" applyFill="1" applyBorder="1" applyAlignment="1">
      <alignment horizontal="left" wrapText="1"/>
    </xf>
    <xf numFmtId="0" fontId="2" fillId="2" borderId="5" xfId="0" applyFont="1" applyFill="1" applyBorder="1" applyAlignment="1">
      <alignment horizontal="left" wrapText="1"/>
    </xf>
    <xf numFmtId="0" fontId="2" fillId="2" borderId="2" xfId="0" applyFont="1" applyFill="1" applyBorder="1" applyAlignment="1">
      <alignment horizontal="left" wrapText="1"/>
    </xf>
    <xf numFmtId="0" fontId="2" fillId="2" borderId="3" xfId="0" applyFont="1" applyFill="1" applyBorder="1" applyAlignment="1">
      <alignment horizontal="center" wrapText="1"/>
    </xf>
    <xf numFmtId="0" fontId="2" fillId="2" borderId="5" xfId="0" applyFont="1" applyFill="1" applyBorder="1" applyAlignment="1">
      <alignment horizontal="center" wrapText="1"/>
    </xf>
    <xf numFmtId="0" fontId="7" fillId="0" borderId="2" xfId="0" applyFont="1" applyBorder="1" applyAlignment="1">
      <alignment horizontal="center" vertical="center"/>
    </xf>
    <xf numFmtId="0" fontId="10" fillId="0" borderId="3"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0" fontId="2" fillId="2"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2" fillId="2" borderId="3" xfId="0" applyFont="1" applyFill="1" applyBorder="1" applyAlignment="1">
      <alignment horizontal="left"/>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2" borderId="6" xfId="0" applyFont="1" applyFill="1" applyBorder="1" applyAlignment="1">
      <alignment horizontal="left" vertical="top"/>
    </xf>
    <xf numFmtId="14" fontId="2" fillId="2" borderId="6" xfId="0" applyNumberFormat="1" applyFont="1" applyFill="1" applyBorder="1" applyAlignment="1">
      <alignment horizontal="left" vertical="top" wrapText="1"/>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2" fillId="6" borderId="16" xfId="0" applyFont="1" applyFill="1" applyBorder="1" applyAlignment="1">
      <alignment horizontal="center" vertical="center" wrapText="1"/>
    </xf>
    <xf numFmtId="0" fontId="2" fillId="6" borderId="17"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2" fillId="5" borderId="6"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5" borderId="8" xfId="0" applyFont="1" applyFill="1" applyBorder="1" applyAlignment="1">
      <alignment horizontal="center" vertical="center" wrapText="1"/>
    </xf>
    <xf numFmtId="0" fontId="2" fillId="5" borderId="4" xfId="0" applyFont="1" applyFill="1" applyBorder="1" applyAlignment="1">
      <alignment horizontal="center" vertical="center" wrapText="1"/>
    </xf>
    <xf numFmtId="0" fontId="2" fillId="2" borderId="3" xfId="0" applyFont="1" applyFill="1" applyBorder="1" applyAlignment="1">
      <alignment horizontal="left" vertical="top" wrapText="1"/>
    </xf>
    <xf numFmtId="0" fontId="2" fillId="2" borderId="4" xfId="0" applyFont="1" applyFill="1" applyBorder="1" applyAlignment="1">
      <alignment horizontal="left" vertical="top" wrapText="1"/>
    </xf>
    <xf numFmtId="0" fontId="2" fillId="2" borderId="5" xfId="0" applyFont="1" applyFill="1" applyBorder="1" applyAlignment="1">
      <alignment horizontal="left" vertical="top"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14" fontId="2" fillId="2" borderId="3" xfId="0" applyNumberFormat="1"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0" xfId="0" applyFont="1" applyFill="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23" fillId="0" borderId="0" xfId="0" applyFont="1" applyAlignment="1">
      <alignment horizontal="left" vertical="top" wrapText="1"/>
    </xf>
    <xf numFmtId="0" fontId="6" fillId="2" borderId="6"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14" fontId="2" fillId="7" borderId="2" xfId="0" applyNumberFormat="1" applyFont="1" applyFill="1" applyBorder="1" applyAlignment="1">
      <alignment horizontal="left" wrapText="1"/>
    </xf>
    <xf numFmtId="49" fontId="0" fillId="2" borderId="2" xfId="0" applyNumberFormat="1" applyFill="1" applyBorder="1" applyAlignment="1">
      <alignment horizontal="left" wrapText="1"/>
    </xf>
    <xf numFmtId="14" fontId="0" fillId="2" borderId="2" xfId="0" applyNumberFormat="1" applyFill="1" applyBorder="1" applyAlignment="1">
      <alignment wrapText="1"/>
    </xf>
    <xf numFmtId="14" fontId="0" fillId="2" borderId="0" xfId="0" applyNumberFormat="1" applyFill="1"/>
    <xf numFmtId="14" fontId="0" fillId="2" borderId="2" xfId="0" applyNumberFormat="1" applyFill="1" applyBorder="1" applyAlignment="1">
      <alignment horizontal="left"/>
    </xf>
    <xf numFmtId="14" fontId="0" fillId="2" borderId="2" xfId="0" applyNumberFormat="1" applyFill="1" applyBorder="1" applyAlignment="1">
      <alignment horizontal="left" wrapText="1"/>
    </xf>
    <xf numFmtId="14" fontId="0" fillId="2" borderId="2" xfId="0" applyNumberFormat="1" applyFill="1" applyBorder="1"/>
    <xf numFmtId="10" fontId="2" fillId="2" borderId="2" xfId="0" applyNumberFormat="1" applyFont="1" applyFill="1" applyBorder="1" applyAlignment="1">
      <alignment horizontal="center" vertical="center"/>
    </xf>
    <xf numFmtId="9" fontId="2" fillId="2" borderId="2"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9" fontId="2" fillId="2" borderId="3" xfId="0" applyNumberFormat="1" applyFont="1" applyFill="1" applyBorder="1" applyAlignment="1">
      <alignment horizontal="center" vertical="center"/>
    </xf>
    <xf numFmtId="10" fontId="2" fillId="2" borderId="2" xfId="0" applyNumberFormat="1" applyFont="1" applyFill="1" applyBorder="1" applyAlignment="1">
      <alignment horizontal="center" vertical="center" wrapText="1"/>
    </xf>
  </cellXfs>
  <cellStyles count="5">
    <cellStyle name="Comma" xfId="1" builtinId="3"/>
    <cellStyle name="Comma 2" xfId="4" xr:uid="{349DD790-C293-464D-902B-D15D3C5FA40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90</c:v>
                </c:pt>
                <c:pt idx="1">
                  <c:v>90</c:v>
                </c:pt>
                <c:pt idx="2">
                  <c:v>90</c:v>
                </c:pt>
                <c:pt idx="3">
                  <c:v>90</c:v>
                </c:pt>
                <c:pt idx="4">
                  <c:v>90</c:v>
                </c:pt>
                <c:pt idx="5">
                  <c:v>90</c:v>
                </c:pt>
                <c:pt idx="6">
                  <c:v>90</c:v>
                </c:pt>
                <c:pt idx="7">
                  <c:v>90</c:v>
                </c:pt>
                <c:pt idx="8">
                  <c:v>90</c:v>
                </c:pt>
                <c:pt idx="9">
                  <c:v>90</c:v>
                </c:pt>
                <c:pt idx="10">
                  <c:v>90</c:v>
                </c:pt>
                <c:pt idx="11">
                  <c:v>90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11</c:v>
                </c:pt>
                <c:pt idx="1">
                  <c:v>13</c:v>
                </c:pt>
                <c:pt idx="2">
                  <c:v>12</c:v>
                </c:pt>
                <c:pt idx="3">
                  <c:v>12</c:v>
                </c:pt>
                <c:pt idx="4">
                  <c:v>12</c:v>
                </c:pt>
                <c:pt idx="5">
                  <c:v>12</c:v>
                </c:pt>
                <c:pt idx="6">
                  <c:v>7</c:v>
                </c:pt>
                <c:pt idx="7">
                  <c:v>9</c:v>
                </c:pt>
                <c:pt idx="8">
                  <c:v>12</c:v>
                </c:pt>
                <c:pt idx="9">
                  <c:v>6</c:v>
                </c:pt>
                <c:pt idx="10">
                  <c:v>5</c:v>
                </c:pt>
                <c:pt idx="11">
                  <c:v>11</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22</c:v>
                </c:pt>
                <c:pt idx="1">
                  <c:v>30</c:v>
                </c:pt>
                <c:pt idx="2">
                  <c:v>36</c:v>
                </c:pt>
                <c:pt idx="3">
                  <c:v>26</c:v>
                </c:pt>
                <c:pt idx="4">
                  <c:v>43</c:v>
                </c:pt>
                <c:pt idx="5">
                  <c:v>26</c:v>
                </c:pt>
                <c:pt idx="6">
                  <c:v>39</c:v>
                </c:pt>
                <c:pt idx="7">
                  <c:v>26</c:v>
                </c:pt>
                <c:pt idx="8">
                  <c:v>27</c:v>
                </c:pt>
                <c:pt idx="9">
                  <c:v>41</c:v>
                </c:pt>
                <c:pt idx="10">
                  <c:v>27</c:v>
                </c:pt>
                <c:pt idx="11">
                  <c:v>26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11.5</c:v>
                </c:pt>
                <c:pt idx="1">
                  <c:v>12.61</c:v>
                </c:pt>
                <c:pt idx="2">
                  <c:v>12.3</c:v>
                </c:pt>
                <c:pt idx="3">
                  <c:v>12.33</c:v>
                </c:pt>
                <c:pt idx="4">
                  <c:v>11.67</c:v>
                </c:pt>
                <c:pt idx="5">
                  <c:v>12.28</c:v>
                </c:pt>
                <c:pt idx="6">
                  <c:v>7.26</c:v>
                </c:pt>
                <c:pt idx="7">
                  <c:v>8.5500000000000007</c:v>
                </c:pt>
                <c:pt idx="8">
                  <c:v>11.43</c:v>
                </c:pt>
                <c:pt idx="9">
                  <c:v>11.5</c:v>
                </c:pt>
                <c:pt idx="10">
                  <c:v>5.22</c:v>
                </c:pt>
                <c:pt idx="11">
                  <c:v>13.68</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14</c:v>
                </c:pt>
                <c:pt idx="1">
                  <c:v>15</c:v>
                </c:pt>
                <c:pt idx="2">
                  <c:v>14</c:v>
                </c:pt>
                <c:pt idx="3">
                  <c:v>13</c:v>
                </c:pt>
                <c:pt idx="4">
                  <c:v>15</c:v>
                </c:pt>
                <c:pt idx="5">
                  <c:v>15</c:v>
                </c:pt>
                <c:pt idx="6">
                  <c:v>13</c:v>
                </c:pt>
                <c:pt idx="7">
                  <c:v>14</c:v>
                </c:pt>
                <c:pt idx="8">
                  <c:v>14</c:v>
                </c:pt>
                <c:pt idx="9">
                  <c:v>15</c:v>
                </c:pt>
                <c:pt idx="10">
                  <c:v>12</c:v>
                </c:pt>
                <c:pt idx="11">
                  <c:v>14</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11390368"/>
        <c:axId val="311390760"/>
      </c:lineChart>
      <c:catAx>
        <c:axId val="311390368"/>
        <c:scaling>
          <c:orientation val="minMax"/>
        </c:scaling>
        <c:delete val="0"/>
        <c:axPos val="b"/>
        <c:numFmt formatCode="General" sourceLinked="1"/>
        <c:majorTickMark val="out"/>
        <c:minorTickMark val="none"/>
        <c:tickLblPos val="nextTo"/>
        <c:crossAx val="311390760"/>
        <c:crosses val="autoZero"/>
        <c:auto val="1"/>
        <c:lblAlgn val="ctr"/>
        <c:lblOffset val="100"/>
        <c:noMultiLvlLbl val="0"/>
      </c:catAx>
      <c:valAx>
        <c:axId val="3113907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036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28</c:v>
                </c:pt>
                <c:pt idx="1">
                  <c:v>28</c:v>
                </c:pt>
                <c:pt idx="2">
                  <c:v>35</c:v>
                </c:pt>
                <c:pt idx="3">
                  <c:v>26</c:v>
                </c:pt>
                <c:pt idx="4">
                  <c:v>33</c:v>
                </c:pt>
                <c:pt idx="5">
                  <c:v>35</c:v>
                </c:pt>
                <c:pt idx="6">
                  <c:v>9</c:v>
                </c:pt>
                <c:pt idx="7">
                  <c:v>34</c:v>
                </c:pt>
                <c:pt idx="8">
                  <c:v>42</c:v>
                </c:pt>
                <c:pt idx="9">
                  <c:v>10</c:v>
                </c:pt>
                <c:pt idx="10">
                  <c:v>26</c:v>
                </c:pt>
                <c:pt idx="11">
                  <c:v>55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69</c:v>
                </c:pt>
                <c:pt idx="1">
                  <c:v>135</c:v>
                </c:pt>
                <c:pt idx="2">
                  <c:v>73</c:v>
                </c:pt>
                <c:pt idx="3">
                  <c:v>44</c:v>
                </c:pt>
                <c:pt idx="4">
                  <c:v>104</c:v>
                </c:pt>
                <c:pt idx="5">
                  <c:v>65</c:v>
                </c:pt>
                <c:pt idx="6">
                  <c:v>175</c:v>
                </c:pt>
                <c:pt idx="7">
                  <c:v>96</c:v>
                </c:pt>
                <c:pt idx="8">
                  <c:v>66</c:v>
                </c:pt>
                <c:pt idx="9">
                  <c:v>127</c:v>
                </c:pt>
                <c:pt idx="10">
                  <c:v>77</c:v>
                </c:pt>
                <c:pt idx="11">
                  <c:v>89</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75</c:v>
                </c:pt>
                <c:pt idx="1">
                  <c:v>75</c:v>
                </c:pt>
                <c:pt idx="2">
                  <c:v>75</c:v>
                </c:pt>
                <c:pt idx="3">
                  <c:v>75</c:v>
                </c:pt>
                <c:pt idx="4">
                  <c:v>75</c:v>
                </c:pt>
                <c:pt idx="5">
                  <c:v>75</c:v>
                </c:pt>
                <c:pt idx="6">
                  <c:v>75</c:v>
                </c:pt>
                <c:pt idx="7">
                  <c:v>75</c:v>
                </c:pt>
                <c:pt idx="8">
                  <c:v>75</c:v>
                </c:pt>
                <c:pt idx="9">
                  <c:v>75</c:v>
                </c:pt>
                <c:pt idx="10">
                  <c:v>75</c:v>
                </c:pt>
                <c:pt idx="11">
                  <c:v>75</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28.14</c:v>
                </c:pt>
                <c:pt idx="1">
                  <c:v>28.43</c:v>
                </c:pt>
                <c:pt idx="2">
                  <c:v>35.25</c:v>
                </c:pt>
                <c:pt idx="3">
                  <c:v>25.78</c:v>
                </c:pt>
                <c:pt idx="4">
                  <c:v>32.5</c:v>
                </c:pt>
                <c:pt idx="5">
                  <c:v>35.07</c:v>
                </c:pt>
                <c:pt idx="6">
                  <c:v>24.16</c:v>
                </c:pt>
                <c:pt idx="7">
                  <c:v>34.06</c:v>
                </c:pt>
                <c:pt idx="8">
                  <c:v>41.83</c:v>
                </c:pt>
                <c:pt idx="9">
                  <c:v>38.21</c:v>
                </c:pt>
                <c:pt idx="10">
                  <c:v>30.11</c:v>
                </c:pt>
                <c:pt idx="11">
                  <c:v>55.23</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40</c:v>
                </c:pt>
                <c:pt idx="1">
                  <c:v>35</c:v>
                </c:pt>
                <c:pt idx="2">
                  <c:v>47</c:v>
                </c:pt>
                <c:pt idx="3">
                  <c:v>30</c:v>
                </c:pt>
                <c:pt idx="4">
                  <c:v>48</c:v>
                </c:pt>
                <c:pt idx="5">
                  <c:v>48</c:v>
                </c:pt>
                <c:pt idx="6">
                  <c:v>50</c:v>
                </c:pt>
                <c:pt idx="7">
                  <c:v>50</c:v>
                </c:pt>
                <c:pt idx="8">
                  <c:v>54</c:v>
                </c:pt>
                <c:pt idx="9">
                  <c:v>47</c:v>
                </c:pt>
                <c:pt idx="10">
                  <c:v>60</c:v>
                </c:pt>
                <c:pt idx="11">
                  <c:v>63</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1391936"/>
        <c:axId val="311392328"/>
      </c:lineChart>
      <c:catAx>
        <c:axId val="311391936"/>
        <c:scaling>
          <c:orientation val="minMax"/>
        </c:scaling>
        <c:delete val="0"/>
        <c:axPos val="b"/>
        <c:numFmt formatCode="General" sourceLinked="1"/>
        <c:majorTickMark val="out"/>
        <c:minorTickMark val="none"/>
        <c:tickLblPos val="nextTo"/>
        <c:crossAx val="311392328"/>
        <c:crosses val="autoZero"/>
        <c:auto val="1"/>
        <c:lblAlgn val="ctr"/>
        <c:lblOffset val="100"/>
        <c:noMultiLvlLbl val="0"/>
      </c:catAx>
      <c:valAx>
        <c:axId val="3113923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19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600</c:v>
                </c:pt>
                <c:pt idx="1">
                  <c:v>600</c:v>
                </c:pt>
                <c:pt idx="2">
                  <c:v>600</c:v>
                </c:pt>
                <c:pt idx="3">
                  <c:v>600</c:v>
                </c:pt>
                <c:pt idx="4">
                  <c:v>600</c:v>
                </c:pt>
                <c:pt idx="5">
                  <c:v>600</c:v>
                </c:pt>
                <c:pt idx="6">
                  <c:v>600</c:v>
                </c:pt>
                <c:pt idx="7">
                  <c:v>600</c:v>
                </c:pt>
                <c:pt idx="8">
                  <c:v>600</c:v>
                </c:pt>
                <c:pt idx="9">
                  <c:v>600</c:v>
                </c:pt>
                <c:pt idx="10">
                  <c:v>600</c:v>
                </c:pt>
                <c:pt idx="11">
                  <c:v>600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245</c:v>
                </c:pt>
                <c:pt idx="1">
                  <c:v>249</c:v>
                </c:pt>
                <c:pt idx="2">
                  <c:v>242</c:v>
                </c:pt>
                <c:pt idx="3">
                  <c:v>239</c:v>
                </c:pt>
                <c:pt idx="4">
                  <c:v>222</c:v>
                </c:pt>
                <c:pt idx="5">
                  <c:v>245</c:v>
                </c:pt>
                <c:pt idx="6">
                  <c:v>145</c:v>
                </c:pt>
                <c:pt idx="7">
                  <c:v>169</c:v>
                </c:pt>
                <c:pt idx="8">
                  <c:v>200</c:v>
                </c:pt>
                <c:pt idx="9">
                  <c:v>118</c:v>
                </c:pt>
                <c:pt idx="10">
                  <c:v>137</c:v>
                </c:pt>
                <c:pt idx="11">
                  <c:v>222</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374</c:v>
                </c:pt>
                <c:pt idx="1">
                  <c:v>1142</c:v>
                </c:pt>
                <c:pt idx="2">
                  <c:v>336</c:v>
                </c:pt>
                <c:pt idx="3">
                  <c:v>307</c:v>
                </c:pt>
                <c:pt idx="4">
                  <c:v>316</c:v>
                </c:pt>
                <c:pt idx="5">
                  <c:v>347</c:v>
                </c:pt>
                <c:pt idx="6">
                  <c:v>392</c:v>
                </c:pt>
                <c:pt idx="7">
                  <c:v>445</c:v>
                </c:pt>
                <c:pt idx="8">
                  <c:v>317</c:v>
                </c:pt>
                <c:pt idx="9">
                  <c:v>315</c:v>
                </c:pt>
                <c:pt idx="10">
                  <c:v>664</c:v>
                </c:pt>
                <c:pt idx="11">
                  <c:v>335</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244.86</c:v>
                </c:pt>
                <c:pt idx="1">
                  <c:v>248.65</c:v>
                </c:pt>
                <c:pt idx="2">
                  <c:v>241.6</c:v>
                </c:pt>
                <c:pt idx="3">
                  <c:v>238.89</c:v>
                </c:pt>
                <c:pt idx="4">
                  <c:v>298</c:v>
                </c:pt>
                <c:pt idx="5">
                  <c:v>245.39</c:v>
                </c:pt>
                <c:pt idx="6">
                  <c:v>144.61000000000001</c:v>
                </c:pt>
                <c:pt idx="7">
                  <c:v>169.36</c:v>
                </c:pt>
                <c:pt idx="8">
                  <c:v>199.6</c:v>
                </c:pt>
                <c:pt idx="9">
                  <c:v>166.44</c:v>
                </c:pt>
                <c:pt idx="10">
                  <c:v>133.47999999999999</c:v>
                </c:pt>
                <c:pt idx="11">
                  <c:v>221.58</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282</c:v>
                </c:pt>
                <c:pt idx="1">
                  <c:v>263</c:v>
                </c:pt>
                <c:pt idx="2">
                  <c:v>282</c:v>
                </c:pt>
                <c:pt idx="3">
                  <c:v>259</c:v>
                </c:pt>
                <c:pt idx="4">
                  <c:v>252</c:v>
                </c:pt>
                <c:pt idx="5">
                  <c:v>268</c:v>
                </c:pt>
                <c:pt idx="6">
                  <c:v>260</c:v>
                </c:pt>
                <c:pt idx="7">
                  <c:v>252</c:v>
                </c:pt>
                <c:pt idx="8">
                  <c:v>251</c:v>
                </c:pt>
                <c:pt idx="9">
                  <c:v>254</c:v>
                </c:pt>
                <c:pt idx="10">
                  <c:v>248</c:v>
                </c:pt>
                <c:pt idx="11">
                  <c:v>255</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1393504"/>
        <c:axId val="315846440"/>
      </c:lineChart>
      <c:catAx>
        <c:axId val="311393504"/>
        <c:scaling>
          <c:orientation val="minMax"/>
        </c:scaling>
        <c:delete val="0"/>
        <c:axPos val="b"/>
        <c:numFmt formatCode="General" sourceLinked="1"/>
        <c:majorTickMark val="out"/>
        <c:minorTickMark val="none"/>
        <c:tickLblPos val="nextTo"/>
        <c:crossAx val="315846440"/>
        <c:crosses val="autoZero"/>
        <c:auto val="1"/>
        <c:lblAlgn val="ctr"/>
        <c:lblOffset val="100"/>
        <c:noMultiLvlLbl val="0"/>
      </c:catAx>
      <c:valAx>
        <c:axId val="315846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35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c:v>
                </c:pt>
                <c:pt idx="1">
                  <c:v>0</c:v>
                </c:pt>
                <c:pt idx="2">
                  <c:v>0</c:v>
                </c:pt>
                <c:pt idx="3">
                  <c:v>0</c:v>
                </c:pt>
                <c:pt idx="4">
                  <c:v>0</c:v>
                </c:pt>
                <c:pt idx="5">
                  <c:v>0</c:v>
                </c:pt>
                <c:pt idx="6">
                  <c:v>3</c:v>
                </c:pt>
                <c:pt idx="7">
                  <c:v>1</c:v>
                </c:pt>
                <c:pt idx="8">
                  <c:v>0</c:v>
                </c:pt>
                <c:pt idx="9">
                  <c:v>1</c:v>
                </c:pt>
                <c:pt idx="10">
                  <c:v>11</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6</c:v>
                </c:pt>
                <c:pt idx="1">
                  <c:v>72</c:v>
                </c:pt>
                <c:pt idx="2">
                  <c:v>31</c:v>
                </c:pt>
                <c:pt idx="3">
                  <c:v>13</c:v>
                </c:pt>
                <c:pt idx="4">
                  <c:v>7</c:v>
                </c:pt>
                <c:pt idx="5">
                  <c:v>18</c:v>
                </c:pt>
                <c:pt idx="6">
                  <c:v>117</c:v>
                </c:pt>
                <c:pt idx="7">
                  <c:v>306</c:v>
                </c:pt>
                <c:pt idx="8">
                  <c:v>64</c:v>
                </c:pt>
                <c:pt idx="9">
                  <c:v>102</c:v>
                </c:pt>
                <c:pt idx="10">
                  <c:v>2989</c:v>
                </c:pt>
                <c:pt idx="11">
                  <c:v>34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0.21</c:v>
                </c:pt>
                <c:pt idx="1">
                  <c:v>0.04</c:v>
                </c:pt>
                <c:pt idx="2">
                  <c:v>0.25</c:v>
                </c:pt>
                <c:pt idx="3">
                  <c:v>0.11</c:v>
                </c:pt>
                <c:pt idx="4">
                  <c:v>0</c:v>
                </c:pt>
                <c:pt idx="5">
                  <c:v>0.04</c:v>
                </c:pt>
                <c:pt idx="6">
                  <c:v>2.79</c:v>
                </c:pt>
                <c:pt idx="7">
                  <c:v>0.87</c:v>
                </c:pt>
                <c:pt idx="8">
                  <c:v>0.27</c:v>
                </c:pt>
                <c:pt idx="9">
                  <c:v>2.2400000000000002</c:v>
                </c:pt>
                <c:pt idx="10">
                  <c:v>11.44</c:v>
                </c:pt>
                <c:pt idx="11">
                  <c:v>0.03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5</c:v>
                </c:pt>
                <c:pt idx="1">
                  <c:v>1</c:v>
                </c:pt>
                <c:pt idx="2">
                  <c:v>1</c:v>
                </c:pt>
                <c:pt idx="3">
                  <c:v>1</c:v>
                </c:pt>
                <c:pt idx="4">
                  <c:v>0</c:v>
                </c:pt>
                <c:pt idx="5">
                  <c:v>1</c:v>
                </c:pt>
                <c:pt idx="6">
                  <c:v>25</c:v>
                </c:pt>
                <c:pt idx="7">
                  <c:v>8</c:v>
                </c:pt>
                <c:pt idx="8">
                  <c:v>2</c:v>
                </c:pt>
                <c:pt idx="9">
                  <c:v>19</c:v>
                </c:pt>
                <c:pt idx="10">
                  <c:v>200</c:v>
                </c:pt>
                <c:pt idx="11">
                  <c:v>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5849184"/>
        <c:axId val="315849576"/>
      </c:lineChart>
      <c:catAx>
        <c:axId val="315849184"/>
        <c:scaling>
          <c:orientation val="minMax"/>
        </c:scaling>
        <c:delete val="0"/>
        <c:axPos val="b"/>
        <c:numFmt formatCode="General" sourceLinked="1"/>
        <c:majorTickMark val="out"/>
        <c:minorTickMark val="none"/>
        <c:tickLblPos val="nextTo"/>
        <c:crossAx val="315849576"/>
        <c:crosses val="autoZero"/>
        <c:auto val="1"/>
        <c:lblAlgn val="ctr"/>
        <c:lblOffset val="100"/>
        <c:noMultiLvlLbl val="0"/>
      </c:catAx>
      <c:valAx>
        <c:axId val="31584957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4918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45</c:v>
                </c:pt>
                <c:pt idx="1">
                  <c:v>45</c:v>
                </c:pt>
                <c:pt idx="2">
                  <c:v>45</c:v>
                </c:pt>
                <c:pt idx="3">
                  <c:v>45</c:v>
                </c:pt>
                <c:pt idx="4">
                  <c:v>45</c:v>
                </c:pt>
                <c:pt idx="5">
                  <c:v>45</c:v>
                </c:pt>
                <c:pt idx="6">
                  <c:v>45</c:v>
                </c:pt>
                <c:pt idx="7">
                  <c:v>45</c:v>
                </c:pt>
                <c:pt idx="8">
                  <c:v>45</c:v>
                </c:pt>
                <c:pt idx="9">
                  <c:v>45</c:v>
                </c:pt>
                <c:pt idx="10">
                  <c:v>45</c:v>
                </c:pt>
                <c:pt idx="11">
                  <c:v>45</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c:v>
                </c:pt>
                <c:pt idx="1">
                  <c:v>2</c:v>
                </c:pt>
                <c:pt idx="2">
                  <c:v>3</c:v>
                </c:pt>
                <c:pt idx="3">
                  <c:v>5</c:v>
                </c:pt>
                <c:pt idx="4">
                  <c:v>4</c:v>
                </c:pt>
                <c:pt idx="5">
                  <c:v>5</c:v>
                </c:pt>
                <c:pt idx="6">
                  <c:v>9</c:v>
                </c:pt>
                <c:pt idx="7">
                  <c:v>4</c:v>
                </c:pt>
                <c:pt idx="8">
                  <c:v>5</c:v>
                </c:pt>
                <c:pt idx="9">
                  <c:v>6</c:v>
                </c:pt>
                <c:pt idx="10">
                  <c:v>5</c:v>
                </c:pt>
                <c:pt idx="11">
                  <c:v>4</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3</c:v>
                </c:pt>
                <c:pt idx="1">
                  <c:v>11</c:v>
                </c:pt>
                <c:pt idx="2">
                  <c:v>15</c:v>
                </c:pt>
                <c:pt idx="3">
                  <c:v>14</c:v>
                </c:pt>
                <c:pt idx="4">
                  <c:v>19</c:v>
                </c:pt>
                <c:pt idx="5">
                  <c:v>16</c:v>
                </c:pt>
                <c:pt idx="6">
                  <c:v>668</c:v>
                </c:pt>
                <c:pt idx="7">
                  <c:v>48</c:v>
                </c:pt>
                <c:pt idx="8">
                  <c:v>51</c:v>
                </c:pt>
                <c:pt idx="9">
                  <c:v>143</c:v>
                </c:pt>
                <c:pt idx="10">
                  <c:v>63</c:v>
                </c:pt>
                <c:pt idx="11">
                  <c:v>38</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c:v>
                </c:pt>
                <c:pt idx="1">
                  <c:v>2.13</c:v>
                </c:pt>
                <c:pt idx="2">
                  <c:v>3.5</c:v>
                </c:pt>
                <c:pt idx="3">
                  <c:v>5.1100000000000003</c:v>
                </c:pt>
                <c:pt idx="4">
                  <c:v>4</c:v>
                </c:pt>
                <c:pt idx="5">
                  <c:v>5.07</c:v>
                </c:pt>
                <c:pt idx="6">
                  <c:v>8.94</c:v>
                </c:pt>
                <c:pt idx="7">
                  <c:v>3.74</c:v>
                </c:pt>
                <c:pt idx="8">
                  <c:v>4.93</c:v>
                </c:pt>
                <c:pt idx="9">
                  <c:v>5.38</c:v>
                </c:pt>
                <c:pt idx="10">
                  <c:v>4.5199999999999996</c:v>
                </c:pt>
                <c:pt idx="11">
                  <c:v>3.87</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c:v>
                </c:pt>
                <c:pt idx="1">
                  <c:v>4</c:v>
                </c:pt>
                <c:pt idx="2">
                  <c:v>4</c:v>
                </c:pt>
                <c:pt idx="3">
                  <c:v>7</c:v>
                </c:pt>
                <c:pt idx="4">
                  <c:v>9</c:v>
                </c:pt>
                <c:pt idx="5">
                  <c:v>8</c:v>
                </c:pt>
                <c:pt idx="6">
                  <c:v>36</c:v>
                </c:pt>
                <c:pt idx="7">
                  <c:v>11</c:v>
                </c:pt>
                <c:pt idx="8">
                  <c:v>18</c:v>
                </c:pt>
                <c:pt idx="9">
                  <c:v>10</c:v>
                </c:pt>
                <c:pt idx="10">
                  <c:v>22</c:v>
                </c:pt>
                <c:pt idx="11">
                  <c:v>11</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5851144"/>
        <c:axId val="315851536"/>
      </c:lineChart>
      <c:catAx>
        <c:axId val="315851144"/>
        <c:scaling>
          <c:orientation val="minMax"/>
        </c:scaling>
        <c:delete val="0"/>
        <c:axPos val="b"/>
        <c:numFmt formatCode="General" sourceLinked="1"/>
        <c:majorTickMark val="out"/>
        <c:minorTickMark val="none"/>
        <c:tickLblPos val="nextTo"/>
        <c:crossAx val="315851536"/>
        <c:crosses val="autoZero"/>
        <c:auto val="1"/>
        <c:lblAlgn val="ctr"/>
        <c:lblOffset val="100"/>
        <c:noMultiLvlLbl val="0"/>
      </c:catAx>
      <c:valAx>
        <c:axId val="3158515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11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2</c:v>
                </c:pt>
                <c:pt idx="1">
                  <c:v>2</c:v>
                </c:pt>
                <c:pt idx="2">
                  <c:v>3</c:v>
                </c:pt>
                <c:pt idx="3">
                  <c:v>2</c:v>
                </c:pt>
                <c:pt idx="4">
                  <c:v>2</c:v>
                </c:pt>
                <c:pt idx="5">
                  <c:v>2</c:v>
                </c:pt>
                <c:pt idx="6">
                  <c:v>202</c:v>
                </c:pt>
                <c:pt idx="7">
                  <c:v>156</c:v>
                </c:pt>
                <c:pt idx="8">
                  <c:v>16</c:v>
                </c:pt>
                <c:pt idx="9">
                  <c:v>88</c:v>
                </c:pt>
                <c:pt idx="10">
                  <c:v>122</c:v>
                </c:pt>
                <c:pt idx="11">
                  <c:v>6</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59</c:v>
                </c:pt>
                <c:pt idx="1">
                  <c:v>23</c:v>
                </c:pt>
                <c:pt idx="2">
                  <c:v>25</c:v>
                </c:pt>
                <c:pt idx="3">
                  <c:v>131</c:v>
                </c:pt>
                <c:pt idx="4">
                  <c:v>287</c:v>
                </c:pt>
                <c:pt idx="5">
                  <c:v>304</c:v>
                </c:pt>
                <c:pt idx="6">
                  <c:v>8417</c:v>
                </c:pt>
                <c:pt idx="7">
                  <c:v>4280</c:v>
                </c:pt>
                <c:pt idx="8">
                  <c:v>4490</c:v>
                </c:pt>
                <c:pt idx="9">
                  <c:v>5930</c:v>
                </c:pt>
                <c:pt idx="10">
                  <c:v>3663</c:v>
                </c:pt>
                <c:pt idx="11">
                  <c:v>524</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75</c:v>
                </c:pt>
                <c:pt idx="1">
                  <c:v>75</c:v>
                </c:pt>
                <c:pt idx="2">
                  <c:v>75</c:v>
                </c:pt>
                <c:pt idx="3">
                  <c:v>75</c:v>
                </c:pt>
                <c:pt idx="4">
                  <c:v>75</c:v>
                </c:pt>
                <c:pt idx="5">
                  <c:v>75</c:v>
                </c:pt>
                <c:pt idx="6">
                  <c:v>75</c:v>
                </c:pt>
                <c:pt idx="7">
                  <c:v>75</c:v>
                </c:pt>
                <c:pt idx="8">
                  <c:v>75</c:v>
                </c:pt>
                <c:pt idx="9">
                  <c:v>75</c:v>
                </c:pt>
                <c:pt idx="10">
                  <c:v>75</c:v>
                </c:pt>
                <c:pt idx="11">
                  <c:v>75</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2.21</c:v>
                </c:pt>
                <c:pt idx="1">
                  <c:v>2.04</c:v>
                </c:pt>
                <c:pt idx="2">
                  <c:v>2.6</c:v>
                </c:pt>
                <c:pt idx="3">
                  <c:v>2.44</c:v>
                </c:pt>
                <c:pt idx="4">
                  <c:v>2.13</c:v>
                </c:pt>
                <c:pt idx="5">
                  <c:v>2.21</c:v>
                </c:pt>
                <c:pt idx="6">
                  <c:v>205.42</c:v>
                </c:pt>
                <c:pt idx="7">
                  <c:v>156.38999999999999</c:v>
                </c:pt>
                <c:pt idx="8">
                  <c:v>15.87</c:v>
                </c:pt>
                <c:pt idx="9">
                  <c:v>152.5</c:v>
                </c:pt>
                <c:pt idx="10">
                  <c:v>122.41</c:v>
                </c:pt>
                <c:pt idx="11">
                  <c:v>5.65</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4</c:v>
                </c:pt>
                <c:pt idx="1">
                  <c:v>5</c:v>
                </c:pt>
                <c:pt idx="2">
                  <c:v>8</c:v>
                </c:pt>
                <c:pt idx="3">
                  <c:v>5</c:v>
                </c:pt>
                <c:pt idx="4">
                  <c:v>11</c:v>
                </c:pt>
                <c:pt idx="5">
                  <c:v>18</c:v>
                </c:pt>
                <c:pt idx="6">
                  <c:v>2250</c:v>
                </c:pt>
                <c:pt idx="7">
                  <c:v>3025</c:v>
                </c:pt>
                <c:pt idx="8">
                  <c:v>226</c:v>
                </c:pt>
                <c:pt idx="9">
                  <c:v>1260</c:v>
                </c:pt>
                <c:pt idx="10">
                  <c:v>1233</c:v>
                </c:pt>
                <c:pt idx="11">
                  <c:v>23</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5850752"/>
        <c:axId val="315848792"/>
      </c:lineChart>
      <c:catAx>
        <c:axId val="315850752"/>
        <c:scaling>
          <c:orientation val="minMax"/>
        </c:scaling>
        <c:delete val="0"/>
        <c:axPos val="b"/>
        <c:numFmt formatCode="General" sourceLinked="1"/>
        <c:majorTickMark val="out"/>
        <c:minorTickMark val="none"/>
        <c:tickLblPos val="nextTo"/>
        <c:crossAx val="315848792"/>
        <c:crosses val="autoZero"/>
        <c:auto val="1"/>
        <c:lblAlgn val="ctr"/>
        <c:lblOffset val="100"/>
        <c:noMultiLvlLbl val="0"/>
      </c:catAx>
      <c:valAx>
        <c:axId val="31584879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07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847616"/>
        <c:axId val="315852712"/>
      </c:lineChart>
      <c:catAx>
        <c:axId val="315847616"/>
        <c:scaling>
          <c:orientation val="minMax"/>
        </c:scaling>
        <c:delete val="0"/>
        <c:axPos val="b"/>
        <c:numFmt formatCode="General" sourceLinked="1"/>
        <c:majorTickMark val="out"/>
        <c:minorTickMark val="none"/>
        <c:tickLblPos val="nextTo"/>
        <c:crossAx val="315852712"/>
        <c:crosses val="autoZero"/>
        <c:auto val="1"/>
        <c:lblAlgn val="ctr"/>
        <c:lblOffset val="100"/>
        <c:noMultiLvlLbl val="0"/>
      </c:catAx>
      <c:valAx>
        <c:axId val="31585271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47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5853888"/>
        <c:axId val="317518896"/>
      </c:lineChart>
      <c:catAx>
        <c:axId val="315853888"/>
        <c:scaling>
          <c:orientation val="minMax"/>
        </c:scaling>
        <c:delete val="0"/>
        <c:axPos val="b"/>
        <c:numFmt formatCode="General" sourceLinked="1"/>
        <c:majorTickMark val="out"/>
        <c:minorTickMark val="none"/>
        <c:tickLblPos val="nextTo"/>
        <c:crossAx val="317518896"/>
        <c:crosses val="autoZero"/>
        <c:auto val="1"/>
        <c:lblAlgn val="ctr"/>
        <c:lblOffset val="100"/>
        <c:noMultiLvlLbl val="0"/>
      </c:catAx>
      <c:valAx>
        <c:axId val="3175188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38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444500</xdr:colOff>
          <xdr:row>8</xdr:row>
          <xdr:rowOff>114300</xdr:rowOff>
        </xdr:from>
        <xdr:to>
          <xdr:col>15</xdr:col>
          <xdr:colOff>292100</xdr:colOff>
          <xdr:row>11</xdr:row>
          <xdr:rowOff>25400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5</xdr:row>
          <xdr:rowOff>107950</xdr:rowOff>
        </xdr:from>
        <xdr:to>
          <xdr:col>15</xdr:col>
          <xdr:colOff>298450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5</xdr:col>
      <xdr:colOff>589439</xdr:colOff>
      <xdr:row>6</xdr:row>
      <xdr:rowOff>7144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0"/>
          <a:ext cx="2862739" cy="1153319"/>
        </a:xfrm>
        <a:prstGeom prst="rect">
          <a:avLst/>
        </a:prstGeom>
      </xdr:spPr>
    </xdr:pic>
    <xdr:clientData/>
  </xdr:twoCellAnchor>
  <xdr:twoCellAnchor editAs="oneCell">
    <xdr:from>
      <xdr:col>1</xdr:col>
      <xdr:colOff>0</xdr:colOff>
      <xdr:row>7</xdr:row>
      <xdr:rowOff>0</xdr:rowOff>
    </xdr:from>
    <xdr:to>
      <xdr:col>8</xdr:col>
      <xdr:colOff>311779</xdr:colOff>
      <xdr:row>24</xdr:row>
      <xdr:rowOff>184122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7204"/>
        <a:stretch/>
      </xdr:blipFill>
      <xdr:spPr>
        <a:xfrm>
          <a:off x="628650" y="1333500"/>
          <a:ext cx="6290304" cy="34543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brent.charlton@wellandoperations.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zoomScale="70" zoomScaleNormal="70" workbookViewId="0">
      <selection activeCell="H55" sqref="H55"/>
    </sheetView>
  </sheetViews>
  <sheetFormatPr defaultColWidth="9.1796875" defaultRowHeight="15.5" x14ac:dyDescent="0.35"/>
  <cols>
    <col min="1" max="1" width="9.1796875" style="2" customWidth="1"/>
    <col min="2" max="2" width="14.54296875" style="2" bestFit="1" customWidth="1"/>
    <col min="3" max="3" width="9.1796875" style="2"/>
    <col min="4" max="4" width="24.08984375" style="2" customWidth="1"/>
    <col min="5" max="7" width="9.1796875" style="2"/>
    <col min="8" max="8" width="11.90625" style="2" customWidth="1"/>
    <col min="9" max="9" width="25.81640625" style="2" customWidth="1"/>
    <col min="10" max="10" width="11.54296875" style="2" customWidth="1"/>
    <col min="11" max="14" width="9.1796875" style="2"/>
    <col min="15" max="15" width="9.1796875" style="2" customWidth="1"/>
    <col min="16" max="16384" width="9.1796875" style="2"/>
  </cols>
  <sheetData>
    <row r="1" spans="2:16" x14ac:dyDescent="0.35">
      <c r="B1" s="94"/>
      <c r="C1" s="94"/>
      <c r="D1" s="176" t="s">
        <v>0</v>
      </c>
      <c r="E1" s="176"/>
      <c r="F1" s="176"/>
      <c r="G1" s="176"/>
      <c r="H1" s="94"/>
      <c r="I1" s="94"/>
      <c r="J1" s="94"/>
      <c r="K1" s="94"/>
      <c r="L1" s="94"/>
      <c r="M1" s="94"/>
      <c r="N1" s="94"/>
      <c r="O1" s="94"/>
      <c r="P1" s="94"/>
    </row>
    <row r="2" spans="2:16" x14ac:dyDescent="0.35">
      <c r="B2" s="94"/>
      <c r="C2" s="94"/>
      <c r="D2" s="176"/>
      <c r="E2" s="176"/>
      <c r="F2" s="176"/>
      <c r="G2" s="176"/>
      <c r="H2" s="94"/>
      <c r="I2" s="94"/>
      <c r="J2" s="94"/>
      <c r="K2" s="94"/>
      <c r="L2" s="94"/>
      <c r="M2" s="94"/>
      <c r="N2" s="94" t="s">
        <v>1</v>
      </c>
      <c r="O2" s="94"/>
      <c r="P2" s="95"/>
    </row>
    <row r="3" spans="2:16" x14ac:dyDescent="0.35">
      <c r="B3" s="94"/>
      <c r="C3" s="94"/>
      <c r="D3" s="176"/>
      <c r="E3" s="176"/>
      <c r="F3" s="176"/>
      <c r="G3" s="176"/>
      <c r="H3" s="94"/>
      <c r="I3" s="94"/>
      <c r="J3" s="94"/>
      <c r="K3" s="94"/>
      <c r="L3" s="94"/>
      <c r="M3" s="94"/>
      <c r="N3" s="95"/>
      <c r="O3" s="94"/>
      <c r="P3" s="94"/>
    </row>
    <row r="4" spans="2:16" x14ac:dyDescent="0.35">
      <c r="B4" s="94"/>
      <c r="C4" s="94"/>
      <c r="D4" s="176"/>
      <c r="E4" s="176"/>
      <c r="F4" s="176"/>
      <c r="G4" s="176"/>
      <c r="H4" s="94"/>
      <c r="I4" s="94"/>
      <c r="J4" s="94"/>
      <c r="K4" s="94"/>
      <c r="L4" s="94"/>
      <c r="M4" s="94"/>
      <c r="N4" s="94"/>
      <c r="O4" s="94"/>
      <c r="P4" s="94"/>
    </row>
    <row r="5" spans="2:16" x14ac:dyDescent="0.35">
      <c r="B5" s="94"/>
      <c r="C5" s="94"/>
      <c r="D5" s="176"/>
      <c r="E5" s="176"/>
      <c r="F5" s="176"/>
      <c r="G5" s="176"/>
      <c r="H5" s="94"/>
      <c r="I5" s="94"/>
      <c r="J5" s="94"/>
      <c r="K5" s="94"/>
      <c r="L5" s="94"/>
      <c r="M5" s="94"/>
      <c r="N5" s="94"/>
      <c r="O5" s="94"/>
      <c r="P5" s="94"/>
    </row>
    <row r="6" spans="2:16" x14ac:dyDescent="0.35">
      <c r="B6" s="94"/>
      <c r="C6" s="94"/>
      <c r="D6" s="176"/>
      <c r="E6" s="176"/>
      <c r="F6" s="176"/>
      <c r="G6" s="176"/>
      <c r="H6" s="94"/>
      <c r="I6" s="94"/>
      <c r="J6" s="94"/>
      <c r="K6" s="94"/>
      <c r="L6" s="94"/>
      <c r="M6" s="94"/>
      <c r="N6" s="94"/>
      <c r="O6" s="94"/>
      <c r="P6" s="94"/>
    </row>
    <row r="8" spans="2:16" ht="15.75" customHeight="1" x14ac:dyDescent="0.35">
      <c r="B8" s="176" t="s">
        <v>2</v>
      </c>
      <c r="C8" s="176"/>
      <c r="D8" s="176"/>
      <c r="E8" s="176"/>
      <c r="F8" s="176"/>
      <c r="G8" s="176"/>
      <c r="H8" s="176"/>
      <c r="I8" s="176"/>
      <c r="J8" s="94"/>
      <c r="K8" s="94"/>
      <c r="L8" s="94"/>
      <c r="M8" s="94"/>
      <c r="N8" s="67"/>
      <c r="O8" s="94"/>
      <c r="P8" s="94"/>
    </row>
    <row r="9" spans="2:16" x14ac:dyDescent="0.35">
      <c r="B9" s="176"/>
      <c r="C9" s="176"/>
      <c r="D9" s="176"/>
      <c r="E9" s="176"/>
      <c r="F9" s="176"/>
      <c r="G9" s="176"/>
      <c r="H9" s="176"/>
      <c r="I9" s="176"/>
      <c r="J9" s="94"/>
      <c r="K9" s="94"/>
      <c r="L9" s="94"/>
      <c r="M9" s="94"/>
      <c r="N9" s="94"/>
      <c r="O9" s="94"/>
      <c r="P9" s="94"/>
    </row>
    <row r="10" spans="2:16" x14ac:dyDescent="0.35">
      <c r="B10" s="176"/>
      <c r="C10" s="176"/>
      <c r="D10" s="176"/>
      <c r="E10" s="176"/>
      <c r="F10" s="176"/>
      <c r="G10" s="176"/>
      <c r="H10" s="176"/>
      <c r="I10" s="176"/>
      <c r="J10" s="94"/>
      <c r="K10" s="94"/>
      <c r="L10" s="94"/>
      <c r="M10" s="94"/>
      <c r="N10" s="94"/>
      <c r="O10" s="94"/>
      <c r="P10" s="94"/>
    </row>
    <row r="11" spans="2:16" x14ac:dyDescent="0.35">
      <c r="B11" s="176"/>
      <c r="C11" s="176"/>
      <c r="D11" s="176"/>
      <c r="E11" s="176"/>
      <c r="F11" s="176"/>
      <c r="G11" s="176"/>
      <c r="H11" s="176"/>
      <c r="I11" s="176"/>
      <c r="J11" s="94"/>
      <c r="K11" s="94"/>
      <c r="L11" s="94"/>
      <c r="M11" s="94"/>
      <c r="N11" s="94"/>
      <c r="O11" s="94"/>
      <c r="P11" s="94"/>
    </row>
    <row r="12" spans="2:16" x14ac:dyDescent="0.35">
      <c r="B12" s="176"/>
      <c r="C12" s="176"/>
      <c r="D12" s="176"/>
      <c r="E12" s="176"/>
      <c r="F12" s="176"/>
      <c r="G12" s="176"/>
      <c r="H12" s="176"/>
      <c r="I12" s="176"/>
      <c r="J12" s="94"/>
      <c r="K12" s="94"/>
      <c r="L12" s="94"/>
      <c r="M12" s="94"/>
      <c r="N12" s="94"/>
      <c r="O12" s="94"/>
      <c r="P12" s="94"/>
    </row>
    <row r="13" spans="2:16" x14ac:dyDescent="0.35">
      <c r="B13" s="176"/>
      <c r="C13" s="176"/>
      <c r="D13" s="176"/>
      <c r="E13" s="176"/>
      <c r="F13" s="176"/>
      <c r="G13" s="176"/>
      <c r="H13" s="176"/>
      <c r="I13" s="176"/>
      <c r="J13" s="94"/>
      <c r="K13" s="94"/>
      <c r="L13" s="94"/>
      <c r="M13" s="94"/>
      <c r="N13" s="71" t="s">
        <v>3</v>
      </c>
      <c r="O13" s="69"/>
      <c r="P13" s="69"/>
    </row>
    <row r="14" spans="2:16" ht="15.65" customHeight="1" x14ac:dyDescent="0.35">
      <c r="B14" s="176"/>
      <c r="C14" s="176"/>
      <c r="D14" s="176"/>
      <c r="E14" s="176"/>
      <c r="F14" s="176"/>
      <c r="G14" s="176"/>
      <c r="H14" s="176"/>
      <c r="I14" s="176"/>
      <c r="J14" s="94"/>
      <c r="K14" s="94"/>
      <c r="L14" s="94"/>
      <c r="M14" s="94"/>
      <c r="N14" s="174" t="s">
        <v>4</v>
      </c>
      <c r="O14" s="174"/>
      <c r="P14" s="174"/>
    </row>
    <row r="15" spans="2:16" x14ac:dyDescent="0.35">
      <c r="B15" s="176"/>
      <c r="C15" s="176"/>
      <c r="D15" s="176"/>
      <c r="E15" s="176"/>
      <c r="F15" s="176"/>
      <c r="G15" s="176"/>
      <c r="H15" s="176"/>
      <c r="I15" s="176"/>
      <c r="J15" s="94"/>
      <c r="K15" s="94"/>
      <c r="L15" s="94"/>
      <c r="M15" s="94"/>
      <c r="N15" s="174"/>
      <c r="O15" s="174"/>
      <c r="P15" s="174"/>
    </row>
    <row r="16" spans="2:16" x14ac:dyDescent="0.35">
      <c r="B16" s="176"/>
      <c r="C16" s="176"/>
      <c r="D16" s="176"/>
      <c r="E16" s="176"/>
      <c r="F16" s="176"/>
      <c r="G16" s="176"/>
      <c r="H16" s="176"/>
      <c r="I16" s="176"/>
      <c r="J16" s="94"/>
      <c r="K16" s="94"/>
      <c r="L16" s="94"/>
      <c r="M16" s="94"/>
      <c r="N16" s="174"/>
      <c r="O16" s="174"/>
      <c r="P16" s="174"/>
    </row>
    <row r="17" spans="2:16" x14ac:dyDescent="0.35">
      <c r="B17" s="176"/>
      <c r="C17" s="176"/>
      <c r="D17" s="176"/>
      <c r="E17" s="176"/>
      <c r="F17" s="176"/>
      <c r="G17" s="176"/>
      <c r="H17" s="176"/>
      <c r="I17" s="176"/>
      <c r="J17" s="94"/>
      <c r="K17" s="94"/>
      <c r="L17" s="94"/>
      <c r="M17" s="94"/>
      <c r="N17" s="174"/>
      <c r="O17" s="174"/>
      <c r="P17" s="174"/>
    </row>
    <row r="18" spans="2:16" x14ac:dyDescent="0.35">
      <c r="B18" s="176"/>
      <c r="C18" s="176"/>
      <c r="D18" s="176"/>
      <c r="E18" s="176"/>
      <c r="F18" s="176"/>
      <c r="G18" s="176"/>
      <c r="H18" s="176"/>
      <c r="I18" s="176"/>
      <c r="J18" s="94"/>
      <c r="K18" s="94"/>
      <c r="L18" s="94"/>
      <c r="M18" s="94"/>
      <c r="N18" s="174"/>
      <c r="O18" s="174"/>
      <c r="P18" s="174"/>
    </row>
    <row r="19" spans="2:16" x14ac:dyDescent="0.35">
      <c r="B19" s="176"/>
      <c r="C19" s="176"/>
      <c r="D19" s="176"/>
      <c r="E19" s="176"/>
      <c r="F19" s="176"/>
      <c r="G19" s="176"/>
      <c r="H19" s="176"/>
      <c r="I19" s="176"/>
      <c r="J19" s="94"/>
      <c r="K19" s="94"/>
      <c r="L19" s="94"/>
      <c r="M19" s="94"/>
      <c r="N19" s="174"/>
      <c r="O19" s="174"/>
      <c r="P19" s="174"/>
    </row>
    <row r="20" spans="2:16" x14ac:dyDescent="0.35">
      <c r="B20" s="176"/>
      <c r="C20" s="176"/>
      <c r="D20" s="176"/>
      <c r="E20" s="176"/>
      <c r="F20" s="176"/>
      <c r="G20" s="176"/>
      <c r="H20" s="176"/>
      <c r="I20" s="176"/>
      <c r="J20" s="94"/>
      <c r="K20" s="94"/>
      <c r="L20" s="94"/>
      <c r="M20" s="94"/>
      <c r="N20" s="94"/>
      <c r="O20" s="94"/>
      <c r="P20" s="94"/>
    </row>
    <row r="21" spans="2:16" x14ac:dyDescent="0.35">
      <c r="B21" s="176"/>
      <c r="C21" s="176"/>
      <c r="D21" s="176"/>
      <c r="E21" s="176"/>
      <c r="F21" s="176"/>
      <c r="G21" s="176"/>
      <c r="H21" s="176"/>
      <c r="I21" s="176"/>
      <c r="J21" s="94"/>
      <c r="K21" s="94"/>
      <c r="L21" s="94"/>
      <c r="M21" s="94"/>
      <c r="N21" s="94"/>
      <c r="O21" s="94"/>
      <c r="P21" s="94"/>
    </row>
    <row r="22" spans="2:16" x14ac:dyDescent="0.35">
      <c r="B22" s="176"/>
      <c r="C22" s="176"/>
      <c r="D22" s="176"/>
      <c r="E22" s="176"/>
      <c r="F22" s="176"/>
      <c r="G22" s="176"/>
      <c r="H22" s="176"/>
      <c r="I22" s="176"/>
      <c r="J22" s="94"/>
      <c r="K22" s="94"/>
      <c r="L22" s="94"/>
      <c r="M22" s="94"/>
      <c r="N22" s="94"/>
      <c r="O22" s="94"/>
      <c r="P22" s="94"/>
    </row>
    <row r="23" spans="2:16" x14ac:dyDescent="0.35">
      <c r="B23" s="176"/>
      <c r="C23" s="176"/>
      <c r="D23" s="176"/>
      <c r="E23" s="176"/>
      <c r="F23" s="176"/>
      <c r="G23" s="176"/>
      <c r="H23" s="176"/>
      <c r="I23" s="176"/>
      <c r="J23" s="94"/>
      <c r="K23" s="94"/>
      <c r="L23" s="94"/>
      <c r="M23" s="94"/>
      <c r="N23" s="94"/>
      <c r="O23" s="94"/>
      <c r="P23" s="94"/>
    </row>
    <row r="24" spans="2:16" x14ac:dyDescent="0.35">
      <c r="B24" s="176"/>
      <c r="C24" s="176"/>
      <c r="D24" s="176"/>
      <c r="E24" s="176"/>
      <c r="F24" s="176"/>
      <c r="G24" s="176"/>
      <c r="H24" s="176"/>
      <c r="I24" s="176"/>
      <c r="J24" s="94"/>
      <c r="K24" s="94"/>
      <c r="L24" s="94"/>
      <c r="M24" s="94"/>
      <c r="N24" s="94"/>
      <c r="O24" s="94"/>
      <c r="P24" s="94"/>
    </row>
    <row r="29" spans="2:16" ht="18" x14ac:dyDescent="0.4">
      <c r="B29" s="175" t="s">
        <v>367</v>
      </c>
      <c r="C29" s="175"/>
      <c r="D29" s="175"/>
      <c r="E29" s="175"/>
      <c r="F29" s="175"/>
      <c r="G29" s="175"/>
      <c r="H29" s="175"/>
      <c r="I29" s="175"/>
      <c r="J29" s="94"/>
      <c r="K29" s="94"/>
      <c r="L29" s="94"/>
      <c r="M29" s="94"/>
      <c r="N29" s="94"/>
      <c r="O29" s="94"/>
      <c r="P29" s="94"/>
    </row>
    <row r="30" spans="2:16" ht="18" x14ac:dyDescent="0.4">
      <c r="B30" s="94"/>
      <c r="C30" s="6"/>
      <c r="D30" s="7"/>
      <c r="E30" s="7"/>
      <c r="F30" s="7"/>
      <c r="G30" s="7"/>
      <c r="H30" s="7"/>
      <c r="I30" s="7"/>
      <c r="J30" s="94"/>
      <c r="K30" s="94"/>
      <c r="L30" s="94"/>
      <c r="M30" s="94"/>
      <c r="N30" s="94"/>
      <c r="O30" s="94"/>
      <c r="P30" s="94"/>
    </row>
    <row r="31" spans="2:16" ht="18" x14ac:dyDescent="0.4">
      <c r="B31" s="175" t="s">
        <v>368</v>
      </c>
      <c r="C31" s="175"/>
      <c r="D31" s="175"/>
      <c r="E31" s="175"/>
      <c r="F31" s="175"/>
      <c r="G31" s="175"/>
      <c r="H31" s="175"/>
      <c r="I31" s="175"/>
      <c r="J31" s="94"/>
      <c r="K31" s="94"/>
      <c r="L31" s="94"/>
      <c r="M31" s="94"/>
      <c r="N31" s="94"/>
      <c r="O31" s="94"/>
      <c r="P31" s="94"/>
    </row>
    <row r="32" spans="2:16" ht="18" x14ac:dyDescent="0.4">
      <c r="B32" s="94"/>
      <c r="C32" s="6"/>
      <c r="D32" s="7"/>
      <c r="E32" s="7"/>
      <c r="F32" s="7"/>
      <c r="G32" s="7"/>
      <c r="H32" s="7"/>
      <c r="I32" s="7"/>
      <c r="J32" s="94"/>
      <c r="K32" s="94"/>
      <c r="L32" s="94"/>
      <c r="M32" s="94"/>
      <c r="N32" s="94"/>
      <c r="O32" s="94"/>
      <c r="P32" s="94"/>
    </row>
    <row r="33" spans="2:9" ht="18" x14ac:dyDescent="0.4">
      <c r="B33" s="175" t="s">
        <v>378</v>
      </c>
      <c r="C33" s="175"/>
      <c r="D33" s="175"/>
      <c r="E33" s="175"/>
      <c r="F33" s="175"/>
      <c r="G33" s="175"/>
      <c r="H33" s="175"/>
      <c r="I33" s="175"/>
    </row>
    <row r="34" spans="2:9" ht="18" x14ac:dyDescent="0.4">
      <c r="B34" s="94"/>
      <c r="C34" s="6"/>
      <c r="D34" s="7"/>
      <c r="E34" s="7"/>
      <c r="F34" s="7"/>
      <c r="G34" s="7"/>
      <c r="H34" s="7"/>
      <c r="I34" s="7"/>
    </row>
    <row r="35" spans="2:9" ht="18" x14ac:dyDescent="0.4">
      <c r="B35" s="175"/>
      <c r="C35" s="175"/>
      <c r="D35" s="175"/>
      <c r="E35" s="175"/>
      <c r="F35" s="175"/>
      <c r="G35" s="175"/>
      <c r="H35" s="175"/>
      <c r="I35" s="175"/>
    </row>
    <row r="37" spans="2:9" ht="18" x14ac:dyDescent="0.4">
      <c r="B37" s="175" t="s">
        <v>369</v>
      </c>
      <c r="C37" s="175"/>
      <c r="D37" s="175"/>
      <c r="E37" s="175"/>
      <c r="F37" s="175"/>
      <c r="G37" s="175"/>
      <c r="H37" s="175"/>
      <c r="I37" s="175"/>
    </row>
    <row r="39" spans="2:9" x14ac:dyDescent="0.35">
      <c r="B39" s="94" t="s">
        <v>5</v>
      </c>
      <c r="C39" s="96">
        <v>2022</v>
      </c>
      <c r="D39" s="94"/>
      <c r="E39" s="94"/>
      <c r="F39" s="94"/>
      <c r="G39" s="94"/>
      <c r="H39" s="94"/>
      <c r="I39" s="94"/>
    </row>
    <row r="40" spans="2:9" ht="14.25" customHeight="1" x14ac:dyDescent="0.35">
      <c r="B40" s="94"/>
      <c r="C40" s="94"/>
      <c r="D40" s="94"/>
      <c r="E40" s="94"/>
      <c r="F40" s="94"/>
      <c r="G40" s="94"/>
      <c r="H40" s="94"/>
      <c r="I40" s="94"/>
    </row>
    <row r="41" spans="2:9" x14ac:dyDescent="0.35">
      <c r="B41" s="97" t="s">
        <v>6</v>
      </c>
      <c r="C41" s="177" t="s">
        <v>374</v>
      </c>
      <c r="D41" s="177"/>
      <c r="E41" s="177"/>
      <c r="F41" s="177"/>
      <c r="G41" s="177"/>
      <c r="H41" s="177"/>
      <c r="I41" s="177"/>
    </row>
    <row r="42" spans="2:9" x14ac:dyDescent="0.35">
      <c r="B42" s="97"/>
      <c r="C42" s="94"/>
      <c r="D42" s="94"/>
      <c r="E42" s="94"/>
      <c r="F42" s="94"/>
      <c r="G42" s="94"/>
      <c r="H42" s="94"/>
      <c r="I42" s="94"/>
    </row>
    <row r="43" spans="2:9" x14ac:dyDescent="0.35">
      <c r="B43" s="97" t="s">
        <v>7</v>
      </c>
      <c r="C43" s="177" t="s">
        <v>370</v>
      </c>
      <c r="D43" s="177"/>
      <c r="E43" s="177"/>
      <c r="F43" s="94"/>
      <c r="G43" s="94"/>
      <c r="H43" s="94"/>
      <c r="I43" s="94"/>
    </row>
    <row r="44" spans="2:9" x14ac:dyDescent="0.35">
      <c r="B44" s="97"/>
      <c r="C44" s="94"/>
      <c r="D44" s="94"/>
      <c r="E44" s="94"/>
      <c r="F44" s="94"/>
      <c r="G44" s="94"/>
      <c r="H44" s="94"/>
      <c r="I44" s="94"/>
    </row>
    <row r="45" spans="2:9" x14ac:dyDescent="0.35">
      <c r="B45" s="97" t="s">
        <v>8</v>
      </c>
      <c r="C45" s="179" t="s">
        <v>371</v>
      </c>
      <c r="D45" s="177"/>
      <c r="E45" s="177"/>
      <c r="F45" s="94"/>
      <c r="G45" s="94"/>
      <c r="H45" s="94"/>
      <c r="I45" s="94"/>
    </row>
    <row r="46" spans="2:9" x14ac:dyDescent="0.35">
      <c r="B46" s="97"/>
      <c r="C46" s="94"/>
      <c r="D46" s="94"/>
      <c r="E46" s="94"/>
      <c r="F46" s="94"/>
      <c r="G46" s="94"/>
      <c r="H46" s="94"/>
      <c r="I46" s="94"/>
    </row>
    <row r="47" spans="2:9" x14ac:dyDescent="0.35">
      <c r="B47" s="97" t="s">
        <v>9</v>
      </c>
      <c r="C47" s="177" t="s">
        <v>375</v>
      </c>
      <c r="D47" s="177"/>
      <c r="E47" s="94"/>
      <c r="F47" s="94" t="s">
        <v>10</v>
      </c>
      <c r="G47" s="177" t="s">
        <v>376</v>
      </c>
      <c r="H47" s="177"/>
      <c r="I47" s="177"/>
    </row>
    <row r="48" spans="2:9" x14ac:dyDescent="0.35">
      <c r="B48" s="97"/>
      <c r="C48" s="94"/>
      <c r="D48" s="94"/>
      <c r="E48" s="94"/>
      <c r="F48" s="94"/>
      <c r="G48" s="94"/>
      <c r="H48" s="94"/>
      <c r="I48" s="94"/>
    </row>
    <row r="49" spans="2:9" x14ac:dyDescent="0.35">
      <c r="B49" s="97" t="s">
        <v>11</v>
      </c>
      <c r="C49" s="177" t="s">
        <v>372</v>
      </c>
      <c r="D49" s="177"/>
      <c r="E49" s="94"/>
      <c r="F49" s="94" t="s">
        <v>10</v>
      </c>
      <c r="G49" s="177" t="s">
        <v>373</v>
      </c>
      <c r="H49" s="177"/>
      <c r="I49" s="177"/>
    </row>
    <row r="50" spans="2:9" x14ac:dyDescent="0.35">
      <c r="B50" s="97"/>
      <c r="C50" s="94"/>
      <c r="D50" s="94"/>
      <c r="E50" s="94"/>
      <c r="F50" s="94"/>
      <c r="G50" s="94"/>
      <c r="H50" s="94"/>
      <c r="I50" s="94"/>
    </row>
    <row r="51" spans="2:9" x14ac:dyDescent="0.35">
      <c r="B51" s="97" t="s">
        <v>12</v>
      </c>
      <c r="C51" s="96">
        <v>1</v>
      </c>
      <c r="D51" s="94"/>
      <c r="E51" s="94"/>
      <c r="F51" s="94"/>
      <c r="G51" s="94"/>
      <c r="H51" s="94"/>
      <c r="I51" s="94"/>
    </row>
    <row r="52" spans="2:9" x14ac:dyDescent="0.35">
      <c r="B52" s="97"/>
      <c r="C52" s="94"/>
      <c r="D52" s="94"/>
      <c r="E52" s="94"/>
      <c r="F52" s="94"/>
      <c r="G52" s="94"/>
      <c r="H52" s="94"/>
      <c r="I52" s="94"/>
    </row>
    <row r="53" spans="2:9" x14ac:dyDescent="0.35">
      <c r="B53" s="97" t="s">
        <v>13</v>
      </c>
      <c r="C53" s="178">
        <v>44957</v>
      </c>
      <c r="D53" s="177"/>
      <c r="E53" s="94"/>
      <c r="F53" s="94"/>
      <c r="G53" s="94"/>
      <c r="H53" s="94"/>
      <c r="I53" s="94"/>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A90C3606-6E84-46B5-8F7F-AC05A75C9583}"/>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444500</xdr:colOff>
                    <xdr:row>8</xdr:row>
                    <xdr:rowOff>114300</xdr:rowOff>
                  </from>
                  <to>
                    <xdr:col>15</xdr:col>
                    <xdr:colOff>292100</xdr:colOff>
                    <xdr:row>11</xdr:row>
                    <xdr:rowOff>25400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450850</xdr:colOff>
                    <xdr:row>5</xdr:row>
                    <xdr:rowOff>107950</xdr:rowOff>
                  </from>
                  <to>
                    <xdr:col>15</xdr:col>
                    <xdr:colOff>298450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zoomScale="85" zoomScaleNormal="85" workbookViewId="0">
      <selection activeCell="C26" sqref="C26"/>
    </sheetView>
  </sheetViews>
  <sheetFormatPr defaultColWidth="9.1796875" defaultRowHeight="15.5" x14ac:dyDescent="0.35"/>
  <cols>
    <col min="1" max="1" width="9.1796875" style="2" customWidth="1"/>
    <col min="2" max="2" width="14.54296875" style="2" bestFit="1" customWidth="1"/>
    <col min="3" max="9" width="9.1796875" style="2"/>
    <col min="10" max="10" width="11.54296875" style="2" customWidth="1"/>
    <col min="11" max="16384" width="9.1796875" style="2"/>
  </cols>
  <sheetData>
    <row r="1" spans="1:15" x14ac:dyDescent="0.35">
      <c r="A1" s="94" t="str">
        <f>+'Cover Page'!$B$29</f>
        <v>Annual Performance Report 2022</v>
      </c>
      <c r="B1" s="94"/>
      <c r="C1" s="94"/>
      <c r="D1" s="94"/>
      <c r="E1" s="94" t="str">
        <f>+'Cover Page'!$B$33</f>
        <v>Welland Biopower Ltd</v>
      </c>
      <c r="F1" s="94"/>
      <c r="G1" s="94"/>
      <c r="H1" s="94"/>
      <c r="I1" s="94"/>
      <c r="J1" s="94"/>
      <c r="K1" s="94"/>
      <c r="L1" s="94"/>
      <c r="M1" s="94"/>
      <c r="N1" s="94"/>
      <c r="O1" s="94"/>
    </row>
    <row r="3" spans="1:15" x14ac:dyDescent="0.35">
      <c r="A3" s="49" t="s">
        <v>14</v>
      </c>
      <c r="B3" s="98"/>
      <c r="C3" s="98"/>
      <c r="D3" s="98"/>
      <c r="E3" s="98"/>
      <c r="F3" s="98"/>
      <c r="G3" s="98"/>
      <c r="H3" s="99"/>
      <c r="I3" s="94"/>
      <c r="J3" s="94"/>
      <c r="K3" s="71" t="s">
        <v>3</v>
      </c>
      <c r="L3" s="94"/>
      <c r="M3" s="94"/>
      <c r="N3" s="94"/>
      <c r="O3" s="94"/>
    </row>
    <row r="4" spans="1:15" x14ac:dyDescent="0.35">
      <c r="A4" s="91" t="s">
        <v>15</v>
      </c>
      <c r="B4" s="181" t="s">
        <v>16</v>
      </c>
      <c r="C4" s="181"/>
      <c r="D4" s="181"/>
      <c r="E4" s="181"/>
      <c r="F4" s="181"/>
      <c r="G4" s="181"/>
      <c r="H4" s="5" t="s">
        <v>17</v>
      </c>
      <c r="I4" s="94"/>
      <c r="J4" s="94"/>
      <c r="K4" s="69" t="s">
        <v>18</v>
      </c>
      <c r="L4" s="94"/>
      <c r="M4" s="94"/>
      <c r="N4" s="94"/>
      <c r="O4" s="94"/>
    </row>
    <row r="5" spans="1:15" ht="15.65" customHeight="1" x14ac:dyDescent="0.35">
      <c r="A5" s="4"/>
      <c r="B5" s="180" t="s">
        <v>19</v>
      </c>
      <c r="C5" s="180"/>
      <c r="D5" s="180"/>
      <c r="E5" s="180"/>
      <c r="F5" s="180"/>
      <c r="G5" s="180"/>
      <c r="H5" s="4"/>
      <c r="I5" s="94"/>
      <c r="J5" s="94"/>
      <c r="K5" s="174" t="s">
        <v>20</v>
      </c>
      <c r="L5" s="174"/>
      <c r="M5" s="174"/>
      <c r="N5" s="174"/>
      <c r="O5" s="174"/>
    </row>
    <row r="6" spans="1:15" x14ac:dyDescent="0.35">
      <c r="A6" s="4"/>
      <c r="B6" s="180" t="s">
        <v>21</v>
      </c>
      <c r="C6" s="180"/>
      <c r="D6" s="180"/>
      <c r="E6" s="180"/>
      <c r="F6" s="180"/>
      <c r="G6" s="180"/>
      <c r="H6" s="4"/>
      <c r="I6" s="94"/>
      <c r="J6" s="94"/>
      <c r="K6" s="174"/>
      <c r="L6" s="174"/>
      <c r="M6" s="174"/>
      <c r="N6" s="174"/>
      <c r="O6" s="174"/>
    </row>
    <row r="7" spans="1:15" ht="15.75" customHeight="1" x14ac:dyDescent="0.35">
      <c r="A7" s="4"/>
      <c r="B7" s="180" t="s">
        <v>22</v>
      </c>
      <c r="C7" s="180"/>
      <c r="D7" s="180"/>
      <c r="E7" s="180"/>
      <c r="F7" s="180"/>
      <c r="G7" s="180"/>
      <c r="H7" s="4"/>
      <c r="I7" s="94"/>
      <c r="J7" s="94"/>
      <c r="K7" s="174"/>
      <c r="L7" s="174"/>
      <c r="M7" s="174"/>
      <c r="N7" s="174"/>
      <c r="O7" s="174"/>
    </row>
    <row r="8" spans="1:15" x14ac:dyDescent="0.35">
      <c r="A8" s="4"/>
      <c r="B8" s="180" t="s">
        <v>23</v>
      </c>
      <c r="C8" s="180"/>
      <c r="D8" s="180"/>
      <c r="E8" s="180"/>
      <c r="F8" s="180"/>
      <c r="G8" s="180"/>
      <c r="H8" s="4"/>
      <c r="I8" s="94"/>
      <c r="J8" s="94"/>
      <c r="K8" s="174"/>
      <c r="L8" s="174"/>
      <c r="M8" s="174"/>
      <c r="N8" s="174"/>
      <c r="O8" s="174"/>
    </row>
    <row r="9" spans="1:15" x14ac:dyDescent="0.35">
      <c r="A9" s="4"/>
      <c r="B9" s="180" t="s">
        <v>24</v>
      </c>
      <c r="C9" s="180"/>
      <c r="D9" s="180"/>
      <c r="E9" s="180"/>
      <c r="F9" s="180"/>
      <c r="G9" s="180"/>
      <c r="H9" s="4"/>
      <c r="I9" s="94"/>
      <c r="J9" s="94"/>
      <c r="K9" s="94"/>
      <c r="L9" s="94"/>
      <c r="M9" s="94"/>
      <c r="N9" s="94"/>
      <c r="O9" s="94"/>
    </row>
    <row r="10" spans="1:15" x14ac:dyDescent="0.35">
      <c r="A10" s="4"/>
      <c r="B10" s="180" t="s">
        <v>25</v>
      </c>
      <c r="C10" s="180"/>
      <c r="D10" s="180"/>
      <c r="E10" s="180"/>
      <c r="F10" s="180"/>
      <c r="G10" s="180"/>
      <c r="H10" s="4"/>
      <c r="I10" s="94"/>
      <c r="J10" s="94"/>
      <c r="K10" s="94"/>
      <c r="L10" s="94"/>
      <c r="M10" s="94"/>
      <c r="N10" s="94"/>
      <c r="O10" s="94"/>
    </row>
    <row r="11" spans="1:15" x14ac:dyDescent="0.35">
      <c r="A11" s="4"/>
      <c r="B11" s="180" t="s">
        <v>26</v>
      </c>
      <c r="C11" s="180"/>
      <c r="D11" s="180"/>
      <c r="E11" s="180"/>
      <c r="F11" s="180"/>
      <c r="G11" s="180"/>
      <c r="H11" s="4"/>
      <c r="I11" s="94"/>
      <c r="J11" s="94"/>
      <c r="K11" s="94"/>
      <c r="L11" s="94"/>
      <c r="M11" s="94"/>
      <c r="N11" s="94"/>
      <c r="O11" s="94"/>
    </row>
    <row r="12" spans="1:15" x14ac:dyDescent="0.35">
      <c r="A12" s="4"/>
      <c r="B12" s="180" t="s">
        <v>27</v>
      </c>
      <c r="C12" s="180"/>
      <c r="D12" s="180"/>
      <c r="E12" s="180"/>
      <c r="F12" s="180"/>
      <c r="G12" s="180"/>
      <c r="H12" s="4"/>
      <c r="I12" s="94"/>
      <c r="J12" s="94"/>
      <c r="K12" s="94"/>
      <c r="L12" s="94"/>
      <c r="M12" s="94"/>
      <c r="N12" s="94"/>
      <c r="O12" s="94"/>
    </row>
    <row r="13" spans="1:15" x14ac:dyDescent="0.35">
      <c r="A13" s="4"/>
      <c r="B13" s="180" t="s">
        <v>28</v>
      </c>
      <c r="C13" s="180"/>
      <c r="D13" s="180"/>
      <c r="E13" s="180"/>
      <c r="F13" s="180"/>
      <c r="G13" s="180"/>
      <c r="H13" s="4"/>
      <c r="I13" s="94"/>
      <c r="J13" s="94"/>
      <c r="K13" s="94"/>
      <c r="L13" s="94"/>
      <c r="M13" s="94"/>
      <c r="N13" s="94"/>
      <c r="O13" s="94"/>
    </row>
    <row r="14" spans="1:15" x14ac:dyDescent="0.35">
      <c r="A14" s="4"/>
      <c r="B14" s="180" t="s">
        <v>29</v>
      </c>
      <c r="C14" s="180"/>
      <c r="D14" s="180"/>
      <c r="E14" s="180"/>
      <c r="F14" s="180"/>
      <c r="G14" s="180"/>
      <c r="H14" s="4"/>
      <c r="I14" s="94"/>
      <c r="J14" s="94"/>
      <c r="K14" s="94"/>
      <c r="L14" s="94"/>
      <c r="M14" s="94"/>
      <c r="N14" s="94"/>
      <c r="O14" s="94"/>
    </row>
    <row r="15" spans="1:15" x14ac:dyDescent="0.35">
      <c r="A15" s="4"/>
      <c r="B15" s="180" t="s">
        <v>30</v>
      </c>
      <c r="C15" s="180"/>
      <c r="D15" s="180"/>
      <c r="E15" s="180"/>
      <c r="F15" s="180"/>
      <c r="G15" s="180"/>
      <c r="H15" s="4"/>
      <c r="I15" s="94"/>
      <c r="J15" s="94"/>
      <c r="K15" s="94"/>
      <c r="L15" s="94"/>
      <c r="M15" s="94"/>
      <c r="N15" s="94"/>
      <c r="O15" s="94"/>
    </row>
    <row r="16" spans="1:15" x14ac:dyDescent="0.35">
      <c r="A16" s="4"/>
      <c r="B16" s="180" t="s">
        <v>31</v>
      </c>
      <c r="C16" s="180"/>
      <c r="D16" s="180"/>
      <c r="E16" s="180"/>
      <c r="F16" s="180"/>
      <c r="G16" s="180"/>
      <c r="H16" s="4"/>
      <c r="I16" s="94"/>
      <c r="J16" s="94"/>
      <c r="K16" s="94"/>
      <c r="L16" s="94"/>
      <c r="M16" s="94"/>
      <c r="N16" s="94"/>
      <c r="O16" s="94"/>
    </row>
    <row r="17" spans="1:8" x14ac:dyDescent="0.35">
      <c r="A17" s="4"/>
      <c r="B17" s="180" t="s">
        <v>32</v>
      </c>
      <c r="C17" s="180"/>
      <c r="D17" s="180"/>
      <c r="E17" s="180"/>
      <c r="F17" s="180"/>
      <c r="G17" s="180"/>
      <c r="H17" s="4"/>
    </row>
    <row r="18" spans="1:8" x14ac:dyDescent="0.35">
      <c r="A18" s="4"/>
      <c r="B18" s="180" t="s">
        <v>33</v>
      </c>
      <c r="C18" s="180"/>
      <c r="D18" s="180"/>
      <c r="E18" s="180"/>
      <c r="F18" s="180"/>
      <c r="G18" s="180"/>
      <c r="H18" s="4"/>
    </row>
    <row r="19" spans="1:8" x14ac:dyDescent="0.35">
      <c r="A19" s="4"/>
      <c r="B19" s="180" t="s">
        <v>34</v>
      </c>
      <c r="C19" s="180"/>
      <c r="D19" s="180"/>
      <c r="E19" s="180"/>
      <c r="F19" s="180"/>
      <c r="G19" s="180"/>
      <c r="H19" s="4"/>
    </row>
    <row r="20" spans="1:8" x14ac:dyDescent="0.35">
      <c r="A20" s="4"/>
      <c r="B20" s="180" t="s">
        <v>35</v>
      </c>
      <c r="C20" s="180"/>
      <c r="D20" s="180"/>
      <c r="E20" s="180"/>
      <c r="F20" s="180"/>
      <c r="G20" s="180"/>
      <c r="H20" s="4"/>
    </row>
    <row r="21" spans="1:8" x14ac:dyDescent="0.35">
      <c r="A21" s="4"/>
      <c r="B21" s="180" t="s">
        <v>36</v>
      </c>
      <c r="C21" s="180"/>
      <c r="D21" s="180"/>
      <c r="E21" s="180"/>
      <c r="F21" s="180"/>
      <c r="G21" s="180"/>
      <c r="H21" s="4"/>
    </row>
    <row r="22" spans="1:8" x14ac:dyDescent="0.35">
      <c r="A22" s="4"/>
      <c r="B22" s="183" t="s">
        <v>37</v>
      </c>
      <c r="C22" s="184"/>
      <c r="D22" s="184"/>
      <c r="E22" s="184"/>
      <c r="F22" s="184"/>
      <c r="G22" s="185"/>
      <c r="H22" s="4"/>
    </row>
    <row r="23" spans="1:8" x14ac:dyDescent="0.35">
      <c r="A23" s="4"/>
      <c r="B23" s="183" t="s">
        <v>38</v>
      </c>
      <c r="C23" s="184"/>
      <c r="D23" s="184"/>
      <c r="E23" s="184"/>
      <c r="F23" s="184"/>
      <c r="G23" s="185"/>
      <c r="H23" s="4"/>
    </row>
    <row r="24" spans="1:8" x14ac:dyDescent="0.35">
      <c r="A24" s="4"/>
      <c r="B24" s="186"/>
      <c r="C24" s="186"/>
      <c r="D24" s="186"/>
      <c r="E24" s="186"/>
      <c r="F24" s="186"/>
      <c r="G24" s="186"/>
      <c r="H24" s="4"/>
    </row>
    <row r="26" spans="1:8" x14ac:dyDescent="0.35">
      <c r="A26" s="48" t="s">
        <v>39</v>
      </c>
      <c r="B26" s="98"/>
      <c r="C26" s="98"/>
      <c r="D26" s="98"/>
      <c r="E26" s="98"/>
      <c r="F26" s="98"/>
      <c r="G26" s="98"/>
      <c r="H26" s="99"/>
    </row>
    <row r="27" spans="1:8" x14ac:dyDescent="0.35">
      <c r="A27" s="9" t="s">
        <v>15</v>
      </c>
      <c r="B27" s="187" t="s">
        <v>40</v>
      </c>
      <c r="C27" s="187"/>
      <c r="D27" s="187"/>
      <c r="E27" s="187"/>
      <c r="F27" s="187"/>
      <c r="G27" s="187"/>
      <c r="H27" s="10" t="s">
        <v>41</v>
      </c>
    </row>
    <row r="28" spans="1:8" x14ac:dyDescent="0.35">
      <c r="A28" s="100"/>
      <c r="B28" s="188"/>
      <c r="C28" s="188"/>
      <c r="D28" s="188"/>
      <c r="E28" s="188"/>
      <c r="F28" s="188"/>
      <c r="G28" s="188"/>
      <c r="H28" s="100"/>
    </row>
    <row r="29" spans="1:8" x14ac:dyDescent="0.35">
      <c r="A29" s="100"/>
      <c r="B29" s="188"/>
      <c r="C29" s="188"/>
      <c r="D29" s="188"/>
      <c r="E29" s="188"/>
      <c r="F29" s="188"/>
      <c r="G29" s="188"/>
      <c r="H29" s="100"/>
    </row>
    <row r="30" spans="1:8" x14ac:dyDescent="0.35">
      <c r="A30" s="100"/>
      <c r="B30" s="188"/>
      <c r="C30" s="188"/>
      <c r="D30" s="188"/>
      <c r="E30" s="188"/>
      <c r="F30" s="188"/>
      <c r="G30" s="188"/>
      <c r="H30" s="100"/>
    </row>
    <row r="31" spans="1:8" x14ac:dyDescent="0.35">
      <c r="A31" s="100"/>
      <c r="B31" s="188"/>
      <c r="C31" s="188"/>
      <c r="D31" s="188"/>
      <c r="E31" s="188"/>
      <c r="F31" s="188"/>
      <c r="G31" s="188"/>
      <c r="H31" s="100"/>
    </row>
    <row r="32" spans="1:8" x14ac:dyDescent="0.35">
      <c r="A32" s="100"/>
      <c r="B32" s="188"/>
      <c r="C32" s="188"/>
      <c r="D32" s="188"/>
      <c r="E32" s="188"/>
      <c r="F32" s="188"/>
      <c r="G32" s="188"/>
      <c r="H32" s="100"/>
    </row>
    <row r="34" spans="1:10" ht="14.25" customHeight="1" x14ac:dyDescent="0.35">
      <c r="A34" s="48" t="s">
        <v>42</v>
      </c>
      <c r="B34" s="98"/>
      <c r="C34" s="98"/>
      <c r="D34" s="98"/>
      <c r="E34" s="98"/>
      <c r="F34" s="98"/>
      <c r="G34" s="98"/>
      <c r="H34" s="99"/>
      <c r="I34" s="94"/>
      <c r="J34" s="94"/>
    </row>
    <row r="35" spans="1:10" x14ac:dyDescent="0.35">
      <c r="A35" s="12" t="s">
        <v>43</v>
      </c>
      <c r="B35" s="189" t="s">
        <v>44</v>
      </c>
      <c r="C35" s="189"/>
      <c r="D35" s="189"/>
      <c r="E35" s="189"/>
      <c r="F35" s="189"/>
      <c r="G35" s="189"/>
      <c r="H35" s="13" t="s">
        <v>45</v>
      </c>
      <c r="I35" s="94"/>
      <c r="J35" s="94"/>
    </row>
    <row r="36" spans="1:10" x14ac:dyDescent="0.35">
      <c r="A36" s="101"/>
      <c r="B36" s="182"/>
      <c r="C36" s="182"/>
      <c r="D36" s="182"/>
      <c r="E36" s="182"/>
      <c r="F36" s="182"/>
      <c r="G36" s="182"/>
      <c r="H36" s="101"/>
      <c r="I36" s="94"/>
      <c r="J36" s="94"/>
    </row>
    <row r="37" spans="1:10" x14ac:dyDescent="0.35">
      <c r="A37" s="101"/>
      <c r="B37" s="182"/>
      <c r="C37" s="182"/>
      <c r="D37" s="182"/>
      <c r="E37" s="182"/>
      <c r="F37" s="182"/>
      <c r="G37" s="182"/>
      <c r="H37" s="101"/>
      <c r="I37" s="94"/>
      <c r="J37" s="94"/>
    </row>
    <row r="38" spans="1:10" x14ac:dyDescent="0.35">
      <c r="A38" s="101"/>
      <c r="B38" s="182"/>
      <c r="C38" s="182"/>
      <c r="D38" s="182"/>
      <c r="E38" s="182"/>
      <c r="F38" s="182"/>
      <c r="G38" s="182"/>
      <c r="H38" s="101"/>
      <c r="I38" s="94"/>
      <c r="J38" s="94"/>
    </row>
    <row r="39" spans="1:10" x14ac:dyDescent="0.35">
      <c r="A39" s="101"/>
      <c r="B39" s="182"/>
      <c r="C39" s="182"/>
      <c r="D39" s="182"/>
      <c r="E39" s="182"/>
      <c r="F39" s="182"/>
      <c r="G39" s="182"/>
      <c r="H39" s="101"/>
      <c r="I39" s="94"/>
      <c r="J39" s="94"/>
    </row>
    <row r="40" spans="1:10" x14ac:dyDescent="0.35">
      <c r="A40" s="101"/>
      <c r="B40" s="182"/>
      <c r="C40" s="182"/>
      <c r="D40" s="182"/>
      <c r="E40" s="182"/>
      <c r="F40" s="182"/>
      <c r="G40" s="182"/>
      <c r="H40" s="101"/>
      <c r="I40" s="94"/>
      <c r="J40" s="94"/>
    </row>
    <row r="41" spans="1:10" x14ac:dyDescent="0.35">
      <c r="A41" s="101"/>
      <c r="B41" s="182"/>
      <c r="C41" s="182"/>
      <c r="D41" s="182"/>
      <c r="E41" s="182"/>
      <c r="F41" s="182"/>
      <c r="G41" s="182"/>
      <c r="H41" s="101"/>
      <c r="I41" s="94"/>
      <c r="J41" s="94"/>
    </row>
    <row r="42" spans="1:10" x14ac:dyDescent="0.35">
      <c r="A42" s="101"/>
      <c r="B42" s="182"/>
      <c r="C42" s="182"/>
      <c r="D42" s="182"/>
      <c r="E42" s="182"/>
      <c r="F42" s="182"/>
      <c r="G42" s="182"/>
      <c r="H42" s="101"/>
      <c r="I42" s="94"/>
      <c r="J42" s="94"/>
    </row>
    <row r="44" spans="1:10" x14ac:dyDescent="0.35">
      <c r="A44" s="190" t="s">
        <v>46</v>
      </c>
      <c r="B44" s="191"/>
      <c r="C44" s="191"/>
      <c r="D44" s="191"/>
      <c r="E44" s="191"/>
      <c r="F44" s="191"/>
      <c r="G44" s="191"/>
      <c r="H44" s="191"/>
      <c r="I44" s="191"/>
      <c r="J44" s="192"/>
    </row>
    <row r="45" spans="1:10" x14ac:dyDescent="0.35">
      <c r="A45" s="193"/>
      <c r="B45" s="194"/>
      <c r="C45" s="194"/>
      <c r="D45" s="194"/>
      <c r="E45" s="194"/>
      <c r="F45" s="194"/>
      <c r="G45" s="194"/>
      <c r="H45" s="194"/>
      <c r="I45" s="194"/>
      <c r="J45" s="195"/>
    </row>
    <row r="46" spans="1:10" x14ac:dyDescent="0.35">
      <c r="A46" s="193"/>
      <c r="B46" s="194"/>
      <c r="C46" s="194"/>
      <c r="D46" s="194"/>
      <c r="E46" s="194"/>
      <c r="F46" s="194"/>
      <c r="G46" s="194"/>
      <c r="H46" s="194"/>
      <c r="I46" s="194"/>
      <c r="J46" s="195"/>
    </row>
    <row r="47" spans="1:10" x14ac:dyDescent="0.35">
      <c r="A47" s="196"/>
      <c r="B47" s="197"/>
      <c r="C47" s="197"/>
      <c r="D47" s="197"/>
      <c r="E47" s="197"/>
      <c r="F47" s="197"/>
      <c r="G47" s="197"/>
      <c r="H47" s="197"/>
      <c r="I47" s="197"/>
      <c r="J47" s="198"/>
    </row>
    <row r="65" spans="6:6" x14ac:dyDescent="0.35">
      <c r="F65" s="3"/>
    </row>
  </sheetData>
  <mergeCells count="37">
    <mergeCell ref="A44:J47"/>
    <mergeCell ref="B37:G37"/>
    <mergeCell ref="B38:G38"/>
    <mergeCell ref="B39:G39"/>
    <mergeCell ref="B40:G40"/>
    <mergeCell ref="B41:G41"/>
    <mergeCell ref="B42:G42"/>
    <mergeCell ref="B36:G36"/>
    <mergeCell ref="B22:G22"/>
    <mergeCell ref="B23:G23"/>
    <mergeCell ref="B24:G24"/>
    <mergeCell ref="B27:G27"/>
    <mergeCell ref="B28:G28"/>
    <mergeCell ref="B29:G29"/>
    <mergeCell ref="B30:G30"/>
    <mergeCell ref="B31:G31"/>
    <mergeCell ref="B32:G32"/>
    <mergeCell ref="B35:G35"/>
    <mergeCell ref="B21:G21"/>
    <mergeCell ref="B10:G10"/>
    <mergeCell ref="B11:G11"/>
    <mergeCell ref="B12:G12"/>
    <mergeCell ref="B13:G13"/>
    <mergeCell ref="B14:G14"/>
    <mergeCell ref="B15:G15"/>
    <mergeCell ref="B16:G16"/>
    <mergeCell ref="B17:G17"/>
    <mergeCell ref="B18:G18"/>
    <mergeCell ref="B19:G19"/>
    <mergeCell ref="B20:G20"/>
    <mergeCell ref="K5:O8"/>
    <mergeCell ref="B9:G9"/>
    <mergeCell ref="B4:G4"/>
    <mergeCell ref="B5:G5"/>
    <mergeCell ref="B6:G6"/>
    <mergeCell ref="B7:G7"/>
    <mergeCell ref="B8:G8"/>
  </mergeCells>
  <pageMargins left="1.0899999999999999" right="0.7" top="0.75" bottom="0.75" header="0.3" footer="0.3"/>
  <pageSetup scale="80" orientation="portrait"/>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zoomScaleNormal="100" workbookViewId="0">
      <selection activeCell="A22" sqref="A22:I54"/>
    </sheetView>
  </sheetViews>
  <sheetFormatPr defaultColWidth="9.1796875" defaultRowHeight="15.5" x14ac:dyDescent="0.35"/>
  <cols>
    <col min="1" max="1" width="9.1796875" style="2" customWidth="1"/>
    <col min="2" max="2" width="14.54296875" style="2" bestFit="1" customWidth="1"/>
    <col min="3" max="9" width="9.1796875" style="2"/>
    <col min="10" max="10" width="11.54296875" style="2" customWidth="1"/>
    <col min="11" max="16384" width="9.1796875" style="2"/>
  </cols>
  <sheetData>
    <row r="1" spans="1:14" x14ac:dyDescent="0.35">
      <c r="A1" s="94" t="str">
        <f>+'Cover Page'!$B$29</f>
        <v>Annual Performance Report 2022</v>
      </c>
      <c r="B1" s="94"/>
      <c r="C1" s="94"/>
      <c r="D1" s="94"/>
      <c r="E1" s="94" t="str">
        <f>+'Cover Page'!$B$33</f>
        <v>Welland Biopower Ltd</v>
      </c>
      <c r="F1" s="94"/>
      <c r="G1" s="94"/>
      <c r="H1" s="94"/>
      <c r="I1" s="94"/>
      <c r="J1" s="94"/>
      <c r="K1" s="94"/>
      <c r="L1" s="94"/>
      <c r="M1" s="94"/>
      <c r="N1" s="94"/>
    </row>
    <row r="3" spans="1:14" x14ac:dyDescent="0.35">
      <c r="A3" s="47" t="s">
        <v>47</v>
      </c>
      <c r="B3" s="102"/>
      <c r="C3" s="102"/>
      <c r="D3" s="102"/>
      <c r="E3" s="102"/>
      <c r="F3" s="102"/>
      <c r="G3" s="102"/>
      <c r="H3" s="102"/>
      <c r="I3" s="103"/>
      <c r="J3" s="94"/>
      <c r="K3" s="77" t="s">
        <v>3</v>
      </c>
      <c r="L3" s="94"/>
      <c r="M3" s="94"/>
      <c r="N3" s="94"/>
    </row>
    <row r="4" spans="1:14" x14ac:dyDescent="0.35">
      <c r="A4" s="104"/>
      <c r="B4" s="105"/>
      <c r="C4" s="105"/>
      <c r="D4" s="105"/>
      <c r="E4" s="105"/>
      <c r="F4" s="105"/>
      <c r="G4" s="105"/>
      <c r="H4" s="105"/>
      <c r="I4" s="106"/>
      <c r="J4" s="94"/>
      <c r="K4" s="94"/>
      <c r="L4" s="94"/>
      <c r="M4" s="94"/>
      <c r="N4" s="94"/>
    </row>
    <row r="5" spans="1:14" ht="15.75" customHeight="1" x14ac:dyDescent="0.35">
      <c r="A5" s="199" t="s">
        <v>455</v>
      </c>
      <c r="B5" s="200"/>
      <c r="C5" s="200"/>
      <c r="D5" s="200"/>
      <c r="E5" s="200"/>
      <c r="F5" s="200"/>
      <c r="G5" s="200"/>
      <c r="H5" s="200"/>
      <c r="I5" s="201"/>
      <c r="J5" s="94"/>
      <c r="K5" s="216" t="s">
        <v>48</v>
      </c>
      <c r="L5" s="216"/>
      <c r="M5" s="216"/>
      <c r="N5" s="216"/>
    </row>
    <row r="6" spans="1:14" x14ac:dyDescent="0.35">
      <c r="A6" s="202"/>
      <c r="B6" s="203"/>
      <c r="C6" s="203"/>
      <c r="D6" s="203"/>
      <c r="E6" s="203"/>
      <c r="F6" s="203"/>
      <c r="G6" s="203"/>
      <c r="H6" s="203"/>
      <c r="I6" s="204"/>
      <c r="J6" s="94"/>
      <c r="K6" s="216"/>
      <c r="L6" s="216"/>
      <c r="M6" s="216"/>
      <c r="N6" s="216"/>
    </row>
    <row r="7" spans="1:14" x14ac:dyDescent="0.35">
      <c r="A7" s="202"/>
      <c r="B7" s="203"/>
      <c r="C7" s="203"/>
      <c r="D7" s="203"/>
      <c r="E7" s="203"/>
      <c r="F7" s="203"/>
      <c r="G7" s="203"/>
      <c r="H7" s="203"/>
      <c r="I7" s="204"/>
      <c r="J7" s="94"/>
      <c r="K7" s="216"/>
      <c r="L7" s="216"/>
      <c r="M7" s="216"/>
      <c r="N7" s="216"/>
    </row>
    <row r="8" spans="1:14" ht="15.75" customHeight="1" x14ac:dyDescent="0.35">
      <c r="A8" s="202"/>
      <c r="B8" s="203"/>
      <c r="C8" s="203"/>
      <c r="D8" s="203"/>
      <c r="E8" s="203"/>
      <c r="F8" s="203"/>
      <c r="G8" s="203"/>
      <c r="H8" s="203"/>
      <c r="I8" s="204"/>
      <c r="J8" s="94"/>
      <c r="K8" s="216"/>
      <c r="L8" s="216"/>
      <c r="M8" s="216"/>
      <c r="N8" s="216"/>
    </row>
    <row r="9" spans="1:14" x14ac:dyDescent="0.35">
      <c r="A9" s="202"/>
      <c r="B9" s="203"/>
      <c r="C9" s="203"/>
      <c r="D9" s="203"/>
      <c r="E9" s="203"/>
      <c r="F9" s="203"/>
      <c r="G9" s="203"/>
      <c r="H9" s="203"/>
      <c r="I9" s="204"/>
      <c r="J9" s="94"/>
      <c r="K9" s="216"/>
      <c r="L9" s="216"/>
      <c r="M9" s="216"/>
      <c r="N9" s="216"/>
    </row>
    <row r="10" spans="1:14" x14ac:dyDescent="0.35">
      <c r="A10" s="202"/>
      <c r="B10" s="203"/>
      <c r="C10" s="203"/>
      <c r="D10" s="203"/>
      <c r="E10" s="203"/>
      <c r="F10" s="203"/>
      <c r="G10" s="203"/>
      <c r="H10" s="203"/>
      <c r="I10" s="204"/>
      <c r="J10" s="94"/>
      <c r="K10" s="216"/>
      <c r="L10" s="216"/>
      <c r="M10" s="216"/>
      <c r="N10" s="216"/>
    </row>
    <row r="11" spans="1:14" x14ac:dyDescent="0.35">
      <c r="A11" s="202"/>
      <c r="B11" s="203"/>
      <c r="C11" s="203"/>
      <c r="D11" s="203"/>
      <c r="E11" s="203"/>
      <c r="F11" s="203"/>
      <c r="G11" s="203"/>
      <c r="H11" s="203"/>
      <c r="I11" s="204"/>
      <c r="J11" s="94"/>
      <c r="K11" s="216"/>
      <c r="L11" s="216"/>
      <c r="M11" s="216"/>
      <c r="N11" s="216"/>
    </row>
    <row r="12" spans="1:14" x14ac:dyDescent="0.35">
      <c r="A12" s="202"/>
      <c r="B12" s="203"/>
      <c r="C12" s="203"/>
      <c r="D12" s="203"/>
      <c r="E12" s="203"/>
      <c r="F12" s="203"/>
      <c r="G12" s="203"/>
      <c r="H12" s="203"/>
      <c r="I12" s="204"/>
      <c r="J12" s="94"/>
      <c r="K12" s="216"/>
      <c r="L12" s="216"/>
      <c r="M12" s="216"/>
      <c r="N12" s="216"/>
    </row>
    <row r="13" spans="1:14" x14ac:dyDescent="0.35">
      <c r="A13" s="202"/>
      <c r="B13" s="203"/>
      <c r="C13" s="203"/>
      <c r="D13" s="203"/>
      <c r="E13" s="203"/>
      <c r="F13" s="203"/>
      <c r="G13" s="203"/>
      <c r="H13" s="203"/>
      <c r="I13" s="204"/>
      <c r="J13" s="94"/>
      <c r="K13" s="216"/>
      <c r="L13" s="216"/>
      <c r="M13" s="216"/>
      <c r="N13" s="216"/>
    </row>
    <row r="14" spans="1:14" x14ac:dyDescent="0.35">
      <c r="A14" s="202"/>
      <c r="B14" s="203"/>
      <c r="C14" s="203"/>
      <c r="D14" s="203"/>
      <c r="E14" s="203"/>
      <c r="F14" s="203"/>
      <c r="G14" s="203"/>
      <c r="H14" s="203"/>
      <c r="I14" s="204"/>
      <c r="J14" s="94"/>
      <c r="K14" s="216"/>
      <c r="L14" s="216"/>
      <c r="M14" s="216"/>
      <c r="N14" s="216"/>
    </row>
    <row r="15" spans="1:14" x14ac:dyDescent="0.35">
      <c r="A15" s="202"/>
      <c r="B15" s="203"/>
      <c r="C15" s="203"/>
      <c r="D15" s="203"/>
      <c r="E15" s="203"/>
      <c r="F15" s="203"/>
      <c r="G15" s="203"/>
      <c r="H15" s="203"/>
      <c r="I15" s="204"/>
      <c r="J15" s="94"/>
      <c r="K15" s="94"/>
      <c r="L15" s="94"/>
      <c r="M15" s="94"/>
      <c r="N15" s="94"/>
    </row>
    <row r="16" spans="1:14" x14ac:dyDescent="0.35">
      <c r="A16" s="202"/>
      <c r="B16" s="203"/>
      <c r="C16" s="203"/>
      <c r="D16" s="203"/>
      <c r="E16" s="203"/>
      <c r="F16" s="203"/>
      <c r="G16" s="203"/>
      <c r="H16" s="203"/>
      <c r="I16" s="204"/>
      <c r="J16" s="94"/>
      <c r="K16" s="94"/>
      <c r="L16" s="94"/>
      <c r="M16" s="94"/>
      <c r="N16" s="94"/>
    </row>
    <row r="17" spans="1:14" x14ac:dyDescent="0.35">
      <c r="A17" s="202"/>
      <c r="B17" s="203"/>
      <c r="C17" s="203"/>
      <c r="D17" s="203"/>
      <c r="E17" s="203"/>
      <c r="F17" s="203"/>
      <c r="G17" s="203"/>
      <c r="H17" s="203"/>
      <c r="I17" s="204"/>
      <c r="J17" s="94"/>
      <c r="K17" s="94"/>
      <c r="L17" s="94"/>
      <c r="M17" s="94"/>
      <c r="N17" s="94"/>
    </row>
    <row r="18" spans="1:14" x14ac:dyDescent="0.35">
      <c r="A18" s="205"/>
      <c r="B18" s="206"/>
      <c r="C18" s="206"/>
      <c r="D18" s="206"/>
      <c r="E18" s="206"/>
      <c r="F18" s="206"/>
      <c r="G18" s="206"/>
      <c r="H18" s="206"/>
      <c r="I18" s="207"/>
      <c r="J18" s="94"/>
      <c r="K18" s="94"/>
      <c r="L18" s="94"/>
      <c r="M18" s="94"/>
      <c r="N18" s="94"/>
    </row>
    <row r="20" spans="1:14" x14ac:dyDescent="0.35">
      <c r="A20" s="47" t="s">
        <v>49</v>
      </c>
      <c r="B20" s="102"/>
      <c r="C20" s="102"/>
      <c r="D20" s="102"/>
      <c r="E20" s="102"/>
      <c r="F20" s="102"/>
      <c r="G20" s="102"/>
      <c r="H20" s="102"/>
      <c r="I20" s="103"/>
      <c r="J20" s="94"/>
      <c r="K20" s="94"/>
      <c r="L20" s="94"/>
      <c r="M20" s="94"/>
      <c r="N20" s="94"/>
    </row>
    <row r="21" spans="1:14" x14ac:dyDescent="0.35">
      <c r="A21" s="104"/>
      <c r="B21" s="105"/>
      <c r="C21" s="105"/>
      <c r="D21" s="105"/>
      <c r="E21" s="105"/>
      <c r="F21" s="105"/>
      <c r="G21" s="105"/>
      <c r="H21" s="105"/>
      <c r="I21" s="106"/>
      <c r="J21" s="94"/>
      <c r="K21" s="94"/>
      <c r="L21" s="94"/>
      <c r="M21" s="94"/>
      <c r="N21" s="94"/>
    </row>
    <row r="22" spans="1:14" ht="15" customHeight="1" x14ac:dyDescent="0.35">
      <c r="A22" s="199" t="s">
        <v>377</v>
      </c>
      <c r="B22" s="208"/>
      <c r="C22" s="208"/>
      <c r="D22" s="208"/>
      <c r="E22" s="208"/>
      <c r="F22" s="208"/>
      <c r="G22" s="208"/>
      <c r="H22" s="208"/>
      <c r="I22" s="209"/>
      <c r="J22" s="94"/>
      <c r="K22" s="216" t="s">
        <v>50</v>
      </c>
      <c r="L22" s="216"/>
      <c r="M22" s="216"/>
      <c r="N22" s="216"/>
    </row>
    <row r="23" spans="1:14" x14ac:dyDescent="0.35">
      <c r="A23" s="210"/>
      <c r="B23" s="211"/>
      <c r="C23" s="211"/>
      <c r="D23" s="211"/>
      <c r="E23" s="211"/>
      <c r="F23" s="211"/>
      <c r="G23" s="211"/>
      <c r="H23" s="211"/>
      <c r="I23" s="212"/>
      <c r="J23" s="94"/>
      <c r="K23" s="216"/>
      <c r="L23" s="216"/>
      <c r="M23" s="216"/>
      <c r="N23" s="216"/>
    </row>
    <row r="24" spans="1:14" x14ac:dyDescent="0.35">
      <c r="A24" s="210"/>
      <c r="B24" s="211"/>
      <c r="C24" s="211"/>
      <c r="D24" s="211"/>
      <c r="E24" s="211"/>
      <c r="F24" s="211"/>
      <c r="G24" s="211"/>
      <c r="H24" s="211"/>
      <c r="I24" s="212"/>
      <c r="J24" s="94"/>
      <c r="K24" s="216"/>
      <c r="L24" s="216"/>
      <c r="M24" s="216"/>
      <c r="N24" s="216"/>
    </row>
    <row r="25" spans="1:14" x14ac:dyDescent="0.35">
      <c r="A25" s="210"/>
      <c r="B25" s="211"/>
      <c r="C25" s="211"/>
      <c r="D25" s="211"/>
      <c r="E25" s="211"/>
      <c r="F25" s="211"/>
      <c r="G25" s="211"/>
      <c r="H25" s="211"/>
      <c r="I25" s="212"/>
      <c r="J25" s="94"/>
      <c r="K25" s="216"/>
      <c r="L25" s="216"/>
      <c r="M25" s="216"/>
      <c r="N25" s="216"/>
    </row>
    <row r="26" spans="1:14" x14ac:dyDescent="0.35">
      <c r="A26" s="210"/>
      <c r="B26" s="211"/>
      <c r="C26" s="211"/>
      <c r="D26" s="211"/>
      <c r="E26" s="211"/>
      <c r="F26" s="211"/>
      <c r="G26" s="211"/>
      <c r="H26" s="211"/>
      <c r="I26" s="212"/>
      <c r="J26" s="94"/>
      <c r="K26" s="216"/>
      <c r="L26" s="216"/>
      <c r="M26" s="216"/>
      <c r="N26" s="216"/>
    </row>
    <row r="27" spans="1:14" x14ac:dyDescent="0.35">
      <c r="A27" s="210"/>
      <c r="B27" s="211"/>
      <c r="C27" s="211"/>
      <c r="D27" s="211"/>
      <c r="E27" s="211"/>
      <c r="F27" s="211"/>
      <c r="G27" s="211"/>
      <c r="H27" s="211"/>
      <c r="I27" s="212"/>
      <c r="J27" s="94"/>
      <c r="K27" s="216"/>
      <c r="L27" s="216"/>
      <c r="M27" s="216"/>
      <c r="N27" s="216"/>
    </row>
    <row r="28" spans="1:14" x14ac:dyDescent="0.35">
      <c r="A28" s="210"/>
      <c r="B28" s="211"/>
      <c r="C28" s="211"/>
      <c r="D28" s="211"/>
      <c r="E28" s="211"/>
      <c r="F28" s="211"/>
      <c r="G28" s="211"/>
      <c r="H28" s="211"/>
      <c r="I28" s="212"/>
      <c r="J28" s="94"/>
      <c r="K28" s="216"/>
      <c r="L28" s="216"/>
      <c r="M28" s="216"/>
      <c r="N28" s="216"/>
    </row>
    <row r="29" spans="1:14" x14ac:dyDescent="0.35">
      <c r="A29" s="210"/>
      <c r="B29" s="211"/>
      <c r="C29" s="211"/>
      <c r="D29" s="211"/>
      <c r="E29" s="211"/>
      <c r="F29" s="211"/>
      <c r="G29" s="211"/>
      <c r="H29" s="211"/>
      <c r="I29" s="212"/>
      <c r="J29" s="94"/>
      <c r="K29" s="216"/>
      <c r="L29" s="216"/>
      <c r="M29" s="216"/>
      <c r="N29" s="216"/>
    </row>
    <row r="30" spans="1:14" x14ac:dyDescent="0.35">
      <c r="A30" s="210"/>
      <c r="B30" s="211"/>
      <c r="C30" s="211"/>
      <c r="D30" s="211"/>
      <c r="E30" s="211"/>
      <c r="F30" s="211"/>
      <c r="G30" s="211"/>
      <c r="H30" s="211"/>
      <c r="I30" s="212"/>
      <c r="J30" s="94"/>
      <c r="K30" s="216"/>
      <c r="L30" s="216"/>
      <c r="M30" s="216"/>
      <c r="N30" s="216"/>
    </row>
    <row r="31" spans="1:14" x14ac:dyDescent="0.35">
      <c r="A31" s="210"/>
      <c r="B31" s="211"/>
      <c r="C31" s="211"/>
      <c r="D31" s="211"/>
      <c r="E31" s="211"/>
      <c r="F31" s="211"/>
      <c r="G31" s="211"/>
      <c r="H31" s="211"/>
      <c r="I31" s="212"/>
      <c r="J31" s="94"/>
      <c r="K31" s="216"/>
      <c r="L31" s="216"/>
      <c r="M31" s="216"/>
      <c r="N31" s="216"/>
    </row>
    <row r="32" spans="1:14" x14ac:dyDescent="0.35">
      <c r="A32" s="210"/>
      <c r="B32" s="211"/>
      <c r="C32" s="211"/>
      <c r="D32" s="211"/>
      <c r="E32" s="211"/>
      <c r="F32" s="211"/>
      <c r="G32" s="211"/>
      <c r="H32" s="211"/>
      <c r="I32" s="212"/>
      <c r="J32" s="94"/>
      <c r="K32" s="94"/>
      <c r="L32" s="94"/>
      <c r="M32" s="94"/>
      <c r="N32" s="94"/>
    </row>
    <row r="33" spans="1:9" x14ac:dyDescent="0.35">
      <c r="A33" s="210"/>
      <c r="B33" s="211"/>
      <c r="C33" s="211"/>
      <c r="D33" s="211"/>
      <c r="E33" s="211"/>
      <c r="F33" s="211"/>
      <c r="G33" s="211"/>
      <c r="H33" s="211"/>
      <c r="I33" s="212"/>
    </row>
    <row r="34" spans="1:9" x14ac:dyDescent="0.35">
      <c r="A34" s="210"/>
      <c r="B34" s="211"/>
      <c r="C34" s="211"/>
      <c r="D34" s="211"/>
      <c r="E34" s="211"/>
      <c r="F34" s="211"/>
      <c r="G34" s="211"/>
      <c r="H34" s="211"/>
      <c r="I34" s="212"/>
    </row>
    <row r="35" spans="1:9" x14ac:dyDescent="0.35">
      <c r="A35" s="210"/>
      <c r="B35" s="211"/>
      <c r="C35" s="211"/>
      <c r="D35" s="211"/>
      <c r="E35" s="211"/>
      <c r="F35" s="211"/>
      <c r="G35" s="211"/>
      <c r="H35" s="211"/>
      <c r="I35" s="212"/>
    </row>
    <row r="36" spans="1:9" x14ac:dyDescent="0.35">
      <c r="A36" s="210"/>
      <c r="B36" s="211"/>
      <c r="C36" s="211"/>
      <c r="D36" s="211"/>
      <c r="E36" s="211"/>
      <c r="F36" s="211"/>
      <c r="G36" s="211"/>
      <c r="H36" s="211"/>
      <c r="I36" s="212"/>
    </row>
    <row r="37" spans="1:9" x14ac:dyDescent="0.35">
      <c r="A37" s="210"/>
      <c r="B37" s="211"/>
      <c r="C37" s="211"/>
      <c r="D37" s="211"/>
      <c r="E37" s="211"/>
      <c r="F37" s="211"/>
      <c r="G37" s="211"/>
      <c r="H37" s="211"/>
      <c r="I37" s="212"/>
    </row>
    <row r="38" spans="1:9" x14ac:dyDescent="0.35">
      <c r="A38" s="210"/>
      <c r="B38" s="211"/>
      <c r="C38" s="211"/>
      <c r="D38" s="211"/>
      <c r="E38" s="211"/>
      <c r="F38" s="211"/>
      <c r="G38" s="211"/>
      <c r="H38" s="211"/>
      <c r="I38" s="212"/>
    </row>
    <row r="39" spans="1:9" x14ac:dyDescent="0.35">
      <c r="A39" s="210"/>
      <c r="B39" s="211"/>
      <c r="C39" s="211"/>
      <c r="D39" s="211"/>
      <c r="E39" s="211"/>
      <c r="F39" s="211"/>
      <c r="G39" s="211"/>
      <c r="H39" s="211"/>
      <c r="I39" s="212"/>
    </row>
    <row r="40" spans="1:9" ht="14.25" customHeight="1" x14ac:dyDescent="0.35">
      <c r="A40" s="210"/>
      <c r="B40" s="211"/>
      <c r="C40" s="211"/>
      <c r="D40" s="211"/>
      <c r="E40" s="211"/>
      <c r="F40" s="211"/>
      <c r="G40" s="211"/>
      <c r="H40" s="211"/>
      <c r="I40" s="212"/>
    </row>
    <row r="41" spans="1:9" x14ac:dyDescent="0.35">
      <c r="A41" s="210"/>
      <c r="B41" s="211"/>
      <c r="C41" s="211"/>
      <c r="D41" s="211"/>
      <c r="E41" s="211"/>
      <c r="F41" s="211"/>
      <c r="G41" s="211"/>
      <c r="H41" s="211"/>
      <c r="I41" s="212"/>
    </row>
    <row r="42" spans="1:9" x14ac:dyDescent="0.35">
      <c r="A42" s="210"/>
      <c r="B42" s="211"/>
      <c r="C42" s="211"/>
      <c r="D42" s="211"/>
      <c r="E42" s="211"/>
      <c r="F42" s="211"/>
      <c r="G42" s="211"/>
      <c r="H42" s="211"/>
      <c r="I42" s="212"/>
    </row>
    <row r="43" spans="1:9" x14ac:dyDescent="0.35">
      <c r="A43" s="210"/>
      <c r="B43" s="211"/>
      <c r="C43" s="211"/>
      <c r="D43" s="211"/>
      <c r="E43" s="211"/>
      <c r="F43" s="211"/>
      <c r="G43" s="211"/>
      <c r="H43" s="211"/>
      <c r="I43" s="212"/>
    </row>
    <row r="44" spans="1:9" x14ac:dyDescent="0.35">
      <c r="A44" s="210"/>
      <c r="B44" s="211"/>
      <c r="C44" s="211"/>
      <c r="D44" s="211"/>
      <c r="E44" s="211"/>
      <c r="F44" s="211"/>
      <c r="G44" s="211"/>
      <c r="H44" s="211"/>
      <c r="I44" s="212"/>
    </row>
    <row r="45" spans="1:9" x14ac:dyDescent="0.35">
      <c r="A45" s="210"/>
      <c r="B45" s="211"/>
      <c r="C45" s="211"/>
      <c r="D45" s="211"/>
      <c r="E45" s="211"/>
      <c r="F45" s="211"/>
      <c r="G45" s="211"/>
      <c r="H45" s="211"/>
      <c r="I45" s="212"/>
    </row>
    <row r="46" spans="1:9" x14ac:dyDescent="0.35">
      <c r="A46" s="210"/>
      <c r="B46" s="211"/>
      <c r="C46" s="211"/>
      <c r="D46" s="211"/>
      <c r="E46" s="211"/>
      <c r="F46" s="211"/>
      <c r="G46" s="211"/>
      <c r="H46" s="211"/>
      <c r="I46" s="212"/>
    </row>
    <row r="47" spans="1:9" x14ac:dyDescent="0.35">
      <c r="A47" s="210"/>
      <c r="B47" s="211"/>
      <c r="C47" s="211"/>
      <c r="D47" s="211"/>
      <c r="E47" s="211"/>
      <c r="F47" s="211"/>
      <c r="G47" s="211"/>
      <c r="H47" s="211"/>
      <c r="I47" s="212"/>
    </row>
    <row r="48" spans="1:9" x14ac:dyDescent="0.35">
      <c r="A48" s="210"/>
      <c r="B48" s="211"/>
      <c r="C48" s="211"/>
      <c r="D48" s="211"/>
      <c r="E48" s="211"/>
      <c r="F48" s="211"/>
      <c r="G48" s="211"/>
      <c r="H48" s="211"/>
      <c r="I48" s="212"/>
    </row>
    <row r="49" spans="1:9" x14ac:dyDescent="0.35">
      <c r="A49" s="210"/>
      <c r="B49" s="211"/>
      <c r="C49" s="211"/>
      <c r="D49" s="211"/>
      <c r="E49" s="211"/>
      <c r="F49" s="211"/>
      <c r="G49" s="211"/>
      <c r="H49" s="211"/>
      <c r="I49" s="212"/>
    </row>
    <row r="50" spans="1:9" x14ac:dyDescent="0.35">
      <c r="A50" s="210"/>
      <c r="B50" s="211"/>
      <c r="C50" s="211"/>
      <c r="D50" s="211"/>
      <c r="E50" s="211"/>
      <c r="F50" s="211"/>
      <c r="G50" s="211"/>
      <c r="H50" s="211"/>
      <c r="I50" s="212"/>
    </row>
    <row r="51" spans="1:9" x14ac:dyDescent="0.35">
      <c r="A51" s="210"/>
      <c r="B51" s="211"/>
      <c r="C51" s="211"/>
      <c r="D51" s="211"/>
      <c r="E51" s="211"/>
      <c r="F51" s="211"/>
      <c r="G51" s="211"/>
      <c r="H51" s="211"/>
      <c r="I51" s="212"/>
    </row>
    <row r="52" spans="1:9" x14ac:dyDescent="0.35">
      <c r="A52" s="210"/>
      <c r="B52" s="211"/>
      <c r="C52" s="211"/>
      <c r="D52" s="211"/>
      <c r="E52" s="211"/>
      <c r="F52" s="211"/>
      <c r="G52" s="211"/>
      <c r="H52" s="211"/>
      <c r="I52" s="212"/>
    </row>
    <row r="53" spans="1:9" x14ac:dyDescent="0.35">
      <c r="A53" s="210"/>
      <c r="B53" s="211"/>
      <c r="C53" s="211"/>
      <c r="D53" s="211"/>
      <c r="E53" s="211"/>
      <c r="F53" s="211"/>
      <c r="G53" s="211"/>
      <c r="H53" s="211"/>
      <c r="I53" s="212"/>
    </row>
    <row r="54" spans="1:9" x14ac:dyDescent="0.35">
      <c r="A54" s="213"/>
      <c r="B54" s="214"/>
      <c r="C54" s="214"/>
      <c r="D54" s="214"/>
      <c r="E54" s="214"/>
      <c r="F54" s="214"/>
      <c r="G54" s="214"/>
      <c r="H54" s="214"/>
      <c r="I54" s="215"/>
    </row>
    <row r="66" spans="6:6" x14ac:dyDescent="0.35">
      <c r="F66" s="3"/>
    </row>
  </sheetData>
  <mergeCells count="4">
    <mergeCell ref="A5:I18"/>
    <mergeCell ref="A22:I54"/>
    <mergeCell ref="K5:N14"/>
    <mergeCell ref="K22:N31"/>
  </mergeCells>
  <pageMargins left="0.7" right="0.7" top="0.75" bottom="0.75" header="0.3" footer="0.3"/>
  <pageSetup paperSize="9" scale="87" orientation="portrait"/>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topLeftCell="A16" zoomScaleNormal="100" workbookViewId="0">
      <selection activeCell="A31" sqref="A31:I52"/>
    </sheetView>
  </sheetViews>
  <sheetFormatPr defaultColWidth="9.1796875" defaultRowHeight="15.5" x14ac:dyDescent="0.35"/>
  <cols>
    <col min="1" max="1" width="9.1796875" style="2" customWidth="1"/>
    <col min="2" max="2" width="14.54296875" style="2" bestFit="1" customWidth="1"/>
    <col min="3" max="9" width="9.1796875" style="2"/>
    <col min="10" max="10" width="11.54296875" style="2" customWidth="1"/>
    <col min="11" max="16384" width="9.1796875" style="2"/>
  </cols>
  <sheetData>
    <row r="1" spans="1:14" x14ac:dyDescent="0.35">
      <c r="A1" s="94" t="str">
        <f>+'Cover Page'!$B$29</f>
        <v>Annual Performance Report 2022</v>
      </c>
      <c r="B1" s="94"/>
      <c r="C1" s="94"/>
      <c r="D1" s="94"/>
      <c r="E1" s="94" t="str">
        <f>+'Cover Page'!$B$33</f>
        <v>Welland Biopower Ltd</v>
      </c>
      <c r="F1" s="94"/>
      <c r="G1" s="94"/>
      <c r="H1" s="94"/>
      <c r="I1" s="94"/>
      <c r="J1" s="94"/>
      <c r="K1" s="94"/>
      <c r="L1" s="94"/>
      <c r="M1" s="94"/>
      <c r="N1" s="94"/>
    </row>
    <row r="3" spans="1:14" x14ac:dyDescent="0.35">
      <c r="A3" s="47" t="s">
        <v>129</v>
      </c>
      <c r="B3" s="102"/>
      <c r="C3" s="102"/>
      <c r="D3" s="102"/>
      <c r="E3" s="102"/>
      <c r="F3" s="102"/>
      <c r="G3" s="102"/>
      <c r="H3" s="102"/>
      <c r="I3" s="103"/>
      <c r="J3" s="94"/>
      <c r="K3" s="77" t="s">
        <v>3</v>
      </c>
      <c r="L3" s="94"/>
      <c r="M3" s="94"/>
      <c r="N3" s="94"/>
    </row>
    <row r="4" spans="1:14" x14ac:dyDescent="0.35">
      <c r="A4" s="104"/>
      <c r="B4" s="105"/>
      <c r="C4" s="105"/>
      <c r="D4" s="105"/>
      <c r="E4" s="105"/>
      <c r="F4" s="105"/>
      <c r="G4" s="105"/>
      <c r="H4" s="105"/>
      <c r="I4" s="106"/>
      <c r="J4" s="94"/>
      <c r="K4" s="94"/>
      <c r="L4" s="94"/>
      <c r="M4" s="94"/>
      <c r="N4" s="94"/>
    </row>
    <row r="5" spans="1:14" ht="15.75" customHeight="1" x14ac:dyDescent="0.35">
      <c r="A5" s="199" t="s">
        <v>456</v>
      </c>
      <c r="B5" s="200"/>
      <c r="C5" s="200"/>
      <c r="D5" s="200"/>
      <c r="E5" s="200"/>
      <c r="F5" s="200"/>
      <c r="G5" s="200"/>
      <c r="H5" s="200"/>
      <c r="I5" s="201"/>
      <c r="J5" s="94"/>
      <c r="K5" s="216" t="s">
        <v>130</v>
      </c>
      <c r="L5" s="216"/>
      <c r="M5" s="216"/>
      <c r="N5" s="216"/>
    </row>
    <row r="6" spans="1:14" x14ac:dyDescent="0.35">
      <c r="A6" s="202"/>
      <c r="B6" s="203"/>
      <c r="C6" s="203"/>
      <c r="D6" s="203"/>
      <c r="E6" s="203"/>
      <c r="F6" s="203"/>
      <c r="G6" s="203"/>
      <c r="H6" s="203"/>
      <c r="I6" s="204"/>
      <c r="J6" s="94"/>
      <c r="K6" s="216"/>
      <c r="L6" s="216"/>
      <c r="M6" s="216"/>
      <c r="N6" s="216"/>
    </row>
    <row r="7" spans="1:14" x14ac:dyDescent="0.35">
      <c r="A7" s="202"/>
      <c r="B7" s="203"/>
      <c r="C7" s="203"/>
      <c r="D7" s="203"/>
      <c r="E7" s="203"/>
      <c r="F7" s="203"/>
      <c r="G7" s="203"/>
      <c r="H7" s="203"/>
      <c r="I7" s="204"/>
      <c r="J7" s="94"/>
      <c r="K7" s="216"/>
      <c r="L7" s="216"/>
      <c r="M7" s="216"/>
      <c r="N7" s="216"/>
    </row>
    <row r="8" spans="1:14" ht="15.75" customHeight="1" x14ac:dyDescent="0.35">
      <c r="A8" s="202"/>
      <c r="B8" s="203"/>
      <c r="C8" s="203"/>
      <c r="D8" s="203"/>
      <c r="E8" s="203"/>
      <c r="F8" s="203"/>
      <c r="G8" s="203"/>
      <c r="H8" s="203"/>
      <c r="I8" s="204"/>
      <c r="J8" s="94"/>
      <c r="K8" s="216"/>
      <c r="L8" s="216"/>
      <c r="M8" s="216"/>
      <c r="N8" s="216"/>
    </row>
    <row r="9" spans="1:14" ht="15.75" customHeight="1" x14ac:dyDescent="0.35">
      <c r="A9" s="202"/>
      <c r="B9" s="203"/>
      <c r="C9" s="203"/>
      <c r="D9" s="203"/>
      <c r="E9" s="203"/>
      <c r="F9" s="203"/>
      <c r="G9" s="203"/>
      <c r="H9" s="203"/>
      <c r="I9" s="204"/>
      <c r="J9" s="94"/>
      <c r="K9" s="216"/>
      <c r="L9" s="216"/>
      <c r="M9" s="216"/>
      <c r="N9" s="216"/>
    </row>
    <row r="10" spans="1:14" ht="15.75" customHeight="1" x14ac:dyDescent="0.35">
      <c r="A10" s="202"/>
      <c r="B10" s="203"/>
      <c r="C10" s="203"/>
      <c r="D10" s="203"/>
      <c r="E10" s="203"/>
      <c r="F10" s="203"/>
      <c r="G10" s="203"/>
      <c r="H10" s="203"/>
      <c r="I10" s="204"/>
      <c r="J10" s="94"/>
      <c r="K10" s="216"/>
      <c r="L10" s="216"/>
      <c r="M10" s="216"/>
      <c r="N10" s="216"/>
    </row>
    <row r="11" spans="1:14" ht="15.75" customHeight="1" x14ac:dyDescent="0.35">
      <c r="A11" s="202"/>
      <c r="B11" s="203"/>
      <c r="C11" s="203"/>
      <c r="D11" s="203"/>
      <c r="E11" s="203"/>
      <c r="F11" s="203"/>
      <c r="G11" s="203"/>
      <c r="H11" s="203"/>
      <c r="I11" s="204"/>
      <c r="J11" s="94"/>
      <c r="K11" s="216"/>
      <c r="L11" s="216"/>
      <c r="M11" s="216"/>
      <c r="N11" s="216"/>
    </row>
    <row r="12" spans="1:14" ht="15.75" customHeight="1" x14ac:dyDescent="0.35">
      <c r="A12" s="202"/>
      <c r="B12" s="203"/>
      <c r="C12" s="203"/>
      <c r="D12" s="203"/>
      <c r="E12" s="203"/>
      <c r="F12" s="203"/>
      <c r="G12" s="203"/>
      <c r="H12" s="203"/>
      <c r="I12" s="204"/>
      <c r="J12" s="94"/>
      <c r="K12" s="216"/>
      <c r="L12" s="216"/>
      <c r="M12" s="216"/>
      <c r="N12" s="216"/>
    </row>
    <row r="13" spans="1:14" ht="15.75" customHeight="1" x14ac:dyDescent="0.35">
      <c r="A13" s="202"/>
      <c r="B13" s="203"/>
      <c r="C13" s="203"/>
      <c r="D13" s="203"/>
      <c r="E13" s="203"/>
      <c r="F13" s="203"/>
      <c r="G13" s="203"/>
      <c r="H13" s="203"/>
      <c r="I13" s="204"/>
      <c r="J13" s="94"/>
      <c r="K13" s="216"/>
      <c r="L13" s="216"/>
      <c r="M13" s="216"/>
      <c r="N13" s="216"/>
    </row>
    <row r="14" spans="1:14" ht="15.75" customHeight="1" x14ac:dyDescent="0.35">
      <c r="A14" s="202"/>
      <c r="B14" s="203"/>
      <c r="C14" s="203"/>
      <c r="D14" s="203"/>
      <c r="E14" s="203"/>
      <c r="F14" s="203"/>
      <c r="G14" s="203"/>
      <c r="H14" s="203"/>
      <c r="I14" s="204"/>
      <c r="J14" s="94"/>
      <c r="K14" s="216"/>
      <c r="L14" s="216"/>
      <c r="M14" s="216"/>
      <c r="N14" s="216"/>
    </row>
    <row r="15" spans="1:14" ht="15.75" customHeight="1" x14ac:dyDescent="0.35">
      <c r="A15" s="202"/>
      <c r="B15" s="203"/>
      <c r="C15" s="203"/>
      <c r="D15" s="203"/>
      <c r="E15" s="203"/>
      <c r="F15" s="203"/>
      <c r="G15" s="203"/>
      <c r="H15" s="203"/>
      <c r="I15" s="204"/>
      <c r="J15" s="94"/>
      <c r="K15" s="94"/>
      <c r="L15" s="94"/>
      <c r="M15" s="94"/>
      <c r="N15" s="94"/>
    </row>
    <row r="16" spans="1:14" ht="15.75" customHeight="1" x14ac:dyDescent="0.35">
      <c r="A16" s="202"/>
      <c r="B16" s="203"/>
      <c r="C16" s="203"/>
      <c r="D16" s="203"/>
      <c r="E16" s="203"/>
      <c r="F16" s="203"/>
      <c r="G16" s="203"/>
      <c r="H16" s="203"/>
      <c r="I16" s="204"/>
      <c r="J16" s="94"/>
      <c r="K16" s="94"/>
      <c r="L16" s="94"/>
      <c r="M16" s="94"/>
      <c r="N16" s="94"/>
    </row>
    <row r="17" spans="1:14" ht="15.75" customHeight="1" x14ac:dyDescent="0.35">
      <c r="A17" s="202"/>
      <c r="B17" s="203"/>
      <c r="C17" s="203"/>
      <c r="D17" s="203"/>
      <c r="E17" s="203"/>
      <c r="F17" s="203"/>
      <c r="G17" s="203"/>
      <c r="H17" s="203"/>
      <c r="I17" s="204"/>
      <c r="J17" s="94"/>
      <c r="K17" s="94"/>
      <c r="L17" s="94"/>
      <c r="M17" s="94"/>
      <c r="N17" s="94"/>
    </row>
    <row r="18" spans="1:14" x14ac:dyDescent="0.35">
      <c r="A18" s="202"/>
      <c r="B18" s="203"/>
      <c r="C18" s="203"/>
      <c r="D18" s="203"/>
      <c r="E18" s="203"/>
      <c r="F18" s="203"/>
      <c r="G18" s="203"/>
      <c r="H18" s="203"/>
      <c r="I18" s="204"/>
      <c r="J18" s="94"/>
      <c r="K18" s="94"/>
      <c r="L18" s="94"/>
      <c r="M18" s="94"/>
      <c r="N18" s="94"/>
    </row>
    <row r="19" spans="1:14" x14ac:dyDescent="0.35">
      <c r="A19" s="202"/>
      <c r="B19" s="203"/>
      <c r="C19" s="203"/>
      <c r="D19" s="203"/>
      <c r="E19" s="203"/>
      <c r="F19" s="203"/>
      <c r="G19" s="203"/>
      <c r="H19" s="203"/>
      <c r="I19" s="204"/>
      <c r="J19" s="94"/>
      <c r="K19" s="94"/>
      <c r="L19" s="94"/>
      <c r="M19" s="94"/>
      <c r="N19" s="94"/>
    </row>
    <row r="20" spans="1:14" x14ac:dyDescent="0.35">
      <c r="A20" s="202"/>
      <c r="B20" s="203"/>
      <c r="C20" s="203"/>
      <c r="D20" s="203"/>
      <c r="E20" s="203"/>
      <c r="F20" s="203"/>
      <c r="G20" s="203"/>
      <c r="H20" s="203"/>
      <c r="I20" s="204"/>
      <c r="J20" s="94"/>
      <c r="K20" s="94"/>
      <c r="L20" s="94"/>
      <c r="M20" s="94"/>
      <c r="N20" s="94"/>
    </row>
    <row r="21" spans="1:14" x14ac:dyDescent="0.35">
      <c r="A21" s="202"/>
      <c r="B21" s="203"/>
      <c r="C21" s="203"/>
      <c r="D21" s="203"/>
      <c r="E21" s="203"/>
      <c r="F21" s="203"/>
      <c r="G21" s="203"/>
      <c r="H21" s="203"/>
      <c r="I21" s="204"/>
      <c r="J21" s="94"/>
      <c r="K21" s="94"/>
      <c r="L21" s="94"/>
      <c r="M21" s="94"/>
      <c r="N21" s="94"/>
    </row>
    <row r="22" spans="1:14" ht="15.5" customHeight="1" x14ac:dyDescent="0.35">
      <c r="A22" s="202"/>
      <c r="B22" s="203"/>
      <c r="C22" s="203"/>
      <c r="D22" s="203"/>
      <c r="E22" s="203"/>
      <c r="F22" s="203"/>
      <c r="G22" s="203"/>
      <c r="H22" s="203"/>
      <c r="I22" s="204"/>
      <c r="J22" s="94"/>
      <c r="K22" s="148"/>
      <c r="L22" s="148"/>
      <c r="M22" s="148"/>
      <c r="N22" s="148"/>
    </row>
    <row r="23" spans="1:14" x14ac:dyDescent="0.35">
      <c r="A23" s="202"/>
      <c r="B23" s="203"/>
      <c r="C23" s="203"/>
      <c r="D23" s="203"/>
      <c r="E23" s="203"/>
      <c r="F23" s="203"/>
      <c r="G23" s="203"/>
      <c r="H23" s="203"/>
      <c r="I23" s="204"/>
      <c r="J23" s="94"/>
      <c r="K23" s="148"/>
      <c r="L23" s="148"/>
      <c r="M23" s="148"/>
      <c r="N23" s="148"/>
    </row>
    <row r="24" spans="1:14" x14ac:dyDescent="0.35">
      <c r="A24" s="202"/>
      <c r="B24" s="203"/>
      <c r="C24" s="203"/>
      <c r="D24" s="203"/>
      <c r="E24" s="203"/>
      <c r="F24" s="203"/>
      <c r="G24" s="203"/>
      <c r="H24" s="203"/>
      <c r="I24" s="204"/>
      <c r="J24" s="94"/>
      <c r="K24" s="148"/>
      <c r="L24" s="148"/>
      <c r="M24" s="148"/>
      <c r="N24" s="148"/>
    </row>
    <row r="25" spans="1:14" x14ac:dyDescent="0.35">
      <c r="A25" s="202"/>
      <c r="B25" s="203"/>
      <c r="C25" s="203"/>
      <c r="D25" s="203"/>
      <c r="E25" s="203"/>
      <c r="F25" s="203"/>
      <c r="G25" s="203"/>
      <c r="H25" s="203"/>
      <c r="I25" s="204"/>
      <c r="J25" s="94"/>
      <c r="K25" s="148"/>
      <c r="L25" s="148"/>
      <c r="M25" s="148"/>
      <c r="N25" s="148"/>
    </row>
    <row r="26" spans="1:14" x14ac:dyDescent="0.35">
      <c r="A26" s="202"/>
      <c r="B26" s="203"/>
      <c r="C26" s="203"/>
      <c r="D26" s="203"/>
      <c r="E26" s="203"/>
      <c r="F26" s="203"/>
      <c r="G26" s="203"/>
      <c r="H26" s="203"/>
      <c r="I26" s="204"/>
      <c r="J26" s="94"/>
      <c r="K26" s="148"/>
      <c r="L26" s="148"/>
      <c r="M26" s="148"/>
      <c r="N26" s="148"/>
    </row>
    <row r="27" spans="1:14" x14ac:dyDescent="0.35">
      <c r="A27" s="205"/>
      <c r="B27" s="206"/>
      <c r="C27" s="206"/>
      <c r="D27" s="206"/>
      <c r="E27" s="206"/>
      <c r="F27" s="206"/>
      <c r="G27" s="206"/>
      <c r="H27" s="206"/>
      <c r="I27" s="207"/>
      <c r="J27" s="94"/>
      <c r="K27" s="148"/>
      <c r="L27" s="148"/>
      <c r="M27" s="148"/>
      <c r="N27" s="148"/>
    </row>
    <row r="28" spans="1:14" x14ac:dyDescent="0.35">
      <c r="A28" s="94"/>
      <c r="B28" s="94"/>
      <c r="C28" s="94"/>
      <c r="D28" s="94"/>
      <c r="E28" s="94"/>
      <c r="F28" s="94"/>
      <c r="G28" s="94"/>
      <c r="H28" s="94"/>
      <c r="I28" s="94"/>
      <c r="J28" s="94"/>
      <c r="K28" s="148"/>
      <c r="L28" s="148"/>
      <c r="M28" s="148"/>
      <c r="N28" s="148"/>
    </row>
    <row r="29" spans="1:14" x14ac:dyDescent="0.35">
      <c r="A29" s="47" t="s">
        <v>131</v>
      </c>
      <c r="B29" s="102"/>
      <c r="C29" s="102"/>
      <c r="D29" s="102"/>
      <c r="E29" s="102"/>
      <c r="F29" s="102"/>
      <c r="G29" s="102"/>
      <c r="H29" s="102"/>
      <c r="I29" s="103"/>
      <c r="J29" s="94"/>
      <c r="K29" s="148"/>
      <c r="L29" s="148"/>
      <c r="M29" s="148"/>
      <c r="N29" s="148"/>
    </row>
    <row r="30" spans="1:14" x14ac:dyDescent="0.35">
      <c r="A30" s="104"/>
      <c r="B30" s="105"/>
      <c r="C30" s="105"/>
      <c r="D30" s="105"/>
      <c r="E30" s="105"/>
      <c r="F30" s="105"/>
      <c r="G30" s="105"/>
      <c r="H30" s="105"/>
      <c r="I30" s="106"/>
      <c r="J30" s="94"/>
      <c r="K30" s="148"/>
      <c r="L30" s="148"/>
      <c r="M30" s="148"/>
      <c r="N30" s="148"/>
    </row>
    <row r="31" spans="1:14" ht="15.5" customHeight="1" x14ac:dyDescent="0.35">
      <c r="A31" s="199" t="s">
        <v>457</v>
      </c>
      <c r="B31" s="208"/>
      <c r="C31" s="208"/>
      <c r="D31" s="208"/>
      <c r="E31" s="208"/>
      <c r="F31" s="208"/>
      <c r="G31" s="208"/>
      <c r="H31" s="208"/>
      <c r="I31" s="209"/>
      <c r="J31" s="94"/>
      <c r="K31" s="216" t="s">
        <v>132</v>
      </c>
      <c r="L31" s="216"/>
      <c r="M31" s="216"/>
      <c r="N31" s="216"/>
    </row>
    <row r="32" spans="1:14" x14ac:dyDescent="0.35">
      <c r="A32" s="210"/>
      <c r="B32" s="211"/>
      <c r="C32" s="211"/>
      <c r="D32" s="211"/>
      <c r="E32" s="211"/>
      <c r="F32" s="211"/>
      <c r="G32" s="211"/>
      <c r="H32" s="211"/>
      <c r="I32" s="212"/>
      <c r="J32" s="94"/>
      <c r="K32" s="216"/>
      <c r="L32" s="216"/>
      <c r="M32" s="216"/>
      <c r="N32" s="216"/>
    </row>
    <row r="33" spans="1:14" x14ac:dyDescent="0.35">
      <c r="A33" s="210"/>
      <c r="B33" s="211"/>
      <c r="C33" s="211"/>
      <c r="D33" s="211"/>
      <c r="E33" s="211"/>
      <c r="F33" s="211"/>
      <c r="G33" s="211"/>
      <c r="H33" s="211"/>
      <c r="I33" s="212"/>
      <c r="J33" s="94"/>
      <c r="K33" s="216"/>
      <c r="L33" s="216"/>
      <c r="M33" s="216"/>
      <c r="N33" s="216"/>
    </row>
    <row r="34" spans="1:14" x14ac:dyDescent="0.35">
      <c r="A34" s="210"/>
      <c r="B34" s="211"/>
      <c r="C34" s="211"/>
      <c r="D34" s="211"/>
      <c r="E34" s="211"/>
      <c r="F34" s="211"/>
      <c r="G34" s="211"/>
      <c r="H34" s="211"/>
      <c r="I34" s="212"/>
      <c r="J34" s="94"/>
      <c r="K34" s="216"/>
      <c r="L34" s="216"/>
      <c r="M34" s="216"/>
      <c r="N34" s="216"/>
    </row>
    <row r="35" spans="1:14" x14ac:dyDescent="0.35">
      <c r="A35" s="210"/>
      <c r="B35" s="211"/>
      <c r="C35" s="211"/>
      <c r="D35" s="211"/>
      <c r="E35" s="211"/>
      <c r="F35" s="211"/>
      <c r="G35" s="211"/>
      <c r="H35" s="211"/>
      <c r="I35" s="212"/>
      <c r="J35" s="94"/>
      <c r="K35" s="216"/>
      <c r="L35" s="216"/>
      <c r="M35" s="216"/>
      <c r="N35" s="216"/>
    </row>
    <row r="36" spans="1:14" x14ac:dyDescent="0.35">
      <c r="A36" s="210"/>
      <c r="B36" s="211"/>
      <c r="C36" s="211"/>
      <c r="D36" s="211"/>
      <c r="E36" s="211"/>
      <c r="F36" s="211"/>
      <c r="G36" s="211"/>
      <c r="H36" s="211"/>
      <c r="I36" s="212"/>
      <c r="J36" s="94"/>
      <c r="K36" s="216"/>
      <c r="L36" s="216"/>
      <c r="M36" s="216"/>
      <c r="N36" s="216"/>
    </row>
    <row r="37" spans="1:14" x14ac:dyDescent="0.35">
      <c r="A37" s="210"/>
      <c r="B37" s="211"/>
      <c r="C37" s="211"/>
      <c r="D37" s="211"/>
      <c r="E37" s="211"/>
      <c r="F37" s="211"/>
      <c r="G37" s="211"/>
      <c r="H37" s="211"/>
      <c r="I37" s="212"/>
      <c r="J37" s="94"/>
      <c r="K37" s="216"/>
      <c r="L37" s="216"/>
      <c r="M37" s="216"/>
      <c r="N37" s="216"/>
    </row>
    <row r="38" spans="1:14" ht="14.25" customHeight="1" x14ac:dyDescent="0.35">
      <c r="A38" s="210"/>
      <c r="B38" s="211"/>
      <c r="C38" s="211"/>
      <c r="D38" s="211"/>
      <c r="E38" s="211"/>
      <c r="F38" s="211"/>
      <c r="G38" s="211"/>
      <c r="H38" s="211"/>
      <c r="I38" s="212"/>
      <c r="J38" s="94"/>
      <c r="K38" s="216"/>
      <c r="L38" s="216"/>
      <c r="M38" s="216"/>
      <c r="N38" s="216"/>
    </row>
    <row r="39" spans="1:14" x14ac:dyDescent="0.35">
      <c r="A39" s="210"/>
      <c r="B39" s="211"/>
      <c r="C39" s="211"/>
      <c r="D39" s="211"/>
      <c r="E39" s="211"/>
      <c r="F39" s="211"/>
      <c r="G39" s="211"/>
      <c r="H39" s="211"/>
      <c r="I39" s="212"/>
      <c r="J39" s="94"/>
      <c r="K39" s="216"/>
      <c r="L39" s="216"/>
      <c r="M39" s="216"/>
      <c r="N39" s="216"/>
    </row>
    <row r="40" spans="1:14" x14ac:dyDescent="0.35">
      <c r="A40" s="210"/>
      <c r="B40" s="211"/>
      <c r="C40" s="211"/>
      <c r="D40" s="211"/>
      <c r="E40" s="211"/>
      <c r="F40" s="211"/>
      <c r="G40" s="211"/>
      <c r="H40" s="211"/>
      <c r="I40" s="212"/>
      <c r="J40" s="94"/>
      <c r="K40" s="216"/>
      <c r="L40" s="216"/>
      <c r="M40" s="216"/>
      <c r="N40" s="216"/>
    </row>
    <row r="41" spans="1:14" x14ac:dyDescent="0.35">
      <c r="A41" s="210"/>
      <c r="B41" s="211"/>
      <c r="C41" s="211"/>
      <c r="D41" s="211"/>
      <c r="E41" s="211"/>
      <c r="F41" s="211"/>
      <c r="G41" s="211"/>
      <c r="H41" s="211"/>
      <c r="I41" s="212"/>
      <c r="J41" s="94"/>
      <c r="K41" s="94"/>
      <c r="L41" s="94"/>
      <c r="M41" s="94"/>
      <c r="N41" s="94"/>
    </row>
    <row r="42" spans="1:14" x14ac:dyDescent="0.35">
      <c r="A42" s="210"/>
      <c r="B42" s="211"/>
      <c r="C42" s="211"/>
      <c r="D42" s="211"/>
      <c r="E42" s="211"/>
      <c r="F42" s="211"/>
      <c r="G42" s="211"/>
      <c r="H42" s="211"/>
      <c r="I42" s="212"/>
      <c r="J42" s="94"/>
      <c r="K42" s="94"/>
      <c r="L42" s="94"/>
      <c r="M42" s="94"/>
      <c r="N42" s="94"/>
    </row>
    <row r="43" spans="1:14" x14ac:dyDescent="0.35">
      <c r="A43" s="210"/>
      <c r="B43" s="211"/>
      <c r="C43" s="211"/>
      <c r="D43" s="211"/>
      <c r="E43" s="211"/>
      <c r="F43" s="211"/>
      <c r="G43" s="211"/>
      <c r="H43" s="211"/>
      <c r="I43" s="212"/>
      <c r="J43" s="94"/>
      <c r="K43" s="94"/>
      <c r="L43" s="94"/>
      <c r="M43" s="94"/>
      <c r="N43" s="94"/>
    </row>
    <row r="44" spans="1:14" x14ac:dyDescent="0.35">
      <c r="A44" s="210"/>
      <c r="B44" s="211"/>
      <c r="C44" s="211"/>
      <c r="D44" s="211"/>
      <c r="E44" s="211"/>
      <c r="F44" s="211"/>
      <c r="G44" s="211"/>
      <c r="H44" s="211"/>
      <c r="I44" s="212"/>
      <c r="J44" s="94"/>
      <c r="K44" s="94"/>
      <c r="L44" s="94"/>
      <c r="M44" s="94"/>
      <c r="N44" s="94"/>
    </row>
    <row r="45" spans="1:14" x14ac:dyDescent="0.35">
      <c r="A45" s="210"/>
      <c r="B45" s="211"/>
      <c r="C45" s="211"/>
      <c r="D45" s="211"/>
      <c r="E45" s="211"/>
      <c r="F45" s="211"/>
      <c r="G45" s="211"/>
      <c r="H45" s="211"/>
      <c r="I45" s="212"/>
      <c r="J45" s="94"/>
      <c r="K45" s="94"/>
      <c r="L45" s="94"/>
      <c r="M45" s="94"/>
      <c r="N45" s="94"/>
    </row>
    <row r="46" spans="1:14" x14ac:dyDescent="0.35">
      <c r="A46" s="210"/>
      <c r="B46" s="211"/>
      <c r="C46" s="211"/>
      <c r="D46" s="211"/>
      <c r="E46" s="211"/>
      <c r="F46" s="211"/>
      <c r="G46" s="211"/>
      <c r="H46" s="211"/>
      <c r="I46" s="212"/>
      <c r="J46" s="94"/>
      <c r="K46" s="94"/>
      <c r="L46" s="94"/>
      <c r="M46" s="94"/>
      <c r="N46" s="94"/>
    </row>
    <row r="47" spans="1:14" x14ac:dyDescent="0.35">
      <c r="A47" s="210"/>
      <c r="B47" s="211"/>
      <c r="C47" s="211"/>
      <c r="D47" s="211"/>
      <c r="E47" s="211"/>
      <c r="F47" s="211"/>
      <c r="G47" s="211"/>
      <c r="H47" s="211"/>
      <c r="I47" s="212"/>
      <c r="J47" s="94"/>
      <c r="K47" s="94"/>
      <c r="L47" s="94"/>
      <c r="M47" s="94"/>
      <c r="N47" s="94"/>
    </row>
    <row r="48" spans="1:14" x14ac:dyDescent="0.35">
      <c r="A48" s="210"/>
      <c r="B48" s="211"/>
      <c r="C48" s="211"/>
      <c r="D48" s="211"/>
      <c r="E48" s="211"/>
      <c r="F48" s="211"/>
      <c r="G48" s="211"/>
      <c r="H48" s="211"/>
      <c r="I48" s="212"/>
      <c r="J48" s="94"/>
      <c r="K48" s="94"/>
      <c r="L48" s="94"/>
      <c r="M48" s="94"/>
      <c r="N48" s="94"/>
    </row>
    <row r="49" spans="1:9" x14ac:dyDescent="0.35">
      <c r="A49" s="210"/>
      <c r="B49" s="211"/>
      <c r="C49" s="211"/>
      <c r="D49" s="211"/>
      <c r="E49" s="211"/>
      <c r="F49" s="211"/>
      <c r="G49" s="211"/>
      <c r="H49" s="211"/>
      <c r="I49" s="212"/>
    </row>
    <row r="50" spans="1:9" x14ac:dyDescent="0.35">
      <c r="A50" s="210"/>
      <c r="B50" s="211"/>
      <c r="C50" s="211"/>
      <c r="D50" s="211"/>
      <c r="E50" s="211"/>
      <c r="F50" s="211"/>
      <c r="G50" s="211"/>
      <c r="H50" s="211"/>
      <c r="I50" s="212"/>
    </row>
    <row r="51" spans="1:9" x14ac:dyDescent="0.35">
      <c r="A51" s="210"/>
      <c r="B51" s="211"/>
      <c r="C51" s="211"/>
      <c r="D51" s="211"/>
      <c r="E51" s="211"/>
      <c r="F51" s="211"/>
      <c r="G51" s="211"/>
      <c r="H51" s="211"/>
      <c r="I51" s="212"/>
    </row>
    <row r="52" spans="1:9" x14ac:dyDescent="0.35">
      <c r="A52" s="213"/>
      <c r="B52" s="214"/>
      <c r="C52" s="214"/>
      <c r="D52" s="214"/>
      <c r="E52" s="214"/>
      <c r="F52" s="214"/>
      <c r="G52" s="214"/>
      <c r="H52" s="214"/>
      <c r="I52" s="215"/>
    </row>
    <row r="66" spans="6:6" x14ac:dyDescent="0.35">
      <c r="F66" s="3"/>
    </row>
  </sheetData>
  <mergeCells count="4">
    <mergeCell ref="K5:N14"/>
    <mergeCell ref="K31:N40"/>
    <mergeCell ref="A31:I52"/>
    <mergeCell ref="A5:I27"/>
  </mergeCells>
  <pageMargins left="0.7" right="0.7" top="0.75" bottom="0.75" header="0.3" footer="0.3"/>
  <pageSetup paperSize="9" scale="87" orientation="portrait"/>
  <headerFooter scaleWithDoc="0">
    <oddFooter>&amp;C&amp;"Arial,Regular"Page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showGridLines="0" zoomScale="85" zoomScaleNormal="85" workbookViewId="0">
      <selection activeCell="C42" sqref="C42"/>
    </sheetView>
  </sheetViews>
  <sheetFormatPr defaultColWidth="9.1796875" defaultRowHeight="15.5" x14ac:dyDescent="0.35"/>
  <cols>
    <col min="1" max="1" width="28.453125" style="2" customWidth="1"/>
    <col min="2" max="2" width="8.1796875" style="11" customWidth="1"/>
    <col min="3" max="3" width="10.453125" style="11" bestFit="1" customWidth="1"/>
    <col min="4" max="4" width="11.36328125" style="11" customWidth="1"/>
    <col min="5" max="5" width="11" style="11" customWidth="1"/>
    <col min="6" max="6" width="10.54296875" style="11" customWidth="1"/>
    <col min="7" max="7" width="11.1796875" style="14" customWidth="1"/>
    <col min="8" max="8" width="11.54296875" style="15" customWidth="1"/>
    <col min="9" max="10" width="9.1796875" style="2"/>
    <col min="11" max="11" width="38.453125" style="2" customWidth="1"/>
    <col min="12" max="16384" width="9.1796875" style="2"/>
  </cols>
  <sheetData>
    <row r="1" spans="1:11" x14ac:dyDescent="0.35">
      <c r="A1" s="94" t="str">
        <f>+'Cover Page'!$B$29</f>
        <v>Annual Performance Report 2022</v>
      </c>
      <c r="B1" s="94"/>
      <c r="C1" s="94"/>
      <c r="D1" s="94"/>
      <c r="E1" s="94" t="str">
        <f>+'Cover Page'!$B$33</f>
        <v>Welland Biopower Ltd</v>
      </c>
      <c r="F1" s="94"/>
      <c r="G1" s="94"/>
      <c r="H1" s="94"/>
      <c r="I1" s="94"/>
      <c r="J1" s="94"/>
      <c r="K1" s="94"/>
    </row>
    <row r="3" spans="1:11" x14ac:dyDescent="0.35">
      <c r="A3" s="1" t="s">
        <v>22</v>
      </c>
      <c r="B3" s="107"/>
      <c r="C3" s="107"/>
      <c r="D3" s="107"/>
      <c r="E3" s="107"/>
      <c r="F3" s="107"/>
      <c r="H3" s="108"/>
      <c r="I3" s="94"/>
      <c r="J3" s="94"/>
      <c r="K3" s="77" t="s">
        <v>3</v>
      </c>
    </row>
    <row r="4" spans="1:11" x14ac:dyDescent="0.35">
      <c r="A4" s="17" t="s">
        <v>51</v>
      </c>
      <c r="B4" s="217"/>
      <c r="C4" s="217"/>
      <c r="D4" s="18" t="s">
        <v>52</v>
      </c>
      <c r="E4" s="86"/>
      <c r="F4" s="18" t="s">
        <v>53</v>
      </c>
      <c r="G4" s="86"/>
      <c r="H4" s="66" t="s">
        <v>54</v>
      </c>
      <c r="I4" s="94"/>
      <c r="J4" s="94"/>
      <c r="K4" s="16" t="s">
        <v>55</v>
      </c>
    </row>
    <row r="5" spans="1:11" x14ac:dyDescent="0.35">
      <c r="A5" s="19" t="s">
        <v>56</v>
      </c>
      <c r="B5" s="20">
        <v>1</v>
      </c>
      <c r="C5" s="21"/>
      <c r="D5" s="21" t="s">
        <v>57</v>
      </c>
      <c r="E5" s="21"/>
      <c r="F5" s="22">
        <v>1</v>
      </c>
      <c r="G5" s="23"/>
      <c r="H5" s="24"/>
      <c r="I5" s="94"/>
      <c r="J5" s="94"/>
      <c r="K5" s="16" t="s">
        <v>58</v>
      </c>
    </row>
    <row r="6" spans="1:11" x14ac:dyDescent="0.35">
      <c r="A6" s="3"/>
      <c r="B6" s="107"/>
      <c r="C6" s="107"/>
      <c r="D6" s="107"/>
      <c r="E6" s="107"/>
      <c r="F6" s="107"/>
      <c r="H6" s="108"/>
      <c r="I6" s="94"/>
      <c r="J6" s="94"/>
      <c r="K6" s="223" t="s">
        <v>59</v>
      </c>
    </row>
    <row r="7" spans="1:11" x14ac:dyDescent="0.35">
      <c r="A7" s="8" t="s">
        <v>60</v>
      </c>
      <c r="B7" s="109" t="s">
        <v>61</v>
      </c>
      <c r="C7" s="110" t="s">
        <v>62</v>
      </c>
      <c r="D7" s="110" t="s">
        <v>63</v>
      </c>
      <c r="E7" s="110" t="s">
        <v>64</v>
      </c>
      <c r="F7" s="110" t="s">
        <v>65</v>
      </c>
      <c r="G7" s="25" t="s">
        <v>66</v>
      </c>
      <c r="H7" s="111" t="s">
        <v>67</v>
      </c>
      <c r="I7" s="94"/>
      <c r="J7" s="94"/>
      <c r="K7" s="223"/>
    </row>
    <row r="8" spans="1:11" ht="15.75" customHeight="1" x14ac:dyDescent="0.35">
      <c r="A8" s="112" t="s">
        <v>68</v>
      </c>
      <c r="B8" s="218" t="s">
        <v>69</v>
      </c>
      <c r="C8" s="113"/>
      <c r="D8" s="113"/>
      <c r="E8" s="113"/>
      <c r="F8" s="113"/>
      <c r="G8" s="26">
        <f>SUM(C8:F8)</f>
        <v>0</v>
      </c>
      <c r="H8" s="114" t="str">
        <f t="shared" ref="H8:H15" si="0">IF(G8&gt;0,G8/$G$18,"-")</f>
        <v>-</v>
      </c>
      <c r="I8" s="94"/>
      <c r="J8" s="94"/>
      <c r="K8" s="224" t="s">
        <v>70</v>
      </c>
    </row>
    <row r="9" spans="1:11" x14ac:dyDescent="0.35">
      <c r="A9" s="115" t="s">
        <v>71</v>
      </c>
      <c r="B9" s="219"/>
      <c r="C9" s="116"/>
      <c r="D9" s="116"/>
      <c r="E9" s="116"/>
      <c r="F9" s="116"/>
      <c r="G9" s="84">
        <f t="shared" ref="G9:G15" si="1">SUM(C9:F9)</f>
        <v>0</v>
      </c>
      <c r="H9" s="117" t="str">
        <f t="shared" si="0"/>
        <v>-</v>
      </c>
      <c r="I9" s="94"/>
      <c r="J9" s="94"/>
      <c r="K9" s="224"/>
    </row>
    <row r="10" spans="1:11" x14ac:dyDescent="0.35">
      <c r="A10" s="115" t="s">
        <v>72</v>
      </c>
      <c r="B10" s="219"/>
      <c r="C10" s="116"/>
      <c r="D10" s="116"/>
      <c r="E10" s="116"/>
      <c r="F10" s="116"/>
      <c r="G10" s="84">
        <f t="shared" si="1"/>
        <v>0</v>
      </c>
      <c r="H10" s="117" t="str">
        <f t="shared" si="0"/>
        <v>-</v>
      </c>
      <c r="I10" s="94"/>
      <c r="J10" s="94"/>
      <c r="K10" s="224"/>
    </row>
    <row r="11" spans="1:11" x14ac:dyDescent="0.35">
      <c r="A11" s="115" t="s">
        <v>73</v>
      </c>
      <c r="B11" s="219"/>
      <c r="C11" s="116"/>
      <c r="D11" s="116"/>
      <c r="E11" s="116"/>
      <c r="F11" s="116"/>
      <c r="G11" s="84">
        <f t="shared" si="1"/>
        <v>0</v>
      </c>
      <c r="H11" s="117" t="str">
        <f t="shared" si="0"/>
        <v>-</v>
      </c>
      <c r="I11" s="94"/>
      <c r="J11" s="94"/>
      <c r="K11" s="224"/>
    </row>
    <row r="12" spans="1:11" x14ac:dyDescent="0.35">
      <c r="A12" s="115" t="s">
        <v>74</v>
      </c>
      <c r="B12" s="219"/>
      <c r="C12" s="116">
        <v>16070</v>
      </c>
      <c r="D12" s="116">
        <v>12265.72</v>
      </c>
      <c r="E12" s="116">
        <v>15191.8</v>
      </c>
      <c r="F12" s="116">
        <v>13423.7</v>
      </c>
      <c r="G12" s="84">
        <f t="shared" si="1"/>
        <v>56951.22</v>
      </c>
      <c r="H12" s="117">
        <f t="shared" si="0"/>
        <v>1</v>
      </c>
      <c r="I12" s="94"/>
      <c r="J12" s="94"/>
      <c r="K12" s="224"/>
    </row>
    <row r="13" spans="1:11" x14ac:dyDescent="0.35">
      <c r="A13" s="115" t="s">
        <v>75</v>
      </c>
      <c r="B13" s="219"/>
      <c r="C13" s="116"/>
      <c r="D13" s="116"/>
      <c r="E13" s="116"/>
      <c r="F13" s="116"/>
      <c r="G13" s="84">
        <f t="shared" ref="G13" si="2">SUM(C13:F13)</f>
        <v>0</v>
      </c>
      <c r="H13" s="117" t="str">
        <f t="shared" si="0"/>
        <v>-</v>
      </c>
      <c r="I13" s="94"/>
      <c r="J13" s="94"/>
      <c r="K13" s="224"/>
    </row>
    <row r="14" spans="1:11" x14ac:dyDescent="0.35">
      <c r="A14" s="115" t="s">
        <v>76</v>
      </c>
      <c r="B14" s="219"/>
      <c r="C14" s="116"/>
      <c r="D14" s="116"/>
      <c r="E14" s="116"/>
      <c r="F14" s="116"/>
      <c r="G14" s="84">
        <f t="shared" si="1"/>
        <v>0</v>
      </c>
      <c r="H14" s="117" t="str">
        <f t="shared" si="0"/>
        <v>-</v>
      </c>
      <c r="I14" s="94"/>
      <c r="J14" s="94"/>
      <c r="K14" s="224"/>
    </row>
    <row r="15" spans="1:11" x14ac:dyDescent="0.35">
      <c r="A15" s="118" t="s">
        <v>77</v>
      </c>
      <c r="B15" s="219"/>
      <c r="C15" s="116"/>
      <c r="D15" s="116"/>
      <c r="E15" s="116"/>
      <c r="F15" s="116"/>
      <c r="G15" s="84">
        <f t="shared" si="1"/>
        <v>0</v>
      </c>
      <c r="H15" s="117" t="str">
        <f t="shared" si="0"/>
        <v>-</v>
      </c>
      <c r="I15" s="94"/>
      <c r="J15" s="94"/>
      <c r="K15" s="224"/>
    </row>
    <row r="16" spans="1:11" x14ac:dyDescent="0.35">
      <c r="A16" s="118" t="s">
        <v>77</v>
      </c>
      <c r="B16" s="219"/>
      <c r="C16" s="116"/>
      <c r="D16" s="116"/>
      <c r="E16" s="116"/>
      <c r="F16" s="116"/>
      <c r="G16" s="84"/>
      <c r="H16" s="117"/>
      <c r="I16" s="94"/>
      <c r="J16" s="94"/>
      <c r="K16" s="224"/>
    </row>
    <row r="17" spans="1:12" x14ac:dyDescent="0.35">
      <c r="A17" s="118" t="s">
        <v>77</v>
      </c>
      <c r="B17" s="219"/>
      <c r="C17" s="116"/>
      <c r="D17" s="116"/>
      <c r="E17" s="116"/>
      <c r="F17" s="116"/>
      <c r="G17" s="84"/>
      <c r="H17" s="117"/>
      <c r="I17" s="94"/>
      <c r="J17" s="94"/>
      <c r="K17" s="224"/>
      <c r="L17" s="94"/>
    </row>
    <row r="18" spans="1:12" x14ac:dyDescent="0.35">
      <c r="A18" s="92" t="s">
        <v>78</v>
      </c>
      <c r="B18" s="219"/>
      <c r="C18" s="84">
        <f>SUM(C8:C17)</f>
        <v>16070</v>
      </c>
      <c r="D18" s="84">
        <f>SUM(D8:D17)</f>
        <v>12265.72</v>
      </c>
      <c r="E18" s="84">
        <f>SUM(E8:E17)</f>
        <v>15191.8</v>
      </c>
      <c r="F18" s="84">
        <f>SUM(F8:F17)</f>
        <v>13423.7</v>
      </c>
      <c r="G18" s="84">
        <f>SUM(G8:G17)</f>
        <v>56951.22</v>
      </c>
      <c r="H18" s="119">
        <v>1</v>
      </c>
      <c r="I18" s="94"/>
      <c r="J18" s="94"/>
      <c r="K18" s="224"/>
      <c r="L18" s="94"/>
    </row>
    <row r="19" spans="1:12" x14ac:dyDescent="0.35">
      <c r="A19" s="115" t="s">
        <v>79</v>
      </c>
      <c r="B19" s="219"/>
      <c r="C19" s="116">
        <v>175.77</v>
      </c>
      <c r="D19" s="116">
        <v>201.7</v>
      </c>
      <c r="E19" s="116">
        <v>194.06</v>
      </c>
      <c r="F19" s="116">
        <v>78.64</v>
      </c>
      <c r="G19" s="84">
        <f t="shared" ref="G19" si="3">SUM(C19:F19)</f>
        <v>650.16999999999996</v>
      </c>
      <c r="H19" s="117">
        <f t="shared" ref="H19" si="4">IF(G19&gt;0,G19/$G$18,"-")</f>
        <v>1.14162611441862E-2</v>
      </c>
      <c r="I19" s="94"/>
      <c r="J19" s="94"/>
      <c r="K19" s="224"/>
      <c r="L19" s="94"/>
    </row>
    <row r="20" spans="1:12" x14ac:dyDescent="0.35">
      <c r="A20" s="115" t="s">
        <v>80</v>
      </c>
      <c r="B20" s="219"/>
      <c r="C20" s="116"/>
      <c r="D20" s="116"/>
      <c r="E20" s="116"/>
      <c r="F20" s="116"/>
      <c r="G20" s="84">
        <f t="shared" ref="G20" si="5">SUM(C20:F20)</f>
        <v>0</v>
      </c>
      <c r="H20" s="117" t="str">
        <f>IF(G20&gt;0,G20/$G$18,"-")</f>
        <v>-</v>
      </c>
      <c r="I20" s="94"/>
      <c r="J20" s="94"/>
      <c r="K20" s="94"/>
      <c r="L20" s="94"/>
    </row>
    <row r="21" spans="1:12" x14ac:dyDescent="0.35">
      <c r="A21" s="93" t="s">
        <v>81</v>
      </c>
      <c r="B21" s="120"/>
      <c r="C21" s="85">
        <f>C18-SUM(C19:C20)</f>
        <v>15894.23</v>
      </c>
      <c r="D21" s="85">
        <f t="shared" ref="D21:F21" si="6">D18-SUM(D19:D20)</f>
        <v>12064.019999999999</v>
      </c>
      <c r="E21" s="85">
        <f t="shared" si="6"/>
        <v>14997.74</v>
      </c>
      <c r="F21" s="85">
        <f t="shared" si="6"/>
        <v>13345.060000000001</v>
      </c>
      <c r="G21" s="28">
        <f>SUM(C21:F21)</f>
        <v>56301.05</v>
      </c>
      <c r="H21" s="121">
        <f>IF(G21&gt;0,G21/$G$18,"-")</f>
        <v>0.98858373885581385</v>
      </c>
      <c r="I21" s="94"/>
      <c r="J21" s="94"/>
      <c r="K21" s="94"/>
      <c r="L21" s="94"/>
    </row>
    <row r="22" spans="1:12" x14ac:dyDescent="0.35">
      <c r="A22" s="3"/>
      <c r="B22" s="107"/>
      <c r="C22" s="108"/>
      <c r="D22" s="108"/>
      <c r="E22" s="108"/>
      <c r="F22" s="108"/>
      <c r="G22" s="29"/>
      <c r="H22" s="108"/>
      <c r="I22" s="94"/>
      <c r="J22" s="94"/>
      <c r="K22" s="94"/>
      <c r="L22" s="94"/>
    </row>
    <row r="23" spans="1:12" x14ac:dyDescent="0.35">
      <c r="A23" s="8" t="s">
        <v>82</v>
      </c>
      <c r="B23" s="109" t="s">
        <v>61</v>
      </c>
      <c r="C23" s="122" t="s">
        <v>62</v>
      </c>
      <c r="D23" s="122" t="s">
        <v>63</v>
      </c>
      <c r="E23" s="122" t="s">
        <v>64</v>
      </c>
      <c r="F23" s="122" t="s">
        <v>65</v>
      </c>
      <c r="G23" s="30" t="s">
        <v>66</v>
      </c>
      <c r="H23" s="123" t="s">
        <v>83</v>
      </c>
      <c r="I23" s="94"/>
      <c r="J23" s="94"/>
      <c r="K23" s="94"/>
      <c r="L23" s="94"/>
    </row>
    <row r="24" spans="1:12" ht="15" customHeight="1" x14ac:dyDescent="0.35">
      <c r="A24" s="124" t="s">
        <v>84</v>
      </c>
      <c r="B24" s="218" t="s">
        <v>85</v>
      </c>
      <c r="C24" s="113">
        <v>12823.52</v>
      </c>
      <c r="D24" s="113">
        <v>10222.14</v>
      </c>
      <c r="E24" s="113">
        <v>13169.107</v>
      </c>
      <c r="F24" s="113">
        <v>10686.77</v>
      </c>
      <c r="G24" s="26">
        <f t="shared" ref="G24:G27" si="7">SUM(C24:F24)</f>
        <v>46901.536999999997</v>
      </c>
      <c r="H24" s="125">
        <f>IF(G24&gt;0,G24*1000/$G$21,"-")</f>
        <v>833.04906391621466</v>
      </c>
      <c r="I24" s="94"/>
      <c r="J24" s="94"/>
      <c r="K24" s="94"/>
      <c r="L24" s="94"/>
    </row>
    <row r="25" spans="1:12" x14ac:dyDescent="0.35">
      <c r="A25" s="126" t="s">
        <v>86</v>
      </c>
      <c r="B25" s="219"/>
      <c r="C25" s="127">
        <v>11178.4</v>
      </c>
      <c r="D25" s="127">
        <v>8792.66</v>
      </c>
      <c r="E25" s="127">
        <v>11181.53</v>
      </c>
      <c r="F25" s="127">
        <v>9340</v>
      </c>
      <c r="G25" s="27">
        <f>SUM(C25:F25)</f>
        <v>40492.589999999997</v>
      </c>
      <c r="H25" s="128">
        <f>IF(G25&gt;0,G25*1000/$G$21,"-")</f>
        <v>719.21553860896017</v>
      </c>
      <c r="I25" s="94"/>
      <c r="J25" s="94"/>
      <c r="K25" s="94"/>
      <c r="L25" s="94"/>
    </row>
    <row r="26" spans="1:12" x14ac:dyDescent="0.35">
      <c r="A26" s="126" t="s">
        <v>87</v>
      </c>
      <c r="B26" s="219"/>
      <c r="C26" s="127">
        <f>C25-C24</f>
        <v>-1645.1200000000008</v>
      </c>
      <c r="D26" s="127">
        <f t="shared" ref="D26:F26" si="8">D25-D24</f>
        <v>-1429.4799999999996</v>
      </c>
      <c r="E26" s="127">
        <f t="shared" si="8"/>
        <v>-1987.5769999999993</v>
      </c>
      <c r="F26" s="127">
        <f t="shared" si="8"/>
        <v>-1346.7700000000004</v>
      </c>
      <c r="G26" s="27">
        <f>SUM(C26:F26)</f>
        <v>-6408.9470000000001</v>
      </c>
      <c r="H26" s="128" t="str">
        <f>IF(G26&gt;0,G26*1000/$G$21,"-")</f>
        <v>-</v>
      </c>
      <c r="I26" s="94"/>
      <c r="J26" s="94"/>
      <c r="K26" s="94"/>
      <c r="L26" s="94"/>
    </row>
    <row r="27" spans="1:12" x14ac:dyDescent="0.35">
      <c r="A27" s="126" t="s">
        <v>88</v>
      </c>
      <c r="B27" s="219"/>
      <c r="C27" s="127">
        <v>251.65</v>
      </c>
      <c r="D27" s="127">
        <v>310.77999999999997</v>
      </c>
      <c r="E27" s="127">
        <v>273.07</v>
      </c>
      <c r="F27" s="127">
        <v>288.97000000000003</v>
      </c>
      <c r="G27" s="27">
        <f t="shared" si="7"/>
        <v>1124.47</v>
      </c>
      <c r="H27" s="128">
        <f>IF(G27&gt;0,G27*1000/$G$21,"-")</f>
        <v>19.972451668308139</v>
      </c>
      <c r="I27" s="94"/>
      <c r="J27" s="94"/>
      <c r="K27" s="94"/>
      <c r="L27" s="94"/>
    </row>
    <row r="28" spans="1:12" x14ac:dyDescent="0.35">
      <c r="A28" s="126" t="s">
        <v>89</v>
      </c>
      <c r="B28" s="129" t="s">
        <v>67</v>
      </c>
      <c r="C28" s="130">
        <f>IF(C24&gt;0,1-C25/(C24+C27),"-")</f>
        <v>0.14506656510010962</v>
      </c>
      <c r="D28" s="130">
        <f>IF(D24&gt;0,1-D25/(D24+D27),"-")</f>
        <v>0.16522104031930374</v>
      </c>
      <c r="E28" s="130">
        <f>IF(E24&gt;0,1-E25/(E24+E27),"-")</f>
        <v>0.16817566083231894</v>
      </c>
      <c r="F28" s="130">
        <f>IF(F24&gt;0,1-F25/(F24+F27),"-")</f>
        <v>0.14903232037202041</v>
      </c>
      <c r="G28" s="130">
        <f>IF(G24&gt;0,1-G25/(G24+G27),"-")</f>
        <v>0.15686119814208166</v>
      </c>
      <c r="H28" s="128"/>
      <c r="I28" s="94"/>
      <c r="J28" s="94"/>
      <c r="K28" s="94"/>
      <c r="L28" s="94"/>
    </row>
    <row r="29" spans="1:12" x14ac:dyDescent="0.35">
      <c r="A29" s="126" t="s">
        <v>90</v>
      </c>
      <c r="B29" s="220" t="s">
        <v>85</v>
      </c>
      <c r="C29" s="127" t="s">
        <v>366</v>
      </c>
      <c r="D29" s="127" t="s">
        <v>366</v>
      </c>
      <c r="E29" s="127" t="s">
        <v>366</v>
      </c>
      <c r="F29" s="127" t="s">
        <v>366</v>
      </c>
      <c r="G29" s="27">
        <f t="shared" ref="G29:G30" si="9">SUM(C29:F29)</f>
        <v>0</v>
      </c>
      <c r="H29" s="128" t="str">
        <f>IF(G29&gt;0,G29*1000/$G$21,"-")</f>
        <v>-</v>
      </c>
      <c r="I29" s="94"/>
      <c r="J29" s="94"/>
      <c r="K29" s="94"/>
      <c r="L29" s="94"/>
    </row>
    <row r="30" spans="1:12" x14ac:dyDescent="0.35">
      <c r="A30" s="126" t="s">
        <v>91</v>
      </c>
      <c r="B30" s="220"/>
      <c r="C30" s="127" t="s">
        <v>366</v>
      </c>
      <c r="D30" s="127" t="s">
        <v>366</v>
      </c>
      <c r="E30" s="127" t="s">
        <v>366</v>
      </c>
      <c r="F30" s="127" t="s">
        <v>366</v>
      </c>
      <c r="G30" s="27">
        <f t="shared" si="9"/>
        <v>0</v>
      </c>
      <c r="H30" s="128" t="str">
        <f>IF(G30&gt;0,G30*1000/$G$21,"-")</f>
        <v>-</v>
      </c>
      <c r="I30" s="94"/>
      <c r="J30" s="94"/>
      <c r="K30" s="16"/>
      <c r="L30" s="16"/>
    </row>
    <row r="31" spans="1:12" x14ac:dyDescent="0.35">
      <c r="A31" s="131" t="s">
        <v>92</v>
      </c>
      <c r="B31" s="132"/>
      <c r="C31" s="226" t="s">
        <v>366</v>
      </c>
      <c r="D31" s="226"/>
      <c r="E31" s="226"/>
      <c r="F31" s="226"/>
      <c r="G31" s="227" t="s">
        <v>93</v>
      </c>
      <c r="H31" s="228"/>
      <c r="I31" s="94"/>
      <c r="J31" s="94"/>
      <c r="K31" s="94"/>
      <c r="L31" s="16"/>
    </row>
    <row r="32" spans="1:12" x14ac:dyDescent="0.35">
      <c r="A32" s="3"/>
      <c r="B32" s="107"/>
      <c r="C32" s="108"/>
      <c r="D32" s="108"/>
      <c r="E32" s="108"/>
      <c r="F32" s="108"/>
      <c r="G32" s="29"/>
      <c r="H32" s="108"/>
      <c r="I32" s="94"/>
      <c r="J32" s="94"/>
      <c r="K32" s="94"/>
      <c r="L32" s="16"/>
    </row>
    <row r="33" spans="1:12" x14ac:dyDescent="0.35">
      <c r="A33" s="8" t="s">
        <v>94</v>
      </c>
      <c r="B33" s="133" t="s">
        <v>61</v>
      </c>
      <c r="C33" s="122" t="s">
        <v>62</v>
      </c>
      <c r="D33" s="122" t="s">
        <v>63</v>
      </c>
      <c r="E33" s="122" t="s">
        <v>64</v>
      </c>
      <c r="F33" s="122" t="s">
        <v>65</v>
      </c>
      <c r="G33" s="30" t="s">
        <v>66</v>
      </c>
      <c r="H33" s="134" t="s">
        <v>95</v>
      </c>
      <c r="I33" s="94"/>
      <c r="J33" s="94"/>
      <c r="K33" s="94"/>
      <c r="L33" s="16"/>
    </row>
    <row r="34" spans="1:12" ht="15" customHeight="1" x14ac:dyDescent="0.35">
      <c r="A34" s="124" t="s">
        <v>96</v>
      </c>
      <c r="B34" s="218" t="s">
        <v>69</v>
      </c>
      <c r="C34" s="113">
        <v>200.9</v>
      </c>
      <c r="D34" s="113">
        <v>154.9</v>
      </c>
      <c r="E34" s="113">
        <v>207.7</v>
      </c>
      <c r="F34" s="113">
        <v>179.15</v>
      </c>
      <c r="G34" s="26">
        <f>SUM(C34:F34)</f>
        <v>742.65</v>
      </c>
      <c r="H34" s="114">
        <f>IF(G34&gt;0,G34/$G$18,"-")</f>
        <v>1.3040106954688591E-2</v>
      </c>
      <c r="I34" s="94"/>
      <c r="J34" s="94"/>
      <c r="K34" s="16"/>
      <c r="L34" s="16"/>
    </row>
    <row r="35" spans="1:12" ht="15" customHeight="1" x14ac:dyDescent="0.35">
      <c r="A35" s="126" t="s">
        <v>97</v>
      </c>
      <c r="B35" s="219"/>
      <c r="C35" s="127">
        <v>554.91999999999996</v>
      </c>
      <c r="D35" s="127">
        <v>456.02</v>
      </c>
      <c r="E35" s="127">
        <v>565.38</v>
      </c>
      <c r="F35" s="127">
        <v>513.63</v>
      </c>
      <c r="G35" s="27">
        <f t="shared" ref="G35" si="10">SUM(C35:F35)</f>
        <v>2089.9499999999998</v>
      </c>
      <c r="H35" s="117">
        <f>IF(G35&gt;0,G35/$G$18,"-")</f>
        <v>3.6697194546490834E-2</v>
      </c>
      <c r="I35" s="94"/>
      <c r="J35" s="94"/>
      <c r="K35" s="16"/>
      <c r="L35" s="16"/>
    </row>
    <row r="36" spans="1:12" ht="15" customHeight="1" x14ac:dyDescent="0.35">
      <c r="A36" s="126" t="s">
        <v>98</v>
      </c>
      <c r="B36" s="219"/>
      <c r="C36" s="127">
        <v>0</v>
      </c>
      <c r="D36" s="127">
        <v>7.88</v>
      </c>
      <c r="E36" s="127">
        <v>2.54</v>
      </c>
      <c r="F36" s="127">
        <v>17.5</v>
      </c>
      <c r="G36" s="27">
        <f t="shared" ref="G36:G39" si="11">SUM(C36:F36)</f>
        <v>27.92</v>
      </c>
      <c r="H36" s="117">
        <f>IF(G36&gt;0,G36/$G$18,"-")</f>
        <v>4.9024410714994346E-4</v>
      </c>
      <c r="I36" s="94"/>
      <c r="J36" s="94"/>
      <c r="K36" s="94"/>
      <c r="L36" s="94"/>
    </row>
    <row r="37" spans="1:12" x14ac:dyDescent="0.35">
      <c r="A37" s="135" t="s">
        <v>99</v>
      </c>
      <c r="B37" s="219"/>
      <c r="C37" s="127">
        <v>0</v>
      </c>
      <c r="D37" s="127">
        <v>0</v>
      </c>
      <c r="E37" s="127">
        <v>0</v>
      </c>
      <c r="F37" s="127">
        <v>0</v>
      </c>
      <c r="G37" s="27">
        <f t="shared" ref="G37" si="12">SUM(C37:F37)</f>
        <v>0</v>
      </c>
      <c r="H37" s="117" t="str">
        <f>IF(G37&gt;0,G37/$G$18,"-")</f>
        <v>-</v>
      </c>
      <c r="I37" s="94"/>
      <c r="J37" s="94"/>
      <c r="K37" s="94"/>
      <c r="L37" s="94"/>
    </row>
    <row r="38" spans="1:12" x14ac:dyDescent="0.35">
      <c r="A38" s="135" t="s">
        <v>99</v>
      </c>
      <c r="B38" s="219"/>
      <c r="C38" s="127">
        <v>0</v>
      </c>
      <c r="D38" s="127">
        <v>0</v>
      </c>
      <c r="E38" s="127">
        <v>0</v>
      </c>
      <c r="F38" s="127">
        <v>0</v>
      </c>
      <c r="G38" s="27">
        <f t="shared" si="11"/>
        <v>0</v>
      </c>
      <c r="H38" s="117" t="str">
        <f>IF(G38&gt;0,G38/$G$18,"-")</f>
        <v>-</v>
      </c>
      <c r="I38" s="94"/>
      <c r="J38" s="94"/>
      <c r="K38" s="94"/>
      <c r="L38" s="94"/>
    </row>
    <row r="39" spans="1:12" x14ac:dyDescent="0.35">
      <c r="A39" s="136" t="s">
        <v>99</v>
      </c>
      <c r="B39" s="225"/>
      <c r="C39" s="137">
        <v>0</v>
      </c>
      <c r="D39" s="137">
        <v>0</v>
      </c>
      <c r="E39" s="137">
        <v>0</v>
      </c>
      <c r="F39" s="137">
        <v>0</v>
      </c>
      <c r="G39" s="28">
        <f t="shared" si="11"/>
        <v>0</v>
      </c>
      <c r="H39" s="121" t="str">
        <f t="shared" ref="H39" si="13">IF(G39&gt;0,G39/$G$18,"-")</f>
        <v>-</v>
      </c>
      <c r="I39" s="94"/>
      <c r="J39" s="94"/>
      <c r="K39" s="94"/>
      <c r="L39" s="94"/>
    </row>
    <row r="40" spans="1:12" x14ac:dyDescent="0.35">
      <c r="A40" s="107"/>
      <c r="B40" s="107"/>
      <c r="C40" s="108"/>
      <c r="D40" s="108"/>
      <c r="E40" s="108"/>
      <c r="F40" s="108"/>
      <c r="G40" s="29"/>
      <c r="H40" s="108"/>
      <c r="I40" s="94"/>
      <c r="J40" s="94"/>
      <c r="K40" s="94"/>
      <c r="L40" s="94"/>
    </row>
    <row r="41" spans="1:12" x14ac:dyDescent="0.35">
      <c r="A41" s="8" t="s">
        <v>100</v>
      </c>
      <c r="B41" s="138" t="s">
        <v>61</v>
      </c>
      <c r="C41" s="110" t="s">
        <v>62</v>
      </c>
      <c r="D41" s="110" t="s">
        <v>63</v>
      </c>
      <c r="E41" s="110" t="s">
        <v>64</v>
      </c>
      <c r="F41" s="110" t="s">
        <v>65</v>
      </c>
      <c r="G41" s="25" t="s">
        <v>66</v>
      </c>
      <c r="H41" s="123" t="s">
        <v>101</v>
      </c>
      <c r="I41" s="94"/>
      <c r="J41" s="94"/>
      <c r="K41" s="94"/>
      <c r="L41" s="94"/>
    </row>
    <row r="42" spans="1:12" ht="15.65" customHeight="1" x14ac:dyDescent="0.35">
      <c r="A42" s="124" t="s">
        <v>102</v>
      </c>
      <c r="B42" s="129" t="s">
        <v>449</v>
      </c>
      <c r="C42" s="113">
        <f>4002</f>
        <v>4002</v>
      </c>
      <c r="D42" s="113">
        <f>3847</f>
        <v>3847</v>
      </c>
      <c r="E42" s="113">
        <f>4699</f>
        <v>4699</v>
      </c>
      <c r="F42" s="113">
        <f>4197</f>
        <v>4197</v>
      </c>
      <c r="G42" s="26">
        <f t="shared" ref="G42:G50" si="14">SUM(C42:F42)</f>
        <v>16745</v>
      </c>
      <c r="H42" s="139">
        <f>IF(G42&gt;0,G42/$G$18,"-")</f>
        <v>0.29402355208545139</v>
      </c>
      <c r="I42" s="94"/>
      <c r="J42" s="94"/>
      <c r="K42" s="94"/>
      <c r="L42" s="94"/>
    </row>
    <row r="43" spans="1:12" x14ac:dyDescent="0.35">
      <c r="A43" s="126" t="s">
        <v>379</v>
      </c>
      <c r="B43" s="129" t="s">
        <v>449</v>
      </c>
      <c r="C43" s="127">
        <f>1941</f>
        <v>1941</v>
      </c>
      <c r="D43" s="127">
        <f>2219</f>
        <v>2219</v>
      </c>
      <c r="E43" s="127">
        <f>(3853)+88500/1000</f>
        <v>3941.5</v>
      </c>
      <c r="F43" s="127">
        <f>(687)+29500/1000</f>
        <v>716.5</v>
      </c>
      <c r="G43" s="27">
        <f t="shared" si="14"/>
        <v>8818</v>
      </c>
      <c r="H43" s="139">
        <f>IF(G43&gt;0,G43/$G$18,"-")</f>
        <v>0.15483425991576652</v>
      </c>
      <c r="I43" s="94"/>
      <c r="J43" s="94"/>
      <c r="K43" s="94"/>
      <c r="L43" s="94"/>
    </row>
    <row r="44" spans="1:12" ht="15.65" customHeight="1" x14ac:dyDescent="0.35">
      <c r="A44" s="126" t="s">
        <v>104</v>
      </c>
      <c r="B44" s="129" t="s">
        <v>105</v>
      </c>
      <c r="C44" s="127"/>
      <c r="D44" s="127"/>
      <c r="E44" s="127"/>
      <c r="F44" s="127"/>
      <c r="G44" s="27">
        <f t="shared" si="14"/>
        <v>0</v>
      </c>
      <c r="H44" s="139" t="str">
        <f>IF(G44&gt;0,G44/$G$18,"-")</f>
        <v>-</v>
      </c>
      <c r="I44" s="94"/>
      <c r="J44" s="94"/>
      <c r="K44" s="94"/>
      <c r="L44" s="94"/>
    </row>
    <row r="45" spans="1:12" ht="15.65" customHeight="1" x14ac:dyDescent="0.35">
      <c r="A45" s="126" t="s">
        <v>106</v>
      </c>
      <c r="B45" s="129" t="s">
        <v>105</v>
      </c>
      <c r="C45" s="127">
        <v>100576</v>
      </c>
      <c r="D45" s="127">
        <v>75116</v>
      </c>
      <c r="E45" s="127">
        <v>88976</v>
      </c>
      <c r="F45" s="127">
        <v>63396</v>
      </c>
      <c r="G45" s="27">
        <f t="shared" ref="G45" si="15">SUM(C45:F45)</f>
        <v>328064</v>
      </c>
      <c r="H45" s="139">
        <f>IF(G45&gt;0,G45/$G$18,"-")</f>
        <v>5.7604384945572722</v>
      </c>
      <c r="I45" s="94"/>
      <c r="J45" s="94"/>
      <c r="K45" s="94"/>
      <c r="L45" s="94"/>
    </row>
    <row r="46" spans="1:12" x14ac:dyDescent="0.35">
      <c r="A46" s="126" t="s">
        <v>107</v>
      </c>
      <c r="B46" s="129" t="s">
        <v>105</v>
      </c>
      <c r="C46" s="127">
        <v>0</v>
      </c>
      <c r="D46" s="127">
        <v>101</v>
      </c>
      <c r="E46" s="127">
        <v>1346</v>
      </c>
      <c r="F46" s="127">
        <v>1299</v>
      </c>
      <c r="G46" s="27">
        <f t="shared" si="14"/>
        <v>2746</v>
      </c>
      <c r="H46" s="139">
        <f t="shared" ref="H46:H48" si="16">IF(G46&gt;0,G46/$G$18,"-")</f>
        <v>4.821670194246936E-2</v>
      </c>
      <c r="I46" s="94"/>
      <c r="J46" s="94"/>
      <c r="K46" s="94"/>
      <c r="L46" s="94"/>
    </row>
    <row r="47" spans="1:12" x14ac:dyDescent="0.35">
      <c r="A47" s="126" t="s">
        <v>108</v>
      </c>
      <c r="B47" s="129" t="s">
        <v>105</v>
      </c>
      <c r="C47" s="127">
        <v>118990</v>
      </c>
      <c r="D47" s="127">
        <v>94619</v>
      </c>
      <c r="E47" s="127">
        <v>119321</v>
      </c>
      <c r="F47" s="127">
        <v>100336</v>
      </c>
      <c r="G47" s="27">
        <f t="shared" si="14"/>
        <v>433266</v>
      </c>
      <c r="H47" s="139">
        <f t="shared" si="16"/>
        <v>7.6076684573218971</v>
      </c>
      <c r="I47" s="94"/>
      <c r="J47" s="94"/>
      <c r="K47" s="94"/>
      <c r="L47" s="94"/>
    </row>
    <row r="48" spans="1:12" x14ac:dyDescent="0.35">
      <c r="A48" s="126" t="s">
        <v>109</v>
      </c>
      <c r="B48" s="129" t="s">
        <v>103</v>
      </c>
      <c r="C48" s="127">
        <f>3.13*1000</f>
        <v>3130</v>
      </c>
      <c r="D48" s="127">
        <f>5.53*1000</f>
        <v>5530</v>
      </c>
      <c r="E48" s="127">
        <f>3.56*1000</f>
        <v>3560</v>
      </c>
      <c r="F48" s="127">
        <f>8.03*1000</f>
        <v>8029.9999999999991</v>
      </c>
      <c r="G48" s="27">
        <f t="shared" si="14"/>
        <v>20250</v>
      </c>
      <c r="H48" s="139">
        <f t="shared" si="16"/>
        <v>0.35556744877458285</v>
      </c>
      <c r="I48" s="94"/>
      <c r="J48" s="94"/>
      <c r="K48" s="94"/>
      <c r="L48" s="94"/>
    </row>
    <row r="49" spans="1:10" x14ac:dyDescent="0.35">
      <c r="A49" s="126" t="s">
        <v>110</v>
      </c>
      <c r="B49" s="129" t="s">
        <v>111</v>
      </c>
      <c r="C49" s="127">
        <v>428755.36900000001</v>
      </c>
      <c r="D49" s="127">
        <v>355053.65899999999</v>
      </c>
      <c r="E49" s="127">
        <v>510085.04599999997</v>
      </c>
      <c r="F49" s="127">
        <v>404988.598</v>
      </c>
      <c r="G49" s="27">
        <f t="shared" si="14"/>
        <v>1698882.672</v>
      </c>
      <c r="H49" s="140"/>
      <c r="I49" s="94"/>
      <c r="J49" s="94"/>
    </row>
    <row r="50" spans="1:10" x14ac:dyDescent="0.35">
      <c r="A50" s="131" t="s">
        <v>99</v>
      </c>
      <c r="B50" s="141"/>
      <c r="C50" s="137">
        <v>0</v>
      </c>
      <c r="D50" s="137">
        <v>0</v>
      </c>
      <c r="E50" s="137">
        <v>0</v>
      </c>
      <c r="F50" s="137">
        <v>0</v>
      </c>
      <c r="G50" s="28">
        <f t="shared" si="14"/>
        <v>0</v>
      </c>
      <c r="H50" s="142"/>
      <c r="I50" s="94"/>
      <c r="J50" s="94"/>
    </row>
    <row r="51" spans="1:10" x14ac:dyDescent="0.35">
      <c r="A51" s="107"/>
      <c r="B51" s="107"/>
      <c r="C51" s="108"/>
      <c r="D51" s="108"/>
      <c r="E51" s="108"/>
      <c r="F51" s="108"/>
      <c r="G51" s="29"/>
      <c r="H51" s="108"/>
      <c r="I51" s="94"/>
      <c r="J51" s="94"/>
    </row>
    <row r="52" spans="1:10" x14ac:dyDescent="0.35">
      <c r="A52" s="8" t="s">
        <v>112</v>
      </c>
      <c r="B52" s="143" t="s">
        <v>113</v>
      </c>
      <c r="C52" s="122" t="s">
        <v>62</v>
      </c>
      <c r="D52" s="122" t="s">
        <v>63</v>
      </c>
      <c r="E52" s="122" t="s">
        <v>64</v>
      </c>
      <c r="F52" s="122" t="s">
        <v>65</v>
      </c>
      <c r="G52" s="30" t="s">
        <v>66</v>
      </c>
      <c r="H52" s="123"/>
      <c r="I52" s="94"/>
      <c r="J52" s="81" t="s">
        <v>114</v>
      </c>
    </row>
    <row r="53" spans="1:10" ht="14.25" customHeight="1" x14ac:dyDescent="0.35">
      <c r="A53" s="221" t="s">
        <v>115</v>
      </c>
      <c r="B53" s="122">
        <f>+B5</f>
        <v>1</v>
      </c>
      <c r="C53" s="167">
        <v>2160</v>
      </c>
      <c r="D53" s="167">
        <v>1848</v>
      </c>
      <c r="E53" s="167">
        <v>2208</v>
      </c>
      <c r="F53" s="167">
        <v>1872</v>
      </c>
      <c r="G53" s="26">
        <f t="shared" ref="G53:G65" si="17">SUM(C53:F53)</f>
        <v>8088</v>
      </c>
      <c r="H53" s="114" t="s">
        <v>116</v>
      </c>
      <c r="I53" s="94"/>
      <c r="J53" s="83">
        <v>8760</v>
      </c>
    </row>
    <row r="54" spans="1:10" ht="14.25" customHeight="1" x14ac:dyDescent="0.35">
      <c r="A54" s="222"/>
      <c r="B54" s="108">
        <v>2</v>
      </c>
      <c r="C54" s="116" t="s">
        <v>366</v>
      </c>
      <c r="D54" s="116" t="s">
        <v>366</v>
      </c>
      <c r="E54" s="116" t="s">
        <v>366</v>
      </c>
      <c r="F54" s="116" t="s">
        <v>366</v>
      </c>
      <c r="G54" s="27">
        <f t="shared" si="17"/>
        <v>0</v>
      </c>
      <c r="H54" s="117" t="s">
        <v>117</v>
      </c>
      <c r="I54" s="94"/>
      <c r="J54" s="94"/>
    </row>
    <row r="55" spans="1:10" ht="14.25" customHeight="1" x14ac:dyDescent="0.35">
      <c r="A55" s="222"/>
      <c r="B55" s="108">
        <v>3</v>
      </c>
      <c r="C55" s="116" t="s">
        <v>366</v>
      </c>
      <c r="D55" s="116" t="s">
        <v>366</v>
      </c>
      <c r="E55" s="116" t="s">
        <v>366</v>
      </c>
      <c r="F55" s="116" t="s">
        <v>366</v>
      </c>
      <c r="G55" s="27">
        <f t="shared" si="17"/>
        <v>0</v>
      </c>
      <c r="H55" s="117" t="s">
        <v>117</v>
      </c>
      <c r="I55" s="94"/>
      <c r="J55" s="94"/>
    </row>
    <row r="56" spans="1:10" ht="14.25" customHeight="1" x14ac:dyDescent="0.35">
      <c r="A56" s="222"/>
      <c r="B56" s="108">
        <v>4</v>
      </c>
      <c r="C56" s="116" t="s">
        <v>366</v>
      </c>
      <c r="D56" s="116" t="s">
        <v>366</v>
      </c>
      <c r="E56" s="116" t="s">
        <v>366</v>
      </c>
      <c r="F56" s="116" t="s">
        <v>366</v>
      </c>
      <c r="G56" s="27">
        <f t="shared" si="17"/>
        <v>0</v>
      </c>
      <c r="H56" s="117" t="s">
        <v>117</v>
      </c>
      <c r="I56" s="94"/>
      <c r="J56" s="94"/>
    </row>
    <row r="57" spans="1:10" ht="14.25" customHeight="1" x14ac:dyDescent="0.35">
      <c r="A57" s="222"/>
      <c r="B57" s="108">
        <v>5</v>
      </c>
      <c r="C57" s="116" t="s">
        <v>366</v>
      </c>
      <c r="D57" s="116" t="s">
        <v>366</v>
      </c>
      <c r="E57" s="116" t="s">
        <v>366</v>
      </c>
      <c r="F57" s="116" t="s">
        <v>366</v>
      </c>
      <c r="G57" s="27">
        <f t="shared" ref="G57" si="18">SUM(C57:F57)</f>
        <v>0</v>
      </c>
      <c r="H57" s="117" t="s">
        <v>117</v>
      </c>
      <c r="I57" s="94"/>
      <c r="J57" s="94"/>
    </row>
    <row r="58" spans="1:10" ht="14.25" customHeight="1" x14ac:dyDescent="0.35">
      <c r="A58" s="126" t="s">
        <v>118</v>
      </c>
      <c r="B58" s="108"/>
      <c r="C58" s="168">
        <f>C53</f>
        <v>2160</v>
      </c>
      <c r="D58" s="168">
        <f t="shared" ref="D58:F58" si="19">D53</f>
        <v>1848</v>
      </c>
      <c r="E58" s="168">
        <f t="shared" si="19"/>
        <v>2208</v>
      </c>
      <c r="F58" s="168">
        <f t="shared" si="19"/>
        <v>1872</v>
      </c>
      <c r="G58" s="27">
        <f>AVERAGE(G53:G57)</f>
        <v>1617.6</v>
      </c>
      <c r="H58" s="82" t="s">
        <v>117</v>
      </c>
      <c r="I58" s="94"/>
      <c r="J58" s="94"/>
    </row>
    <row r="59" spans="1:10" ht="14.25" customHeight="1" x14ac:dyDescent="0.35">
      <c r="A59" s="126" t="s">
        <v>119</v>
      </c>
      <c r="B59" s="108">
        <v>1</v>
      </c>
      <c r="C59" s="116">
        <v>1502</v>
      </c>
      <c r="D59" s="116">
        <v>1142</v>
      </c>
      <c r="E59" s="116">
        <v>1511</v>
      </c>
      <c r="F59" s="116">
        <v>1242</v>
      </c>
      <c r="G59" s="27">
        <f t="shared" si="17"/>
        <v>5397</v>
      </c>
      <c r="H59" s="117" t="s">
        <v>117</v>
      </c>
      <c r="I59" s="94"/>
      <c r="J59" s="94"/>
    </row>
    <row r="60" spans="1:10" x14ac:dyDescent="0.35">
      <c r="A60" s="126" t="s">
        <v>119</v>
      </c>
      <c r="B60" s="108">
        <v>2</v>
      </c>
      <c r="C60" s="127" t="s">
        <v>366</v>
      </c>
      <c r="D60" s="127" t="s">
        <v>366</v>
      </c>
      <c r="E60" s="127" t="s">
        <v>366</v>
      </c>
      <c r="F60" s="127" t="s">
        <v>366</v>
      </c>
      <c r="G60" s="27">
        <f t="shared" si="17"/>
        <v>0</v>
      </c>
      <c r="H60" s="117" t="s">
        <v>117</v>
      </c>
      <c r="I60" s="94"/>
      <c r="J60" s="94"/>
    </row>
    <row r="61" spans="1:10" x14ac:dyDescent="0.35">
      <c r="A61" s="126" t="s">
        <v>120</v>
      </c>
      <c r="B61" s="108"/>
      <c r="C61" s="127" t="s">
        <v>366</v>
      </c>
      <c r="D61" s="127" t="s">
        <v>366</v>
      </c>
      <c r="E61" s="127" t="s">
        <v>366</v>
      </c>
      <c r="F61" s="127" t="s">
        <v>366</v>
      </c>
      <c r="G61" s="27">
        <f t="shared" si="17"/>
        <v>0</v>
      </c>
      <c r="H61" s="117" t="str">
        <f>IF(B61&gt;0,G60/J53,"n/a")</f>
        <v>n/a</v>
      </c>
      <c r="I61" s="94"/>
      <c r="J61" s="94"/>
    </row>
    <row r="62" spans="1:10" x14ac:dyDescent="0.35">
      <c r="A62" s="126" t="s">
        <v>121</v>
      </c>
      <c r="B62" s="108" t="s">
        <v>122</v>
      </c>
      <c r="C62" s="169">
        <v>40.81</v>
      </c>
      <c r="D62" s="169">
        <v>44.84</v>
      </c>
      <c r="E62" s="169">
        <v>47.252000000000002</v>
      </c>
      <c r="F62" s="169">
        <v>45.241</v>
      </c>
      <c r="G62" s="27">
        <f t="shared" si="17"/>
        <v>178.14300000000003</v>
      </c>
      <c r="H62" s="144" t="s">
        <v>123</v>
      </c>
      <c r="I62" s="94"/>
      <c r="J62" s="94"/>
    </row>
    <row r="63" spans="1:10" x14ac:dyDescent="0.35">
      <c r="A63" s="126" t="s">
        <v>124</v>
      </c>
      <c r="B63" s="108" t="s">
        <v>125</v>
      </c>
      <c r="C63" s="127">
        <v>1</v>
      </c>
      <c r="D63" s="127">
        <v>1</v>
      </c>
      <c r="E63" s="127">
        <v>0</v>
      </c>
      <c r="F63" s="127">
        <v>3</v>
      </c>
      <c r="G63" s="27">
        <f t="shared" si="17"/>
        <v>5</v>
      </c>
      <c r="H63" s="128" t="str">
        <f>IF(G63&gt;0,"yes","no")</f>
        <v>yes</v>
      </c>
      <c r="I63" s="94"/>
      <c r="J63" s="94"/>
    </row>
    <row r="64" spans="1:10" x14ac:dyDescent="0.35">
      <c r="A64" s="126" t="s">
        <v>126</v>
      </c>
      <c r="B64" s="108" t="s">
        <v>127</v>
      </c>
      <c r="C64" s="165">
        <v>0.5</v>
      </c>
      <c r="D64" s="165">
        <v>0.37</v>
      </c>
      <c r="E64" s="127">
        <v>0</v>
      </c>
      <c r="F64" s="165">
        <v>9</v>
      </c>
      <c r="G64" s="27">
        <f t="shared" si="17"/>
        <v>9.8699999999999992</v>
      </c>
      <c r="H64" s="145">
        <f>+(G64)/J53</f>
        <v>1.1267123287671231E-3</v>
      </c>
      <c r="I64" s="94"/>
      <c r="J64" s="94"/>
    </row>
    <row r="65" spans="1:9" x14ac:dyDescent="0.35">
      <c r="A65" s="131" t="s">
        <v>128</v>
      </c>
      <c r="B65" s="146" t="s">
        <v>125</v>
      </c>
      <c r="C65" s="172">
        <v>3</v>
      </c>
      <c r="D65" s="172">
        <v>4</v>
      </c>
      <c r="E65" s="172">
        <v>5</v>
      </c>
      <c r="F65" s="172">
        <v>3</v>
      </c>
      <c r="G65" s="28">
        <f t="shared" si="17"/>
        <v>15</v>
      </c>
      <c r="H65" s="147" t="str">
        <f>IF(G65&gt;0,"yes","no")</f>
        <v>yes</v>
      </c>
      <c r="I65" s="94" t="s">
        <v>453</v>
      </c>
    </row>
    <row r="78" spans="1:9" x14ac:dyDescent="0.35">
      <c r="A78" s="94"/>
      <c r="B78" s="107"/>
      <c r="C78" s="107"/>
      <c r="D78" s="107"/>
      <c r="E78" s="107"/>
      <c r="F78" s="3"/>
      <c r="H78" s="108"/>
    </row>
  </sheetData>
  <mergeCells count="10">
    <mergeCell ref="K6:K7"/>
    <mergeCell ref="K8:K19"/>
    <mergeCell ref="B34:B39"/>
    <mergeCell ref="C31:F31"/>
    <mergeCell ref="G31:H31"/>
    <mergeCell ref="B4:C4"/>
    <mergeCell ref="B8:B20"/>
    <mergeCell ref="B24:B27"/>
    <mergeCell ref="B29:B30"/>
    <mergeCell ref="A53:A57"/>
  </mergeCells>
  <phoneticPr fontId="25" type="noConversion"/>
  <pageMargins left="0.7" right="0.7" top="0.75" bottom="0.75" header="0.3" footer="0.3"/>
  <pageSetup paperSize="9" scale="87" orientation="portrait" r:id="rId1"/>
  <headerFooter scaleWithDoc="0">
    <oddFooter>&amp;C&amp;"Arial,Regular"Page &amp;P</oddFooter>
  </headerFooter>
  <ignoredErrors>
    <ignoredError sqref="G59:G60 G54:G56"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K62"/>
  <sheetViews>
    <sheetView showGridLines="0" zoomScaleNormal="100" workbookViewId="0">
      <selection activeCell="E33" sqref="E33:F33"/>
    </sheetView>
  </sheetViews>
  <sheetFormatPr defaultColWidth="9.1796875" defaultRowHeight="15.5" x14ac:dyDescent="0.35"/>
  <cols>
    <col min="1" max="16384" width="9.1796875" style="2"/>
  </cols>
  <sheetData>
    <row r="1" spans="1:11" x14ac:dyDescent="0.35">
      <c r="A1" s="31">
        <f>+'Cover Page'!C39</f>
        <v>2022</v>
      </c>
      <c r="B1" s="32" t="s">
        <v>133</v>
      </c>
      <c r="C1" s="32"/>
      <c r="D1" s="32"/>
      <c r="E1" s="32"/>
      <c r="F1" s="32"/>
      <c r="G1" s="32"/>
      <c r="H1" s="32"/>
      <c r="I1" s="32"/>
      <c r="J1" s="32"/>
    </row>
    <row r="2" spans="1:11" ht="8.25" customHeight="1" x14ac:dyDescent="0.35">
      <c r="A2" s="94"/>
      <c r="B2" s="94"/>
      <c r="C2" s="94"/>
      <c r="D2" s="94"/>
      <c r="E2" s="94"/>
      <c r="F2" s="94"/>
      <c r="G2" s="94"/>
      <c r="H2" s="94"/>
      <c r="I2" s="94"/>
      <c r="J2" s="94"/>
    </row>
    <row r="3" spans="1:11" s="3" customFormat="1" ht="14" x14ac:dyDescent="0.3">
      <c r="A3" s="233" t="str">
        <f>+'Cover Page'!B31</f>
        <v>Permit EPR/FP3701Z</v>
      </c>
      <c r="B3" s="233"/>
      <c r="C3" s="233"/>
      <c r="D3" s="233"/>
      <c r="E3" s="233"/>
      <c r="F3" s="3" t="s">
        <v>134</v>
      </c>
      <c r="G3" s="234">
        <f>+'Cover Page'!B37:I37</f>
        <v>0</v>
      </c>
      <c r="H3" s="234"/>
      <c r="I3" s="234"/>
    </row>
    <row r="4" spans="1:11" s="3" customFormat="1" ht="14" x14ac:dyDescent="0.3">
      <c r="A4" s="3" t="s">
        <v>135</v>
      </c>
      <c r="B4" s="233" t="str">
        <f>+'Cover Page'!B33:I33</f>
        <v>Welland Biopower Ltd</v>
      </c>
      <c r="C4" s="233"/>
      <c r="D4" s="233"/>
      <c r="E4" s="233"/>
      <c r="F4" s="3" t="s">
        <v>136</v>
      </c>
      <c r="G4" s="3" t="s">
        <v>137</v>
      </c>
    </row>
    <row r="5" spans="1:11" s="3" customFormat="1" ht="6.75" customHeight="1" x14ac:dyDescent="0.3"/>
    <row r="6" spans="1:11" s="3" customFormat="1" ht="15.75" customHeight="1" x14ac:dyDescent="0.3">
      <c r="A6" s="3" t="s">
        <v>138</v>
      </c>
      <c r="D6" s="235">
        <v>44562</v>
      </c>
      <c r="E6" s="235"/>
      <c r="F6" s="33" t="s">
        <v>139</v>
      </c>
      <c r="G6" s="235">
        <v>44926</v>
      </c>
      <c r="H6" s="235"/>
    </row>
    <row r="7" spans="1:11" s="3" customFormat="1" ht="7.5" customHeight="1" x14ac:dyDescent="0.3"/>
    <row r="8" spans="1:11" s="3" customFormat="1" x14ac:dyDescent="0.35">
      <c r="A8" s="8">
        <f>+A1</f>
        <v>2022</v>
      </c>
      <c r="B8" s="32" t="s">
        <v>140</v>
      </c>
      <c r="C8"/>
      <c r="D8"/>
      <c r="E8"/>
      <c r="F8"/>
      <c r="G8"/>
    </row>
    <row r="9" spans="1:11" s="3" customFormat="1" ht="28.5" customHeight="1" x14ac:dyDescent="0.3">
      <c r="A9" s="236" t="s">
        <v>141</v>
      </c>
      <c r="B9" s="236"/>
      <c r="C9" s="236" t="s">
        <v>142</v>
      </c>
      <c r="D9" s="236"/>
      <c r="E9" s="236" t="s">
        <v>143</v>
      </c>
      <c r="F9" s="236"/>
      <c r="G9" s="236" t="s">
        <v>144</v>
      </c>
      <c r="H9" s="236"/>
      <c r="I9" s="236" t="s">
        <v>145</v>
      </c>
      <c r="J9" s="236"/>
    </row>
    <row r="10" spans="1:11" s="3" customFormat="1" ht="14.25" customHeight="1" x14ac:dyDescent="0.3">
      <c r="A10" s="229" t="s">
        <v>146</v>
      </c>
      <c r="B10" s="229"/>
      <c r="C10" s="229"/>
      <c r="D10" s="229"/>
      <c r="E10" s="229"/>
      <c r="F10" s="229"/>
      <c r="G10" s="229"/>
      <c r="H10" s="229"/>
      <c r="I10" s="229"/>
      <c r="J10" s="229"/>
    </row>
    <row r="11" spans="1:11" s="3" customFormat="1" ht="14.25" customHeight="1" x14ac:dyDescent="0.3">
      <c r="A11" s="229" t="s">
        <v>147</v>
      </c>
      <c r="B11" s="229"/>
      <c r="C11" s="230" t="s">
        <v>381</v>
      </c>
      <c r="D11" s="230"/>
      <c r="E11" s="231">
        <f>SUM('Operational Data'!G34)</f>
        <v>742.65</v>
      </c>
      <c r="F11" s="231"/>
      <c r="G11" s="231">
        <v>0</v>
      </c>
      <c r="H11" s="231"/>
      <c r="I11" s="232">
        <f>IF((E11+G11)&gt;0,(E11+G11)/'Operational Data'!$G$21, "-")</f>
        <v>1.3190695377794907E-2</v>
      </c>
      <c r="J11" s="232"/>
    </row>
    <row r="12" spans="1:11" s="3" customFormat="1" ht="14.25" customHeight="1" x14ac:dyDescent="0.3">
      <c r="A12" s="229" t="s">
        <v>148</v>
      </c>
      <c r="B12" s="229"/>
      <c r="C12" s="230" t="s">
        <v>380</v>
      </c>
      <c r="D12" s="230"/>
      <c r="E12" s="231">
        <f>'Operational Data'!G35</f>
        <v>2089.9499999999998</v>
      </c>
      <c r="F12" s="231"/>
      <c r="G12" s="231">
        <v>0</v>
      </c>
      <c r="H12" s="231"/>
      <c r="I12" s="232">
        <f>IF((E12+G12)&gt;0,(E12+G12)/'Operational Data'!$G$21, "-")</f>
        <v>3.7120977317474539E-2</v>
      </c>
      <c r="J12" s="232"/>
      <c r="K12" s="164"/>
    </row>
    <row r="13" spans="1:11" s="3" customFormat="1" ht="14.25" customHeight="1" x14ac:dyDescent="0.3">
      <c r="A13" s="237"/>
      <c r="B13" s="237"/>
      <c r="C13" s="230"/>
      <c r="D13" s="230"/>
      <c r="E13" s="231"/>
      <c r="F13" s="231"/>
      <c r="G13" s="231"/>
      <c r="H13" s="231"/>
      <c r="I13" s="232" t="str">
        <f>IF((E13+G13)&gt;0,(E13+G13)/'Operational Data'!$G$21, "-")</f>
        <v>-</v>
      </c>
      <c r="J13" s="232"/>
    </row>
    <row r="14" spans="1:11" s="3" customFormat="1" ht="14.25" customHeight="1" x14ac:dyDescent="0.3">
      <c r="A14" s="237"/>
      <c r="B14" s="237"/>
      <c r="C14" s="230"/>
      <c r="D14" s="230"/>
      <c r="E14" s="231"/>
      <c r="F14" s="231"/>
      <c r="G14" s="231"/>
      <c r="H14" s="231"/>
      <c r="I14" s="232" t="str">
        <f>IF((E14+G14)&gt;0,(E14+G14)/'Operational Data'!$G$21, "-")</f>
        <v>-</v>
      </c>
      <c r="J14" s="232"/>
    </row>
    <row r="15" spans="1:11" s="3" customFormat="1" ht="14.25" customHeight="1" x14ac:dyDescent="0.3">
      <c r="A15" s="244" t="s">
        <v>149</v>
      </c>
      <c r="B15" s="244"/>
      <c r="C15" s="244"/>
      <c r="D15" s="244"/>
      <c r="E15" s="245">
        <f>SUM(E11:F14)</f>
        <v>2832.6</v>
      </c>
      <c r="F15" s="245"/>
      <c r="G15" s="245">
        <f>SUM(G11:H14)</f>
        <v>0</v>
      </c>
      <c r="H15" s="245"/>
      <c r="I15" s="232">
        <f>IF((E15+G15)&gt;0,(E15+G15)/'Operational Data'!$G$21, "-")</f>
        <v>5.0311672695269448E-2</v>
      </c>
      <c r="J15" s="232"/>
    </row>
    <row r="16" spans="1:11" s="3" customFormat="1" ht="14.25" customHeight="1" x14ac:dyDescent="0.3">
      <c r="A16" s="238"/>
      <c r="B16" s="239"/>
      <c r="C16" s="239"/>
      <c r="D16" s="239"/>
      <c r="E16" s="240"/>
      <c r="F16" s="240"/>
      <c r="G16" s="240"/>
      <c r="H16" s="240"/>
      <c r="I16" s="241"/>
      <c r="J16" s="242"/>
    </row>
    <row r="17" spans="1:11" s="3" customFormat="1" ht="14.25" customHeight="1" x14ac:dyDescent="0.3">
      <c r="A17" s="243" t="s">
        <v>150</v>
      </c>
      <c r="B17" s="243"/>
      <c r="C17" s="243"/>
      <c r="D17" s="243"/>
      <c r="E17" s="243"/>
      <c r="F17" s="243"/>
      <c r="G17" s="243"/>
      <c r="H17" s="243"/>
      <c r="I17" s="243"/>
      <c r="J17" s="243"/>
    </row>
    <row r="18" spans="1:11" ht="14.25" customHeight="1" x14ac:dyDescent="0.35">
      <c r="A18" s="229" t="s">
        <v>148</v>
      </c>
      <c r="B18" s="229"/>
      <c r="C18" s="230" t="s">
        <v>366</v>
      </c>
      <c r="D18" s="230"/>
      <c r="E18" s="231"/>
      <c r="F18" s="231"/>
      <c r="G18" s="231"/>
      <c r="H18" s="231"/>
      <c r="I18" s="232" t="str">
        <f>IF((E18+G18)&gt;0,(E18+G18)/'Operational Data'!$G$21, "-")</f>
        <v>-</v>
      </c>
      <c r="J18" s="232"/>
    </row>
    <row r="19" spans="1:11" s="3" customFormat="1" ht="14.25" customHeight="1" x14ac:dyDescent="0.3">
      <c r="A19" s="229" t="s">
        <v>151</v>
      </c>
      <c r="B19" s="229"/>
      <c r="C19" s="246" t="s">
        <v>448</v>
      </c>
      <c r="D19" s="246"/>
      <c r="E19" s="245"/>
      <c r="F19" s="245"/>
      <c r="G19" s="245">
        <v>27.92</v>
      </c>
      <c r="H19" s="245"/>
      <c r="I19" s="232">
        <f>IF((E19+G19)&gt;0,(E19+G19)/'Operational Data'!$G$21, "-")</f>
        <v>4.9590549376965444E-4</v>
      </c>
      <c r="J19" s="232"/>
      <c r="K19" s="3" t="s">
        <v>69</v>
      </c>
    </row>
    <row r="20" spans="1:11" s="3" customFormat="1" ht="14.25" customHeight="1" x14ac:dyDescent="0.3">
      <c r="A20" s="229" t="s">
        <v>152</v>
      </c>
      <c r="B20" s="229"/>
      <c r="C20" s="246" t="s">
        <v>436</v>
      </c>
      <c r="D20" s="246"/>
      <c r="E20" s="245"/>
      <c r="F20" s="245"/>
      <c r="G20" s="245">
        <f>9836-2352</f>
        <v>7484</v>
      </c>
      <c r="H20" s="245"/>
      <c r="I20" s="232">
        <f>IF((E20+G20)&gt;0,(E20+G20)/'Operational Data'!$G$21, "-")</f>
        <v>0.13292824911791165</v>
      </c>
      <c r="J20" s="232"/>
      <c r="K20" s="3" t="s">
        <v>449</v>
      </c>
    </row>
    <row r="21" spans="1:11" s="3" customFormat="1" ht="14.25" customHeight="1" x14ac:dyDescent="0.3">
      <c r="A21" s="247" t="s">
        <v>152</v>
      </c>
      <c r="B21" s="247"/>
      <c r="C21" s="246" t="s">
        <v>435</v>
      </c>
      <c r="D21" s="246"/>
      <c r="E21" s="245"/>
      <c r="F21" s="245"/>
      <c r="G21" s="245">
        <f>1620+225+227+103+2531+448+73+48</f>
        <v>5275</v>
      </c>
      <c r="H21" s="245"/>
      <c r="I21" s="232">
        <f>IF((E21+G21)&gt;0,(E21+G21)/'Operational Data'!$G$21, "-")</f>
        <v>9.3692746405262414E-2</v>
      </c>
      <c r="J21" s="232"/>
      <c r="K21" s="3" t="s">
        <v>449</v>
      </c>
    </row>
    <row r="22" spans="1:11" s="3" customFormat="1" ht="14.25" customHeight="1" x14ac:dyDescent="0.3">
      <c r="A22" s="247"/>
      <c r="B22" s="247"/>
      <c r="C22" s="246"/>
      <c r="D22" s="246"/>
      <c r="E22" s="245"/>
      <c r="F22" s="245"/>
      <c r="G22" s="245"/>
      <c r="H22" s="245"/>
      <c r="I22" s="232" t="str">
        <f>IF((E22+G22)&gt;0,(E22+G22)/'Operational Data'!$G$21, "-")</f>
        <v>-</v>
      </c>
      <c r="J22" s="232"/>
    </row>
    <row r="23" spans="1:11" s="3" customFormat="1" ht="14.25" customHeight="1" x14ac:dyDescent="0.3">
      <c r="A23" s="248" t="s">
        <v>153</v>
      </c>
      <c r="B23" s="248"/>
      <c r="C23" s="248"/>
      <c r="D23" s="248"/>
      <c r="E23" s="245">
        <f>SUM(E18:F22)</f>
        <v>0</v>
      </c>
      <c r="F23" s="245"/>
      <c r="G23" s="245">
        <f>SUM(G18:H22)</f>
        <v>12786.92</v>
      </c>
      <c r="H23" s="245"/>
      <c r="I23" s="232">
        <f>IF((E23+G23)&gt;0,(E23+G23)/'Operational Data'!$G$21, "-")</f>
        <v>0.22711690101694373</v>
      </c>
      <c r="J23" s="232"/>
    </row>
    <row r="24" spans="1:11" s="3" customFormat="1" ht="14.25" customHeight="1" x14ac:dyDescent="0.3">
      <c r="A24" s="258" t="s">
        <v>154</v>
      </c>
      <c r="B24" s="258"/>
      <c r="C24" s="258"/>
      <c r="D24" s="258"/>
      <c r="E24" s="259">
        <f>+E23+E15</f>
        <v>2832.6</v>
      </c>
      <c r="F24" s="259"/>
      <c r="G24" s="259">
        <f>+G23+G15</f>
        <v>12786.92</v>
      </c>
      <c r="H24" s="259"/>
      <c r="I24" s="260">
        <f>IF((E24+G24)&gt;0,(E24+G24)/'Operational Data'!$G$21, "-")</f>
        <v>0.27742857371221319</v>
      </c>
      <c r="J24" s="260"/>
    </row>
    <row r="25" spans="1:11" s="3" customFormat="1" ht="8.25" customHeight="1" x14ac:dyDescent="0.35">
      <c r="A25" s="149"/>
      <c r="B25"/>
      <c r="C25"/>
      <c r="D25"/>
      <c r="E25"/>
      <c r="F25"/>
      <c r="G25"/>
    </row>
    <row r="26" spans="1:11" s="3" customFormat="1" ht="14.25" customHeight="1" x14ac:dyDescent="0.3">
      <c r="A26" s="261" t="s">
        <v>155</v>
      </c>
      <c r="B26" s="261"/>
      <c r="C26" s="261"/>
      <c r="D26" s="261"/>
      <c r="E26" s="261"/>
      <c r="F26" s="261"/>
      <c r="G26" s="261"/>
      <c r="H26" s="261"/>
      <c r="I26" s="261"/>
      <c r="J26" s="261"/>
    </row>
    <row r="27" spans="1:11" s="3" customFormat="1" ht="14.25" customHeight="1" x14ac:dyDescent="0.3">
      <c r="A27" s="262"/>
      <c r="B27" s="262"/>
      <c r="C27" s="262"/>
      <c r="D27" s="262"/>
      <c r="E27" s="262"/>
      <c r="F27" s="262"/>
      <c r="G27" s="262"/>
      <c r="H27" s="262"/>
      <c r="I27" s="262"/>
      <c r="J27" s="262"/>
    </row>
    <row r="28" spans="1:11" s="3" customFormat="1" ht="14.25" customHeight="1" x14ac:dyDescent="0.3">
      <c r="A28" s="262"/>
      <c r="B28" s="262"/>
      <c r="C28" s="262"/>
      <c r="D28" s="262"/>
      <c r="E28" s="262"/>
      <c r="F28" s="262"/>
      <c r="G28" s="262"/>
      <c r="H28" s="262"/>
      <c r="I28" s="262"/>
      <c r="J28" s="262"/>
    </row>
    <row r="29" spans="1:11" s="3" customFormat="1" ht="14.25" customHeight="1" x14ac:dyDescent="0.3">
      <c r="A29" s="262"/>
      <c r="B29" s="262"/>
      <c r="C29" s="262"/>
      <c r="D29" s="262"/>
      <c r="E29" s="262"/>
      <c r="F29" s="262"/>
      <c r="G29" s="262"/>
      <c r="H29" s="262"/>
      <c r="I29" s="262"/>
      <c r="J29" s="262"/>
    </row>
    <row r="30" spans="1:11" s="3" customFormat="1" ht="14.25" customHeight="1" x14ac:dyDescent="0.35">
      <c r="A30" s="149"/>
      <c r="B30"/>
      <c r="C30"/>
      <c r="D30"/>
      <c r="E30"/>
      <c r="F30"/>
      <c r="G30"/>
    </row>
    <row r="31" spans="1:11" s="3" customFormat="1" ht="14.25" customHeight="1" x14ac:dyDescent="0.35">
      <c r="A31" s="1">
        <f>+A1</f>
        <v>2022</v>
      </c>
      <c r="B31" s="32" t="s">
        <v>156</v>
      </c>
      <c r="C31" s="32"/>
      <c r="D31" s="32"/>
      <c r="E31" s="32"/>
      <c r="F31" s="32"/>
    </row>
    <row r="32" spans="1:11" s="3" customFormat="1" ht="24.75" customHeight="1" x14ac:dyDescent="0.3">
      <c r="A32" s="249" t="s">
        <v>157</v>
      </c>
      <c r="B32" s="250"/>
      <c r="C32" s="250"/>
      <c r="D32" s="251"/>
      <c r="E32" s="35" t="s">
        <v>158</v>
      </c>
      <c r="F32" s="36"/>
      <c r="G32" s="37" t="s">
        <v>61</v>
      </c>
      <c r="H32" s="252" t="s">
        <v>159</v>
      </c>
      <c r="I32" s="253"/>
      <c r="J32" s="38" t="s">
        <v>61</v>
      </c>
    </row>
    <row r="33" spans="1:11" s="3" customFormat="1" ht="14.25" customHeight="1" x14ac:dyDescent="0.3">
      <c r="A33" s="238" t="s">
        <v>102</v>
      </c>
      <c r="B33" s="239"/>
      <c r="C33" s="239"/>
      <c r="D33" s="254"/>
      <c r="E33" s="255">
        <f>+'Operational Data'!G42</f>
        <v>16745</v>
      </c>
      <c r="F33" s="242"/>
      <c r="G33" s="150" t="s">
        <v>160</v>
      </c>
      <c r="H33" s="256">
        <f>IF(E33&gt;0,E33/'Operational Data'!$G$21,"-")</f>
        <v>0.29741896465518847</v>
      </c>
      <c r="I33" s="257"/>
      <c r="J33" s="150" t="s">
        <v>161</v>
      </c>
    </row>
    <row r="34" spans="1:11" s="3" customFormat="1" ht="14.25" customHeight="1" x14ac:dyDescent="0.3">
      <c r="A34" s="238" t="s">
        <v>162</v>
      </c>
      <c r="B34" s="239"/>
      <c r="C34" s="239"/>
      <c r="D34" s="254"/>
      <c r="E34" s="255">
        <f>+'Operational Data'!G43+'Operational Data'!G42</f>
        <v>25563</v>
      </c>
      <c r="F34" s="242"/>
      <c r="G34" s="150" t="s">
        <v>160</v>
      </c>
      <c r="H34" s="256">
        <f>IF(E34&gt;0,E34/'Operational Data'!$G$21,"-")</f>
        <v>0.4540412656602319</v>
      </c>
      <c r="I34" s="257"/>
      <c r="J34" s="150" t="s">
        <v>161</v>
      </c>
    </row>
    <row r="35" spans="1:11" s="3" customFormat="1" ht="14.25" customHeight="1" x14ac:dyDescent="0.3">
      <c r="A35" s="238" t="s">
        <v>163</v>
      </c>
      <c r="B35" s="239"/>
      <c r="C35" s="239"/>
      <c r="D35" s="254"/>
      <c r="E35" s="255">
        <f>+'Operational Data'!G44+'Operational Data'!G45</f>
        <v>328064</v>
      </c>
      <c r="F35" s="242"/>
      <c r="G35" s="150" t="s">
        <v>164</v>
      </c>
      <c r="H35" s="256">
        <f>IF(E35&gt;0,E35/'Operational Data'!$G$21,"-")</f>
        <v>5.8269605984257842</v>
      </c>
      <c r="I35" s="257"/>
      <c r="J35" s="150" t="s">
        <v>165</v>
      </c>
    </row>
    <row r="36" spans="1:11" s="3" customFormat="1" ht="14.25" customHeight="1" x14ac:dyDescent="0.3">
      <c r="A36" s="238" t="s">
        <v>107</v>
      </c>
      <c r="B36" s="239"/>
      <c r="C36" s="239"/>
      <c r="D36" s="254"/>
      <c r="E36" s="255">
        <f>+'Operational Data'!G46</f>
        <v>2746</v>
      </c>
      <c r="F36" s="242"/>
      <c r="G36" s="150" t="s">
        <v>164</v>
      </c>
      <c r="H36" s="256">
        <f>IF(E36&gt;0,E36/'Operational Data'!$G$21,"-")</f>
        <v>4.8773513104995378E-2</v>
      </c>
      <c r="I36" s="257"/>
      <c r="J36" s="150" t="s">
        <v>165</v>
      </c>
    </row>
    <row r="37" spans="1:11" s="3" customFormat="1" ht="14.25" customHeight="1" x14ac:dyDescent="0.3">
      <c r="A37" s="238" t="s">
        <v>166</v>
      </c>
      <c r="B37" s="239"/>
      <c r="C37" s="239"/>
      <c r="D37" s="254"/>
      <c r="E37" s="255">
        <f>+'Operational Data'!G47</f>
        <v>433266</v>
      </c>
      <c r="F37" s="242"/>
      <c r="G37" s="150" t="s">
        <v>164</v>
      </c>
      <c r="H37" s="256">
        <f>IF(E37&gt;0,E37/'Operational Data'!$G$21,"-")</f>
        <v>7.6955225524213136</v>
      </c>
      <c r="I37" s="257"/>
      <c r="J37" s="150" t="s">
        <v>165</v>
      </c>
    </row>
    <row r="38" spans="1:11" s="3" customFormat="1" ht="14.25" customHeight="1" x14ac:dyDescent="0.3">
      <c r="A38" s="263"/>
      <c r="B38" s="264"/>
      <c r="C38" s="264"/>
      <c r="D38" s="265"/>
      <c r="E38" s="266"/>
      <c r="F38" s="267"/>
      <c r="G38" s="151"/>
      <c r="H38" s="268"/>
      <c r="I38" s="269"/>
      <c r="J38" s="151"/>
    </row>
    <row r="39" spans="1:11" s="3" customFormat="1" ht="14.25" customHeight="1" x14ac:dyDescent="0.3">
      <c r="A39" s="261" t="s">
        <v>155</v>
      </c>
      <c r="B39" s="261"/>
      <c r="C39" s="261"/>
      <c r="D39" s="261"/>
      <c r="E39" s="261"/>
      <c r="F39" s="261"/>
      <c r="G39" s="261"/>
      <c r="H39" s="261"/>
      <c r="I39" s="261"/>
      <c r="J39" s="261"/>
    </row>
    <row r="40" spans="1:11" s="3" customFormat="1" ht="14.25" customHeight="1" x14ac:dyDescent="0.3">
      <c r="A40" s="262"/>
      <c r="B40" s="262"/>
      <c r="C40" s="262"/>
      <c r="D40" s="262"/>
      <c r="E40" s="262"/>
      <c r="F40" s="262"/>
      <c r="G40" s="262"/>
      <c r="H40" s="262"/>
      <c r="I40" s="262"/>
      <c r="J40" s="262"/>
    </row>
    <row r="41" spans="1:11" s="3" customFormat="1" ht="14.25" customHeight="1" x14ac:dyDescent="0.3">
      <c r="A41" s="262"/>
      <c r="B41" s="262"/>
      <c r="C41" s="262"/>
      <c r="D41" s="262"/>
      <c r="E41" s="262"/>
      <c r="F41" s="262"/>
      <c r="G41" s="262"/>
      <c r="H41" s="262"/>
      <c r="I41" s="262"/>
      <c r="J41" s="262"/>
    </row>
    <row r="42" spans="1:11" s="3" customFormat="1" ht="14.25" customHeight="1" x14ac:dyDescent="0.3">
      <c r="A42" s="39"/>
      <c r="B42" s="39"/>
      <c r="C42" s="39"/>
      <c r="D42" s="39"/>
      <c r="E42" s="39"/>
      <c r="F42" s="39"/>
      <c r="G42" s="39"/>
      <c r="H42" s="39"/>
      <c r="I42" s="39"/>
      <c r="J42" s="39"/>
    </row>
    <row r="43" spans="1:11" s="3" customFormat="1" ht="14.25" customHeight="1" x14ac:dyDescent="0.35">
      <c r="A43" s="32">
        <f>+A31</f>
        <v>2022</v>
      </c>
      <c r="B43" s="32" t="s">
        <v>167</v>
      </c>
      <c r="C43" s="32"/>
      <c r="D43" s="32"/>
      <c r="E43" s="32"/>
      <c r="F43" s="32"/>
      <c r="G43" s="94"/>
    </row>
    <row r="44" spans="1:11" ht="14.25" customHeight="1" x14ac:dyDescent="0.35">
      <c r="A44" s="270" t="s">
        <v>168</v>
      </c>
      <c r="B44" s="270"/>
      <c r="C44" s="270" t="s">
        <v>169</v>
      </c>
      <c r="D44" s="270"/>
      <c r="E44" s="270"/>
      <c r="F44" s="270"/>
      <c r="G44" s="270"/>
      <c r="H44" s="270"/>
      <c r="I44" s="270"/>
      <c r="J44" s="270"/>
    </row>
    <row r="45" spans="1:11" ht="14.25" customHeight="1" x14ac:dyDescent="0.35">
      <c r="A45" s="40"/>
      <c r="B45" s="40"/>
      <c r="C45" s="87" t="s">
        <v>170</v>
      </c>
      <c r="D45" s="87" t="s">
        <v>171</v>
      </c>
      <c r="E45" s="87" t="s">
        <v>172</v>
      </c>
      <c r="F45" s="87" t="s">
        <v>173</v>
      </c>
      <c r="G45" s="87" t="s">
        <v>174</v>
      </c>
      <c r="H45" s="87"/>
      <c r="I45" s="87" t="s">
        <v>175</v>
      </c>
      <c r="J45" s="87" t="s">
        <v>176</v>
      </c>
    </row>
    <row r="46" spans="1:11" ht="31.5" customHeight="1" x14ac:dyDescent="0.35">
      <c r="A46" s="229" t="s">
        <v>177</v>
      </c>
      <c r="B46" s="229"/>
      <c r="C46" s="152">
        <f>'Operational Data'!G59</f>
        <v>5397</v>
      </c>
      <c r="D46" s="152"/>
      <c r="E46" s="152"/>
      <c r="F46" s="153"/>
      <c r="G46" s="153"/>
      <c r="H46" s="153"/>
      <c r="I46" s="153">
        <f>C46</f>
        <v>5397</v>
      </c>
      <c r="J46" s="153"/>
    </row>
    <row r="47" spans="1:11" ht="43.5" customHeight="1" x14ac:dyDescent="0.35">
      <c r="A47" s="229" t="s">
        <v>178</v>
      </c>
      <c r="B47" s="229"/>
      <c r="C47" s="152">
        <f>'Operational Data'!G63</f>
        <v>5</v>
      </c>
      <c r="D47" s="152"/>
      <c r="E47" s="152"/>
      <c r="F47" s="153"/>
      <c r="G47" s="153"/>
      <c r="H47" s="153"/>
      <c r="I47" s="153">
        <f t="shared" ref="I47:I48" si="0">C47</f>
        <v>5</v>
      </c>
      <c r="J47" s="153"/>
      <c r="K47" s="94"/>
    </row>
    <row r="48" spans="1:11" ht="42.75" customHeight="1" x14ac:dyDescent="0.35">
      <c r="A48" s="229" t="s">
        <v>179</v>
      </c>
      <c r="B48" s="229"/>
      <c r="C48" s="152">
        <f>'Operational Data'!G64</f>
        <v>9.8699999999999992</v>
      </c>
      <c r="D48" s="152"/>
      <c r="E48" s="152"/>
      <c r="F48" s="153"/>
      <c r="G48" s="153"/>
      <c r="H48" s="153"/>
      <c r="I48" s="153">
        <f t="shared" si="0"/>
        <v>9.8699999999999992</v>
      </c>
      <c r="J48" s="153"/>
      <c r="K48" s="94"/>
    </row>
    <row r="49" spans="1:10" ht="8.25" customHeight="1" x14ac:dyDescent="0.35">
      <c r="A49" s="94"/>
      <c r="B49" s="94"/>
      <c r="C49" s="94"/>
      <c r="D49" s="94"/>
      <c r="E49" s="94"/>
      <c r="F49" s="94"/>
      <c r="G49" s="94"/>
      <c r="H49" s="94"/>
      <c r="I49" s="94"/>
      <c r="J49" s="94"/>
    </row>
    <row r="50" spans="1:10" x14ac:dyDescent="0.35">
      <c r="A50" s="261" t="s">
        <v>155</v>
      </c>
      <c r="B50" s="261"/>
      <c r="C50" s="261"/>
      <c r="D50" s="261"/>
      <c r="E50" s="261"/>
      <c r="F50" s="261"/>
      <c r="G50" s="261"/>
      <c r="H50" s="261"/>
      <c r="I50" s="261"/>
      <c r="J50" s="261"/>
    </row>
    <row r="51" spans="1:10" x14ac:dyDescent="0.35">
      <c r="A51" s="262"/>
      <c r="B51" s="262"/>
      <c r="C51" s="262"/>
      <c r="D51" s="262"/>
      <c r="E51" s="262"/>
      <c r="F51" s="262"/>
      <c r="G51" s="262"/>
      <c r="H51" s="262"/>
      <c r="I51" s="262"/>
      <c r="J51" s="262"/>
    </row>
    <row r="52" spans="1:10" x14ac:dyDescent="0.35">
      <c r="A52" s="262"/>
      <c r="B52" s="262"/>
      <c r="C52" s="262"/>
      <c r="D52" s="262"/>
      <c r="E52" s="262"/>
      <c r="F52" s="262"/>
      <c r="G52" s="262"/>
      <c r="H52" s="262"/>
      <c r="I52" s="262"/>
      <c r="J52" s="262"/>
    </row>
    <row r="54" spans="1:10" x14ac:dyDescent="0.35">
      <c r="A54" s="3" t="s">
        <v>180</v>
      </c>
      <c r="B54" s="41"/>
      <c r="C54" s="41"/>
      <c r="D54" s="41"/>
      <c r="E54" s="41"/>
      <c r="F54" s="3"/>
      <c r="G54" s="3" t="s">
        <v>181</v>
      </c>
      <c r="H54" s="41"/>
      <c r="I54" s="41"/>
      <c r="J54" s="94"/>
    </row>
    <row r="62" spans="1:10" x14ac:dyDescent="0.35">
      <c r="A62" s="94"/>
      <c r="B62" s="94"/>
      <c r="C62" s="94"/>
      <c r="D62" s="94"/>
      <c r="E62" s="94"/>
      <c r="F62" s="3"/>
      <c r="G62" s="94"/>
      <c r="H62" s="94"/>
      <c r="I62" s="94"/>
      <c r="J62" s="94"/>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zoomScaleNormal="100" workbookViewId="0">
      <selection activeCell="A19" sqref="A19:I25"/>
    </sheetView>
  </sheetViews>
  <sheetFormatPr defaultColWidth="9.1796875" defaultRowHeight="15.5" x14ac:dyDescent="0.35"/>
  <cols>
    <col min="1" max="1" width="9.453125" style="2" bestFit="1" customWidth="1"/>
    <col min="2" max="16384" width="9.1796875" style="2"/>
  </cols>
  <sheetData>
    <row r="1" spans="1:10" x14ac:dyDescent="0.35">
      <c r="A1" s="31">
        <f>+'Cover Page'!C39</f>
        <v>2022</v>
      </c>
      <c r="B1" s="32" t="s">
        <v>182</v>
      </c>
      <c r="C1" s="32"/>
      <c r="D1" s="32"/>
      <c r="E1" s="32"/>
      <c r="F1" s="32"/>
      <c r="G1" s="32"/>
      <c r="H1" s="32"/>
      <c r="I1" s="32"/>
      <c r="J1" s="32"/>
    </row>
    <row r="3" spans="1:10" s="3" customFormat="1" ht="15" customHeight="1" x14ac:dyDescent="0.3">
      <c r="A3" s="3" t="str">
        <f>+'Cover Page'!B31</f>
        <v>Permit EPR/FP3701Z</v>
      </c>
      <c r="F3" s="3" t="s">
        <v>134</v>
      </c>
      <c r="G3" s="271">
        <f>+'Cover Page'!B37:I37</f>
        <v>0</v>
      </c>
      <c r="H3" s="271"/>
      <c r="I3" s="271"/>
    </row>
    <row r="4" spans="1:10" s="3" customFormat="1" ht="14" x14ac:dyDescent="0.3"/>
    <row r="5" spans="1:10" s="3" customFormat="1" ht="14" x14ac:dyDescent="0.3">
      <c r="A5" s="3" t="s">
        <v>135</v>
      </c>
      <c r="B5" s="233" t="str">
        <f>+'Cover Page'!B33:I33</f>
        <v>Welland Biopower Ltd</v>
      </c>
      <c r="C5" s="233"/>
      <c r="D5" s="233"/>
      <c r="E5" s="233"/>
      <c r="F5" s="3" t="s">
        <v>136</v>
      </c>
      <c r="G5" s="3" t="s">
        <v>183</v>
      </c>
    </row>
    <row r="6" spans="1:10" s="3" customFormat="1" ht="14" x14ac:dyDescent="0.3"/>
    <row r="7" spans="1:10" s="3" customFormat="1" ht="15.75" customHeight="1" x14ac:dyDescent="0.3">
      <c r="A7" s="3" t="s">
        <v>138</v>
      </c>
      <c r="D7" s="272">
        <f>+'Perf. Form 1'!D6:E6</f>
        <v>44562</v>
      </c>
      <c r="E7" s="272"/>
      <c r="F7" s="33" t="s">
        <v>139</v>
      </c>
      <c r="G7" s="272">
        <f>+'Perf. Form 1'!G6:H6</f>
        <v>44926</v>
      </c>
      <c r="H7" s="272"/>
    </row>
    <row r="8" spans="1:10" s="3" customFormat="1" ht="14.5" x14ac:dyDescent="0.35">
      <c r="B8"/>
      <c r="C8"/>
      <c r="D8"/>
    </row>
    <row r="9" spans="1:10" s="3" customFormat="1" ht="37.5" customHeight="1" x14ac:dyDescent="0.3">
      <c r="A9" s="270" t="s">
        <v>184</v>
      </c>
      <c r="B9" s="270"/>
      <c r="C9" s="270"/>
      <c r="D9" s="236" t="s">
        <v>185</v>
      </c>
      <c r="E9" s="236"/>
      <c r="F9" s="87" t="s">
        <v>61</v>
      </c>
      <c r="G9" s="270" t="s">
        <v>186</v>
      </c>
      <c r="H9" s="270"/>
      <c r="I9" s="270"/>
    </row>
    <row r="10" spans="1:10" s="3" customFormat="1" ht="24.75" customHeight="1" x14ac:dyDescent="0.3">
      <c r="A10" s="229" t="s">
        <v>187</v>
      </c>
      <c r="B10" s="229"/>
      <c r="C10" s="229"/>
      <c r="D10" s="273">
        <f>+'Operational Data'!G24</f>
        <v>46901.536999999997</v>
      </c>
      <c r="E10" s="273"/>
      <c r="F10" s="154" t="s">
        <v>85</v>
      </c>
      <c r="G10" s="274">
        <f>+'Operational Data'!H24</f>
        <v>833.04906391621466</v>
      </c>
      <c r="H10" s="274"/>
      <c r="I10" s="274"/>
    </row>
    <row r="11" spans="1:10" s="3" customFormat="1" ht="24.75" customHeight="1" x14ac:dyDescent="0.3">
      <c r="A11" s="229" t="s">
        <v>188</v>
      </c>
      <c r="B11" s="229"/>
      <c r="C11" s="229"/>
      <c r="D11" s="246">
        <f>+'Operational Data'!G27</f>
        <v>1124.47</v>
      </c>
      <c r="E11" s="246"/>
      <c r="F11" s="154" t="s">
        <v>85</v>
      </c>
      <c r="G11" s="274">
        <f>+'Operational Data'!H27</f>
        <v>19.972451668308139</v>
      </c>
      <c r="H11" s="274"/>
      <c r="I11" s="274"/>
    </row>
    <row r="12" spans="1:10" s="3" customFormat="1" ht="24.75" customHeight="1" x14ac:dyDescent="0.3">
      <c r="A12" s="229" t="s">
        <v>189</v>
      </c>
      <c r="B12" s="229"/>
      <c r="C12" s="229"/>
      <c r="D12" s="273">
        <f>+'Operational Data'!G25</f>
        <v>40492.589999999997</v>
      </c>
      <c r="E12" s="273"/>
      <c r="F12" s="154" t="s">
        <v>85</v>
      </c>
      <c r="G12" s="274">
        <f>+'Operational Data'!H25</f>
        <v>719.21553860896017</v>
      </c>
      <c r="H12" s="274"/>
      <c r="I12" s="274"/>
    </row>
    <row r="13" spans="1:10" s="3" customFormat="1" ht="24.75" customHeight="1" x14ac:dyDescent="0.3">
      <c r="A13" s="229" t="s">
        <v>190</v>
      </c>
      <c r="B13" s="229"/>
      <c r="C13" s="229"/>
      <c r="D13" s="275" t="s">
        <v>458</v>
      </c>
      <c r="E13" s="275"/>
      <c r="F13" s="154" t="s">
        <v>69</v>
      </c>
      <c r="G13" s="274" t="str">
        <f>+'Operational Data'!H29</f>
        <v>-</v>
      </c>
      <c r="H13" s="274"/>
      <c r="I13" s="274"/>
    </row>
    <row r="14" spans="1:10" s="3" customFormat="1" ht="24.75" customHeight="1" x14ac:dyDescent="0.3">
      <c r="A14" s="229" t="s">
        <v>191</v>
      </c>
      <c r="B14" s="229"/>
      <c r="C14" s="229"/>
      <c r="D14" s="273">
        <f>+'Operational Data'!G30</f>
        <v>0</v>
      </c>
      <c r="E14" s="273"/>
      <c r="F14" s="154" t="s">
        <v>192</v>
      </c>
      <c r="G14" s="274" t="str">
        <f>+'Operational Data'!H30</f>
        <v>-</v>
      </c>
      <c r="H14" s="274"/>
      <c r="I14" s="274"/>
    </row>
    <row r="15" spans="1:10" s="3" customFormat="1" ht="24.75" customHeight="1" x14ac:dyDescent="0.3">
      <c r="A15" s="237"/>
      <c r="B15" s="237"/>
      <c r="C15" s="237"/>
      <c r="D15" s="237"/>
      <c r="E15" s="237"/>
      <c r="F15" s="89"/>
      <c r="G15" s="188"/>
      <c r="H15" s="188"/>
      <c r="I15" s="188"/>
    </row>
    <row r="16" spans="1:10" s="3" customFormat="1" ht="24.75" customHeight="1" x14ac:dyDescent="0.3">
      <c r="A16" s="237"/>
      <c r="B16" s="237"/>
      <c r="C16" s="237"/>
      <c r="D16" s="237"/>
      <c r="E16" s="237"/>
      <c r="F16" s="89"/>
      <c r="G16" s="188"/>
      <c r="H16" s="188"/>
      <c r="I16" s="188"/>
    </row>
    <row r="17" spans="1:9" s="3" customFormat="1" ht="14.5" x14ac:dyDescent="0.35">
      <c r="A17" s="42"/>
      <c r="B17"/>
      <c r="C17"/>
      <c r="D17"/>
    </row>
    <row r="18" spans="1:9" s="3" customFormat="1" ht="24" customHeight="1" x14ac:dyDescent="0.3">
      <c r="A18" s="261" t="s">
        <v>155</v>
      </c>
      <c r="B18" s="261"/>
      <c r="C18" s="261"/>
      <c r="D18" s="261"/>
      <c r="E18" s="261"/>
      <c r="F18" s="261"/>
      <c r="G18" s="261"/>
      <c r="H18" s="261"/>
      <c r="I18" s="261"/>
    </row>
    <row r="19" spans="1:9" s="3" customFormat="1" ht="14" x14ac:dyDescent="0.3">
      <c r="A19" s="276" t="s">
        <v>459</v>
      </c>
      <c r="B19" s="276"/>
      <c r="C19" s="276"/>
      <c r="D19" s="276"/>
      <c r="E19" s="276"/>
      <c r="F19" s="276"/>
      <c r="G19" s="276"/>
      <c r="H19" s="276"/>
      <c r="I19" s="276"/>
    </row>
    <row r="20" spans="1:9" s="3" customFormat="1" ht="14" x14ac:dyDescent="0.3">
      <c r="A20" s="276"/>
      <c r="B20" s="276"/>
      <c r="C20" s="276"/>
      <c r="D20" s="276"/>
      <c r="E20" s="276"/>
      <c r="F20" s="276"/>
      <c r="G20" s="276"/>
      <c r="H20" s="276"/>
      <c r="I20" s="276"/>
    </row>
    <row r="21" spans="1:9" s="3" customFormat="1" ht="14" x14ac:dyDescent="0.3">
      <c r="A21" s="276"/>
      <c r="B21" s="276"/>
      <c r="C21" s="276"/>
      <c r="D21" s="276"/>
      <c r="E21" s="276"/>
      <c r="F21" s="276"/>
      <c r="G21" s="276"/>
      <c r="H21" s="276"/>
      <c r="I21" s="276"/>
    </row>
    <row r="22" spans="1:9" s="3" customFormat="1" ht="14" x14ac:dyDescent="0.3">
      <c r="A22" s="276"/>
      <c r="B22" s="276"/>
      <c r="C22" s="276"/>
      <c r="D22" s="276"/>
      <c r="E22" s="276"/>
      <c r="F22" s="276"/>
      <c r="G22" s="276"/>
      <c r="H22" s="276"/>
      <c r="I22" s="276"/>
    </row>
    <row r="23" spans="1:9" s="3" customFormat="1" ht="14" x14ac:dyDescent="0.3">
      <c r="A23" s="276"/>
      <c r="B23" s="276"/>
      <c r="C23" s="276"/>
      <c r="D23" s="276"/>
      <c r="E23" s="276"/>
      <c r="F23" s="276"/>
      <c r="G23" s="276"/>
      <c r="H23" s="276"/>
      <c r="I23" s="276"/>
    </row>
    <row r="24" spans="1:9" s="3" customFormat="1" ht="14" x14ac:dyDescent="0.3">
      <c r="A24" s="276"/>
      <c r="B24" s="276"/>
      <c r="C24" s="276"/>
      <c r="D24" s="276"/>
      <c r="E24" s="276"/>
      <c r="F24" s="276"/>
      <c r="G24" s="276"/>
      <c r="H24" s="276"/>
      <c r="I24" s="276"/>
    </row>
    <row r="25" spans="1:9" s="3" customFormat="1" ht="14" x14ac:dyDescent="0.3">
      <c r="A25" s="276"/>
      <c r="B25" s="276"/>
      <c r="C25" s="276"/>
      <c r="D25" s="276"/>
      <c r="E25" s="276"/>
      <c r="F25" s="276"/>
      <c r="G25" s="276"/>
      <c r="H25" s="276"/>
      <c r="I25" s="276"/>
    </row>
    <row r="26" spans="1:9" s="3" customFormat="1" ht="14" x14ac:dyDescent="0.3">
      <c r="A26" s="39"/>
      <c r="B26" s="39"/>
      <c r="C26" s="39"/>
      <c r="D26" s="39"/>
      <c r="E26" s="39"/>
      <c r="F26" s="39"/>
      <c r="G26" s="39"/>
      <c r="H26" s="39"/>
      <c r="I26" s="39"/>
    </row>
    <row r="27" spans="1:9" s="3" customFormat="1" ht="14" x14ac:dyDescent="0.3"/>
    <row r="28" spans="1:9" s="3" customFormat="1" ht="14" x14ac:dyDescent="0.3"/>
    <row r="29" spans="1:9" s="3" customFormat="1" ht="14" x14ac:dyDescent="0.3">
      <c r="A29" s="3" t="s">
        <v>180</v>
      </c>
      <c r="B29" s="41"/>
      <c r="C29" s="41"/>
      <c r="D29" s="41"/>
      <c r="E29" s="41"/>
      <c r="G29" s="3" t="s">
        <v>181</v>
      </c>
      <c r="H29" s="41"/>
      <c r="I29" s="41"/>
    </row>
    <row r="30" spans="1:9" s="3" customFormat="1" ht="14" x14ac:dyDescent="0.3"/>
    <row r="31" spans="1:9" ht="14.25" customHeight="1" x14ac:dyDescent="0.35">
      <c r="A31" s="3"/>
      <c r="B31" s="3"/>
      <c r="C31" s="3"/>
      <c r="D31" s="3"/>
      <c r="E31" s="3"/>
      <c r="F31" s="3"/>
      <c r="G31" s="3"/>
      <c r="H31" s="3"/>
      <c r="I31" s="3"/>
    </row>
    <row r="32" spans="1:9" s="3" customFormat="1" ht="14" x14ac:dyDescent="0.3"/>
    <row r="33" spans="1:9" s="3" customFormat="1" ht="14" x14ac:dyDescent="0.3"/>
    <row r="34" spans="1:9" s="3" customFormat="1" x14ac:dyDescent="0.35">
      <c r="A34" s="94"/>
      <c r="B34" s="94"/>
      <c r="C34" s="94"/>
      <c r="D34" s="94"/>
      <c r="E34" s="94"/>
      <c r="F34" s="94"/>
      <c r="G34" s="94"/>
      <c r="H34" s="94"/>
      <c r="I34" s="94"/>
    </row>
    <row r="35" spans="1:9" s="3" customFormat="1" ht="14" x14ac:dyDescent="0.3"/>
    <row r="36" spans="1:9" s="3" customFormat="1" ht="14" x14ac:dyDescent="0.3"/>
    <row r="37" spans="1:9" s="3" customFormat="1" ht="14" x14ac:dyDescent="0.3"/>
    <row r="38" spans="1:9" s="3" customFormat="1" ht="14" x14ac:dyDescent="0.3"/>
    <row r="39" spans="1:9" s="3" customFormat="1" ht="14" x14ac:dyDescent="0.3"/>
    <row r="40" spans="1:9" s="3" customFormat="1" ht="14" x14ac:dyDescent="0.3"/>
    <row r="41" spans="1:9" s="3" customFormat="1" ht="14" x14ac:dyDescent="0.3"/>
    <row r="42" spans="1:9" s="3" customFormat="1" ht="14" x14ac:dyDescent="0.3"/>
    <row r="43" spans="1:9" x14ac:dyDescent="0.35">
      <c r="A43" s="3"/>
      <c r="B43" s="3"/>
      <c r="C43" s="3"/>
      <c r="D43" s="3"/>
      <c r="E43" s="3"/>
      <c r="F43" s="3"/>
      <c r="G43" s="3"/>
      <c r="H43" s="3"/>
      <c r="I43" s="3"/>
    </row>
    <row r="44" spans="1:9" x14ac:dyDescent="0.35">
      <c r="A44" s="3"/>
      <c r="B44" s="3"/>
      <c r="C44" s="3"/>
      <c r="D44" s="3"/>
      <c r="E44" s="3"/>
      <c r="F44" s="3"/>
      <c r="G44" s="3"/>
      <c r="H44" s="3"/>
      <c r="I44" s="3"/>
    </row>
    <row r="45" spans="1:9" x14ac:dyDescent="0.35">
      <c r="A45" s="3"/>
      <c r="B45" s="3"/>
      <c r="C45" s="3"/>
      <c r="D45" s="3"/>
      <c r="E45" s="3"/>
      <c r="F45" s="3"/>
      <c r="G45" s="3"/>
      <c r="H45" s="3"/>
      <c r="I45" s="3"/>
    </row>
    <row r="64" spans="6:6" x14ac:dyDescent="0.35">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113"/>
  <sheetViews>
    <sheetView showGridLines="0" zoomScale="85" zoomScaleNormal="85" workbookViewId="0">
      <selection activeCell="C10" sqref="C10:E10"/>
    </sheetView>
  </sheetViews>
  <sheetFormatPr defaultColWidth="9.1796875" defaultRowHeight="15.5" x14ac:dyDescent="0.35"/>
  <cols>
    <col min="1" max="1" width="12.1796875" style="2" customWidth="1"/>
    <col min="2" max="2" width="11.81640625" style="2" customWidth="1"/>
    <col min="3" max="3" width="11.36328125" style="2" customWidth="1"/>
    <col min="4" max="4" width="12.54296875" style="2" bestFit="1" customWidth="1"/>
    <col min="5" max="5" width="14.81640625" style="2" customWidth="1"/>
    <col min="6" max="6" width="9.1796875" style="2"/>
    <col min="7" max="7" width="12.08984375" style="2" customWidth="1"/>
    <col min="8" max="8" width="9.1796875" style="2"/>
    <col min="9" max="9" width="13.1796875" style="2" customWidth="1"/>
    <col min="10" max="10" width="1.6328125" style="2" customWidth="1"/>
    <col min="11" max="11" width="10.81640625" style="2" bestFit="1" customWidth="1"/>
    <col min="12" max="12" width="31.81640625" style="2" customWidth="1"/>
    <col min="13" max="16384" width="9.1796875" style="2"/>
  </cols>
  <sheetData>
    <row r="1" spans="1:15" x14ac:dyDescent="0.35">
      <c r="A1" s="94" t="str">
        <f>+'Cover Page'!$B$29</f>
        <v>Annual Performance Report 2022</v>
      </c>
      <c r="B1" s="94"/>
      <c r="C1" s="94"/>
      <c r="D1" s="94"/>
      <c r="E1" s="94" t="str">
        <f>+'Cover Page'!$B$33</f>
        <v>Welland Biopower Ltd</v>
      </c>
      <c r="F1" s="94"/>
      <c r="G1" s="94"/>
      <c r="H1" s="94"/>
      <c r="I1" s="94"/>
      <c r="J1" s="94"/>
      <c r="K1" s="94"/>
      <c r="L1" s="94"/>
      <c r="M1" s="94"/>
      <c r="N1" s="94"/>
      <c r="O1" s="94"/>
    </row>
    <row r="2" spans="1:15" x14ac:dyDescent="0.35">
      <c r="L2" s="163"/>
    </row>
    <row r="3" spans="1:15" x14ac:dyDescent="0.35">
      <c r="A3" s="1" t="s">
        <v>193</v>
      </c>
      <c r="B3" s="94"/>
      <c r="C3" s="94"/>
      <c r="D3" s="94"/>
      <c r="E3" s="94"/>
      <c r="F3" s="94"/>
      <c r="G3" s="94"/>
      <c r="H3" s="94"/>
      <c r="I3" s="94"/>
      <c r="J3" s="94"/>
      <c r="K3" s="94"/>
      <c r="L3" s="94"/>
      <c r="M3" s="94"/>
      <c r="N3" s="94"/>
      <c r="O3" s="94"/>
    </row>
    <row r="4" spans="1:15" x14ac:dyDescent="0.35">
      <c r="A4" s="1"/>
      <c r="B4" s="94"/>
      <c r="C4" s="94"/>
      <c r="D4" s="94"/>
      <c r="E4" s="94"/>
      <c r="F4" s="94"/>
      <c r="G4" s="94"/>
      <c r="H4" s="94"/>
      <c r="I4" s="94"/>
      <c r="J4" s="94"/>
      <c r="K4" s="94"/>
      <c r="L4" s="94"/>
      <c r="M4" s="94"/>
      <c r="N4" s="94"/>
      <c r="O4" s="94"/>
    </row>
    <row r="5" spans="1:15" x14ac:dyDescent="0.35">
      <c r="A5" s="8" t="s">
        <v>194</v>
      </c>
      <c r="B5" s="94"/>
      <c r="C5" s="94"/>
      <c r="D5" s="94"/>
      <c r="E5" s="94"/>
      <c r="F5" s="94"/>
      <c r="G5" s="94"/>
      <c r="H5" s="94"/>
      <c r="I5" s="94"/>
      <c r="J5" s="94"/>
      <c r="K5" s="94"/>
      <c r="L5" s="94"/>
      <c r="M5" s="94"/>
      <c r="N5" s="94"/>
      <c r="O5" s="94"/>
    </row>
    <row r="6" spans="1:15" x14ac:dyDescent="0.35">
      <c r="A6" s="8"/>
      <c r="B6" s="94"/>
      <c r="C6" s="94"/>
      <c r="D6" s="94"/>
      <c r="E6" s="94"/>
      <c r="F6" s="94"/>
      <c r="G6" s="94"/>
      <c r="H6" s="94"/>
      <c r="I6" s="94"/>
      <c r="J6" s="94"/>
      <c r="K6" s="94"/>
      <c r="L6" s="94"/>
      <c r="M6" s="94"/>
      <c r="N6" s="94"/>
      <c r="O6" s="94"/>
    </row>
    <row r="7" spans="1:15" x14ac:dyDescent="0.35">
      <c r="A7" s="107" t="s">
        <v>195</v>
      </c>
      <c r="B7" s="94"/>
      <c r="C7" s="94"/>
      <c r="D7" s="94"/>
      <c r="E7" s="94"/>
      <c r="F7" s="94"/>
      <c r="G7" s="94"/>
      <c r="H7" s="94"/>
      <c r="I7" s="94"/>
      <c r="J7" s="94"/>
      <c r="K7" s="94"/>
      <c r="L7" s="94"/>
      <c r="M7" s="94"/>
      <c r="N7" s="94"/>
      <c r="O7" s="94"/>
    </row>
    <row r="8" spans="1:15" s="3" customFormat="1" ht="25.5" customHeight="1" x14ac:dyDescent="0.35">
      <c r="A8" s="292" t="s">
        <v>196</v>
      </c>
      <c r="B8" s="293"/>
      <c r="C8" s="292" t="s">
        <v>197</v>
      </c>
      <c r="D8" s="294"/>
      <c r="E8" s="294"/>
      <c r="F8" s="294"/>
      <c r="G8" s="294"/>
      <c r="H8" s="294"/>
      <c r="I8" s="293"/>
      <c r="L8" s="77" t="s">
        <v>3</v>
      </c>
    </row>
    <row r="9" spans="1:15" s="3" customFormat="1" ht="22.5" customHeight="1" x14ac:dyDescent="0.3">
      <c r="A9" s="295"/>
      <c r="B9" s="296"/>
      <c r="C9" s="297" t="s">
        <v>198</v>
      </c>
      <c r="D9" s="297"/>
      <c r="E9" s="297"/>
      <c r="F9" s="297" t="s">
        <v>199</v>
      </c>
      <c r="G9" s="297"/>
      <c r="H9" s="297"/>
      <c r="I9" s="297"/>
      <c r="L9" s="216" t="s">
        <v>200</v>
      </c>
      <c r="M9" s="216"/>
      <c r="N9" s="216"/>
      <c r="O9" s="216"/>
    </row>
    <row r="10" spans="1:15" s="3" customFormat="1" ht="22.5" customHeight="1" x14ac:dyDescent="0.3">
      <c r="A10" s="287" t="s">
        <v>201</v>
      </c>
      <c r="B10" s="287"/>
      <c r="C10" s="385">
        <v>0.99950000000000006</v>
      </c>
      <c r="D10" s="288"/>
      <c r="E10" s="288"/>
      <c r="F10" s="386">
        <v>1</v>
      </c>
      <c r="G10" s="288"/>
      <c r="H10" s="288"/>
      <c r="I10" s="288"/>
      <c r="L10" s="216"/>
      <c r="M10" s="216"/>
      <c r="N10" s="216"/>
      <c r="O10" s="216"/>
    </row>
    <row r="11" spans="1:15" s="3" customFormat="1" ht="22.5" customHeight="1" x14ac:dyDescent="0.3">
      <c r="A11" s="287" t="s">
        <v>203</v>
      </c>
      <c r="B11" s="287"/>
      <c r="C11" s="385">
        <v>1</v>
      </c>
      <c r="D11" s="288"/>
      <c r="E11" s="288"/>
      <c r="F11" s="386">
        <v>1</v>
      </c>
      <c r="G11" s="288"/>
      <c r="H11" s="288"/>
      <c r="I11" s="288"/>
      <c r="L11" s="216"/>
      <c r="M11" s="216"/>
      <c r="N11" s="216"/>
      <c r="O11" s="216"/>
    </row>
    <row r="12" spans="1:15" s="3" customFormat="1" ht="22.5" customHeight="1" x14ac:dyDescent="0.3">
      <c r="A12" s="287" t="s">
        <v>204</v>
      </c>
      <c r="B12" s="287"/>
      <c r="C12" s="386">
        <v>1</v>
      </c>
      <c r="D12" s="288"/>
      <c r="E12" s="288"/>
      <c r="F12" s="386">
        <v>1</v>
      </c>
      <c r="G12" s="288"/>
      <c r="H12" s="288"/>
      <c r="I12" s="288"/>
      <c r="L12" s="216"/>
      <c r="M12" s="216"/>
      <c r="N12" s="216"/>
      <c r="O12" s="216"/>
    </row>
    <row r="13" spans="1:15" s="3" customFormat="1" ht="22.5" customHeight="1" x14ac:dyDescent="0.3">
      <c r="A13" s="287" t="s">
        <v>205</v>
      </c>
      <c r="B13" s="287"/>
      <c r="C13" s="390">
        <v>0.8</v>
      </c>
      <c r="D13" s="288"/>
      <c r="E13" s="288"/>
      <c r="F13" s="386">
        <v>1</v>
      </c>
      <c r="G13" s="288"/>
      <c r="H13" s="288"/>
      <c r="I13" s="288"/>
      <c r="L13" s="216"/>
      <c r="M13" s="216"/>
      <c r="N13" s="216"/>
      <c r="O13" s="216"/>
    </row>
    <row r="14" spans="1:15" s="3" customFormat="1" ht="22.5" customHeight="1" x14ac:dyDescent="0.3">
      <c r="A14" s="287" t="s">
        <v>206</v>
      </c>
      <c r="B14" s="287"/>
      <c r="C14" s="385">
        <v>0.91500000000000004</v>
      </c>
      <c r="D14" s="288"/>
      <c r="E14" s="288"/>
      <c r="F14" s="386">
        <v>1</v>
      </c>
      <c r="G14" s="288"/>
      <c r="H14" s="288"/>
      <c r="I14" s="288"/>
      <c r="L14" s="216"/>
      <c r="M14" s="216"/>
      <c r="N14" s="216"/>
      <c r="O14" s="216"/>
    </row>
    <row r="15" spans="1:15" s="3" customFormat="1" ht="22.5" customHeight="1" x14ac:dyDescent="0.3">
      <c r="A15" s="287" t="s">
        <v>207</v>
      </c>
      <c r="B15" s="287"/>
      <c r="C15" s="385">
        <v>1</v>
      </c>
      <c r="D15" s="288"/>
      <c r="E15" s="288"/>
      <c r="F15" s="389">
        <v>1</v>
      </c>
      <c r="G15" s="387"/>
      <c r="H15" s="387"/>
      <c r="I15" s="388"/>
      <c r="L15" s="216"/>
      <c r="M15" s="216"/>
      <c r="N15" s="216"/>
      <c r="O15" s="216"/>
    </row>
    <row r="16" spans="1:15" s="3" customFormat="1" ht="22.5" customHeight="1" x14ac:dyDescent="0.3">
      <c r="A16" s="287" t="s">
        <v>208</v>
      </c>
      <c r="B16" s="287"/>
      <c r="C16" s="385">
        <v>1</v>
      </c>
      <c r="D16" s="288"/>
      <c r="E16" s="288"/>
      <c r="F16" s="386">
        <v>1</v>
      </c>
      <c r="G16" s="288"/>
      <c r="H16" s="288"/>
      <c r="I16" s="288"/>
      <c r="L16" s="216"/>
      <c r="M16" s="216"/>
      <c r="N16" s="216"/>
      <c r="O16" s="216"/>
    </row>
    <row r="17" spans="1:15" s="3" customFormat="1" ht="22.5" customHeight="1" x14ac:dyDescent="0.3">
      <c r="A17" s="289"/>
      <c r="B17" s="290"/>
      <c r="C17" s="288" t="s">
        <v>202</v>
      </c>
      <c r="D17" s="288"/>
      <c r="E17" s="288"/>
      <c r="F17" s="288" t="s">
        <v>202</v>
      </c>
      <c r="G17" s="288"/>
      <c r="H17" s="288"/>
      <c r="I17" s="288"/>
      <c r="L17" s="216"/>
      <c r="M17" s="216"/>
      <c r="N17" s="216"/>
      <c r="O17" s="216"/>
    </row>
    <row r="18" spans="1:15" s="3" customFormat="1" ht="14" x14ac:dyDescent="0.3">
      <c r="L18" s="216"/>
      <c r="M18" s="216"/>
      <c r="N18" s="216"/>
      <c r="O18" s="216"/>
    </row>
    <row r="19" spans="1:15" s="42" customFormat="1" ht="21.75" customHeight="1" x14ac:dyDescent="0.35">
      <c r="A19" s="283" t="s">
        <v>209</v>
      </c>
      <c r="B19" s="283"/>
      <c r="C19" s="283"/>
      <c r="D19" s="283"/>
      <c r="E19" s="283"/>
      <c r="F19" s="283"/>
      <c r="G19" s="283"/>
      <c r="H19" s="283"/>
      <c r="I19" s="283"/>
    </row>
    <row r="20" spans="1:15" s="3" customFormat="1" ht="38.25" customHeight="1" x14ac:dyDescent="0.3">
      <c r="A20" s="88" t="s">
        <v>41</v>
      </c>
      <c r="B20" s="291" t="s">
        <v>210</v>
      </c>
      <c r="C20" s="291"/>
      <c r="D20" s="291"/>
      <c r="E20" s="291" t="s">
        <v>211</v>
      </c>
      <c r="F20" s="291"/>
      <c r="G20" s="291"/>
      <c r="H20" s="284" t="s">
        <v>212</v>
      </c>
      <c r="I20" s="285"/>
    </row>
    <row r="21" spans="1:15" s="3" customFormat="1" ht="59.5" customHeight="1" x14ac:dyDescent="0.35">
      <c r="A21" s="380">
        <v>44643</v>
      </c>
      <c r="B21" s="277" t="s">
        <v>485</v>
      </c>
      <c r="C21" s="278"/>
      <c r="D21" s="279"/>
      <c r="E21" s="277" t="s">
        <v>480</v>
      </c>
      <c r="F21" s="278"/>
      <c r="G21" s="279"/>
      <c r="H21" s="277" t="s">
        <v>483</v>
      </c>
      <c r="I21" s="279"/>
      <c r="J21" s="68"/>
    </row>
    <row r="22" spans="1:15" s="3" customFormat="1" ht="45" customHeight="1" x14ac:dyDescent="0.35">
      <c r="A22" s="380">
        <v>44649</v>
      </c>
      <c r="B22" s="277" t="s">
        <v>485</v>
      </c>
      <c r="C22" s="278"/>
      <c r="D22" s="279"/>
      <c r="E22" s="277" t="s">
        <v>481</v>
      </c>
      <c r="F22" s="278"/>
      <c r="G22" s="279"/>
      <c r="H22" s="277" t="s">
        <v>487</v>
      </c>
      <c r="I22" s="279"/>
      <c r="J22" s="68"/>
    </row>
    <row r="23" spans="1:15" s="3" customFormat="1" ht="132" customHeight="1" x14ac:dyDescent="0.35">
      <c r="A23" s="380">
        <v>44649</v>
      </c>
      <c r="B23" s="277" t="s">
        <v>486</v>
      </c>
      <c r="C23" s="278"/>
      <c r="D23" s="279"/>
      <c r="E23" s="280" t="s">
        <v>484</v>
      </c>
      <c r="F23" s="280"/>
      <c r="G23" s="280"/>
      <c r="H23" s="281" t="s">
        <v>490</v>
      </c>
      <c r="I23" s="282"/>
      <c r="J23" s="68"/>
    </row>
    <row r="24" spans="1:15" s="3" customFormat="1" ht="77" customHeight="1" x14ac:dyDescent="0.35">
      <c r="A24" s="380">
        <v>44659</v>
      </c>
      <c r="B24" s="277" t="s">
        <v>488</v>
      </c>
      <c r="C24" s="278"/>
      <c r="D24" s="279"/>
      <c r="E24" s="280" t="s">
        <v>482</v>
      </c>
      <c r="F24" s="280"/>
      <c r="G24" s="280"/>
      <c r="H24" s="277" t="s">
        <v>489</v>
      </c>
      <c r="I24" s="279"/>
      <c r="J24" s="68"/>
    </row>
    <row r="25" spans="1:15" s="3" customFormat="1" ht="60.5" customHeight="1" x14ac:dyDescent="0.35">
      <c r="A25" s="381">
        <v>44655</v>
      </c>
      <c r="B25" s="277" t="s">
        <v>491</v>
      </c>
      <c r="C25" s="278"/>
      <c r="D25" s="279"/>
      <c r="E25" s="280" t="s">
        <v>492</v>
      </c>
      <c r="F25" s="280"/>
      <c r="G25" s="280"/>
      <c r="H25" s="277" t="s">
        <v>493</v>
      </c>
      <c r="I25" s="279"/>
      <c r="J25" s="68"/>
    </row>
    <row r="26" spans="1:15" s="3" customFormat="1" ht="151" customHeight="1" x14ac:dyDescent="0.35">
      <c r="A26" s="381">
        <v>44707</v>
      </c>
      <c r="B26" s="277" t="s">
        <v>491</v>
      </c>
      <c r="C26" s="278"/>
      <c r="D26" s="279"/>
      <c r="E26" s="280" t="s">
        <v>494</v>
      </c>
      <c r="F26" s="280"/>
      <c r="G26" s="280"/>
      <c r="H26" s="277" t="s">
        <v>495</v>
      </c>
      <c r="I26" s="279"/>
      <c r="J26" s="68"/>
    </row>
    <row r="27" spans="1:15" s="3" customFormat="1" ht="91" customHeight="1" x14ac:dyDescent="0.3">
      <c r="A27" s="173">
        <v>45056</v>
      </c>
      <c r="B27" s="277" t="s">
        <v>488</v>
      </c>
      <c r="C27" s="278"/>
      <c r="D27" s="279"/>
      <c r="E27" s="280" t="s">
        <v>482</v>
      </c>
      <c r="F27" s="280"/>
      <c r="G27" s="280"/>
      <c r="H27" s="277" t="s">
        <v>489</v>
      </c>
      <c r="I27" s="279"/>
      <c r="J27" s="68"/>
    </row>
    <row r="28" spans="1:15" s="3" customFormat="1" ht="92" customHeight="1" x14ac:dyDescent="0.35">
      <c r="A28" s="382">
        <v>44735</v>
      </c>
      <c r="B28" s="277" t="s">
        <v>491</v>
      </c>
      <c r="C28" s="278"/>
      <c r="D28" s="279"/>
      <c r="E28" s="280" t="s">
        <v>497</v>
      </c>
      <c r="F28" s="280"/>
      <c r="G28" s="280"/>
      <c r="H28" s="277" t="s">
        <v>498</v>
      </c>
      <c r="I28" s="279"/>
      <c r="J28" s="68"/>
    </row>
    <row r="29" spans="1:15" s="3" customFormat="1" ht="53" customHeight="1" x14ac:dyDescent="0.35">
      <c r="A29" s="382">
        <v>44735</v>
      </c>
      <c r="B29" s="277" t="s">
        <v>491</v>
      </c>
      <c r="C29" s="278"/>
      <c r="D29" s="279"/>
      <c r="E29" s="280" t="s">
        <v>499</v>
      </c>
      <c r="F29" s="280"/>
      <c r="G29" s="280"/>
      <c r="H29" s="281" t="s">
        <v>500</v>
      </c>
      <c r="I29" s="282"/>
      <c r="J29" s="68"/>
    </row>
    <row r="30" spans="1:15" s="3" customFormat="1" ht="103.5" customHeight="1" x14ac:dyDescent="0.35">
      <c r="A30" s="382">
        <v>44741</v>
      </c>
      <c r="B30" s="277" t="s">
        <v>491</v>
      </c>
      <c r="C30" s="278"/>
      <c r="D30" s="279"/>
      <c r="E30" s="280" t="s">
        <v>501</v>
      </c>
      <c r="F30" s="280"/>
      <c r="G30" s="280"/>
      <c r="H30" s="281" t="s">
        <v>502</v>
      </c>
      <c r="I30" s="282"/>
      <c r="J30" s="68"/>
    </row>
    <row r="31" spans="1:15" s="3" customFormat="1" ht="110.5" customHeight="1" x14ac:dyDescent="0.35">
      <c r="A31" s="382">
        <v>44743</v>
      </c>
      <c r="B31" s="277" t="s">
        <v>491</v>
      </c>
      <c r="C31" s="278"/>
      <c r="D31" s="279"/>
      <c r="E31" s="277" t="s">
        <v>505</v>
      </c>
      <c r="F31" s="278" t="s">
        <v>505</v>
      </c>
      <c r="G31" s="279" t="s">
        <v>505</v>
      </c>
      <c r="H31" s="281" t="s">
        <v>509</v>
      </c>
      <c r="I31" s="282" t="s">
        <v>509</v>
      </c>
      <c r="J31" s="68"/>
    </row>
    <row r="32" spans="1:15" s="3" customFormat="1" ht="105" customHeight="1" x14ac:dyDescent="0.35">
      <c r="A32" s="382">
        <v>44756</v>
      </c>
      <c r="B32" s="277" t="s">
        <v>503</v>
      </c>
      <c r="C32" s="278"/>
      <c r="D32" s="279"/>
      <c r="E32" s="277" t="s">
        <v>506</v>
      </c>
      <c r="F32" s="278" t="s">
        <v>506</v>
      </c>
      <c r="G32" s="279" t="s">
        <v>506</v>
      </c>
      <c r="H32" s="281" t="s">
        <v>510</v>
      </c>
      <c r="I32" s="282" t="s">
        <v>510</v>
      </c>
      <c r="J32" s="68"/>
    </row>
    <row r="33" spans="1:10" s="3" customFormat="1" ht="179" customHeight="1" x14ac:dyDescent="0.35">
      <c r="A33" s="382">
        <v>44757</v>
      </c>
      <c r="B33" s="277" t="s">
        <v>503</v>
      </c>
      <c r="C33" s="278"/>
      <c r="D33" s="279"/>
      <c r="E33" s="277" t="s">
        <v>506</v>
      </c>
      <c r="F33" s="278" t="s">
        <v>506</v>
      </c>
      <c r="G33" s="279" t="s">
        <v>506</v>
      </c>
      <c r="H33" s="281" t="s">
        <v>511</v>
      </c>
      <c r="I33" s="282" t="s">
        <v>511</v>
      </c>
      <c r="J33" s="68"/>
    </row>
    <row r="34" spans="1:10" s="3" customFormat="1" ht="93" customHeight="1" x14ac:dyDescent="0.35">
      <c r="A34" s="383" t="s">
        <v>504</v>
      </c>
      <c r="B34" s="277" t="s">
        <v>515</v>
      </c>
      <c r="C34" s="278"/>
      <c r="D34" s="279"/>
      <c r="E34" s="277" t="s">
        <v>507</v>
      </c>
      <c r="F34" s="278" t="s">
        <v>507</v>
      </c>
      <c r="G34" s="279" t="s">
        <v>507</v>
      </c>
      <c r="H34" s="281" t="s">
        <v>512</v>
      </c>
      <c r="I34" s="282" t="s">
        <v>512</v>
      </c>
      <c r="J34" s="68"/>
    </row>
    <row r="35" spans="1:10" s="3" customFormat="1" ht="121.5" customHeight="1" x14ac:dyDescent="0.35">
      <c r="A35" s="382">
        <v>44762</v>
      </c>
      <c r="B35" s="277" t="s">
        <v>516</v>
      </c>
      <c r="C35" s="278"/>
      <c r="D35" s="279"/>
      <c r="E35" s="277" t="s">
        <v>508</v>
      </c>
      <c r="F35" s="278" t="s">
        <v>508</v>
      </c>
      <c r="G35" s="279" t="s">
        <v>508</v>
      </c>
      <c r="H35" s="281" t="s">
        <v>513</v>
      </c>
      <c r="I35" s="282" t="s">
        <v>513</v>
      </c>
      <c r="J35" s="68"/>
    </row>
    <row r="36" spans="1:10" s="3" customFormat="1" ht="121.5" customHeight="1" x14ac:dyDescent="0.35">
      <c r="A36" s="382">
        <v>44763</v>
      </c>
      <c r="B36" s="277" t="s">
        <v>515</v>
      </c>
      <c r="C36" s="278"/>
      <c r="D36" s="279"/>
      <c r="E36" s="277" t="s">
        <v>508</v>
      </c>
      <c r="F36" s="278" t="s">
        <v>508</v>
      </c>
      <c r="G36" s="279" t="s">
        <v>508</v>
      </c>
      <c r="H36" s="281" t="s">
        <v>513</v>
      </c>
      <c r="I36" s="282" t="s">
        <v>513</v>
      </c>
      <c r="J36" s="68"/>
    </row>
    <row r="37" spans="1:10" s="3" customFormat="1" ht="79.5" customHeight="1" x14ac:dyDescent="0.35">
      <c r="A37" s="382">
        <v>44771</v>
      </c>
      <c r="B37" s="277" t="s">
        <v>515</v>
      </c>
      <c r="C37" s="278"/>
      <c r="D37" s="279"/>
      <c r="E37" s="277" t="s">
        <v>508</v>
      </c>
      <c r="F37" s="278" t="s">
        <v>508</v>
      </c>
      <c r="G37" s="279" t="s">
        <v>508</v>
      </c>
      <c r="H37" s="281" t="s">
        <v>514</v>
      </c>
      <c r="I37" s="282" t="s">
        <v>514</v>
      </c>
      <c r="J37" s="68"/>
    </row>
    <row r="38" spans="1:10" s="3" customFormat="1" ht="81.5" customHeight="1" x14ac:dyDescent="0.35">
      <c r="A38" s="382">
        <v>44764</v>
      </c>
      <c r="B38" s="277" t="s">
        <v>488</v>
      </c>
      <c r="C38" s="278"/>
      <c r="D38" s="279"/>
      <c r="E38" s="280" t="s">
        <v>482</v>
      </c>
      <c r="F38" s="280"/>
      <c r="G38" s="280"/>
      <c r="H38" s="277" t="s">
        <v>489</v>
      </c>
      <c r="I38" s="279"/>
      <c r="J38" s="68"/>
    </row>
    <row r="39" spans="1:10" s="3" customFormat="1" ht="75.5" customHeight="1" x14ac:dyDescent="0.3">
      <c r="A39" s="173">
        <v>44774</v>
      </c>
      <c r="B39" s="277" t="s">
        <v>515</v>
      </c>
      <c r="C39" s="278"/>
      <c r="D39" s="279"/>
      <c r="E39" s="277" t="s">
        <v>508</v>
      </c>
      <c r="F39" s="278" t="s">
        <v>508</v>
      </c>
      <c r="G39" s="279" t="s">
        <v>508</v>
      </c>
      <c r="H39" s="281" t="s">
        <v>514</v>
      </c>
      <c r="I39" s="282" t="s">
        <v>514</v>
      </c>
      <c r="J39" s="68"/>
    </row>
    <row r="40" spans="1:10" s="3" customFormat="1" ht="69" customHeight="1" x14ac:dyDescent="0.3">
      <c r="A40" s="173">
        <v>44775</v>
      </c>
      <c r="B40" s="277" t="s">
        <v>491</v>
      </c>
      <c r="C40" s="278"/>
      <c r="D40" s="279"/>
      <c r="E40" s="280" t="s">
        <v>519</v>
      </c>
      <c r="F40" s="280" t="s">
        <v>519</v>
      </c>
      <c r="G40" s="280" t="s">
        <v>519</v>
      </c>
      <c r="H40" s="281" t="s">
        <v>528</v>
      </c>
      <c r="I40" s="282" t="s">
        <v>528</v>
      </c>
      <c r="J40" s="68"/>
    </row>
    <row r="41" spans="1:10" s="3" customFormat="1" ht="92" customHeight="1" x14ac:dyDescent="0.3">
      <c r="A41" s="173">
        <v>44776</v>
      </c>
      <c r="B41" s="277" t="s">
        <v>491</v>
      </c>
      <c r="C41" s="278"/>
      <c r="D41" s="279"/>
      <c r="E41" s="280" t="s">
        <v>520</v>
      </c>
      <c r="F41" s="280" t="s">
        <v>520</v>
      </c>
      <c r="G41" s="280" t="s">
        <v>520</v>
      </c>
      <c r="H41" s="281" t="s">
        <v>529</v>
      </c>
      <c r="I41" s="282" t="s">
        <v>529</v>
      </c>
      <c r="J41" s="68"/>
    </row>
    <row r="42" spans="1:10" s="3" customFormat="1" ht="90.5" customHeight="1" x14ac:dyDescent="0.3">
      <c r="A42" s="173">
        <v>44777</v>
      </c>
      <c r="B42" s="277" t="s">
        <v>491</v>
      </c>
      <c r="C42" s="278"/>
      <c r="D42" s="279"/>
      <c r="E42" s="280" t="s">
        <v>521</v>
      </c>
      <c r="F42" s="280" t="s">
        <v>521</v>
      </c>
      <c r="G42" s="280" t="s">
        <v>521</v>
      </c>
      <c r="H42" s="281" t="s">
        <v>529</v>
      </c>
      <c r="I42" s="282" t="s">
        <v>529</v>
      </c>
      <c r="J42" s="68"/>
    </row>
    <row r="43" spans="1:10" s="3" customFormat="1" ht="89.5" customHeight="1" x14ac:dyDescent="0.3">
      <c r="A43" s="173">
        <v>44783</v>
      </c>
      <c r="B43" s="277" t="s">
        <v>491</v>
      </c>
      <c r="C43" s="278"/>
      <c r="D43" s="279"/>
      <c r="E43" s="280" t="s">
        <v>522</v>
      </c>
      <c r="F43" s="280" t="s">
        <v>522</v>
      </c>
      <c r="G43" s="280" t="s">
        <v>522</v>
      </c>
      <c r="H43" s="281" t="s">
        <v>529</v>
      </c>
      <c r="I43" s="282" t="s">
        <v>529</v>
      </c>
      <c r="J43" s="68"/>
    </row>
    <row r="44" spans="1:10" s="3" customFormat="1" ht="131" customHeight="1" x14ac:dyDescent="0.3">
      <c r="A44" s="173">
        <v>44784</v>
      </c>
      <c r="B44" s="277" t="s">
        <v>515</v>
      </c>
      <c r="C44" s="278"/>
      <c r="D44" s="279"/>
      <c r="E44" s="280" t="s">
        <v>523</v>
      </c>
      <c r="F44" s="280" t="s">
        <v>523</v>
      </c>
      <c r="G44" s="280" t="s">
        <v>523</v>
      </c>
      <c r="H44" s="281" t="s">
        <v>534</v>
      </c>
      <c r="I44" s="282" t="s">
        <v>530</v>
      </c>
      <c r="J44" s="68"/>
    </row>
    <row r="45" spans="1:10" s="3" customFormat="1" ht="103" customHeight="1" x14ac:dyDescent="0.3">
      <c r="A45" s="173" t="s">
        <v>518</v>
      </c>
      <c r="B45" s="277" t="s">
        <v>515</v>
      </c>
      <c r="C45" s="278"/>
      <c r="D45" s="279"/>
      <c r="E45" s="280" t="s">
        <v>524</v>
      </c>
      <c r="F45" s="280" t="s">
        <v>524</v>
      </c>
      <c r="G45" s="280" t="s">
        <v>524</v>
      </c>
      <c r="H45" s="281" t="s">
        <v>535</v>
      </c>
      <c r="I45" s="282" t="s">
        <v>531</v>
      </c>
      <c r="J45" s="68"/>
    </row>
    <row r="46" spans="1:10" s="3" customFormat="1" ht="57" customHeight="1" x14ac:dyDescent="0.3">
      <c r="A46" s="173">
        <v>44791</v>
      </c>
      <c r="B46" s="277" t="s">
        <v>515</v>
      </c>
      <c r="C46" s="278"/>
      <c r="D46" s="279"/>
      <c r="E46" s="280" t="s">
        <v>525</v>
      </c>
      <c r="F46" s="280" t="s">
        <v>525</v>
      </c>
      <c r="G46" s="280" t="s">
        <v>525</v>
      </c>
      <c r="H46" s="281" t="s">
        <v>536</v>
      </c>
      <c r="I46" s="282" t="s">
        <v>532</v>
      </c>
      <c r="J46" s="68"/>
    </row>
    <row r="47" spans="1:10" s="3" customFormat="1" ht="81.5" customHeight="1" x14ac:dyDescent="0.3">
      <c r="A47" s="173">
        <v>44794</v>
      </c>
      <c r="B47" s="277" t="s">
        <v>517</v>
      </c>
      <c r="C47" s="278"/>
      <c r="D47" s="279"/>
      <c r="E47" s="280" t="s">
        <v>526</v>
      </c>
      <c r="F47" s="280" t="s">
        <v>526</v>
      </c>
      <c r="G47" s="280" t="s">
        <v>526</v>
      </c>
      <c r="H47" s="281" t="s">
        <v>537</v>
      </c>
      <c r="I47" s="282" t="s">
        <v>533</v>
      </c>
      <c r="J47" s="68"/>
    </row>
    <row r="48" spans="1:10" s="3" customFormat="1" ht="82.5" customHeight="1" x14ac:dyDescent="0.3">
      <c r="A48" s="173">
        <v>44801</v>
      </c>
      <c r="B48" s="277" t="s">
        <v>515</v>
      </c>
      <c r="C48" s="278"/>
      <c r="D48" s="279"/>
      <c r="E48" s="280" t="s">
        <v>527</v>
      </c>
      <c r="F48" s="280" t="s">
        <v>527</v>
      </c>
      <c r="G48" s="280" t="s">
        <v>527</v>
      </c>
      <c r="H48" s="281" t="s">
        <v>533</v>
      </c>
      <c r="I48" s="282" t="s">
        <v>533</v>
      </c>
      <c r="J48" s="68"/>
    </row>
    <row r="49" spans="1:10" s="3" customFormat="1" ht="62" customHeight="1" x14ac:dyDescent="0.3">
      <c r="A49" s="173">
        <v>44810</v>
      </c>
      <c r="B49" s="277" t="s">
        <v>515</v>
      </c>
      <c r="C49" s="278"/>
      <c r="D49" s="279"/>
      <c r="E49" s="277" t="s">
        <v>539</v>
      </c>
      <c r="F49" s="278" t="s">
        <v>539</v>
      </c>
      <c r="G49" s="279" t="s">
        <v>539</v>
      </c>
      <c r="H49" s="281" t="s">
        <v>533</v>
      </c>
      <c r="I49" s="282" t="s">
        <v>533</v>
      </c>
      <c r="J49" s="68"/>
    </row>
    <row r="50" spans="1:10" s="3" customFormat="1" ht="63" customHeight="1" x14ac:dyDescent="0.3">
      <c r="A50" s="173">
        <v>44811</v>
      </c>
      <c r="B50" s="277" t="s">
        <v>515</v>
      </c>
      <c r="C50" s="278"/>
      <c r="D50" s="279"/>
      <c r="E50" s="277" t="s">
        <v>539</v>
      </c>
      <c r="F50" s="278" t="s">
        <v>539</v>
      </c>
      <c r="G50" s="279" t="s">
        <v>539</v>
      </c>
      <c r="H50" s="281" t="s">
        <v>533</v>
      </c>
      <c r="I50" s="282" t="s">
        <v>533</v>
      </c>
      <c r="J50" s="68"/>
    </row>
    <row r="51" spans="1:10" s="3" customFormat="1" ht="51.5" customHeight="1" x14ac:dyDescent="0.3">
      <c r="A51" s="173">
        <v>44816</v>
      </c>
      <c r="B51" s="277" t="s">
        <v>515</v>
      </c>
      <c r="C51" s="278"/>
      <c r="D51" s="279"/>
      <c r="E51" s="280" t="s">
        <v>540</v>
      </c>
      <c r="F51" s="280" t="s">
        <v>540</v>
      </c>
      <c r="G51" s="280" t="s">
        <v>540</v>
      </c>
      <c r="H51" s="281" t="s">
        <v>546</v>
      </c>
      <c r="I51" s="282" t="s">
        <v>546</v>
      </c>
      <c r="J51" s="68"/>
    </row>
    <row r="52" spans="1:10" s="3" customFormat="1" ht="80" customHeight="1" x14ac:dyDescent="0.3">
      <c r="A52" s="173">
        <v>44825</v>
      </c>
      <c r="B52" s="277" t="s">
        <v>538</v>
      </c>
      <c r="C52" s="278"/>
      <c r="D52" s="279"/>
      <c r="E52" s="280" t="s">
        <v>541</v>
      </c>
      <c r="F52" s="280" t="s">
        <v>541</v>
      </c>
      <c r="G52" s="280" t="s">
        <v>541</v>
      </c>
      <c r="H52" s="281" t="s">
        <v>547</v>
      </c>
      <c r="I52" s="282" t="s">
        <v>547</v>
      </c>
      <c r="J52" s="68"/>
    </row>
    <row r="53" spans="1:10" s="3" customFormat="1" ht="88.5" customHeight="1" x14ac:dyDescent="0.3">
      <c r="A53" s="173">
        <v>44826</v>
      </c>
      <c r="B53" s="277" t="s">
        <v>503</v>
      </c>
      <c r="C53" s="278"/>
      <c r="D53" s="279"/>
      <c r="E53" s="280" t="s">
        <v>542</v>
      </c>
      <c r="F53" s="280" t="s">
        <v>542</v>
      </c>
      <c r="G53" s="280" t="s">
        <v>542</v>
      </c>
      <c r="H53" s="281" t="s">
        <v>548</v>
      </c>
      <c r="I53" s="282" t="s">
        <v>548</v>
      </c>
      <c r="J53" s="68"/>
    </row>
    <row r="54" spans="1:10" s="3" customFormat="1" ht="71" customHeight="1" x14ac:dyDescent="0.3">
      <c r="A54" s="173">
        <v>44827</v>
      </c>
      <c r="B54" s="277" t="s">
        <v>491</v>
      </c>
      <c r="C54" s="278"/>
      <c r="D54" s="279"/>
      <c r="E54" s="277" t="s">
        <v>543</v>
      </c>
      <c r="F54" s="278" t="s">
        <v>543</v>
      </c>
      <c r="G54" s="279" t="s">
        <v>543</v>
      </c>
      <c r="H54" s="281" t="s">
        <v>479</v>
      </c>
      <c r="I54" s="282" t="s">
        <v>479</v>
      </c>
      <c r="J54" s="68"/>
    </row>
    <row r="55" spans="1:10" s="3" customFormat="1" ht="50.5" customHeight="1" x14ac:dyDescent="0.3">
      <c r="A55" s="173">
        <v>44831</v>
      </c>
      <c r="B55" s="277" t="s">
        <v>538</v>
      </c>
      <c r="C55" s="278"/>
      <c r="D55" s="279"/>
      <c r="E55" s="280" t="s">
        <v>544</v>
      </c>
      <c r="F55" s="280" t="s">
        <v>544</v>
      </c>
      <c r="G55" s="280" t="s">
        <v>544</v>
      </c>
      <c r="H55" s="281" t="s">
        <v>479</v>
      </c>
      <c r="I55" s="282" t="s">
        <v>479</v>
      </c>
      <c r="J55" s="68"/>
    </row>
    <row r="56" spans="1:10" s="3" customFormat="1" ht="50.5" customHeight="1" x14ac:dyDescent="0.3">
      <c r="A56" s="173">
        <v>44832</v>
      </c>
      <c r="B56" s="277" t="s">
        <v>515</v>
      </c>
      <c r="C56" s="278"/>
      <c r="D56" s="279"/>
      <c r="E56" s="280" t="s">
        <v>545</v>
      </c>
      <c r="F56" s="280" t="s">
        <v>545</v>
      </c>
      <c r="G56" s="280" t="s">
        <v>545</v>
      </c>
      <c r="H56" s="281" t="s">
        <v>549</v>
      </c>
      <c r="I56" s="282" t="s">
        <v>549</v>
      </c>
      <c r="J56" s="68"/>
    </row>
    <row r="57" spans="1:10" s="3" customFormat="1" ht="80.5" customHeight="1" x14ac:dyDescent="0.3">
      <c r="A57" s="173">
        <v>44812</v>
      </c>
      <c r="B57" s="277" t="s">
        <v>488</v>
      </c>
      <c r="C57" s="278"/>
      <c r="D57" s="279"/>
      <c r="E57" s="280" t="s">
        <v>482</v>
      </c>
      <c r="F57" s="280"/>
      <c r="G57" s="280"/>
      <c r="H57" s="277" t="s">
        <v>489</v>
      </c>
      <c r="I57" s="279"/>
      <c r="J57" s="68"/>
    </row>
    <row r="58" spans="1:10" s="3" customFormat="1" ht="97" customHeight="1" x14ac:dyDescent="0.35">
      <c r="A58" s="173">
        <v>44844</v>
      </c>
      <c r="B58" s="277" t="s">
        <v>515</v>
      </c>
      <c r="C58" s="278"/>
      <c r="D58" s="279"/>
      <c r="E58" s="277" t="s">
        <v>551</v>
      </c>
      <c r="F58" s="278" t="s">
        <v>551</v>
      </c>
      <c r="G58" s="279" t="s">
        <v>551</v>
      </c>
      <c r="H58" s="379" t="s">
        <v>533</v>
      </c>
      <c r="I58" s="379"/>
      <c r="J58" s="68"/>
    </row>
    <row r="59" spans="1:10" s="3" customFormat="1" ht="80.5" customHeight="1" x14ac:dyDescent="0.35">
      <c r="A59" s="173">
        <v>44845</v>
      </c>
      <c r="B59" s="277" t="s">
        <v>550</v>
      </c>
      <c r="C59" s="278"/>
      <c r="D59" s="279"/>
      <c r="E59" s="277" t="s">
        <v>552</v>
      </c>
      <c r="F59" s="278" t="s">
        <v>552</v>
      </c>
      <c r="G59" s="279" t="s">
        <v>552</v>
      </c>
      <c r="H59" s="379" t="s">
        <v>533</v>
      </c>
      <c r="I59" s="379"/>
      <c r="J59" s="68"/>
    </row>
    <row r="60" spans="1:10" s="3" customFormat="1" ht="40.5" customHeight="1" x14ac:dyDescent="0.3">
      <c r="A60" s="378">
        <v>44872</v>
      </c>
      <c r="B60" s="277" t="s">
        <v>550</v>
      </c>
      <c r="C60" s="278"/>
      <c r="D60" s="279"/>
      <c r="E60" s="277" t="s">
        <v>553</v>
      </c>
      <c r="F60" s="278" t="s">
        <v>553</v>
      </c>
      <c r="G60" s="279" t="s">
        <v>553</v>
      </c>
      <c r="H60" s="281" t="s">
        <v>557</v>
      </c>
      <c r="I60" s="282" t="s">
        <v>557</v>
      </c>
      <c r="J60" s="68"/>
    </row>
    <row r="61" spans="1:10" s="3" customFormat="1" ht="80.5" customHeight="1" x14ac:dyDescent="0.3">
      <c r="A61" s="173">
        <v>44885</v>
      </c>
      <c r="B61" s="277" t="s">
        <v>550</v>
      </c>
      <c r="C61" s="278"/>
      <c r="D61" s="279"/>
      <c r="E61" s="277" t="s">
        <v>554</v>
      </c>
      <c r="F61" s="278" t="s">
        <v>554</v>
      </c>
      <c r="G61" s="279" t="s">
        <v>554</v>
      </c>
      <c r="H61" s="281" t="s">
        <v>558</v>
      </c>
      <c r="I61" s="282" t="s">
        <v>558</v>
      </c>
      <c r="J61" s="68"/>
    </row>
    <row r="62" spans="1:10" s="3" customFormat="1" ht="56.5" customHeight="1" x14ac:dyDescent="0.3">
      <c r="A62" s="173">
        <v>44886</v>
      </c>
      <c r="B62" s="277" t="s">
        <v>550</v>
      </c>
      <c r="C62" s="278"/>
      <c r="D62" s="279"/>
      <c r="E62" s="277" t="s">
        <v>555</v>
      </c>
      <c r="F62" s="278" t="s">
        <v>555</v>
      </c>
      <c r="G62" s="279" t="s">
        <v>555</v>
      </c>
      <c r="H62" s="281" t="s">
        <v>559</v>
      </c>
      <c r="I62" s="282" t="s">
        <v>559</v>
      </c>
      <c r="J62" s="68"/>
    </row>
    <row r="63" spans="1:10" s="3" customFormat="1" ht="46.5" customHeight="1" x14ac:dyDescent="0.3">
      <c r="A63" s="173">
        <v>44892</v>
      </c>
      <c r="B63" s="277" t="s">
        <v>550</v>
      </c>
      <c r="C63" s="278"/>
      <c r="D63" s="279"/>
      <c r="E63" s="277" t="s">
        <v>556</v>
      </c>
      <c r="F63" s="278" t="s">
        <v>556</v>
      </c>
      <c r="G63" s="279" t="s">
        <v>556</v>
      </c>
      <c r="H63" s="281" t="s">
        <v>560</v>
      </c>
      <c r="I63" s="282" t="s">
        <v>560</v>
      </c>
      <c r="J63" s="68"/>
    </row>
    <row r="64" spans="1:10" s="3" customFormat="1" ht="79.5" customHeight="1" x14ac:dyDescent="0.35">
      <c r="A64" s="384">
        <v>44899</v>
      </c>
      <c r="B64" s="277" t="s">
        <v>550</v>
      </c>
      <c r="C64" s="278"/>
      <c r="D64" s="279"/>
      <c r="E64" s="277" t="s">
        <v>561</v>
      </c>
      <c r="F64" s="278" t="s">
        <v>561</v>
      </c>
      <c r="G64" s="279" t="s">
        <v>561</v>
      </c>
      <c r="H64" s="277" t="s">
        <v>568</v>
      </c>
      <c r="I64" s="279" t="s">
        <v>568</v>
      </c>
      <c r="J64" s="68"/>
    </row>
    <row r="65" spans="1:15" s="3" customFormat="1" ht="56" customHeight="1" x14ac:dyDescent="0.35">
      <c r="A65" s="384">
        <v>44903</v>
      </c>
      <c r="B65" s="277" t="s">
        <v>550</v>
      </c>
      <c r="C65" s="278"/>
      <c r="D65" s="279"/>
      <c r="E65" s="277" t="s">
        <v>562</v>
      </c>
      <c r="F65" s="278" t="s">
        <v>562</v>
      </c>
      <c r="G65" s="279" t="s">
        <v>562</v>
      </c>
      <c r="H65" s="277" t="s">
        <v>569</v>
      </c>
      <c r="I65" s="279" t="s">
        <v>569</v>
      </c>
      <c r="J65" s="68"/>
    </row>
    <row r="66" spans="1:15" s="3" customFormat="1" ht="90.5" customHeight="1" x14ac:dyDescent="0.35">
      <c r="A66" s="384">
        <v>44904</v>
      </c>
      <c r="B66" s="277" t="s">
        <v>550</v>
      </c>
      <c r="C66" s="278"/>
      <c r="D66" s="279"/>
      <c r="E66" s="277" t="s">
        <v>562</v>
      </c>
      <c r="F66" s="278" t="s">
        <v>562</v>
      </c>
      <c r="G66" s="279" t="s">
        <v>562</v>
      </c>
      <c r="H66" s="277" t="s">
        <v>570</v>
      </c>
      <c r="I66" s="279" t="s">
        <v>570</v>
      </c>
      <c r="J66" s="68"/>
    </row>
    <row r="67" spans="1:15" s="3" customFormat="1" ht="79" customHeight="1" x14ac:dyDescent="0.35">
      <c r="A67" s="384">
        <v>44904</v>
      </c>
      <c r="B67" s="277" t="s">
        <v>550</v>
      </c>
      <c r="C67" s="278"/>
      <c r="D67" s="279"/>
      <c r="E67" s="277" t="s">
        <v>563</v>
      </c>
      <c r="F67" s="278" t="s">
        <v>563</v>
      </c>
      <c r="G67" s="279" t="s">
        <v>563</v>
      </c>
      <c r="H67" s="277" t="s">
        <v>571</v>
      </c>
      <c r="I67" s="279" t="s">
        <v>571</v>
      </c>
      <c r="J67" s="68"/>
    </row>
    <row r="68" spans="1:15" s="3" customFormat="1" ht="64.5" customHeight="1" x14ac:dyDescent="0.35">
      <c r="A68" s="384">
        <v>44908</v>
      </c>
      <c r="B68" s="277" t="s">
        <v>550</v>
      </c>
      <c r="C68" s="278"/>
      <c r="D68" s="279"/>
      <c r="E68" s="277" t="s">
        <v>564</v>
      </c>
      <c r="F68" s="278" t="s">
        <v>564</v>
      </c>
      <c r="G68" s="279" t="s">
        <v>564</v>
      </c>
      <c r="H68" s="277" t="s">
        <v>572</v>
      </c>
      <c r="I68" s="279" t="s">
        <v>572</v>
      </c>
      <c r="J68" s="68"/>
    </row>
    <row r="69" spans="1:15" s="3" customFormat="1" ht="64" customHeight="1" x14ac:dyDescent="0.35">
      <c r="A69" s="384">
        <v>44910</v>
      </c>
      <c r="B69" s="277" t="s">
        <v>515</v>
      </c>
      <c r="C69" s="278"/>
      <c r="D69" s="279"/>
      <c r="E69" s="277" t="s">
        <v>565</v>
      </c>
      <c r="F69" s="278" t="s">
        <v>565</v>
      </c>
      <c r="G69" s="279" t="s">
        <v>565</v>
      </c>
      <c r="H69" s="277" t="s">
        <v>573</v>
      </c>
      <c r="I69" s="279" t="s">
        <v>573</v>
      </c>
      <c r="J69" s="68"/>
    </row>
    <row r="70" spans="1:15" s="3" customFormat="1" ht="141.5" customHeight="1" x14ac:dyDescent="0.35">
      <c r="A70" s="384">
        <v>44910</v>
      </c>
      <c r="B70" s="277" t="s">
        <v>515</v>
      </c>
      <c r="C70" s="278"/>
      <c r="D70" s="279"/>
      <c r="E70" s="277" t="s">
        <v>566</v>
      </c>
      <c r="F70" s="278" t="s">
        <v>566</v>
      </c>
      <c r="G70" s="279" t="s">
        <v>566</v>
      </c>
      <c r="H70" s="277" t="s">
        <v>574</v>
      </c>
      <c r="I70" s="279" t="s">
        <v>574</v>
      </c>
      <c r="J70" s="68"/>
    </row>
    <row r="71" spans="1:15" s="3" customFormat="1" ht="105" customHeight="1" x14ac:dyDescent="0.35">
      <c r="A71" s="384">
        <v>44911</v>
      </c>
      <c r="B71" s="277" t="s">
        <v>550</v>
      </c>
      <c r="C71" s="278"/>
      <c r="D71" s="279"/>
      <c r="E71" s="277" t="s">
        <v>567</v>
      </c>
      <c r="F71" s="278" t="s">
        <v>567</v>
      </c>
      <c r="G71" s="279" t="s">
        <v>567</v>
      </c>
      <c r="H71" s="277" t="s">
        <v>575</v>
      </c>
      <c r="I71" s="279" t="s">
        <v>575</v>
      </c>
      <c r="J71" s="68"/>
    </row>
    <row r="72" spans="1:15" s="3" customFormat="1" ht="15.5" customHeight="1" x14ac:dyDescent="0.3"/>
    <row r="73" spans="1:15" s="42" customFormat="1" ht="22.5" customHeight="1" x14ac:dyDescent="0.35">
      <c r="A73" s="299" t="s">
        <v>213</v>
      </c>
      <c r="B73" s="300"/>
      <c r="C73" s="300"/>
      <c r="D73" s="300"/>
      <c r="E73" s="300"/>
      <c r="F73" s="300"/>
      <c r="G73" s="300"/>
      <c r="H73" s="300"/>
      <c r="I73" s="300"/>
      <c r="J73" s="300"/>
      <c r="K73" s="301"/>
    </row>
    <row r="74" spans="1:15" s="3" customFormat="1" ht="39" customHeight="1" x14ac:dyDescent="0.3">
      <c r="A74" s="88" t="s">
        <v>41</v>
      </c>
      <c r="B74" s="291" t="s">
        <v>214</v>
      </c>
      <c r="C74" s="291"/>
      <c r="D74" s="291"/>
      <c r="E74" s="291" t="s">
        <v>215</v>
      </c>
      <c r="F74" s="291"/>
      <c r="G74" s="291"/>
      <c r="H74" s="291" t="s">
        <v>212</v>
      </c>
      <c r="I74" s="291"/>
      <c r="J74" s="284"/>
      <c r="K74" s="68"/>
    </row>
    <row r="75" spans="1:15" s="3" customFormat="1" ht="14" x14ac:dyDescent="0.3">
      <c r="A75" s="155" t="s">
        <v>123</v>
      </c>
      <c r="B75" s="188" t="s">
        <v>479</v>
      </c>
      <c r="C75" s="188"/>
      <c r="D75" s="188"/>
      <c r="E75" s="188" t="s">
        <v>123</v>
      </c>
      <c r="F75" s="188"/>
      <c r="G75" s="188"/>
      <c r="H75" s="188" t="s">
        <v>123</v>
      </c>
      <c r="I75" s="188"/>
      <c r="J75" s="298"/>
      <c r="K75" s="68"/>
    </row>
    <row r="76" spans="1:15" s="3" customFormat="1" ht="14" x14ac:dyDescent="0.3">
      <c r="A76" s="155"/>
      <c r="B76" s="188"/>
      <c r="C76" s="188"/>
      <c r="D76" s="188"/>
      <c r="E76" s="188"/>
      <c r="F76" s="188"/>
      <c r="G76" s="188"/>
      <c r="H76" s="188"/>
      <c r="I76" s="188"/>
      <c r="J76" s="298"/>
      <c r="K76" s="68"/>
    </row>
    <row r="77" spans="1:15" ht="14.25" customHeight="1" x14ac:dyDescent="0.35">
      <c r="A77" s="155"/>
      <c r="B77" s="188"/>
      <c r="C77" s="188"/>
      <c r="D77" s="188"/>
      <c r="E77" s="188"/>
      <c r="F77" s="188"/>
      <c r="G77" s="188"/>
      <c r="H77" s="188"/>
      <c r="I77" s="188"/>
      <c r="J77" s="298"/>
      <c r="K77" s="68"/>
      <c r="L77" s="94"/>
      <c r="M77" s="94"/>
      <c r="N77" s="94"/>
      <c r="O77" s="94"/>
    </row>
    <row r="78" spans="1:15" s="3" customFormat="1" ht="14" x14ac:dyDescent="0.3">
      <c r="A78" s="155"/>
      <c r="B78" s="188"/>
      <c r="C78" s="188"/>
      <c r="D78" s="188"/>
      <c r="E78" s="188"/>
      <c r="F78" s="188"/>
      <c r="G78" s="188"/>
      <c r="H78" s="188"/>
      <c r="I78" s="188"/>
      <c r="J78" s="298"/>
      <c r="K78" s="68"/>
    </row>
    <row r="79" spans="1:15" s="3" customFormat="1" ht="14" x14ac:dyDescent="0.3">
      <c r="A79" s="155"/>
      <c r="B79" s="188"/>
      <c r="C79" s="188"/>
      <c r="D79" s="188"/>
      <c r="E79" s="188"/>
      <c r="F79" s="188"/>
      <c r="G79" s="188"/>
      <c r="H79" s="188"/>
      <c r="I79" s="188"/>
      <c r="J79" s="298"/>
      <c r="K79" s="68"/>
    </row>
    <row r="80" spans="1:15" s="3" customFormat="1" ht="29.25" customHeight="1" x14ac:dyDescent="0.3">
      <c r="A80" s="107"/>
      <c r="E80" s="286" t="s">
        <v>216</v>
      </c>
      <c r="F80" s="286"/>
      <c r="G80" s="286"/>
      <c r="H80" s="286"/>
      <c r="I80" s="286"/>
      <c r="J80" s="107"/>
    </row>
    <row r="113" spans="6:6" x14ac:dyDescent="0.35">
      <c r="F113" s="3"/>
    </row>
  </sheetData>
  <mergeCells count="207">
    <mergeCell ref="H68:I68"/>
    <mergeCell ref="H69:I69"/>
    <mergeCell ref="H70:I70"/>
    <mergeCell ref="H71:I71"/>
    <mergeCell ref="E65:G65"/>
    <mergeCell ref="E68:G68"/>
    <mergeCell ref="E69:G69"/>
    <mergeCell ref="E70:G70"/>
    <mergeCell ref="B65:D65"/>
    <mergeCell ref="B68:D68"/>
    <mergeCell ref="B69:D69"/>
    <mergeCell ref="B70:D70"/>
    <mergeCell ref="B71:D71"/>
    <mergeCell ref="E71:G71"/>
    <mergeCell ref="B61:D61"/>
    <mergeCell ref="E61:G61"/>
    <mergeCell ref="H61:I61"/>
    <mergeCell ref="B58:D58"/>
    <mergeCell ref="E58:G58"/>
    <mergeCell ref="H58:I58"/>
    <mergeCell ref="B59:D59"/>
    <mergeCell ref="E59:G59"/>
    <mergeCell ref="H59:I59"/>
    <mergeCell ref="B60:D60"/>
    <mergeCell ref="E60:G60"/>
    <mergeCell ref="H60:I60"/>
    <mergeCell ref="B66:D66"/>
    <mergeCell ref="E66:G66"/>
    <mergeCell ref="H66:I66"/>
    <mergeCell ref="B62:D62"/>
    <mergeCell ref="E62:G62"/>
    <mergeCell ref="H62:I62"/>
    <mergeCell ref="B63:D63"/>
    <mergeCell ref="E63:G63"/>
    <mergeCell ref="H63:I63"/>
    <mergeCell ref="B64:D64"/>
    <mergeCell ref="E64:G64"/>
    <mergeCell ref="H64:I64"/>
    <mergeCell ref="H65:I65"/>
    <mergeCell ref="B31:D31"/>
    <mergeCell ref="B56:D56"/>
    <mergeCell ref="E56:G56"/>
    <mergeCell ref="H56:I56"/>
    <mergeCell ref="B55:D55"/>
    <mergeCell ref="E55:G55"/>
    <mergeCell ref="H55:I55"/>
    <mergeCell ref="B49:D49"/>
    <mergeCell ref="E49:G49"/>
    <mergeCell ref="H49:I49"/>
    <mergeCell ref="B50:D50"/>
    <mergeCell ref="E50:G50"/>
    <mergeCell ref="H50:I50"/>
    <mergeCell ref="B51:D51"/>
    <mergeCell ref="E51:G51"/>
    <mergeCell ref="H51:I51"/>
    <mergeCell ref="B52:D52"/>
    <mergeCell ref="E52:G52"/>
    <mergeCell ref="H52:I52"/>
    <mergeCell ref="B53:D53"/>
    <mergeCell ref="E53:G53"/>
    <mergeCell ref="H53:I53"/>
    <mergeCell ref="B67:D67"/>
    <mergeCell ref="E67:G67"/>
    <mergeCell ref="H57:I57"/>
    <mergeCell ref="H67:I67"/>
    <mergeCell ref="B34:D34"/>
    <mergeCell ref="B79:D79"/>
    <mergeCell ref="E79:G79"/>
    <mergeCell ref="H79:J79"/>
    <mergeCell ref="B76:D76"/>
    <mergeCell ref="E76:G76"/>
    <mergeCell ref="H76:J76"/>
    <mergeCell ref="B77:D77"/>
    <mergeCell ref="E77:G77"/>
    <mergeCell ref="H77:J77"/>
    <mergeCell ref="A73:K73"/>
    <mergeCell ref="B78:D78"/>
    <mergeCell ref="E78:G78"/>
    <mergeCell ref="H78:J78"/>
    <mergeCell ref="B74:D74"/>
    <mergeCell ref="E74:G74"/>
    <mergeCell ref="H74:J74"/>
    <mergeCell ref="B75:D75"/>
    <mergeCell ref="E75:G75"/>
    <mergeCell ref="H75:J75"/>
    <mergeCell ref="B57:D57"/>
    <mergeCell ref="E57:G57"/>
    <mergeCell ref="B48:D48"/>
    <mergeCell ref="E48:G48"/>
    <mergeCell ref="B54:D54"/>
    <mergeCell ref="E54:G54"/>
    <mergeCell ref="H48:I48"/>
    <mergeCell ref="H54:I54"/>
    <mergeCell ref="A8:B8"/>
    <mergeCell ref="C8:I8"/>
    <mergeCell ref="A9:B9"/>
    <mergeCell ref="C9:E9"/>
    <mergeCell ref="F9:I9"/>
    <mergeCell ref="F14:I14"/>
    <mergeCell ref="A15:B15"/>
    <mergeCell ref="C15:E15"/>
    <mergeCell ref="F15:I15"/>
    <mergeCell ref="L9:O18"/>
    <mergeCell ref="E80:I80"/>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16:B16"/>
    <mergeCell ref="C17:E17"/>
    <mergeCell ref="F17:I17"/>
    <mergeCell ref="C16:E16"/>
    <mergeCell ref="F16:I16"/>
    <mergeCell ref="A17:B17"/>
    <mergeCell ref="B20:D20"/>
    <mergeCell ref="E20:G20"/>
    <mergeCell ref="E43:G43"/>
    <mergeCell ref="E44:G44"/>
    <mergeCell ref="E45:G45"/>
    <mergeCell ref="E46:G46"/>
    <mergeCell ref="E47:G47"/>
    <mergeCell ref="B43:D43"/>
    <mergeCell ref="B44:D44"/>
    <mergeCell ref="B45:D45"/>
    <mergeCell ref="B46:D46"/>
    <mergeCell ref="B47:D47"/>
    <mergeCell ref="H43:I43"/>
    <mergeCell ref="H44:I44"/>
    <mergeCell ref="H45:I45"/>
    <mergeCell ref="H46:I46"/>
    <mergeCell ref="H47:I47"/>
    <mergeCell ref="H35:I35"/>
    <mergeCell ref="H36:I36"/>
    <mergeCell ref="H37:I37"/>
    <mergeCell ref="H38:I38"/>
    <mergeCell ref="H39:I39"/>
    <mergeCell ref="H40:I40"/>
    <mergeCell ref="H41:I41"/>
    <mergeCell ref="H42:I42"/>
    <mergeCell ref="A19:I19"/>
    <mergeCell ref="B35:D35"/>
    <mergeCell ref="B36:D36"/>
    <mergeCell ref="B37:D37"/>
    <mergeCell ref="B38:D38"/>
    <mergeCell ref="B23:D23"/>
    <mergeCell ref="B24:D24"/>
    <mergeCell ref="B25:D25"/>
    <mergeCell ref="B26:D26"/>
    <mergeCell ref="B27:D27"/>
    <mergeCell ref="B28:D28"/>
    <mergeCell ref="B29:D29"/>
    <mergeCell ref="B30:D30"/>
    <mergeCell ref="B32:D32"/>
    <mergeCell ref="B33:D33"/>
    <mergeCell ref="B21:D21"/>
    <mergeCell ref="E21:G21"/>
    <mergeCell ref="H20:I20"/>
    <mergeCell ref="H21:I21"/>
    <mergeCell ref="E23:G23"/>
    <mergeCell ref="E24:G24"/>
    <mergeCell ref="E25:G25"/>
    <mergeCell ref="E26:G26"/>
    <mergeCell ref="B22:D22"/>
    <mergeCell ref="B39:D39"/>
    <mergeCell ref="B40:D40"/>
    <mergeCell ref="B41:D41"/>
    <mergeCell ref="B42:D42"/>
    <mergeCell ref="E35:G35"/>
    <mergeCell ref="E36:G36"/>
    <mergeCell ref="E37:G37"/>
    <mergeCell ref="E38:G38"/>
    <mergeCell ref="E39:G39"/>
    <mergeCell ref="E40:G40"/>
    <mergeCell ref="E41:G41"/>
    <mergeCell ref="E42:G42"/>
    <mergeCell ref="E22:G22"/>
    <mergeCell ref="H22:I22"/>
    <mergeCell ref="E33:G33"/>
    <mergeCell ref="E34:G34"/>
    <mergeCell ref="H23:I23"/>
    <mergeCell ref="H24:I24"/>
    <mergeCell ref="H25:I25"/>
    <mergeCell ref="H26:I26"/>
    <mergeCell ref="H27:I27"/>
    <mergeCell ref="H28:I28"/>
    <mergeCell ref="H29:I29"/>
    <mergeCell ref="H30:I30"/>
    <mergeCell ref="H32:I32"/>
    <mergeCell ref="H33:I33"/>
    <mergeCell ref="H34:I34"/>
    <mergeCell ref="E27:G27"/>
    <mergeCell ref="E28:G28"/>
    <mergeCell ref="E29:G29"/>
    <mergeCell ref="E30:G30"/>
    <mergeCell ref="E32:G32"/>
    <mergeCell ref="E31:G31"/>
    <mergeCell ref="H31:I31"/>
  </mergeCells>
  <pageMargins left="0.7" right="0.7" top="0.75" bottom="0.75" header="0.3" footer="0.3"/>
  <pageSetup paperSize="9" scale="87" orientation="portrait"/>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zoomScaleNormal="100" workbookViewId="0">
      <selection activeCell="A6" sqref="A6:J14"/>
    </sheetView>
  </sheetViews>
  <sheetFormatPr defaultColWidth="9.1796875" defaultRowHeight="15.5" x14ac:dyDescent="0.35"/>
  <cols>
    <col min="1" max="1" width="9.1796875" style="2" customWidth="1"/>
    <col min="2" max="2" width="14.54296875" style="2" bestFit="1" customWidth="1"/>
    <col min="3" max="9" width="9.1796875" style="2"/>
    <col min="10" max="10" width="11.54296875" style="2" customWidth="1"/>
    <col min="11" max="16384" width="9.1796875" style="2"/>
  </cols>
  <sheetData>
    <row r="1" spans="1:10" x14ac:dyDescent="0.35">
      <c r="A1" s="94" t="str">
        <f>+'Cover Page'!$B$29</f>
        <v>Annual Performance Report 2022</v>
      </c>
      <c r="B1" s="94"/>
      <c r="C1" s="94"/>
      <c r="D1" s="94"/>
      <c r="E1" s="94" t="str">
        <f>+'Cover Page'!$B$33</f>
        <v>Welland Biopower Ltd</v>
      </c>
      <c r="F1" s="94"/>
      <c r="G1" s="94"/>
      <c r="H1" s="94"/>
      <c r="I1" s="94"/>
      <c r="J1" s="94"/>
    </row>
    <row r="3" spans="1:10" x14ac:dyDescent="0.35">
      <c r="A3" s="1" t="s">
        <v>217</v>
      </c>
      <c r="B3" s="94"/>
      <c r="C3" s="94"/>
      <c r="D3" s="94"/>
      <c r="E3" s="94"/>
      <c r="F3" s="94"/>
      <c r="G3" s="94"/>
      <c r="H3" s="94"/>
      <c r="I3" s="94"/>
      <c r="J3" s="94"/>
    </row>
    <row r="4" spans="1:10" x14ac:dyDescent="0.35">
      <c r="A4" s="1"/>
      <c r="B4" s="94"/>
      <c r="C4" s="94"/>
      <c r="D4" s="94"/>
      <c r="E4" s="94"/>
      <c r="F4" s="94"/>
      <c r="G4" s="94"/>
      <c r="H4" s="94"/>
      <c r="I4" s="94"/>
      <c r="J4" s="94"/>
    </row>
    <row r="5" spans="1:10" s="3" customFormat="1" ht="14" x14ac:dyDescent="0.3">
      <c r="A5" s="305" t="s">
        <v>218</v>
      </c>
      <c r="B5" s="306"/>
      <c r="C5" s="306"/>
      <c r="D5" s="306"/>
      <c r="E5" s="306"/>
      <c r="F5" s="306"/>
      <c r="G5" s="306"/>
      <c r="H5" s="306"/>
      <c r="I5" s="306"/>
      <c r="J5" s="307"/>
    </row>
    <row r="6" spans="1:10" s="3" customFormat="1" ht="15.75" customHeight="1" x14ac:dyDescent="0.3">
      <c r="A6" s="199" t="s">
        <v>496</v>
      </c>
      <c r="B6" s="200"/>
      <c r="C6" s="200"/>
      <c r="D6" s="200"/>
      <c r="E6" s="200"/>
      <c r="F6" s="200"/>
      <c r="G6" s="200"/>
      <c r="H6" s="200"/>
      <c r="I6" s="200"/>
      <c r="J6" s="201"/>
    </row>
    <row r="7" spans="1:10" s="3" customFormat="1" ht="15.75" customHeight="1" x14ac:dyDescent="0.3">
      <c r="A7" s="202"/>
      <c r="B7" s="203"/>
      <c r="C7" s="203"/>
      <c r="D7" s="203"/>
      <c r="E7" s="203"/>
      <c r="F7" s="203"/>
      <c r="G7" s="203"/>
      <c r="H7" s="203"/>
      <c r="I7" s="203"/>
      <c r="J7" s="204"/>
    </row>
    <row r="8" spans="1:10" s="3" customFormat="1" ht="15.75" customHeight="1" x14ac:dyDescent="0.3">
      <c r="A8" s="202"/>
      <c r="B8" s="203"/>
      <c r="C8" s="203"/>
      <c r="D8" s="203"/>
      <c r="E8" s="203"/>
      <c r="F8" s="203"/>
      <c r="G8" s="203"/>
      <c r="H8" s="203"/>
      <c r="I8" s="203"/>
      <c r="J8" s="204"/>
    </row>
    <row r="9" spans="1:10" s="3" customFormat="1" ht="15.75" customHeight="1" x14ac:dyDescent="0.3">
      <c r="A9" s="202"/>
      <c r="B9" s="203"/>
      <c r="C9" s="203"/>
      <c r="D9" s="203"/>
      <c r="E9" s="203"/>
      <c r="F9" s="203"/>
      <c r="G9" s="203"/>
      <c r="H9" s="203"/>
      <c r="I9" s="203"/>
      <c r="J9" s="204"/>
    </row>
    <row r="10" spans="1:10" s="3" customFormat="1" ht="15.75" customHeight="1" x14ac:dyDescent="0.3">
      <c r="A10" s="202"/>
      <c r="B10" s="203"/>
      <c r="C10" s="203"/>
      <c r="D10" s="203"/>
      <c r="E10" s="203"/>
      <c r="F10" s="203"/>
      <c r="G10" s="203"/>
      <c r="H10" s="203"/>
      <c r="I10" s="203"/>
      <c r="J10" s="204"/>
    </row>
    <row r="11" spans="1:10" s="3" customFormat="1" ht="15.75" customHeight="1" x14ac:dyDescent="0.3">
      <c r="A11" s="202"/>
      <c r="B11" s="203"/>
      <c r="C11" s="203"/>
      <c r="D11" s="203"/>
      <c r="E11" s="203"/>
      <c r="F11" s="203"/>
      <c r="G11" s="203"/>
      <c r="H11" s="203"/>
      <c r="I11" s="203"/>
      <c r="J11" s="204"/>
    </row>
    <row r="12" spans="1:10" s="3" customFormat="1" ht="15.75" customHeight="1" x14ac:dyDescent="0.3">
      <c r="A12" s="202"/>
      <c r="B12" s="203"/>
      <c r="C12" s="203"/>
      <c r="D12" s="203"/>
      <c r="E12" s="203"/>
      <c r="F12" s="203"/>
      <c r="G12" s="203"/>
      <c r="H12" s="203"/>
      <c r="I12" s="203"/>
      <c r="J12" s="204"/>
    </row>
    <row r="13" spans="1:10" s="3" customFormat="1" ht="15.75" customHeight="1" x14ac:dyDescent="0.3">
      <c r="A13" s="202"/>
      <c r="B13" s="203"/>
      <c r="C13" s="203"/>
      <c r="D13" s="203"/>
      <c r="E13" s="203"/>
      <c r="F13" s="203"/>
      <c r="G13" s="203"/>
      <c r="H13" s="203"/>
      <c r="I13" s="203"/>
      <c r="J13" s="204"/>
    </row>
    <row r="14" spans="1:10" s="3" customFormat="1" ht="15.75" customHeight="1" x14ac:dyDescent="0.3">
      <c r="A14" s="205"/>
      <c r="B14" s="206"/>
      <c r="C14" s="206"/>
      <c r="D14" s="206"/>
      <c r="E14" s="206"/>
      <c r="F14" s="206"/>
      <c r="G14" s="206"/>
      <c r="H14" s="206"/>
      <c r="I14" s="206"/>
      <c r="J14" s="207"/>
    </row>
    <row r="15" spans="1:10" s="3" customFormat="1" ht="14" x14ac:dyDescent="0.3"/>
    <row r="16" spans="1:10" s="43" customFormat="1" ht="33.75" customHeight="1" x14ac:dyDescent="0.35">
      <c r="A16" s="302" t="s">
        <v>219</v>
      </c>
      <c r="B16" s="303"/>
      <c r="C16" s="303"/>
      <c r="D16" s="303"/>
      <c r="E16" s="303"/>
      <c r="F16" s="303"/>
      <c r="G16" s="303"/>
      <c r="H16" s="303"/>
      <c r="I16" s="303"/>
      <c r="J16" s="304"/>
    </row>
    <row r="17" spans="1:10" ht="15.75" customHeight="1" x14ac:dyDescent="0.35">
      <c r="A17" s="199" t="s">
        <v>460</v>
      </c>
      <c r="B17" s="200"/>
      <c r="C17" s="200"/>
      <c r="D17" s="200"/>
      <c r="E17" s="200"/>
      <c r="F17" s="200"/>
      <c r="G17" s="200"/>
      <c r="H17" s="200"/>
      <c r="I17" s="200"/>
      <c r="J17" s="201"/>
    </row>
    <row r="18" spans="1:10" ht="15.75" customHeight="1" x14ac:dyDescent="0.35">
      <c r="A18" s="202"/>
      <c r="B18" s="203"/>
      <c r="C18" s="203"/>
      <c r="D18" s="203"/>
      <c r="E18" s="203"/>
      <c r="F18" s="203"/>
      <c r="G18" s="203"/>
      <c r="H18" s="203"/>
      <c r="I18" s="203"/>
      <c r="J18" s="204"/>
    </row>
    <row r="19" spans="1:10" ht="15.75" customHeight="1" x14ac:dyDescent="0.35">
      <c r="A19" s="202"/>
      <c r="B19" s="203"/>
      <c r="C19" s="203"/>
      <c r="D19" s="203"/>
      <c r="E19" s="203"/>
      <c r="F19" s="203"/>
      <c r="G19" s="203"/>
      <c r="H19" s="203"/>
      <c r="I19" s="203"/>
      <c r="J19" s="204"/>
    </row>
    <row r="20" spans="1:10" ht="15.75" customHeight="1" x14ac:dyDescent="0.35">
      <c r="A20" s="202"/>
      <c r="B20" s="203"/>
      <c r="C20" s="203"/>
      <c r="D20" s="203"/>
      <c r="E20" s="203"/>
      <c r="F20" s="203"/>
      <c r="G20" s="203"/>
      <c r="H20" s="203"/>
      <c r="I20" s="203"/>
      <c r="J20" s="204"/>
    </row>
    <row r="21" spans="1:10" ht="15.75" customHeight="1" x14ac:dyDescent="0.35">
      <c r="A21" s="202"/>
      <c r="B21" s="203"/>
      <c r="C21" s="203"/>
      <c r="D21" s="203"/>
      <c r="E21" s="203"/>
      <c r="F21" s="203"/>
      <c r="G21" s="203"/>
      <c r="H21" s="203"/>
      <c r="I21" s="203"/>
      <c r="J21" s="204"/>
    </row>
    <row r="22" spans="1:10" ht="15.75" customHeight="1" x14ac:dyDescent="0.35">
      <c r="A22" s="202"/>
      <c r="B22" s="203"/>
      <c r="C22" s="203"/>
      <c r="D22" s="203"/>
      <c r="E22" s="203"/>
      <c r="F22" s="203"/>
      <c r="G22" s="203"/>
      <c r="H22" s="203"/>
      <c r="I22" s="203"/>
      <c r="J22" s="204"/>
    </row>
    <row r="23" spans="1:10" ht="15.75" customHeight="1" x14ac:dyDescent="0.35">
      <c r="A23" s="202"/>
      <c r="B23" s="203"/>
      <c r="C23" s="203"/>
      <c r="D23" s="203"/>
      <c r="E23" s="203"/>
      <c r="F23" s="203"/>
      <c r="G23" s="203"/>
      <c r="H23" s="203"/>
      <c r="I23" s="203"/>
      <c r="J23" s="204"/>
    </row>
    <row r="24" spans="1:10" ht="15.75" customHeight="1" x14ac:dyDescent="0.35">
      <c r="A24" s="202"/>
      <c r="B24" s="203"/>
      <c r="C24" s="203"/>
      <c r="D24" s="203"/>
      <c r="E24" s="203"/>
      <c r="F24" s="203"/>
      <c r="G24" s="203"/>
      <c r="H24" s="203"/>
      <c r="I24" s="203"/>
      <c r="J24" s="204"/>
    </row>
    <row r="25" spans="1:10" ht="15.75" customHeight="1" x14ac:dyDescent="0.35">
      <c r="A25" s="205"/>
      <c r="B25" s="206"/>
      <c r="C25" s="206"/>
      <c r="D25" s="206"/>
      <c r="E25" s="206"/>
      <c r="F25" s="206"/>
      <c r="G25" s="206"/>
      <c r="H25" s="206"/>
      <c r="I25" s="206"/>
      <c r="J25" s="207"/>
    </row>
    <row r="26" spans="1:10" x14ac:dyDescent="0.35">
      <c r="A26" s="1"/>
      <c r="B26" s="94"/>
      <c r="C26" s="94"/>
      <c r="D26" s="94"/>
      <c r="E26" s="94"/>
      <c r="F26" s="94"/>
      <c r="G26" s="94"/>
      <c r="H26" s="94"/>
      <c r="I26" s="94"/>
      <c r="J26" s="94"/>
    </row>
    <row r="27" spans="1:10" ht="36.75" customHeight="1" x14ac:dyDescent="0.35">
      <c r="A27" s="302" t="s">
        <v>220</v>
      </c>
      <c r="B27" s="303"/>
      <c r="C27" s="303"/>
      <c r="D27" s="303"/>
      <c r="E27" s="303"/>
      <c r="F27" s="303"/>
      <c r="G27" s="303"/>
      <c r="H27" s="303"/>
      <c r="I27" s="303"/>
      <c r="J27" s="304"/>
    </row>
    <row r="28" spans="1:10" ht="15.75" customHeight="1" x14ac:dyDescent="0.35">
      <c r="A28" s="199" t="s">
        <v>461</v>
      </c>
      <c r="B28" s="200"/>
      <c r="C28" s="200"/>
      <c r="D28" s="200"/>
      <c r="E28" s="200"/>
      <c r="F28" s="200"/>
      <c r="G28" s="200"/>
      <c r="H28" s="200"/>
      <c r="I28" s="200"/>
      <c r="J28" s="201"/>
    </row>
    <row r="29" spans="1:10" ht="15.75" customHeight="1" x14ac:dyDescent="0.35">
      <c r="A29" s="202"/>
      <c r="B29" s="203"/>
      <c r="C29" s="203"/>
      <c r="D29" s="203"/>
      <c r="E29" s="203"/>
      <c r="F29" s="203"/>
      <c r="G29" s="203"/>
      <c r="H29" s="203"/>
      <c r="I29" s="203"/>
      <c r="J29" s="204"/>
    </row>
    <row r="30" spans="1:10" ht="15.75" customHeight="1" x14ac:dyDescent="0.35">
      <c r="A30" s="202"/>
      <c r="B30" s="203"/>
      <c r="C30" s="203"/>
      <c r="D30" s="203"/>
      <c r="E30" s="203"/>
      <c r="F30" s="203"/>
      <c r="G30" s="203"/>
      <c r="H30" s="203"/>
      <c r="I30" s="203"/>
      <c r="J30" s="204"/>
    </row>
    <row r="31" spans="1:10" ht="15.75" customHeight="1" x14ac:dyDescent="0.35">
      <c r="A31" s="202"/>
      <c r="B31" s="203"/>
      <c r="C31" s="203"/>
      <c r="D31" s="203"/>
      <c r="E31" s="203"/>
      <c r="F31" s="203"/>
      <c r="G31" s="203"/>
      <c r="H31" s="203"/>
      <c r="I31" s="203"/>
      <c r="J31" s="204"/>
    </row>
    <row r="32" spans="1:10" ht="15.75" customHeight="1" x14ac:dyDescent="0.35">
      <c r="A32" s="202"/>
      <c r="B32" s="203"/>
      <c r="C32" s="203"/>
      <c r="D32" s="203"/>
      <c r="E32" s="203"/>
      <c r="F32" s="203"/>
      <c r="G32" s="203"/>
      <c r="H32" s="203"/>
      <c r="I32" s="203"/>
      <c r="J32" s="204"/>
    </row>
    <row r="33" spans="1:10" ht="15.75" customHeight="1" x14ac:dyDescent="0.35">
      <c r="A33" s="202"/>
      <c r="B33" s="203"/>
      <c r="C33" s="203"/>
      <c r="D33" s="203"/>
      <c r="E33" s="203"/>
      <c r="F33" s="203"/>
      <c r="G33" s="203"/>
      <c r="H33" s="203"/>
      <c r="I33" s="203"/>
      <c r="J33" s="204"/>
    </row>
    <row r="34" spans="1:10" ht="15.75" customHeight="1" x14ac:dyDescent="0.35">
      <c r="A34" s="202"/>
      <c r="B34" s="203"/>
      <c r="C34" s="203"/>
      <c r="D34" s="203"/>
      <c r="E34" s="203"/>
      <c r="F34" s="203"/>
      <c r="G34" s="203"/>
      <c r="H34" s="203"/>
      <c r="I34" s="203"/>
      <c r="J34" s="204"/>
    </row>
    <row r="35" spans="1:10" ht="15.75" customHeight="1" x14ac:dyDescent="0.35">
      <c r="A35" s="202"/>
      <c r="B35" s="203"/>
      <c r="C35" s="203"/>
      <c r="D35" s="203"/>
      <c r="E35" s="203"/>
      <c r="F35" s="203"/>
      <c r="G35" s="203"/>
      <c r="H35" s="203"/>
      <c r="I35" s="203"/>
      <c r="J35" s="204"/>
    </row>
    <row r="36" spans="1:10" ht="15.75" customHeight="1" x14ac:dyDescent="0.35">
      <c r="A36" s="205"/>
      <c r="B36" s="206"/>
      <c r="C36" s="206"/>
      <c r="D36" s="206"/>
      <c r="E36" s="206"/>
      <c r="F36" s="206"/>
      <c r="G36" s="206"/>
      <c r="H36" s="206"/>
      <c r="I36" s="206"/>
      <c r="J36" s="207"/>
    </row>
    <row r="38" spans="1:10" ht="33" customHeight="1" x14ac:dyDescent="0.35">
      <c r="A38" s="302" t="s">
        <v>221</v>
      </c>
      <c r="B38" s="303"/>
      <c r="C38" s="303"/>
      <c r="D38" s="303"/>
      <c r="E38" s="303"/>
      <c r="F38" s="303"/>
      <c r="G38" s="303"/>
      <c r="H38" s="303"/>
      <c r="I38" s="303"/>
      <c r="J38" s="304"/>
    </row>
    <row r="39" spans="1:10" ht="15.75" customHeight="1" x14ac:dyDescent="0.35">
      <c r="A39" s="199" t="s">
        <v>462</v>
      </c>
      <c r="B39" s="200"/>
      <c r="C39" s="200"/>
      <c r="D39" s="200"/>
      <c r="E39" s="200"/>
      <c r="F39" s="200"/>
      <c r="G39" s="200"/>
      <c r="H39" s="200"/>
      <c r="I39" s="200"/>
      <c r="J39" s="201"/>
    </row>
    <row r="40" spans="1:10" ht="15.75" customHeight="1" x14ac:dyDescent="0.35">
      <c r="A40" s="202"/>
      <c r="B40" s="203"/>
      <c r="C40" s="203"/>
      <c r="D40" s="203"/>
      <c r="E40" s="203"/>
      <c r="F40" s="203"/>
      <c r="G40" s="203"/>
      <c r="H40" s="203"/>
      <c r="I40" s="203"/>
      <c r="J40" s="204"/>
    </row>
    <row r="41" spans="1:10" ht="15.75" customHeight="1" x14ac:dyDescent="0.35">
      <c r="A41" s="202"/>
      <c r="B41" s="203"/>
      <c r="C41" s="203"/>
      <c r="D41" s="203"/>
      <c r="E41" s="203"/>
      <c r="F41" s="203"/>
      <c r="G41" s="203"/>
      <c r="H41" s="203"/>
      <c r="I41" s="203"/>
      <c r="J41" s="204"/>
    </row>
    <row r="42" spans="1:10" ht="15.75" customHeight="1" x14ac:dyDescent="0.35">
      <c r="A42" s="202"/>
      <c r="B42" s="203"/>
      <c r="C42" s="203"/>
      <c r="D42" s="203"/>
      <c r="E42" s="203"/>
      <c r="F42" s="203"/>
      <c r="G42" s="203"/>
      <c r="H42" s="203"/>
      <c r="I42" s="203"/>
      <c r="J42" s="204"/>
    </row>
    <row r="43" spans="1:10" ht="15.75" customHeight="1" x14ac:dyDescent="0.35">
      <c r="A43" s="202"/>
      <c r="B43" s="203"/>
      <c r="C43" s="203"/>
      <c r="D43" s="203"/>
      <c r="E43" s="203"/>
      <c r="F43" s="203"/>
      <c r="G43" s="203"/>
      <c r="H43" s="203"/>
      <c r="I43" s="203"/>
      <c r="J43" s="204"/>
    </row>
    <row r="44" spans="1:10" ht="15.75" customHeight="1" x14ac:dyDescent="0.35">
      <c r="A44" s="202"/>
      <c r="B44" s="203"/>
      <c r="C44" s="203"/>
      <c r="D44" s="203"/>
      <c r="E44" s="203"/>
      <c r="F44" s="203"/>
      <c r="G44" s="203"/>
      <c r="H44" s="203"/>
      <c r="I44" s="203"/>
      <c r="J44" s="204"/>
    </row>
    <row r="45" spans="1:10" ht="15.75" customHeight="1" x14ac:dyDescent="0.35">
      <c r="A45" s="202"/>
      <c r="B45" s="203"/>
      <c r="C45" s="203"/>
      <c r="D45" s="203"/>
      <c r="E45" s="203"/>
      <c r="F45" s="203"/>
      <c r="G45" s="203"/>
      <c r="H45" s="203"/>
      <c r="I45" s="203"/>
      <c r="J45" s="204"/>
    </row>
    <row r="46" spans="1:10" ht="15.75" customHeight="1" x14ac:dyDescent="0.35">
      <c r="A46" s="202"/>
      <c r="B46" s="203"/>
      <c r="C46" s="203"/>
      <c r="D46" s="203"/>
      <c r="E46" s="203"/>
      <c r="F46" s="203"/>
      <c r="G46" s="203"/>
      <c r="H46" s="203"/>
      <c r="I46" s="203"/>
      <c r="J46" s="204"/>
    </row>
    <row r="47" spans="1:10" ht="15.75" customHeight="1" x14ac:dyDescent="0.35">
      <c r="A47" s="202"/>
      <c r="B47" s="203"/>
      <c r="C47" s="203"/>
      <c r="D47" s="203"/>
      <c r="E47" s="203"/>
      <c r="F47" s="203"/>
      <c r="G47" s="203"/>
      <c r="H47" s="203"/>
      <c r="I47" s="203"/>
      <c r="J47" s="204"/>
    </row>
    <row r="48" spans="1:10" ht="15.75" customHeight="1" x14ac:dyDescent="0.35">
      <c r="A48" s="205"/>
      <c r="B48" s="206"/>
      <c r="C48" s="206"/>
      <c r="D48" s="206"/>
      <c r="E48" s="206"/>
      <c r="F48" s="206"/>
      <c r="G48" s="206"/>
      <c r="H48" s="206"/>
      <c r="I48" s="206"/>
      <c r="J48" s="207"/>
    </row>
    <row r="66" spans="6:6" x14ac:dyDescent="0.35">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72"/>
  <sheetViews>
    <sheetView showGridLines="0" topLeftCell="A9" zoomScaleNormal="100" workbookViewId="0">
      <selection activeCell="C30" sqref="C30:J31"/>
    </sheetView>
  </sheetViews>
  <sheetFormatPr defaultColWidth="9.1796875" defaultRowHeight="15.5" x14ac:dyDescent="0.35"/>
  <cols>
    <col min="1" max="1" width="9.1796875" style="2" customWidth="1"/>
    <col min="2" max="2" width="14.54296875" style="2" bestFit="1" customWidth="1"/>
    <col min="3" max="9" width="9.1796875" style="2"/>
    <col min="10" max="10" width="11.54296875" style="2" customWidth="1"/>
    <col min="11" max="16384" width="9.1796875" style="2"/>
  </cols>
  <sheetData>
    <row r="1" spans="1:10" x14ac:dyDescent="0.35">
      <c r="A1" s="94" t="str">
        <f>+'Cover Page'!$B$29</f>
        <v>Annual Performance Report 2022</v>
      </c>
      <c r="B1" s="94"/>
      <c r="C1" s="94"/>
      <c r="D1" s="94"/>
      <c r="E1" s="94" t="str">
        <f>+'Cover Page'!$B$33</f>
        <v>Welland Biopower Ltd</v>
      </c>
      <c r="F1" s="94"/>
      <c r="G1" s="94"/>
      <c r="H1" s="94"/>
      <c r="I1" s="94"/>
      <c r="J1" s="94"/>
    </row>
    <row r="3" spans="1:10" x14ac:dyDescent="0.35">
      <c r="A3" s="1" t="s">
        <v>222</v>
      </c>
      <c r="B3" s="94"/>
      <c r="C3" s="94"/>
      <c r="D3" s="94"/>
      <c r="E3" s="94"/>
      <c r="F3" s="94"/>
      <c r="G3" s="94"/>
      <c r="H3" s="94"/>
      <c r="I3" s="94"/>
      <c r="J3" s="94"/>
    </row>
    <row r="4" spans="1:10" x14ac:dyDescent="0.35">
      <c r="A4" s="1"/>
      <c r="B4" s="94"/>
      <c r="C4" s="94"/>
      <c r="D4" s="94"/>
      <c r="E4" s="94"/>
      <c r="F4" s="94"/>
      <c r="G4" s="94"/>
      <c r="H4" s="94"/>
      <c r="I4" s="94"/>
      <c r="J4" s="94"/>
    </row>
    <row r="5" spans="1:10" s="3" customFormat="1" ht="28.5" customHeight="1" x14ac:dyDescent="0.3">
      <c r="A5" s="44" t="s">
        <v>223</v>
      </c>
      <c r="B5" s="45"/>
      <c r="C5" s="45"/>
      <c r="D5" s="45"/>
      <c r="E5" s="45"/>
      <c r="F5" s="45"/>
      <c r="G5" s="45"/>
      <c r="H5" s="45"/>
      <c r="I5" s="45"/>
      <c r="J5" s="46"/>
    </row>
    <row r="6" spans="1:10" s="3" customFormat="1" ht="15.75" customHeight="1" x14ac:dyDescent="0.3">
      <c r="A6" s="305" t="s">
        <v>41</v>
      </c>
      <c r="B6" s="307"/>
      <c r="C6" s="305" t="s">
        <v>224</v>
      </c>
      <c r="D6" s="306"/>
      <c r="E6" s="306"/>
      <c r="F6" s="306"/>
      <c r="G6" s="306"/>
      <c r="H6" s="306"/>
      <c r="I6" s="306"/>
      <c r="J6" s="307"/>
    </row>
    <row r="7" spans="1:10" s="3" customFormat="1" ht="15.75" customHeight="1" x14ac:dyDescent="0.3">
      <c r="A7" s="199" t="s">
        <v>463</v>
      </c>
      <c r="B7" s="201"/>
      <c r="C7" s="199" t="s">
        <v>464</v>
      </c>
      <c r="D7" s="200"/>
      <c r="E7" s="200"/>
      <c r="F7" s="200"/>
      <c r="G7" s="200"/>
      <c r="H7" s="200"/>
      <c r="I7" s="200"/>
      <c r="J7" s="201"/>
    </row>
    <row r="8" spans="1:10" s="3" customFormat="1" ht="15.75" customHeight="1" x14ac:dyDescent="0.3">
      <c r="A8" s="205"/>
      <c r="B8" s="207"/>
      <c r="C8" s="205"/>
      <c r="D8" s="206"/>
      <c r="E8" s="206"/>
      <c r="F8" s="206"/>
      <c r="G8" s="206"/>
      <c r="H8" s="206"/>
      <c r="I8" s="206"/>
      <c r="J8" s="207"/>
    </row>
    <row r="9" spans="1:10" s="3" customFormat="1" ht="15.75" customHeight="1" x14ac:dyDescent="0.3">
      <c r="A9" s="199" t="s">
        <v>465</v>
      </c>
      <c r="B9" s="201"/>
      <c r="C9" s="199" t="s">
        <v>466</v>
      </c>
      <c r="D9" s="200"/>
      <c r="E9" s="200"/>
      <c r="F9" s="200"/>
      <c r="G9" s="200"/>
      <c r="H9" s="200"/>
      <c r="I9" s="200"/>
      <c r="J9" s="201"/>
    </row>
    <row r="10" spans="1:10" s="3" customFormat="1" ht="15.75" customHeight="1" x14ac:dyDescent="0.3">
      <c r="A10" s="205"/>
      <c r="B10" s="207"/>
      <c r="C10" s="205"/>
      <c r="D10" s="206"/>
      <c r="E10" s="206"/>
      <c r="F10" s="206"/>
      <c r="G10" s="206"/>
      <c r="H10" s="206"/>
      <c r="I10" s="206"/>
      <c r="J10" s="207"/>
    </row>
    <row r="11" spans="1:10" s="3" customFormat="1" ht="15.75" customHeight="1" x14ac:dyDescent="0.3">
      <c r="A11" s="199" t="s">
        <v>471</v>
      </c>
      <c r="B11" s="201"/>
      <c r="C11" s="199" t="s">
        <v>469</v>
      </c>
      <c r="D11" s="200"/>
      <c r="E11" s="200"/>
      <c r="F11" s="200"/>
      <c r="G11" s="200"/>
      <c r="H11" s="200"/>
      <c r="I11" s="200"/>
      <c r="J11" s="201"/>
    </row>
    <row r="12" spans="1:10" s="3" customFormat="1" ht="15.75" customHeight="1" x14ac:dyDescent="0.3">
      <c r="A12" s="205"/>
      <c r="B12" s="207"/>
      <c r="C12" s="205"/>
      <c r="D12" s="206"/>
      <c r="E12" s="206"/>
      <c r="F12" s="206"/>
      <c r="G12" s="206"/>
      <c r="H12" s="206"/>
      <c r="I12" s="206"/>
      <c r="J12" s="207"/>
    </row>
    <row r="13" spans="1:10" s="3" customFormat="1" ht="15.75" customHeight="1" x14ac:dyDescent="0.3">
      <c r="A13" s="199" t="s">
        <v>471</v>
      </c>
      <c r="B13" s="201"/>
      <c r="C13" s="199" t="s">
        <v>470</v>
      </c>
      <c r="D13" s="200"/>
      <c r="E13" s="200"/>
      <c r="F13" s="200"/>
      <c r="G13" s="200"/>
      <c r="H13" s="200"/>
      <c r="I13" s="200"/>
      <c r="J13" s="201"/>
    </row>
    <row r="14" spans="1:10" s="3" customFormat="1" ht="15.75" customHeight="1" x14ac:dyDescent="0.3">
      <c r="A14" s="205"/>
      <c r="B14" s="207"/>
      <c r="C14" s="205"/>
      <c r="D14" s="206"/>
      <c r="E14" s="206"/>
      <c r="F14" s="206"/>
      <c r="G14" s="206"/>
      <c r="H14" s="206"/>
      <c r="I14" s="206"/>
      <c r="J14" s="207"/>
    </row>
    <row r="15" spans="1:10" s="3" customFormat="1" ht="15.75" customHeight="1" x14ac:dyDescent="0.3">
      <c r="A15" s="308" t="s">
        <v>473</v>
      </c>
      <c r="B15" s="209"/>
      <c r="C15" s="308" t="s">
        <v>477</v>
      </c>
      <c r="D15" s="208"/>
      <c r="E15" s="208"/>
      <c r="F15" s="208"/>
      <c r="G15" s="208"/>
      <c r="H15" s="208"/>
      <c r="I15" s="208"/>
      <c r="J15" s="209"/>
    </row>
    <row r="16" spans="1:10" s="3" customFormat="1" ht="15.75" customHeight="1" x14ac:dyDescent="0.3">
      <c r="A16" s="213"/>
      <c r="B16" s="215"/>
      <c r="C16" s="213"/>
      <c r="D16" s="214"/>
      <c r="E16" s="214"/>
      <c r="F16" s="214"/>
      <c r="G16" s="214"/>
      <c r="H16" s="214"/>
      <c r="I16" s="214"/>
      <c r="J16" s="215"/>
    </row>
    <row r="17" spans="1:10" s="3" customFormat="1" ht="15.75" customHeight="1" x14ac:dyDescent="0.3">
      <c r="A17" s="308" t="s">
        <v>474</v>
      </c>
      <c r="B17" s="209"/>
      <c r="C17" s="199" t="s">
        <v>478</v>
      </c>
      <c r="D17" s="200"/>
      <c r="E17" s="200"/>
      <c r="F17" s="200"/>
      <c r="G17" s="200"/>
      <c r="H17" s="200"/>
      <c r="I17" s="200"/>
      <c r="J17" s="201"/>
    </row>
    <row r="18" spans="1:10" s="3" customFormat="1" ht="15.75" customHeight="1" x14ac:dyDescent="0.3">
      <c r="A18" s="213"/>
      <c r="B18" s="215"/>
      <c r="C18" s="205"/>
      <c r="D18" s="206"/>
      <c r="E18" s="206"/>
      <c r="F18" s="206"/>
      <c r="G18" s="206"/>
      <c r="H18" s="206"/>
      <c r="I18" s="206"/>
      <c r="J18" s="207"/>
    </row>
    <row r="19" spans="1:10" s="3" customFormat="1" ht="14" x14ac:dyDescent="0.3"/>
    <row r="20" spans="1:10" s="43" customFormat="1" ht="33.75" customHeight="1" x14ac:dyDescent="0.35">
      <c r="A20" s="302" t="s">
        <v>225</v>
      </c>
      <c r="B20" s="303"/>
      <c r="C20" s="303"/>
      <c r="D20" s="303"/>
      <c r="E20" s="303"/>
      <c r="F20" s="303"/>
      <c r="G20" s="303"/>
      <c r="H20" s="303"/>
      <c r="I20" s="303"/>
      <c r="J20" s="304"/>
    </row>
    <row r="21" spans="1:10" ht="15.75" customHeight="1" x14ac:dyDescent="0.35">
      <c r="A21" s="305" t="s">
        <v>41</v>
      </c>
      <c r="B21" s="307"/>
      <c r="C21" s="305" t="s">
        <v>224</v>
      </c>
      <c r="D21" s="306"/>
      <c r="E21" s="306"/>
      <c r="F21" s="306"/>
      <c r="G21" s="306"/>
      <c r="H21" s="306"/>
      <c r="I21" s="306"/>
      <c r="J21" s="306"/>
    </row>
    <row r="22" spans="1:10" ht="15.75" customHeight="1" x14ac:dyDescent="0.35">
      <c r="A22" s="309">
        <v>44946</v>
      </c>
      <c r="B22" s="201"/>
      <c r="C22" s="199" t="s">
        <v>467</v>
      </c>
      <c r="D22" s="200"/>
      <c r="E22" s="200"/>
      <c r="F22" s="200"/>
      <c r="G22" s="200"/>
      <c r="H22" s="200"/>
      <c r="I22" s="200"/>
      <c r="J22" s="201"/>
    </row>
    <row r="23" spans="1:10" ht="15.75" customHeight="1" x14ac:dyDescent="0.35">
      <c r="A23" s="205"/>
      <c r="B23" s="207"/>
      <c r="C23" s="205"/>
      <c r="D23" s="206"/>
      <c r="E23" s="206"/>
      <c r="F23" s="206"/>
      <c r="G23" s="206"/>
      <c r="H23" s="206"/>
      <c r="I23" s="206"/>
      <c r="J23" s="207"/>
    </row>
    <row r="24" spans="1:10" ht="15.75" customHeight="1" x14ac:dyDescent="0.35">
      <c r="A24" s="199" t="s">
        <v>468</v>
      </c>
      <c r="B24" s="201"/>
      <c r="C24" s="199" t="s">
        <v>464</v>
      </c>
      <c r="D24" s="200"/>
      <c r="E24" s="200"/>
      <c r="F24" s="200"/>
      <c r="G24" s="200"/>
      <c r="H24" s="200"/>
      <c r="I24" s="200"/>
      <c r="J24" s="201"/>
    </row>
    <row r="25" spans="1:10" ht="15.75" customHeight="1" x14ac:dyDescent="0.35">
      <c r="A25" s="205"/>
      <c r="B25" s="207"/>
      <c r="C25" s="205"/>
      <c r="D25" s="206"/>
      <c r="E25" s="206"/>
      <c r="F25" s="206"/>
      <c r="G25" s="206"/>
      <c r="H25" s="206"/>
      <c r="I25" s="206"/>
      <c r="J25" s="207"/>
    </row>
    <row r="26" spans="1:10" ht="15.75" customHeight="1" x14ac:dyDescent="0.35">
      <c r="A26" s="199" t="s">
        <v>471</v>
      </c>
      <c r="B26" s="201"/>
      <c r="C26" s="199" t="s">
        <v>470</v>
      </c>
      <c r="D26" s="200"/>
      <c r="E26" s="200"/>
      <c r="F26" s="200"/>
      <c r="G26" s="200"/>
      <c r="H26" s="200"/>
      <c r="I26" s="200"/>
      <c r="J26" s="201"/>
    </row>
    <row r="27" spans="1:10" ht="15.75" customHeight="1" x14ac:dyDescent="0.35">
      <c r="A27" s="205"/>
      <c r="B27" s="207"/>
      <c r="C27" s="205"/>
      <c r="D27" s="206"/>
      <c r="E27" s="206"/>
      <c r="F27" s="206"/>
      <c r="G27" s="206"/>
      <c r="H27" s="206"/>
      <c r="I27" s="206"/>
      <c r="J27" s="207"/>
    </row>
    <row r="28" spans="1:10" ht="15.75" customHeight="1" x14ac:dyDescent="0.35">
      <c r="A28" s="308" t="s">
        <v>475</v>
      </c>
      <c r="B28" s="209"/>
      <c r="C28" s="308" t="s">
        <v>477</v>
      </c>
      <c r="D28" s="208"/>
      <c r="E28" s="208"/>
      <c r="F28" s="208"/>
      <c r="G28" s="208"/>
      <c r="H28" s="208"/>
      <c r="I28" s="208"/>
      <c r="J28" s="209"/>
    </row>
    <row r="29" spans="1:10" ht="15.75" customHeight="1" x14ac:dyDescent="0.35">
      <c r="A29" s="213"/>
      <c r="B29" s="215"/>
      <c r="C29" s="213"/>
      <c r="D29" s="214"/>
      <c r="E29" s="214"/>
      <c r="F29" s="214"/>
      <c r="G29" s="214"/>
      <c r="H29" s="214"/>
      <c r="I29" s="214"/>
      <c r="J29" s="215"/>
    </row>
    <row r="30" spans="1:10" ht="17" customHeight="1" x14ac:dyDescent="0.35">
      <c r="A30" s="199" t="s">
        <v>576</v>
      </c>
      <c r="B30" s="201"/>
      <c r="C30" s="199" t="s">
        <v>469</v>
      </c>
      <c r="D30" s="200"/>
      <c r="E30" s="200"/>
      <c r="F30" s="200"/>
      <c r="G30" s="200"/>
      <c r="H30" s="200"/>
      <c r="I30" s="200"/>
      <c r="J30" s="201"/>
    </row>
    <row r="31" spans="1:10" ht="15.75" customHeight="1" x14ac:dyDescent="0.35">
      <c r="A31" s="205"/>
      <c r="B31" s="207"/>
      <c r="C31" s="205"/>
      <c r="D31" s="206"/>
      <c r="E31" s="206"/>
      <c r="F31" s="206"/>
      <c r="G31" s="206"/>
      <c r="H31" s="206"/>
      <c r="I31" s="206"/>
      <c r="J31" s="207"/>
    </row>
    <row r="32" spans="1:10" x14ac:dyDescent="0.35">
      <c r="A32" s="308" t="s">
        <v>476</v>
      </c>
      <c r="B32" s="209"/>
      <c r="C32" s="199" t="s">
        <v>478</v>
      </c>
      <c r="D32" s="200"/>
      <c r="E32" s="200"/>
      <c r="F32" s="200"/>
      <c r="G32" s="200"/>
      <c r="H32" s="200"/>
      <c r="I32" s="200"/>
      <c r="J32" s="201"/>
    </row>
    <row r="33" spans="1:10" ht="14.5" customHeight="1" x14ac:dyDescent="0.35">
      <c r="A33" s="213"/>
      <c r="B33" s="215"/>
      <c r="C33" s="205"/>
      <c r="D33" s="206"/>
      <c r="E33" s="206"/>
      <c r="F33" s="206"/>
      <c r="G33" s="206"/>
      <c r="H33" s="206"/>
      <c r="I33" s="206"/>
      <c r="J33" s="207"/>
    </row>
    <row r="34" spans="1:10" x14ac:dyDescent="0.35">
      <c r="A34" s="1"/>
      <c r="B34" s="94"/>
      <c r="C34" s="94"/>
      <c r="D34" s="94"/>
      <c r="E34" s="94"/>
      <c r="F34" s="94"/>
      <c r="G34" s="94"/>
      <c r="H34" s="94"/>
      <c r="I34" s="94"/>
      <c r="J34" s="94"/>
    </row>
    <row r="35" spans="1:10" x14ac:dyDescent="0.35">
      <c r="A35" s="302" t="s">
        <v>472</v>
      </c>
      <c r="B35" s="303"/>
      <c r="C35" s="303"/>
      <c r="D35" s="303"/>
      <c r="E35" s="303"/>
      <c r="F35" s="303"/>
      <c r="G35" s="303"/>
      <c r="H35" s="303"/>
      <c r="I35" s="303"/>
      <c r="J35" s="304"/>
    </row>
    <row r="72" spans="6:6" x14ac:dyDescent="0.35">
      <c r="F72" s="3"/>
    </row>
  </sheetData>
  <mergeCells count="30">
    <mergeCell ref="A35:J35"/>
    <mergeCell ref="A26:B27"/>
    <mergeCell ref="C26:J27"/>
    <mergeCell ref="A28:B29"/>
    <mergeCell ref="C28:J29"/>
    <mergeCell ref="A32:B33"/>
    <mergeCell ref="C32:J33"/>
    <mergeCell ref="A30:B31"/>
    <mergeCell ref="C30:J31"/>
    <mergeCell ref="A22:B23"/>
    <mergeCell ref="C22:J23"/>
    <mergeCell ref="A24:B25"/>
    <mergeCell ref="C24:J25"/>
    <mergeCell ref="A21:B21"/>
    <mergeCell ref="C21:J21"/>
    <mergeCell ref="A6:B6"/>
    <mergeCell ref="C6:J6"/>
    <mergeCell ref="A7:B8"/>
    <mergeCell ref="C7:J8"/>
    <mergeCell ref="A9:B10"/>
    <mergeCell ref="C9:J10"/>
    <mergeCell ref="A11:B12"/>
    <mergeCell ref="C11:J12"/>
    <mergeCell ref="A20:J20"/>
    <mergeCell ref="A13:B14"/>
    <mergeCell ref="C13:J14"/>
    <mergeCell ref="A15:B16"/>
    <mergeCell ref="C15:J16"/>
    <mergeCell ref="A17:B18"/>
    <mergeCell ref="C17:J18"/>
  </mergeCells>
  <phoneticPr fontId="25" type="noConversion"/>
  <pageMargins left="0.7" right="0.7" top="0.75" bottom="0.75" header="0.3" footer="0.3"/>
  <pageSetup paperSize="9" scale="87" orientation="portrait"/>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zoomScaleNormal="100" workbookViewId="0">
      <selection activeCell="D32" sqref="D32:E32"/>
    </sheetView>
  </sheetViews>
  <sheetFormatPr defaultColWidth="9.1796875" defaultRowHeight="15.5" x14ac:dyDescent="0.35"/>
  <cols>
    <col min="1" max="1" width="9.1796875" style="2" customWidth="1"/>
    <col min="2" max="2" width="14.54296875" style="2" bestFit="1" customWidth="1"/>
    <col min="3" max="3" width="9.1796875" style="2"/>
    <col min="4" max="4" width="17.54296875" style="2" customWidth="1"/>
    <col min="5" max="5" width="9.1796875" style="2" customWidth="1"/>
    <col min="6" max="6" width="21.54296875" style="2" customWidth="1"/>
    <col min="7" max="7" width="10.453125" style="2" customWidth="1"/>
    <col min="8" max="16384" width="9.1796875" style="2"/>
  </cols>
  <sheetData>
    <row r="1" spans="1:7" x14ac:dyDescent="0.35">
      <c r="A1" s="94" t="str">
        <f>+'Cover Page'!$B$29</f>
        <v>Annual Performance Report 2022</v>
      </c>
      <c r="B1" s="94"/>
      <c r="C1" s="94"/>
      <c r="D1" s="94"/>
      <c r="E1" s="94" t="str">
        <f>+'Cover Page'!$B$33</f>
        <v>Welland Biopower Ltd</v>
      </c>
      <c r="F1" s="94"/>
      <c r="G1" s="94"/>
    </row>
    <row r="3" spans="1:7" x14ac:dyDescent="0.35">
      <c r="A3" s="1" t="s">
        <v>226</v>
      </c>
      <c r="B3" s="94"/>
      <c r="C3" s="94"/>
      <c r="D3" s="94"/>
      <c r="E3" s="94"/>
      <c r="F3" s="94"/>
      <c r="G3" s="94"/>
    </row>
    <row r="4" spans="1:7" x14ac:dyDescent="0.35">
      <c r="A4" s="1"/>
      <c r="B4" s="94"/>
      <c r="C4" s="94"/>
      <c r="D4" s="94"/>
      <c r="E4" s="94"/>
      <c r="F4" s="94"/>
      <c r="G4" s="94"/>
    </row>
    <row r="5" spans="1:7" s="3" customFormat="1" ht="21.75" customHeight="1" x14ac:dyDescent="0.3">
      <c r="A5" s="44" t="s">
        <v>227</v>
      </c>
      <c r="B5" s="45"/>
      <c r="C5" s="45"/>
      <c r="D5" s="45"/>
      <c r="E5" s="45"/>
      <c r="F5" s="45"/>
      <c r="G5" s="46"/>
    </row>
    <row r="6" spans="1:7" s="3" customFormat="1" ht="15.75" customHeight="1" x14ac:dyDescent="0.3">
      <c r="A6" s="308" t="s">
        <v>437</v>
      </c>
      <c r="B6" s="208"/>
      <c r="C6" s="208"/>
      <c r="D6" s="208"/>
      <c r="E6" s="208"/>
      <c r="F6" s="208"/>
      <c r="G6" s="209"/>
    </row>
    <row r="7" spans="1:7" s="3" customFormat="1" ht="15.75" customHeight="1" x14ac:dyDescent="0.3">
      <c r="A7" s="213"/>
      <c r="B7" s="214"/>
      <c r="C7" s="214"/>
      <c r="D7" s="214"/>
      <c r="E7" s="214"/>
      <c r="F7" s="214"/>
      <c r="G7" s="215"/>
    </row>
    <row r="8" spans="1:7" s="3" customFormat="1" ht="15.75" customHeight="1" x14ac:dyDescent="0.3">
      <c r="A8" s="199" t="s">
        <v>438</v>
      </c>
      <c r="B8" s="200"/>
      <c r="C8" s="200"/>
      <c r="D8" s="200"/>
      <c r="E8" s="200"/>
      <c r="F8" s="200"/>
      <c r="G8" s="201"/>
    </row>
    <row r="9" spans="1:7" s="3" customFormat="1" ht="15.75" customHeight="1" x14ac:dyDescent="0.3">
      <c r="A9" s="205"/>
      <c r="B9" s="206"/>
      <c r="C9" s="206"/>
      <c r="D9" s="206"/>
      <c r="E9" s="206"/>
      <c r="F9" s="206"/>
      <c r="G9" s="207"/>
    </row>
    <row r="10" spans="1:7" s="3" customFormat="1" ht="15.75" customHeight="1" x14ac:dyDescent="0.3">
      <c r="A10" s="199"/>
      <c r="B10" s="200"/>
      <c r="C10" s="200"/>
      <c r="D10" s="200"/>
      <c r="E10" s="200"/>
      <c r="F10" s="200"/>
      <c r="G10" s="201"/>
    </row>
    <row r="11" spans="1:7" s="3" customFormat="1" ht="15.75" customHeight="1" x14ac:dyDescent="0.3">
      <c r="A11" s="205"/>
      <c r="B11" s="206"/>
      <c r="C11" s="206"/>
      <c r="D11" s="206"/>
      <c r="E11" s="206"/>
      <c r="F11" s="206"/>
      <c r="G11" s="207"/>
    </row>
    <row r="12" spans="1:7" s="3" customFormat="1" ht="14" x14ac:dyDescent="0.3"/>
    <row r="13" spans="1:7" s="43" customFormat="1" ht="33.75" customHeight="1" x14ac:dyDescent="0.35">
      <c r="A13" s="302" t="s">
        <v>228</v>
      </c>
      <c r="B13" s="303"/>
      <c r="C13" s="303"/>
      <c r="D13" s="303"/>
      <c r="E13" s="303"/>
      <c r="F13" s="303"/>
      <c r="G13" s="304"/>
    </row>
    <row r="14" spans="1:7" ht="15.75" customHeight="1" x14ac:dyDescent="0.35">
      <c r="A14" s="305" t="s">
        <v>229</v>
      </c>
      <c r="B14" s="307"/>
      <c r="C14" s="305" t="s">
        <v>224</v>
      </c>
      <c r="D14" s="306"/>
      <c r="E14" s="306"/>
      <c r="F14" s="306"/>
      <c r="G14" s="306"/>
    </row>
    <row r="15" spans="1:7" ht="15.75" customHeight="1" x14ac:dyDescent="0.35">
      <c r="A15" s="199" t="s">
        <v>366</v>
      </c>
      <c r="B15" s="201"/>
      <c r="C15" s="308" t="s">
        <v>366</v>
      </c>
      <c r="D15" s="208"/>
      <c r="E15" s="208"/>
      <c r="F15" s="208"/>
      <c r="G15" s="209"/>
    </row>
    <row r="16" spans="1:7" ht="15.75" customHeight="1" x14ac:dyDescent="0.35">
      <c r="A16" s="205"/>
      <c r="B16" s="207"/>
      <c r="C16" s="213"/>
      <c r="D16" s="214"/>
      <c r="E16" s="214"/>
      <c r="F16" s="214"/>
      <c r="G16" s="215"/>
    </row>
    <row r="17" spans="1:11" ht="15.75" customHeight="1" x14ac:dyDescent="0.35">
      <c r="A17" s="308"/>
      <c r="B17" s="209"/>
      <c r="C17" s="308"/>
      <c r="D17" s="208"/>
      <c r="E17" s="208"/>
      <c r="F17" s="208"/>
      <c r="G17" s="209"/>
      <c r="H17" s="94"/>
      <c r="I17" s="94"/>
      <c r="J17" s="94"/>
      <c r="K17" s="94"/>
    </row>
    <row r="18" spans="1:11" ht="15.75" customHeight="1" x14ac:dyDescent="0.35">
      <c r="A18" s="213"/>
      <c r="B18" s="215"/>
      <c r="C18" s="213"/>
      <c r="D18" s="214"/>
      <c r="E18" s="214"/>
      <c r="F18" s="214"/>
      <c r="G18" s="215"/>
      <c r="H18" s="94"/>
      <c r="I18" s="94"/>
      <c r="J18" s="94"/>
      <c r="K18" s="94"/>
    </row>
    <row r="19" spans="1:11" ht="15.75" customHeight="1" x14ac:dyDescent="0.35">
      <c r="A19" s="308"/>
      <c r="B19" s="209"/>
      <c r="C19" s="308"/>
      <c r="D19" s="208"/>
      <c r="E19" s="208"/>
      <c r="F19" s="208"/>
      <c r="G19" s="209"/>
      <c r="H19" s="94"/>
      <c r="I19" s="94"/>
      <c r="J19" s="94"/>
      <c r="K19" s="94"/>
    </row>
    <row r="20" spans="1:11" ht="15.75" customHeight="1" x14ac:dyDescent="0.35">
      <c r="A20" s="213"/>
      <c r="B20" s="215"/>
      <c r="C20" s="213"/>
      <c r="D20" s="214"/>
      <c r="E20" s="214"/>
      <c r="F20" s="214"/>
      <c r="G20" s="215"/>
      <c r="H20" s="94"/>
      <c r="I20" s="94"/>
      <c r="J20" s="94"/>
      <c r="K20" s="94"/>
    </row>
    <row r="21" spans="1:11" ht="15.75" customHeight="1" x14ac:dyDescent="0.35">
      <c r="A21" s="308"/>
      <c r="B21" s="209"/>
      <c r="C21" s="308"/>
      <c r="D21" s="208"/>
      <c r="E21" s="208"/>
      <c r="F21" s="208"/>
      <c r="G21" s="209"/>
      <c r="H21" s="94"/>
      <c r="I21" s="94"/>
      <c r="J21" s="94"/>
      <c r="K21" s="94"/>
    </row>
    <row r="22" spans="1:11" ht="15.75" customHeight="1" x14ac:dyDescent="0.35">
      <c r="A22" s="213"/>
      <c r="B22" s="215"/>
      <c r="C22" s="213"/>
      <c r="D22" s="214"/>
      <c r="E22" s="214"/>
      <c r="F22" s="214"/>
      <c r="G22" s="215"/>
      <c r="H22" s="94"/>
      <c r="I22" s="94"/>
      <c r="J22" s="94"/>
      <c r="K22" s="94"/>
    </row>
    <row r="23" spans="1:11" ht="15.75" customHeight="1" x14ac:dyDescent="0.35">
      <c r="A23" s="308"/>
      <c r="B23" s="209"/>
      <c r="C23" s="308"/>
      <c r="D23" s="208"/>
      <c r="E23" s="208"/>
      <c r="F23" s="208"/>
      <c r="G23" s="209"/>
      <c r="H23" s="94"/>
      <c r="I23" s="94"/>
      <c r="J23" s="94"/>
      <c r="K23" s="94"/>
    </row>
    <row r="24" spans="1:11" ht="15.75" customHeight="1" x14ac:dyDescent="0.35">
      <c r="A24" s="213"/>
      <c r="B24" s="215"/>
      <c r="C24" s="213"/>
      <c r="D24" s="214"/>
      <c r="E24" s="214"/>
      <c r="F24" s="214"/>
      <c r="G24" s="215"/>
      <c r="H24" s="94"/>
      <c r="I24" s="94"/>
      <c r="J24" s="94"/>
      <c r="K24" s="94"/>
    </row>
    <row r="26" spans="1:11" x14ac:dyDescent="0.35">
      <c r="A26" s="107"/>
      <c r="B26" s="107"/>
      <c r="C26" s="107"/>
      <c r="D26" s="107"/>
      <c r="E26" s="107"/>
      <c r="F26" s="107"/>
      <c r="G26" s="107"/>
      <c r="H26" s="94"/>
      <c r="I26" s="94"/>
      <c r="J26" s="94"/>
      <c r="K26" s="94"/>
    </row>
    <row r="27" spans="1:11" s="52" customFormat="1" ht="16.5" customHeight="1" x14ac:dyDescent="0.35">
      <c r="A27" s="310" t="s">
        <v>230</v>
      </c>
      <c r="B27" s="310"/>
      <c r="C27" s="310"/>
      <c r="D27" s="310"/>
      <c r="E27" s="310"/>
      <c r="F27" s="310"/>
      <c r="G27" s="310"/>
    </row>
    <row r="28" spans="1:11" s="11" customFormat="1" ht="17.25" customHeight="1" x14ac:dyDescent="0.25">
      <c r="A28" s="312" t="s">
        <v>231</v>
      </c>
      <c r="B28" s="312"/>
      <c r="C28" s="291" t="s">
        <v>232</v>
      </c>
      <c r="D28" s="291" t="s">
        <v>233</v>
      </c>
      <c r="E28" s="291"/>
      <c r="F28" s="291"/>
      <c r="G28" s="291"/>
      <c r="H28" s="107"/>
      <c r="I28" s="107"/>
      <c r="J28" s="107"/>
      <c r="K28" s="107"/>
    </row>
    <row r="29" spans="1:11" s="11" customFormat="1" ht="17.25" customHeight="1" x14ac:dyDescent="0.25">
      <c r="A29" s="312"/>
      <c r="B29" s="312"/>
      <c r="C29" s="291"/>
      <c r="D29" s="291" t="s">
        <v>234</v>
      </c>
      <c r="E29" s="291"/>
      <c r="F29" s="291" t="s">
        <v>147</v>
      </c>
      <c r="G29" s="291"/>
      <c r="H29" s="107"/>
      <c r="I29" s="107"/>
      <c r="J29" s="107"/>
      <c r="K29" s="107"/>
    </row>
    <row r="30" spans="1:11" s="34" customFormat="1" ht="38.15" customHeight="1" x14ac:dyDescent="0.25">
      <c r="A30" s="229" t="s">
        <v>235</v>
      </c>
      <c r="B30" s="229"/>
      <c r="C30" s="156" t="s">
        <v>236</v>
      </c>
      <c r="D30" s="246">
        <v>2.0299999999999998</v>
      </c>
      <c r="E30" s="246"/>
      <c r="F30" s="313"/>
      <c r="G30" s="314"/>
      <c r="H30" s="149"/>
      <c r="I30" s="149"/>
      <c r="J30" s="107"/>
      <c r="K30" s="107"/>
    </row>
    <row r="31" spans="1:11" s="34" customFormat="1" ht="38.15" customHeight="1" x14ac:dyDescent="0.25">
      <c r="A31" s="229" t="s">
        <v>237</v>
      </c>
      <c r="B31" s="229"/>
      <c r="C31" s="154" t="s">
        <v>238</v>
      </c>
      <c r="D31" s="246">
        <v>1.44</v>
      </c>
      <c r="E31" s="246"/>
      <c r="F31" s="313"/>
      <c r="G31" s="314"/>
      <c r="H31" s="149"/>
      <c r="I31" s="149"/>
      <c r="J31" s="107"/>
      <c r="K31" s="107"/>
    </row>
    <row r="32" spans="1:11" s="34" customFormat="1" ht="38.15" customHeight="1" x14ac:dyDescent="0.25">
      <c r="A32" s="229" t="s">
        <v>239</v>
      </c>
      <c r="B32" s="229"/>
      <c r="C32" s="154" t="s">
        <v>240</v>
      </c>
      <c r="D32" s="246">
        <v>12</v>
      </c>
      <c r="E32" s="246"/>
      <c r="F32" s="315"/>
      <c r="G32" s="316"/>
      <c r="H32" s="149"/>
      <c r="I32" s="149"/>
      <c r="J32" s="107"/>
      <c r="K32" s="107"/>
    </row>
    <row r="33" spans="1:8" s="34" customFormat="1" ht="38.15" customHeight="1" x14ac:dyDescent="0.35">
      <c r="A33" s="229" t="s">
        <v>241</v>
      </c>
      <c r="B33" s="229"/>
      <c r="C33" s="154" t="s">
        <v>240</v>
      </c>
      <c r="D33" s="246">
        <v>12</v>
      </c>
      <c r="E33" s="246"/>
      <c r="F33" s="313"/>
      <c r="G33" s="314"/>
      <c r="H33" s="149"/>
    </row>
    <row r="35" spans="1:8" x14ac:dyDescent="0.35">
      <c r="A35" s="261" t="s">
        <v>242</v>
      </c>
      <c r="B35" s="261"/>
      <c r="C35" s="261"/>
      <c r="D35" s="261"/>
      <c r="E35" s="261"/>
      <c r="F35" s="261"/>
      <c r="G35" s="261"/>
    </row>
    <row r="36" spans="1:8" x14ac:dyDescent="0.35">
      <c r="A36" s="311"/>
      <c r="B36" s="311"/>
      <c r="C36" s="311"/>
      <c r="D36" s="311"/>
      <c r="E36" s="311"/>
      <c r="F36" s="311"/>
      <c r="G36" s="311"/>
    </row>
    <row r="37" spans="1:8" x14ac:dyDescent="0.35">
      <c r="A37" s="311"/>
      <c r="B37" s="311"/>
      <c r="C37" s="311"/>
      <c r="D37" s="311"/>
      <c r="E37" s="311"/>
      <c r="F37" s="311"/>
      <c r="G37" s="311"/>
    </row>
    <row r="38" spans="1:8" x14ac:dyDescent="0.35">
      <c r="A38" s="311"/>
      <c r="B38" s="311"/>
      <c r="C38" s="311"/>
      <c r="D38" s="311"/>
      <c r="E38" s="311"/>
      <c r="F38" s="311"/>
      <c r="G38" s="311"/>
    </row>
    <row r="39" spans="1:8" x14ac:dyDescent="0.35">
      <c r="A39" s="311"/>
      <c r="B39" s="311"/>
      <c r="C39" s="311"/>
      <c r="D39" s="311"/>
      <c r="E39" s="311"/>
      <c r="F39" s="311"/>
      <c r="G39" s="311"/>
    </row>
    <row r="40" spans="1:8" x14ac:dyDescent="0.35">
      <c r="A40" s="311"/>
      <c r="B40" s="311"/>
      <c r="C40" s="311"/>
      <c r="D40" s="311"/>
      <c r="E40" s="311"/>
      <c r="F40" s="311"/>
      <c r="G40" s="311"/>
    </row>
    <row r="41" spans="1:8" x14ac:dyDescent="0.35">
      <c r="A41" s="311"/>
      <c r="B41" s="311"/>
      <c r="C41" s="311"/>
      <c r="D41" s="311"/>
      <c r="E41" s="311"/>
      <c r="F41" s="311"/>
      <c r="G41" s="311"/>
    </row>
    <row r="56" spans="6:6" x14ac:dyDescent="0.35">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U83"/>
  <sheetViews>
    <sheetView showGridLines="0" topLeftCell="A21" zoomScaleNormal="100" workbookViewId="0">
      <selection activeCell="J28" sqref="J28"/>
    </sheetView>
  </sheetViews>
  <sheetFormatPr defaultColWidth="9.1796875" defaultRowHeight="15.5" x14ac:dyDescent="0.35"/>
  <cols>
    <col min="1" max="1" width="9.1796875" style="2" customWidth="1"/>
    <col min="2" max="2" width="24" style="2" customWidth="1"/>
    <col min="3" max="9" width="9.1796875" style="2"/>
    <col min="10" max="10" width="11.54296875" style="2" customWidth="1"/>
    <col min="11" max="11" width="19.90625" style="2" customWidth="1"/>
    <col min="12" max="16384" width="9.1796875" style="2"/>
  </cols>
  <sheetData>
    <row r="1" spans="1:10" x14ac:dyDescent="0.35">
      <c r="A1" s="94" t="str">
        <f>+'Cover Page'!$B$29</f>
        <v>Annual Performance Report 2022</v>
      </c>
      <c r="B1" s="94"/>
      <c r="C1" s="94"/>
      <c r="D1" s="94"/>
      <c r="E1" s="94" t="str">
        <f>+'Cover Page'!$B$33</f>
        <v>Welland Biopower Ltd</v>
      </c>
      <c r="F1" s="94"/>
      <c r="G1" s="94"/>
      <c r="H1" s="94"/>
      <c r="I1" s="94"/>
      <c r="J1" s="94"/>
    </row>
    <row r="3" spans="1:10" x14ac:dyDescent="0.35">
      <c r="A3" s="1" t="s">
        <v>29</v>
      </c>
      <c r="B3" s="94"/>
      <c r="C3" s="94"/>
      <c r="D3" s="94"/>
      <c r="E3" s="94"/>
      <c r="F3" s="94"/>
      <c r="G3" s="94"/>
      <c r="H3" s="94"/>
      <c r="I3" s="94"/>
      <c r="J3" s="94"/>
    </row>
    <row r="4" spans="1:10" x14ac:dyDescent="0.35">
      <c r="A4" s="1"/>
      <c r="B4" s="94"/>
      <c r="C4" s="94"/>
      <c r="D4" s="94"/>
      <c r="E4" s="94"/>
      <c r="F4" s="94"/>
      <c r="G4" s="94"/>
      <c r="H4" s="94"/>
      <c r="I4" s="94"/>
      <c r="J4" s="94"/>
    </row>
    <row r="5" spans="1:10" s="3" customFormat="1" ht="21.75" customHeight="1" x14ac:dyDescent="0.3">
      <c r="A5" s="44" t="s">
        <v>227</v>
      </c>
      <c r="B5" s="45"/>
      <c r="C5" s="45"/>
      <c r="D5" s="45"/>
      <c r="E5" s="45"/>
      <c r="F5" s="45"/>
      <c r="G5" s="45"/>
      <c r="H5" s="45"/>
      <c r="I5" s="45"/>
      <c r="J5" s="46"/>
    </row>
    <row r="6" spans="1:10" s="3" customFormat="1" ht="15.75" customHeight="1" x14ac:dyDescent="0.3">
      <c r="A6" s="308" t="s">
        <v>420</v>
      </c>
      <c r="B6" s="208"/>
      <c r="C6" s="208"/>
      <c r="D6" s="208"/>
      <c r="E6" s="208"/>
      <c r="F6" s="208"/>
      <c r="G6" s="208"/>
      <c r="H6" s="208"/>
      <c r="I6" s="208"/>
      <c r="J6" s="209"/>
    </row>
    <row r="7" spans="1:10" s="3" customFormat="1" ht="15.75" customHeight="1" x14ac:dyDescent="0.3">
      <c r="A7" s="213"/>
      <c r="B7" s="214"/>
      <c r="C7" s="214"/>
      <c r="D7" s="214"/>
      <c r="E7" s="214"/>
      <c r="F7" s="214"/>
      <c r="G7" s="214"/>
      <c r="H7" s="214"/>
      <c r="I7" s="214"/>
      <c r="J7" s="215"/>
    </row>
    <row r="8" spans="1:10" s="3" customFormat="1" ht="15.75" customHeight="1" x14ac:dyDescent="0.3">
      <c r="A8" s="199" t="s">
        <v>431</v>
      </c>
      <c r="B8" s="200"/>
      <c r="C8" s="200"/>
      <c r="D8" s="200"/>
      <c r="E8" s="200"/>
      <c r="F8" s="200"/>
      <c r="G8" s="200"/>
      <c r="H8" s="200"/>
      <c r="I8" s="200"/>
      <c r="J8" s="201"/>
    </row>
    <row r="9" spans="1:10" s="3" customFormat="1" ht="36.65" customHeight="1" x14ac:dyDescent="0.3">
      <c r="A9" s="205"/>
      <c r="B9" s="206"/>
      <c r="C9" s="206"/>
      <c r="D9" s="206"/>
      <c r="E9" s="206"/>
      <c r="F9" s="206"/>
      <c r="G9" s="206"/>
      <c r="H9" s="206"/>
      <c r="I9" s="206"/>
      <c r="J9" s="207"/>
    </row>
    <row r="10" spans="1:10" s="3" customFormat="1" ht="15.75" customHeight="1" x14ac:dyDescent="0.3">
      <c r="A10" s="199" t="s">
        <v>421</v>
      </c>
      <c r="B10" s="200"/>
      <c r="C10" s="200"/>
      <c r="D10" s="200"/>
      <c r="E10" s="200"/>
      <c r="F10" s="200"/>
      <c r="G10" s="200"/>
      <c r="H10" s="200"/>
      <c r="I10" s="200"/>
      <c r="J10" s="201"/>
    </row>
    <row r="11" spans="1:10" s="3" customFormat="1" ht="15.75" customHeight="1" x14ac:dyDescent="0.3">
      <c r="A11" s="205"/>
      <c r="B11" s="206"/>
      <c r="C11" s="206"/>
      <c r="D11" s="206"/>
      <c r="E11" s="206"/>
      <c r="F11" s="206"/>
      <c r="G11" s="206"/>
      <c r="H11" s="206"/>
      <c r="I11" s="206"/>
      <c r="J11" s="207"/>
    </row>
    <row r="12" spans="1:10" s="3" customFormat="1" ht="15.75" customHeight="1" x14ac:dyDescent="0.3">
      <c r="A12" s="321" t="s">
        <v>451</v>
      </c>
      <c r="B12" s="322"/>
      <c r="C12" s="322"/>
      <c r="D12" s="322"/>
      <c r="E12" s="322"/>
      <c r="F12" s="322"/>
      <c r="G12" s="322"/>
      <c r="H12" s="322"/>
      <c r="I12" s="322"/>
      <c r="J12" s="323"/>
    </row>
    <row r="13" spans="1:10" s="3" customFormat="1" ht="14" x14ac:dyDescent="0.3"/>
    <row r="14" spans="1:10" s="43" customFormat="1" ht="33.75" customHeight="1" x14ac:dyDescent="0.35">
      <c r="A14" s="302" t="s">
        <v>228</v>
      </c>
      <c r="B14" s="303"/>
      <c r="C14" s="303"/>
      <c r="D14" s="303"/>
      <c r="E14" s="303"/>
      <c r="F14" s="303"/>
      <c r="G14" s="303"/>
      <c r="H14" s="303"/>
      <c r="I14" s="303"/>
      <c r="J14" s="304"/>
    </row>
    <row r="15" spans="1:10" ht="15.75" customHeight="1" x14ac:dyDescent="0.35">
      <c r="A15" s="305" t="s">
        <v>229</v>
      </c>
      <c r="B15" s="307"/>
      <c r="C15" s="305" t="s">
        <v>224</v>
      </c>
      <c r="D15" s="306"/>
      <c r="E15" s="306"/>
      <c r="F15" s="306"/>
      <c r="G15" s="306"/>
      <c r="H15" s="306"/>
      <c r="I15" s="306"/>
      <c r="J15" s="306"/>
    </row>
    <row r="16" spans="1:10" ht="15.75" customHeight="1" x14ac:dyDescent="0.35">
      <c r="A16" s="199" t="s">
        <v>423</v>
      </c>
      <c r="B16" s="201"/>
      <c r="C16" s="199" t="s">
        <v>422</v>
      </c>
      <c r="D16" s="200"/>
      <c r="E16" s="200"/>
      <c r="F16" s="200"/>
      <c r="G16" s="200"/>
      <c r="H16" s="200"/>
      <c r="I16" s="200"/>
      <c r="J16" s="201"/>
    </row>
    <row r="17" spans="1:21" ht="28.25" customHeight="1" x14ac:dyDescent="0.35">
      <c r="A17" s="205"/>
      <c r="B17" s="207"/>
      <c r="C17" s="205"/>
      <c r="D17" s="206"/>
      <c r="E17" s="206"/>
      <c r="F17" s="206"/>
      <c r="G17" s="206"/>
      <c r="H17" s="206"/>
      <c r="I17" s="206"/>
      <c r="J17" s="207"/>
    </row>
    <row r="18" spans="1:21" ht="30" customHeight="1" x14ac:dyDescent="0.35">
      <c r="A18" s="321" t="s">
        <v>424</v>
      </c>
      <c r="B18" s="323"/>
      <c r="C18" s="321" t="s">
        <v>432</v>
      </c>
      <c r="D18" s="322"/>
      <c r="E18" s="322"/>
      <c r="F18" s="322"/>
      <c r="G18" s="322"/>
      <c r="H18" s="322"/>
      <c r="I18" s="322"/>
      <c r="J18" s="323"/>
    </row>
    <row r="19" spans="1:21" ht="57.65" customHeight="1" x14ac:dyDescent="0.35">
      <c r="A19" s="332" t="s">
        <v>425</v>
      </c>
      <c r="B19" s="323"/>
      <c r="C19" s="321" t="s">
        <v>433</v>
      </c>
      <c r="D19" s="322"/>
      <c r="E19" s="322"/>
      <c r="F19" s="322"/>
      <c r="G19" s="322"/>
      <c r="H19" s="322"/>
      <c r="I19" s="322"/>
      <c r="J19" s="323"/>
    </row>
    <row r="20" spans="1:21" ht="42" customHeight="1" x14ac:dyDescent="0.35">
      <c r="A20" s="321" t="s">
        <v>426</v>
      </c>
      <c r="B20" s="323"/>
      <c r="C20" s="321" t="s">
        <v>427</v>
      </c>
      <c r="D20" s="322"/>
      <c r="E20" s="322"/>
      <c r="F20" s="322"/>
      <c r="G20" s="322"/>
      <c r="H20" s="322"/>
      <c r="I20" s="322"/>
      <c r="J20" s="323"/>
    </row>
    <row r="21" spans="1:21" ht="45" customHeight="1" x14ac:dyDescent="0.35">
      <c r="A21" s="321" t="s">
        <v>428</v>
      </c>
      <c r="B21" s="323"/>
      <c r="C21" s="321" t="s">
        <v>429</v>
      </c>
      <c r="D21" s="322"/>
      <c r="E21" s="322"/>
      <c r="F21" s="322"/>
      <c r="G21" s="322"/>
      <c r="H21" s="322"/>
      <c r="I21" s="322"/>
      <c r="J21" s="323"/>
    </row>
    <row r="22" spans="1:21" ht="45" customHeight="1" x14ac:dyDescent="0.35">
      <c r="A22" s="321" t="s">
        <v>430</v>
      </c>
      <c r="B22" s="323"/>
      <c r="C22" s="321" t="s">
        <v>434</v>
      </c>
      <c r="D22" s="322"/>
      <c r="E22" s="322"/>
      <c r="F22" s="322"/>
      <c r="G22" s="322"/>
      <c r="H22" s="322"/>
      <c r="I22" s="322"/>
      <c r="J22" s="323"/>
    </row>
    <row r="23" spans="1:21" ht="60" customHeight="1" x14ac:dyDescent="0.35">
      <c r="A23" s="321" t="s">
        <v>450</v>
      </c>
      <c r="B23" s="323"/>
      <c r="C23" s="321" t="s">
        <v>452</v>
      </c>
      <c r="D23" s="322"/>
      <c r="E23" s="322"/>
      <c r="F23" s="322"/>
      <c r="G23" s="322"/>
      <c r="H23" s="322"/>
      <c r="I23" s="322"/>
      <c r="J23" s="323"/>
    </row>
    <row r="25" spans="1:21" ht="22.5" customHeight="1" x14ac:dyDescent="0.35">
      <c r="A25" s="324" t="s">
        <v>416</v>
      </c>
      <c r="B25" s="325"/>
      <c r="C25" s="325"/>
      <c r="D25" s="325"/>
      <c r="E25" s="325"/>
      <c r="F25" s="325"/>
      <c r="G25" s="325"/>
      <c r="H25" s="325"/>
      <c r="I25" s="325"/>
      <c r="J25" s="325"/>
      <c r="L25" s="324" t="s">
        <v>419</v>
      </c>
      <c r="M25" s="325"/>
      <c r="N25" s="325"/>
      <c r="O25" s="325"/>
      <c r="P25" s="325"/>
      <c r="Q25" s="325"/>
      <c r="R25" s="325"/>
      <c r="S25" s="325"/>
      <c r="T25" s="325"/>
      <c r="U25" s="325"/>
    </row>
    <row r="26" spans="1:21" ht="19.5" customHeight="1" x14ac:dyDescent="0.35">
      <c r="A26" s="326" t="s">
        <v>168</v>
      </c>
      <c r="B26" s="327"/>
      <c r="C26" s="328"/>
      <c r="D26" s="329" t="s">
        <v>243</v>
      </c>
      <c r="E26" s="330"/>
      <c r="F26" s="331"/>
      <c r="G26" s="50" t="s">
        <v>232</v>
      </c>
      <c r="H26" s="50" t="s">
        <v>244</v>
      </c>
      <c r="I26" s="50" t="s">
        <v>245</v>
      </c>
      <c r="J26" s="50" t="s">
        <v>246</v>
      </c>
      <c r="L26" s="326" t="s">
        <v>168</v>
      </c>
      <c r="M26" s="327"/>
      <c r="N26" s="328"/>
      <c r="O26" s="329" t="s">
        <v>243</v>
      </c>
      <c r="P26" s="330"/>
      <c r="Q26" s="331"/>
      <c r="R26" s="50" t="s">
        <v>232</v>
      </c>
      <c r="S26" s="50" t="s">
        <v>244</v>
      </c>
      <c r="T26" s="50" t="s">
        <v>245</v>
      </c>
      <c r="U26" s="50" t="s">
        <v>246</v>
      </c>
    </row>
    <row r="27" spans="1:21" s="170" customFormat="1" x14ac:dyDescent="0.35">
      <c r="A27" s="317" t="s">
        <v>382</v>
      </c>
      <c r="B27" s="318"/>
      <c r="C27" s="319"/>
      <c r="D27" s="315" t="s">
        <v>383</v>
      </c>
      <c r="E27" s="320"/>
      <c r="F27" s="316"/>
      <c r="G27" s="157" t="s">
        <v>384</v>
      </c>
      <c r="H27" s="157">
        <v>50</v>
      </c>
      <c r="I27" s="157">
        <v>73</v>
      </c>
      <c r="J27" s="157">
        <v>41</v>
      </c>
      <c r="L27" s="317" t="s">
        <v>396</v>
      </c>
      <c r="M27" s="318"/>
      <c r="N27" s="319"/>
      <c r="O27" s="315" t="s">
        <v>394</v>
      </c>
      <c r="P27" s="320"/>
      <c r="Q27" s="316"/>
      <c r="R27" s="157" t="s">
        <v>366</v>
      </c>
      <c r="S27" s="157" t="s">
        <v>366</v>
      </c>
      <c r="T27" s="157">
        <v>2.6</v>
      </c>
      <c r="U27" s="157">
        <v>0.14000000000000001</v>
      </c>
    </row>
    <row r="28" spans="1:21" s="170" customFormat="1" ht="15" customHeight="1" x14ac:dyDescent="0.35">
      <c r="A28" s="317" t="s">
        <v>385</v>
      </c>
      <c r="B28" s="318"/>
      <c r="C28" s="319"/>
      <c r="D28" s="315" t="s">
        <v>386</v>
      </c>
      <c r="E28" s="320"/>
      <c r="F28" s="316"/>
      <c r="G28" s="171" t="s">
        <v>387</v>
      </c>
      <c r="H28" s="157">
        <v>8</v>
      </c>
      <c r="I28" s="157">
        <v>8.6</v>
      </c>
      <c r="J28" s="157">
        <v>8.23</v>
      </c>
      <c r="L28" s="317" t="s">
        <v>401</v>
      </c>
      <c r="M28" s="318"/>
      <c r="N28" s="319"/>
      <c r="O28" s="315" t="s">
        <v>394</v>
      </c>
      <c r="P28" s="320"/>
      <c r="Q28" s="316"/>
      <c r="R28" s="157" t="s">
        <v>366</v>
      </c>
      <c r="S28" s="157" t="s">
        <v>366</v>
      </c>
      <c r="T28" s="157">
        <v>5</v>
      </c>
      <c r="U28" s="157">
        <v>0.25</v>
      </c>
    </row>
    <row r="29" spans="1:21" s="170" customFormat="1" ht="15" customHeight="1" x14ac:dyDescent="0.35">
      <c r="A29" s="317" t="s">
        <v>388</v>
      </c>
      <c r="B29" s="318"/>
      <c r="C29" s="319"/>
      <c r="D29" s="315" t="s">
        <v>386</v>
      </c>
      <c r="E29" s="320"/>
      <c r="F29" s="316"/>
      <c r="G29" s="157" t="s">
        <v>389</v>
      </c>
      <c r="H29" s="157" t="s">
        <v>366</v>
      </c>
      <c r="I29" s="157">
        <v>35</v>
      </c>
      <c r="J29" s="157">
        <v>8.67</v>
      </c>
      <c r="L29" s="317" t="s">
        <v>398</v>
      </c>
      <c r="M29" s="318"/>
      <c r="N29" s="319"/>
      <c r="O29" s="315" t="s">
        <v>394</v>
      </c>
      <c r="P29" s="320"/>
      <c r="Q29" s="316"/>
      <c r="R29" s="157" t="s">
        <v>366</v>
      </c>
      <c r="S29" s="157" t="s">
        <v>366</v>
      </c>
      <c r="T29" s="157">
        <v>98</v>
      </c>
      <c r="U29" s="157">
        <v>8.3000000000000007</v>
      </c>
    </row>
    <row r="30" spans="1:21" s="170" customFormat="1" ht="15" customHeight="1" x14ac:dyDescent="0.35">
      <c r="A30" s="317" t="s">
        <v>390</v>
      </c>
      <c r="B30" s="318"/>
      <c r="C30" s="319"/>
      <c r="D30" s="315" t="s">
        <v>391</v>
      </c>
      <c r="E30" s="320"/>
      <c r="F30" s="316"/>
      <c r="G30" s="157" t="s">
        <v>392</v>
      </c>
      <c r="H30" s="157" t="s">
        <v>366</v>
      </c>
      <c r="I30" s="157" t="s">
        <v>366</v>
      </c>
      <c r="J30" s="157" t="s">
        <v>366</v>
      </c>
      <c r="L30" s="317" t="s">
        <v>417</v>
      </c>
      <c r="M30" s="318"/>
      <c r="N30" s="319"/>
      <c r="O30" s="315" t="s">
        <v>394</v>
      </c>
      <c r="P30" s="320"/>
      <c r="Q30" s="316"/>
      <c r="R30" s="157" t="s">
        <v>366</v>
      </c>
      <c r="S30" s="157" t="s">
        <v>366</v>
      </c>
      <c r="T30" s="157" t="s">
        <v>366</v>
      </c>
      <c r="U30" s="157" t="s">
        <v>366</v>
      </c>
    </row>
    <row r="31" spans="1:21" s="170" customFormat="1" x14ac:dyDescent="0.35">
      <c r="A31" s="317" t="s">
        <v>393</v>
      </c>
      <c r="B31" s="318"/>
      <c r="C31" s="319"/>
      <c r="D31" s="315" t="s">
        <v>394</v>
      </c>
      <c r="E31" s="320"/>
      <c r="F31" s="316"/>
      <c r="G31" s="157" t="s">
        <v>395</v>
      </c>
      <c r="H31" s="157">
        <v>20</v>
      </c>
      <c r="I31" s="157">
        <v>43</v>
      </c>
      <c r="J31" s="157">
        <v>11.77</v>
      </c>
      <c r="L31" s="317" t="s">
        <v>418</v>
      </c>
      <c r="M31" s="318"/>
      <c r="N31" s="319"/>
      <c r="O31" s="315" t="s">
        <v>394</v>
      </c>
      <c r="P31" s="320"/>
      <c r="Q31" s="316"/>
      <c r="R31" s="157" t="s">
        <v>366</v>
      </c>
      <c r="S31" s="157" t="s">
        <v>366</v>
      </c>
      <c r="T31" s="157">
        <v>335</v>
      </c>
      <c r="U31" s="157">
        <v>23.36</v>
      </c>
    </row>
    <row r="32" spans="1:21" s="170" customFormat="1" x14ac:dyDescent="0.35">
      <c r="A32" s="317" t="s">
        <v>396</v>
      </c>
      <c r="B32" s="318"/>
      <c r="C32" s="319"/>
      <c r="D32" s="315" t="s">
        <v>394</v>
      </c>
      <c r="E32" s="320"/>
      <c r="F32" s="316"/>
      <c r="G32" s="157" t="s">
        <v>397</v>
      </c>
      <c r="H32" s="157">
        <v>2.5</v>
      </c>
      <c r="I32" s="157">
        <v>1.7</v>
      </c>
      <c r="J32" s="157">
        <v>0.222</v>
      </c>
      <c r="L32" s="317" t="s">
        <v>385</v>
      </c>
      <c r="M32" s="318"/>
      <c r="N32" s="319"/>
      <c r="O32" s="315" t="s">
        <v>394</v>
      </c>
      <c r="P32" s="320"/>
      <c r="Q32" s="316"/>
      <c r="R32" s="157" t="s">
        <v>366</v>
      </c>
      <c r="S32" s="157" t="s">
        <v>366</v>
      </c>
      <c r="T32" s="157">
        <v>8.3000000000000007</v>
      </c>
      <c r="U32" s="157">
        <v>7.98</v>
      </c>
    </row>
    <row r="33" spans="1:21" s="170" customFormat="1" x14ac:dyDescent="0.35">
      <c r="A33" s="317" t="s">
        <v>398</v>
      </c>
      <c r="B33" s="318" t="s">
        <v>398</v>
      </c>
      <c r="C33" s="319"/>
      <c r="D33" s="315" t="s">
        <v>399</v>
      </c>
      <c r="E33" s="320" t="s">
        <v>399</v>
      </c>
      <c r="F33" s="316"/>
      <c r="G33" s="157" t="s">
        <v>400</v>
      </c>
      <c r="H33" s="157">
        <v>10</v>
      </c>
      <c r="I33" s="157">
        <v>10</v>
      </c>
      <c r="J33" s="157">
        <v>4.8</v>
      </c>
      <c r="L33" s="317" t="s">
        <v>403</v>
      </c>
      <c r="M33" s="318"/>
      <c r="N33" s="319"/>
      <c r="O33" s="315" t="s">
        <v>394</v>
      </c>
      <c r="P33" s="320"/>
      <c r="Q33" s="316"/>
      <c r="R33" s="157" t="s">
        <v>366</v>
      </c>
      <c r="S33" s="157" t="s">
        <v>366</v>
      </c>
      <c r="T33" s="157">
        <v>7.4</v>
      </c>
      <c r="U33" s="157">
        <v>1.24</v>
      </c>
    </row>
    <row r="34" spans="1:21" s="170" customFormat="1" x14ac:dyDescent="0.35">
      <c r="A34" s="317" t="s">
        <v>401</v>
      </c>
      <c r="B34" s="318"/>
      <c r="C34" s="319"/>
      <c r="D34" s="315" t="s">
        <v>399</v>
      </c>
      <c r="E34" s="320"/>
      <c r="F34" s="316"/>
      <c r="G34" s="157" t="s">
        <v>402</v>
      </c>
      <c r="H34" s="157">
        <v>1</v>
      </c>
      <c r="I34" s="157">
        <v>2.4300000000000002</v>
      </c>
      <c r="J34" s="157">
        <v>1.19</v>
      </c>
      <c r="L34" s="317"/>
      <c r="M34" s="318"/>
      <c r="N34" s="319"/>
      <c r="O34" s="315"/>
      <c r="P34" s="320"/>
      <c r="Q34" s="316"/>
      <c r="R34" s="157"/>
      <c r="S34" s="157"/>
      <c r="T34" s="157"/>
      <c r="U34" s="157"/>
    </row>
    <row r="35" spans="1:21" s="170" customFormat="1" x14ac:dyDescent="0.35">
      <c r="A35" s="317" t="s">
        <v>403</v>
      </c>
      <c r="B35" s="318"/>
      <c r="C35" s="319"/>
      <c r="D35" s="315" t="s">
        <v>399</v>
      </c>
      <c r="E35" s="320"/>
      <c r="F35" s="316"/>
      <c r="G35" s="157" t="s">
        <v>400</v>
      </c>
      <c r="H35" s="157">
        <v>10</v>
      </c>
      <c r="I35" s="157">
        <v>8.6</v>
      </c>
      <c r="J35" s="157">
        <v>2</v>
      </c>
      <c r="L35" s="317"/>
      <c r="M35" s="318"/>
      <c r="N35" s="319"/>
      <c r="O35" s="315"/>
      <c r="P35" s="320"/>
      <c r="Q35" s="316"/>
      <c r="R35" s="157"/>
      <c r="S35" s="157"/>
      <c r="T35" s="157"/>
      <c r="U35" s="157"/>
    </row>
    <row r="36" spans="1:21" s="170" customFormat="1" x14ac:dyDescent="0.35">
      <c r="A36" s="317" t="s">
        <v>404</v>
      </c>
      <c r="B36" s="318"/>
      <c r="C36" s="319"/>
      <c r="D36" s="315" t="s">
        <v>399</v>
      </c>
      <c r="E36" s="320"/>
      <c r="F36" s="316"/>
      <c r="G36" s="157" t="s">
        <v>366</v>
      </c>
      <c r="H36" s="157" t="s">
        <v>366</v>
      </c>
      <c r="I36" s="157">
        <v>6.0000000000000001E-3</v>
      </c>
      <c r="J36" s="157">
        <v>1E-3</v>
      </c>
      <c r="L36" s="317"/>
      <c r="M36" s="318"/>
      <c r="N36" s="319"/>
      <c r="O36" s="315"/>
      <c r="P36" s="320"/>
      <c r="Q36" s="316"/>
      <c r="R36" s="157"/>
      <c r="S36" s="157"/>
      <c r="T36" s="157"/>
      <c r="U36" s="157"/>
    </row>
    <row r="37" spans="1:21" s="170" customFormat="1" x14ac:dyDescent="0.35">
      <c r="A37" s="317" t="s">
        <v>405</v>
      </c>
      <c r="B37" s="318"/>
      <c r="C37" s="319"/>
      <c r="D37" s="315" t="s">
        <v>399</v>
      </c>
      <c r="E37" s="320"/>
      <c r="F37" s="316"/>
      <c r="G37" s="157" t="s">
        <v>366</v>
      </c>
      <c r="H37" s="157" t="s">
        <v>366</v>
      </c>
      <c r="I37" s="157">
        <v>5.4000000000000003E-3</v>
      </c>
      <c r="J37" s="157">
        <v>0</v>
      </c>
      <c r="L37" s="317"/>
      <c r="M37" s="318"/>
      <c r="N37" s="319"/>
      <c r="O37" s="315"/>
      <c r="P37" s="320"/>
      <c r="Q37" s="316"/>
      <c r="R37" s="157"/>
      <c r="S37" s="157"/>
      <c r="T37" s="157"/>
      <c r="U37" s="157"/>
    </row>
    <row r="38" spans="1:21" s="170" customFormat="1" x14ac:dyDescent="0.35">
      <c r="A38" s="317" t="s">
        <v>406</v>
      </c>
      <c r="B38" s="318"/>
      <c r="C38" s="319"/>
      <c r="D38" s="315" t="s">
        <v>399</v>
      </c>
      <c r="E38" s="320"/>
      <c r="F38" s="316"/>
      <c r="G38" s="157" t="s">
        <v>366</v>
      </c>
      <c r="H38" s="157" t="s">
        <v>366</v>
      </c>
      <c r="I38" s="157">
        <v>2E-3</v>
      </c>
      <c r="J38" s="157">
        <v>1E-3</v>
      </c>
      <c r="L38" s="317"/>
      <c r="M38" s="318"/>
      <c r="N38" s="319"/>
      <c r="O38" s="315"/>
      <c r="P38" s="320"/>
      <c r="Q38" s="316"/>
      <c r="R38" s="157"/>
      <c r="S38" s="157"/>
      <c r="T38" s="157"/>
      <c r="U38" s="157"/>
    </row>
    <row r="39" spans="1:21" s="170" customFormat="1" x14ac:dyDescent="0.35">
      <c r="A39" s="317" t="s">
        <v>407</v>
      </c>
      <c r="B39" s="318"/>
      <c r="C39" s="319"/>
      <c r="D39" s="315" t="s">
        <v>399</v>
      </c>
      <c r="E39" s="320"/>
      <c r="F39" s="316"/>
      <c r="G39" s="157" t="s">
        <v>366</v>
      </c>
      <c r="H39" s="157" t="s">
        <v>366</v>
      </c>
      <c r="I39" s="157">
        <v>1E-3</v>
      </c>
      <c r="J39" s="157">
        <v>1E-3</v>
      </c>
      <c r="L39" s="317"/>
      <c r="M39" s="318"/>
      <c r="N39" s="319"/>
      <c r="O39" s="315"/>
      <c r="P39" s="320"/>
      <c r="Q39" s="316"/>
      <c r="R39" s="157"/>
      <c r="S39" s="157"/>
      <c r="T39" s="157"/>
      <c r="U39" s="157"/>
    </row>
    <row r="40" spans="1:21" s="170" customFormat="1" x14ac:dyDescent="0.35">
      <c r="A40" s="317" t="s">
        <v>408</v>
      </c>
      <c r="B40" s="318"/>
      <c r="C40" s="319"/>
      <c r="D40" s="315" t="s">
        <v>399</v>
      </c>
      <c r="E40" s="320"/>
      <c r="F40" s="316"/>
      <c r="G40" s="157" t="s">
        <v>366</v>
      </c>
      <c r="H40" s="157" t="s">
        <v>366</v>
      </c>
      <c r="I40" s="157">
        <v>6.7000000000000004E-2</v>
      </c>
      <c r="J40" s="157">
        <v>6.0000000000000001E-3</v>
      </c>
      <c r="L40" s="317"/>
      <c r="M40" s="318"/>
      <c r="N40" s="319"/>
      <c r="O40" s="315"/>
      <c r="P40" s="320"/>
      <c r="Q40" s="316"/>
      <c r="R40" s="157"/>
      <c r="S40" s="157"/>
      <c r="T40" s="157"/>
      <c r="U40" s="157"/>
    </row>
    <row r="41" spans="1:21" s="170" customFormat="1" x14ac:dyDescent="0.35">
      <c r="A41" s="317" t="s">
        <v>409</v>
      </c>
      <c r="B41" s="318"/>
      <c r="C41" s="319"/>
      <c r="D41" s="315" t="s">
        <v>399</v>
      </c>
      <c r="E41" s="320"/>
      <c r="F41" s="316"/>
      <c r="G41" s="157" t="s">
        <v>366</v>
      </c>
      <c r="H41" s="157" t="s">
        <v>366</v>
      </c>
      <c r="I41" s="157">
        <v>7.0000000000000001E-3</v>
      </c>
      <c r="J41" s="157">
        <v>1E-3</v>
      </c>
      <c r="L41" s="317"/>
      <c r="M41" s="318"/>
      <c r="N41" s="319"/>
      <c r="O41" s="315"/>
      <c r="P41" s="320"/>
      <c r="Q41" s="316"/>
      <c r="R41" s="157"/>
      <c r="S41" s="157"/>
      <c r="T41" s="157"/>
      <c r="U41" s="157"/>
    </row>
    <row r="42" spans="1:21" s="170" customFormat="1" x14ac:dyDescent="0.35">
      <c r="A42" s="317" t="s">
        <v>410</v>
      </c>
      <c r="B42" s="318"/>
      <c r="C42" s="319"/>
      <c r="D42" s="315" t="s">
        <v>399</v>
      </c>
      <c r="E42" s="320"/>
      <c r="F42" s="316"/>
      <c r="G42" s="157" t="s">
        <v>366</v>
      </c>
      <c r="H42" s="157" t="s">
        <v>366</v>
      </c>
      <c r="I42" s="157">
        <v>2.9999999999999997E-4</v>
      </c>
      <c r="J42" s="157">
        <v>0</v>
      </c>
      <c r="L42" s="317"/>
      <c r="M42" s="318"/>
      <c r="N42" s="319"/>
      <c r="O42" s="315"/>
      <c r="P42" s="320"/>
      <c r="Q42" s="316"/>
      <c r="R42" s="157"/>
      <c r="S42" s="157"/>
      <c r="T42" s="157"/>
      <c r="U42" s="157"/>
    </row>
    <row r="43" spans="1:21" s="170" customFormat="1" x14ac:dyDescent="0.35">
      <c r="A43" s="317" t="s">
        <v>411</v>
      </c>
      <c r="B43" s="318"/>
      <c r="C43" s="319"/>
      <c r="D43" s="315" t="s">
        <v>399</v>
      </c>
      <c r="E43" s="320"/>
      <c r="F43" s="316"/>
      <c r="G43" s="157" t="s">
        <v>366</v>
      </c>
      <c r="H43" s="157" t="s">
        <v>366</v>
      </c>
      <c r="I43" s="157">
        <v>4.0000000000000001E-3</v>
      </c>
      <c r="J43" s="157">
        <v>2E-3</v>
      </c>
      <c r="L43" s="317"/>
      <c r="M43" s="318"/>
      <c r="N43" s="319"/>
      <c r="O43" s="315"/>
      <c r="P43" s="320"/>
      <c r="Q43" s="316"/>
      <c r="R43" s="157"/>
      <c r="S43" s="157"/>
      <c r="T43" s="157"/>
      <c r="U43" s="157"/>
    </row>
    <row r="44" spans="1:21" s="170" customFormat="1" x14ac:dyDescent="0.35">
      <c r="A44" s="317" t="s">
        <v>412</v>
      </c>
      <c r="B44" s="318"/>
      <c r="C44" s="319"/>
      <c r="D44" s="315" t="s">
        <v>399</v>
      </c>
      <c r="E44" s="320"/>
      <c r="F44" s="316"/>
      <c r="G44" s="157" t="s">
        <v>366</v>
      </c>
      <c r="H44" s="157" t="s">
        <v>366</v>
      </c>
      <c r="I44" s="157">
        <v>1E-3</v>
      </c>
      <c r="J44" s="157">
        <v>1E-3</v>
      </c>
      <c r="L44" s="317"/>
      <c r="M44" s="318"/>
      <c r="N44" s="319"/>
      <c r="O44" s="315"/>
      <c r="P44" s="320"/>
      <c r="Q44" s="316"/>
      <c r="R44" s="157"/>
      <c r="S44" s="157"/>
      <c r="T44" s="157"/>
      <c r="U44" s="157"/>
    </row>
    <row r="45" spans="1:21" s="170" customFormat="1" x14ac:dyDescent="0.35">
      <c r="A45" s="317" t="s">
        <v>413</v>
      </c>
      <c r="B45" s="318"/>
      <c r="C45" s="319"/>
      <c r="D45" s="315" t="s">
        <v>399</v>
      </c>
      <c r="E45" s="320"/>
      <c r="F45" s="316"/>
      <c r="G45" s="157" t="s">
        <v>366</v>
      </c>
      <c r="H45" s="157" t="s">
        <v>366</v>
      </c>
      <c r="I45" s="157">
        <v>8.0000000000000002E-3</v>
      </c>
      <c r="J45" s="157">
        <v>1E-3</v>
      </c>
      <c r="L45" s="317"/>
      <c r="M45" s="318"/>
      <c r="N45" s="319"/>
      <c r="O45" s="315"/>
      <c r="P45" s="320"/>
      <c r="Q45" s="316"/>
      <c r="R45" s="157"/>
      <c r="S45" s="157"/>
      <c r="T45" s="157"/>
      <c r="U45" s="157"/>
    </row>
    <row r="46" spans="1:21" s="170" customFormat="1" x14ac:dyDescent="0.35">
      <c r="A46" s="317" t="s">
        <v>414</v>
      </c>
      <c r="B46" s="318"/>
      <c r="C46" s="319"/>
      <c r="D46" s="315" t="s">
        <v>399</v>
      </c>
      <c r="E46" s="320"/>
      <c r="F46" s="316"/>
      <c r="G46" s="157" t="s">
        <v>366</v>
      </c>
      <c r="H46" s="157" t="s">
        <v>366</v>
      </c>
      <c r="I46" s="157">
        <v>0.20499999999999999</v>
      </c>
      <c r="J46" s="157">
        <v>4.7E-2</v>
      </c>
      <c r="L46" s="317"/>
      <c r="M46" s="318"/>
      <c r="N46" s="319"/>
      <c r="O46" s="315"/>
      <c r="P46" s="320"/>
      <c r="Q46" s="316"/>
      <c r="R46" s="157"/>
      <c r="S46" s="157"/>
      <c r="T46" s="157"/>
      <c r="U46" s="157"/>
    </row>
    <row r="47" spans="1:21" s="170" customFormat="1" x14ac:dyDescent="0.35">
      <c r="A47" s="275" t="s">
        <v>415</v>
      </c>
      <c r="B47" s="275"/>
      <c r="C47" s="275"/>
      <c r="D47" s="315" t="s">
        <v>399</v>
      </c>
      <c r="E47" s="320"/>
      <c r="F47" s="316"/>
      <c r="G47" s="157" t="s">
        <v>366</v>
      </c>
      <c r="H47" s="157" t="s">
        <v>366</v>
      </c>
      <c r="I47" s="157">
        <v>0.03</v>
      </c>
      <c r="J47" s="157">
        <v>1.2E-2</v>
      </c>
      <c r="L47" s="275"/>
      <c r="M47" s="275"/>
      <c r="N47" s="275"/>
      <c r="O47" s="315"/>
      <c r="P47" s="320"/>
      <c r="Q47" s="316"/>
      <c r="R47" s="157"/>
      <c r="S47" s="157"/>
      <c r="T47" s="157"/>
      <c r="U47" s="157"/>
    </row>
    <row r="48" spans="1:21" x14ac:dyDescent="0.35">
      <c r="A48" s="107"/>
      <c r="B48" s="107"/>
      <c r="C48" s="107"/>
      <c r="D48" s="107"/>
      <c r="E48" s="107"/>
      <c r="F48" s="107"/>
      <c r="G48" s="107"/>
      <c r="H48" s="107"/>
      <c r="I48" s="107"/>
      <c r="J48" s="107"/>
    </row>
    <row r="49" spans="1:10" x14ac:dyDescent="0.35">
      <c r="A49" s="107"/>
      <c r="B49" s="107"/>
      <c r="C49" s="107"/>
      <c r="D49" s="107"/>
      <c r="E49" s="107"/>
      <c r="F49" s="107"/>
      <c r="G49" s="107"/>
      <c r="H49" s="107"/>
      <c r="I49" s="107"/>
      <c r="J49" s="107"/>
    </row>
    <row r="50" spans="1:10" x14ac:dyDescent="0.35">
      <c r="A50" s="107"/>
      <c r="B50" s="107"/>
      <c r="C50" s="107"/>
      <c r="D50" s="107"/>
      <c r="E50" s="107"/>
      <c r="F50" s="107"/>
      <c r="G50" s="107"/>
      <c r="H50" s="107"/>
      <c r="I50" s="107"/>
      <c r="J50" s="107"/>
    </row>
    <row r="83" spans="6:6" x14ac:dyDescent="0.35">
      <c r="F83" s="3"/>
    </row>
  </sheetData>
  <mergeCells count="111">
    <mergeCell ref="A12:J12"/>
    <mergeCell ref="A34:C34"/>
    <mergeCell ref="D34:F34"/>
    <mergeCell ref="A35:C35"/>
    <mergeCell ref="D35:F35"/>
    <mergeCell ref="A36:C36"/>
    <mergeCell ref="D36:F36"/>
    <mergeCell ref="D29:F29"/>
    <mergeCell ref="A30:C30"/>
    <mergeCell ref="D30:F30"/>
    <mergeCell ref="A31:C31"/>
    <mergeCell ref="D31:F31"/>
    <mergeCell ref="A32:C32"/>
    <mergeCell ref="D32:F32"/>
    <mergeCell ref="A33:C33"/>
    <mergeCell ref="D33:F33"/>
    <mergeCell ref="C22:J22"/>
    <mergeCell ref="A22:B22"/>
    <mergeCell ref="D38:F38"/>
    <mergeCell ref="A39:C39"/>
    <mergeCell ref="D39:F39"/>
    <mergeCell ref="A6:J7"/>
    <mergeCell ref="A8:J9"/>
    <mergeCell ref="A10:J11"/>
    <mergeCell ref="A14:J14"/>
    <mergeCell ref="A15:B15"/>
    <mergeCell ref="C15:J15"/>
    <mergeCell ref="A25:J25"/>
    <mergeCell ref="A26:C26"/>
    <mergeCell ref="D26:F26"/>
    <mergeCell ref="A16:B17"/>
    <mergeCell ref="C16:J17"/>
    <mergeCell ref="A18:B18"/>
    <mergeCell ref="A19:B19"/>
    <mergeCell ref="A20:B20"/>
    <mergeCell ref="A21:B21"/>
    <mergeCell ref="A23:B23"/>
    <mergeCell ref="A27:C27"/>
    <mergeCell ref="D27:F27"/>
    <mergeCell ref="A28:C28"/>
    <mergeCell ref="D28:F28"/>
    <mergeCell ref="A29:C29"/>
    <mergeCell ref="L25:U25"/>
    <mergeCell ref="L26:N26"/>
    <mergeCell ref="O26:Q26"/>
    <mergeCell ref="L27:N27"/>
    <mergeCell ref="O27:Q27"/>
    <mergeCell ref="A46:C46"/>
    <mergeCell ref="D46:F46"/>
    <mergeCell ref="A47:C47"/>
    <mergeCell ref="D47:F47"/>
    <mergeCell ref="A43:C43"/>
    <mergeCell ref="D43:F43"/>
    <mergeCell ref="A44:C44"/>
    <mergeCell ref="D44:F44"/>
    <mergeCell ref="A45:C45"/>
    <mergeCell ref="D45:F45"/>
    <mergeCell ref="A40:C40"/>
    <mergeCell ref="D40:F40"/>
    <mergeCell ref="A41:C41"/>
    <mergeCell ref="D41:F41"/>
    <mergeCell ref="A42:C42"/>
    <mergeCell ref="D42:F42"/>
    <mergeCell ref="A37:C37"/>
    <mergeCell ref="D37:F37"/>
    <mergeCell ref="A38:C38"/>
    <mergeCell ref="L31:N31"/>
    <mergeCell ref="O31:Q31"/>
    <mergeCell ref="L32:N32"/>
    <mergeCell ref="O32:Q32"/>
    <mergeCell ref="L33:N33"/>
    <mergeCell ref="O33:Q33"/>
    <mergeCell ref="L28:N28"/>
    <mergeCell ref="O28:Q28"/>
    <mergeCell ref="L29:N29"/>
    <mergeCell ref="O29:Q29"/>
    <mergeCell ref="L30:N30"/>
    <mergeCell ref="O30:Q30"/>
    <mergeCell ref="O38:Q38"/>
    <mergeCell ref="L39:N39"/>
    <mergeCell ref="O39:Q39"/>
    <mergeCell ref="L34:N34"/>
    <mergeCell ref="O34:Q34"/>
    <mergeCell ref="L35:N35"/>
    <mergeCell ref="O35:Q35"/>
    <mergeCell ref="L36:N36"/>
    <mergeCell ref="O36:Q36"/>
    <mergeCell ref="L46:N46"/>
    <mergeCell ref="O46:Q46"/>
    <mergeCell ref="L47:N47"/>
    <mergeCell ref="O47:Q47"/>
    <mergeCell ref="C18:J18"/>
    <mergeCell ref="C19:J19"/>
    <mergeCell ref="C20:J20"/>
    <mergeCell ref="C21:J21"/>
    <mergeCell ref="C23:J23"/>
    <mergeCell ref="L43:N43"/>
    <mergeCell ref="O43:Q43"/>
    <mergeCell ref="L44:N44"/>
    <mergeCell ref="O44:Q44"/>
    <mergeCell ref="L45:N45"/>
    <mergeCell ref="O45:Q45"/>
    <mergeCell ref="L40:N40"/>
    <mergeCell ref="O40:Q40"/>
    <mergeCell ref="L41:N41"/>
    <mergeCell ref="O41:Q41"/>
    <mergeCell ref="L42:N42"/>
    <mergeCell ref="O42:Q42"/>
    <mergeCell ref="L37:N37"/>
    <mergeCell ref="O37:Q37"/>
    <mergeCell ref="L38:N38"/>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AM64"/>
  <sheetViews>
    <sheetView showGridLines="0" zoomScale="85" zoomScaleNormal="85" workbookViewId="0">
      <selection activeCell="V24" sqref="V24"/>
    </sheetView>
  </sheetViews>
  <sheetFormatPr defaultColWidth="9.1796875" defaultRowHeight="15.5" x14ac:dyDescent="0.35"/>
  <cols>
    <col min="1" max="1" width="9.1796875" style="2" customWidth="1"/>
    <col min="2" max="2" width="14.54296875" style="2" bestFit="1" customWidth="1"/>
    <col min="3" max="6" width="9.1796875" style="2"/>
    <col min="7" max="9" width="0" style="2" hidden="1" customWidth="1"/>
    <col min="10" max="10" width="10.453125" style="2" hidden="1" customWidth="1"/>
    <col min="11" max="11" width="0" style="2" hidden="1" customWidth="1"/>
    <col min="12" max="12" width="3" style="2" customWidth="1"/>
    <col min="13" max="18" width="9.1796875" style="2"/>
    <col min="19" max="19" width="2.453125" style="2" customWidth="1"/>
    <col min="20" max="25" width="9.1796875" style="2"/>
    <col min="26" max="26" width="2.6328125" style="2" customWidth="1"/>
    <col min="27" max="31" width="9.1796875" style="2"/>
    <col min="32" max="32" width="9.54296875" style="2" customWidth="1"/>
    <col min="33" max="33" width="2.1796875" style="2" customWidth="1"/>
    <col min="34" max="16384" width="9.1796875" style="2"/>
  </cols>
  <sheetData>
    <row r="1" spans="1:39" x14ac:dyDescent="0.35">
      <c r="A1" s="94" t="str">
        <f>+'Cover Page'!$B$29</f>
        <v>Annual Performance Report 2022</v>
      </c>
      <c r="B1" s="94"/>
      <c r="C1" s="94"/>
      <c r="D1" s="94"/>
      <c r="E1" s="94" t="str">
        <f>+'Cover Page'!$B$33</f>
        <v>Welland Biopower Ltd</v>
      </c>
      <c r="F1" s="94"/>
      <c r="G1" s="94"/>
      <c r="H1" s="94"/>
      <c r="I1" s="94"/>
      <c r="J1" s="94"/>
      <c r="K1" s="94"/>
      <c r="L1" s="94"/>
    </row>
    <row r="2" spans="1:39" ht="7.5" customHeight="1" x14ac:dyDescent="0.35">
      <c r="A2" s="94"/>
      <c r="B2" s="94"/>
      <c r="C2" s="94"/>
      <c r="D2" s="94"/>
      <c r="E2" s="94"/>
      <c r="F2" s="94"/>
      <c r="G2" s="94"/>
      <c r="H2" s="94"/>
      <c r="I2" s="94"/>
      <c r="J2" s="94"/>
      <c r="K2" s="94"/>
      <c r="L2" s="94"/>
    </row>
    <row r="3" spans="1:39" x14ac:dyDescent="0.35">
      <c r="A3" s="1" t="s">
        <v>30</v>
      </c>
      <c r="B3" s="94"/>
      <c r="C3" s="94"/>
      <c r="D3" s="94"/>
      <c r="E3" s="94"/>
      <c r="F3" s="94"/>
      <c r="G3" s="94"/>
      <c r="H3" s="94"/>
      <c r="I3" s="94"/>
      <c r="J3" s="94"/>
      <c r="K3" s="94"/>
      <c r="L3" s="94"/>
    </row>
    <row r="4" spans="1:39" ht="9.75" customHeight="1" x14ac:dyDescent="0.35">
      <c r="A4" s="1"/>
      <c r="B4" s="94"/>
      <c r="C4" s="94"/>
      <c r="D4" s="94"/>
      <c r="E4" s="94"/>
      <c r="F4" s="94"/>
      <c r="G4" s="94"/>
      <c r="H4" s="94"/>
      <c r="I4" s="94"/>
      <c r="J4" s="94"/>
      <c r="K4" s="94"/>
      <c r="L4" s="94"/>
    </row>
    <row r="5" spans="1:39" s="3" customFormat="1" ht="21.75" customHeight="1" x14ac:dyDescent="0.3">
      <c r="A5" s="44" t="s">
        <v>247</v>
      </c>
      <c r="B5" s="45"/>
      <c r="C5" s="45"/>
      <c r="D5" s="45"/>
      <c r="E5" s="45"/>
      <c r="F5" s="45"/>
      <c r="G5" s="45"/>
      <c r="H5" s="45"/>
      <c r="I5" s="45"/>
      <c r="J5" s="46"/>
    </row>
    <row r="6" spans="1:39" s="3" customFormat="1" ht="15.75" customHeight="1" x14ac:dyDescent="0.3">
      <c r="A6" s="199" t="s">
        <v>439</v>
      </c>
      <c r="B6" s="208"/>
      <c r="C6" s="208"/>
      <c r="D6" s="208"/>
      <c r="E6" s="208"/>
      <c r="F6" s="208"/>
      <c r="G6" s="208"/>
      <c r="H6" s="208"/>
      <c r="I6" s="208"/>
      <c r="J6" s="209"/>
    </row>
    <row r="7" spans="1:39" s="3" customFormat="1" ht="31.75" customHeight="1" x14ac:dyDescent="0.3">
      <c r="A7" s="213"/>
      <c r="B7" s="214"/>
      <c r="C7" s="214"/>
      <c r="D7" s="214"/>
      <c r="E7" s="214"/>
      <c r="F7" s="214"/>
      <c r="G7" s="214"/>
      <c r="H7" s="214"/>
      <c r="I7" s="214"/>
      <c r="J7" s="215"/>
    </row>
    <row r="8" spans="1:39" s="3" customFormat="1" ht="14" x14ac:dyDescent="0.3"/>
    <row r="9" spans="1:39" s="52" customFormat="1" ht="28.25" customHeight="1" x14ac:dyDescent="0.35">
      <c r="A9" s="310" t="s">
        <v>248</v>
      </c>
      <c r="B9" s="310"/>
      <c r="C9" s="310"/>
      <c r="D9" s="310"/>
      <c r="E9" s="310"/>
      <c r="F9" s="310"/>
      <c r="G9" s="310"/>
      <c r="H9" s="310"/>
      <c r="I9" s="310"/>
      <c r="J9" s="310"/>
      <c r="M9" s="310" t="s">
        <v>248</v>
      </c>
      <c r="N9" s="310"/>
      <c r="O9" s="310"/>
      <c r="P9" s="310"/>
      <c r="Q9" s="310"/>
      <c r="R9" s="310"/>
      <c r="T9" s="310" t="s">
        <v>248</v>
      </c>
      <c r="U9" s="310"/>
      <c r="V9" s="310"/>
      <c r="W9" s="310"/>
      <c r="X9" s="310"/>
      <c r="Y9" s="310"/>
      <c r="AA9" s="310" t="s">
        <v>248</v>
      </c>
      <c r="AB9" s="310"/>
      <c r="AC9" s="310"/>
      <c r="AD9" s="310"/>
      <c r="AE9" s="310"/>
      <c r="AF9" s="310"/>
      <c r="AH9" s="310" t="s">
        <v>248</v>
      </c>
      <c r="AI9" s="310"/>
      <c r="AJ9" s="310"/>
      <c r="AK9" s="310"/>
      <c r="AL9" s="310"/>
      <c r="AM9" s="310"/>
    </row>
    <row r="10" spans="1:39" s="52" customFormat="1" ht="16.5" customHeight="1" x14ac:dyDescent="0.35">
      <c r="A10" s="335" t="s">
        <v>196</v>
      </c>
      <c r="B10" s="336"/>
      <c r="C10" s="339" t="s">
        <v>249</v>
      </c>
      <c r="D10" s="341" t="s">
        <v>250</v>
      </c>
      <c r="E10" s="342"/>
      <c r="F10" s="345" t="s">
        <v>246</v>
      </c>
      <c r="G10" s="346"/>
      <c r="H10" s="346"/>
      <c r="I10" s="346"/>
      <c r="J10" s="347"/>
      <c r="M10" s="335" t="s">
        <v>196</v>
      </c>
      <c r="N10" s="336"/>
      <c r="O10" s="339" t="s">
        <v>249</v>
      </c>
      <c r="P10" s="341" t="s">
        <v>250</v>
      </c>
      <c r="Q10" s="342"/>
      <c r="R10" s="166" t="s">
        <v>246</v>
      </c>
      <c r="T10" s="335" t="s">
        <v>196</v>
      </c>
      <c r="U10" s="336"/>
      <c r="V10" s="339" t="s">
        <v>249</v>
      </c>
      <c r="W10" s="341" t="s">
        <v>250</v>
      </c>
      <c r="X10" s="342"/>
      <c r="Y10" s="166" t="s">
        <v>246</v>
      </c>
      <c r="AA10" s="335" t="s">
        <v>196</v>
      </c>
      <c r="AB10" s="336"/>
      <c r="AC10" s="339" t="s">
        <v>249</v>
      </c>
      <c r="AD10" s="341" t="s">
        <v>250</v>
      </c>
      <c r="AE10" s="342"/>
      <c r="AF10" s="166" t="s">
        <v>246</v>
      </c>
      <c r="AH10" s="335" t="s">
        <v>196</v>
      </c>
      <c r="AI10" s="336"/>
      <c r="AJ10" s="339" t="s">
        <v>249</v>
      </c>
      <c r="AK10" s="341" t="s">
        <v>250</v>
      </c>
      <c r="AL10" s="342"/>
      <c r="AM10" s="166" t="s">
        <v>246</v>
      </c>
    </row>
    <row r="11" spans="1:39" s="11" customFormat="1" ht="17.25" customHeight="1" x14ac:dyDescent="0.25">
      <c r="A11" s="337"/>
      <c r="B11" s="338"/>
      <c r="C11" s="340"/>
      <c r="D11" s="343"/>
      <c r="E11" s="344"/>
      <c r="F11" s="88" t="s">
        <v>170</v>
      </c>
      <c r="G11" s="88" t="s">
        <v>171</v>
      </c>
      <c r="H11" s="88" t="s">
        <v>172</v>
      </c>
      <c r="I11" s="88" t="s">
        <v>173</v>
      </c>
      <c r="J11" s="88" t="s">
        <v>174</v>
      </c>
      <c r="K11" s="107"/>
      <c r="L11" s="107"/>
      <c r="M11" s="337"/>
      <c r="N11" s="338"/>
      <c r="O11" s="340"/>
      <c r="P11" s="343"/>
      <c r="Q11" s="344"/>
      <c r="R11" s="88" t="s">
        <v>170</v>
      </c>
      <c r="T11" s="337"/>
      <c r="U11" s="338"/>
      <c r="V11" s="340"/>
      <c r="W11" s="343"/>
      <c r="X11" s="344"/>
      <c r="Y11" s="88" t="s">
        <v>170</v>
      </c>
      <c r="AA11" s="337"/>
      <c r="AB11" s="338"/>
      <c r="AC11" s="340"/>
      <c r="AD11" s="343"/>
      <c r="AE11" s="344"/>
      <c r="AF11" s="88" t="s">
        <v>170</v>
      </c>
      <c r="AH11" s="337"/>
      <c r="AI11" s="338"/>
      <c r="AJ11" s="340"/>
      <c r="AK11" s="343"/>
      <c r="AL11" s="344"/>
      <c r="AM11" s="88" t="s">
        <v>170</v>
      </c>
    </row>
    <row r="12" spans="1:39" s="11" customFormat="1" ht="23.25" customHeight="1" x14ac:dyDescent="0.25">
      <c r="A12" s="229" t="s">
        <v>208</v>
      </c>
      <c r="B12" s="229"/>
      <c r="C12" s="158" t="s">
        <v>251</v>
      </c>
      <c r="D12" s="246" t="s">
        <v>252</v>
      </c>
      <c r="E12" s="246"/>
      <c r="F12" s="157">
        <v>1.5</v>
      </c>
      <c r="G12" s="157"/>
      <c r="H12" s="157"/>
      <c r="I12" s="157"/>
      <c r="J12" s="157"/>
      <c r="K12" s="107"/>
      <c r="L12" s="107"/>
      <c r="M12" s="229" t="s">
        <v>259</v>
      </c>
      <c r="N12" s="229"/>
      <c r="O12" s="158" t="s">
        <v>254</v>
      </c>
      <c r="P12" s="246" t="s">
        <v>260</v>
      </c>
      <c r="Q12" s="246"/>
      <c r="R12" s="157">
        <v>0.28799999999999998</v>
      </c>
      <c r="T12" s="229" t="s">
        <v>259</v>
      </c>
      <c r="U12" s="229"/>
      <c r="V12" s="158" t="s">
        <v>254</v>
      </c>
      <c r="W12" s="246" t="s">
        <v>260</v>
      </c>
      <c r="X12" s="246"/>
      <c r="Y12" s="157">
        <v>0.16900000000000001</v>
      </c>
      <c r="AA12" s="229" t="s">
        <v>208</v>
      </c>
      <c r="AB12" s="229"/>
      <c r="AC12" s="158" t="s">
        <v>251</v>
      </c>
      <c r="AD12" s="246" t="s">
        <v>252</v>
      </c>
      <c r="AE12" s="246"/>
      <c r="AF12" s="157">
        <v>0.23</v>
      </c>
      <c r="AH12" s="229" t="s">
        <v>259</v>
      </c>
      <c r="AI12" s="229"/>
      <c r="AJ12" s="158" t="s">
        <v>254</v>
      </c>
      <c r="AK12" s="246" t="s">
        <v>260</v>
      </c>
      <c r="AL12" s="246"/>
      <c r="AM12" s="157">
        <v>1.1299999999999999E-2</v>
      </c>
    </row>
    <row r="13" spans="1:39" s="11" customFormat="1" ht="23.25" customHeight="1" x14ac:dyDescent="0.25">
      <c r="A13" s="229" t="s">
        <v>253</v>
      </c>
      <c r="B13" s="229"/>
      <c r="C13" s="158" t="s">
        <v>254</v>
      </c>
      <c r="D13" s="246" t="s">
        <v>255</v>
      </c>
      <c r="E13" s="246"/>
      <c r="F13" s="157">
        <v>1E-3</v>
      </c>
      <c r="G13" s="157"/>
      <c r="H13" s="157"/>
      <c r="I13" s="157"/>
      <c r="J13" s="157"/>
      <c r="K13" s="107"/>
      <c r="L13" s="107"/>
      <c r="M13" s="229" t="s">
        <v>265</v>
      </c>
      <c r="N13" s="229"/>
      <c r="O13" s="158" t="s">
        <v>254</v>
      </c>
      <c r="P13" s="246" t="s">
        <v>262</v>
      </c>
      <c r="Q13" s="246"/>
      <c r="R13" s="157">
        <v>0.30299999999999999</v>
      </c>
      <c r="T13" s="229" t="s">
        <v>265</v>
      </c>
      <c r="U13" s="229"/>
      <c r="V13" s="158" t="s">
        <v>254</v>
      </c>
      <c r="W13" s="246" t="s">
        <v>262</v>
      </c>
      <c r="X13" s="246"/>
      <c r="Y13" s="157">
        <v>0.152</v>
      </c>
      <c r="AA13" s="229" t="s">
        <v>253</v>
      </c>
      <c r="AB13" s="229"/>
      <c r="AC13" s="158" t="s">
        <v>254</v>
      </c>
      <c r="AD13" s="246" t="s">
        <v>255</v>
      </c>
      <c r="AE13" s="246"/>
      <c r="AF13" s="157" t="s">
        <v>444</v>
      </c>
      <c r="AH13" s="229" t="s">
        <v>265</v>
      </c>
      <c r="AI13" s="229"/>
      <c r="AJ13" s="158" t="s">
        <v>254</v>
      </c>
      <c r="AK13" s="246" t="s">
        <v>262</v>
      </c>
      <c r="AL13" s="246"/>
      <c r="AM13" s="157">
        <v>1.0200000000000001E-2</v>
      </c>
    </row>
    <row r="14" spans="1:39" s="11" customFormat="1" ht="23.25" customHeight="1" x14ac:dyDescent="0.25">
      <c r="A14" s="229" t="s">
        <v>256</v>
      </c>
      <c r="B14" s="229"/>
      <c r="C14" s="158" t="s">
        <v>254</v>
      </c>
      <c r="D14" s="246" t="s">
        <v>255</v>
      </c>
      <c r="E14" s="246"/>
      <c r="F14" s="157">
        <v>1.0999999999999999E-2</v>
      </c>
      <c r="G14" s="157"/>
      <c r="H14" s="157"/>
      <c r="I14" s="157"/>
      <c r="J14" s="157"/>
      <c r="K14" s="107"/>
      <c r="L14" s="107"/>
      <c r="M14" s="229" t="s">
        <v>266</v>
      </c>
      <c r="N14" s="229"/>
      <c r="O14" s="158" t="s">
        <v>254</v>
      </c>
      <c r="P14" s="246" t="s">
        <v>262</v>
      </c>
      <c r="Q14" s="246"/>
      <c r="R14" s="157">
        <v>0.32900000000000001</v>
      </c>
      <c r="T14" s="229" t="s">
        <v>266</v>
      </c>
      <c r="U14" s="229"/>
      <c r="V14" s="158" t="s">
        <v>254</v>
      </c>
      <c r="W14" s="246" t="s">
        <v>262</v>
      </c>
      <c r="X14" s="246"/>
      <c r="Y14" s="157">
        <v>0.17699999999999999</v>
      </c>
      <c r="AA14" s="229" t="s">
        <v>256</v>
      </c>
      <c r="AB14" s="229"/>
      <c r="AC14" s="158" t="s">
        <v>254</v>
      </c>
      <c r="AD14" s="246" t="s">
        <v>255</v>
      </c>
      <c r="AE14" s="246"/>
      <c r="AF14" s="157">
        <v>2E-3</v>
      </c>
      <c r="AH14" s="229" t="s">
        <v>266</v>
      </c>
      <c r="AI14" s="229"/>
      <c r="AJ14" s="158" t="s">
        <v>254</v>
      </c>
      <c r="AK14" s="246" t="s">
        <v>262</v>
      </c>
      <c r="AL14" s="246"/>
      <c r="AM14" s="157">
        <v>1.14E-2</v>
      </c>
    </row>
    <row r="15" spans="1:39" s="11" customFormat="1" ht="23.25" customHeight="1" x14ac:dyDescent="0.25">
      <c r="A15" s="229" t="s">
        <v>257</v>
      </c>
      <c r="B15" s="229"/>
      <c r="C15" s="158" t="s">
        <v>254</v>
      </c>
      <c r="D15" s="246" t="s">
        <v>258</v>
      </c>
      <c r="E15" s="246"/>
      <c r="F15" s="157">
        <v>9.2999999999999999E-2</v>
      </c>
      <c r="G15" s="157"/>
      <c r="H15" s="157"/>
      <c r="I15" s="157"/>
      <c r="J15" s="157"/>
      <c r="K15" s="107"/>
      <c r="L15" s="107"/>
      <c r="M15" s="229" t="s">
        <v>267</v>
      </c>
      <c r="N15" s="229"/>
      <c r="O15" s="158" t="s">
        <v>254</v>
      </c>
      <c r="P15" s="246" t="s">
        <v>262</v>
      </c>
      <c r="Q15" s="246"/>
      <c r="R15" s="157">
        <v>0.497</v>
      </c>
      <c r="T15" s="229" t="s">
        <v>267</v>
      </c>
      <c r="U15" s="229"/>
      <c r="V15" s="158" t="s">
        <v>254</v>
      </c>
      <c r="W15" s="246" t="s">
        <v>262</v>
      </c>
      <c r="X15" s="246"/>
      <c r="Y15" s="157">
        <v>0.17699999999999999</v>
      </c>
      <c r="AA15" s="229" t="s">
        <v>257</v>
      </c>
      <c r="AB15" s="229"/>
      <c r="AC15" s="158" t="s">
        <v>254</v>
      </c>
      <c r="AD15" s="246" t="s">
        <v>258</v>
      </c>
      <c r="AE15" s="246"/>
      <c r="AF15" s="157">
        <v>1.9E-2</v>
      </c>
      <c r="AH15" s="229" t="s">
        <v>267</v>
      </c>
      <c r="AI15" s="229"/>
      <c r="AJ15" s="158" t="s">
        <v>254</v>
      </c>
      <c r="AK15" s="246" t="s">
        <v>262</v>
      </c>
      <c r="AL15" s="246"/>
      <c r="AM15" s="157">
        <v>1.8800000000000001E-2</v>
      </c>
    </row>
    <row r="16" spans="1:39" s="11" customFormat="1" ht="23.25" customHeight="1" x14ac:dyDescent="0.25">
      <c r="A16" s="229" t="s">
        <v>259</v>
      </c>
      <c r="B16" s="229"/>
      <c r="C16" s="158" t="s">
        <v>254</v>
      </c>
      <c r="D16" s="246" t="s">
        <v>260</v>
      </c>
      <c r="E16" s="246"/>
      <c r="F16" s="157">
        <v>0.43</v>
      </c>
      <c r="G16" s="157"/>
      <c r="H16" s="157"/>
      <c r="I16" s="157"/>
      <c r="J16" s="157"/>
      <c r="K16" s="107"/>
      <c r="L16" s="107"/>
      <c r="M16" s="261" t="s">
        <v>242</v>
      </c>
      <c r="N16" s="261"/>
      <c r="O16" s="261"/>
      <c r="P16" s="261"/>
      <c r="Q16" s="261"/>
      <c r="R16" s="261"/>
      <c r="T16" s="261" t="s">
        <v>242</v>
      </c>
      <c r="U16" s="261"/>
      <c r="V16" s="261"/>
      <c r="W16" s="261"/>
      <c r="X16" s="261"/>
      <c r="Y16" s="261"/>
      <c r="AA16" s="229" t="s">
        <v>259</v>
      </c>
      <c r="AB16" s="229"/>
      <c r="AC16" s="158" t="s">
        <v>254</v>
      </c>
      <c r="AD16" s="246" t="s">
        <v>260</v>
      </c>
      <c r="AE16" s="246"/>
      <c r="AF16" s="157">
        <v>0.57099999999999995</v>
      </c>
      <c r="AH16" s="261" t="s">
        <v>242</v>
      </c>
      <c r="AI16" s="261"/>
      <c r="AJ16" s="261"/>
      <c r="AK16" s="261"/>
      <c r="AL16" s="261"/>
      <c r="AM16" s="261"/>
    </row>
    <row r="17" spans="1:39" s="11" customFormat="1" ht="23.25" customHeight="1" x14ac:dyDescent="0.25">
      <c r="A17" s="229" t="s">
        <v>261</v>
      </c>
      <c r="B17" s="229"/>
      <c r="C17" s="158" t="s">
        <v>254</v>
      </c>
      <c r="D17" s="246" t="s">
        <v>262</v>
      </c>
      <c r="E17" s="246"/>
      <c r="F17" s="157">
        <v>1.66E-2</v>
      </c>
      <c r="G17" s="157"/>
      <c r="H17" s="157"/>
      <c r="I17" s="157"/>
      <c r="J17" s="157"/>
      <c r="M17" s="333" t="s">
        <v>443</v>
      </c>
      <c r="N17" s="333"/>
      <c r="O17" s="333"/>
      <c r="P17" s="333"/>
      <c r="Q17" s="333"/>
      <c r="R17" s="333"/>
      <c r="T17" s="333" t="s">
        <v>442</v>
      </c>
      <c r="U17" s="333"/>
      <c r="V17" s="333"/>
      <c r="W17" s="333"/>
      <c r="X17" s="333"/>
      <c r="Y17" s="333"/>
      <c r="AA17" s="229" t="s">
        <v>261</v>
      </c>
      <c r="AB17" s="229"/>
      <c r="AC17" s="158" t="s">
        <v>254</v>
      </c>
      <c r="AD17" s="246" t="s">
        <v>262</v>
      </c>
      <c r="AE17" s="246"/>
      <c r="AF17" s="157">
        <v>0.26300000000000001</v>
      </c>
      <c r="AH17" s="311" t="s">
        <v>447</v>
      </c>
      <c r="AI17" s="311"/>
      <c r="AJ17" s="311"/>
      <c r="AK17" s="311"/>
      <c r="AL17" s="311"/>
      <c r="AM17" s="311"/>
    </row>
    <row r="18" spans="1:39" s="11" customFormat="1" ht="23.25" customHeight="1" x14ac:dyDescent="0.25">
      <c r="A18" s="229" t="s">
        <v>263</v>
      </c>
      <c r="B18" s="229"/>
      <c r="C18" s="158" t="s">
        <v>254</v>
      </c>
      <c r="D18" s="246" t="s">
        <v>262</v>
      </c>
      <c r="E18" s="246"/>
      <c r="F18" s="157">
        <v>8.0000000000000004E-4</v>
      </c>
      <c r="G18" s="157"/>
      <c r="H18" s="157"/>
      <c r="I18" s="157"/>
      <c r="J18" s="157"/>
      <c r="M18" s="334"/>
      <c r="N18" s="334"/>
      <c r="O18" s="334"/>
      <c r="P18" s="334"/>
      <c r="Q18" s="334"/>
      <c r="R18" s="334"/>
      <c r="T18" s="334"/>
      <c r="U18" s="334"/>
      <c r="V18" s="334"/>
      <c r="W18" s="334"/>
      <c r="X18" s="334"/>
      <c r="Y18" s="334"/>
      <c r="AA18" s="229" t="s">
        <v>263</v>
      </c>
      <c r="AB18" s="229"/>
      <c r="AC18" s="158" t="s">
        <v>254</v>
      </c>
      <c r="AD18" s="246" t="s">
        <v>262</v>
      </c>
      <c r="AE18" s="246"/>
      <c r="AF18" s="157">
        <v>1.2999999999999999E-2</v>
      </c>
      <c r="AH18" s="311"/>
      <c r="AI18" s="311"/>
      <c r="AJ18" s="311"/>
      <c r="AK18" s="311"/>
      <c r="AL18" s="311"/>
      <c r="AM18" s="311"/>
    </row>
    <row r="19" spans="1:39" s="11" customFormat="1" ht="23.25" customHeight="1" x14ac:dyDescent="0.35">
      <c r="A19" s="229" t="s">
        <v>264</v>
      </c>
      <c r="B19" s="229"/>
      <c r="C19" s="158" t="s">
        <v>254</v>
      </c>
      <c r="D19" s="246" t="s">
        <v>262</v>
      </c>
      <c r="E19" s="246"/>
      <c r="F19" s="157">
        <v>3.3799999999999997E-2</v>
      </c>
      <c r="G19" s="157"/>
      <c r="H19" s="157"/>
      <c r="I19" s="157"/>
      <c r="J19" s="157"/>
      <c r="M19" s="334"/>
      <c r="N19" s="334"/>
      <c r="O19" s="334"/>
      <c r="P19" s="334"/>
      <c r="Q19" s="334"/>
      <c r="R19" s="334"/>
      <c r="T19" s="334"/>
      <c r="U19" s="334"/>
      <c r="V19" s="334"/>
      <c r="W19" s="334"/>
      <c r="X19" s="334"/>
      <c r="Y19" s="334"/>
      <c r="AA19" s="229" t="s">
        <v>264</v>
      </c>
      <c r="AB19" s="229"/>
      <c r="AC19" s="158" t="s">
        <v>254</v>
      </c>
      <c r="AD19" s="246" t="s">
        <v>262</v>
      </c>
      <c r="AE19" s="246"/>
      <c r="AF19" s="157">
        <v>0.45200000000000001</v>
      </c>
      <c r="AH19" s="2"/>
      <c r="AI19" s="2"/>
      <c r="AJ19" s="2"/>
      <c r="AK19" s="2"/>
      <c r="AL19" s="2"/>
      <c r="AM19" s="2"/>
    </row>
    <row r="20" spans="1:39" s="11" customFormat="1" ht="23.25" customHeight="1" x14ac:dyDescent="0.35">
      <c r="A20" s="229" t="s">
        <v>265</v>
      </c>
      <c r="B20" s="229"/>
      <c r="C20" s="158" t="s">
        <v>254</v>
      </c>
      <c r="D20" s="246" t="s">
        <v>262</v>
      </c>
      <c r="E20" s="246"/>
      <c r="F20" s="157">
        <v>0.41</v>
      </c>
      <c r="G20" s="157"/>
      <c r="H20" s="157"/>
      <c r="I20" s="157"/>
      <c r="J20" s="157"/>
      <c r="M20" s="334"/>
      <c r="N20" s="334"/>
      <c r="O20" s="334"/>
      <c r="P20" s="334"/>
      <c r="Q20" s="334"/>
      <c r="R20" s="334"/>
      <c r="T20" s="334"/>
      <c r="U20" s="334"/>
      <c r="V20" s="334"/>
      <c r="W20" s="334"/>
      <c r="X20" s="334"/>
      <c r="Y20" s="334"/>
      <c r="AA20" s="229" t="s">
        <v>265</v>
      </c>
      <c r="AB20" s="229"/>
      <c r="AC20" s="158" t="s">
        <v>254</v>
      </c>
      <c r="AD20" s="246" t="s">
        <v>262</v>
      </c>
      <c r="AE20" s="246"/>
      <c r="AF20" s="157">
        <v>0.61099999999999999</v>
      </c>
      <c r="AH20" s="2"/>
      <c r="AI20" s="2"/>
      <c r="AJ20" s="2"/>
      <c r="AK20" s="2"/>
      <c r="AL20" s="2"/>
      <c r="AM20" s="2"/>
    </row>
    <row r="21" spans="1:39" s="11" customFormat="1" ht="23.25" customHeight="1" x14ac:dyDescent="0.35">
      <c r="A21" s="229" t="s">
        <v>266</v>
      </c>
      <c r="B21" s="229"/>
      <c r="C21" s="158" t="s">
        <v>254</v>
      </c>
      <c r="D21" s="246" t="s">
        <v>262</v>
      </c>
      <c r="E21" s="246"/>
      <c r="F21" s="157">
        <v>0.48</v>
      </c>
      <c r="G21" s="157"/>
      <c r="H21" s="157"/>
      <c r="I21" s="157"/>
      <c r="J21" s="157"/>
      <c r="M21" s="334"/>
      <c r="N21" s="334"/>
      <c r="O21" s="334"/>
      <c r="P21" s="334"/>
      <c r="Q21" s="334"/>
      <c r="R21" s="334"/>
      <c r="T21" s="334"/>
      <c r="U21" s="334"/>
      <c r="V21" s="334"/>
      <c r="W21" s="334"/>
      <c r="X21" s="334"/>
      <c r="Y21" s="334"/>
      <c r="AA21" s="229" t="s">
        <v>266</v>
      </c>
      <c r="AB21" s="229"/>
      <c r="AC21" s="158" t="s">
        <v>254</v>
      </c>
      <c r="AD21" s="246" t="s">
        <v>262</v>
      </c>
      <c r="AE21" s="246"/>
      <c r="AF21" s="157">
        <v>0.66500000000000004</v>
      </c>
      <c r="AH21" s="2"/>
      <c r="AI21" s="2"/>
      <c r="AJ21" s="2"/>
      <c r="AK21" s="2"/>
      <c r="AL21" s="2"/>
      <c r="AM21" s="2"/>
    </row>
    <row r="22" spans="1:39" s="11" customFormat="1" ht="23.25" customHeight="1" x14ac:dyDescent="0.35">
      <c r="A22" s="229" t="s">
        <v>267</v>
      </c>
      <c r="B22" s="229"/>
      <c r="C22" s="158" t="s">
        <v>254</v>
      </c>
      <c r="D22" s="246" t="s">
        <v>262</v>
      </c>
      <c r="E22" s="246"/>
      <c r="F22" s="157">
        <v>0.86</v>
      </c>
      <c r="G22" s="157"/>
      <c r="H22" s="157"/>
      <c r="I22" s="157"/>
      <c r="J22" s="157"/>
      <c r="M22" s="334"/>
      <c r="N22" s="334"/>
      <c r="O22" s="334"/>
      <c r="P22" s="334"/>
      <c r="Q22" s="334"/>
      <c r="R22" s="334"/>
      <c r="T22" s="334"/>
      <c r="U22" s="334"/>
      <c r="V22" s="334"/>
      <c r="W22" s="334"/>
      <c r="X22" s="334"/>
      <c r="Y22" s="334"/>
      <c r="AA22" s="229" t="s">
        <v>267</v>
      </c>
      <c r="AB22" s="229"/>
      <c r="AC22" s="158" t="s">
        <v>254</v>
      </c>
      <c r="AD22" s="246" t="s">
        <v>262</v>
      </c>
      <c r="AE22" s="246"/>
      <c r="AF22" s="157">
        <v>1.484</v>
      </c>
      <c r="AH22" s="2"/>
      <c r="AI22" s="2"/>
      <c r="AJ22" s="2"/>
      <c r="AK22" s="2"/>
      <c r="AL22" s="2"/>
      <c r="AM22" s="2"/>
    </row>
    <row r="23" spans="1:39" s="11" customFormat="1" ht="23.25" customHeight="1" x14ac:dyDescent="0.35">
      <c r="A23" s="229" t="s">
        <v>268</v>
      </c>
      <c r="B23" s="229"/>
      <c r="C23" s="158" t="s">
        <v>254</v>
      </c>
      <c r="D23" s="246" t="s">
        <v>269</v>
      </c>
      <c r="E23" s="246"/>
      <c r="F23" s="157" t="s">
        <v>440</v>
      </c>
      <c r="G23" s="157"/>
      <c r="H23" s="157"/>
      <c r="I23" s="157"/>
      <c r="J23" s="157"/>
      <c r="M23" s="334"/>
      <c r="N23" s="334"/>
      <c r="O23" s="334"/>
      <c r="P23" s="334"/>
      <c r="Q23" s="334"/>
      <c r="R23" s="334"/>
      <c r="T23" s="334"/>
      <c r="U23" s="334"/>
      <c r="V23" s="334"/>
      <c r="W23" s="334"/>
      <c r="X23" s="334"/>
      <c r="Y23" s="334"/>
      <c r="AA23" s="229" t="s">
        <v>268</v>
      </c>
      <c r="AB23" s="229"/>
      <c r="AC23" s="158" t="s">
        <v>254</v>
      </c>
      <c r="AD23" s="246" t="s">
        <v>269</v>
      </c>
      <c r="AE23" s="246"/>
      <c r="AF23" s="157" t="s">
        <v>445</v>
      </c>
      <c r="AH23" s="2"/>
      <c r="AI23" s="2"/>
      <c r="AJ23" s="2"/>
      <c r="AK23" s="2"/>
      <c r="AL23" s="2"/>
      <c r="AM23" s="2"/>
    </row>
    <row r="24" spans="1:39" s="11" customFormat="1" ht="23.25" customHeight="1" x14ac:dyDescent="0.35">
      <c r="A24" s="229" t="s">
        <v>270</v>
      </c>
      <c r="B24" s="229"/>
      <c r="C24" s="158" t="s">
        <v>254</v>
      </c>
      <c r="D24" s="246" t="s">
        <v>269</v>
      </c>
      <c r="E24" s="246"/>
      <c r="F24" s="157">
        <v>0.1386</v>
      </c>
      <c r="G24" s="157"/>
      <c r="H24" s="157"/>
      <c r="I24" s="157"/>
      <c r="J24" s="157"/>
      <c r="M24" s="2"/>
      <c r="N24" s="2"/>
      <c r="O24" s="2"/>
      <c r="P24" s="2"/>
      <c r="Q24" s="2"/>
      <c r="R24" s="2"/>
      <c r="T24" s="2"/>
      <c r="U24" s="2"/>
      <c r="V24" s="2"/>
      <c r="W24" s="2"/>
      <c r="X24" s="2"/>
      <c r="Y24" s="2"/>
      <c r="AA24" s="229" t="s">
        <v>270</v>
      </c>
      <c r="AB24" s="229"/>
      <c r="AC24" s="158" t="s">
        <v>254</v>
      </c>
      <c r="AD24" s="246" t="s">
        <v>269</v>
      </c>
      <c r="AE24" s="246"/>
      <c r="AF24" s="157">
        <v>0.44729999999999998</v>
      </c>
      <c r="AH24" s="2"/>
      <c r="AI24" s="2"/>
      <c r="AJ24" s="2"/>
      <c r="AK24" s="2"/>
      <c r="AL24" s="2"/>
      <c r="AM24" s="2"/>
    </row>
    <row r="25" spans="1:39" s="11" customFormat="1" ht="23.25" customHeight="1" x14ac:dyDescent="0.35">
      <c r="A25" s="229" t="s">
        <v>271</v>
      </c>
      <c r="B25" s="229"/>
      <c r="C25" s="158" t="s">
        <v>254</v>
      </c>
      <c r="D25" s="246" t="s">
        <v>269</v>
      </c>
      <c r="E25" s="246"/>
      <c r="F25" s="157" t="s">
        <v>440</v>
      </c>
      <c r="G25" s="157"/>
      <c r="H25" s="157"/>
      <c r="I25" s="157"/>
      <c r="J25" s="157"/>
      <c r="M25" s="2"/>
      <c r="N25" s="2"/>
      <c r="O25" s="2"/>
      <c r="P25" s="2"/>
      <c r="Q25" s="2"/>
      <c r="R25" s="2"/>
      <c r="T25" s="2"/>
      <c r="U25" s="2"/>
      <c r="V25" s="2"/>
      <c r="W25" s="2"/>
      <c r="X25" s="2"/>
      <c r="Y25" s="2"/>
      <c r="AA25" s="229" t="s">
        <v>271</v>
      </c>
      <c r="AB25" s="229"/>
      <c r="AC25" s="158" t="s">
        <v>254</v>
      </c>
      <c r="AD25" s="246" t="s">
        <v>269</v>
      </c>
      <c r="AE25" s="246"/>
      <c r="AF25" s="157">
        <v>0.13070000000000001</v>
      </c>
      <c r="AH25" s="2"/>
      <c r="AI25" s="2"/>
      <c r="AJ25" s="2"/>
      <c r="AK25" s="2"/>
      <c r="AL25" s="2"/>
      <c r="AM25" s="2"/>
    </row>
    <row r="26" spans="1:39" s="11" customFormat="1" ht="23.25" customHeight="1" x14ac:dyDescent="0.35">
      <c r="A26" s="229" t="s">
        <v>272</v>
      </c>
      <c r="B26" s="229"/>
      <c r="C26" s="158" t="s">
        <v>254</v>
      </c>
      <c r="D26" s="246" t="s">
        <v>269</v>
      </c>
      <c r="E26" s="246"/>
      <c r="F26" s="157">
        <v>0.26400000000000001</v>
      </c>
      <c r="G26" s="157"/>
      <c r="H26" s="157"/>
      <c r="I26" s="157"/>
      <c r="J26" s="157"/>
      <c r="M26" s="2"/>
      <c r="N26" s="2"/>
      <c r="O26" s="2"/>
      <c r="P26" s="2"/>
      <c r="Q26" s="2"/>
      <c r="R26" s="2"/>
      <c r="T26" s="2"/>
      <c r="U26" s="2"/>
      <c r="V26" s="2"/>
      <c r="W26" s="2"/>
      <c r="X26" s="2"/>
      <c r="Y26" s="2"/>
      <c r="AA26" s="229" t="s">
        <v>272</v>
      </c>
      <c r="AB26" s="229"/>
      <c r="AC26" s="158" t="s">
        <v>254</v>
      </c>
      <c r="AD26" s="246" t="s">
        <v>269</v>
      </c>
      <c r="AE26" s="246"/>
      <c r="AF26" s="157">
        <v>0.32419999999999999</v>
      </c>
      <c r="AH26" s="2"/>
      <c r="AI26" s="2"/>
      <c r="AJ26" s="2"/>
      <c r="AK26" s="2"/>
      <c r="AL26" s="2"/>
      <c r="AM26" s="2"/>
    </row>
    <row r="27" spans="1:39" s="11" customFormat="1" ht="23.25" customHeight="1" x14ac:dyDescent="0.35">
      <c r="A27" s="229" t="s">
        <v>273</v>
      </c>
      <c r="B27" s="229"/>
      <c r="C27" s="158" t="s">
        <v>254</v>
      </c>
      <c r="D27" s="246" t="s">
        <v>269</v>
      </c>
      <c r="E27" s="246"/>
      <c r="F27" s="157">
        <v>1.9800000000000002E-2</v>
      </c>
      <c r="G27" s="157"/>
      <c r="H27" s="157"/>
      <c r="I27" s="157"/>
      <c r="J27" s="157"/>
      <c r="M27" s="2"/>
      <c r="N27" s="2"/>
      <c r="O27" s="2"/>
      <c r="P27" s="2"/>
      <c r="Q27" s="2"/>
      <c r="R27" s="2"/>
      <c r="T27" s="2"/>
      <c r="U27" s="2"/>
      <c r="V27" s="2"/>
      <c r="W27" s="2"/>
      <c r="X27" s="2"/>
      <c r="Y27" s="2"/>
      <c r="AA27" s="229" t="s">
        <v>273</v>
      </c>
      <c r="AB27" s="229"/>
      <c r="AC27" s="158" t="s">
        <v>254</v>
      </c>
      <c r="AD27" s="246" t="s">
        <v>269</v>
      </c>
      <c r="AE27" s="246"/>
      <c r="AF27" s="157">
        <v>2.3999999999999998E-3</v>
      </c>
      <c r="AH27" s="2"/>
      <c r="AI27" s="2"/>
      <c r="AJ27" s="2"/>
      <c r="AK27" s="2"/>
      <c r="AL27" s="2"/>
      <c r="AM27" s="2"/>
    </row>
    <row r="28" spans="1:39" s="11" customFormat="1" ht="23.25" customHeight="1" x14ac:dyDescent="0.35">
      <c r="A28" s="229" t="s">
        <v>274</v>
      </c>
      <c r="B28" s="229"/>
      <c r="C28" s="158" t="s">
        <v>254</v>
      </c>
      <c r="D28" s="246" t="s">
        <v>269</v>
      </c>
      <c r="E28" s="246"/>
      <c r="F28" s="157">
        <v>4.87E-2</v>
      </c>
      <c r="G28" s="157"/>
      <c r="H28" s="157"/>
      <c r="I28" s="157"/>
      <c r="J28" s="157"/>
      <c r="M28" s="2"/>
      <c r="N28" s="2"/>
      <c r="O28" s="2"/>
      <c r="P28" s="2"/>
      <c r="Q28" s="2"/>
      <c r="R28" s="2"/>
      <c r="T28" s="2"/>
      <c r="U28" s="2"/>
      <c r="V28" s="2"/>
      <c r="W28" s="2"/>
      <c r="X28" s="2"/>
      <c r="Y28" s="2"/>
      <c r="AA28" s="229" t="s">
        <v>274</v>
      </c>
      <c r="AB28" s="229"/>
      <c r="AC28" s="158" t="s">
        <v>254</v>
      </c>
      <c r="AD28" s="246" t="s">
        <v>269</v>
      </c>
      <c r="AE28" s="246"/>
      <c r="AF28" s="157">
        <v>6.7299999999999999E-2</v>
      </c>
      <c r="AH28" s="2"/>
      <c r="AI28" s="2"/>
      <c r="AJ28" s="2"/>
      <c r="AK28" s="2"/>
      <c r="AL28" s="2"/>
      <c r="AM28" s="2"/>
    </row>
    <row r="29" spans="1:39" s="11" customFormat="1" ht="23.25" customHeight="1" x14ac:dyDescent="0.35">
      <c r="A29" s="229" t="s">
        <v>275</v>
      </c>
      <c r="B29" s="229"/>
      <c r="C29" s="158" t="s">
        <v>254</v>
      </c>
      <c r="D29" s="246" t="s">
        <v>269</v>
      </c>
      <c r="E29" s="246"/>
      <c r="F29" s="157">
        <v>4.6600000000000003E-2</v>
      </c>
      <c r="G29" s="157"/>
      <c r="H29" s="157"/>
      <c r="I29" s="157"/>
      <c r="J29" s="157"/>
      <c r="M29" s="2"/>
      <c r="N29" s="2"/>
      <c r="O29" s="2"/>
      <c r="P29" s="2"/>
      <c r="Q29" s="2"/>
      <c r="R29" s="2"/>
      <c r="T29" s="2"/>
      <c r="U29" s="2"/>
      <c r="V29" s="2"/>
      <c r="W29" s="2"/>
      <c r="X29" s="2"/>
      <c r="Y29" s="2"/>
      <c r="AA29" s="229" t="s">
        <v>275</v>
      </c>
      <c r="AB29" s="229"/>
      <c r="AC29" s="158" t="s">
        <v>254</v>
      </c>
      <c r="AD29" s="246" t="s">
        <v>269</v>
      </c>
      <c r="AE29" s="246"/>
      <c r="AF29" s="157">
        <v>7.4499999999999997E-2</v>
      </c>
      <c r="AH29" s="2"/>
      <c r="AI29" s="2"/>
      <c r="AJ29" s="2"/>
      <c r="AK29" s="2"/>
      <c r="AL29" s="2"/>
      <c r="AM29" s="2"/>
    </row>
    <row r="30" spans="1:39" s="11" customFormat="1" ht="23.25" customHeight="1" x14ac:dyDescent="0.35">
      <c r="A30" s="229" t="s">
        <v>276</v>
      </c>
      <c r="B30" s="229"/>
      <c r="C30" s="158" t="s">
        <v>254</v>
      </c>
      <c r="D30" s="246" t="s">
        <v>269</v>
      </c>
      <c r="E30" s="246"/>
      <c r="F30" s="157">
        <v>5.9400000000000001E-2</v>
      </c>
      <c r="G30" s="157"/>
      <c r="H30" s="157"/>
      <c r="I30" s="157"/>
      <c r="J30" s="157"/>
      <c r="M30" s="2"/>
      <c r="N30" s="2"/>
      <c r="O30" s="2"/>
      <c r="P30" s="2"/>
      <c r="Q30" s="2"/>
      <c r="R30" s="2"/>
      <c r="T30" s="2"/>
      <c r="U30" s="2"/>
      <c r="V30" s="2"/>
      <c r="W30" s="2"/>
      <c r="X30" s="2"/>
      <c r="Y30" s="2"/>
      <c r="AA30" s="229" t="s">
        <v>276</v>
      </c>
      <c r="AB30" s="229"/>
      <c r="AC30" s="158" t="s">
        <v>254</v>
      </c>
      <c r="AD30" s="246" t="s">
        <v>269</v>
      </c>
      <c r="AE30" s="246"/>
      <c r="AF30" s="157">
        <v>0.19939999999999999</v>
      </c>
      <c r="AH30" s="2"/>
      <c r="AI30" s="2"/>
      <c r="AJ30" s="2"/>
      <c r="AK30" s="2"/>
      <c r="AL30" s="2"/>
      <c r="AM30" s="2"/>
    </row>
    <row r="31" spans="1:39" s="11" customFormat="1" ht="23.25" customHeight="1" x14ac:dyDescent="0.35">
      <c r="A31" s="229" t="s">
        <v>277</v>
      </c>
      <c r="B31" s="229"/>
      <c r="C31" s="158" t="s">
        <v>254</v>
      </c>
      <c r="D31" s="246" t="s">
        <v>269</v>
      </c>
      <c r="E31" s="246"/>
      <c r="F31" s="157" t="s">
        <v>440</v>
      </c>
      <c r="G31" s="157"/>
      <c r="H31" s="157"/>
      <c r="I31" s="157"/>
      <c r="J31" s="157"/>
      <c r="M31" s="2"/>
      <c r="N31" s="2"/>
      <c r="O31" s="2"/>
      <c r="P31" s="2"/>
      <c r="Q31" s="2"/>
      <c r="R31" s="2"/>
      <c r="T31" s="2"/>
      <c r="U31" s="2"/>
      <c r="V31" s="2"/>
      <c r="W31" s="2"/>
      <c r="X31" s="2"/>
      <c r="Y31" s="2"/>
      <c r="AA31" s="229" t="s">
        <v>277</v>
      </c>
      <c r="AB31" s="229"/>
      <c r="AC31" s="158" t="s">
        <v>254</v>
      </c>
      <c r="AD31" s="246" t="s">
        <v>269</v>
      </c>
      <c r="AE31" s="246"/>
      <c r="AF31" s="157" t="s">
        <v>445</v>
      </c>
      <c r="AH31" s="2"/>
      <c r="AI31" s="2"/>
      <c r="AJ31" s="2"/>
      <c r="AK31" s="2"/>
      <c r="AL31" s="2"/>
      <c r="AM31" s="2"/>
    </row>
    <row r="32" spans="1:39" s="11" customFormat="1" ht="23.25" customHeight="1" x14ac:dyDescent="0.35">
      <c r="A32" s="229" t="s">
        <v>278</v>
      </c>
      <c r="B32" s="229"/>
      <c r="C32" s="158" t="s">
        <v>254</v>
      </c>
      <c r="D32" s="246" t="s">
        <v>269</v>
      </c>
      <c r="E32" s="246"/>
      <c r="F32" s="157">
        <v>0.59360000000000002</v>
      </c>
      <c r="G32" s="157"/>
      <c r="H32" s="157"/>
      <c r="I32" s="157"/>
      <c r="J32" s="157"/>
      <c r="M32" s="2"/>
      <c r="N32" s="2"/>
      <c r="O32" s="2"/>
      <c r="P32" s="2"/>
      <c r="Q32" s="2"/>
      <c r="R32" s="2"/>
      <c r="T32" s="2"/>
      <c r="U32" s="2"/>
      <c r="V32" s="2"/>
      <c r="W32" s="2"/>
      <c r="X32" s="2"/>
      <c r="Y32" s="2"/>
      <c r="AA32" s="229" t="s">
        <v>278</v>
      </c>
      <c r="AB32" s="229"/>
      <c r="AC32" s="158" t="s">
        <v>254</v>
      </c>
      <c r="AD32" s="246" t="s">
        <v>269</v>
      </c>
      <c r="AE32" s="246"/>
      <c r="AF32" s="157">
        <v>0.6986</v>
      </c>
      <c r="AH32" s="2"/>
      <c r="AI32" s="2"/>
      <c r="AJ32" s="2"/>
      <c r="AK32" s="2"/>
      <c r="AL32" s="2"/>
      <c r="AM32" s="2"/>
    </row>
    <row r="33" spans="1:39" s="11" customFormat="1" ht="23.25" customHeight="1" x14ac:dyDescent="0.35">
      <c r="A33" s="229" t="s">
        <v>279</v>
      </c>
      <c r="B33" s="229"/>
      <c r="C33" s="158" t="s">
        <v>254</v>
      </c>
      <c r="D33" s="246" t="s">
        <v>269</v>
      </c>
      <c r="E33" s="246"/>
      <c r="F33" s="157">
        <v>4.0000000000000001E-3</v>
      </c>
      <c r="G33" s="157"/>
      <c r="H33" s="157"/>
      <c r="I33" s="157"/>
      <c r="J33" s="157"/>
      <c r="M33" s="2"/>
      <c r="N33" s="2"/>
      <c r="O33" s="2"/>
      <c r="P33" s="2"/>
      <c r="Q33" s="2"/>
      <c r="R33" s="2"/>
      <c r="T33" s="2"/>
      <c r="U33" s="2"/>
      <c r="V33" s="2"/>
      <c r="W33" s="2"/>
      <c r="X33" s="2"/>
      <c r="Y33" s="2"/>
      <c r="AA33" s="229" t="s">
        <v>279</v>
      </c>
      <c r="AB33" s="229"/>
      <c r="AC33" s="158" t="s">
        <v>254</v>
      </c>
      <c r="AD33" s="246" t="s">
        <v>269</v>
      </c>
      <c r="AE33" s="246"/>
      <c r="AF33" s="157" t="s">
        <v>445</v>
      </c>
      <c r="AH33" s="2"/>
      <c r="AI33" s="2"/>
      <c r="AJ33" s="2"/>
      <c r="AK33" s="2"/>
      <c r="AL33" s="2"/>
      <c r="AM33" s="2"/>
    </row>
    <row r="34" spans="1:39" s="11" customFormat="1" ht="23.25" customHeight="1" x14ac:dyDescent="0.35">
      <c r="A34" s="229" t="s">
        <v>280</v>
      </c>
      <c r="B34" s="229"/>
      <c r="C34" s="158" t="s">
        <v>254</v>
      </c>
      <c r="D34" s="246" t="s">
        <v>269</v>
      </c>
      <c r="E34" s="246"/>
      <c r="F34" s="157" t="s">
        <v>440</v>
      </c>
      <c r="G34" s="157"/>
      <c r="H34" s="157"/>
      <c r="I34" s="157"/>
      <c r="J34" s="157"/>
      <c r="M34" s="2"/>
      <c r="N34" s="2"/>
      <c r="O34" s="2"/>
      <c r="P34" s="2"/>
      <c r="Q34" s="2"/>
      <c r="R34" s="2"/>
      <c r="T34" s="2"/>
      <c r="U34" s="2"/>
      <c r="V34" s="2"/>
      <c r="W34" s="2"/>
      <c r="X34" s="2"/>
      <c r="Y34" s="2"/>
      <c r="AA34" s="229" t="s">
        <v>280</v>
      </c>
      <c r="AB34" s="229"/>
      <c r="AC34" s="158" t="s">
        <v>254</v>
      </c>
      <c r="AD34" s="246" t="s">
        <v>269</v>
      </c>
      <c r="AE34" s="246"/>
      <c r="AF34" s="157" t="s">
        <v>445</v>
      </c>
      <c r="AH34" s="2"/>
      <c r="AI34" s="2"/>
      <c r="AJ34" s="2"/>
      <c r="AK34" s="2"/>
      <c r="AL34" s="2"/>
      <c r="AM34" s="2"/>
    </row>
    <row r="35" spans="1:39" s="11" customFormat="1" ht="23.25" customHeight="1" x14ac:dyDescent="0.35">
      <c r="A35" s="229" t="s">
        <v>281</v>
      </c>
      <c r="B35" s="229"/>
      <c r="C35" s="158" t="s">
        <v>254</v>
      </c>
      <c r="D35" s="246" t="s">
        <v>269</v>
      </c>
      <c r="E35" s="246"/>
      <c r="F35" s="157" t="s">
        <v>440</v>
      </c>
      <c r="G35" s="157"/>
      <c r="H35" s="157"/>
      <c r="I35" s="157"/>
      <c r="J35" s="157"/>
      <c r="M35" s="2"/>
      <c r="N35" s="2"/>
      <c r="O35" s="2"/>
      <c r="P35" s="2"/>
      <c r="Q35" s="2"/>
      <c r="R35" s="2"/>
      <c r="T35" s="2"/>
      <c r="U35" s="2"/>
      <c r="V35" s="2"/>
      <c r="W35" s="2"/>
      <c r="X35" s="2"/>
      <c r="Y35" s="2"/>
      <c r="AA35" s="229" t="s">
        <v>281</v>
      </c>
      <c r="AB35" s="229"/>
      <c r="AC35" s="158" t="s">
        <v>254</v>
      </c>
      <c r="AD35" s="246" t="s">
        <v>269</v>
      </c>
      <c r="AE35" s="246"/>
      <c r="AF35" s="157">
        <v>6.4999999999999997E-3</v>
      </c>
      <c r="AH35" s="2"/>
      <c r="AI35" s="2"/>
      <c r="AJ35" s="2"/>
      <c r="AK35" s="2"/>
      <c r="AL35" s="2"/>
      <c r="AM35" s="2"/>
    </row>
    <row r="36" spans="1:39" s="11" customFormat="1" ht="23.25" customHeight="1" x14ac:dyDescent="0.35">
      <c r="A36" s="229" t="s">
        <v>282</v>
      </c>
      <c r="B36" s="229"/>
      <c r="C36" s="158" t="s">
        <v>254</v>
      </c>
      <c r="D36" s="246" t="s">
        <v>269</v>
      </c>
      <c r="E36" s="246"/>
      <c r="F36" s="157">
        <v>8.2576000000000001</v>
      </c>
      <c r="G36" s="157"/>
      <c r="H36" s="157"/>
      <c r="I36" s="157"/>
      <c r="J36" s="157"/>
      <c r="M36" s="2"/>
      <c r="N36" s="2"/>
      <c r="O36" s="2"/>
      <c r="P36" s="2"/>
      <c r="Q36" s="2"/>
      <c r="R36" s="2"/>
      <c r="T36" s="2"/>
      <c r="U36" s="2"/>
      <c r="V36" s="2"/>
      <c r="W36" s="2"/>
      <c r="X36" s="2"/>
      <c r="Y36" s="2"/>
      <c r="AA36" s="229" t="s">
        <v>282</v>
      </c>
      <c r="AB36" s="229"/>
      <c r="AC36" s="158" t="s">
        <v>254</v>
      </c>
      <c r="AD36" s="246" t="s">
        <v>269</v>
      </c>
      <c r="AE36" s="246"/>
      <c r="AF36" s="157">
        <v>0.16969999999999999</v>
      </c>
      <c r="AH36" s="2"/>
      <c r="AI36" s="2"/>
      <c r="AJ36" s="2"/>
      <c r="AK36" s="2"/>
      <c r="AL36" s="2"/>
      <c r="AM36" s="2"/>
    </row>
    <row r="37" spans="1:39" s="11" customFormat="1" ht="23.25" customHeight="1" x14ac:dyDescent="0.35">
      <c r="A37" s="229" t="s">
        <v>283</v>
      </c>
      <c r="B37" s="229"/>
      <c r="C37" s="158" t="s">
        <v>254</v>
      </c>
      <c r="D37" s="246" t="s">
        <v>269</v>
      </c>
      <c r="E37" s="246"/>
      <c r="F37" s="157">
        <v>2.8500000000000001E-2</v>
      </c>
      <c r="G37" s="157"/>
      <c r="H37" s="157"/>
      <c r="I37" s="157"/>
      <c r="J37" s="157"/>
      <c r="M37" s="2"/>
      <c r="N37" s="2"/>
      <c r="O37" s="2"/>
      <c r="P37" s="2"/>
      <c r="Q37" s="2"/>
      <c r="R37" s="2"/>
      <c r="T37" s="2"/>
      <c r="U37" s="2"/>
      <c r="V37" s="2"/>
      <c r="W37" s="2"/>
      <c r="X37" s="2"/>
      <c r="Y37" s="2"/>
      <c r="AA37" s="229" t="s">
        <v>283</v>
      </c>
      <c r="AB37" s="229"/>
      <c r="AC37" s="158" t="s">
        <v>254</v>
      </c>
      <c r="AD37" s="246" t="s">
        <v>269</v>
      </c>
      <c r="AE37" s="246"/>
      <c r="AF37" s="157">
        <v>7.1300000000000002E-2</v>
      </c>
      <c r="AH37" s="2"/>
      <c r="AI37" s="2"/>
      <c r="AJ37" s="2"/>
      <c r="AK37" s="2"/>
      <c r="AL37" s="2"/>
      <c r="AM37" s="2"/>
    </row>
    <row r="38" spans="1:39" s="11" customFormat="1" ht="23.25" customHeight="1" x14ac:dyDescent="0.35">
      <c r="A38" s="229" t="s">
        <v>284</v>
      </c>
      <c r="B38" s="229"/>
      <c r="C38" s="158" t="s">
        <v>254</v>
      </c>
      <c r="D38" s="246" t="s">
        <v>269</v>
      </c>
      <c r="E38" s="246"/>
      <c r="F38" s="157">
        <v>0.92679999999999996</v>
      </c>
      <c r="G38" s="157"/>
      <c r="H38" s="157"/>
      <c r="I38" s="157"/>
      <c r="J38" s="157"/>
      <c r="M38" s="2"/>
      <c r="N38" s="2"/>
      <c r="O38" s="2"/>
      <c r="P38" s="2"/>
      <c r="Q38" s="2"/>
      <c r="R38" s="2"/>
      <c r="T38" s="2"/>
      <c r="U38" s="2"/>
      <c r="V38" s="2"/>
      <c r="W38" s="2"/>
      <c r="X38" s="2"/>
      <c r="Y38" s="2"/>
      <c r="AA38" s="229" t="s">
        <v>284</v>
      </c>
      <c r="AB38" s="229"/>
      <c r="AC38" s="158" t="s">
        <v>254</v>
      </c>
      <c r="AD38" s="246" t="s">
        <v>269</v>
      </c>
      <c r="AE38" s="246"/>
      <c r="AF38" s="157">
        <v>0.17680000000000001</v>
      </c>
      <c r="AH38" s="2"/>
      <c r="AI38" s="2"/>
      <c r="AJ38" s="2"/>
      <c r="AK38" s="2"/>
      <c r="AL38" s="2"/>
      <c r="AM38" s="2"/>
    </row>
    <row r="39" spans="1:39" x14ac:dyDescent="0.35">
      <c r="A39" s="261" t="s">
        <v>242</v>
      </c>
      <c r="B39" s="261"/>
      <c r="C39" s="261"/>
      <c r="D39" s="261"/>
      <c r="E39" s="261"/>
      <c r="F39" s="261"/>
      <c r="G39" s="261"/>
      <c r="H39" s="261"/>
      <c r="I39" s="261"/>
      <c r="J39" s="261"/>
      <c r="AA39" s="261" t="s">
        <v>242</v>
      </c>
      <c r="AB39" s="261"/>
      <c r="AC39" s="261"/>
      <c r="AD39" s="261"/>
      <c r="AE39" s="261"/>
      <c r="AF39" s="261"/>
    </row>
    <row r="40" spans="1:39" ht="15" customHeight="1" x14ac:dyDescent="0.35">
      <c r="A40" s="262" t="s">
        <v>441</v>
      </c>
      <c r="B40" s="262"/>
      <c r="C40" s="262"/>
      <c r="D40" s="262"/>
      <c r="E40" s="262"/>
      <c r="F40" s="262"/>
      <c r="G40" s="262"/>
      <c r="H40" s="262"/>
      <c r="I40" s="262"/>
      <c r="J40" s="262"/>
      <c r="AA40" s="333" t="s">
        <v>446</v>
      </c>
      <c r="AB40" s="333"/>
      <c r="AC40" s="333"/>
      <c r="AD40" s="333"/>
      <c r="AE40" s="333"/>
      <c r="AF40" s="333"/>
    </row>
    <row r="41" spans="1:39" x14ac:dyDescent="0.35">
      <c r="A41" s="262"/>
      <c r="B41" s="262"/>
      <c r="C41" s="262"/>
      <c r="D41" s="262"/>
      <c r="E41" s="262"/>
      <c r="F41" s="262"/>
      <c r="G41" s="262"/>
      <c r="H41" s="262"/>
      <c r="I41" s="262"/>
      <c r="J41" s="262"/>
      <c r="AA41" s="334"/>
      <c r="AB41" s="334"/>
      <c r="AC41" s="334"/>
      <c r="AD41" s="334"/>
      <c r="AE41" s="334"/>
      <c r="AF41" s="334"/>
    </row>
    <row r="42" spans="1:39" x14ac:dyDescent="0.35">
      <c r="AA42" s="334"/>
      <c r="AB42" s="334"/>
      <c r="AC42" s="334"/>
      <c r="AD42" s="334"/>
      <c r="AE42" s="334"/>
      <c r="AF42" s="334"/>
    </row>
    <row r="43" spans="1:39" x14ac:dyDescent="0.35">
      <c r="AA43" s="334"/>
      <c r="AB43" s="334"/>
      <c r="AC43" s="334"/>
      <c r="AD43" s="334"/>
      <c r="AE43" s="334"/>
      <c r="AF43" s="334"/>
    </row>
    <row r="44" spans="1:39" x14ac:dyDescent="0.35">
      <c r="AA44" s="334"/>
      <c r="AB44" s="334"/>
      <c r="AC44" s="334"/>
      <c r="AD44" s="334"/>
      <c r="AE44" s="334"/>
      <c r="AF44" s="334"/>
    </row>
    <row r="45" spans="1:39" x14ac:dyDescent="0.35">
      <c r="AA45" s="334"/>
      <c r="AB45" s="334"/>
      <c r="AC45" s="334"/>
      <c r="AD45" s="334"/>
      <c r="AE45" s="334"/>
      <c r="AF45" s="334"/>
    </row>
    <row r="46" spans="1:39" x14ac:dyDescent="0.35">
      <c r="AA46" s="334"/>
      <c r="AB46" s="334"/>
      <c r="AC46" s="334"/>
      <c r="AD46" s="334"/>
      <c r="AE46" s="334"/>
      <c r="AF46" s="334"/>
    </row>
    <row r="47" spans="1:39" x14ac:dyDescent="0.35">
      <c r="AA47" s="334"/>
      <c r="AB47" s="334"/>
      <c r="AC47" s="334"/>
      <c r="AD47" s="334"/>
      <c r="AE47" s="334"/>
      <c r="AF47" s="334"/>
    </row>
    <row r="64" spans="6:6" x14ac:dyDescent="0.35">
      <c r="F64" s="3"/>
    </row>
  </sheetData>
  <mergeCells count="164">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 ref="A21:B21"/>
    <mergeCell ref="A22:B22"/>
    <mergeCell ref="D35:E35"/>
    <mergeCell ref="D36:E36"/>
    <mergeCell ref="A34:B34"/>
    <mergeCell ref="A35:B35"/>
    <mergeCell ref="A36:B36"/>
    <mergeCell ref="A37:B37"/>
    <mergeCell ref="A25:B25"/>
    <mergeCell ref="D33:E33"/>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9:J9"/>
    <mergeCell ref="A6:J7"/>
    <mergeCell ref="A12:B12"/>
    <mergeCell ref="A13:B13"/>
    <mergeCell ref="D12:E12"/>
    <mergeCell ref="D13:E13"/>
    <mergeCell ref="A10:B11"/>
    <mergeCell ref="F10:J10"/>
    <mergeCell ref="D10:E11"/>
    <mergeCell ref="C10:C11"/>
    <mergeCell ref="W15:X15"/>
    <mergeCell ref="M16:R16"/>
    <mergeCell ref="T9:Y9"/>
    <mergeCell ref="T10:U11"/>
    <mergeCell ref="V10:V11"/>
    <mergeCell ref="W10:X11"/>
    <mergeCell ref="T12:U12"/>
    <mergeCell ref="W12:X12"/>
    <mergeCell ref="M14:N14"/>
    <mergeCell ref="P14:Q14"/>
    <mergeCell ref="M15:N15"/>
    <mergeCell ref="P15:Q15"/>
    <mergeCell ref="M13:N13"/>
    <mergeCell ref="P13:Q13"/>
    <mergeCell ref="M12:N12"/>
    <mergeCell ref="P12:Q12"/>
    <mergeCell ref="M9:R9"/>
    <mergeCell ref="M10:N11"/>
    <mergeCell ref="O10:O11"/>
    <mergeCell ref="P10:Q11"/>
    <mergeCell ref="AA16:AB16"/>
    <mergeCell ref="AD16:AE16"/>
    <mergeCell ref="AA17:AB17"/>
    <mergeCell ref="AD17:AE17"/>
    <mergeCell ref="AA18:AB18"/>
    <mergeCell ref="AD18:AE18"/>
    <mergeCell ref="T16:Y16"/>
    <mergeCell ref="AA9:AF9"/>
    <mergeCell ref="AA10:AB11"/>
    <mergeCell ref="AC10:AC11"/>
    <mergeCell ref="AD10:AE11"/>
    <mergeCell ref="AA12:AB12"/>
    <mergeCell ref="AD12:AE12"/>
    <mergeCell ref="AA13:AB13"/>
    <mergeCell ref="AD13:AE13"/>
    <mergeCell ref="AA14:AB14"/>
    <mergeCell ref="AD14:AE14"/>
    <mergeCell ref="AA15:AB15"/>
    <mergeCell ref="AD15:AE15"/>
    <mergeCell ref="T13:U13"/>
    <mergeCell ref="W13:X13"/>
    <mergeCell ref="T14:U14"/>
    <mergeCell ref="W14:X14"/>
    <mergeCell ref="T15:U15"/>
    <mergeCell ref="AA23:AB23"/>
    <mergeCell ref="AD23:AE23"/>
    <mergeCell ref="AA24:AB24"/>
    <mergeCell ref="AD24:AE24"/>
    <mergeCell ref="AA19:AB19"/>
    <mergeCell ref="AD19:AE19"/>
    <mergeCell ref="AA20:AB20"/>
    <mergeCell ref="AD20:AE20"/>
    <mergeCell ref="AA21:AB21"/>
    <mergeCell ref="AD21:AE21"/>
    <mergeCell ref="AH9:AM9"/>
    <mergeCell ref="AH10:AI11"/>
    <mergeCell ref="AJ10:AJ11"/>
    <mergeCell ref="AK10:AL11"/>
    <mergeCell ref="AH12:AI12"/>
    <mergeCell ref="AK12:AL12"/>
    <mergeCell ref="AA37:AB37"/>
    <mergeCell ref="AD37:AE37"/>
    <mergeCell ref="AA38:AB38"/>
    <mergeCell ref="AD38:AE38"/>
    <mergeCell ref="AA34:AB34"/>
    <mergeCell ref="AD34:AE34"/>
    <mergeCell ref="AA35:AB35"/>
    <mergeCell ref="AD35:AE35"/>
    <mergeCell ref="AA36:AB36"/>
    <mergeCell ref="AD36:AE36"/>
    <mergeCell ref="AA31:AB31"/>
    <mergeCell ref="AD31:AE31"/>
    <mergeCell ref="AA32:AB32"/>
    <mergeCell ref="AD32:AE32"/>
    <mergeCell ref="AA33:AB33"/>
    <mergeCell ref="AD33:AE33"/>
    <mergeCell ref="AA28:AB28"/>
    <mergeCell ref="AD28:AE28"/>
    <mergeCell ref="AH16:AM16"/>
    <mergeCell ref="AH17:AM18"/>
    <mergeCell ref="M17:R23"/>
    <mergeCell ref="T17:Y23"/>
    <mergeCell ref="AA40:AF47"/>
    <mergeCell ref="AH13:AI13"/>
    <mergeCell ref="AK13:AL13"/>
    <mergeCell ref="AH14:AI14"/>
    <mergeCell ref="AK14:AL14"/>
    <mergeCell ref="AH15:AI15"/>
    <mergeCell ref="AK15:AL15"/>
    <mergeCell ref="AA39:AF39"/>
    <mergeCell ref="AA29:AB29"/>
    <mergeCell ref="AD29:AE29"/>
    <mergeCell ref="AA30:AB30"/>
    <mergeCell ref="AD30:AE30"/>
    <mergeCell ref="AA25:AB25"/>
    <mergeCell ref="AD25:AE25"/>
    <mergeCell ref="AA26:AB26"/>
    <mergeCell ref="AD26:AE26"/>
    <mergeCell ref="AA27:AB27"/>
    <mergeCell ref="AD27:AE27"/>
    <mergeCell ref="AA22:AB22"/>
    <mergeCell ref="AD22:AE22"/>
  </mergeCells>
  <pageMargins left="0.7" right="0.7" top="0.75" bottom="0.75" header="0.3" footer="0.3"/>
  <pageSetup paperSize="9" scale="87" orientation="portrait"/>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zoomScaleNormal="100" workbookViewId="0">
      <selection activeCell="F17" sqref="F17"/>
    </sheetView>
  </sheetViews>
  <sheetFormatPr defaultColWidth="9.1796875" defaultRowHeight="15.5" x14ac:dyDescent="0.35"/>
  <cols>
    <col min="1" max="1" width="21.1796875" style="2" customWidth="1"/>
    <col min="2" max="2" width="13.81640625" style="2" customWidth="1"/>
    <col min="3" max="3" width="16.1796875" style="2" customWidth="1"/>
    <col min="4" max="12" width="9.1796875" style="2"/>
    <col min="13" max="13" width="10.453125" style="2" customWidth="1"/>
    <col min="14" max="16384" width="9.1796875" style="2"/>
  </cols>
  <sheetData>
    <row r="1" spans="1:16" x14ac:dyDescent="0.35">
      <c r="A1" s="94" t="str">
        <f>+'Cover Page'!$B$29</f>
        <v>Annual Performance Report 2022</v>
      </c>
      <c r="B1" s="94"/>
      <c r="C1" s="94"/>
      <c r="D1" s="94"/>
      <c r="E1" s="94"/>
      <c r="F1" s="94"/>
      <c r="G1" s="94"/>
      <c r="H1" s="94"/>
      <c r="I1" s="94" t="str">
        <f>+'Cover Page'!$B$33</f>
        <v>Welland Biopower Ltd</v>
      </c>
      <c r="J1" s="94"/>
      <c r="K1" s="94"/>
      <c r="L1" s="94"/>
      <c r="M1" s="94"/>
      <c r="N1" s="94"/>
      <c r="O1" s="94"/>
      <c r="P1" s="94"/>
    </row>
    <row r="3" spans="1:16" x14ac:dyDescent="0.35">
      <c r="A3" s="1" t="s">
        <v>285</v>
      </c>
      <c r="B3" s="94"/>
      <c r="C3" s="94"/>
      <c r="D3" s="94"/>
      <c r="E3" s="94"/>
      <c r="F3" s="94"/>
      <c r="G3" s="94"/>
      <c r="H3" s="94"/>
      <c r="I3" s="94"/>
      <c r="J3" s="94"/>
      <c r="K3" s="94"/>
      <c r="L3" s="94"/>
      <c r="M3" s="94"/>
      <c r="N3" s="94"/>
      <c r="O3" s="94"/>
      <c r="P3" s="94"/>
    </row>
    <row r="4" spans="1:16" x14ac:dyDescent="0.35">
      <c r="A4" s="1"/>
      <c r="B4" s="94"/>
      <c r="C4" s="94"/>
      <c r="D4" s="94"/>
      <c r="E4" s="94"/>
      <c r="F4" s="94"/>
      <c r="G4" s="94"/>
      <c r="H4" s="94"/>
      <c r="I4" s="94"/>
      <c r="J4" s="94"/>
      <c r="K4" s="94"/>
      <c r="L4" s="94"/>
      <c r="M4" s="94"/>
      <c r="N4" s="94"/>
      <c r="O4" s="94"/>
      <c r="P4" s="69" t="s">
        <v>3</v>
      </c>
    </row>
    <row r="5" spans="1:16" s="3" customFormat="1" ht="21.75" customHeight="1" x14ac:dyDescent="0.35">
      <c r="A5" s="44" t="s">
        <v>247</v>
      </c>
      <c r="B5" s="45"/>
      <c r="C5" s="45"/>
      <c r="D5" s="45"/>
      <c r="E5" s="45"/>
      <c r="F5" s="45"/>
      <c r="G5" s="45"/>
      <c r="H5" s="45"/>
      <c r="I5" s="45"/>
      <c r="J5" s="45"/>
      <c r="K5" s="45"/>
      <c r="L5" s="45"/>
      <c r="M5" s="46"/>
      <c r="P5" s="70" t="s">
        <v>286</v>
      </c>
    </row>
    <row r="6" spans="1:16" s="3" customFormat="1" ht="15.75" customHeight="1" x14ac:dyDescent="0.3">
      <c r="A6" s="308"/>
      <c r="B6" s="208"/>
      <c r="C6" s="208"/>
      <c r="D6" s="208"/>
      <c r="E6" s="208"/>
      <c r="F6" s="208"/>
      <c r="G6" s="208"/>
      <c r="H6" s="208"/>
      <c r="I6" s="208"/>
      <c r="J6" s="208"/>
      <c r="K6" s="208"/>
      <c r="L6" s="208"/>
      <c r="M6" s="209"/>
      <c r="P6" s="3" t="s">
        <v>287</v>
      </c>
    </row>
    <row r="7" spans="1:16" s="3" customFormat="1" ht="15.75" customHeight="1" x14ac:dyDescent="0.3">
      <c r="A7" s="213"/>
      <c r="B7" s="214"/>
      <c r="C7" s="214"/>
      <c r="D7" s="214"/>
      <c r="E7" s="214"/>
      <c r="F7" s="214"/>
      <c r="G7" s="214"/>
      <c r="H7" s="214"/>
      <c r="I7" s="214"/>
      <c r="J7" s="214"/>
      <c r="K7" s="214"/>
      <c r="L7" s="214"/>
      <c r="M7" s="215"/>
    </row>
    <row r="8" spans="1:16" s="3" customFormat="1" ht="15.75" customHeight="1" x14ac:dyDescent="0.3">
      <c r="A8" s="199"/>
      <c r="B8" s="200"/>
      <c r="C8" s="200"/>
      <c r="D8" s="200"/>
      <c r="E8" s="200"/>
      <c r="F8" s="200"/>
      <c r="G8" s="200"/>
      <c r="H8" s="200"/>
      <c r="I8" s="200"/>
      <c r="J8" s="200"/>
      <c r="K8" s="200"/>
      <c r="L8" s="200"/>
      <c r="M8" s="201"/>
    </row>
    <row r="9" spans="1:16" s="3" customFormat="1" ht="15.75" customHeight="1" x14ac:dyDescent="0.3">
      <c r="A9" s="205"/>
      <c r="B9" s="206"/>
      <c r="C9" s="206"/>
      <c r="D9" s="206"/>
      <c r="E9" s="206"/>
      <c r="F9" s="206"/>
      <c r="G9" s="206"/>
      <c r="H9" s="206"/>
      <c r="I9" s="206"/>
      <c r="J9" s="206"/>
      <c r="K9" s="206"/>
      <c r="L9" s="206"/>
      <c r="M9" s="207"/>
    </row>
    <row r="10" spans="1:16" s="3" customFormat="1" ht="14" x14ac:dyDescent="0.3"/>
    <row r="11" spans="1:16" s="52" customFormat="1" ht="16.5" customHeight="1" x14ac:dyDescent="0.35">
      <c r="A11" s="310" t="s">
        <v>288</v>
      </c>
      <c r="B11" s="310"/>
      <c r="C11" s="310"/>
      <c r="D11" s="310"/>
      <c r="E11" s="310"/>
      <c r="F11" s="310"/>
      <c r="G11" s="310"/>
      <c r="H11" s="310"/>
      <c r="I11" s="310"/>
      <c r="J11" s="310"/>
      <c r="K11" s="310"/>
      <c r="L11" s="310"/>
      <c r="M11" s="310"/>
    </row>
    <row r="12" spans="1:16" s="52" customFormat="1" ht="16.5" customHeight="1" x14ac:dyDescent="0.35">
      <c r="A12" s="352" t="s">
        <v>196</v>
      </c>
      <c r="B12" s="339" t="s">
        <v>289</v>
      </c>
      <c r="C12" s="291" t="s">
        <v>250</v>
      </c>
      <c r="D12" s="284" t="s">
        <v>170</v>
      </c>
      <c r="E12" s="285"/>
      <c r="F12" s="284" t="s">
        <v>171</v>
      </c>
      <c r="G12" s="285"/>
      <c r="H12" s="284" t="s">
        <v>172</v>
      </c>
      <c r="I12" s="285"/>
      <c r="J12" s="284" t="s">
        <v>173</v>
      </c>
      <c r="K12" s="285"/>
      <c r="L12" s="284" t="s">
        <v>174</v>
      </c>
      <c r="M12" s="285"/>
    </row>
    <row r="13" spans="1:16" s="11" customFormat="1" ht="17.25" customHeight="1" x14ac:dyDescent="0.25">
      <c r="A13" s="352"/>
      <c r="B13" s="353"/>
      <c r="C13" s="291"/>
      <c r="D13" s="88" t="s">
        <v>245</v>
      </c>
      <c r="E13" s="53" t="s">
        <v>290</v>
      </c>
      <c r="F13" s="88" t="s">
        <v>245</v>
      </c>
      <c r="G13" s="53" t="s">
        <v>290</v>
      </c>
      <c r="H13" s="88" t="s">
        <v>245</v>
      </c>
      <c r="I13" s="53" t="s">
        <v>290</v>
      </c>
      <c r="J13" s="88" t="s">
        <v>245</v>
      </c>
      <c r="K13" s="53" t="s">
        <v>290</v>
      </c>
      <c r="L13" s="88" t="s">
        <v>245</v>
      </c>
      <c r="M13" s="53" t="s">
        <v>290</v>
      </c>
      <c r="N13" s="107"/>
      <c r="O13" s="107"/>
      <c r="P13" s="107"/>
    </row>
    <row r="14" spans="1:16" s="11" customFormat="1" ht="23.25" customHeight="1" x14ac:dyDescent="0.25">
      <c r="A14" s="229" t="s">
        <v>203</v>
      </c>
      <c r="B14" s="154" t="s">
        <v>291</v>
      </c>
      <c r="C14" s="154">
        <v>300</v>
      </c>
      <c r="D14" s="157">
        <f>NOx!O19</f>
        <v>282</v>
      </c>
      <c r="E14" s="157">
        <f>NOx!N19</f>
        <v>212.70500000000001</v>
      </c>
      <c r="F14" s="157"/>
      <c r="G14" s="157"/>
      <c r="H14" s="157"/>
      <c r="I14" s="157"/>
      <c r="J14" s="157"/>
      <c r="K14" s="157"/>
      <c r="L14" s="157"/>
      <c r="M14" s="157"/>
      <c r="N14" s="107"/>
      <c r="O14" s="107"/>
      <c r="P14" s="107"/>
    </row>
    <row r="15" spans="1:16" s="11" customFormat="1" ht="23.25" customHeight="1" x14ac:dyDescent="0.25">
      <c r="A15" s="229"/>
      <c r="B15" s="154" t="s">
        <v>292</v>
      </c>
      <c r="C15" s="154">
        <v>600</v>
      </c>
      <c r="D15" s="157">
        <f>NOx!M19</f>
        <v>1142</v>
      </c>
      <c r="E15" s="157">
        <f>NOx!L19</f>
        <v>202.75</v>
      </c>
      <c r="F15" s="157"/>
      <c r="G15" s="157"/>
      <c r="H15" s="157"/>
      <c r="I15" s="157"/>
      <c r="J15" s="157"/>
      <c r="K15" s="157"/>
      <c r="L15" s="157"/>
      <c r="M15" s="157"/>
      <c r="N15" s="107"/>
      <c r="O15" s="107"/>
      <c r="P15" s="107"/>
    </row>
    <row r="16" spans="1:16" s="11" customFormat="1" ht="23.25" customHeight="1" x14ac:dyDescent="0.25">
      <c r="A16" s="90" t="s">
        <v>201</v>
      </c>
      <c r="B16" s="159" t="s">
        <v>291</v>
      </c>
      <c r="C16" s="154">
        <v>15</v>
      </c>
      <c r="D16" s="157">
        <f>Particulates!O19</f>
        <v>36</v>
      </c>
      <c r="E16" s="157">
        <f>Particulates!N19</f>
        <v>4.3491666666666671</v>
      </c>
      <c r="F16" s="157"/>
      <c r="G16" s="157"/>
      <c r="H16" s="157"/>
      <c r="I16" s="157"/>
      <c r="J16" s="157"/>
      <c r="K16" s="157"/>
      <c r="L16" s="157"/>
      <c r="M16" s="157"/>
      <c r="N16" s="107"/>
      <c r="O16" s="107"/>
      <c r="P16" s="107"/>
    </row>
    <row r="17" spans="1:13" s="11" customFormat="1" ht="23.25" customHeight="1" x14ac:dyDescent="0.25">
      <c r="A17" s="90"/>
      <c r="B17" s="154" t="s">
        <v>292</v>
      </c>
      <c r="C17" s="154">
        <v>45</v>
      </c>
      <c r="D17" s="157">
        <f>Particulates!M19</f>
        <v>668</v>
      </c>
      <c r="E17" s="157">
        <f>Particulates!L19</f>
        <v>4.416666666666667</v>
      </c>
      <c r="F17" s="157"/>
      <c r="G17" s="157"/>
      <c r="H17" s="157"/>
      <c r="I17" s="157"/>
      <c r="J17" s="157"/>
      <c r="K17" s="157"/>
      <c r="L17" s="157"/>
      <c r="M17" s="157"/>
    </row>
    <row r="18" spans="1:13" s="11" customFormat="1" ht="23.25" customHeight="1" x14ac:dyDescent="0.25">
      <c r="A18" s="90" t="s">
        <v>293</v>
      </c>
      <c r="B18" s="154" t="s">
        <v>291</v>
      </c>
      <c r="C18" s="154">
        <v>15</v>
      </c>
      <c r="D18" s="157">
        <f>TOC!O19</f>
        <v>200</v>
      </c>
      <c r="E18" s="157">
        <f>TOC!N19</f>
        <v>1.5241666666666667</v>
      </c>
      <c r="F18" s="157"/>
      <c r="G18" s="157"/>
      <c r="H18" s="157"/>
      <c r="I18" s="157"/>
      <c r="J18" s="157"/>
      <c r="K18" s="157"/>
      <c r="L18" s="157"/>
      <c r="M18" s="157"/>
    </row>
    <row r="19" spans="1:13" s="11" customFormat="1" ht="23.25" customHeight="1" x14ac:dyDescent="0.25">
      <c r="A19" s="90"/>
      <c r="B19" s="154" t="s">
        <v>292</v>
      </c>
      <c r="C19" s="154">
        <v>30</v>
      </c>
      <c r="D19" s="157">
        <f>TOC!M19</f>
        <v>2989</v>
      </c>
      <c r="E19" s="157">
        <f>TOC!L19</f>
        <v>1.3333333333333333</v>
      </c>
      <c r="F19" s="157"/>
      <c r="G19" s="157"/>
      <c r="H19" s="157"/>
      <c r="I19" s="157"/>
      <c r="J19" s="157"/>
      <c r="K19" s="157"/>
      <c r="L19" s="157"/>
      <c r="M19" s="157"/>
    </row>
    <row r="20" spans="1:13" s="11" customFormat="1" ht="23.25" customHeight="1" x14ac:dyDescent="0.25">
      <c r="A20" s="90" t="s">
        <v>294</v>
      </c>
      <c r="B20" s="154" t="s">
        <v>291</v>
      </c>
      <c r="C20" s="154">
        <v>15</v>
      </c>
      <c r="D20" s="157">
        <f>HCl!O19</f>
        <v>15</v>
      </c>
      <c r="E20" s="157">
        <f>HCl!N19</f>
        <v>10.860833333333334</v>
      </c>
      <c r="F20" s="157"/>
      <c r="G20" s="157"/>
      <c r="H20" s="157"/>
      <c r="I20" s="157"/>
      <c r="J20" s="157"/>
      <c r="K20" s="157"/>
      <c r="L20" s="157"/>
      <c r="M20" s="157"/>
    </row>
    <row r="21" spans="1:13" s="11" customFormat="1" ht="23.25" customHeight="1" x14ac:dyDescent="0.25">
      <c r="A21" s="90"/>
      <c r="B21" s="154" t="s">
        <v>292</v>
      </c>
      <c r="C21" s="154">
        <v>90</v>
      </c>
      <c r="D21" s="157">
        <f>HCl!M19</f>
        <v>43</v>
      </c>
      <c r="E21" s="157">
        <f>HCl!L19</f>
        <v>10.166666666666666</v>
      </c>
      <c r="F21" s="157"/>
      <c r="G21" s="157"/>
      <c r="H21" s="157"/>
      <c r="I21" s="157"/>
      <c r="J21" s="157"/>
      <c r="K21" s="157"/>
      <c r="L21" s="157"/>
      <c r="M21" s="157"/>
    </row>
    <row r="22" spans="1:13" s="11" customFormat="1" ht="23.25" customHeight="1" x14ac:dyDescent="0.25">
      <c r="A22" s="90" t="s">
        <v>204</v>
      </c>
      <c r="B22" s="154" t="s">
        <v>291</v>
      </c>
      <c r="C22" s="154">
        <v>75</v>
      </c>
      <c r="D22" s="157">
        <f>'SO2'!O19</f>
        <v>63</v>
      </c>
      <c r="E22" s="157">
        <f>'SO2'!N19</f>
        <v>34.064166666666665</v>
      </c>
      <c r="F22" s="157"/>
      <c r="G22" s="157"/>
      <c r="H22" s="157"/>
      <c r="I22" s="157"/>
      <c r="J22" s="157"/>
      <c r="K22" s="157"/>
      <c r="L22" s="157"/>
      <c r="M22" s="157"/>
    </row>
    <row r="23" spans="1:13" s="11" customFormat="1" ht="23.25" customHeight="1" x14ac:dyDescent="0.25">
      <c r="A23" s="90"/>
      <c r="B23" s="154" t="s">
        <v>292</v>
      </c>
      <c r="C23" s="154">
        <v>300</v>
      </c>
      <c r="D23" s="157">
        <f>'SO2'!M19</f>
        <v>175</v>
      </c>
      <c r="E23" s="157">
        <f>'SO2'!L19</f>
        <v>30.083333333333332</v>
      </c>
      <c r="F23" s="157"/>
      <c r="G23" s="157"/>
      <c r="H23" s="157"/>
      <c r="I23" s="157"/>
      <c r="J23" s="157"/>
      <c r="K23" s="157"/>
      <c r="L23" s="157"/>
      <c r="M23" s="157"/>
    </row>
    <row r="24" spans="1:13" s="11" customFormat="1" ht="23.25" customHeight="1" x14ac:dyDescent="0.25">
      <c r="A24" s="90" t="s">
        <v>295</v>
      </c>
      <c r="B24" s="154" t="s">
        <v>291</v>
      </c>
      <c r="C24" s="154">
        <v>75</v>
      </c>
      <c r="D24" s="157">
        <f>'CO 0.5hourly'!O19</f>
        <v>3025</v>
      </c>
      <c r="E24" s="157">
        <f>'CO 0.5hourly'!N19</f>
        <v>55.989166666666655</v>
      </c>
      <c r="F24" s="157"/>
      <c r="G24" s="157"/>
      <c r="H24" s="157"/>
      <c r="I24" s="157"/>
      <c r="J24" s="157"/>
      <c r="K24" s="157"/>
      <c r="L24" s="157"/>
      <c r="M24" s="157"/>
    </row>
    <row r="25" spans="1:13" s="11" customFormat="1" ht="23.25" customHeight="1" x14ac:dyDescent="0.25">
      <c r="A25" s="90"/>
      <c r="B25" s="157" t="s">
        <v>296</v>
      </c>
      <c r="C25" s="157">
        <v>150</v>
      </c>
      <c r="D25" s="157">
        <f>'CO 0.5hourly'!M19</f>
        <v>8417</v>
      </c>
      <c r="E25" s="157">
        <f>'CO 0.5hourly'!L19</f>
        <v>50.25</v>
      </c>
      <c r="F25" s="157"/>
      <c r="G25" s="157"/>
      <c r="H25" s="157"/>
      <c r="I25" s="157"/>
      <c r="J25" s="157"/>
      <c r="K25" s="157"/>
      <c r="L25" s="157"/>
      <c r="M25" s="157"/>
    </row>
    <row r="26" spans="1:13" s="11" customFormat="1" ht="23.25" customHeight="1" x14ac:dyDescent="0.25">
      <c r="A26" s="90"/>
      <c r="B26" s="157" t="s">
        <v>297</v>
      </c>
      <c r="C26" s="157" t="s">
        <v>298</v>
      </c>
      <c r="D26" s="157" t="s">
        <v>366</v>
      </c>
      <c r="E26" s="157" t="s">
        <v>366</v>
      </c>
      <c r="F26" s="157"/>
      <c r="G26" s="157"/>
      <c r="H26" s="157"/>
      <c r="I26" s="157"/>
      <c r="J26" s="157"/>
      <c r="K26" s="157"/>
      <c r="L26" s="157"/>
      <c r="M26" s="157"/>
    </row>
    <row r="27" spans="1:13" s="11" customFormat="1" ht="23.25" customHeight="1" x14ac:dyDescent="0.25">
      <c r="A27" s="160" t="s">
        <v>299</v>
      </c>
      <c r="B27" s="161" t="s">
        <v>291</v>
      </c>
      <c r="C27" s="161" t="s">
        <v>300</v>
      </c>
      <c r="D27" s="162" t="s">
        <v>366</v>
      </c>
      <c r="E27" s="162" t="s">
        <v>366</v>
      </c>
      <c r="F27" s="162"/>
      <c r="G27" s="162"/>
      <c r="H27" s="162"/>
      <c r="I27" s="162"/>
      <c r="J27" s="162"/>
      <c r="K27" s="162"/>
      <c r="L27" s="162"/>
      <c r="M27" s="162"/>
    </row>
    <row r="28" spans="1:13" x14ac:dyDescent="0.35">
      <c r="A28" s="348" t="s">
        <v>301</v>
      </c>
      <c r="B28" s="349"/>
      <c r="C28" s="349"/>
      <c r="D28" s="349"/>
      <c r="E28" s="349"/>
      <c r="F28" s="349"/>
      <c r="G28" s="349"/>
      <c r="H28" s="349"/>
      <c r="I28" s="349"/>
      <c r="J28" s="349"/>
      <c r="K28" s="349"/>
      <c r="L28" s="349"/>
      <c r="M28" s="350"/>
    </row>
    <row r="29" spans="1:13" x14ac:dyDescent="0.35">
      <c r="A29" s="78" t="s">
        <v>242</v>
      </c>
      <c r="B29" s="79"/>
      <c r="C29" s="79"/>
      <c r="D29" s="79"/>
      <c r="E29" s="79"/>
      <c r="F29" s="79"/>
      <c r="G29" s="79"/>
      <c r="H29" s="79"/>
      <c r="I29" s="79"/>
      <c r="J29" s="79"/>
      <c r="K29" s="79"/>
      <c r="L29" s="79"/>
      <c r="M29" s="80"/>
    </row>
    <row r="30" spans="1:13" x14ac:dyDescent="0.35">
      <c r="A30" s="351"/>
      <c r="B30" s="351"/>
      <c r="C30" s="351"/>
      <c r="D30" s="351"/>
      <c r="E30" s="351"/>
      <c r="F30" s="351"/>
      <c r="G30" s="351"/>
      <c r="H30" s="351"/>
      <c r="I30" s="351"/>
      <c r="J30" s="351"/>
      <c r="K30" s="351"/>
      <c r="L30" s="351"/>
      <c r="M30" s="351"/>
    </row>
    <row r="31" spans="1:13" x14ac:dyDescent="0.35">
      <c r="A31" s="311"/>
      <c r="B31" s="311"/>
      <c r="C31" s="311"/>
      <c r="D31" s="311"/>
      <c r="E31" s="311"/>
      <c r="F31" s="311"/>
      <c r="G31" s="311"/>
      <c r="H31" s="311"/>
      <c r="I31" s="311"/>
      <c r="J31" s="311"/>
      <c r="K31" s="311"/>
      <c r="L31" s="311"/>
      <c r="M31" s="311"/>
    </row>
    <row r="68" spans="6:6" x14ac:dyDescent="0.35">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zoomScale="110" zoomScaleNormal="110" workbookViewId="0">
      <selection activeCell="H19" sqref="H19"/>
    </sheetView>
  </sheetViews>
  <sheetFormatPr defaultRowHeight="14" x14ac:dyDescent="0.3"/>
  <cols>
    <col min="1" max="1" width="14" style="3" customWidth="1"/>
    <col min="2" max="7" width="17" style="33" customWidth="1"/>
    <col min="8" max="11" width="9.1796875" style="3"/>
    <col min="12" max="12" width="15.453125" style="3" customWidth="1"/>
    <col min="13" max="13" width="17.453125" style="3" bestFit="1" customWidth="1"/>
    <col min="14" max="14" width="13.81640625" style="3" customWidth="1"/>
    <col min="15" max="15" width="15" style="3" customWidth="1"/>
    <col min="16" max="18" width="9.1796875" style="3"/>
    <col min="19" max="19" width="21.81640625" style="3" customWidth="1"/>
    <col min="20" max="256" width="9.1796875" style="3"/>
    <col min="257" max="257" width="14" style="3" customWidth="1"/>
    <col min="258" max="263" width="10.1796875" style="3" customWidth="1"/>
    <col min="264" max="512" width="9.1796875" style="3"/>
    <col min="513" max="513" width="14" style="3" customWidth="1"/>
    <col min="514" max="519" width="10.1796875" style="3" customWidth="1"/>
    <col min="520" max="768" width="9.1796875" style="3"/>
    <col min="769" max="769" width="14" style="3" customWidth="1"/>
    <col min="770" max="775" width="10.1796875" style="3" customWidth="1"/>
    <col min="776" max="1024" width="9.1796875" style="3"/>
    <col min="1025" max="1025" width="14" style="3" customWidth="1"/>
    <col min="1026" max="1031" width="10.1796875" style="3" customWidth="1"/>
    <col min="1032" max="1280" width="9.1796875" style="3"/>
    <col min="1281" max="1281" width="14" style="3" customWidth="1"/>
    <col min="1282" max="1287" width="10.1796875" style="3" customWidth="1"/>
    <col min="1288" max="1536" width="9.1796875" style="3"/>
    <col min="1537" max="1537" width="14" style="3" customWidth="1"/>
    <col min="1538" max="1543" width="10.1796875" style="3" customWidth="1"/>
    <col min="1544" max="1792" width="9.1796875" style="3"/>
    <col min="1793" max="1793" width="14" style="3" customWidth="1"/>
    <col min="1794" max="1799" width="10.1796875" style="3" customWidth="1"/>
    <col min="1800" max="2048" width="9.1796875" style="3"/>
    <col min="2049" max="2049" width="14" style="3" customWidth="1"/>
    <col min="2050" max="2055" width="10.1796875" style="3" customWidth="1"/>
    <col min="2056" max="2304" width="9.1796875" style="3"/>
    <col min="2305" max="2305" width="14" style="3" customWidth="1"/>
    <col min="2306" max="2311" width="10.1796875" style="3" customWidth="1"/>
    <col min="2312" max="2560" width="9.1796875" style="3"/>
    <col min="2561" max="2561" width="14" style="3" customWidth="1"/>
    <col min="2562" max="2567" width="10.1796875" style="3" customWidth="1"/>
    <col min="2568" max="2816" width="9.1796875" style="3"/>
    <col min="2817" max="2817" width="14" style="3" customWidth="1"/>
    <col min="2818" max="2823" width="10.1796875" style="3" customWidth="1"/>
    <col min="2824" max="3072" width="9.1796875" style="3"/>
    <col min="3073" max="3073" width="14" style="3" customWidth="1"/>
    <col min="3074" max="3079" width="10.1796875" style="3" customWidth="1"/>
    <col min="3080" max="3328" width="9.1796875" style="3"/>
    <col min="3329" max="3329" width="14" style="3" customWidth="1"/>
    <col min="3330" max="3335" width="10.1796875" style="3" customWidth="1"/>
    <col min="3336" max="3584" width="9.1796875" style="3"/>
    <col min="3585" max="3585" width="14" style="3" customWidth="1"/>
    <col min="3586" max="3591" width="10.1796875" style="3" customWidth="1"/>
    <col min="3592" max="3840" width="9.1796875" style="3"/>
    <col min="3841" max="3841" width="14" style="3" customWidth="1"/>
    <col min="3842" max="3847" width="10.1796875" style="3" customWidth="1"/>
    <col min="3848" max="4096" width="9.1796875" style="3"/>
    <col min="4097" max="4097" width="14" style="3" customWidth="1"/>
    <col min="4098" max="4103" width="10.1796875" style="3" customWidth="1"/>
    <col min="4104" max="4352" width="9.1796875" style="3"/>
    <col min="4353" max="4353" width="14" style="3" customWidth="1"/>
    <col min="4354" max="4359" width="10.1796875" style="3" customWidth="1"/>
    <col min="4360" max="4608" width="9.1796875" style="3"/>
    <col min="4609" max="4609" width="14" style="3" customWidth="1"/>
    <col min="4610" max="4615" width="10.1796875" style="3" customWidth="1"/>
    <col min="4616" max="4864" width="9.1796875" style="3"/>
    <col min="4865" max="4865" width="14" style="3" customWidth="1"/>
    <col min="4866" max="4871" width="10.1796875" style="3" customWidth="1"/>
    <col min="4872" max="5120" width="9.1796875" style="3"/>
    <col min="5121" max="5121" width="14" style="3" customWidth="1"/>
    <col min="5122" max="5127" width="10.1796875" style="3" customWidth="1"/>
    <col min="5128" max="5376" width="9.1796875" style="3"/>
    <col min="5377" max="5377" width="14" style="3" customWidth="1"/>
    <col min="5378" max="5383" width="10.1796875" style="3" customWidth="1"/>
    <col min="5384" max="5632" width="9.1796875" style="3"/>
    <col min="5633" max="5633" width="14" style="3" customWidth="1"/>
    <col min="5634" max="5639" width="10.1796875" style="3" customWidth="1"/>
    <col min="5640" max="5888" width="9.1796875" style="3"/>
    <col min="5889" max="5889" width="14" style="3" customWidth="1"/>
    <col min="5890" max="5895" width="10.1796875" style="3" customWidth="1"/>
    <col min="5896" max="6144" width="9.1796875" style="3"/>
    <col min="6145" max="6145" width="14" style="3" customWidth="1"/>
    <col min="6146" max="6151" width="10.1796875" style="3" customWidth="1"/>
    <col min="6152" max="6400" width="9.1796875" style="3"/>
    <col min="6401" max="6401" width="14" style="3" customWidth="1"/>
    <col min="6402" max="6407" width="10.1796875" style="3" customWidth="1"/>
    <col min="6408" max="6656" width="9.1796875" style="3"/>
    <col min="6657" max="6657" width="14" style="3" customWidth="1"/>
    <col min="6658" max="6663" width="10.1796875" style="3" customWidth="1"/>
    <col min="6664" max="6912" width="9.1796875" style="3"/>
    <col min="6913" max="6913" width="14" style="3" customWidth="1"/>
    <col min="6914" max="6919" width="10.1796875" style="3" customWidth="1"/>
    <col min="6920" max="7168" width="9.1796875" style="3"/>
    <col min="7169" max="7169" width="14" style="3" customWidth="1"/>
    <col min="7170" max="7175" width="10.1796875" style="3" customWidth="1"/>
    <col min="7176" max="7424" width="9.1796875" style="3"/>
    <col min="7425" max="7425" width="14" style="3" customWidth="1"/>
    <col min="7426" max="7431" width="10.1796875" style="3" customWidth="1"/>
    <col min="7432" max="7680" width="9.1796875" style="3"/>
    <col min="7681" max="7681" width="14" style="3" customWidth="1"/>
    <col min="7682" max="7687" width="10.1796875" style="3" customWidth="1"/>
    <col min="7688" max="7936" width="9.1796875" style="3"/>
    <col min="7937" max="7937" width="14" style="3" customWidth="1"/>
    <col min="7938" max="7943" width="10.1796875" style="3" customWidth="1"/>
    <col min="7944" max="8192" width="9.1796875" style="3"/>
    <col min="8193" max="8193" width="14" style="3" customWidth="1"/>
    <col min="8194" max="8199" width="10.1796875" style="3" customWidth="1"/>
    <col min="8200" max="8448" width="9.1796875" style="3"/>
    <col min="8449" max="8449" width="14" style="3" customWidth="1"/>
    <col min="8450" max="8455" width="10.1796875" style="3" customWidth="1"/>
    <col min="8456" max="8704" width="9.1796875" style="3"/>
    <col min="8705" max="8705" width="14" style="3" customWidth="1"/>
    <col min="8706" max="8711" width="10.1796875" style="3" customWidth="1"/>
    <col min="8712" max="8960" width="9.1796875" style="3"/>
    <col min="8961" max="8961" width="14" style="3" customWidth="1"/>
    <col min="8962" max="8967" width="10.1796875" style="3" customWidth="1"/>
    <col min="8968" max="9216" width="9.1796875" style="3"/>
    <col min="9217" max="9217" width="14" style="3" customWidth="1"/>
    <col min="9218" max="9223" width="10.1796875" style="3" customWidth="1"/>
    <col min="9224" max="9472" width="9.1796875" style="3"/>
    <col min="9473" max="9473" width="14" style="3" customWidth="1"/>
    <col min="9474" max="9479" width="10.1796875" style="3" customWidth="1"/>
    <col min="9480" max="9728" width="9.1796875" style="3"/>
    <col min="9729" max="9729" width="14" style="3" customWidth="1"/>
    <col min="9730" max="9735" width="10.1796875" style="3" customWidth="1"/>
    <col min="9736" max="9984" width="9.1796875" style="3"/>
    <col min="9985" max="9985" width="14" style="3" customWidth="1"/>
    <col min="9986" max="9991" width="10.1796875" style="3" customWidth="1"/>
    <col min="9992" max="10240" width="9.1796875" style="3"/>
    <col min="10241" max="10241" width="14" style="3" customWidth="1"/>
    <col min="10242" max="10247" width="10.1796875" style="3" customWidth="1"/>
    <col min="10248" max="10496" width="9.1796875" style="3"/>
    <col min="10497" max="10497" width="14" style="3" customWidth="1"/>
    <col min="10498" max="10503" width="10.1796875" style="3" customWidth="1"/>
    <col min="10504" max="10752" width="9.1796875" style="3"/>
    <col min="10753" max="10753" width="14" style="3" customWidth="1"/>
    <col min="10754" max="10759" width="10.1796875" style="3" customWidth="1"/>
    <col min="10760" max="11008" width="9.1796875" style="3"/>
    <col min="11009" max="11009" width="14" style="3" customWidth="1"/>
    <col min="11010" max="11015" width="10.1796875" style="3" customWidth="1"/>
    <col min="11016" max="11264" width="9.1796875" style="3"/>
    <col min="11265" max="11265" width="14" style="3" customWidth="1"/>
    <col min="11266" max="11271" width="10.1796875" style="3" customWidth="1"/>
    <col min="11272" max="11520" width="9.1796875" style="3"/>
    <col min="11521" max="11521" width="14" style="3" customWidth="1"/>
    <col min="11522" max="11527" width="10.1796875" style="3" customWidth="1"/>
    <col min="11528" max="11776" width="9.1796875" style="3"/>
    <col min="11777" max="11777" width="14" style="3" customWidth="1"/>
    <col min="11778" max="11783" width="10.1796875" style="3" customWidth="1"/>
    <col min="11784" max="12032" width="9.1796875" style="3"/>
    <col min="12033" max="12033" width="14" style="3" customWidth="1"/>
    <col min="12034" max="12039" width="10.1796875" style="3" customWidth="1"/>
    <col min="12040" max="12288" width="9.1796875" style="3"/>
    <col min="12289" max="12289" width="14" style="3" customWidth="1"/>
    <col min="12290" max="12295" width="10.1796875" style="3" customWidth="1"/>
    <col min="12296" max="12544" width="9.1796875" style="3"/>
    <col min="12545" max="12545" width="14" style="3" customWidth="1"/>
    <col min="12546" max="12551" width="10.1796875" style="3" customWidth="1"/>
    <col min="12552" max="12800" width="9.1796875" style="3"/>
    <col min="12801" max="12801" width="14" style="3" customWidth="1"/>
    <col min="12802" max="12807" width="10.1796875" style="3" customWidth="1"/>
    <col min="12808" max="13056" width="9.1796875" style="3"/>
    <col min="13057" max="13057" width="14" style="3" customWidth="1"/>
    <col min="13058" max="13063" width="10.1796875" style="3" customWidth="1"/>
    <col min="13064" max="13312" width="9.1796875" style="3"/>
    <col min="13313" max="13313" width="14" style="3" customWidth="1"/>
    <col min="13314" max="13319" width="10.1796875" style="3" customWidth="1"/>
    <col min="13320" max="13568" width="9.1796875" style="3"/>
    <col min="13569" max="13569" width="14" style="3" customWidth="1"/>
    <col min="13570" max="13575" width="10.1796875" style="3" customWidth="1"/>
    <col min="13576" max="13824" width="9.1796875" style="3"/>
    <col min="13825" max="13825" width="14" style="3" customWidth="1"/>
    <col min="13826" max="13831" width="10.1796875" style="3" customWidth="1"/>
    <col min="13832" max="14080" width="9.1796875" style="3"/>
    <col min="14081" max="14081" width="14" style="3" customWidth="1"/>
    <col min="14082" max="14087" width="10.1796875" style="3" customWidth="1"/>
    <col min="14088" max="14336" width="9.1796875" style="3"/>
    <col min="14337" max="14337" width="14" style="3" customWidth="1"/>
    <col min="14338" max="14343" width="10.1796875" style="3" customWidth="1"/>
    <col min="14344" max="14592" width="9.1796875" style="3"/>
    <col min="14593" max="14593" width="14" style="3" customWidth="1"/>
    <col min="14594" max="14599" width="10.1796875" style="3" customWidth="1"/>
    <col min="14600" max="14848" width="9.1796875" style="3"/>
    <col min="14849" max="14849" width="14" style="3" customWidth="1"/>
    <col min="14850" max="14855" width="10.1796875" style="3" customWidth="1"/>
    <col min="14856" max="15104" width="9.1796875" style="3"/>
    <col min="15105" max="15105" width="14" style="3" customWidth="1"/>
    <col min="15106" max="15111" width="10.1796875" style="3" customWidth="1"/>
    <col min="15112" max="15360" width="9.1796875" style="3"/>
    <col min="15361" max="15361" width="14" style="3" customWidth="1"/>
    <col min="15362" max="15367" width="10.1796875" style="3" customWidth="1"/>
    <col min="15368" max="15616" width="9.1796875" style="3"/>
    <col min="15617" max="15617" width="14" style="3" customWidth="1"/>
    <col min="15618" max="15623" width="10.1796875" style="3" customWidth="1"/>
    <col min="15624" max="15872" width="9.1796875" style="3"/>
    <col min="15873" max="15873" width="14" style="3" customWidth="1"/>
    <col min="15874" max="15879" width="10.1796875" style="3" customWidth="1"/>
    <col min="15880" max="16128" width="9.1796875" style="3"/>
    <col min="16129" max="16129" width="14" style="3" customWidth="1"/>
    <col min="16130" max="16135" width="10.1796875" style="3" customWidth="1"/>
    <col min="16136" max="16384" width="9.1796875" style="3"/>
  </cols>
  <sheetData>
    <row r="1" spans="1:19" ht="15.5" x14ac:dyDescent="0.35">
      <c r="A1" s="94" t="str">
        <f>+'Cover Page'!$B$29</f>
        <v>Annual Performance Report 2022</v>
      </c>
      <c r="B1" s="94"/>
      <c r="C1" s="94"/>
      <c r="D1" s="94"/>
      <c r="E1" s="94" t="str">
        <f>+'Cover Page'!$B$33</f>
        <v>Welland Biopower Ltd</v>
      </c>
      <c r="F1" s="94"/>
      <c r="G1" s="94"/>
    </row>
    <row r="3" spans="1:19" ht="14.5" x14ac:dyDescent="0.35">
      <c r="A3" s="56" t="s">
        <v>302</v>
      </c>
      <c r="D3" s="72" t="s">
        <v>303</v>
      </c>
      <c r="G3" s="76" t="s">
        <v>304</v>
      </c>
      <c r="J3" s="8" t="str">
        <f>+A3</f>
        <v>Monitoring of Hydrogen Chloride emissions</v>
      </c>
      <c r="L3" s="8"/>
      <c r="N3" s="8" t="s">
        <v>305</v>
      </c>
      <c r="Q3" s="75" t="s">
        <v>3</v>
      </c>
      <c r="R3" s="70"/>
      <c r="S3" s="70"/>
    </row>
    <row r="4" spans="1:19" ht="14" customHeight="1" x14ac:dyDescent="0.3">
      <c r="Q4" s="370" t="s">
        <v>306</v>
      </c>
      <c r="R4" s="370"/>
      <c r="S4" s="370"/>
    </row>
    <row r="5" spans="1:19" ht="16" x14ac:dyDescent="0.3">
      <c r="A5" s="64" t="s">
        <v>307</v>
      </c>
      <c r="B5" s="357" t="s">
        <v>308</v>
      </c>
      <c r="C5" s="357"/>
      <c r="D5" s="357"/>
      <c r="E5" s="357" t="s">
        <v>309</v>
      </c>
      <c r="F5" s="357"/>
      <c r="G5" s="357"/>
      <c r="J5" s="356"/>
      <c r="K5" s="356"/>
      <c r="L5" s="356"/>
      <c r="M5" s="356"/>
      <c r="N5" s="356"/>
      <c r="O5" s="356"/>
      <c r="Q5" s="370"/>
      <c r="R5" s="370"/>
      <c r="S5" s="370"/>
    </row>
    <row r="6" spans="1:19" s="54" customFormat="1" ht="37.5" customHeight="1" x14ac:dyDescent="0.35">
      <c r="A6" s="61">
        <f>+'Cover Page'!C39</f>
        <v>2022</v>
      </c>
      <c r="B6" s="51" t="s">
        <v>310</v>
      </c>
      <c r="C6" s="51" t="s">
        <v>311</v>
      </c>
      <c r="D6" s="51" t="s">
        <v>312</v>
      </c>
      <c r="E6" s="51" t="s">
        <v>313</v>
      </c>
      <c r="F6" s="51" t="s">
        <v>314</v>
      </c>
      <c r="G6" s="51" t="s">
        <v>315</v>
      </c>
      <c r="H6" s="55"/>
      <c r="J6" s="57">
        <f>+A6</f>
        <v>2022</v>
      </c>
      <c r="K6" s="57" t="s">
        <v>316</v>
      </c>
      <c r="L6" s="63" t="s">
        <v>311</v>
      </c>
      <c r="M6" s="63" t="s">
        <v>317</v>
      </c>
      <c r="N6" s="63" t="s">
        <v>314</v>
      </c>
      <c r="O6" s="63" t="s">
        <v>318</v>
      </c>
      <c r="Q6" s="370"/>
      <c r="R6" s="370"/>
      <c r="S6" s="370"/>
    </row>
    <row r="7" spans="1:19" ht="14" customHeight="1" x14ac:dyDescent="0.3">
      <c r="A7" s="62" t="s">
        <v>319</v>
      </c>
      <c r="B7" s="59">
        <f>'Air (CEMS)'!$C$21</f>
        <v>90</v>
      </c>
      <c r="C7" s="60">
        <v>11</v>
      </c>
      <c r="D7" s="60">
        <v>22</v>
      </c>
      <c r="E7" s="59">
        <f>'Air (CEMS)'!$C$20</f>
        <v>15</v>
      </c>
      <c r="F7" s="60">
        <v>11.5</v>
      </c>
      <c r="G7" s="60">
        <v>14</v>
      </c>
      <c r="J7" s="355" t="s">
        <v>170</v>
      </c>
      <c r="K7" s="62" t="s">
        <v>319</v>
      </c>
      <c r="L7" s="60">
        <f>C7</f>
        <v>11</v>
      </c>
      <c r="M7" s="60">
        <f>D7</f>
        <v>22</v>
      </c>
      <c r="N7" s="60">
        <f>F7</f>
        <v>11.5</v>
      </c>
      <c r="O7" s="60">
        <f>G7</f>
        <v>14</v>
      </c>
      <c r="Q7" s="370"/>
      <c r="R7" s="370"/>
      <c r="S7" s="370"/>
    </row>
    <row r="8" spans="1:19" x14ac:dyDescent="0.3">
      <c r="A8" s="62" t="s">
        <v>320</v>
      </c>
      <c r="B8" s="59">
        <f>'Air (CEMS)'!$C$21</f>
        <v>90</v>
      </c>
      <c r="C8" s="60">
        <v>13</v>
      </c>
      <c r="D8" s="60">
        <v>30</v>
      </c>
      <c r="E8" s="59">
        <f>'Air (CEMS)'!$C$20</f>
        <v>15</v>
      </c>
      <c r="F8" s="60">
        <v>12.61</v>
      </c>
      <c r="G8" s="60">
        <v>15</v>
      </c>
      <c r="J8" s="355"/>
      <c r="K8" s="62" t="s">
        <v>320</v>
      </c>
      <c r="L8" s="60">
        <f t="shared" ref="L8:L18" si="0">C8</f>
        <v>13</v>
      </c>
      <c r="M8" s="60">
        <f t="shared" ref="M8:M18" si="1">D8</f>
        <v>30</v>
      </c>
      <c r="N8" s="60">
        <f t="shared" ref="N8:N18" si="2">F8</f>
        <v>12.61</v>
      </c>
      <c r="O8" s="60">
        <f t="shared" ref="O8:O18" si="3">G8</f>
        <v>15</v>
      </c>
      <c r="Q8" s="370"/>
      <c r="R8" s="370"/>
      <c r="S8" s="370"/>
    </row>
    <row r="9" spans="1:19" x14ac:dyDescent="0.3">
      <c r="A9" s="62" t="s">
        <v>321</v>
      </c>
      <c r="B9" s="59">
        <f>'Air (CEMS)'!$C$21</f>
        <v>90</v>
      </c>
      <c r="C9" s="60">
        <v>12</v>
      </c>
      <c r="D9" s="60">
        <v>36</v>
      </c>
      <c r="E9" s="59">
        <f>'Air (CEMS)'!$C$20</f>
        <v>15</v>
      </c>
      <c r="F9" s="60">
        <v>12.3</v>
      </c>
      <c r="G9" s="60">
        <v>14</v>
      </c>
      <c r="J9" s="355"/>
      <c r="K9" s="62" t="s">
        <v>321</v>
      </c>
      <c r="L9" s="60">
        <f t="shared" si="0"/>
        <v>12</v>
      </c>
      <c r="M9" s="60">
        <f t="shared" si="1"/>
        <v>36</v>
      </c>
      <c r="N9" s="60">
        <f t="shared" si="2"/>
        <v>12.3</v>
      </c>
      <c r="O9" s="60">
        <f t="shared" si="3"/>
        <v>14</v>
      </c>
      <c r="Q9" s="74" t="s">
        <v>322</v>
      </c>
    </row>
    <row r="10" spans="1:19" ht="14" customHeight="1" x14ac:dyDescent="0.3">
      <c r="A10" s="62" t="s">
        <v>323</v>
      </c>
      <c r="B10" s="59">
        <f>'Air (CEMS)'!$C$21</f>
        <v>90</v>
      </c>
      <c r="C10" s="60">
        <v>12</v>
      </c>
      <c r="D10" s="60">
        <v>26</v>
      </c>
      <c r="E10" s="59">
        <f>'Air (CEMS)'!$C$20</f>
        <v>15</v>
      </c>
      <c r="F10" s="60">
        <v>12.33</v>
      </c>
      <c r="G10" s="60">
        <v>13</v>
      </c>
      <c r="J10" s="355"/>
      <c r="K10" s="62" t="s">
        <v>323</v>
      </c>
      <c r="L10" s="60">
        <f t="shared" si="0"/>
        <v>12</v>
      </c>
      <c r="M10" s="60">
        <f t="shared" si="1"/>
        <v>26</v>
      </c>
      <c r="N10" s="60">
        <f t="shared" si="2"/>
        <v>12.33</v>
      </c>
      <c r="O10" s="60">
        <f t="shared" si="3"/>
        <v>13</v>
      </c>
      <c r="Q10" s="354" t="s">
        <v>324</v>
      </c>
      <c r="R10" s="354"/>
      <c r="S10" s="354"/>
    </row>
    <row r="11" spans="1:19" x14ac:dyDescent="0.3">
      <c r="A11" s="62" t="s">
        <v>325</v>
      </c>
      <c r="B11" s="59">
        <f>'Air (CEMS)'!$C$21</f>
        <v>90</v>
      </c>
      <c r="C11" s="60">
        <v>12</v>
      </c>
      <c r="D11" s="60">
        <v>43</v>
      </c>
      <c r="E11" s="59">
        <f>'Air (CEMS)'!$C$20</f>
        <v>15</v>
      </c>
      <c r="F11" s="60">
        <v>11.67</v>
      </c>
      <c r="G11" s="60">
        <v>15</v>
      </c>
      <c r="J11" s="355"/>
      <c r="K11" s="62" t="s">
        <v>325</v>
      </c>
      <c r="L11" s="60">
        <f t="shared" si="0"/>
        <v>12</v>
      </c>
      <c r="M11" s="60">
        <f t="shared" si="1"/>
        <v>43</v>
      </c>
      <c r="N11" s="60">
        <f t="shared" si="2"/>
        <v>11.67</v>
      </c>
      <c r="O11" s="60">
        <f t="shared" si="3"/>
        <v>15</v>
      </c>
      <c r="Q11" s="354"/>
      <c r="R11" s="354"/>
      <c r="S11" s="354"/>
    </row>
    <row r="12" spans="1:19" x14ac:dyDescent="0.3">
      <c r="A12" s="62" t="s">
        <v>326</v>
      </c>
      <c r="B12" s="59">
        <f>'Air (CEMS)'!$C$21</f>
        <v>90</v>
      </c>
      <c r="C12" s="60">
        <v>12</v>
      </c>
      <c r="D12" s="60">
        <v>26</v>
      </c>
      <c r="E12" s="59">
        <f>'Air (CEMS)'!$C$20</f>
        <v>15</v>
      </c>
      <c r="F12" s="60">
        <v>12.28</v>
      </c>
      <c r="G12" s="60">
        <v>15</v>
      </c>
      <c r="J12" s="355"/>
      <c r="K12" s="62" t="s">
        <v>326</v>
      </c>
      <c r="L12" s="60">
        <f t="shared" si="0"/>
        <v>12</v>
      </c>
      <c r="M12" s="60">
        <f t="shared" si="1"/>
        <v>26</v>
      </c>
      <c r="N12" s="60">
        <f t="shared" si="2"/>
        <v>12.28</v>
      </c>
      <c r="O12" s="60">
        <f t="shared" si="3"/>
        <v>15</v>
      </c>
      <c r="Q12" s="354"/>
      <c r="R12" s="354"/>
      <c r="S12" s="354"/>
    </row>
    <row r="13" spans="1:19" ht="14" customHeight="1" x14ac:dyDescent="0.3">
      <c r="A13" s="62" t="s">
        <v>327</v>
      </c>
      <c r="B13" s="59">
        <f>'Air (CEMS)'!$C$21</f>
        <v>90</v>
      </c>
      <c r="C13" s="60">
        <v>7</v>
      </c>
      <c r="D13" s="60">
        <v>39</v>
      </c>
      <c r="E13" s="59">
        <f>'Air (CEMS)'!$C$20</f>
        <v>15</v>
      </c>
      <c r="F13" s="60">
        <v>7.26</v>
      </c>
      <c r="G13" s="60">
        <v>13</v>
      </c>
      <c r="J13" s="355"/>
      <c r="K13" s="62" t="s">
        <v>327</v>
      </c>
      <c r="L13" s="60">
        <f t="shared" si="0"/>
        <v>7</v>
      </c>
      <c r="M13" s="60">
        <f t="shared" si="1"/>
        <v>39</v>
      </c>
      <c r="N13" s="60">
        <f t="shared" si="2"/>
        <v>7.26</v>
      </c>
      <c r="O13" s="60">
        <f t="shared" si="3"/>
        <v>13</v>
      </c>
      <c r="Q13" s="354" t="s">
        <v>328</v>
      </c>
      <c r="R13" s="354"/>
      <c r="S13" s="354"/>
    </row>
    <row r="14" spans="1:19" x14ac:dyDescent="0.3">
      <c r="A14" s="62" t="s">
        <v>329</v>
      </c>
      <c r="B14" s="59">
        <f>'Air (CEMS)'!$C$21</f>
        <v>90</v>
      </c>
      <c r="C14" s="60">
        <v>9</v>
      </c>
      <c r="D14" s="60">
        <v>26</v>
      </c>
      <c r="E14" s="59">
        <f>'Air (CEMS)'!$C$20</f>
        <v>15</v>
      </c>
      <c r="F14" s="60">
        <v>8.5500000000000007</v>
      </c>
      <c r="G14" s="60">
        <v>14</v>
      </c>
      <c r="J14" s="355"/>
      <c r="K14" s="62" t="s">
        <v>329</v>
      </c>
      <c r="L14" s="60">
        <f t="shared" si="0"/>
        <v>9</v>
      </c>
      <c r="M14" s="60">
        <f t="shared" si="1"/>
        <v>26</v>
      </c>
      <c r="N14" s="60">
        <f t="shared" si="2"/>
        <v>8.5500000000000007</v>
      </c>
      <c r="O14" s="60">
        <f t="shared" si="3"/>
        <v>14</v>
      </c>
      <c r="Q14" s="354"/>
      <c r="R14" s="354"/>
      <c r="S14" s="354"/>
    </row>
    <row r="15" spans="1:19" x14ac:dyDescent="0.3">
      <c r="A15" s="62" t="s">
        <v>330</v>
      </c>
      <c r="B15" s="59">
        <f>'Air (CEMS)'!$C$21</f>
        <v>90</v>
      </c>
      <c r="C15" s="60">
        <v>12</v>
      </c>
      <c r="D15" s="60">
        <v>27</v>
      </c>
      <c r="E15" s="59">
        <f>'Air (CEMS)'!$C$20</f>
        <v>15</v>
      </c>
      <c r="F15" s="60">
        <v>11.43</v>
      </c>
      <c r="G15" s="60">
        <v>14</v>
      </c>
      <c r="J15" s="355"/>
      <c r="K15" s="62" t="s">
        <v>330</v>
      </c>
      <c r="L15" s="60">
        <f t="shared" si="0"/>
        <v>12</v>
      </c>
      <c r="M15" s="60">
        <f t="shared" si="1"/>
        <v>27</v>
      </c>
      <c r="N15" s="60">
        <f t="shared" si="2"/>
        <v>11.43</v>
      </c>
      <c r="O15" s="60">
        <f t="shared" si="3"/>
        <v>14</v>
      </c>
      <c r="Q15" s="354"/>
      <c r="R15" s="354"/>
      <c r="S15" s="354"/>
    </row>
    <row r="16" spans="1:19" x14ac:dyDescent="0.3">
      <c r="A16" s="62" t="s">
        <v>331</v>
      </c>
      <c r="B16" s="59">
        <f>'Air (CEMS)'!$C$21</f>
        <v>90</v>
      </c>
      <c r="C16" s="60">
        <v>6</v>
      </c>
      <c r="D16" s="60">
        <v>41</v>
      </c>
      <c r="E16" s="59">
        <f>'Air (CEMS)'!$C$20</f>
        <v>15</v>
      </c>
      <c r="F16" s="60">
        <v>11.5</v>
      </c>
      <c r="G16" s="60">
        <v>15</v>
      </c>
      <c r="J16" s="355"/>
      <c r="K16" s="62" t="s">
        <v>331</v>
      </c>
      <c r="L16" s="60">
        <f t="shared" si="0"/>
        <v>6</v>
      </c>
      <c r="M16" s="60">
        <f t="shared" si="1"/>
        <v>41</v>
      </c>
      <c r="N16" s="60">
        <f t="shared" si="2"/>
        <v>11.5</v>
      </c>
      <c r="O16" s="60">
        <f t="shared" si="3"/>
        <v>15</v>
      </c>
      <c r="Q16" s="354"/>
      <c r="R16" s="354"/>
      <c r="S16" s="354"/>
    </row>
    <row r="17" spans="1:15" x14ac:dyDescent="0.3">
      <c r="A17" s="62" t="s">
        <v>332</v>
      </c>
      <c r="B17" s="59">
        <f>'Air (CEMS)'!$C$21</f>
        <v>90</v>
      </c>
      <c r="C17" s="60">
        <v>5</v>
      </c>
      <c r="D17" s="60">
        <v>27</v>
      </c>
      <c r="E17" s="59">
        <f>'Air (CEMS)'!$C$20</f>
        <v>15</v>
      </c>
      <c r="F17" s="60">
        <v>5.22</v>
      </c>
      <c r="G17" s="60">
        <v>12</v>
      </c>
      <c r="J17" s="355"/>
      <c r="K17" s="62" t="s">
        <v>332</v>
      </c>
      <c r="L17" s="60">
        <f t="shared" si="0"/>
        <v>5</v>
      </c>
      <c r="M17" s="60">
        <f t="shared" si="1"/>
        <v>27</v>
      </c>
      <c r="N17" s="60">
        <f t="shared" si="2"/>
        <v>5.22</v>
      </c>
      <c r="O17" s="60">
        <f t="shared" si="3"/>
        <v>12</v>
      </c>
    </row>
    <row r="18" spans="1:15" x14ac:dyDescent="0.3">
      <c r="A18" s="62" t="s">
        <v>333</v>
      </c>
      <c r="B18" s="59">
        <f>'Air (CEMS)'!$C$21</f>
        <v>90</v>
      </c>
      <c r="C18" s="60">
        <v>11</v>
      </c>
      <c r="D18" s="60">
        <v>26</v>
      </c>
      <c r="E18" s="59">
        <f>'Air (CEMS)'!$C$20</f>
        <v>15</v>
      </c>
      <c r="F18" s="60">
        <v>13.68</v>
      </c>
      <c r="G18" s="60">
        <v>14</v>
      </c>
      <c r="J18" s="355"/>
      <c r="K18" s="62" t="s">
        <v>333</v>
      </c>
      <c r="L18" s="60">
        <f t="shared" si="0"/>
        <v>11</v>
      </c>
      <c r="M18" s="60">
        <f t="shared" si="1"/>
        <v>26</v>
      </c>
      <c r="N18" s="60">
        <f t="shared" si="2"/>
        <v>13.68</v>
      </c>
      <c r="O18" s="60">
        <f t="shared" si="3"/>
        <v>14</v>
      </c>
    </row>
    <row r="19" spans="1:15" x14ac:dyDescent="0.3">
      <c r="J19" s="355"/>
      <c r="K19" s="58" t="s">
        <v>334</v>
      </c>
      <c r="L19" s="58">
        <f>AVERAGE(L7:L18)</f>
        <v>10.166666666666666</v>
      </c>
      <c r="M19" s="58">
        <f>MAX(M7:M18)</f>
        <v>43</v>
      </c>
      <c r="N19" s="58">
        <f>AVERAGE(N7:N18)</f>
        <v>10.860833333333334</v>
      </c>
      <c r="O19" s="58">
        <f>MAX(O7:O18)</f>
        <v>15</v>
      </c>
    </row>
    <row r="21" spans="1:15" ht="28" x14ac:dyDescent="0.3">
      <c r="J21" s="57">
        <f>+A6</f>
        <v>2022</v>
      </c>
      <c r="K21" s="57" t="s">
        <v>316</v>
      </c>
      <c r="L21" s="63" t="s">
        <v>311</v>
      </c>
      <c r="M21" s="63" t="s">
        <v>317</v>
      </c>
      <c r="N21" s="63" t="s">
        <v>314</v>
      </c>
      <c r="O21" s="63" t="s">
        <v>318</v>
      </c>
    </row>
    <row r="22" spans="1:15" x14ac:dyDescent="0.3">
      <c r="J22" s="355" t="s">
        <v>171</v>
      </c>
      <c r="K22" s="62" t="s">
        <v>319</v>
      </c>
      <c r="L22" s="60"/>
      <c r="M22" s="60"/>
      <c r="N22" s="60"/>
      <c r="O22" s="60"/>
    </row>
    <row r="23" spans="1:15" x14ac:dyDescent="0.3">
      <c r="J23" s="355"/>
      <c r="K23" s="62" t="s">
        <v>320</v>
      </c>
      <c r="L23" s="60"/>
      <c r="M23" s="60"/>
      <c r="N23" s="60"/>
      <c r="O23" s="60"/>
    </row>
    <row r="24" spans="1:15" x14ac:dyDescent="0.3">
      <c r="J24" s="355"/>
      <c r="K24" s="62" t="s">
        <v>321</v>
      </c>
      <c r="L24" s="60"/>
      <c r="M24" s="60"/>
      <c r="N24" s="60"/>
      <c r="O24" s="60"/>
    </row>
    <row r="25" spans="1:15" x14ac:dyDescent="0.3">
      <c r="J25" s="355"/>
      <c r="K25" s="62" t="s">
        <v>323</v>
      </c>
      <c r="L25" s="60"/>
      <c r="M25" s="60"/>
      <c r="N25" s="60"/>
      <c r="O25" s="60"/>
    </row>
    <row r="26" spans="1:15" x14ac:dyDescent="0.3">
      <c r="J26" s="355"/>
      <c r="K26" s="62" t="s">
        <v>325</v>
      </c>
      <c r="L26" s="60"/>
      <c r="M26" s="60"/>
      <c r="N26" s="60"/>
      <c r="O26" s="60"/>
    </row>
    <row r="27" spans="1:15" x14ac:dyDescent="0.3">
      <c r="J27" s="355"/>
      <c r="K27" s="62" t="s">
        <v>326</v>
      </c>
      <c r="L27" s="60"/>
      <c r="M27" s="60"/>
      <c r="N27" s="60"/>
      <c r="O27" s="60"/>
    </row>
    <row r="28" spans="1:15" x14ac:dyDescent="0.3">
      <c r="J28" s="355"/>
      <c r="K28" s="62" t="s">
        <v>327</v>
      </c>
      <c r="L28" s="60"/>
      <c r="M28" s="60"/>
      <c r="N28" s="60"/>
      <c r="O28" s="60"/>
    </row>
    <row r="29" spans="1:15" x14ac:dyDescent="0.3">
      <c r="J29" s="355"/>
      <c r="K29" s="62" t="s">
        <v>329</v>
      </c>
      <c r="L29" s="60"/>
      <c r="M29" s="60"/>
      <c r="N29" s="60"/>
      <c r="O29" s="60"/>
    </row>
    <row r="30" spans="1:15" x14ac:dyDescent="0.3">
      <c r="J30" s="355"/>
      <c r="K30" s="62" t="s">
        <v>330</v>
      </c>
      <c r="L30" s="60"/>
      <c r="M30" s="60"/>
      <c r="N30" s="60"/>
      <c r="O30" s="60"/>
    </row>
    <row r="31" spans="1:15" x14ac:dyDescent="0.3">
      <c r="J31" s="355"/>
      <c r="K31" s="62" t="s">
        <v>331</v>
      </c>
      <c r="L31" s="60"/>
      <c r="M31" s="60"/>
      <c r="N31" s="60"/>
      <c r="O31" s="60"/>
    </row>
    <row r="32" spans="1:15" x14ac:dyDescent="0.3">
      <c r="J32" s="355"/>
      <c r="K32" s="62" t="s">
        <v>332</v>
      </c>
      <c r="L32" s="60"/>
      <c r="M32" s="60"/>
      <c r="N32" s="60"/>
      <c r="O32" s="60"/>
    </row>
    <row r="33" spans="1:15" x14ac:dyDescent="0.3">
      <c r="J33" s="355"/>
      <c r="K33" s="62" t="s">
        <v>333</v>
      </c>
      <c r="L33" s="60"/>
      <c r="M33" s="60"/>
      <c r="N33" s="60"/>
      <c r="O33" s="60"/>
    </row>
    <row r="34" spans="1:15" x14ac:dyDescent="0.3">
      <c r="J34" s="355"/>
      <c r="K34" s="58" t="s">
        <v>334</v>
      </c>
      <c r="L34" s="58" t="e">
        <f>AVERAGE(L22:L33)</f>
        <v>#DIV/0!</v>
      </c>
      <c r="M34" s="58">
        <f>MAX(M22:M33)</f>
        <v>0</v>
      </c>
      <c r="N34" s="58" t="e">
        <f>AVERAGE(N22:N33)</f>
        <v>#DIV/0!</v>
      </c>
      <c r="O34" s="58">
        <f>MAX(O22:O33)</f>
        <v>0</v>
      </c>
    </row>
    <row r="36" spans="1:15" ht="28" x14ac:dyDescent="0.3">
      <c r="J36" s="57">
        <f>+A6</f>
        <v>2022</v>
      </c>
      <c r="K36" s="57" t="s">
        <v>316</v>
      </c>
      <c r="L36" s="63" t="s">
        <v>311</v>
      </c>
      <c r="M36" s="63" t="s">
        <v>317</v>
      </c>
      <c r="N36" s="63" t="s">
        <v>314</v>
      </c>
      <c r="O36" s="63" t="s">
        <v>318</v>
      </c>
    </row>
    <row r="37" spans="1:15" x14ac:dyDescent="0.3">
      <c r="J37" s="355" t="s">
        <v>172</v>
      </c>
      <c r="K37" s="62" t="s">
        <v>319</v>
      </c>
      <c r="L37" s="60"/>
      <c r="M37" s="60"/>
      <c r="N37" s="60"/>
      <c r="O37" s="60"/>
    </row>
    <row r="38" spans="1:15" x14ac:dyDescent="0.3">
      <c r="J38" s="355"/>
      <c r="K38" s="62" t="s">
        <v>320</v>
      </c>
      <c r="L38" s="60"/>
      <c r="M38" s="60"/>
      <c r="N38" s="60"/>
      <c r="O38" s="60"/>
    </row>
    <row r="39" spans="1:15" x14ac:dyDescent="0.3">
      <c r="J39" s="355"/>
      <c r="K39" s="62" t="s">
        <v>321</v>
      </c>
      <c r="L39" s="60"/>
      <c r="M39" s="60"/>
      <c r="N39" s="60"/>
      <c r="O39" s="60"/>
    </row>
    <row r="40" spans="1:15" x14ac:dyDescent="0.3">
      <c r="J40" s="355"/>
      <c r="K40" s="62" t="s">
        <v>323</v>
      </c>
      <c r="L40" s="60"/>
      <c r="M40" s="60"/>
      <c r="N40" s="60"/>
      <c r="O40" s="60"/>
    </row>
    <row r="41" spans="1:15" x14ac:dyDescent="0.3">
      <c r="J41" s="355"/>
      <c r="K41" s="62" t="s">
        <v>325</v>
      </c>
      <c r="L41" s="60"/>
      <c r="M41" s="60"/>
      <c r="N41" s="60"/>
      <c r="O41" s="60"/>
    </row>
    <row r="42" spans="1:15" x14ac:dyDescent="0.3">
      <c r="J42" s="355"/>
      <c r="K42" s="62" t="s">
        <v>326</v>
      </c>
      <c r="L42" s="60"/>
      <c r="M42" s="60"/>
      <c r="N42" s="60"/>
      <c r="O42" s="60"/>
    </row>
    <row r="43" spans="1:15" x14ac:dyDescent="0.3">
      <c r="J43" s="355"/>
      <c r="K43" s="62" t="s">
        <v>327</v>
      </c>
      <c r="L43" s="60"/>
      <c r="M43" s="60"/>
      <c r="N43" s="60"/>
      <c r="O43" s="60"/>
    </row>
    <row r="44" spans="1:15" x14ac:dyDescent="0.3">
      <c r="J44" s="355"/>
      <c r="K44" s="62" t="s">
        <v>329</v>
      </c>
      <c r="L44" s="60"/>
      <c r="M44" s="60"/>
      <c r="N44" s="60"/>
      <c r="O44" s="60"/>
    </row>
    <row r="45" spans="1:15" x14ac:dyDescent="0.3">
      <c r="J45" s="355"/>
      <c r="K45" s="62" t="s">
        <v>330</v>
      </c>
      <c r="L45" s="60"/>
      <c r="M45" s="60"/>
      <c r="N45" s="60"/>
      <c r="O45" s="60"/>
    </row>
    <row r="46" spans="1:15" x14ac:dyDescent="0.3">
      <c r="J46" s="355"/>
      <c r="K46" s="62" t="s">
        <v>331</v>
      </c>
      <c r="L46" s="60"/>
      <c r="M46" s="60"/>
      <c r="N46" s="60"/>
      <c r="O46" s="60"/>
    </row>
    <row r="47" spans="1:15" x14ac:dyDescent="0.3">
      <c r="J47" s="355"/>
      <c r="K47" s="62" t="s">
        <v>332</v>
      </c>
      <c r="L47" s="60"/>
      <c r="M47" s="60"/>
      <c r="N47" s="60"/>
      <c r="O47" s="60"/>
    </row>
    <row r="48" spans="1:15" x14ac:dyDescent="0.3">
      <c r="A48" s="367" t="s">
        <v>242</v>
      </c>
      <c r="B48" s="368"/>
      <c r="C48" s="368"/>
      <c r="D48" s="368"/>
      <c r="E48" s="368"/>
      <c r="F48" s="368"/>
      <c r="G48" s="369"/>
      <c r="J48" s="355"/>
      <c r="K48" s="62" t="s">
        <v>333</v>
      </c>
      <c r="L48" s="60"/>
      <c r="M48" s="60"/>
      <c r="N48" s="60"/>
      <c r="O48" s="60"/>
    </row>
    <row r="49" spans="1:15" x14ac:dyDescent="0.3">
      <c r="A49" s="358" t="s">
        <v>454</v>
      </c>
      <c r="B49" s="359"/>
      <c r="C49" s="359"/>
      <c r="D49" s="359"/>
      <c r="E49" s="359"/>
      <c r="F49" s="359"/>
      <c r="G49" s="360"/>
      <c r="J49" s="355"/>
      <c r="K49" s="58" t="s">
        <v>334</v>
      </c>
      <c r="L49" s="58" t="e">
        <f>AVERAGE(L37:L48)</f>
        <v>#DIV/0!</v>
      </c>
      <c r="M49" s="58">
        <f>MAX(M37:M48)</f>
        <v>0</v>
      </c>
      <c r="N49" s="58" t="e">
        <f>AVERAGE(N37:N48)</f>
        <v>#DIV/0!</v>
      </c>
      <c r="O49" s="58">
        <f>MAX(O37:O48)</f>
        <v>0</v>
      </c>
    </row>
    <row r="50" spans="1:15" x14ac:dyDescent="0.3">
      <c r="A50" s="361"/>
      <c r="B50" s="362"/>
      <c r="C50" s="362"/>
      <c r="D50" s="362"/>
      <c r="E50" s="362"/>
      <c r="F50" s="362"/>
      <c r="G50" s="363"/>
    </row>
    <row r="51" spans="1:15" ht="28" x14ac:dyDescent="0.3">
      <c r="A51" s="361"/>
      <c r="B51" s="362"/>
      <c r="C51" s="362"/>
      <c r="D51" s="362"/>
      <c r="E51" s="362"/>
      <c r="F51" s="362"/>
      <c r="G51" s="363"/>
      <c r="J51" s="57">
        <f>+A6</f>
        <v>2022</v>
      </c>
      <c r="K51" s="57" t="s">
        <v>316</v>
      </c>
      <c r="L51" s="63" t="s">
        <v>311</v>
      </c>
      <c r="M51" s="63" t="s">
        <v>317</v>
      </c>
      <c r="N51" s="63" t="s">
        <v>314</v>
      </c>
      <c r="O51" s="63" t="s">
        <v>318</v>
      </c>
    </row>
    <row r="52" spans="1:15" x14ac:dyDescent="0.3">
      <c r="A52" s="364"/>
      <c r="B52" s="365"/>
      <c r="C52" s="365"/>
      <c r="D52" s="365"/>
      <c r="E52" s="365"/>
      <c r="F52" s="365"/>
      <c r="G52" s="366"/>
      <c r="J52" s="355" t="s">
        <v>173</v>
      </c>
      <c r="K52" s="62" t="s">
        <v>319</v>
      </c>
      <c r="L52" s="60"/>
      <c r="M52" s="60"/>
      <c r="N52" s="60"/>
      <c r="O52" s="60"/>
    </row>
    <row r="53" spans="1:15" x14ac:dyDescent="0.3">
      <c r="J53" s="355"/>
      <c r="K53" s="62" t="s">
        <v>320</v>
      </c>
      <c r="L53" s="60"/>
      <c r="M53" s="60"/>
      <c r="N53" s="60"/>
      <c r="O53" s="60"/>
    </row>
    <row r="54" spans="1:15" x14ac:dyDescent="0.3">
      <c r="J54" s="355"/>
      <c r="K54" s="62" t="s">
        <v>321</v>
      </c>
      <c r="L54" s="60"/>
      <c r="M54" s="60"/>
      <c r="N54" s="60"/>
      <c r="O54" s="60"/>
    </row>
    <row r="55" spans="1:15" x14ac:dyDescent="0.3">
      <c r="J55" s="355"/>
      <c r="K55" s="62" t="s">
        <v>323</v>
      </c>
      <c r="L55" s="60"/>
      <c r="M55" s="60"/>
      <c r="N55" s="60"/>
      <c r="O55" s="60"/>
    </row>
    <row r="56" spans="1:15" x14ac:dyDescent="0.3">
      <c r="J56" s="355"/>
      <c r="K56" s="62" t="s">
        <v>325</v>
      </c>
      <c r="L56" s="60"/>
      <c r="M56" s="60"/>
      <c r="N56" s="60"/>
      <c r="O56" s="60"/>
    </row>
    <row r="57" spans="1:15" x14ac:dyDescent="0.3">
      <c r="J57" s="355"/>
      <c r="K57" s="62" t="s">
        <v>326</v>
      </c>
      <c r="L57" s="60"/>
      <c r="M57" s="60"/>
      <c r="N57" s="60"/>
      <c r="O57" s="60"/>
    </row>
    <row r="58" spans="1:15" x14ac:dyDescent="0.3">
      <c r="J58" s="355"/>
      <c r="K58" s="62" t="s">
        <v>327</v>
      </c>
      <c r="L58" s="60"/>
      <c r="M58" s="60"/>
      <c r="N58" s="60"/>
      <c r="O58" s="60"/>
    </row>
    <row r="59" spans="1:15" x14ac:dyDescent="0.3">
      <c r="J59" s="355"/>
      <c r="K59" s="62" t="s">
        <v>329</v>
      </c>
      <c r="L59" s="60"/>
      <c r="M59" s="60"/>
      <c r="N59" s="60"/>
      <c r="O59" s="60"/>
    </row>
    <row r="60" spans="1:15" x14ac:dyDescent="0.3">
      <c r="J60" s="355"/>
      <c r="K60" s="62" t="s">
        <v>330</v>
      </c>
      <c r="L60" s="60"/>
      <c r="M60" s="60"/>
      <c r="N60" s="60"/>
      <c r="O60" s="60"/>
    </row>
    <row r="61" spans="1:15" x14ac:dyDescent="0.3">
      <c r="J61" s="355"/>
      <c r="K61" s="62" t="s">
        <v>331</v>
      </c>
      <c r="L61" s="60"/>
      <c r="M61" s="60"/>
      <c r="N61" s="60"/>
      <c r="O61" s="60"/>
    </row>
    <row r="62" spans="1:15" x14ac:dyDescent="0.3">
      <c r="J62" s="355"/>
      <c r="K62" s="62" t="s">
        <v>332</v>
      </c>
      <c r="L62" s="60"/>
      <c r="M62" s="60"/>
      <c r="N62" s="60"/>
      <c r="O62" s="60"/>
    </row>
    <row r="63" spans="1:15" x14ac:dyDescent="0.3">
      <c r="J63" s="355"/>
      <c r="K63" s="62" t="s">
        <v>333</v>
      </c>
      <c r="L63" s="60"/>
      <c r="M63" s="60"/>
      <c r="N63" s="60"/>
      <c r="O63" s="60"/>
    </row>
    <row r="64" spans="1:15" x14ac:dyDescent="0.3">
      <c r="J64" s="355"/>
      <c r="K64" s="58" t="s">
        <v>334</v>
      </c>
      <c r="L64" s="58" t="e">
        <f>AVERAGE(L52:L63)</f>
        <v>#DIV/0!</v>
      </c>
      <c r="M64" s="58">
        <f>MAX(M52:M63)</f>
        <v>0</v>
      </c>
      <c r="N64" s="58" t="e">
        <f>AVERAGE(N52:N63)</f>
        <v>#DIV/0!</v>
      </c>
      <c r="O64" s="58">
        <f>MAX(O52:O63)</f>
        <v>0</v>
      </c>
    </row>
    <row r="66" spans="10:15" ht="28" x14ac:dyDescent="0.3">
      <c r="J66" s="57">
        <f>+A6</f>
        <v>2022</v>
      </c>
      <c r="K66" s="57" t="s">
        <v>316</v>
      </c>
      <c r="L66" s="63" t="s">
        <v>311</v>
      </c>
      <c r="M66" s="63" t="s">
        <v>317</v>
      </c>
      <c r="N66" s="63" t="s">
        <v>314</v>
      </c>
      <c r="O66" s="63" t="s">
        <v>318</v>
      </c>
    </row>
    <row r="67" spans="10:15" x14ac:dyDescent="0.3">
      <c r="J67" s="355" t="s">
        <v>174</v>
      </c>
      <c r="K67" s="62" t="s">
        <v>319</v>
      </c>
      <c r="L67" s="60"/>
      <c r="M67" s="60"/>
      <c r="N67" s="60"/>
      <c r="O67" s="60"/>
    </row>
    <row r="68" spans="10:15" x14ac:dyDescent="0.3">
      <c r="J68" s="355"/>
      <c r="K68" s="62" t="s">
        <v>320</v>
      </c>
      <c r="L68" s="60"/>
      <c r="M68" s="60"/>
      <c r="N68" s="60"/>
      <c r="O68" s="60"/>
    </row>
    <row r="69" spans="10:15" x14ac:dyDescent="0.3">
      <c r="J69" s="355"/>
      <c r="K69" s="62" t="s">
        <v>321</v>
      </c>
      <c r="L69" s="60"/>
      <c r="M69" s="60"/>
      <c r="N69" s="60"/>
      <c r="O69" s="60"/>
    </row>
    <row r="70" spans="10:15" x14ac:dyDescent="0.3">
      <c r="J70" s="355"/>
      <c r="K70" s="62" t="s">
        <v>323</v>
      </c>
      <c r="L70" s="60"/>
      <c r="M70" s="60"/>
      <c r="N70" s="60"/>
      <c r="O70" s="60"/>
    </row>
    <row r="71" spans="10:15" x14ac:dyDescent="0.3">
      <c r="J71" s="355"/>
      <c r="K71" s="62" t="s">
        <v>325</v>
      </c>
      <c r="L71" s="60"/>
      <c r="M71" s="60"/>
      <c r="N71" s="60"/>
      <c r="O71" s="60"/>
    </row>
    <row r="72" spans="10:15" x14ac:dyDescent="0.3">
      <c r="J72" s="355"/>
      <c r="K72" s="62" t="s">
        <v>326</v>
      </c>
      <c r="L72" s="60"/>
      <c r="M72" s="60"/>
      <c r="N72" s="60"/>
      <c r="O72" s="60"/>
    </row>
    <row r="73" spans="10:15" x14ac:dyDescent="0.3">
      <c r="J73" s="355"/>
      <c r="K73" s="62" t="s">
        <v>327</v>
      </c>
      <c r="L73" s="60"/>
      <c r="M73" s="60"/>
      <c r="N73" s="60"/>
      <c r="O73" s="60"/>
    </row>
    <row r="74" spans="10:15" x14ac:dyDescent="0.3">
      <c r="J74" s="355"/>
      <c r="K74" s="62" t="s">
        <v>329</v>
      </c>
      <c r="L74" s="60"/>
      <c r="M74" s="60"/>
      <c r="N74" s="60"/>
      <c r="O74" s="60"/>
    </row>
    <row r="75" spans="10:15" x14ac:dyDescent="0.3">
      <c r="J75" s="355"/>
      <c r="K75" s="62" t="s">
        <v>330</v>
      </c>
      <c r="L75" s="60"/>
      <c r="M75" s="60"/>
      <c r="N75" s="60"/>
      <c r="O75" s="60"/>
    </row>
    <row r="76" spans="10:15" x14ac:dyDescent="0.3">
      <c r="J76" s="355"/>
      <c r="K76" s="62" t="s">
        <v>331</v>
      </c>
      <c r="L76" s="60"/>
      <c r="M76" s="60"/>
      <c r="N76" s="60"/>
      <c r="O76" s="60"/>
    </row>
    <row r="77" spans="10:15" x14ac:dyDescent="0.3">
      <c r="J77" s="355"/>
      <c r="K77" s="62" t="s">
        <v>332</v>
      </c>
      <c r="L77" s="60"/>
      <c r="M77" s="60"/>
      <c r="N77" s="60"/>
      <c r="O77" s="60"/>
    </row>
    <row r="78" spans="10:15" x14ac:dyDescent="0.3">
      <c r="J78" s="355"/>
      <c r="K78" s="62" t="s">
        <v>333</v>
      </c>
      <c r="L78" s="60"/>
      <c r="M78" s="60"/>
      <c r="N78" s="60"/>
      <c r="O78" s="60"/>
    </row>
    <row r="79" spans="10:15" x14ac:dyDescent="0.3">
      <c r="J79" s="355"/>
      <c r="K79" s="58" t="s">
        <v>334</v>
      </c>
      <c r="L79" s="58" t="e">
        <f>AVERAGE(L67:L78)</f>
        <v>#DIV/0!</v>
      </c>
      <c r="M79" s="58">
        <f>MAX(M67:M78)</f>
        <v>0</v>
      </c>
      <c r="N79" s="58" t="e">
        <f>AVERAGE(N67:N78)</f>
        <v>#DIV/0!</v>
      </c>
      <c r="O79" s="58">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zoomScaleNormal="100" workbookViewId="0">
      <selection activeCell="F13" sqref="F13"/>
    </sheetView>
  </sheetViews>
  <sheetFormatPr defaultRowHeight="14" x14ac:dyDescent="0.3"/>
  <cols>
    <col min="1" max="1" width="14" style="3" customWidth="1"/>
    <col min="2" max="4" width="17" style="33" customWidth="1"/>
    <col min="5" max="5" width="14.81640625" style="33" customWidth="1"/>
    <col min="6" max="7" width="17" style="33" customWidth="1"/>
    <col min="8" max="11" width="9.1796875" style="3"/>
    <col min="12" max="12" width="15.453125" style="3" customWidth="1"/>
    <col min="13" max="13" width="17.453125" style="3" bestFit="1" customWidth="1"/>
    <col min="14" max="14" width="13.81640625" style="3" customWidth="1"/>
    <col min="15" max="15" width="15" style="3" customWidth="1"/>
    <col min="16" max="18" width="9.1796875" style="3"/>
    <col min="19" max="19" width="22" style="3" customWidth="1"/>
    <col min="20" max="256" width="9.1796875" style="3"/>
    <col min="257" max="257" width="14" style="3" customWidth="1"/>
    <col min="258" max="263" width="10.1796875" style="3" customWidth="1"/>
    <col min="264" max="512" width="9.1796875" style="3"/>
    <col min="513" max="513" width="14" style="3" customWidth="1"/>
    <col min="514" max="519" width="10.1796875" style="3" customWidth="1"/>
    <col min="520" max="768" width="9.1796875" style="3"/>
    <col min="769" max="769" width="14" style="3" customWidth="1"/>
    <col min="770" max="775" width="10.1796875" style="3" customWidth="1"/>
    <col min="776" max="1024" width="9.1796875" style="3"/>
    <col min="1025" max="1025" width="14" style="3" customWidth="1"/>
    <col min="1026" max="1031" width="10.1796875" style="3" customWidth="1"/>
    <col min="1032" max="1280" width="9.1796875" style="3"/>
    <col min="1281" max="1281" width="14" style="3" customWidth="1"/>
    <col min="1282" max="1287" width="10.1796875" style="3" customWidth="1"/>
    <col min="1288" max="1536" width="9.1796875" style="3"/>
    <col min="1537" max="1537" width="14" style="3" customWidth="1"/>
    <col min="1538" max="1543" width="10.1796875" style="3" customWidth="1"/>
    <col min="1544" max="1792" width="9.1796875" style="3"/>
    <col min="1793" max="1793" width="14" style="3" customWidth="1"/>
    <col min="1794" max="1799" width="10.1796875" style="3" customWidth="1"/>
    <col min="1800" max="2048" width="9.1796875" style="3"/>
    <col min="2049" max="2049" width="14" style="3" customWidth="1"/>
    <col min="2050" max="2055" width="10.1796875" style="3" customWidth="1"/>
    <col min="2056" max="2304" width="9.1796875" style="3"/>
    <col min="2305" max="2305" width="14" style="3" customWidth="1"/>
    <col min="2306" max="2311" width="10.1796875" style="3" customWidth="1"/>
    <col min="2312" max="2560" width="9.1796875" style="3"/>
    <col min="2561" max="2561" width="14" style="3" customWidth="1"/>
    <col min="2562" max="2567" width="10.1796875" style="3" customWidth="1"/>
    <col min="2568" max="2816" width="9.1796875" style="3"/>
    <col min="2817" max="2817" width="14" style="3" customWidth="1"/>
    <col min="2818" max="2823" width="10.1796875" style="3" customWidth="1"/>
    <col min="2824" max="3072" width="9.1796875" style="3"/>
    <col min="3073" max="3073" width="14" style="3" customWidth="1"/>
    <col min="3074" max="3079" width="10.1796875" style="3" customWidth="1"/>
    <col min="3080" max="3328" width="9.1796875" style="3"/>
    <col min="3329" max="3329" width="14" style="3" customWidth="1"/>
    <col min="3330" max="3335" width="10.1796875" style="3" customWidth="1"/>
    <col min="3336" max="3584" width="9.1796875" style="3"/>
    <col min="3585" max="3585" width="14" style="3" customWidth="1"/>
    <col min="3586" max="3591" width="10.1796875" style="3" customWidth="1"/>
    <col min="3592" max="3840" width="9.1796875" style="3"/>
    <col min="3841" max="3841" width="14" style="3" customWidth="1"/>
    <col min="3842" max="3847" width="10.1796875" style="3" customWidth="1"/>
    <col min="3848" max="4096" width="9.1796875" style="3"/>
    <col min="4097" max="4097" width="14" style="3" customWidth="1"/>
    <col min="4098" max="4103" width="10.1796875" style="3" customWidth="1"/>
    <col min="4104" max="4352" width="9.1796875" style="3"/>
    <col min="4353" max="4353" width="14" style="3" customWidth="1"/>
    <col min="4354" max="4359" width="10.1796875" style="3" customWidth="1"/>
    <col min="4360" max="4608" width="9.1796875" style="3"/>
    <col min="4609" max="4609" width="14" style="3" customWidth="1"/>
    <col min="4610" max="4615" width="10.1796875" style="3" customWidth="1"/>
    <col min="4616" max="4864" width="9.1796875" style="3"/>
    <col min="4865" max="4865" width="14" style="3" customWidth="1"/>
    <col min="4866" max="4871" width="10.1796875" style="3" customWidth="1"/>
    <col min="4872" max="5120" width="9.1796875" style="3"/>
    <col min="5121" max="5121" width="14" style="3" customWidth="1"/>
    <col min="5122" max="5127" width="10.1796875" style="3" customWidth="1"/>
    <col min="5128" max="5376" width="9.1796875" style="3"/>
    <col min="5377" max="5377" width="14" style="3" customWidth="1"/>
    <col min="5378" max="5383" width="10.1796875" style="3" customWidth="1"/>
    <col min="5384" max="5632" width="9.1796875" style="3"/>
    <col min="5633" max="5633" width="14" style="3" customWidth="1"/>
    <col min="5634" max="5639" width="10.1796875" style="3" customWidth="1"/>
    <col min="5640" max="5888" width="9.1796875" style="3"/>
    <col min="5889" max="5889" width="14" style="3" customWidth="1"/>
    <col min="5890" max="5895" width="10.1796875" style="3" customWidth="1"/>
    <col min="5896" max="6144" width="9.1796875" style="3"/>
    <col min="6145" max="6145" width="14" style="3" customWidth="1"/>
    <col min="6146" max="6151" width="10.1796875" style="3" customWidth="1"/>
    <col min="6152" max="6400" width="9.1796875" style="3"/>
    <col min="6401" max="6401" width="14" style="3" customWidth="1"/>
    <col min="6402" max="6407" width="10.1796875" style="3" customWidth="1"/>
    <col min="6408" max="6656" width="9.1796875" style="3"/>
    <col min="6657" max="6657" width="14" style="3" customWidth="1"/>
    <col min="6658" max="6663" width="10.1796875" style="3" customWidth="1"/>
    <col min="6664" max="6912" width="9.1796875" style="3"/>
    <col min="6913" max="6913" width="14" style="3" customWidth="1"/>
    <col min="6914" max="6919" width="10.1796875" style="3" customWidth="1"/>
    <col min="6920" max="7168" width="9.1796875" style="3"/>
    <col min="7169" max="7169" width="14" style="3" customWidth="1"/>
    <col min="7170" max="7175" width="10.1796875" style="3" customWidth="1"/>
    <col min="7176" max="7424" width="9.1796875" style="3"/>
    <col min="7425" max="7425" width="14" style="3" customWidth="1"/>
    <col min="7426" max="7431" width="10.1796875" style="3" customWidth="1"/>
    <col min="7432" max="7680" width="9.1796875" style="3"/>
    <col min="7681" max="7681" width="14" style="3" customWidth="1"/>
    <col min="7682" max="7687" width="10.1796875" style="3" customWidth="1"/>
    <col min="7688" max="7936" width="9.1796875" style="3"/>
    <col min="7937" max="7937" width="14" style="3" customWidth="1"/>
    <col min="7938" max="7943" width="10.1796875" style="3" customWidth="1"/>
    <col min="7944" max="8192" width="9.1796875" style="3"/>
    <col min="8193" max="8193" width="14" style="3" customWidth="1"/>
    <col min="8194" max="8199" width="10.1796875" style="3" customWidth="1"/>
    <col min="8200" max="8448" width="9.1796875" style="3"/>
    <col min="8449" max="8449" width="14" style="3" customWidth="1"/>
    <col min="8450" max="8455" width="10.1796875" style="3" customWidth="1"/>
    <col min="8456" max="8704" width="9.1796875" style="3"/>
    <col min="8705" max="8705" width="14" style="3" customWidth="1"/>
    <col min="8706" max="8711" width="10.1796875" style="3" customWidth="1"/>
    <col min="8712" max="8960" width="9.1796875" style="3"/>
    <col min="8961" max="8961" width="14" style="3" customWidth="1"/>
    <col min="8962" max="8967" width="10.1796875" style="3" customWidth="1"/>
    <col min="8968" max="9216" width="9.1796875" style="3"/>
    <col min="9217" max="9217" width="14" style="3" customWidth="1"/>
    <col min="9218" max="9223" width="10.1796875" style="3" customWidth="1"/>
    <col min="9224" max="9472" width="9.1796875" style="3"/>
    <col min="9473" max="9473" width="14" style="3" customWidth="1"/>
    <col min="9474" max="9479" width="10.1796875" style="3" customWidth="1"/>
    <col min="9480" max="9728" width="9.1796875" style="3"/>
    <col min="9729" max="9729" width="14" style="3" customWidth="1"/>
    <col min="9730" max="9735" width="10.1796875" style="3" customWidth="1"/>
    <col min="9736" max="9984" width="9.1796875" style="3"/>
    <col min="9985" max="9985" width="14" style="3" customWidth="1"/>
    <col min="9986" max="9991" width="10.1796875" style="3" customWidth="1"/>
    <col min="9992" max="10240" width="9.1796875" style="3"/>
    <col min="10241" max="10241" width="14" style="3" customWidth="1"/>
    <col min="10242" max="10247" width="10.1796875" style="3" customWidth="1"/>
    <col min="10248" max="10496" width="9.1796875" style="3"/>
    <col min="10497" max="10497" width="14" style="3" customWidth="1"/>
    <col min="10498" max="10503" width="10.1796875" style="3" customWidth="1"/>
    <col min="10504" max="10752" width="9.1796875" style="3"/>
    <col min="10753" max="10753" width="14" style="3" customWidth="1"/>
    <col min="10754" max="10759" width="10.1796875" style="3" customWidth="1"/>
    <col min="10760" max="11008" width="9.1796875" style="3"/>
    <col min="11009" max="11009" width="14" style="3" customWidth="1"/>
    <col min="11010" max="11015" width="10.1796875" style="3" customWidth="1"/>
    <col min="11016" max="11264" width="9.1796875" style="3"/>
    <col min="11265" max="11265" width="14" style="3" customWidth="1"/>
    <col min="11266" max="11271" width="10.1796875" style="3" customWidth="1"/>
    <col min="11272" max="11520" width="9.1796875" style="3"/>
    <col min="11521" max="11521" width="14" style="3" customWidth="1"/>
    <col min="11522" max="11527" width="10.1796875" style="3" customWidth="1"/>
    <col min="11528" max="11776" width="9.1796875" style="3"/>
    <col min="11777" max="11777" width="14" style="3" customWidth="1"/>
    <col min="11778" max="11783" width="10.1796875" style="3" customWidth="1"/>
    <col min="11784" max="12032" width="9.1796875" style="3"/>
    <col min="12033" max="12033" width="14" style="3" customWidth="1"/>
    <col min="12034" max="12039" width="10.1796875" style="3" customWidth="1"/>
    <col min="12040" max="12288" width="9.1796875" style="3"/>
    <col min="12289" max="12289" width="14" style="3" customWidth="1"/>
    <col min="12290" max="12295" width="10.1796875" style="3" customWidth="1"/>
    <col min="12296" max="12544" width="9.1796875" style="3"/>
    <col min="12545" max="12545" width="14" style="3" customWidth="1"/>
    <col min="12546" max="12551" width="10.1796875" style="3" customWidth="1"/>
    <col min="12552" max="12800" width="9.1796875" style="3"/>
    <col min="12801" max="12801" width="14" style="3" customWidth="1"/>
    <col min="12802" max="12807" width="10.1796875" style="3" customWidth="1"/>
    <col min="12808" max="13056" width="9.1796875" style="3"/>
    <col min="13057" max="13057" width="14" style="3" customWidth="1"/>
    <col min="13058" max="13063" width="10.1796875" style="3" customWidth="1"/>
    <col min="13064" max="13312" width="9.1796875" style="3"/>
    <col min="13313" max="13313" width="14" style="3" customWidth="1"/>
    <col min="13314" max="13319" width="10.1796875" style="3" customWidth="1"/>
    <col min="13320" max="13568" width="9.1796875" style="3"/>
    <col min="13569" max="13569" width="14" style="3" customWidth="1"/>
    <col min="13570" max="13575" width="10.1796875" style="3" customWidth="1"/>
    <col min="13576" max="13824" width="9.1796875" style="3"/>
    <col min="13825" max="13825" width="14" style="3" customWidth="1"/>
    <col min="13826" max="13831" width="10.1796875" style="3" customWidth="1"/>
    <col min="13832" max="14080" width="9.1796875" style="3"/>
    <col min="14081" max="14081" width="14" style="3" customWidth="1"/>
    <col min="14082" max="14087" width="10.1796875" style="3" customWidth="1"/>
    <col min="14088" max="14336" width="9.1796875" style="3"/>
    <col min="14337" max="14337" width="14" style="3" customWidth="1"/>
    <col min="14338" max="14343" width="10.1796875" style="3" customWidth="1"/>
    <col min="14344" max="14592" width="9.1796875" style="3"/>
    <col min="14593" max="14593" width="14" style="3" customWidth="1"/>
    <col min="14594" max="14599" width="10.1796875" style="3" customWidth="1"/>
    <col min="14600" max="14848" width="9.1796875" style="3"/>
    <col min="14849" max="14849" width="14" style="3" customWidth="1"/>
    <col min="14850" max="14855" width="10.1796875" style="3" customWidth="1"/>
    <col min="14856" max="15104" width="9.1796875" style="3"/>
    <col min="15105" max="15105" width="14" style="3" customWidth="1"/>
    <col min="15106" max="15111" width="10.1796875" style="3" customWidth="1"/>
    <col min="15112" max="15360" width="9.1796875" style="3"/>
    <col min="15361" max="15361" width="14" style="3" customWidth="1"/>
    <col min="15362" max="15367" width="10.1796875" style="3" customWidth="1"/>
    <col min="15368" max="15616" width="9.1796875" style="3"/>
    <col min="15617" max="15617" width="14" style="3" customWidth="1"/>
    <col min="15618" max="15623" width="10.1796875" style="3" customWidth="1"/>
    <col min="15624" max="15872" width="9.1796875" style="3"/>
    <col min="15873" max="15873" width="14" style="3" customWidth="1"/>
    <col min="15874" max="15879" width="10.1796875" style="3" customWidth="1"/>
    <col min="15880" max="16128" width="9.1796875" style="3"/>
    <col min="16129" max="16129" width="14" style="3" customWidth="1"/>
    <col min="16130" max="16135" width="10.1796875" style="3" customWidth="1"/>
    <col min="16136" max="16384" width="9.1796875" style="3"/>
  </cols>
  <sheetData>
    <row r="1" spans="1:19" ht="15.5" x14ac:dyDescent="0.35">
      <c r="A1" s="94" t="str">
        <f>+'Cover Page'!$B$29</f>
        <v>Annual Performance Report 2022</v>
      </c>
      <c r="B1" s="94"/>
      <c r="C1" s="94"/>
      <c r="D1" s="94"/>
      <c r="E1" s="94" t="str">
        <f>+'Cover Page'!$B$33</f>
        <v>Welland Biopower Ltd</v>
      </c>
      <c r="F1" s="94"/>
      <c r="G1" s="94"/>
    </row>
    <row r="3" spans="1:19" ht="14.5" x14ac:dyDescent="0.35">
      <c r="A3" s="56" t="s">
        <v>335</v>
      </c>
      <c r="D3" s="72" t="s">
        <v>303</v>
      </c>
      <c r="G3" s="76" t="s">
        <v>304</v>
      </c>
      <c r="J3" s="8" t="str">
        <f>+A3</f>
        <v>Monitoring of Sulphur dioxide emissions</v>
      </c>
      <c r="L3" s="8"/>
      <c r="N3" s="8" t="s">
        <v>305</v>
      </c>
      <c r="Q3" s="75" t="s">
        <v>3</v>
      </c>
      <c r="R3" s="70"/>
      <c r="S3" s="70"/>
    </row>
    <row r="4" spans="1:19" ht="14" customHeight="1" x14ac:dyDescent="0.3">
      <c r="Q4" s="370" t="s">
        <v>306</v>
      </c>
      <c r="R4" s="370"/>
      <c r="S4" s="370"/>
    </row>
    <row r="5" spans="1:19" ht="16" x14ac:dyDescent="0.3">
      <c r="A5" s="64" t="s">
        <v>307</v>
      </c>
      <c r="B5" s="357" t="s">
        <v>308</v>
      </c>
      <c r="C5" s="357"/>
      <c r="D5" s="357"/>
      <c r="E5" s="357" t="s">
        <v>309</v>
      </c>
      <c r="F5" s="357"/>
      <c r="G5" s="357"/>
      <c r="J5" s="356"/>
      <c r="K5" s="356"/>
      <c r="L5" s="356"/>
      <c r="M5" s="356"/>
      <c r="N5" s="356"/>
      <c r="O5" s="356"/>
      <c r="Q5" s="370"/>
      <c r="R5" s="370"/>
      <c r="S5" s="370"/>
    </row>
    <row r="6" spans="1:19" s="54" customFormat="1" ht="37.5" customHeight="1" x14ac:dyDescent="0.35">
      <c r="A6" s="61">
        <f>+'Cover Page'!C39</f>
        <v>2022</v>
      </c>
      <c r="B6" s="51" t="s">
        <v>336</v>
      </c>
      <c r="C6" s="51" t="s">
        <v>311</v>
      </c>
      <c r="D6" s="51" t="s">
        <v>312</v>
      </c>
      <c r="E6" s="51" t="s">
        <v>337</v>
      </c>
      <c r="F6" s="51" t="s">
        <v>314</v>
      </c>
      <c r="G6" s="51" t="s">
        <v>315</v>
      </c>
      <c r="H6" s="55"/>
      <c r="J6" s="57">
        <f>+A6</f>
        <v>2022</v>
      </c>
      <c r="K6" s="57" t="s">
        <v>316</v>
      </c>
      <c r="L6" s="63" t="s">
        <v>311</v>
      </c>
      <c r="M6" s="63" t="s">
        <v>317</v>
      </c>
      <c r="N6" s="63" t="s">
        <v>314</v>
      </c>
      <c r="O6" s="63" t="s">
        <v>318</v>
      </c>
      <c r="Q6" s="370"/>
      <c r="R6" s="370"/>
      <c r="S6" s="370"/>
    </row>
    <row r="7" spans="1:19" x14ac:dyDescent="0.3">
      <c r="A7" s="62" t="s">
        <v>319</v>
      </c>
      <c r="B7" s="59">
        <f>'Air (CEMS)'!$C$23</f>
        <v>300</v>
      </c>
      <c r="C7" s="60">
        <v>28</v>
      </c>
      <c r="D7" s="60">
        <v>69</v>
      </c>
      <c r="E7" s="59">
        <f>'Air (CEMS)'!$C$22</f>
        <v>75</v>
      </c>
      <c r="F7" s="60">
        <v>28.14</v>
      </c>
      <c r="G7" s="60">
        <v>40</v>
      </c>
      <c r="J7" s="355" t="s">
        <v>170</v>
      </c>
      <c r="K7" s="62" t="s">
        <v>319</v>
      </c>
      <c r="L7" s="60">
        <f>C7</f>
        <v>28</v>
      </c>
      <c r="M7" s="60">
        <f>D7</f>
        <v>69</v>
      </c>
      <c r="N7" s="60">
        <f>F7</f>
        <v>28.14</v>
      </c>
      <c r="O7" s="60">
        <f>G7</f>
        <v>40</v>
      </c>
      <c r="Q7" s="370"/>
      <c r="R7" s="370"/>
      <c r="S7" s="370"/>
    </row>
    <row r="8" spans="1:19" x14ac:dyDescent="0.3">
      <c r="A8" s="62" t="s">
        <v>320</v>
      </c>
      <c r="B8" s="59">
        <f>'Air (CEMS)'!$C$23</f>
        <v>300</v>
      </c>
      <c r="C8" s="60">
        <v>28</v>
      </c>
      <c r="D8" s="60">
        <v>135</v>
      </c>
      <c r="E8" s="59">
        <f>'Air (CEMS)'!$C$22</f>
        <v>75</v>
      </c>
      <c r="F8" s="60">
        <v>28.43</v>
      </c>
      <c r="G8" s="60">
        <v>35</v>
      </c>
      <c r="J8" s="355"/>
      <c r="K8" s="62" t="s">
        <v>320</v>
      </c>
      <c r="L8" s="60">
        <f t="shared" ref="L8:L18" si="0">C8</f>
        <v>28</v>
      </c>
      <c r="M8" s="60">
        <f t="shared" ref="M8:M18" si="1">D8</f>
        <v>135</v>
      </c>
      <c r="N8" s="60">
        <f t="shared" ref="N8:N18" si="2">F8</f>
        <v>28.43</v>
      </c>
      <c r="O8" s="60">
        <f t="shared" ref="O8:O18" si="3">G8</f>
        <v>35</v>
      </c>
      <c r="Q8" s="370"/>
      <c r="R8" s="370"/>
      <c r="S8" s="370"/>
    </row>
    <row r="9" spans="1:19" x14ac:dyDescent="0.3">
      <c r="A9" s="62" t="s">
        <v>321</v>
      </c>
      <c r="B9" s="59">
        <f>'Air (CEMS)'!$C$23</f>
        <v>300</v>
      </c>
      <c r="C9" s="60">
        <v>35</v>
      </c>
      <c r="D9" s="60">
        <v>73</v>
      </c>
      <c r="E9" s="59">
        <f>'Air (CEMS)'!$C$22</f>
        <v>75</v>
      </c>
      <c r="F9" s="60">
        <v>35.25</v>
      </c>
      <c r="G9" s="60">
        <v>47</v>
      </c>
      <c r="J9" s="355"/>
      <c r="K9" s="62" t="s">
        <v>321</v>
      </c>
      <c r="L9" s="60">
        <f t="shared" si="0"/>
        <v>35</v>
      </c>
      <c r="M9" s="60">
        <f t="shared" si="1"/>
        <v>73</v>
      </c>
      <c r="N9" s="60">
        <f t="shared" si="2"/>
        <v>35.25</v>
      </c>
      <c r="O9" s="60">
        <f t="shared" si="3"/>
        <v>47</v>
      </c>
      <c r="Q9" s="74" t="s">
        <v>322</v>
      </c>
    </row>
    <row r="10" spans="1:19" ht="14.25" customHeight="1" x14ac:dyDescent="0.3">
      <c r="A10" s="62" t="s">
        <v>323</v>
      </c>
      <c r="B10" s="59">
        <f>'Air (CEMS)'!$C$23</f>
        <v>300</v>
      </c>
      <c r="C10" s="60">
        <v>26</v>
      </c>
      <c r="D10" s="60">
        <v>44</v>
      </c>
      <c r="E10" s="59">
        <f>'Air (CEMS)'!$C$22</f>
        <v>75</v>
      </c>
      <c r="F10" s="60">
        <v>25.78</v>
      </c>
      <c r="G10" s="60">
        <v>30</v>
      </c>
      <c r="J10" s="355"/>
      <c r="K10" s="62" t="s">
        <v>323</v>
      </c>
      <c r="L10" s="60">
        <f t="shared" si="0"/>
        <v>26</v>
      </c>
      <c r="M10" s="60">
        <f t="shared" si="1"/>
        <v>44</v>
      </c>
      <c r="N10" s="60">
        <f t="shared" si="2"/>
        <v>25.78</v>
      </c>
      <c r="O10" s="60">
        <f t="shared" si="3"/>
        <v>30</v>
      </c>
      <c r="Q10" s="354" t="s">
        <v>324</v>
      </c>
      <c r="R10" s="354"/>
      <c r="S10" s="354"/>
    </row>
    <row r="11" spans="1:19" x14ac:dyDescent="0.3">
      <c r="A11" s="62" t="s">
        <v>325</v>
      </c>
      <c r="B11" s="59">
        <f>'Air (CEMS)'!$C$23</f>
        <v>300</v>
      </c>
      <c r="C11" s="60">
        <v>33</v>
      </c>
      <c r="D11" s="60">
        <v>104</v>
      </c>
      <c r="E11" s="59">
        <f>'Air (CEMS)'!$C$22</f>
        <v>75</v>
      </c>
      <c r="F11" s="60">
        <v>32.5</v>
      </c>
      <c r="G11" s="60">
        <v>48</v>
      </c>
      <c r="J11" s="355"/>
      <c r="K11" s="62" t="s">
        <v>325</v>
      </c>
      <c r="L11" s="60">
        <f t="shared" si="0"/>
        <v>33</v>
      </c>
      <c r="M11" s="60">
        <f t="shared" si="1"/>
        <v>104</v>
      </c>
      <c r="N11" s="60">
        <f t="shared" si="2"/>
        <v>32.5</v>
      </c>
      <c r="O11" s="60">
        <f t="shared" si="3"/>
        <v>48</v>
      </c>
      <c r="Q11" s="354"/>
      <c r="R11" s="354"/>
      <c r="S11" s="354"/>
    </row>
    <row r="12" spans="1:19" x14ac:dyDescent="0.3">
      <c r="A12" s="62" t="s">
        <v>326</v>
      </c>
      <c r="B12" s="59">
        <f>'Air (CEMS)'!$C$23</f>
        <v>300</v>
      </c>
      <c r="C12" s="60">
        <v>35</v>
      </c>
      <c r="D12" s="60">
        <v>65</v>
      </c>
      <c r="E12" s="59">
        <f>'Air (CEMS)'!$C$22</f>
        <v>75</v>
      </c>
      <c r="F12" s="60">
        <v>35.07</v>
      </c>
      <c r="G12" s="60">
        <v>48</v>
      </c>
      <c r="J12" s="355"/>
      <c r="K12" s="62" t="s">
        <v>326</v>
      </c>
      <c r="L12" s="60">
        <f t="shared" si="0"/>
        <v>35</v>
      </c>
      <c r="M12" s="60">
        <f t="shared" si="1"/>
        <v>65</v>
      </c>
      <c r="N12" s="60">
        <f t="shared" si="2"/>
        <v>35.07</v>
      </c>
      <c r="O12" s="60">
        <f t="shared" si="3"/>
        <v>48</v>
      </c>
      <c r="Q12" s="354"/>
      <c r="R12" s="354"/>
      <c r="S12" s="354"/>
    </row>
    <row r="13" spans="1:19" ht="14.25" customHeight="1" x14ac:dyDescent="0.3">
      <c r="A13" s="62" t="s">
        <v>327</v>
      </c>
      <c r="B13" s="59">
        <f>'Air (CEMS)'!$C$23</f>
        <v>300</v>
      </c>
      <c r="C13" s="60">
        <v>9</v>
      </c>
      <c r="D13" s="60">
        <v>175</v>
      </c>
      <c r="E13" s="59">
        <f>'Air (CEMS)'!$C$22</f>
        <v>75</v>
      </c>
      <c r="F13" s="60">
        <v>24.16</v>
      </c>
      <c r="G13" s="60">
        <v>50</v>
      </c>
      <c r="J13" s="355"/>
      <c r="K13" s="62" t="s">
        <v>327</v>
      </c>
      <c r="L13" s="60">
        <f t="shared" si="0"/>
        <v>9</v>
      </c>
      <c r="M13" s="60">
        <f t="shared" si="1"/>
        <v>175</v>
      </c>
      <c r="N13" s="60">
        <f t="shared" si="2"/>
        <v>24.16</v>
      </c>
      <c r="O13" s="60">
        <f t="shared" si="3"/>
        <v>50</v>
      </c>
      <c r="Q13" s="354" t="s">
        <v>328</v>
      </c>
      <c r="R13" s="354"/>
      <c r="S13" s="354"/>
    </row>
    <row r="14" spans="1:19" x14ac:dyDescent="0.3">
      <c r="A14" s="62" t="s">
        <v>329</v>
      </c>
      <c r="B14" s="59">
        <f>'Air (CEMS)'!$C$23</f>
        <v>300</v>
      </c>
      <c r="C14" s="60">
        <v>34</v>
      </c>
      <c r="D14" s="60">
        <v>96</v>
      </c>
      <c r="E14" s="59">
        <f>'Air (CEMS)'!$C$22</f>
        <v>75</v>
      </c>
      <c r="F14" s="60">
        <v>34.06</v>
      </c>
      <c r="G14" s="60">
        <v>50</v>
      </c>
      <c r="J14" s="355"/>
      <c r="K14" s="62" t="s">
        <v>329</v>
      </c>
      <c r="L14" s="60">
        <f t="shared" si="0"/>
        <v>34</v>
      </c>
      <c r="M14" s="60">
        <f t="shared" si="1"/>
        <v>96</v>
      </c>
      <c r="N14" s="60">
        <f t="shared" si="2"/>
        <v>34.06</v>
      </c>
      <c r="O14" s="60">
        <f t="shared" si="3"/>
        <v>50</v>
      </c>
      <c r="Q14" s="354"/>
      <c r="R14" s="354"/>
      <c r="S14" s="354"/>
    </row>
    <row r="15" spans="1:19" x14ac:dyDescent="0.3">
      <c r="A15" s="62" t="s">
        <v>330</v>
      </c>
      <c r="B15" s="59">
        <f>'Air (CEMS)'!$C$23</f>
        <v>300</v>
      </c>
      <c r="C15" s="60">
        <v>42</v>
      </c>
      <c r="D15" s="60">
        <v>66</v>
      </c>
      <c r="E15" s="59">
        <f>'Air (CEMS)'!$C$22</f>
        <v>75</v>
      </c>
      <c r="F15" s="60">
        <v>41.83</v>
      </c>
      <c r="G15" s="60">
        <v>54</v>
      </c>
      <c r="J15" s="355"/>
      <c r="K15" s="62" t="s">
        <v>330</v>
      </c>
      <c r="L15" s="60">
        <f t="shared" si="0"/>
        <v>42</v>
      </c>
      <c r="M15" s="60">
        <f t="shared" si="1"/>
        <v>66</v>
      </c>
      <c r="N15" s="60">
        <f t="shared" si="2"/>
        <v>41.83</v>
      </c>
      <c r="O15" s="60">
        <f t="shared" si="3"/>
        <v>54</v>
      </c>
      <c r="Q15" s="354"/>
      <c r="R15" s="354"/>
      <c r="S15" s="354"/>
    </row>
    <row r="16" spans="1:19" x14ac:dyDescent="0.3">
      <c r="A16" s="62" t="s">
        <v>331</v>
      </c>
      <c r="B16" s="59">
        <f>'Air (CEMS)'!$C$23</f>
        <v>300</v>
      </c>
      <c r="C16" s="60">
        <v>10</v>
      </c>
      <c r="D16" s="60">
        <v>127</v>
      </c>
      <c r="E16" s="59">
        <f>'Air (CEMS)'!$C$22</f>
        <v>75</v>
      </c>
      <c r="F16" s="60">
        <v>38.21</v>
      </c>
      <c r="G16" s="60">
        <v>47</v>
      </c>
      <c r="J16" s="355"/>
      <c r="K16" s="62" t="s">
        <v>331</v>
      </c>
      <c r="L16" s="60">
        <f t="shared" si="0"/>
        <v>10</v>
      </c>
      <c r="M16" s="60">
        <f t="shared" si="1"/>
        <v>127</v>
      </c>
      <c r="N16" s="60">
        <f t="shared" si="2"/>
        <v>38.21</v>
      </c>
      <c r="O16" s="60">
        <f t="shared" si="3"/>
        <v>47</v>
      </c>
      <c r="Q16" s="354"/>
      <c r="R16" s="354"/>
      <c r="S16" s="354"/>
    </row>
    <row r="17" spans="1:15" x14ac:dyDescent="0.3">
      <c r="A17" s="62" t="s">
        <v>332</v>
      </c>
      <c r="B17" s="59">
        <f>'Air (CEMS)'!$C$23</f>
        <v>300</v>
      </c>
      <c r="C17" s="60">
        <v>26</v>
      </c>
      <c r="D17" s="60">
        <v>77</v>
      </c>
      <c r="E17" s="59">
        <f>'Air (CEMS)'!$C$22</f>
        <v>75</v>
      </c>
      <c r="F17" s="60">
        <v>30.11</v>
      </c>
      <c r="G17" s="60">
        <v>60</v>
      </c>
      <c r="J17" s="355"/>
      <c r="K17" s="62" t="s">
        <v>332</v>
      </c>
      <c r="L17" s="60">
        <f t="shared" si="0"/>
        <v>26</v>
      </c>
      <c r="M17" s="60">
        <f t="shared" si="1"/>
        <v>77</v>
      </c>
      <c r="N17" s="60">
        <f t="shared" si="2"/>
        <v>30.11</v>
      </c>
      <c r="O17" s="60">
        <f t="shared" si="3"/>
        <v>60</v>
      </c>
    </row>
    <row r="18" spans="1:15" x14ac:dyDescent="0.3">
      <c r="A18" s="62" t="s">
        <v>333</v>
      </c>
      <c r="B18" s="59">
        <f>'Air (CEMS)'!$C$23</f>
        <v>300</v>
      </c>
      <c r="C18" s="60">
        <v>55</v>
      </c>
      <c r="D18" s="60">
        <v>89</v>
      </c>
      <c r="E18" s="59">
        <f>'Air (CEMS)'!$C$22</f>
        <v>75</v>
      </c>
      <c r="F18" s="60">
        <v>55.23</v>
      </c>
      <c r="G18" s="60">
        <v>63</v>
      </c>
      <c r="J18" s="355"/>
      <c r="K18" s="62" t="s">
        <v>333</v>
      </c>
      <c r="L18" s="60">
        <f t="shared" si="0"/>
        <v>55</v>
      </c>
      <c r="M18" s="60">
        <f t="shared" si="1"/>
        <v>89</v>
      </c>
      <c r="N18" s="60">
        <f t="shared" si="2"/>
        <v>55.23</v>
      </c>
      <c r="O18" s="60">
        <f t="shared" si="3"/>
        <v>63</v>
      </c>
    </row>
    <row r="19" spans="1:15" x14ac:dyDescent="0.3">
      <c r="J19" s="355"/>
      <c r="K19" s="58" t="s">
        <v>334</v>
      </c>
      <c r="L19" s="58">
        <f>AVERAGE(L7:L18)</f>
        <v>30.083333333333332</v>
      </c>
      <c r="M19" s="58">
        <f>MAX(M7:M18)</f>
        <v>175</v>
      </c>
      <c r="N19" s="58">
        <f>AVERAGE(N7:N18)</f>
        <v>34.064166666666665</v>
      </c>
      <c r="O19" s="58">
        <f>MAX(O7:O18)</f>
        <v>63</v>
      </c>
    </row>
    <row r="21" spans="1:15" ht="28" x14ac:dyDescent="0.3">
      <c r="J21" s="57">
        <f>+A6</f>
        <v>2022</v>
      </c>
      <c r="K21" s="57" t="s">
        <v>316</v>
      </c>
      <c r="L21" s="63" t="s">
        <v>311</v>
      </c>
      <c r="M21" s="63" t="s">
        <v>317</v>
      </c>
      <c r="N21" s="63" t="s">
        <v>314</v>
      </c>
      <c r="O21" s="63" t="s">
        <v>318</v>
      </c>
    </row>
    <row r="22" spans="1:15" x14ac:dyDescent="0.3">
      <c r="J22" s="355" t="s">
        <v>171</v>
      </c>
      <c r="K22" s="62" t="s">
        <v>319</v>
      </c>
      <c r="L22" s="60"/>
      <c r="M22" s="60"/>
      <c r="N22" s="60"/>
      <c r="O22" s="60"/>
    </row>
    <row r="23" spans="1:15" x14ac:dyDescent="0.3">
      <c r="J23" s="355"/>
      <c r="K23" s="62" t="s">
        <v>320</v>
      </c>
      <c r="L23" s="60"/>
      <c r="M23" s="60"/>
      <c r="N23" s="60"/>
      <c r="O23" s="60"/>
    </row>
    <row r="24" spans="1:15" x14ac:dyDescent="0.3">
      <c r="J24" s="355"/>
      <c r="K24" s="62" t="s">
        <v>321</v>
      </c>
      <c r="L24" s="60"/>
      <c r="M24" s="60"/>
      <c r="N24" s="60"/>
      <c r="O24" s="60"/>
    </row>
    <row r="25" spans="1:15" x14ac:dyDescent="0.3">
      <c r="J25" s="355"/>
      <c r="K25" s="62" t="s">
        <v>323</v>
      </c>
      <c r="L25" s="60"/>
      <c r="M25" s="60"/>
      <c r="N25" s="60"/>
      <c r="O25" s="60"/>
    </row>
    <row r="26" spans="1:15" x14ac:dyDescent="0.3">
      <c r="J26" s="355"/>
      <c r="K26" s="62" t="s">
        <v>325</v>
      </c>
      <c r="L26" s="60"/>
      <c r="M26" s="60"/>
      <c r="N26" s="60"/>
      <c r="O26" s="60"/>
    </row>
    <row r="27" spans="1:15" x14ac:dyDescent="0.3">
      <c r="J27" s="355"/>
      <c r="K27" s="62" t="s">
        <v>326</v>
      </c>
      <c r="L27" s="60"/>
      <c r="M27" s="60"/>
      <c r="N27" s="60"/>
      <c r="O27" s="60"/>
    </row>
    <row r="28" spans="1:15" x14ac:dyDescent="0.3">
      <c r="J28" s="355"/>
      <c r="K28" s="62" t="s">
        <v>327</v>
      </c>
      <c r="L28" s="60"/>
      <c r="M28" s="60"/>
      <c r="N28" s="60"/>
      <c r="O28" s="60"/>
    </row>
    <row r="29" spans="1:15" x14ac:dyDescent="0.3">
      <c r="J29" s="355"/>
      <c r="K29" s="62" t="s">
        <v>329</v>
      </c>
      <c r="L29" s="60"/>
      <c r="M29" s="60"/>
      <c r="N29" s="60"/>
      <c r="O29" s="60"/>
    </row>
    <row r="30" spans="1:15" x14ac:dyDescent="0.3">
      <c r="J30" s="355"/>
      <c r="K30" s="62" t="s">
        <v>330</v>
      </c>
      <c r="L30" s="60"/>
      <c r="M30" s="60"/>
      <c r="N30" s="60"/>
      <c r="O30" s="60"/>
    </row>
    <row r="31" spans="1:15" x14ac:dyDescent="0.3">
      <c r="J31" s="355"/>
      <c r="K31" s="62" t="s">
        <v>331</v>
      </c>
      <c r="L31" s="60"/>
      <c r="M31" s="60"/>
      <c r="N31" s="60"/>
      <c r="O31" s="60"/>
    </row>
    <row r="32" spans="1:15" x14ac:dyDescent="0.3">
      <c r="J32" s="355"/>
      <c r="K32" s="62" t="s">
        <v>332</v>
      </c>
      <c r="L32" s="60"/>
      <c r="M32" s="60"/>
      <c r="N32" s="60"/>
      <c r="O32" s="60"/>
    </row>
    <row r="33" spans="1:15" x14ac:dyDescent="0.3">
      <c r="J33" s="355"/>
      <c r="K33" s="62" t="s">
        <v>333</v>
      </c>
      <c r="L33" s="60"/>
      <c r="M33" s="60"/>
      <c r="N33" s="60"/>
      <c r="O33" s="60"/>
    </row>
    <row r="34" spans="1:15" x14ac:dyDescent="0.3">
      <c r="J34" s="355"/>
      <c r="K34" s="58" t="s">
        <v>334</v>
      </c>
      <c r="L34" s="58" t="e">
        <f>AVERAGE(L22:L33)</f>
        <v>#DIV/0!</v>
      </c>
      <c r="M34" s="58">
        <f>MAX(M22:M33)</f>
        <v>0</v>
      </c>
      <c r="N34" s="58" t="e">
        <f>AVERAGE(N22:N33)</f>
        <v>#DIV/0!</v>
      </c>
      <c r="O34" s="58">
        <f>MAX(O22:O33)</f>
        <v>0</v>
      </c>
    </row>
    <row r="36" spans="1:15" ht="28" x14ac:dyDescent="0.3">
      <c r="J36" s="57">
        <f>+A6</f>
        <v>2022</v>
      </c>
      <c r="K36" s="57" t="s">
        <v>316</v>
      </c>
      <c r="L36" s="63" t="s">
        <v>311</v>
      </c>
      <c r="M36" s="63" t="s">
        <v>317</v>
      </c>
      <c r="N36" s="63" t="s">
        <v>314</v>
      </c>
      <c r="O36" s="63" t="s">
        <v>318</v>
      </c>
    </row>
    <row r="37" spans="1:15" x14ac:dyDescent="0.3">
      <c r="J37" s="355" t="s">
        <v>172</v>
      </c>
      <c r="K37" s="62" t="s">
        <v>319</v>
      </c>
      <c r="L37" s="60"/>
      <c r="M37" s="60"/>
      <c r="N37" s="60"/>
      <c r="O37" s="60"/>
    </row>
    <row r="38" spans="1:15" x14ac:dyDescent="0.3">
      <c r="J38" s="355"/>
      <c r="K38" s="62" t="s">
        <v>320</v>
      </c>
      <c r="L38" s="60"/>
      <c r="M38" s="60"/>
      <c r="N38" s="60"/>
      <c r="O38" s="60"/>
    </row>
    <row r="39" spans="1:15" x14ac:dyDescent="0.3">
      <c r="J39" s="355"/>
      <c r="K39" s="62" t="s">
        <v>321</v>
      </c>
      <c r="L39" s="60"/>
      <c r="M39" s="60"/>
      <c r="N39" s="60"/>
      <c r="O39" s="60"/>
    </row>
    <row r="40" spans="1:15" x14ac:dyDescent="0.3">
      <c r="J40" s="355"/>
      <c r="K40" s="62" t="s">
        <v>323</v>
      </c>
      <c r="L40" s="60"/>
      <c r="M40" s="60"/>
      <c r="N40" s="60"/>
      <c r="O40" s="60"/>
    </row>
    <row r="41" spans="1:15" x14ac:dyDescent="0.3">
      <c r="J41" s="355"/>
      <c r="K41" s="62" t="s">
        <v>325</v>
      </c>
      <c r="L41" s="60"/>
      <c r="M41" s="60"/>
      <c r="N41" s="60"/>
      <c r="O41" s="60"/>
    </row>
    <row r="42" spans="1:15" x14ac:dyDescent="0.3">
      <c r="J42" s="355"/>
      <c r="K42" s="62" t="s">
        <v>326</v>
      </c>
      <c r="L42" s="60"/>
      <c r="M42" s="60"/>
      <c r="N42" s="60"/>
      <c r="O42" s="60"/>
    </row>
    <row r="43" spans="1:15" x14ac:dyDescent="0.3">
      <c r="J43" s="355"/>
      <c r="K43" s="62" t="s">
        <v>327</v>
      </c>
      <c r="L43" s="60"/>
      <c r="M43" s="60"/>
      <c r="N43" s="60"/>
      <c r="O43" s="60"/>
    </row>
    <row r="44" spans="1:15" x14ac:dyDescent="0.3">
      <c r="J44" s="355"/>
      <c r="K44" s="62" t="s">
        <v>329</v>
      </c>
      <c r="L44" s="60"/>
      <c r="M44" s="60"/>
      <c r="N44" s="60"/>
      <c r="O44" s="60"/>
    </row>
    <row r="45" spans="1:15" x14ac:dyDescent="0.3">
      <c r="J45" s="355"/>
      <c r="K45" s="62" t="s">
        <v>330</v>
      </c>
      <c r="L45" s="60"/>
      <c r="M45" s="60"/>
      <c r="N45" s="60"/>
      <c r="O45" s="60"/>
    </row>
    <row r="46" spans="1:15" x14ac:dyDescent="0.3">
      <c r="J46" s="355"/>
      <c r="K46" s="62" t="s">
        <v>331</v>
      </c>
      <c r="L46" s="60"/>
      <c r="M46" s="60"/>
      <c r="N46" s="60"/>
      <c r="O46" s="60"/>
    </row>
    <row r="47" spans="1:15" x14ac:dyDescent="0.3">
      <c r="J47" s="355"/>
      <c r="K47" s="62" t="s">
        <v>332</v>
      </c>
      <c r="L47" s="60"/>
      <c r="M47" s="60"/>
      <c r="N47" s="60"/>
      <c r="O47" s="60"/>
    </row>
    <row r="48" spans="1:15" x14ac:dyDescent="0.3">
      <c r="A48" s="367" t="s">
        <v>242</v>
      </c>
      <c r="B48" s="368"/>
      <c r="C48" s="368"/>
      <c r="D48" s="368"/>
      <c r="E48" s="368"/>
      <c r="F48" s="368"/>
      <c r="G48" s="369"/>
      <c r="J48" s="355"/>
      <c r="K48" s="62" t="s">
        <v>333</v>
      </c>
      <c r="L48" s="60"/>
      <c r="M48" s="60"/>
      <c r="N48" s="60"/>
      <c r="O48" s="60"/>
    </row>
    <row r="49" spans="1:15" x14ac:dyDescent="0.3">
      <c r="A49" s="358" t="s">
        <v>454</v>
      </c>
      <c r="B49" s="359"/>
      <c r="C49" s="359"/>
      <c r="D49" s="359"/>
      <c r="E49" s="359"/>
      <c r="F49" s="359"/>
      <c r="G49" s="360"/>
      <c r="J49" s="355"/>
      <c r="K49" s="58" t="s">
        <v>334</v>
      </c>
      <c r="L49" s="58" t="e">
        <f>AVERAGE(L37:L48)</f>
        <v>#DIV/0!</v>
      </c>
      <c r="M49" s="58">
        <f>MAX(M37:M48)</f>
        <v>0</v>
      </c>
      <c r="N49" s="58" t="e">
        <f>AVERAGE(N37:N48)</f>
        <v>#DIV/0!</v>
      </c>
      <c r="O49" s="58">
        <f>MAX(O37:O48)</f>
        <v>0</v>
      </c>
    </row>
    <row r="50" spans="1:15" x14ac:dyDescent="0.3">
      <c r="A50" s="361"/>
      <c r="B50" s="362"/>
      <c r="C50" s="362"/>
      <c r="D50" s="362"/>
      <c r="E50" s="362"/>
      <c r="F50" s="362"/>
      <c r="G50" s="363"/>
    </row>
    <row r="51" spans="1:15" ht="28" x14ac:dyDescent="0.3">
      <c r="A51" s="361"/>
      <c r="B51" s="362"/>
      <c r="C51" s="362"/>
      <c r="D51" s="362"/>
      <c r="E51" s="362"/>
      <c r="F51" s="362"/>
      <c r="G51" s="363"/>
      <c r="J51" s="57">
        <f>+A6</f>
        <v>2022</v>
      </c>
      <c r="K51" s="57" t="s">
        <v>316</v>
      </c>
      <c r="L51" s="63" t="s">
        <v>311</v>
      </c>
      <c r="M51" s="63" t="s">
        <v>317</v>
      </c>
      <c r="N51" s="63" t="s">
        <v>314</v>
      </c>
      <c r="O51" s="63" t="s">
        <v>318</v>
      </c>
    </row>
    <row r="52" spans="1:15" x14ac:dyDescent="0.3">
      <c r="A52" s="364"/>
      <c r="B52" s="365"/>
      <c r="C52" s="365"/>
      <c r="D52" s="365"/>
      <c r="E52" s="365"/>
      <c r="F52" s="365"/>
      <c r="G52" s="366"/>
      <c r="J52" s="355" t="s">
        <v>173</v>
      </c>
      <c r="K52" s="62" t="s">
        <v>319</v>
      </c>
      <c r="L52" s="60"/>
      <c r="M52" s="60"/>
      <c r="N52" s="60"/>
      <c r="O52" s="60"/>
    </row>
    <row r="53" spans="1:15" x14ac:dyDescent="0.3">
      <c r="J53" s="355"/>
      <c r="K53" s="62" t="s">
        <v>320</v>
      </c>
      <c r="L53" s="60"/>
      <c r="M53" s="60"/>
      <c r="N53" s="60"/>
      <c r="O53" s="60"/>
    </row>
    <row r="54" spans="1:15" x14ac:dyDescent="0.3">
      <c r="J54" s="355"/>
      <c r="K54" s="62" t="s">
        <v>321</v>
      </c>
      <c r="L54" s="60"/>
      <c r="M54" s="60"/>
      <c r="N54" s="60"/>
      <c r="O54" s="60"/>
    </row>
    <row r="55" spans="1:15" x14ac:dyDescent="0.3">
      <c r="J55" s="355"/>
      <c r="K55" s="62" t="s">
        <v>323</v>
      </c>
      <c r="L55" s="60"/>
      <c r="M55" s="60"/>
      <c r="N55" s="60"/>
      <c r="O55" s="60"/>
    </row>
    <row r="56" spans="1:15" x14ac:dyDescent="0.3">
      <c r="J56" s="355"/>
      <c r="K56" s="62" t="s">
        <v>325</v>
      </c>
      <c r="L56" s="60"/>
      <c r="M56" s="60"/>
      <c r="N56" s="60"/>
      <c r="O56" s="60"/>
    </row>
    <row r="57" spans="1:15" x14ac:dyDescent="0.3">
      <c r="J57" s="355"/>
      <c r="K57" s="62" t="s">
        <v>326</v>
      </c>
      <c r="L57" s="60"/>
      <c r="M57" s="60"/>
      <c r="N57" s="60"/>
      <c r="O57" s="60"/>
    </row>
    <row r="58" spans="1:15" x14ac:dyDescent="0.3">
      <c r="J58" s="355"/>
      <c r="K58" s="62" t="s">
        <v>327</v>
      </c>
      <c r="L58" s="60"/>
      <c r="M58" s="60"/>
      <c r="N58" s="60"/>
      <c r="O58" s="60"/>
    </row>
    <row r="59" spans="1:15" x14ac:dyDescent="0.3">
      <c r="J59" s="355"/>
      <c r="K59" s="62" t="s">
        <v>329</v>
      </c>
      <c r="L59" s="60"/>
      <c r="M59" s="60"/>
      <c r="N59" s="60"/>
      <c r="O59" s="60"/>
    </row>
    <row r="60" spans="1:15" x14ac:dyDescent="0.3">
      <c r="J60" s="355"/>
      <c r="K60" s="62" t="s">
        <v>330</v>
      </c>
      <c r="L60" s="60"/>
      <c r="M60" s="60"/>
      <c r="N60" s="60"/>
      <c r="O60" s="60"/>
    </row>
    <row r="61" spans="1:15" x14ac:dyDescent="0.3">
      <c r="J61" s="355"/>
      <c r="K61" s="62" t="s">
        <v>331</v>
      </c>
      <c r="L61" s="60"/>
      <c r="M61" s="60"/>
      <c r="N61" s="60"/>
      <c r="O61" s="60"/>
    </row>
    <row r="62" spans="1:15" x14ac:dyDescent="0.3">
      <c r="J62" s="355"/>
      <c r="K62" s="62" t="s">
        <v>332</v>
      </c>
      <c r="L62" s="60"/>
      <c r="M62" s="60"/>
      <c r="N62" s="60"/>
      <c r="O62" s="60"/>
    </row>
    <row r="63" spans="1:15" x14ac:dyDescent="0.3">
      <c r="J63" s="355"/>
      <c r="K63" s="62" t="s">
        <v>333</v>
      </c>
      <c r="L63" s="60"/>
      <c r="M63" s="60"/>
      <c r="N63" s="60"/>
      <c r="O63" s="60"/>
    </row>
    <row r="64" spans="1:15" x14ac:dyDescent="0.3">
      <c r="J64" s="355"/>
      <c r="K64" s="58" t="s">
        <v>334</v>
      </c>
      <c r="L64" s="58" t="e">
        <f>AVERAGE(L52:L63)</f>
        <v>#DIV/0!</v>
      </c>
      <c r="M64" s="58">
        <f>MAX(M52:M63)</f>
        <v>0</v>
      </c>
      <c r="N64" s="58" t="e">
        <f>AVERAGE(N52:N63)</f>
        <v>#DIV/0!</v>
      </c>
      <c r="O64" s="58">
        <f>MAX(O52:O63)</f>
        <v>0</v>
      </c>
    </row>
    <row r="66" spans="10:15" ht="28" x14ac:dyDescent="0.3">
      <c r="J66" s="57">
        <f>+A6</f>
        <v>2022</v>
      </c>
      <c r="K66" s="57" t="s">
        <v>316</v>
      </c>
      <c r="L66" s="63" t="s">
        <v>311</v>
      </c>
      <c r="M66" s="63" t="s">
        <v>317</v>
      </c>
      <c r="N66" s="63" t="s">
        <v>314</v>
      </c>
      <c r="O66" s="63" t="s">
        <v>318</v>
      </c>
    </row>
    <row r="67" spans="10:15" x14ac:dyDescent="0.3">
      <c r="J67" s="355" t="s">
        <v>174</v>
      </c>
      <c r="K67" s="62" t="s">
        <v>319</v>
      </c>
      <c r="L67" s="60"/>
      <c r="M67" s="60"/>
      <c r="N67" s="60"/>
      <c r="O67" s="60"/>
    </row>
    <row r="68" spans="10:15" x14ac:dyDescent="0.3">
      <c r="J68" s="355"/>
      <c r="K68" s="62" t="s">
        <v>320</v>
      </c>
      <c r="L68" s="60"/>
      <c r="M68" s="60"/>
      <c r="N68" s="60"/>
      <c r="O68" s="60"/>
    </row>
    <row r="69" spans="10:15" x14ac:dyDescent="0.3">
      <c r="J69" s="355"/>
      <c r="K69" s="62" t="s">
        <v>321</v>
      </c>
      <c r="L69" s="60"/>
      <c r="M69" s="60"/>
      <c r="N69" s="60"/>
      <c r="O69" s="60"/>
    </row>
    <row r="70" spans="10:15" x14ac:dyDescent="0.3">
      <c r="J70" s="355"/>
      <c r="K70" s="62" t="s">
        <v>323</v>
      </c>
      <c r="L70" s="60"/>
      <c r="M70" s="60"/>
      <c r="N70" s="60"/>
      <c r="O70" s="60"/>
    </row>
    <row r="71" spans="10:15" x14ac:dyDescent="0.3">
      <c r="J71" s="355"/>
      <c r="K71" s="62" t="s">
        <v>325</v>
      </c>
      <c r="L71" s="60"/>
      <c r="M71" s="60"/>
      <c r="N71" s="60"/>
      <c r="O71" s="60"/>
    </row>
    <row r="72" spans="10:15" x14ac:dyDescent="0.3">
      <c r="J72" s="355"/>
      <c r="K72" s="62" t="s">
        <v>326</v>
      </c>
      <c r="L72" s="60"/>
      <c r="M72" s="60"/>
      <c r="N72" s="60"/>
      <c r="O72" s="60"/>
    </row>
    <row r="73" spans="10:15" x14ac:dyDescent="0.3">
      <c r="J73" s="355"/>
      <c r="K73" s="62" t="s">
        <v>327</v>
      </c>
      <c r="L73" s="60"/>
      <c r="M73" s="60"/>
      <c r="N73" s="60"/>
      <c r="O73" s="60"/>
    </row>
    <row r="74" spans="10:15" x14ac:dyDescent="0.3">
      <c r="J74" s="355"/>
      <c r="K74" s="62" t="s">
        <v>329</v>
      </c>
      <c r="L74" s="60"/>
      <c r="M74" s="60"/>
      <c r="N74" s="60"/>
      <c r="O74" s="60"/>
    </row>
    <row r="75" spans="10:15" x14ac:dyDescent="0.3">
      <c r="J75" s="355"/>
      <c r="K75" s="62" t="s">
        <v>330</v>
      </c>
      <c r="L75" s="60"/>
      <c r="M75" s="60"/>
      <c r="N75" s="60"/>
      <c r="O75" s="60"/>
    </row>
    <row r="76" spans="10:15" x14ac:dyDescent="0.3">
      <c r="J76" s="355"/>
      <c r="K76" s="62" t="s">
        <v>331</v>
      </c>
      <c r="L76" s="60"/>
      <c r="M76" s="60"/>
      <c r="N76" s="60"/>
      <c r="O76" s="60"/>
    </row>
    <row r="77" spans="10:15" x14ac:dyDescent="0.3">
      <c r="J77" s="355"/>
      <c r="K77" s="62" t="s">
        <v>332</v>
      </c>
      <c r="L77" s="60"/>
      <c r="M77" s="60"/>
      <c r="N77" s="60"/>
      <c r="O77" s="60"/>
    </row>
    <row r="78" spans="10:15" x14ac:dyDescent="0.3">
      <c r="J78" s="355"/>
      <c r="K78" s="62" t="s">
        <v>333</v>
      </c>
      <c r="L78" s="60"/>
      <c r="M78" s="60"/>
      <c r="N78" s="60"/>
      <c r="O78" s="60"/>
    </row>
    <row r="79" spans="10:15" x14ac:dyDescent="0.3">
      <c r="J79" s="355"/>
      <c r="K79" s="58" t="s">
        <v>334</v>
      </c>
      <c r="L79" s="58" t="e">
        <f>AVERAGE(L67:L78)</f>
        <v>#DIV/0!</v>
      </c>
      <c r="M79" s="58">
        <f>MAX(M67:M78)</f>
        <v>0</v>
      </c>
      <c r="N79" s="58" t="e">
        <f>AVERAGE(N67:N78)</f>
        <v>#DIV/0!</v>
      </c>
      <c r="O79" s="5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zoomScaleNormal="100" workbookViewId="0">
      <selection activeCell="F13" sqref="F13"/>
    </sheetView>
  </sheetViews>
  <sheetFormatPr defaultRowHeight="14" x14ac:dyDescent="0.3"/>
  <cols>
    <col min="1" max="1" width="14" style="3" customWidth="1"/>
    <col min="2" max="4" width="17" style="33" customWidth="1"/>
    <col min="5" max="5" width="14.81640625" style="33" customWidth="1"/>
    <col min="6" max="7" width="17" style="33" customWidth="1"/>
    <col min="8" max="11" width="9.1796875" style="3"/>
    <col min="12" max="12" width="15.453125" style="3" customWidth="1"/>
    <col min="13" max="13" width="17.453125" style="3" bestFit="1" customWidth="1"/>
    <col min="14" max="14" width="13.81640625" style="3" customWidth="1"/>
    <col min="15" max="15" width="15" style="3" customWidth="1"/>
    <col min="16" max="18" width="9.1796875" style="3"/>
    <col min="19" max="19" width="21.54296875" style="3" customWidth="1"/>
    <col min="20" max="256" width="9.1796875" style="3"/>
    <col min="257" max="257" width="14" style="3" customWidth="1"/>
    <col min="258" max="263" width="10.1796875" style="3" customWidth="1"/>
    <col min="264" max="512" width="9.1796875" style="3"/>
    <col min="513" max="513" width="14" style="3" customWidth="1"/>
    <col min="514" max="519" width="10.1796875" style="3" customWidth="1"/>
    <col min="520" max="768" width="9.1796875" style="3"/>
    <col min="769" max="769" width="14" style="3" customWidth="1"/>
    <col min="770" max="775" width="10.1796875" style="3" customWidth="1"/>
    <col min="776" max="1024" width="9.1796875" style="3"/>
    <col min="1025" max="1025" width="14" style="3" customWidth="1"/>
    <col min="1026" max="1031" width="10.1796875" style="3" customWidth="1"/>
    <col min="1032" max="1280" width="9.1796875" style="3"/>
    <col min="1281" max="1281" width="14" style="3" customWidth="1"/>
    <col min="1282" max="1287" width="10.1796875" style="3" customWidth="1"/>
    <col min="1288" max="1536" width="9.1796875" style="3"/>
    <col min="1537" max="1537" width="14" style="3" customWidth="1"/>
    <col min="1538" max="1543" width="10.1796875" style="3" customWidth="1"/>
    <col min="1544" max="1792" width="9.1796875" style="3"/>
    <col min="1793" max="1793" width="14" style="3" customWidth="1"/>
    <col min="1794" max="1799" width="10.1796875" style="3" customWidth="1"/>
    <col min="1800" max="2048" width="9.1796875" style="3"/>
    <col min="2049" max="2049" width="14" style="3" customWidth="1"/>
    <col min="2050" max="2055" width="10.1796875" style="3" customWidth="1"/>
    <col min="2056" max="2304" width="9.1796875" style="3"/>
    <col min="2305" max="2305" width="14" style="3" customWidth="1"/>
    <col min="2306" max="2311" width="10.1796875" style="3" customWidth="1"/>
    <col min="2312" max="2560" width="9.1796875" style="3"/>
    <col min="2561" max="2561" width="14" style="3" customWidth="1"/>
    <col min="2562" max="2567" width="10.1796875" style="3" customWidth="1"/>
    <col min="2568" max="2816" width="9.1796875" style="3"/>
    <col min="2817" max="2817" width="14" style="3" customWidth="1"/>
    <col min="2818" max="2823" width="10.1796875" style="3" customWidth="1"/>
    <col min="2824" max="3072" width="9.1796875" style="3"/>
    <col min="3073" max="3073" width="14" style="3" customWidth="1"/>
    <col min="3074" max="3079" width="10.1796875" style="3" customWidth="1"/>
    <col min="3080" max="3328" width="9.1796875" style="3"/>
    <col min="3329" max="3329" width="14" style="3" customWidth="1"/>
    <col min="3330" max="3335" width="10.1796875" style="3" customWidth="1"/>
    <col min="3336" max="3584" width="9.1796875" style="3"/>
    <col min="3585" max="3585" width="14" style="3" customWidth="1"/>
    <col min="3586" max="3591" width="10.1796875" style="3" customWidth="1"/>
    <col min="3592" max="3840" width="9.1796875" style="3"/>
    <col min="3841" max="3841" width="14" style="3" customWidth="1"/>
    <col min="3842" max="3847" width="10.1796875" style="3" customWidth="1"/>
    <col min="3848" max="4096" width="9.1796875" style="3"/>
    <col min="4097" max="4097" width="14" style="3" customWidth="1"/>
    <col min="4098" max="4103" width="10.1796875" style="3" customWidth="1"/>
    <col min="4104" max="4352" width="9.1796875" style="3"/>
    <col min="4353" max="4353" width="14" style="3" customWidth="1"/>
    <col min="4354" max="4359" width="10.1796875" style="3" customWidth="1"/>
    <col min="4360" max="4608" width="9.1796875" style="3"/>
    <col min="4609" max="4609" width="14" style="3" customWidth="1"/>
    <col min="4610" max="4615" width="10.1796875" style="3" customWidth="1"/>
    <col min="4616" max="4864" width="9.1796875" style="3"/>
    <col min="4865" max="4865" width="14" style="3" customWidth="1"/>
    <col min="4866" max="4871" width="10.1796875" style="3" customWidth="1"/>
    <col min="4872" max="5120" width="9.1796875" style="3"/>
    <col min="5121" max="5121" width="14" style="3" customWidth="1"/>
    <col min="5122" max="5127" width="10.1796875" style="3" customWidth="1"/>
    <col min="5128" max="5376" width="9.1796875" style="3"/>
    <col min="5377" max="5377" width="14" style="3" customWidth="1"/>
    <col min="5378" max="5383" width="10.1796875" style="3" customWidth="1"/>
    <col min="5384" max="5632" width="9.1796875" style="3"/>
    <col min="5633" max="5633" width="14" style="3" customWidth="1"/>
    <col min="5634" max="5639" width="10.1796875" style="3" customWidth="1"/>
    <col min="5640" max="5888" width="9.1796875" style="3"/>
    <col min="5889" max="5889" width="14" style="3" customWidth="1"/>
    <col min="5890" max="5895" width="10.1796875" style="3" customWidth="1"/>
    <col min="5896" max="6144" width="9.1796875" style="3"/>
    <col min="6145" max="6145" width="14" style="3" customWidth="1"/>
    <col min="6146" max="6151" width="10.1796875" style="3" customWidth="1"/>
    <col min="6152" max="6400" width="9.1796875" style="3"/>
    <col min="6401" max="6401" width="14" style="3" customWidth="1"/>
    <col min="6402" max="6407" width="10.1796875" style="3" customWidth="1"/>
    <col min="6408" max="6656" width="9.1796875" style="3"/>
    <col min="6657" max="6657" width="14" style="3" customWidth="1"/>
    <col min="6658" max="6663" width="10.1796875" style="3" customWidth="1"/>
    <col min="6664" max="6912" width="9.1796875" style="3"/>
    <col min="6913" max="6913" width="14" style="3" customWidth="1"/>
    <col min="6914" max="6919" width="10.1796875" style="3" customWidth="1"/>
    <col min="6920" max="7168" width="9.1796875" style="3"/>
    <col min="7169" max="7169" width="14" style="3" customWidth="1"/>
    <col min="7170" max="7175" width="10.1796875" style="3" customWidth="1"/>
    <col min="7176" max="7424" width="9.1796875" style="3"/>
    <col min="7425" max="7425" width="14" style="3" customWidth="1"/>
    <col min="7426" max="7431" width="10.1796875" style="3" customWidth="1"/>
    <col min="7432" max="7680" width="9.1796875" style="3"/>
    <col min="7681" max="7681" width="14" style="3" customWidth="1"/>
    <col min="7682" max="7687" width="10.1796875" style="3" customWidth="1"/>
    <col min="7688" max="7936" width="9.1796875" style="3"/>
    <col min="7937" max="7937" width="14" style="3" customWidth="1"/>
    <col min="7938" max="7943" width="10.1796875" style="3" customWidth="1"/>
    <col min="7944" max="8192" width="9.1796875" style="3"/>
    <col min="8193" max="8193" width="14" style="3" customWidth="1"/>
    <col min="8194" max="8199" width="10.1796875" style="3" customWidth="1"/>
    <col min="8200" max="8448" width="9.1796875" style="3"/>
    <col min="8449" max="8449" width="14" style="3" customWidth="1"/>
    <col min="8450" max="8455" width="10.1796875" style="3" customWidth="1"/>
    <col min="8456" max="8704" width="9.1796875" style="3"/>
    <col min="8705" max="8705" width="14" style="3" customWidth="1"/>
    <col min="8706" max="8711" width="10.1796875" style="3" customWidth="1"/>
    <col min="8712" max="8960" width="9.1796875" style="3"/>
    <col min="8961" max="8961" width="14" style="3" customWidth="1"/>
    <col min="8962" max="8967" width="10.1796875" style="3" customWidth="1"/>
    <col min="8968" max="9216" width="9.1796875" style="3"/>
    <col min="9217" max="9217" width="14" style="3" customWidth="1"/>
    <col min="9218" max="9223" width="10.1796875" style="3" customWidth="1"/>
    <col min="9224" max="9472" width="9.1796875" style="3"/>
    <col min="9473" max="9473" width="14" style="3" customWidth="1"/>
    <col min="9474" max="9479" width="10.1796875" style="3" customWidth="1"/>
    <col min="9480" max="9728" width="9.1796875" style="3"/>
    <col min="9729" max="9729" width="14" style="3" customWidth="1"/>
    <col min="9730" max="9735" width="10.1796875" style="3" customWidth="1"/>
    <col min="9736" max="9984" width="9.1796875" style="3"/>
    <col min="9985" max="9985" width="14" style="3" customWidth="1"/>
    <col min="9986" max="9991" width="10.1796875" style="3" customWidth="1"/>
    <col min="9992" max="10240" width="9.1796875" style="3"/>
    <col min="10241" max="10241" width="14" style="3" customWidth="1"/>
    <col min="10242" max="10247" width="10.1796875" style="3" customWidth="1"/>
    <col min="10248" max="10496" width="9.1796875" style="3"/>
    <col min="10497" max="10497" width="14" style="3" customWidth="1"/>
    <col min="10498" max="10503" width="10.1796875" style="3" customWidth="1"/>
    <col min="10504" max="10752" width="9.1796875" style="3"/>
    <col min="10753" max="10753" width="14" style="3" customWidth="1"/>
    <col min="10754" max="10759" width="10.1796875" style="3" customWidth="1"/>
    <col min="10760" max="11008" width="9.1796875" style="3"/>
    <col min="11009" max="11009" width="14" style="3" customWidth="1"/>
    <col min="11010" max="11015" width="10.1796875" style="3" customWidth="1"/>
    <col min="11016" max="11264" width="9.1796875" style="3"/>
    <col min="11265" max="11265" width="14" style="3" customWidth="1"/>
    <col min="11266" max="11271" width="10.1796875" style="3" customWidth="1"/>
    <col min="11272" max="11520" width="9.1796875" style="3"/>
    <col min="11521" max="11521" width="14" style="3" customWidth="1"/>
    <col min="11522" max="11527" width="10.1796875" style="3" customWidth="1"/>
    <col min="11528" max="11776" width="9.1796875" style="3"/>
    <col min="11777" max="11777" width="14" style="3" customWidth="1"/>
    <col min="11778" max="11783" width="10.1796875" style="3" customWidth="1"/>
    <col min="11784" max="12032" width="9.1796875" style="3"/>
    <col min="12033" max="12033" width="14" style="3" customWidth="1"/>
    <col min="12034" max="12039" width="10.1796875" style="3" customWidth="1"/>
    <col min="12040" max="12288" width="9.1796875" style="3"/>
    <col min="12289" max="12289" width="14" style="3" customWidth="1"/>
    <col min="12290" max="12295" width="10.1796875" style="3" customWidth="1"/>
    <col min="12296" max="12544" width="9.1796875" style="3"/>
    <col min="12545" max="12545" width="14" style="3" customWidth="1"/>
    <col min="12546" max="12551" width="10.1796875" style="3" customWidth="1"/>
    <col min="12552" max="12800" width="9.1796875" style="3"/>
    <col min="12801" max="12801" width="14" style="3" customWidth="1"/>
    <col min="12802" max="12807" width="10.1796875" style="3" customWidth="1"/>
    <col min="12808" max="13056" width="9.1796875" style="3"/>
    <col min="13057" max="13057" width="14" style="3" customWidth="1"/>
    <col min="13058" max="13063" width="10.1796875" style="3" customWidth="1"/>
    <col min="13064" max="13312" width="9.1796875" style="3"/>
    <col min="13313" max="13313" width="14" style="3" customWidth="1"/>
    <col min="13314" max="13319" width="10.1796875" style="3" customWidth="1"/>
    <col min="13320" max="13568" width="9.1796875" style="3"/>
    <col min="13569" max="13569" width="14" style="3" customWidth="1"/>
    <col min="13570" max="13575" width="10.1796875" style="3" customWidth="1"/>
    <col min="13576" max="13824" width="9.1796875" style="3"/>
    <col min="13825" max="13825" width="14" style="3" customWidth="1"/>
    <col min="13826" max="13831" width="10.1796875" style="3" customWidth="1"/>
    <col min="13832" max="14080" width="9.1796875" style="3"/>
    <col min="14081" max="14081" width="14" style="3" customWidth="1"/>
    <col min="14082" max="14087" width="10.1796875" style="3" customWidth="1"/>
    <col min="14088" max="14336" width="9.1796875" style="3"/>
    <col min="14337" max="14337" width="14" style="3" customWidth="1"/>
    <col min="14338" max="14343" width="10.1796875" style="3" customWidth="1"/>
    <col min="14344" max="14592" width="9.1796875" style="3"/>
    <col min="14593" max="14593" width="14" style="3" customWidth="1"/>
    <col min="14594" max="14599" width="10.1796875" style="3" customWidth="1"/>
    <col min="14600" max="14848" width="9.1796875" style="3"/>
    <col min="14849" max="14849" width="14" style="3" customWidth="1"/>
    <col min="14850" max="14855" width="10.1796875" style="3" customWidth="1"/>
    <col min="14856" max="15104" width="9.1796875" style="3"/>
    <col min="15105" max="15105" width="14" style="3" customWidth="1"/>
    <col min="15106" max="15111" width="10.1796875" style="3" customWidth="1"/>
    <col min="15112" max="15360" width="9.1796875" style="3"/>
    <col min="15361" max="15361" width="14" style="3" customWidth="1"/>
    <col min="15362" max="15367" width="10.1796875" style="3" customWidth="1"/>
    <col min="15368" max="15616" width="9.1796875" style="3"/>
    <col min="15617" max="15617" width="14" style="3" customWidth="1"/>
    <col min="15618" max="15623" width="10.1796875" style="3" customWidth="1"/>
    <col min="15624" max="15872" width="9.1796875" style="3"/>
    <col min="15873" max="15873" width="14" style="3" customWidth="1"/>
    <col min="15874" max="15879" width="10.1796875" style="3" customWidth="1"/>
    <col min="15880" max="16128" width="9.1796875" style="3"/>
    <col min="16129" max="16129" width="14" style="3" customWidth="1"/>
    <col min="16130" max="16135" width="10.1796875" style="3" customWidth="1"/>
    <col min="16136" max="16384" width="9.1796875" style="3"/>
  </cols>
  <sheetData>
    <row r="1" spans="1:19" ht="15.5" x14ac:dyDescent="0.35">
      <c r="A1" s="94" t="str">
        <f>+'Cover Page'!$B$29</f>
        <v>Annual Performance Report 2022</v>
      </c>
      <c r="B1" s="94"/>
      <c r="C1" s="94"/>
      <c r="D1" s="94"/>
      <c r="E1" s="94" t="str">
        <f>+'Cover Page'!$B$33</f>
        <v>Welland Biopower Ltd</v>
      </c>
      <c r="F1" s="94"/>
    </row>
    <row r="3" spans="1:19" ht="14.5" x14ac:dyDescent="0.35">
      <c r="A3" s="56" t="s">
        <v>338</v>
      </c>
      <c r="D3" s="72" t="s">
        <v>303</v>
      </c>
      <c r="G3" s="76" t="s">
        <v>304</v>
      </c>
      <c r="J3" s="8" t="str">
        <f>+A3</f>
        <v>Monitoring of Oxides of Nitrogen emissions</v>
      </c>
      <c r="L3" s="8"/>
      <c r="N3" s="8" t="s">
        <v>305</v>
      </c>
      <c r="Q3" s="75" t="s">
        <v>3</v>
      </c>
      <c r="R3" s="70"/>
      <c r="S3" s="70"/>
    </row>
    <row r="4" spans="1:19" ht="14" customHeight="1" x14ac:dyDescent="0.3">
      <c r="Q4" s="370" t="s">
        <v>306</v>
      </c>
      <c r="R4" s="370"/>
      <c r="S4" s="370"/>
    </row>
    <row r="5" spans="1:19" ht="16" x14ac:dyDescent="0.3">
      <c r="A5" s="64" t="s">
        <v>307</v>
      </c>
      <c r="B5" s="357" t="s">
        <v>308</v>
      </c>
      <c r="C5" s="357"/>
      <c r="D5" s="357"/>
      <c r="E5" s="357" t="s">
        <v>309</v>
      </c>
      <c r="F5" s="357"/>
      <c r="G5" s="357"/>
      <c r="J5" s="356"/>
      <c r="K5" s="356"/>
      <c r="L5" s="356"/>
      <c r="M5" s="356"/>
      <c r="N5" s="356"/>
      <c r="O5" s="356"/>
      <c r="Q5" s="370"/>
      <c r="R5" s="370"/>
      <c r="S5" s="370"/>
    </row>
    <row r="6" spans="1:19" s="54" customFormat="1" ht="37.5" customHeight="1" x14ac:dyDescent="0.35">
      <c r="A6" s="61">
        <f>+'Cover Page'!C39</f>
        <v>2022</v>
      </c>
      <c r="B6" s="51" t="s">
        <v>339</v>
      </c>
      <c r="C6" s="51" t="s">
        <v>311</v>
      </c>
      <c r="D6" s="51" t="s">
        <v>312</v>
      </c>
      <c r="E6" s="51" t="s">
        <v>340</v>
      </c>
      <c r="F6" s="51" t="s">
        <v>314</v>
      </c>
      <c r="G6" s="51" t="s">
        <v>315</v>
      </c>
      <c r="H6" s="55"/>
      <c r="J6" s="57">
        <f>+A6</f>
        <v>2022</v>
      </c>
      <c r="K6" s="57" t="s">
        <v>316</v>
      </c>
      <c r="L6" s="63" t="s">
        <v>311</v>
      </c>
      <c r="M6" s="63" t="s">
        <v>317</v>
      </c>
      <c r="N6" s="63" t="s">
        <v>314</v>
      </c>
      <c r="O6" s="63" t="s">
        <v>318</v>
      </c>
      <c r="Q6" s="370"/>
      <c r="R6" s="370"/>
      <c r="S6" s="370"/>
    </row>
    <row r="7" spans="1:19" x14ac:dyDescent="0.3">
      <c r="A7" s="62" t="s">
        <v>319</v>
      </c>
      <c r="B7" s="59">
        <f>'Air (CEMS)'!$C$15</f>
        <v>600</v>
      </c>
      <c r="C7" s="60">
        <v>245</v>
      </c>
      <c r="D7" s="60">
        <v>374</v>
      </c>
      <c r="E7" s="59">
        <f>'Air (CEMS)'!$C$14</f>
        <v>300</v>
      </c>
      <c r="F7" s="60">
        <v>244.86</v>
      </c>
      <c r="G7" s="60">
        <v>282</v>
      </c>
      <c r="J7" s="355" t="s">
        <v>170</v>
      </c>
      <c r="K7" s="62" t="s">
        <v>319</v>
      </c>
      <c r="L7" s="60">
        <f>C7</f>
        <v>245</v>
      </c>
      <c r="M7" s="60">
        <f>D7</f>
        <v>374</v>
      </c>
      <c r="N7" s="60">
        <f>F7</f>
        <v>244.86</v>
      </c>
      <c r="O7" s="60">
        <f>G7</f>
        <v>282</v>
      </c>
      <c r="Q7" s="370"/>
      <c r="R7" s="370"/>
      <c r="S7" s="370"/>
    </row>
    <row r="8" spans="1:19" x14ac:dyDescent="0.3">
      <c r="A8" s="62" t="s">
        <v>320</v>
      </c>
      <c r="B8" s="59">
        <f>'Air (CEMS)'!$C$15</f>
        <v>600</v>
      </c>
      <c r="C8" s="60">
        <v>249</v>
      </c>
      <c r="D8" s="60">
        <v>1142</v>
      </c>
      <c r="E8" s="59">
        <f>'Air (CEMS)'!$C$14</f>
        <v>300</v>
      </c>
      <c r="F8" s="60">
        <v>248.65</v>
      </c>
      <c r="G8" s="60">
        <v>263</v>
      </c>
      <c r="J8" s="355"/>
      <c r="K8" s="62" t="s">
        <v>320</v>
      </c>
      <c r="L8" s="60">
        <f t="shared" ref="L8:L18" si="0">C8</f>
        <v>249</v>
      </c>
      <c r="M8" s="60">
        <f t="shared" ref="M8:M18" si="1">D8</f>
        <v>1142</v>
      </c>
      <c r="N8" s="60">
        <f t="shared" ref="N8:N18" si="2">F8</f>
        <v>248.65</v>
      </c>
      <c r="O8" s="60">
        <f t="shared" ref="O8:O18" si="3">G8</f>
        <v>263</v>
      </c>
      <c r="Q8" s="370"/>
      <c r="R8" s="370"/>
      <c r="S8" s="370"/>
    </row>
    <row r="9" spans="1:19" x14ac:dyDescent="0.3">
      <c r="A9" s="62" t="s">
        <v>321</v>
      </c>
      <c r="B9" s="59">
        <f>'Air (CEMS)'!$C$15</f>
        <v>600</v>
      </c>
      <c r="C9" s="60">
        <v>242</v>
      </c>
      <c r="D9" s="60">
        <v>336</v>
      </c>
      <c r="E9" s="59">
        <f>'Air (CEMS)'!$C$14</f>
        <v>300</v>
      </c>
      <c r="F9" s="60">
        <v>241.6</v>
      </c>
      <c r="G9" s="60">
        <v>282</v>
      </c>
      <c r="J9" s="355"/>
      <c r="K9" s="62" t="s">
        <v>321</v>
      </c>
      <c r="L9" s="60">
        <f t="shared" si="0"/>
        <v>242</v>
      </c>
      <c r="M9" s="60">
        <f t="shared" si="1"/>
        <v>336</v>
      </c>
      <c r="N9" s="60">
        <f t="shared" si="2"/>
        <v>241.6</v>
      </c>
      <c r="O9" s="60">
        <f t="shared" si="3"/>
        <v>282</v>
      </c>
      <c r="Q9" s="74" t="s">
        <v>322</v>
      </c>
    </row>
    <row r="10" spans="1:19" ht="14.25" customHeight="1" x14ac:dyDescent="0.3">
      <c r="A10" s="62" t="s">
        <v>323</v>
      </c>
      <c r="B10" s="59">
        <f>'Air (CEMS)'!$C$15</f>
        <v>600</v>
      </c>
      <c r="C10" s="60">
        <v>239</v>
      </c>
      <c r="D10" s="60">
        <v>307</v>
      </c>
      <c r="E10" s="59">
        <f>'Air (CEMS)'!$C$14</f>
        <v>300</v>
      </c>
      <c r="F10" s="60">
        <v>238.89</v>
      </c>
      <c r="G10" s="60">
        <v>259</v>
      </c>
      <c r="J10" s="355"/>
      <c r="K10" s="62" t="s">
        <v>323</v>
      </c>
      <c r="L10" s="60">
        <f t="shared" si="0"/>
        <v>239</v>
      </c>
      <c r="M10" s="60">
        <f t="shared" si="1"/>
        <v>307</v>
      </c>
      <c r="N10" s="60">
        <f t="shared" si="2"/>
        <v>238.89</v>
      </c>
      <c r="O10" s="60">
        <f t="shared" si="3"/>
        <v>259</v>
      </c>
      <c r="Q10" s="354" t="s">
        <v>324</v>
      </c>
      <c r="R10" s="354"/>
      <c r="S10" s="354"/>
    </row>
    <row r="11" spans="1:19" x14ac:dyDescent="0.3">
      <c r="A11" s="62" t="s">
        <v>325</v>
      </c>
      <c r="B11" s="59">
        <f>'Air (CEMS)'!$C$15</f>
        <v>600</v>
      </c>
      <c r="C11" s="60">
        <v>222</v>
      </c>
      <c r="D11" s="60">
        <v>316</v>
      </c>
      <c r="E11" s="59">
        <f>'Air (CEMS)'!$C$14</f>
        <v>300</v>
      </c>
      <c r="F11" s="60">
        <v>298</v>
      </c>
      <c r="G11" s="60">
        <v>252</v>
      </c>
      <c r="J11" s="355"/>
      <c r="K11" s="62" t="s">
        <v>325</v>
      </c>
      <c r="L11" s="60">
        <f t="shared" si="0"/>
        <v>222</v>
      </c>
      <c r="M11" s="60">
        <f t="shared" si="1"/>
        <v>316</v>
      </c>
      <c r="N11" s="60">
        <f t="shared" si="2"/>
        <v>298</v>
      </c>
      <c r="O11" s="60">
        <f t="shared" si="3"/>
        <v>252</v>
      </c>
      <c r="Q11" s="354"/>
      <c r="R11" s="354"/>
      <c r="S11" s="354"/>
    </row>
    <row r="12" spans="1:19" x14ac:dyDescent="0.3">
      <c r="A12" s="62" t="s">
        <v>326</v>
      </c>
      <c r="B12" s="59">
        <f>'Air (CEMS)'!$C$15</f>
        <v>600</v>
      </c>
      <c r="C12" s="60">
        <v>245</v>
      </c>
      <c r="D12" s="60">
        <v>347</v>
      </c>
      <c r="E12" s="59">
        <f>'Air (CEMS)'!$C$14</f>
        <v>300</v>
      </c>
      <c r="F12" s="60">
        <v>245.39</v>
      </c>
      <c r="G12" s="60">
        <v>268</v>
      </c>
      <c r="J12" s="355"/>
      <c r="K12" s="62" t="s">
        <v>326</v>
      </c>
      <c r="L12" s="60">
        <f t="shared" si="0"/>
        <v>245</v>
      </c>
      <c r="M12" s="60">
        <f t="shared" si="1"/>
        <v>347</v>
      </c>
      <c r="N12" s="60">
        <f t="shared" si="2"/>
        <v>245.39</v>
      </c>
      <c r="O12" s="60">
        <f t="shared" si="3"/>
        <v>268</v>
      </c>
      <c r="Q12" s="354"/>
      <c r="R12" s="354"/>
      <c r="S12" s="354"/>
    </row>
    <row r="13" spans="1:19" ht="14.25" customHeight="1" x14ac:dyDescent="0.3">
      <c r="A13" s="62" t="s">
        <v>327</v>
      </c>
      <c r="B13" s="59">
        <f>'Air (CEMS)'!$C$15</f>
        <v>600</v>
      </c>
      <c r="C13" s="60">
        <v>145</v>
      </c>
      <c r="D13" s="60">
        <v>392</v>
      </c>
      <c r="E13" s="59">
        <f>'Air (CEMS)'!$C$14</f>
        <v>300</v>
      </c>
      <c r="F13" s="60">
        <v>144.61000000000001</v>
      </c>
      <c r="G13" s="60">
        <v>260</v>
      </c>
      <c r="J13" s="355"/>
      <c r="K13" s="62" t="s">
        <v>327</v>
      </c>
      <c r="L13" s="60">
        <f t="shared" si="0"/>
        <v>145</v>
      </c>
      <c r="M13" s="60">
        <f t="shared" si="1"/>
        <v>392</v>
      </c>
      <c r="N13" s="60">
        <f t="shared" si="2"/>
        <v>144.61000000000001</v>
      </c>
      <c r="O13" s="60">
        <f t="shared" si="3"/>
        <v>260</v>
      </c>
      <c r="Q13" s="354" t="s">
        <v>328</v>
      </c>
      <c r="R13" s="354"/>
      <c r="S13" s="354"/>
    </row>
    <row r="14" spans="1:19" x14ac:dyDescent="0.3">
      <c r="A14" s="62" t="s">
        <v>329</v>
      </c>
      <c r="B14" s="59">
        <f>'Air (CEMS)'!$C$15</f>
        <v>600</v>
      </c>
      <c r="C14" s="60">
        <v>169</v>
      </c>
      <c r="D14" s="60">
        <v>445</v>
      </c>
      <c r="E14" s="59">
        <f>'Air (CEMS)'!$C$14</f>
        <v>300</v>
      </c>
      <c r="F14" s="60">
        <v>169.36</v>
      </c>
      <c r="G14" s="60">
        <v>252</v>
      </c>
      <c r="J14" s="355"/>
      <c r="K14" s="62" t="s">
        <v>329</v>
      </c>
      <c r="L14" s="60">
        <f t="shared" si="0"/>
        <v>169</v>
      </c>
      <c r="M14" s="60">
        <f t="shared" si="1"/>
        <v>445</v>
      </c>
      <c r="N14" s="60">
        <f t="shared" si="2"/>
        <v>169.36</v>
      </c>
      <c r="O14" s="60">
        <f t="shared" si="3"/>
        <v>252</v>
      </c>
      <c r="Q14" s="354"/>
      <c r="R14" s="354"/>
      <c r="S14" s="354"/>
    </row>
    <row r="15" spans="1:19" x14ac:dyDescent="0.3">
      <c r="A15" s="62" t="s">
        <v>330</v>
      </c>
      <c r="B15" s="59">
        <f>'Air (CEMS)'!$C$15</f>
        <v>600</v>
      </c>
      <c r="C15" s="60">
        <v>200</v>
      </c>
      <c r="D15" s="60">
        <v>317</v>
      </c>
      <c r="E15" s="59">
        <f>'Air (CEMS)'!$C$14</f>
        <v>300</v>
      </c>
      <c r="F15" s="60">
        <v>199.6</v>
      </c>
      <c r="G15" s="60">
        <v>251</v>
      </c>
      <c r="J15" s="355"/>
      <c r="K15" s="62" t="s">
        <v>330</v>
      </c>
      <c r="L15" s="60">
        <f t="shared" si="0"/>
        <v>200</v>
      </c>
      <c r="M15" s="60">
        <f t="shared" si="1"/>
        <v>317</v>
      </c>
      <c r="N15" s="60">
        <f t="shared" si="2"/>
        <v>199.6</v>
      </c>
      <c r="O15" s="60">
        <f t="shared" si="3"/>
        <v>251</v>
      </c>
      <c r="Q15" s="354"/>
      <c r="R15" s="354"/>
      <c r="S15" s="354"/>
    </row>
    <row r="16" spans="1:19" x14ac:dyDescent="0.3">
      <c r="A16" s="62" t="s">
        <v>331</v>
      </c>
      <c r="B16" s="59">
        <f>'Air (CEMS)'!$C$15</f>
        <v>600</v>
      </c>
      <c r="C16" s="60">
        <v>118</v>
      </c>
      <c r="D16" s="60">
        <v>315</v>
      </c>
      <c r="E16" s="59">
        <f>'Air (CEMS)'!$C$14</f>
        <v>300</v>
      </c>
      <c r="F16" s="60">
        <v>166.44</v>
      </c>
      <c r="G16" s="60">
        <v>254</v>
      </c>
      <c r="J16" s="355"/>
      <c r="K16" s="62" t="s">
        <v>331</v>
      </c>
      <c r="L16" s="60">
        <f t="shared" si="0"/>
        <v>118</v>
      </c>
      <c r="M16" s="60">
        <f t="shared" si="1"/>
        <v>315</v>
      </c>
      <c r="N16" s="60">
        <f t="shared" si="2"/>
        <v>166.44</v>
      </c>
      <c r="O16" s="60">
        <f t="shared" si="3"/>
        <v>254</v>
      </c>
      <c r="Q16" s="354"/>
      <c r="R16" s="354"/>
      <c r="S16" s="354"/>
    </row>
    <row r="17" spans="1:15" x14ac:dyDescent="0.3">
      <c r="A17" s="62" t="s">
        <v>332</v>
      </c>
      <c r="B17" s="59">
        <f>'Air (CEMS)'!$C$15</f>
        <v>600</v>
      </c>
      <c r="C17" s="60">
        <v>137</v>
      </c>
      <c r="D17" s="60">
        <v>664</v>
      </c>
      <c r="E17" s="59">
        <f>'Air (CEMS)'!$C$14</f>
        <v>300</v>
      </c>
      <c r="F17" s="60">
        <v>133.47999999999999</v>
      </c>
      <c r="G17" s="60">
        <v>248</v>
      </c>
      <c r="J17" s="355"/>
      <c r="K17" s="62" t="s">
        <v>332</v>
      </c>
      <c r="L17" s="60">
        <f t="shared" si="0"/>
        <v>137</v>
      </c>
      <c r="M17" s="60">
        <f t="shared" si="1"/>
        <v>664</v>
      </c>
      <c r="N17" s="60">
        <f t="shared" si="2"/>
        <v>133.47999999999999</v>
      </c>
      <c r="O17" s="60">
        <f t="shared" si="3"/>
        <v>248</v>
      </c>
    </row>
    <row r="18" spans="1:15" x14ac:dyDescent="0.3">
      <c r="A18" s="62" t="s">
        <v>333</v>
      </c>
      <c r="B18" s="59">
        <f>'Air (CEMS)'!$C$15</f>
        <v>600</v>
      </c>
      <c r="C18" s="60">
        <v>222</v>
      </c>
      <c r="D18" s="60">
        <v>335</v>
      </c>
      <c r="E18" s="59">
        <f>'Air (CEMS)'!$C$14</f>
        <v>300</v>
      </c>
      <c r="F18" s="60">
        <v>221.58</v>
      </c>
      <c r="G18" s="60">
        <v>255</v>
      </c>
      <c r="J18" s="355"/>
      <c r="K18" s="62" t="s">
        <v>333</v>
      </c>
      <c r="L18" s="60">
        <f t="shared" si="0"/>
        <v>222</v>
      </c>
      <c r="M18" s="60">
        <f t="shared" si="1"/>
        <v>335</v>
      </c>
      <c r="N18" s="60">
        <f t="shared" si="2"/>
        <v>221.58</v>
      </c>
      <c r="O18" s="60">
        <f t="shared" si="3"/>
        <v>255</v>
      </c>
    </row>
    <row r="19" spans="1:15" x14ac:dyDescent="0.3">
      <c r="J19" s="355"/>
      <c r="K19" s="58" t="s">
        <v>334</v>
      </c>
      <c r="L19" s="58">
        <f>AVERAGE(L7:L18)</f>
        <v>202.75</v>
      </c>
      <c r="M19" s="58">
        <f>MAX(M7:M18)</f>
        <v>1142</v>
      </c>
      <c r="N19" s="58">
        <f>AVERAGE(N7:N18)</f>
        <v>212.70500000000001</v>
      </c>
      <c r="O19" s="58">
        <f>MAX(O7:O18)</f>
        <v>282</v>
      </c>
    </row>
    <row r="21" spans="1:15" ht="28" x14ac:dyDescent="0.3">
      <c r="J21" s="57">
        <f>+A6</f>
        <v>2022</v>
      </c>
      <c r="K21" s="57" t="s">
        <v>316</v>
      </c>
      <c r="L21" s="63" t="s">
        <v>311</v>
      </c>
      <c r="M21" s="63" t="s">
        <v>317</v>
      </c>
      <c r="N21" s="63" t="s">
        <v>314</v>
      </c>
      <c r="O21" s="63" t="s">
        <v>318</v>
      </c>
    </row>
    <row r="22" spans="1:15" x14ac:dyDescent="0.3">
      <c r="J22" s="355" t="s">
        <v>171</v>
      </c>
      <c r="K22" s="62" t="s">
        <v>319</v>
      </c>
      <c r="L22" s="60"/>
      <c r="M22" s="60"/>
      <c r="N22" s="60"/>
      <c r="O22" s="60"/>
    </row>
    <row r="23" spans="1:15" x14ac:dyDescent="0.3">
      <c r="J23" s="355"/>
      <c r="K23" s="62" t="s">
        <v>320</v>
      </c>
      <c r="L23" s="60"/>
      <c r="M23" s="60"/>
      <c r="N23" s="60"/>
      <c r="O23" s="60"/>
    </row>
    <row r="24" spans="1:15" x14ac:dyDescent="0.3">
      <c r="J24" s="355"/>
      <c r="K24" s="62" t="s">
        <v>321</v>
      </c>
      <c r="L24" s="60"/>
      <c r="M24" s="60"/>
      <c r="N24" s="60"/>
      <c r="O24" s="60"/>
    </row>
    <row r="25" spans="1:15" x14ac:dyDescent="0.3">
      <c r="J25" s="355"/>
      <c r="K25" s="62" t="s">
        <v>323</v>
      </c>
      <c r="L25" s="60"/>
      <c r="M25" s="60"/>
      <c r="N25" s="60"/>
      <c r="O25" s="60"/>
    </row>
    <row r="26" spans="1:15" x14ac:dyDescent="0.3">
      <c r="J26" s="355"/>
      <c r="K26" s="62" t="s">
        <v>325</v>
      </c>
      <c r="L26" s="60"/>
      <c r="M26" s="60"/>
      <c r="N26" s="60"/>
      <c r="O26" s="60"/>
    </row>
    <row r="27" spans="1:15" x14ac:dyDescent="0.3">
      <c r="J27" s="355"/>
      <c r="K27" s="62" t="s">
        <v>326</v>
      </c>
      <c r="L27" s="60"/>
      <c r="M27" s="60"/>
      <c r="N27" s="60"/>
      <c r="O27" s="60"/>
    </row>
    <row r="28" spans="1:15" x14ac:dyDescent="0.3">
      <c r="J28" s="355"/>
      <c r="K28" s="62" t="s">
        <v>327</v>
      </c>
      <c r="L28" s="60"/>
      <c r="M28" s="60"/>
      <c r="N28" s="60"/>
      <c r="O28" s="60"/>
    </row>
    <row r="29" spans="1:15" x14ac:dyDescent="0.3">
      <c r="J29" s="355"/>
      <c r="K29" s="62" t="s">
        <v>329</v>
      </c>
      <c r="L29" s="60"/>
      <c r="M29" s="60"/>
      <c r="N29" s="60"/>
      <c r="O29" s="60"/>
    </row>
    <row r="30" spans="1:15" x14ac:dyDescent="0.3">
      <c r="J30" s="355"/>
      <c r="K30" s="62" t="s">
        <v>330</v>
      </c>
      <c r="L30" s="60"/>
      <c r="M30" s="60"/>
      <c r="N30" s="60"/>
      <c r="O30" s="60"/>
    </row>
    <row r="31" spans="1:15" x14ac:dyDescent="0.3">
      <c r="J31" s="355"/>
      <c r="K31" s="62" t="s">
        <v>331</v>
      </c>
      <c r="L31" s="60"/>
      <c r="M31" s="60"/>
      <c r="N31" s="60"/>
      <c r="O31" s="60"/>
    </row>
    <row r="32" spans="1:15" x14ac:dyDescent="0.3">
      <c r="J32" s="355"/>
      <c r="K32" s="62" t="s">
        <v>332</v>
      </c>
      <c r="L32" s="60"/>
      <c r="M32" s="60"/>
      <c r="N32" s="60"/>
      <c r="O32" s="60"/>
    </row>
    <row r="33" spans="1:15" x14ac:dyDescent="0.3">
      <c r="J33" s="355"/>
      <c r="K33" s="62" t="s">
        <v>333</v>
      </c>
      <c r="L33" s="60"/>
      <c r="M33" s="60"/>
      <c r="N33" s="60"/>
      <c r="O33" s="60"/>
    </row>
    <row r="34" spans="1:15" x14ac:dyDescent="0.3">
      <c r="J34" s="355"/>
      <c r="K34" s="58" t="s">
        <v>334</v>
      </c>
      <c r="L34" s="58" t="e">
        <f>AVERAGE(L22:L33)</f>
        <v>#DIV/0!</v>
      </c>
      <c r="M34" s="58">
        <f>MAX(M22:M33)</f>
        <v>0</v>
      </c>
      <c r="N34" s="58" t="e">
        <f>AVERAGE(N22:N33)</f>
        <v>#DIV/0!</v>
      </c>
      <c r="O34" s="58">
        <f>MAX(O22:O33)</f>
        <v>0</v>
      </c>
    </row>
    <row r="36" spans="1:15" ht="28" x14ac:dyDescent="0.3">
      <c r="J36" s="57">
        <f>+A6</f>
        <v>2022</v>
      </c>
      <c r="K36" s="57" t="s">
        <v>316</v>
      </c>
      <c r="L36" s="63" t="s">
        <v>311</v>
      </c>
      <c r="M36" s="63" t="s">
        <v>317</v>
      </c>
      <c r="N36" s="63" t="s">
        <v>314</v>
      </c>
      <c r="O36" s="63" t="s">
        <v>318</v>
      </c>
    </row>
    <row r="37" spans="1:15" x14ac:dyDescent="0.3">
      <c r="J37" s="355" t="s">
        <v>172</v>
      </c>
      <c r="K37" s="62" t="s">
        <v>319</v>
      </c>
      <c r="L37" s="60"/>
      <c r="M37" s="60"/>
      <c r="N37" s="60"/>
      <c r="O37" s="60"/>
    </row>
    <row r="38" spans="1:15" x14ac:dyDescent="0.3">
      <c r="J38" s="355"/>
      <c r="K38" s="62" t="s">
        <v>320</v>
      </c>
      <c r="L38" s="60"/>
      <c r="M38" s="60"/>
      <c r="N38" s="60"/>
      <c r="O38" s="60"/>
    </row>
    <row r="39" spans="1:15" x14ac:dyDescent="0.3">
      <c r="J39" s="355"/>
      <c r="K39" s="62" t="s">
        <v>321</v>
      </c>
      <c r="L39" s="60"/>
      <c r="M39" s="60"/>
      <c r="N39" s="60"/>
      <c r="O39" s="60"/>
    </row>
    <row r="40" spans="1:15" x14ac:dyDescent="0.3">
      <c r="J40" s="355"/>
      <c r="K40" s="62" t="s">
        <v>323</v>
      </c>
      <c r="L40" s="60"/>
      <c r="M40" s="60"/>
      <c r="N40" s="60"/>
      <c r="O40" s="60"/>
    </row>
    <row r="41" spans="1:15" x14ac:dyDescent="0.3">
      <c r="J41" s="355"/>
      <c r="K41" s="62" t="s">
        <v>325</v>
      </c>
      <c r="L41" s="60"/>
      <c r="M41" s="60"/>
      <c r="N41" s="60"/>
      <c r="O41" s="60"/>
    </row>
    <row r="42" spans="1:15" x14ac:dyDescent="0.3">
      <c r="J42" s="355"/>
      <c r="K42" s="62" t="s">
        <v>326</v>
      </c>
      <c r="L42" s="60"/>
      <c r="M42" s="60"/>
      <c r="N42" s="60"/>
      <c r="O42" s="60"/>
    </row>
    <row r="43" spans="1:15" x14ac:dyDescent="0.3">
      <c r="J43" s="355"/>
      <c r="K43" s="62" t="s">
        <v>327</v>
      </c>
      <c r="L43" s="60"/>
      <c r="M43" s="60"/>
      <c r="N43" s="60"/>
      <c r="O43" s="60"/>
    </row>
    <row r="44" spans="1:15" x14ac:dyDescent="0.3">
      <c r="J44" s="355"/>
      <c r="K44" s="62" t="s">
        <v>329</v>
      </c>
      <c r="L44" s="60"/>
      <c r="M44" s="60"/>
      <c r="N44" s="60"/>
      <c r="O44" s="60"/>
    </row>
    <row r="45" spans="1:15" x14ac:dyDescent="0.3">
      <c r="J45" s="355"/>
      <c r="K45" s="62" t="s">
        <v>330</v>
      </c>
      <c r="L45" s="60"/>
      <c r="M45" s="60"/>
      <c r="N45" s="60"/>
      <c r="O45" s="60"/>
    </row>
    <row r="46" spans="1:15" x14ac:dyDescent="0.3">
      <c r="J46" s="355"/>
      <c r="K46" s="62" t="s">
        <v>331</v>
      </c>
      <c r="L46" s="60"/>
      <c r="M46" s="60"/>
      <c r="N46" s="60"/>
      <c r="O46" s="60"/>
    </row>
    <row r="47" spans="1:15" x14ac:dyDescent="0.3">
      <c r="J47" s="355"/>
      <c r="K47" s="62" t="s">
        <v>332</v>
      </c>
      <c r="L47" s="60"/>
      <c r="M47" s="60"/>
      <c r="N47" s="60"/>
      <c r="O47" s="60"/>
    </row>
    <row r="48" spans="1:15" x14ac:dyDescent="0.3">
      <c r="A48" s="367" t="s">
        <v>242</v>
      </c>
      <c r="B48" s="368"/>
      <c r="C48" s="368"/>
      <c r="D48" s="368"/>
      <c r="E48" s="368"/>
      <c r="F48" s="368"/>
      <c r="G48" s="369"/>
      <c r="J48" s="355"/>
      <c r="K48" s="62" t="s">
        <v>333</v>
      </c>
      <c r="L48" s="60"/>
      <c r="M48" s="60"/>
      <c r="N48" s="60"/>
      <c r="O48" s="60"/>
    </row>
    <row r="49" spans="1:15" x14ac:dyDescent="0.3">
      <c r="A49" s="358" t="s">
        <v>454</v>
      </c>
      <c r="B49" s="359"/>
      <c r="C49" s="359"/>
      <c r="D49" s="359"/>
      <c r="E49" s="359"/>
      <c r="F49" s="359"/>
      <c r="G49" s="360"/>
      <c r="J49" s="355"/>
      <c r="K49" s="58" t="s">
        <v>334</v>
      </c>
      <c r="L49" s="58" t="e">
        <f>AVERAGE(L37:L48)</f>
        <v>#DIV/0!</v>
      </c>
      <c r="M49" s="58">
        <f>MAX(M37:M48)</f>
        <v>0</v>
      </c>
      <c r="N49" s="58" t="e">
        <f>AVERAGE(N37:N48)</f>
        <v>#DIV/0!</v>
      </c>
      <c r="O49" s="58">
        <f>MAX(O37:O48)</f>
        <v>0</v>
      </c>
    </row>
    <row r="50" spans="1:15" x14ac:dyDescent="0.3">
      <c r="A50" s="361"/>
      <c r="B50" s="362"/>
      <c r="C50" s="362"/>
      <c r="D50" s="362"/>
      <c r="E50" s="362"/>
      <c r="F50" s="362"/>
      <c r="G50" s="363"/>
    </row>
    <row r="51" spans="1:15" ht="28" x14ac:dyDescent="0.3">
      <c r="A51" s="361"/>
      <c r="B51" s="362"/>
      <c r="C51" s="362"/>
      <c r="D51" s="362"/>
      <c r="E51" s="362"/>
      <c r="F51" s="362"/>
      <c r="G51" s="363"/>
      <c r="J51" s="57">
        <f>+A6</f>
        <v>2022</v>
      </c>
      <c r="K51" s="57" t="s">
        <v>316</v>
      </c>
      <c r="L51" s="63" t="s">
        <v>311</v>
      </c>
      <c r="M51" s="63" t="s">
        <v>317</v>
      </c>
      <c r="N51" s="63" t="s">
        <v>314</v>
      </c>
      <c r="O51" s="63" t="s">
        <v>318</v>
      </c>
    </row>
    <row r="52" spans="1:15" x14ac:dyDescent="0.3">
      <c r="A52" s="364"/>
      <c r="B52" s="365"/>
      <c r="C52" s="365"/>
      <c r="D52" s="365"/>
      <c r="E52" s="365"/>
      <c r="F52" s="365"/>
      <c r="G52" s="366"/>
      <c r="J52" s="355" t="s">
        <v>173</v>
      </c>
      <c r="K52" s="62" t="s">
        <v>319</v>
      </c>
      <c r="L52" s="60"/>
      <c r="M52" s="60"/>
      <c r="N52" s="60"/>
      <c r="O52" s="60"/>
    </row>
    <row r="53" spans="1:15" x14ac:dyDescent="0.3">
      <c r="J53" s="355"/>
      <c r="K53" s="62" t="s">
        <v>320</v>
      </c>
      <c r="L53" s="60"/>
      <c r="M53" s="60"/>
      <c r="N53" s="60"/>
      <c r="O53" s="60"/>
    </row>
    <row r="54" spans="1:15" x14ac:dyDescent="0.3">
      <c r="J54" s="355"/>
      <c r="K54" s="62" t="s">
        <v>321</v>
      </c>
      <c r="L54" s="60"/>
      <c r="M54" s="60"/>
      <c r="N54" s="60"/>
      <c r="O54" s="60"/>
    </row>
    <row r="55" spans="1:15" x14ac:dyDescent="0.3">
      <c r="J55" s="355"/>
      <c r="K55" s="62" t="s">
        <v>323</v>
      </c>
      <c r="L55" s="60"/>
      <c r="M55" s="60"/>
      <c r="N55" s="60"/>
      <c r="O55" s="60"/>
    </row>
    <row r="56" spans="1:15" x14ac:dyDescent="0.3">
      <c r="J56" s="355"/>
      <c r="K56" s="62" t="s">
        <v>325</v>
      </c>
      <c r="L56" s="60"/>
      <c r="M56" s="60"/>
      <c r="N56" s="60"/>
      <c r="O56" s="60"/>
    </row>
    <row r="57" spans="1:15" x14ac:dyDescent="0.3">
      <c r="J57" s="355"/>
      <c r="K57" s="62" t="s">
        <v>326</v>
      </c>
      <c r="L57" s="60"/>
      <c r="M57" s="60"/>
      <c r="N57" s="60"/>
      <c r="O57" s="60"/>
    </row>
    <row r="58" spans="1:15" x14ac:dyDescent="0.3">
      <c r="J58" s="355"/>
      <c r="K58" s="62" t="s">
        <v>327</v>
      </c>
      <c r="L58" s="60"/>
      <c r="M58" s="60"/>
      <c r="N58" s="60"/>
      <c r="O58" s="60"/>
    </row>
    <row r="59" spans="1:15" x14ac:dyDescent="0.3">
      <c r="J59" s="355"/>
      <c r="K59" s="62" t="s">
        <v>329</v>
      </c>
      <c r="L59" s="60"/>
      <c r="M59" s="60"/>
      <c r="N59" s="60"/>
      <c r="O59" s="60"/>
    </row>
    <row r="60" spans="1:15" x14ac:dyDescent="0.3">
      <c r="J60" s="355"/>
      <c r="K60" s="62" t="s">
        <v>330</v>
      </c>
      <c r="L60" s="60"/>
      <c r="M60" s="60"/>
      <c r="N60" s="60"/>
      <c r="O60" s="60"/>
    </row>
    <row r="61" spans="1:15" x14ac:dyDescent="0.3">
      <c r="J61" s="355"/>
      <c r="K61" s="62" t="s">
        <v>331</v>
      </c>
      <c r="L61" s="60"/>
      <c r="M61" s="60"/>
      <c r="N61" s="60"/>
      <c r="O61" s="60"/>
    </row>
    <row r="62" spans="1:15" x14ac:dyDescent="0.3">
      <c r="J62" s="355"/>
      <c r="K62" s="62" t="s">
        <v>332</v>
      </c>
      <c r="L62" s="60"/>
      <c r="M62" s="60"/>
      <c r="N62" s="60"/>
      <c r="O62" s="60"/>
    </row>
    <row r="63" spans="1:15" x14ac:dyDescent="0.3">
      <c r="J63" s="355"/>
      <c r="K63" s="62" t="s">
        <v>333</v>
      </c>
      <c r="L63" s="60"/>
      <c r="M63" s="60"/>
      <c r="N63" s="60"/>
      <c r="O63" s="60"/>
    </row>
    <row r="64" spans="1:15" x14ac:dyDescent="0.3">
      <c r="J64" s="355"/>
      <c r="K64" s="58" t="s">
        <v>334</v>
      </c>
      <c r="L64" s="58" t="e">
        <f>AVERAGE(L52:L63)</f>
        <v>#DIV/0!</v>
      </c>
      <c r="M64" s="58">
        <f>MAX(M52:M63)</f>
        <v>0</v>
      </c>
      <c r="N64" s="58" t="e">
        <f>AVERAGE(N52:N63)</f>
        <v>#DIV/0!</v>
      </c>
      <c r="O64" s="58">
        <f>MAX(O52:O63)</f>
        <v>0</v>
      </c>
    </row>
    <row r="66" spans="10:15" ht="28" x14ac:dyDescent="0.3">
      <c r="J66" s="57">
        <f>+A6</f>
        <v>2022</v>
      </c>
      <c r="K66" s="57" t="s">
        <v>316</v>
      </c>
      <c r="L66" s="63" t="s">
        <v>311</v>
      </c>
      <c r="M66" s="63" t="s">
        <v>317</v>
      </c>
      <c r="N66" s="63" t="s">
        <v>314</v>
      </c>
      <c r="O66" s="63" t="s">
        <v>318</v>
      </c>
    </row>
    <row r="67" spans="10:15" x14ac:dyDescent="0.3">
      <c r="J67" s="355" t="s">
        <v>174</v>
      </c>
      <c r="K67" s="62" t="s">
        <v>319</v>
      </c>
      <c r="L67" s="60"/>
      <c r="M67" s="60"/>
      <c r="N67" s="60"/>
      <c r="O67" s="60"/>
    </row>
    <row r="68" spans="10:15" x14ac:dyDescent="0.3">
      <c r="J68" s="355"/>
      <c r="K68" s="62" t="s">
        <v>320</v>
      </c>
      <c r="L68" s="60"/>
      <c r="M68" s="60"/>
      <c r="N68" s="60"/>
      <c r="O68" s="60"/>
    </row>
    <row r="69" spans="10:15" x14ac:dyDescent="0.3">
      <c r="J69" s="355"/>
      <c r="K69" s="62" t="s">
        <v>321</v>
      </c>
      <c r="L69" s="60"/>
      <c r="M69" s="60"/>
      <c r="N69" s="60"/>
      <c r="O69" s="60"/>
    </row>
    <row r="70" spans="10:15" x14ac:dyDescent="0.3">
      <c r="J70" s="355"/>
      <c r="K70" s="62" t="s">
        <v>323</v>
      </c>
      <c r="L70" s="60"/>
      <c r="M70" s="60"/>
      <c r="N70" s="60"/>
      <c r="O70" s="60"/>
    </row>
    <row r="71" spans="10:15" x14ac:dyDescent="0.3">
      <c r="J71" s="355"/>
      <c r="K71" s="62" t="s">
        <v>325</v>
      </c>
      <c r="L71" s="60"/>
      <c r="M71" s="60"/>
      <c r="N71" s="60"/>
      <c r="O71" s="60"/>
    </row>
    <row r="72" spans="10:15" x14ac:dyDescent="0.3">
      <c r="J72" s="355"/>
      <c r="K72" s="62" t="s">
        <v>326</v>
      </c>
      <c r="L72" s="60"/>
      <c r="M72" s="60"/>
      <c r="N72" s="60"/>
      <c r="O72" s="60"/>
    </row>
    <row r="73" spans="10:15" x14ac:dyDescent="0.3">
      <c r="J73" s="355"/>
      <c r="K73" s="62" t="s">
        <v>327</v>
      </c>
      <c r="L73" s="60"/>
      <c r="M73" s="60"/>
      <c r="N73" s="60"/>
      <c r="O73" s="60"/>
    </row>
    <row r="74" spans="10:15" x14ac:dyDescent="0.3">
      <c r="J74" s="355"/>
      <c r="K74" s="62" t="s">
        <v>329</v>
      </c>
      <c r="L74" s="60"/>
      <c r="M74" s="60"/>
      <c r="N74" s="60"/>
      <c r="O74" s="60"/>
    </row>
    <row r="75" spans="10:15" x14ac:dyDescent="0.3">
      <c r="J75" s="355"/>
      <c r="K75" s="62" t="s">
        <v>330</v>
      </c>
      <c r="L75" s="60"/>
      <c r="M75" s="60"/>
      <c r="N75" s="60"/>
      <c r="O75" s="60"/>
    </row>
    <row r="76" spans="10:15" x14ac:dyDescent="0.3">
      <c r="J76" s="355"/>
      <c r="K76" s="62" t="s">
        <v>331</v>
      </c>
      <c r="L76" s="60"/>
      <c r="M76" s="60"/>
      <c r="N76" s="60"/>
      <c r="O76" s="60"/>
    </row>
    <row r="77" spans="10:15" x14ac:dyDescent="0.3">
      <c r="J77" s="355"/>
      <c r="K77" s="62" t="s">
        <v>332</v>
      </c>
      <c r="L77" s="60"/>
      <c r="M77" s="60"/>
      <c r="N77" s="60"/>
      <c r="O77" s="60"/>
    </row>
    <row r="78" spans="10:15" x14ac:dyDescent="0.3">
      <c r="J78" s="355"/>
      <c r="K78" s="62" t="s">
        <v>333</v>
      </c>
      <c r="L78" s="60"/>
      <c r="M78" s="60"/>
      <c r="N78" s="60"/>
      <c r="O78" s="60"/>
    </row>
    <row r="79" spans="10:15" x14ac:dyDescent="0.3">
      <c r="J79" s="355"/>
      <c r="K79" s="58" t="s">
        <v>334</v>
      </c>
      <c r="L79" s="58" t="e">
        <f>AVERAGE(L67:L78)</f>
        <v>#DIV/0!</v>
      </c>
      <c r="M79" s="58">
        <f>MAX(M67:M78)</f>
        <v>0</v>
      </c>
      <c r="N79" s="58" t="e">
        <f>AVERAGE(N67:N78)</f>
        <v>#DIV/0!</v>
      </c>
      <c r="O79" s="5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zoomScaleNormal="100" workbookViewId="0">
      <selection activeCell="F15" sqref="F15"/>
    </sheetView>
  </sheetViews>
  <sheetFormatPr defaultRowHeight="14" x14ac:dyDescent="0.3"/>
  <cols>
    <col min="1" max="1" width="14" style="3" customWidth="1"/>
    <col min="2" max="4" width="17" style="33" customWidth="1"/>
    <col min="5" max="5" width="14.81640625" style="33" customWidth="1"/>
    <col min="6" max="7" width="17" style="33" customWidth="1"/>
    <col min="8" max="11" width="9.1796875" style="3"/>
    <col min="12" max="12" width="15.453125" style="3" customWidth="1"/>
    <col min="13" max="13" width="17.453125" style="3" bestFit="1" customWidth="1"/>
    <col min="14" max="14" width="13.81640625" style="3" customWidth="1"/>
    <col min="15" max="15" width="15" style="3" customWidth="1"/>
    <col min="16" max="18" width="9.1796875" style="3"/>
    <col min="19" max="19" width="21.81640625" style="3" customWidth="1"/>
    <col min="20" max="256" width="9.1796875" style="3"/>
    <col min="257" max="257" width="14" style="3" customWidth="1"/>
    <col min="258" max="263" width="10.1796875" style="3" customWidth="1"/>
    <col min="264" max="512" width="9.1796875" style="3"/>
    <col min="513" max="513" width="14" style="3" customWidth="1"/>
    <col min="514" max="519" width="10.1796875" style="3" customWidth="1"/>
    <col min="520" max="768" width="9.1796875" style="3"/>
    <col min="769" max="769" width="14" style="3" customWidth="1"/>
    <col min="770" max="775" width="10.1796875" style="3" customWidth="1"/>
    <col min="776" max="1024" width="9.1796875" style="3"/>
    <col min="1025" max="1025" width="14" style="3" customWidth="1"/>
    <col min="1026" max="1031" width="10.1796875" style="3" customWidth="1"/>
    <col min="1032" max="1280" width="9.1796875" style="3"/>
    <col min="1281" max="1281" width="14" style="3" customWidth="1"/>
    <col min="1282" max="1287" width="10.1796875" style="3" customWidth="1"/>
    <col min="1288" max="1536" width="9.1796875" style="3"/>
    <col min="1537" max="1537" width="14" style="3" customWidth="1"/>
    <col min="1538" max="1543" width="10.1796875" style="3" customWidth="1"/>
    <col min="1544" max="1792" width="9.1796875" style="3"/>
    <col min="1793" max="1793" width="14" style="3" customWidth="1"/>
    <col min="1794" max="1799" width="10.1796875" style="3" customWidth="1"/>
    <col min="1800" max="2048" width="9.1796875" style="3"/>
    <col min="2049" max="2049" width="14" style="3" customWidth="1"/>
    <col min="2050" max="2055" width="10.1796875" style="3" customWidth="1"/>
    <col min="2056" max="2304" width="9.1796875" style="3"/>
    <col min="2305" max="2305" width="14" style="3" customWidth="1"/>
    <col min="2306" max="2311" width="10.1796875" style="3" customWidth="1"/>
    <col min="2312" max="2560" width="9.1796875" style="3"/>
    <col min="2561" max="2561" width="14" style="3" customWidth="1"/>
    <col min="2562" max="2567" width="10.1796875" style="3" customWidth="1"/>
    <col min="2568" max="2816" width="9.1796875" style="3"/>
    <col min="2817" max="2817" width="14" style="3" customWidth="1"/>
    <col min="2818" max="2823" width="10.1796875" style="3" customWidth="1"/>
    <col min="2824" max="3072" width="9.1796875" style="3"/>
    <col min="3073" max="3073" width="14" style="3" customWidth="1"/>
    <col min="3074" max="3079" width="10.1796875" style="3" customWidth="1"/>
    <col min="3080" max="3328" width="9.1796875" style="3"/>
    <col min="3329" max="3329" width="14" style="3" customWidth="1"/>
    <col min="3330" max="3335" width="10.1796875" style="3" customWidth="1"/>
    <col min="3336" max="3584" width="9.1796875" style="3"/>
    <col min="3585" max="3585" width="14" style="3" customWidth="1"/>
    <col min="3586" max="3591" width="10.1796875" style="3" customWidth="1"/>
    <col min="3592" max="3840" width="9.1796875" style="3"/>
    <col min="3841" max="3841" width="14" style="3" customWidth="1"/>
    <col min="3842" max="3847" width="10.1796875" style="3" customWidth="1"/>
    <col min="3848" max="4096" width="9.1796875" style="3"/>
    <col min="4097" max="4097" width="14" style="3" customWidth="1"/>
    <col min="4098" max="4103" width="10.1796875" style="3" customWidth="1"/>
    <col min="4104" max="4352" width="9.1796875" style="3"/>
    <col min="4353" max="4353" width="14" style="3" customWidth="1"/>
    <col min="4354" max="4359" width="10.1796875" style="3" customWidth="1"/>
    <col min="4360" max="4608" width="9.1796875" style="3"/>
    <col min="4609" max="4609" width="14" style="3" customWidth="1"/>
    <col min="4610" max="4615" width="10.1796875" style="3" customWidth="1"/>
    <col min="4616" max="4864" width="9.1796875" style="3"/>
    <col min="4865" max="4865" width="14" style="3" customWidth="1"/>
    <col min="4866" max="4871" width="10.1796875" style="3" customWidth="1"/>
    <col min="4872" max="5120" width="9.1796875" style="3"/>
    <col min="5121" max="5121" width="14" style="3" customWidth="1"/>
    <col min="5122" max="5127" width="10.1796875" style="3" customWidth="1"/>
    <col min="5128" max="5376" width="9.1796875" style="3"/>
    <col min="5377" max="5377" width="14" style="3" customWidth="1"/>
    <col min="5378" max="5383" width="10.1796875" style="3" customWidth="1"/>
    <col min="5384" max="5632" width="9.1796875" style="3"/>
    <col min="5633" max="5633" width="14" style="3" customWidth="1"/>
    <col min="5634" max="5639" width="10.1796875" style="3" customWidth="1"/>
    <col min="5640" max="5888" width="9.1796875" style="3"/>
    <col min="5889" max="5889" width="14" style="3" customWidth="1"/>
    <col min="5890" max="5895" width="10.1796875" style="3" customWidth="1"/>
    <col min="5896" max="6144" width="9.1796875" style="3"/>
    <col min="6145" max="6145" width="14" style="3" customWidth="1"/>
    <col min="6146" max="6151" width="10.1796875" style="3" customWidth="1"/>
    <col min="6152" max="6400" width="9.1796875" style="3"/>
    <col min="6401" max="6401" width="14" style="3" customWidth="1"/>
    <col min="6402" max="6407" width="10.1796875" style="3" customWidth="1"/>
    <col min="6408" max="6656" width="9.1796875" style="3"/>
    <col min="6657" max="6657" width="14" style="3" customWidth="1"/>
    <col min="6658" max="6663" width="10.1796875" style="3" customWidth="1"/>
    <col min="6664" max="6912" width="9.1796875" style="3"/>
    <col min="6913" max="6913" width="14" style="3" customWidth="1"/>
    <col min="6914" max="6919" width="10.1796875" style="3" customWidth="1"/>
    <col min="6920" max="7168" width="9.1796875" style="3"/>
    <col min="7169" max="7169" width="14" style="3" customWidth="1"/>
    <col min="7170" max="7175" width="10.1796875" style="3" customWidth="1"/>
    <col min="7176" max="7424" width="9.1796875" style="3"/>
    <col min="7425" max="7425" width="14" style="3" customWidth="1"/>
    <col min="7426" max="7431" width="10.1796875" style="3" customWidth="1"/>
    <col min="7432" max="7680" width="9.1796875" style="3"/>
    <col min="7681" max="7681" width="14" style="3" customWidth="1"/>
    <col min="7682" max="7687" width="10.1796875" style="3" customWidth="1"/>
    <col min="7688" max="7936" width="9.1796875" style="3"/>
    <col min="7937" max="7937" width="14" style="3" customWidth="1"/>
    <col min="7938" max="7943" width="10.1796875" style="3" customWidth="1"/>
    <col min="7944" max="8192" width="9.1796875" style="3"/>
    <col min="8193" max="8193" width="14" style="3" customWidth="1"/>
    <col min="8194" max="8199" width="10.1796875" style="3" customWidth="1"/>
    <col min="8200" max="8448" width="9.1796875" style="3"/>
    <col min="8449" max="8449" width="14" style="3" customWidth="1"/>
    <col min="8450" max="8455" width="10.1796875" style="3" customWidth="1"/>
    <col min="8456" max="8704" width="9.1796875" style="3"/>
    <col min="8705" max="8705" width="14" style="3" customWidth="1"/>
    <col min="8706" max="8711" width="10.1796875" style="3" customWidth="1"/>
    <col min="8712" max="8960" width="9.1796875" style="3"/>
    <col min="8961" max="8961" width="14" style="3" customWidth="1"/>
    <col min="8962" max="8967" width="10.1796875" style="3" customWidth="1"/>
    <col min="8968" max="9216" width="9.1796875" style="3"/>
    <col min="9217" max="9217" width="14" style="3" customWidth="1"/>
    <col min="9218" max="9223" width="10.1796875" style="3" customWidth="1"/>
    <col min="9224" max="9472" width="9.1796875" style="3"/>
    <col min="9473" max="9473" width="14" style="3" customWidth="1"/>
    <col min="9474" max="9479" width="10.1796875" style="3" customWidth="1"/>
    <col min="9480" max="9728" width="9.1796875" style="3"/>
    <col min="9729" max="9729" width="14" style="3" customWidth="1"/>
    <col min="9730" max="9735" width="10.1796875" style="3" customWidth="1"/>
    <col min="9736" max="9984" width="9.1796875" style="3"/>
    <col min="9985" max="9985" width="14" style="3" customWidth="1"/>
    <col min="9986" max="9991" width="10.1796875" style="3" customWidth="1"/>
    <col min="9992" max="10240" width="9.1796875" style="3"/>
    <col min="10241" max="10241" width="14" style="3" customWidth="1"/>
    <col min="10242" max="10247" width="10.1796875" style="3" customWidth="1"/>
    <col min="10248" max="10496" width="9.1796875" style="3"/>
    <col min="10497" max="10497" width="14" style="3" customWidth="1"/>
    <col min="10498" max="10503" width="10.1796875" style="3" customWidth="1"/>
    <col min="10504" max="10752" width="9.1796875" style="3"/>
    <col min="10753" max="10753" width="14" style="3" customWidth="1"/>
    <col min="10754" max="10759" width="10.1796875" style="3" customWidth="1"/>
    <col min="10760" max="11008" width="9.1796875" style="3"/>
    <col min="11009" max="11009" width="14" style="3" customWidth="1"/>
    <col min="11010" max="11015" width="10.1796875" style="3" customWidth="1"/>
    <col min="11016" max="11264" width="9.1796875" style="3"/>
    <col min="11265" max="11265" width="14" style="3" customWidth="1"/>
    <col min="11266" max="11271" width="10.1796875" style="3" customWidth="1"/>
    <col min="11272" max="11520" width="9.1796875" style="3"/>
    <col min="11521" max="11521" width="14" style="3" customWidth="1"/>
    <col min="11522" max="11527" width="10.1796875" style="3" customWidth="1"/>
    <col min="11528" max="11776" width="9.1796875" style="3"/>
    <col min="11777" max="11777" width="14" style="3" customWidth="1"/>
    <col min="11778" max="11783" width="10.1796875" style="3" customWidth="1"/>
    <col min="11784" max="12032" width="9.1796875" style="3"/>
    <col min="12033" max="12033" width="14" style="3" customWidth="1"/>
    <col min="12034" max="12039" width="10.1796875" style="3" customWidth="1"/>
    <col min="12040" max="12288" width="9.1796875" style="3"/>
    <col min="12289" max="12289" width="14" style="3" customWidth="1"/>
    <col min="12290" max="12295" width="10.1796875" style="3" customWidth="1"/>
    <col min="12296" max="12544" width="9.1796875" style="3"/>
    <col min="12545" max="12545" width="14" style="3" customWidth="1"/>
    <col min="12546" max="12551" width="10.1796875" style="3" customWidth="1"/>
    <col min="12552" max="12800" width="9.1796875" style="3"/>
    <col min="12801" max="12801" width="14" style="3" customWidth="1"/>
    <col min="12802" max="12807" width="10.1796875" style="3" customWidth="1"/>
    <col min="12808" max="13056" width="9.1796875" style="3"/>
    <col min="13057" max="13057" width="14" style="3" customWidth="1"/>
    <col min="13058" max="13063" width="10.1796875" style="3" customWidth="1"/>
    <col min="13064" max="13312" width="9.1796875" style="3"/>
    <col min="13313" max="13313" width="14" style="3" customWidth="1"/>
    <col min="13314" max="13319" width="10.1796875" style="3" customWidth="1"/>
    <col min="13320" max="13568" width="9.1796875" style="3"/>
    <col min="13569" max="13569" width="14" style="3" customWidth="1"/>
    <col min="13570" max="13575" width="10.1796875" style="3" customWidth="1"/>
    <col min="13576" max="13824" width="9.1796875" style="3"/>
    <col min="13825" max="13825" width="14" style="3" customWidth="1"/>
    <col min="13826" max="13831" width="10.1796875" style="3" customWidth="1"/>
    <col min="13832" max="14080" width="9.1796875" style="3"/>
    <col min="14081" max="14081" width="14" style="3" customWidth="1"/>
    <col min="14082" max="14087" width="10.1796875" style="3" customWidth="1"/>
    <col min="14088" max="14336" width="9.1796875" style="3"/>
    <col min="14337" max="14337" width="14" style="3" customWidth="1"/>
    <col min="14338" max="14343" width="10.1796875" style="3" customWidth="1"/>
    <col min="14344" max="14592" width="9.1796875" style="3"/>
    <col min="14593" max="14593" width="14" style="3" customWidth="1"/>
    <col min="14594" max="14599" width="10.1796875" style="3" customWidth="1"/>
    <col min="14600" max="14848" width="9.1796875" style="3"/>
    <col min="14849" max="14849" width="14" style="3" customWidth="1"/>
    <col min="14850" max="14855" width="10.1796875" style="3" customWidth="1"/>
    <col min="14856" max="15104" width="9.1796875" style="3"/>
    <col min="15105" max="15105" width="14" style="3" customWidth="1"/>
    <col min="15106" max="15111" width="10.1796875" style="3" customWidth="1"/>
    <col min="15112" max="15360" width="9.1796875" style="3"/>
    <col min="15361" max="15361" width="14" style="3" customWidth="1"/>
    <col min="15362" max="15367" width="10.1796875" style="3" customWidth="1"/>
    <col min="15368" max="15616" width="9.1796875" style="3"/>
    <col min="15617" max="15617" width="14" style="3" customWidth="1"/>
    <col min="15618" max="15623" width="10.1796875" style="3" customWidth="1"/>
    <col min="15624" max="15872" width="9.1796875" style="3"/>
    <col min="15873" max="15873" width="14" style="3" customWidth="1"/>
    <col min="15874" max="15879" width="10.1796875" style="3" customWidth="1"/>
    <col min="15880" max="16128" width="9.1796875" style="3"/>
    <col min="16129" max="16129" width="14" style="3" customWidth="1"/>
    <col min="16130" max="16135" width="10.1796875" style="3" customWidth="1"/>
    <col min="16136" max="16384" width="9.1796875" style="3"/>
  </cols>
  <sheetData>
    <row r="1" spans="1:19" ht="15.5" x14ac:dyDescent="0.35">
      <c r="A1" s="94" t="str">
        <f>+'Cover Page'!$B$29</f>
        <v>Annual Performance Report 2022</v>
      </c>
      <c r="B1" s="94"/>
      <c r="C1" s="94"/>
      <c r="D1" s="94"/>
      <c r="E1" s="94" t="str">
        <f>+'Cover Page'!$B$33</f>
        <v>Welland Biopower Ltd</v>
      </c>
    </row>
    <row r="3" spans="1:19" ht="14.5" x14ac:dyDescent="0.35">
      <c r="A3" s="56" t="s">
        <v>341</v>
      </c>
      <c r="D3" s="72" t="s">
        <v>303</v>
      </c>
      <c r="G3" s="76" t="s">
        <v>304</v>
      </c>
      <c r="J3" s="8" t="str">
        <f>+A3</f>
        <v>Monitoring of Total organic carbon emissions</v>
      </c>
      <c r="L3" s="8"/>
      <c r="N3" s="8" t="s">
        <v>305</v>
      </c>
      <c r="Q3" s="75" t="s">
        <v>3</v>
      </c>
      <c r="R3" s="70"/>
      <c r="S3" s="70"/>
    </row>
    <row r="4" spans="1:19" ht="14" customHeight="1" x14ac:dyDescent="0.3">
      <c r="Q4" s="370" t="s">
        <v>306</v>
      </c>
      <c r="R4" s="370"/>
      <c r="S4" s="370"/>
    </row>
    <row r="5" spans="1:19" ht="16" x14ac:dyDescent="0.3">
      <c r="A5" s="64" t="s">
        <v>307</v>
      </c>
      <c r="B5" s="357" t="s">
        <v>308</v>
      </c>
      <c r="C5" s="357"/>
      <c r="D5" s="357"/>
      <c r="E5" s="357" t="s">
        <v>309</v>
      </c>
      <c r="F5" s="357"/>
      <c r="G5" s="357"/>
      <c r="J5" s="356"/>
      <c r="K5" s="356"/>
      <c r="L5" s="356"/>
      <c r="M5" s="356"/>
      <c r="N5" s="356"/>
      <c r="O5" s="356"/>
      <c r="Q5" s="370"/>
      <c r="R5" s="370"/>
      <c r="S5" s="370"/>
    </row>
    <row r="6" spans="1:19" s="54" customFormat="1" ht="37.5" customHeight="1" x14ac:dyDescent="0.35">
      <c r="A6" s="61">
        <f>+'Cover Page'!C39</f>
        <v>2022</v>
      </c>
      <c r="B6" s="51" t="s">
        <v>342</v>
      </c>
      <c r="C6" s="51" t="s">
        <v>311</v>
      </c>
      <c r="D6" s="51" t="s">
        <v>312</v>
      </c>
      <c r="E6" s="51" t="s">
        <v>343</v>
      </c>
      <c r="F6" s="51" t="s">
        <v>314</v>
      </c>
      <c r="G6" s="51" t="s">
        <v>315</v>
      </c>
      <c r="H6" s="55"/>
      <c r="J6" s="57">
        <f>+A6</f>
        <v>2022</v>
      </c>
      <c r="K6" s="57" t="s">
        <v>316</v>
      </c>
      <c r="L6" s="63" t="s">
        <v>311</v>
      </c>
      <c r="M6" s="63" t="s">
        <v>317</v>
      </c>
      <c r="N6" s="63" t="s">
        <v>314</v>
      </c>
      <c r="O6" s="63" t="s">
        <v>318</v>
      </c>
      <c r="Q6" s="370"/>
      <c r="R6" s="370"/>
      <c r="S6" s="370"/>
    </row>
    <row r="7" spans="1:19" x14ac:dyDescent="0.3">
      <c r="A7" s="62" t="s">
        <v>319</v>
      </c>
      <c r="B7" s="59">
        <f>'Air (CEMS)'!$C$19</f>
        <v>30</v>
      </c>
      <c r="C7" s="60">
        <v>0</v>
      </c>
      <c r="D7" s="60">
        <v>6</v>
      </c>
      <c r="E7" s="59">
        <f>'Air (CEMS)'!$C$18</f>
        <v>15</v>
      </c>
      <c r="F7" s="60">
        <v>0.21</v>
      </c>
      <c r="G7" s="60">
        <v>5</v>
      </c>
      <c r="J7" s="355" t="s">
        <v>170</v>
      </c>
      <c r="K7" s="62" t="s">
        <v>319</v>
      </c>
      <c r="L7" s="60">
        <f>C7</f>
        <v>0</v>
      </c>
      <c r="M7" s="60">
        <f>D7</f>
        <v>6</v>
      </c>
      <c r="N7" s="60">
        <f>F7</f>
        <v>0.21</v>
      </c>
      <c r="O7" s="60">
        <f>G7</f>
        <v>5</v>
      </c>
      <c r="Q7" s="370"/>
      <c r="R7" s="370"/>
      <c r="S7" s="370"/>
    </row>
    <row r="8" spans="1:19" x14ac:dyDescent="0.3">
      <c r="A8" s="62" t="s">
        <v>320</v>
      </c>
      <c r="B8" s="59">
        <f>'Air (CEMS)'!$C$19</f>
        <v>30</v>
      </c>
      <c r="C8" s="60">
        <v>0</v>
      </c>
      <c r="D8" s="60">
        <v>72</v>
      </c>
      <c r="E8" s="59">
        <f>'Air (CEMS)'!$C$18</f>
        <v>15</v>
      </c>
      <c r="F8" s="60">
        <v>0.04</v>
      </c>
      <c r="G8" s="60">
        <v>1</v>
      </c>
      <c r="J8" s="355"/>
      <c r="K8" s="62" t="s">
        <v>320</v>
      </c>
      <c r="L8" s="60">
        <f t="shared" ref="L8:L18" si="0">C8</f>
        <v>0</v>
      </c>
      <c r="M8" s="60">
        <f t="shared" ref="M8:M18" si="1">D8</f>
        <v>72</v>
      </c>
      <c r="N8" s="60">
        <f t="shared" ref="N8:N18" si="2">F8</f>
        <v>0.04</v>
      </c>
      <c r="O8" s="60">
        <f t="shared" ref="O8:O18" si="3">G8</f>
        <v>1</v>
      </c>
      <c r="Q8" s="370"/>
      <c r="R8" s="370"/>
      <c r="S8" s="370"/>
    </row>
    <row r="9" spans="1:19" x14ac:dyDescent="0.3">
      <c r="A9" s="62" t="s">
        <v>321</v>
      </c>
      <c r="B9" s="59">
        <f>'Air (CEMS)'!$C$19</f>
        <v>30</v>
      </c>
      <c r="C9" s="60">
        <v>0</v>
      </c>
      <c r="D9" s="60">
        <v>31</v>
      </c>
      <c r="E9" s="59">
        <f>'Air (CEMS)'!$C$18</f>
        <v>15</v>
      </c>
      <c r="F9" s="60">
        <v>0.25</v>
      </c>
      <c r="G9" s="60">
        <v>1</v>
      </c>
      <c r="J9" s="355"/>
      <c r="K9" s="62" t="s">
        <v>321</v>
      </c>
      <c r="L9" s="60">
        <f t="shared" si="0"/>
        <v>0</v>
      </c>
      <c r="M9" s="60">
        <f t="shared" si="1"/>
        <v>31</v>
      </c>
      <c r="N9" s="60">
        <f t="shared" si="2"/>
        <v>0.25</v>
      </c>
      <c r="O9" s="60">
        <f t="shared" si="3"/>
        <v>1</v>
      </c>
      <c r="Q9" s="74" t="s">
        <v>322</v>
      </c>
    </row>
    <row r="10" spans="1:19" ht="14.25" customHeight="1" x14ac:dyDescent="0.3">
      <c r="A10" s="62" t="s">
        <v>323</v>
      </c>
      <c r="B10" s="59">
        <f>'Air (CEMS)'!$C$19</f>
        <v>30</v>
      </c>
      <c r="C10" s="60">
        <v>0</v>
      </c>
      <c r="D10" s="60">
        <v>13</v>
      </c>
      <c r="E10" s="59">
        <f>'Air (CEMS)'!$C$18</f>
        <v>15</v>
      </c>
      <c r="F10" s="60">
        <v>0.11</v>
      </c>
      <c r="G10" s="60">
        <v>1</v>
      </c>
      <c r="J10" s="355"/>
      <c r="K10" s="62" t="s">
        <v>323</v>
      </c>
      <c r="L10" s="60">
        <f t="shared" si="0"/>
        <v>0</v>
      </c>
      <c r="M10" s="60">
        <f t="shared" si="1"/>
        <v>13</v>
      </c>
      <c r="N10" s="60">
        <f t="shared" si="2"/>
        <v>0.11</v>
      </c>
      <c r="O10" s="60">
        <f t="shared" si="3"/>
        <v>1</v>
      </c>
      <c r="Q10" s="354" t="s">
        <v>324</v>
      </c>
      <c r="R10" s="354"/>
      <c r="S10" s="354"/>
    </row>
    <row r="11" spans="1:19" x14ac:dyDescent="0.3">
      <c r="A11" s="62" t="s">
        <v>325</v>
      </c>
      <c r="B11" s="59">
        <f>'Air (CEMS)'!$C$19</f>
        <v>30</v>
      </c>
      <c r="C11" s="60">
        <v>0</v>
      </c>
      <c r="D11" s="60">
        <v>7</v>
      </c>
      <c r="E11" s="59">
        <f>'Air (CEMS)'!$C$18</f>
        <v>15</v>
      </c>
      <c r="F11" s="60">
        <v>0</v>
      </c>
      <c r="G11" s="60">
        <v>0</v>
      </c>
      <c r="J11" s="355"/>
      <c r="K11" s="62" t="s">
        <v>325</v>
      </c>
      <c r="L11" s="60">
        <f t="shared" si="0"/>
        <v>0</v>
      </c>
      <c r="M11" s="60">
        <f t="shared" si="1"/>
        <v>7</v>
      </c>
      <c r="N11" s="60">
        <f t="shared" si="2"/>
        <v>0</v>
      </c>
      <c r="O11" s="60">
        <f t="shared" si="3"/>
        <v>0</v>
      </c>
      <c r="Q11" s="354"/>
      <c r="R11" s="354"/>
      <c r="S11" s="354"/>
    </row>
    <row r="12" spans="1:19" x14ac:dyDescent="0.3">
      <c r="A12" s="62" t="s">
        <v>326</v>
      </c>
      <c r="B12" s="59">
        <f>'Air (CEMS)'!$C$19</f>
        <v>30</v>
      </c>
      <c r="C12" s="60">
        <v>0</v>
      </c>
      <c r="D12" s="60">
        <v>18</v>
      </c>
      <c r="E12" s="59">
        <f>'Air (CEMS)'!$C$18</f>
        <v>15</v>
      </c>
      <c r="F12" s="60">
        <v>0.04</v>
      </c>
      <c r="G12" s="60">
        <v>1</v>
      </c>
      <c r="J12" s="355"/>
      <c r="K12" s="62" t="s">
        <v>326</v>
      </c>
      <c r="L12" s="60">
        <f t="shared" si="0"/>
        <v>0</v>
      </c>
      <c r="M12" s="60">
        <f t="shared" si="1"/>
        <v>18</v>
      </c>
      <c r="N12" s="60">
        <f t="shared" si="2"/>
        <v>0.04</v>
      </c>
      <c r="O12" s="60">
        <f t="shared" si="3"/>
        <v>1</v>
      </c>
      <c r="Q12" s="354"/>
      <c r="R12" s="354"/>
      <c r="S12" s="354"/>
    </row>
    <row r="13" spans="1:19" ht="14.25" customHeight="1" x14ac:dyDescent="0.3">
      <c r="A13" s="62" t="s">
        <v>327</v>
      </c>
      <c r="B13" s="59">
        <f>'Air (CEMS)'!$C$19</f>
        <v>30</v>
      </c>
      <c r="C13" s="60">
        <v>3</v>
      </c>
      <c r="D13" s="60">
        <v>117</v>
      </c>
      <c r="E13" s="59">
        <f>'Air (CEMS)'!$C$18</f>
        <v>15</v>
      </c>
      <c r="F13" s="60">
        <v>2.79</v>
      </c>
      <c r="G13" s="60">
        <v>25</v>
      </c>
      <c r="J13" s="355"/>
      <c r="K13" s="62" t="s">
        <v>327</v>
      </c>
      <c r="L13" s="60">
        <f t="shared" si="0"/>
        <v>3</v>
      </c>
      <c r="M13" s="60">
        <f t="shared" si="1"/>
        <v>117</v>
      </c>
      <c r="N13" s="60">
        <f t="shared" si="2"/>
        <v>2.79</v>
      </c>
      <c r="O13" s="60">
        <f t="shared" si="3"/>
        <v>25</v>
      </c>
      <c r="Q13" s="354" t="s">
        <v>328</v>
      </c>
      <c r="R13" s="354"/>
      <c r="S13" s="354"/>
    </row>
    <row r="14" spans="1:19" x14ac:dyDescent="0.3">
      <c r="A14" s="62" t="s">
        <v>329</v>
      </c>
      <c r="B14" s="59">
        <f>'Air (CEMS)'!$C$19</f>
        <v>30</v>
      </c>
      <c r="C14" s="60">
        <v>1</v>
      </c>
      <c r="D14" s="60">
        <v>306</v>
      </c>
      <c r="E14" s="59">
        <f>'Air (CEMS)'!$C$18</f>
        <v>15</v>
      </c>
      <c r="F14" s="60">
        <v>0.87</v>
      </c>
      <c r="G14" s="60">
        <v>8</v>
      </c>
      <c r="J14" s="355"/>
      <c r="K14" s="62" t="s">
        <v>329</v>
      </c>
      <c r="L14" s="60">
        <f t="shared" si="0"/>
        <v>1</v>
      </c>
      <c r="M14" s="60">
        <f t="shared" si="1"/>
        <v>306</v>
      </c>
      <c r="N14" s="60">
        <f t="shared" si="2"/>
        <v>0.87</v>
      </c>
      <c r="O14" s="60">
        <f t="shared" si="3"/>
        <v>8</v>
      </c>
      <c r="Q14" s="354"/>
      <c r="R14" s="354"/>
      <c r="S14" s="354"/>
    </row>
    <row r="15" spans="1:19" x14ac:dyDescent="0.3">
      <c r="A15" s="62" t="s">
        <v>330</v>
      </c>
      <c r="B15" s="59">
        <f>'Air (CEMS)'!$C$19</f>
        <v>30</v>
      </c>
      <c r="C15" s="60">
        <v>0</v>
      </c>
      <c r="D15" s="60">
        <v>64</v>
      </c>
      <c r="E15" s="59">
        <f>'Air (CEMS)'!$C$18</f>
        <v>15</v>
      </c>
      <c r="F15" s="60">
        <v>0.27</v>
      </c>
      <c r="G15" s="60">
        <v>2</v>
      </c>
      <c r="J15" s="355"/>
      <c r="K15" s="62" t="s">
        <v>330</v>
      </c>
      <c r="L15" s="60">
        <f t="shared" si="0"/>
        <v>0</v>
      </c>
      <c r="M15" s="60">
        <f t="shared" si="1"/>
        <v>64</v>
      </c>
      <c r="N15" s="60">
        <f t="shared" si="2"/>
        <v>0.27</v>
      </c>
      <c r="O15" s="60">
        <f t="shared" si="3"/>
        <v>2</v>
      </c>
      <c r="Q15" s="354"/>
      <c r="R15" s="354"/>
      <c r="S15" s="354"/>
    </row>
    <row r="16" spans="1:19" x14ac:dyDescent="0.3">
      <c r="A16" s="62" t="s">
        <v>331</v>
      </c>
      <c r="B16" s="59">
        <f>'Air (CEMS)'!$C$19</f>
        <v>30</v>
      </c>
      <c r="C16" s="60">
        <v>1</v>
      </c>
      <c r="D16" s="60">
        <v>102</v>
      </c>
      <c r="E16" s="59">
        <f>'Air (CEMS)'!$C$18</f>
        <v>15</v>
      </c>
      <c r="F16" s="60">
        <v>2.2400000000000002</v>
      </c>
      <c r="G16" s="60">
        <v>19</v>
      </c>
      <c r="J16" s="355"/>
      <c r="K16" s="62" t="s">
        <v>331</v>
      </c>
      <c r="L16" s="60">
        <f t="shared" si="0"/>
        <v>1</v>
      </c>
      <c r="M16" s="60">
        <f t="shared" si="1"/>
        <v>102</v>
      </c>
      <c r="N16" s="60">
        <f t="shared" si="2"/>
        <v>2.2400000000000002</v>
      </c>
      <c r="O16" s="60">
        <f t="shared" si="3"/>
        <v>19</v>
      </c>
      <c r="Q16" s="354"/>
      <c r="R16" s="354"/>
      <c r="S16" s="354"/>
    </row>
    <row r="17" spans="1:15" x14ac:dyDescent="0.3">
      <c r="A17" s="62" t="s">
        <v>332</v>
      </c>
      <c r="B17" s="59">
        <f>'Air (CEMS)'!$C$19</f>
        <v>30</v>
      </c>
      <c r="C17" s="60">
        <v>11</v>
      </c>
      <c r="D17" s="60">
        <v>2989</v>
      </c>
      <c r="E17" s="59">
        <f>'Air (CEMS)'!$C$18</f>
        <v>15</v>
      </c>
      <c r="F17" s="60">
        <v>11.44</v>
      </c>
      <c r="G17" s="60">
        <v>200</v>
      </c>
      <c r="J17" s="355"/>
      <c r="K17" s="62" t="s">
        <v>332</v>
      </c>
      <c r="L17" s="60">
        <f t="shared" si="0"/>
        <v>11</v>
      </c>
      <c r="M17" s="60">
        <f t="shared" si="1"/>
        <v>2989</v>
      </c>
      <c r="N17" s="60">
        <f t="shared" si="2"/>
        <v>11.44</v>
      </c>
      <c r="O17" s="60">
        <f t="shared" si="3"/>
        <v>200</v>
      </c>
    </row>
    <row r="18" spans="1:15" x14ac:dyDescent="0.3">
      <c r="A18" s="62" t="s">
        <v>333</v>
      </c>
      <c r="B18" s="59">
        <f>'Air (CEMS)'!$C$19</f>
        <v>30</v>
      </c>
      <c r="C18" s="60">
        <v>0</v>
      </c>
      <c r="D18" s="60">
        <v>34</v>
      </c>
      <c r="E18" s="59">
        <f>'Air (CEMS)'!$C$18</f>
        <v>15</v>
      </c>
      <c r="F18" s="60">
        <v>0.03</v>
      </c>
      <c r="G18" s="60">
        <v>1</v>
      </c>
      <c r="J18" s="355"/>
      <c r="K18" s="62" t="s">
        <v>333</v>
      </c>
      <c r="L18" s="60">
        <f t="shared" si="0"/>
        <v>0</v>
      </c>
      <c r="M18" s="60">
        <f t="shared" si="1"/>
        <v>34</v>
      </c>
      <c r="N18" s="60">
        <f t="shared" si="2"/>
        <v>0.03</v>
      </c>
      <c r="O18" s="60">
        <f t="shared" si="3"/>
        <v>1</v>
      </c>
    </row>
    <row r="19" spans="1:15" x14ac:dyDescent="0.3">
      <c r="J19" s="355"/>
      <c r="K19" s="58" t="s">
        <v>334</v>
      </c>
      <c r="L19" s="58">
        <f>AVERAGE(L7:L18)</f>
        <v>1.3333333333333333</v>
      </c>
      <c r="M19" s="58">
        <f>MAX(M7:M18)</f>
        <v>2989</v>
      </c>
      <c r="N19" s="58">
        <f>AVERAGE(N7:N18)</f>
        <v>1.5241666666666667</v>
      </c>
      <c r="O19" s="58">
        <f>MAX(O7:O18)</f>
        <v>200</v>
      </c>
    </row>
    <row r="21" spans="1:15" ht="28" x14ac:dyDescent="0.3">
      <c r="J21" s="57">
        <f>+A6</f>
        <v>2022</v>
      </c>
      <c r="K21" s="57" t="s">
        <v>316</v>
      </c>
      <c r="L21" s="63" t="s">
        <v>311</v>
      </c>
      <c r="M21" s="63" t="s">
        <v>317</v>
      </c>
      <c r="N21" s="63" t="s">
        <v>314</v>
      </c>
      <c r="O21" s="63" t="s">
        <v>318</v>
      </c>
    </row>
    <row r="22" spans="1:15" x14ac:dyDescent="0.3">
      <c r="J22" s="355" t="s">
        <v>171</v>
      </c>
      <c r="K22" s="62" t="s">
        <v>319</v>
      </c>
      <c r="L22" s="60"/>
      <c r="M22" s="60"/>
      <c r="N22" s="60"/>
      <c r="O22" s="60"/>
    </row>
    <row r="23" spans="1:15" x14ac:dyDescent="0.3">
      <c r="J23" s="355"/>
      <c r="K23" s="62" t="s">
        <v>320</v>
      </c>
      <c r="L23" s="60"/>
      <c r="M23" s="60"/>
      <c r="N23" s="60"/>
      <c r="O23" s="60"/>
    </row>
    <row r="24" spans="1:15" x14ac:dyDescent="0.3">
      <c r="J24" s="355"/>
      <c r="K24" s="62" t="s">
        <v>321</v>
      </c>
      <c r="L24" s="60"/>
      <c r="M24" s="60"/>
      <c r="N24" s="60"/>
      <c r="O24" s="60"/>
    </row>
    <row r="25" spans="1:15" x14ac:dyDescent="0.3">
      <c r="J25" s="355"/>
      <c r="K25" s="62" t="s">
        <v>323</v>
      </c>
      <c r="L25" s="60"/>
      <c r="M25" s="60"/>
      <c r="N25" s="60"/>
      <c r="O25" s="60"/>
    </row>
    <row r="26" spans="1:15" x14ac:dyDescent="0.3">
      <c r="J26" s="355"/>
      <c r="K26" s="62" t="s">
        <v>325</v>
      </c>
      <c r="L26" s="60"/>
      <c r="M26" s="60"/>
      <c r="N26" s="60"/>
      <c r="O26" s="60"/>
    </row>
    <row r="27" spans="1:15" x14ac:dyDescent="0.3">
      <c r="J27" s="355"/>
      <c r="K27" s="62" t="s">
        <v>326</v>
      </c>
      <c r="L27" s="60"/>
      <c r="M27" s="60"/>
      <c r="N27" s="60"/>
      <c r="O27" s="60"/>
    </row>
    <row r="28" spans="1:15" x14ac:dyDescent="0.3">
      <c r="J28" s="355"/>
      <c r="K28" s="62" t="s">
        <v>327</v>
      </c>
      <c r="L28" s="60"/>
      <c r="M28" s="60"/>
      <c r="N28" s="60"/>
      <c r="O28" s="60"/>
    </row>
    <row r="29" spans="1:15" x14ac:dyDescent="0.3">
      <c r="J29" s="355"/>
      <c r="K29" s="62" t="s">
        <v>329</v>
      </c>
      <c r="L29" s="60"/>
      <c r="M29" s="60"/>
      <c r="N29" s="60"/>
      <c r="O29" s="60"/>
    </row>
    <row r="30" spans="1:15" x14ac:dyDescent="0.3">
      <c r="J30" s="355"/>
      <c r="K30" s="62" t="s">
        <v>330</v>
      </c>
      <c r="L30" s="60"/>
      <c r="M30" s="60"/>
      <c r="N30" s="60"/>
      <c r="O30" s="60"/>
    </row>
    <row r="31" spans="1:15" x14ac:dyDescent="0.3">
      <c r="J31" s="355"/>
      <c r="K31" s="62" t="s">
        <v>331</v>
      </c>
      <c r="L31" s="60"/>
      <c r="M31" s="60"/>
      <c r="N31" s="60"/>
      <c r="O31" s="60"/>
    </row>
    <row r="32" spans="1:15" x14ac:dyDescent="0.3">
      <c r="J32" s="355"/>
      <c r="K32" s="62" t="s">
        <v>332</v>
      </c>
      <c r="L32" s="60"/>
      <c r="M32" s="60"/>
      <c r="N32" s="60"/>
      <c r="O32" s="60"/>
    </row>
    <row r="33" spans="1:15" x14ac:dyDescent="0.3">
      <c r="J33" s="355"/>
      <c r="K33" s="62" t="s">
        <v>333</v>
      </c>
      <c r="L33" s="60"/>
      <c r="M33" s="60"/>
      <c r="N33" s="60"/>
      <c r="O33" s="60"/>
    </row>
    <row r="34" spans="1:15" x14ac:dyDescent="0.3">
      <c r="J34" s="355"/>
      <c r="K34" s="58" t="s">
        <v>334</v>
      </c>
      <c r="L34" s="58" t="e">
        <f>AVERAGE(L22:L33)</f>
        <v>#DIV/0!</v>
      </c>
      <c r="M34" s="58">
        <f>MAX(M22:M33)</f>
        <v>0</v>
      </c>
      <c r="N34" s="58" t="e">
        <f>AVERAGE(N22:N33)</f>
        <v>#DIV/0!</v>
      </c>
      <c r="O34" s="58">
        <f>MAX(O22:O33)</f>
        <v>0</v>
      </c>
    </row>
    <row r="36" spans="1:15" ht="28" x14ac:dyDescent="0.3">
      <c r="J36" s="57">
        <f>+A6</f>
        <v>2022</v>
      </c>
      <c r="K36" s="57" t="s">
        <v>316</v>
      </c>
      <c r="L36" s="63" t="s">
        <v>311</v>
      </c>
      <c r="M36" s="63" t="s">
        <v>317</v>
      </c>
      <c r="N36" s="63" t="s">
        <v>314</v>
      </c>
      <c r="O36" s="63" t="s">
        <v>318</v>
      </c>
    </row>
    <row r="37" spans="1:15" x14ac:dyDescent="0.3">
      <c r="J37" s="355" t="s">
        <v>172</v>
      </c>
      <c r="K37" s="62" t="s">
        <v>319</v>
      </c>
      <c r="L37" s="60"/>
      <c r="M37" s="60"/>
      <c r="N37" s="60"/>
      <c r="O37" s="60"/>
    </row>
    <row r="38" spans="1:15" x14ac:dyDescent="0.3">
      <c r="J38" s="355"/>
      <c r="K38" s="62" t="s">
        <v>320</v>
      </c>
      <c r="L38" s="60"/>
      <c r="M38" s="60"/>
      <c r="N38" s="60"/>
      <c r="O38" s="60"/>
    </row>
    <row r="39" spans="1:15" x14ac:dyDescent="0.3">
      <c r="J39" s="355"/>
      <c r="K39" s="62" t="s">
        <v>321</v>
      </c>
      <c r="L39" s="60"/>
      <c r="M39" s="60"/>
      <c r="N39" s="60"/>
      <c r="O39" s="60"/>
    </row>
    <row r="40" spans="1:15" x14ac:dyDescent="0.3">
      <c r="J40" s="355"/>
      <c r="K40" s="62" t="s">
        <v>323</v>
      </c>
      <c r="L40" s="60"/>
      <c r="M40" s="60"/>
      <c r="N40" s="60"/>
      <c r="O40" s="60"/>
    </row>
    <row r="41" spans="1:15" x14ac:dyDescent="0.3">
      <c r="J41" s="355"/>
      <c r="K41" s="62" t="s">
        <v>325</v>
      </c>
      <c r="L41" s="60"/>
      <c r="M41" s="60"/>
      <c r="N41" s="60"/>
      <c r="O41" s="60"/>
    </row>
    <row r="42" spans="1:15" x14ac:dyDescent="0.3">
      <c r="J42" s="355"/>
      <c r="K42" s="62" t="s">
        <v>326</v>
      </c>
      <c r="L42" s="60"/>
      <c r="M42" s="60"/>
      <c r="N42" s="60"/>
      <c r="O42" s="60"/>
    </row>
    <row r="43" spans="1:15" x14ac:dyDescent="0.3">
      <c r="J43" s="355"/>
      <c r="K43" s="62" t="s">
        <v>327</v>
      </c>
      <c r="L43" s="60"/>
      <c r="M43" s="60"/>
      <c r="N43" s="60"/>
      <c r="O43" s="60"/>
    </row>
    <row r="44" spans="1:15" x14ac:dyDescent="0.3">
      <c r="J44" s="355"/>
      <c r="K44" s="62" t="s">
        <v>329</v>
      </c>
      <c r="L44" s="60"/>
      <c r="M44" s="60"/>
      <c r="N44" s="60"/>
      <c r="O44" s="60"/>
    </row>
    <row r="45" spans="1:15" x14ac:dyDescent="0.3">
      <c r="J45" s="355"/>
      <c r="K45" s="62" t="s">
        <v>330</v>
      </c>
      <c r="L45" s="60"/>
      <c r="M45" s="60"/>
      <c r="N45" s="60"/>
      <c r="O45" s="60"/>
    </row>
    <row r="46" spans="1:15" x14ac:dyDescent="0.3">
      <c r="J46" s="355"/>
      <c r="K46" s="62" t="s">
        <v>331</v>
      </c>
      <c r="L46" s="60"/>
      <c r="M46" s="60"/>
      <c r="N46" s="60"/>
      <c r="O46" s="60"/>
    </row>
    <row r="47" spans="1:15" x14ac:dyDescent="0.3">
      <c r="J47" s="355"/>
      <c r="K47" s="62" t="s">
        <v>332</v>
      </c>
      <c r="L47" s="60"/>
      <c r="M47" s="60"/>
      <c r="N47" s="60"/>
      <c r="O47" s="60"/>
    </row>
    <row r="48" spans="1:15" x14ac:dyDescent="0.3">
      <c r="A48" s="367" t="s">
        <v>242</v>
      </c>
      <c r="B48" s="368"/>
      <c r="C48" s="368"/>
      <c r="D48" s="368"/>
      <c r="E48" s="368"/>
      <c r="F48" s="368"/>
      <c r="G48" s="369"/>
      <c r="J48" s="355"/>
      <c r="K48" s="62" t="s">
        <v>333</v>
      </c>
      <c r="L48" s="60"/>
      <c r="M48" s="60"/>
      <c r="N48" s="60"/>
      <c r="O48" s="60"/>
    </row>
    <row r="49" spans="1:15" x14ac:dyDescent="0.3">
      <c r="A49" s="358" t="s">
        <v>454</v>
      </c>
      <c r="B49" s="359"/>
      <c r="C49" s="359"/>
      <c r="D49" s="359"/>
      <c r="E49" s="359"/>
      <c r="F49" s="359"/>
      <c r="G49" s="360"/>
      <c r="J49" s="355"/>
      <c r="K49" s="58" t="s">
        <v>334</v>
      </c>
      <c r="L49" s="58" t="e">
        <f>AVERAGE(L37:L48)</f>
        <v>#DIV/0!</v>
      </c>
      <c r="M49" s="58">
        <f>MAX(M37:M48)</f>
        <v>0</v>
      </c>
      <c r="N49" s="58" t="e">
        <f>AVERAGE(N37:N48)</f>
        <v>#DIV/0!</v>
      </c>
      <c r="O49" s="58">
        <f>MAX(O37:O48)</f>
        <v>0</v>
      </c>
    </row>
    <row r="50" spans="1:15" x14ac:dyDescent="0.3">
      <c r="A50" s="361"/>
      <c r="B50" s="362"/>
      <c r="C50" s="362"/>
      <c r="D50" s="362"/>
      <c r="E50" s="362"/>
      <c r="F50" s="362"/>
      <c r="G50" s="363"/>
    </row>
    <row r="51" spans="1:15" ht="28" x14ac:dyDescent="0.3">
      <c r="A51" s="361"/>
      <c r="B51" s="362"/>
      <c r="C51" s="362"/>
      <c r="D51" s="362"/>
      <c r="E51" s="362"/>
      <c r="F51" s="362"/>
      <c r="G51" s="363"/>
      <c r="J51" s="57">
        <f>+A6</f>
        <v>2022</v>
      </c>
      <c r="K51" s="57" t="s">
        <v>316</v>
      </c>
      <c r="L51" s="63" t="s">
        <v>311</v>
      </c>
      <c r="M51" s="63" t="s">
        <v>317</v>
      </c>
      <c r="N51" s="63" t="s">
        <v>314</v>
      </c>
      <c r="O51" s="63" t="s">
        <v>318</v>
      </c>
    </row>
    <row r="52" spans="1:15" x14ac:dyDescent="0.3">
      <c r="A52" s="364"/>
      <c r="B52" s="365"/>
      <c r="C52" s="365"/>
      <c r="D52" s="365"/>
      <c r="E52" s="365"/>
      <c r="F52" s="365"/>
      <c r="G52" s="366"/>
      <c r="J52" s="355" t="s">
        <v>173</v>
      </c>
      <c r="K52" s="62" t="s">
        <v>319</v>
      </c>
      <c r="L52" s="60"/>
      <c r="M52" s="60"/>
      <c r="N52" s="60"/>
      <c r="O52" s="60"/>
    </row>
    <row r="53" spans="1:15" x14ac:dyDescent="0.3">
      <c r="J53" s="355"/>
      <c r="K53" s="62" t="s">
        <v>320</v>
      </c>
      <c r="L53" s="60"/>
      <c r="M53" s="60"/>
      <c r="N53" s="60"/>
      <c r="O53" s="60"/>
    </row>
    <row r="54" spans="1:15" x14ac:dyDescent="0.3">
      <c r="J54" s="355"/>
      <c r="K54" s="62" t="s">
        <v>321</v>
      </c>
      <c r="L54" s="60"/>
      <c r="M54" s="60"/>
      <c r="N54" s="60"/>
      <c r="O54" s="60"/>
    </row>
    <row r="55" spans="1:15" x14ac:dyDescent="0.3">
      <c r="J55" s="355"/>
      <c r="K55" s="62" t="s">
        <v>323</v>
      </c>
      <c r="L55" s="60"/>
      <c r="M55" s="60"/>
      <c r="N55" s="60"/>
      <c r="O55" s="60"/>
    </row>
    <row r="56" spans="1:15" x14ac:dyDescent="0.3">
      <c r="J56" s="355"/>
      <c r="K56" s="62" t="s">
        <v>325</v>
      </c>
      <c r="L56" s="60"/>
      <c r="M56" s="60"/>
      <c r="N56" s="60"/>
      <c r="O56" s="60"/>
    </row>
    <row r="57" spans="1:15" x14ac:dyDescent="0.3">
      <c r="J57" s="355"/>
      <c r="K57" s="62" t="s">
        <v>326</v>
      </c>
      <c r="L57" s="60"/>
      <c r="M57" s="60"/>
      <c r="N57" s="60"/>
      <c r="O57" s="60"/>
    </row>
    <row r="58" spans="1:15" x14ac:dyDescent="0.3">
      <c r="J58" s="355"/>
      <c r="K58" s="62" t="s">
        <v>327</v>
      </c>
      <c r="L58" s="60"/>
      <c r="M58" s="60"/>
      <c r="N58" s="60"/>
      <c r="O58" s="60"/>
    </row>
    <row r="59" spans="1:15" x14ac:dyDescent="0.3">
      <c r="J59" s="355"/>
      <c r="K59" s="62" t="s">
        <v>329</v>
      </c>
      <c r="L59" s="60"/>
      <c r="M59" s="60"/>
      <c r="N59" s="60"/>
      <c r="O59" s="60"/>
    </row>
    <row r="60" spans="1:15" x14ac:dyDescent="0.3">
      <c r="J60" s="355"/>
      <c r="K60" s="62" t="s">
        <v>330</v>
      </c>
      <c r="L60" s="60"/>
      <c r="M60" s="60"/>
      <c r="N60" s="60"/>
      <c r="O60" s="60"/>
    </row>
    <row r="61" spans="1:15" x14ac:dyDescent="0.3">
      <c r="J61" s="355"/>
      <c r="K61" s="62" t="s">
        <v>331</v>
      </c>
      <c r="L61" s="60"/>
      <c r="M61" s="60"/>
      <c r="N61" s="60"/>
      <c r="O61" s="60"/>
    </row>
    <row r="62" spans="1:15" x14ac:dyDescent="0.3">
      <c r="J62" s="355"/>
      <c r="K62" s="62" t="s">
        <v>332</v>
      </c>
      <c r="L62" s="60"/>
      <c r="M62" s="60"/>
      <c r="N62" s="60"/>
      <c r="O62" s="60"/>
    </row>
    <row r="63" spans="1:15" x14ac:dyDescent="0.3">
      <c r="J63" s="355"/>
      <c r="K63" s="62" t="s">
        <v>333</v>
      </c>
      <c r="L63" s="60"/>
      <c r="M63" s="60"/>
      <c r="N63" s="60"/>
      <c r="O63" s="60"/>
    </row>
    <row r="64" spans="1:15" x14ac:dyDescent="0.3">
      <c r="J64" s="355"/>
      <c r="K64" s="58" t="s">
        <v>334</v>
      </c>
      <c r="L64" s="58" t="e">
        <f>AVERAGE(L52:L63)</f>
        <v>#DIV/0!</v>
      </c>
      <c r="M64" s="58">
        <f>MAX(M52:M63)</f>
        <v>0</v>
      </c>
      <c r="N64" s="58" t="e">
        <f>AVERAGE(N52:N63)</f>
        <v>#DIV/0!</v>
      </c>
      <c r="O64" s="58">
        <f>MAX(O52:O63)</f>
        <v>0</v>
      </c>
    </row>
    <row r="66" spans="10:15" ht="28" x14ac:dyDescent="0.3">
      <c r="J66" s="57">
        <f>+A6</f>
        <v>2022</v>
      </c>
      <c r="K66" s="57" t="s">
        <v>316</v>
      </c>
      <c r="L66" s="63" t="s">
        <v>311</v>
      </c>
      <c r="M66" s="63" t="s">
        <v>317</v>
      </c>
      <c r="N66" s="63" t="s">
        <v>314</v>
      </c>
      <c r="O66" s="63" t="s">
        <v>318</v>
      </c>
    </row>
    <row r="67" spans="10:15" x14ac:dyDescent="0.3">
      <c r="J67" s="355" t="s">
        <v>174</v>
      </c>
      <c r="K67" s="62" t="s">
        <v>319</v>
      </c>
      <c r="L67" s="60"/>
      <c r="M67" s="60"/>
      <c r="N67" s="60"/>
      <c r="O67" s="60"/>
    </row>
    <row r="68" spans="10:15" x14ac:dyDescent="0.3">
      <c r="J68" s="355"/>
      <c r="K68" s="62" t="s">
        <v>320</v>
      </c>
      <c r="L68" s="60"/>
      <c r="M68" s="60"/>
      <c r="N68" s="60"/>
      <c r="O68" s="60"/>
    </row>
    <row r="69" spans="10:15" x14ac:dyDescent="0.3">
      <c r="J69" s="355"/>
      <c r="K69" s="62" t="s">
        <v>321</v>
      </c>
      <c r="L69" s="60"/>
      <c r="M69" s="60"/>
      <c r="N69" s="60"/>
      <c r="O69" s="60"/>
    </row>
    <row r="70" spans="10:15" x14ac:dyDescent="0.3">
      <c r="J70" s="355"/>
      <c r="K70" s="62" t="s">
        <v>323</v>
      </c>
      <c r="L70" s="60"/>
      <c r="M70" s="60"/>
      <c r="N70" s="60"/>
      <c r="O70" s="60"/>
    </row>
    <row r="71" spans="10:15" x14ac:dyDescent="0.3">
      <c r="J71" s="355"/>
      <c r="K71" s="62" t="s">
        <v>325</v>
      </c>
      <c r="L71" s="60"/>
      <c r="M71" s="60"/>
      <c r="N71" s="60"/>
      <c r="O71" s="60"/>
    </row>
    <row r="72" spans="10:15" x14ac:dyDescent="0.3">
      <c r="J72" s="355"/>
      <c r="K72" s="62" t="s">
        <v>326</v>
      </c>
      <c r="L72" s="60"/>
      <c r="M72" s="60"/>
      <c r="N72" s="60"/>
      <c r="O72" s="60"/>
    </row>
    <row r="73" spans="10:15" x14ac:dyDescent="0.3">
      <c r="J73" s="355"/>
      <c r="K73" s="62" t="s">
        <v>327</v>
      </c>
      <c r="L73" s="60"/>
      <c r="M73" s="60"/>
      <c r="N73" s="60"/>
      <c r="O73" s="60"/>
    </row>
    <row r="74" spans="10:15" x14ac:dyDescent="0.3">
      <c r="J74" s="355"/>
      <c r="K74" s="62" t="s">
        <v>329</v>
      </c>
      <c r="L74" s="60"/>
      <c r="M74" s="60"/>
      <c r="N74" s="60"/>
      <c r="O74" s="60"/>
    </row>
    <row r="75" spans="10:15" x14ac:dyDescent="0.3">
      <c r="J75" s="355"/>
      <c r="K75" s="62" t="s">
        <v>330</v>
      </c>
      <c r="L75" s="60"/>
      <c r="M75" s="60"/>
      <c r="N75" s="60"/>
      <c r="O75" s="60"/>
    </row>
    <row r="76" spans="10:15" x14ac:dyDescent="0.3">
      <c r="J76" s="355"/>
      <c r="K76" s="62" t="s">
        <v>331</v>
      </c>
      <c r="L76" s="60"/>
      <c r="M76" s="60"/>
      <c r="N76" s="60"/>
      <c r="O76" s="60"/>
    </row>
    <row r="77" spans="10:15" x14ac:dyDescent="0.3">
      <c r="J77" s="355"/>
      <c r="K77" s="62" t="s">
        <v>332</v>
      </c>
      <c r="L77" s="60"/>
      <c r="M77" s="60"/>
      <c r="N77" s="60"/>
      <c r="O77" s="60"/>
    </row>
    <row r="78" spans="10:15" x14ac:dyDescent="0.3">
      <c r="J78" s="355"/>
      <c r="K78" s="62" t="s">
        <v>333</v>
      </c>
      <c r="L78" s="60"/>
      <c r="M78" s="60"/>
      <c r="N78" s="60"/>
      <c r="O78" s="60"/>
    </row>
    <row r="79" spans="10:15" x14ac:dyDescent="0.3">
      <c r="J79" s="355"/>
      <c r="K79" s="58" t="s">
        <v>334</v>
      </c>
      <c r="L79" s="58" t="e">
        <f>AVERAGE(L67:L78)</f>
        <v>#DIV/0!</v>
      </c>
      <c r="M79" s="58">
        <f>MAX(M67:M78)</f>
        <v>0</v>
      </c>
      <c r="N79" s="58" t="e">
        <f>AVERAGE(N67:N78)</f>
        <v>#DIV/0!</v>
      </c>
      <c r="O79" s="5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zoomScaleNormal="100" workbookViewId="0">
      <selection activeCell="F12" sqref="F12"/>
    </sheetView>
  </sheetViews>
  <sheetFormatPr defaultRowHeight="14" x14ac:dyDescent="0.3"/>
  <cols>
    <col min="1" max="1" width="14" style="3" customWidth="1"/>
    <col min="2" max="4" width="17" style="33" customWidth="1"/>
    <col min="5" max="5" width="14.81640625" style="33" customWidth="1"/>
    <col min="6" max="7" width="17" style="33" customWidth="1"/>
    <col min="8" max="11" width="9.1796875" style="3"/>
    <col min="12" max="12" width="15.453125" style="3" customWidth="1"/>
    <col min="13" max="13" width="17.453125" style="3" bestFit="1" customWidth="1"/>
    <col min="14" max="14" width="13.81640625" style="3" customWidth="1"/>
    <col min="15" max="15" width="15" style="3" customWidth="1"/>
    <col min="16" max="18" width="9.1796875" style="3"/>
    <col min="19" max="19" width="22.1796875" style="3" customWidth="1"/>
    <col min="20" max="256" width="9.1796875" style="3"/>
    <col min="257" max="257" width="14" style="3" customWidth="1"/>
    <col min="258" max="263" width="10.1796875" style="3" customWidth="1"/>
    <col min="264" max="512" width="9.1796875" style="3"/>
    <col min="513" max="513" width="14" style="3" customWidth="1"/>
    <col min="514" max="519" width="10.1796875" style="3" customWidth="1"/>
    <col min="520" max="768" width="9.1796875" style="3"/>
    <col min="769" max="769" width="14" style="3" customWidth="1"/>
    <col min="770" max="775" width="10.1796875" style="3" customWidth="1"/>
    <col min="776" max="1024" width="9.1796875" style="3"/>
    <col min="1025" max="1025" width="14" style="3" customWidth="1"/>
    <col min="1026" max="1031" width="10.1796875" style="3" customWidth="1"/>
    <col min="1032" max="1280" width="9.1796875" style="3"/>
    <col min="1281" max="1281" width="14" style="3" customWidth="1"/>
    <col min="1282" max="1287" width="10.1796875" style="3" customWidth="1"/>
    <col min="1288" max="1536" width="9.1796875" style="3"/>
    <col min="1537" max="1537" width="14" style="3" customWidth="1"/>
    <col min="1538" max="1543" width="10.1796875" style="3" customWidth="1"/>
    <col min="1544" max="1792" width="9.1796875" style="3"/>
    <col min="1793" max="1793" width="14" style="3" customWidth="1"/>
    <col min="1794" max="1799" width="10.1796875" style="3" customWidth="1"/>
    <col min="1800" max="2048" width="9.1796875" style="3"/>
    <col min="2049" max="2049" width="14" style="3" customWidth="1"/>
    <col min="2050" max="2055" width="10.1796875" style="3" customWidth="1"/>
    <col min="2056" max="2304" width="9.1796875" style="3"/>
    <col min="2305" max="2305" width="14" style="3" customWidth="1"/>
    <col min="2306" max="2311" width="10.1796875" style="3" customWidth="1"/>
    <col min="2312" max="2560" width="9.1796875" style="3"/>
    <col min="2561" max="2561" width="14" style="3" customWidth="1"/>
    <col min="2562" max="2567" width="10.1796875" style="3" customWidth="1"/>
    <col min="2568" max="2816" width="9.1796875" style="3"/>
    <col min="2817" max="2817" width="14" style="3" customWidth="1"/>
    <col min="2818" max="2823" width="10.1796875" style="3" customWidth="1"/>
    <col min="2824" max="3072" width="9.1796875" style="3"/>
    <col min="3073" max="3073" width="14" style="3" customWidth="1"/>
    <col min="3074" max="3079" width="10.1796875" style="3" customWidth="1"/>
    <col min="3080" max="3328" width="9.1796875" style="3"/>
    <col min="3329" max="3329" width="14" style="3" customWidth="1"/>
    <col min="3330" max="3335" width="10.1796875" style="3" customWidth="1"/>
    <col min="3336" max="3584" width="9.1796875" style="3"/>
    <col min="3585" max="3585" width="14" style="3" customWidth="1"/>
    <col min="3586" max="3591" width="10.1796875" style="3" customWidth="1"/>
    <col min="3592" max="3840" width="9.1796875" style="3"/>
    <col min="3841" max="3841" width="14" style="3" customWidth="1"/>
    <col min="3842" max="3847" width="10.1796875" style="3" customWidth="1"/>
    <col min="3848" max="4096" width="9.1796875" style="3"/>
    <col min="4097" max="4097" width="14" style="3" customWidth="1"/>
    <col min="4098" max="4103" width="10.1796875" style="3" customWidth="1"/>
    <col min="4104" max="4352" width="9.1796875" style="3"/>
    <col min="4353" max="4353" width="14" style="3" customWidth="1"/>
    <col min="4354" max="4359" width="10.1796875" style="3" customWidth="1"/>
    <col min="4360" max="4608" width="9.1796875" style="3"/>
    <col min="4609" max="4609" width="14" style="3" customWidth="1"/>
    <col min="4610" max="4615" width="10.1796875" style="3" customWidth="1"/>
    <col min="4616" max="4864" width="9.1796875" style="3"/>
    <col min="4865" max="4865" width="14" style="3" customWidth="1"/>
    <col min="4866" max="4871" width="10.1796875" style="3" customWidth="1"/>
    <col min="4872" max="5120" width="9.1796875" style="3"/>
    <col min="5121" max="5121" width="14" style="3" customWidth="1"/>
    <col min="5122" max="5127" width="10.1796875" style="3" customWidth="1"/>
    <col min="5128" max="5376" width="9.1796875" style="3"/>
    <col min="5377" max="5377" width="14" style="3" customWidth="1"/>
    <col min="5378" max="5383" width="10.1796875" style="3" customWidth="1"/>
    <col min="5384" max="5632" width="9.1796875" style="3"/>
    <col min="5633" max="5633" width="14" style="3" customWidth="1"/>
    <col min="5634" max="5639" width="10.1796875" style="3" customWidth="1"/>
    <col min="5640" max="5888" width="9.1796875" style="3"/>
    <col min="5889" max="5889" width="14" style="3" customWidth="1"/>
    <col min="5890" max="5895" width="10.1796875" style="3" customWidth="1"/>
    <col min="5896" max="6144" width="9.1796875" style="3"/>
    <col min="6145" max="6145" width="14" style="3" customWidth="1"/>
    <col min="6146" max="6151" width="10.1796875" style="3" customWidth="1"/>
    <col min="6152" max="6400" width="9.1796875" style="3"/>
    <col min="6401" max="6401" width="14" style="3" customWidth="1"/>
    <col min="6402" max="6407" width="10.1796875" style="3" customWidth="1"/>
    <col min="6408" max="6656" width="9.1796875" style="3"/>
    <col min="6657" max="6657" width="14" style="3" customWidth="1"/>
    <col min="6658" max="6663" width="10.1796875" style="3" customWidth="1"/>
    <col min="6664" max="6912" width="9.1796875" style="3"/>
    <col min="6913" max="6913" width="14" style="3" customWidth="1"/>
    <col min="6914" max="6919" width="10.1796875" style="3" customWidth="1"/>
    <col min="6920" max="7168" width="9.1796875" style="3"/>
    <col min="7169" max="7169" width="14" style="3" customWidth="1"/>
    <col min="7170" max="7175" width="10.1796875" style="3" customWidth="1"/>
    <col min="7176" max="7424" width="9.1796875" style="3"/>
    <col min="7425" max="7425" width="14" style="3" customWidth="1"/>
    <col min="7426" max="7431" width="10.1796875" style="3" customWidth="1"/>
    <col min="7432" max="7680" width="9.1796875" style="3"/>
    <col min="7681" max="7681" width="14" style="3" customWidth="1"/>
    <col min="7682" max="7687" width="10.1796875" style="3" customWidth="1"/>
    <col min="7688" max="7936" width="9.1796875" style="3"/>
    <col min="7937" max="7937" width="14" style="3" customWidth="1"/>
    <col min="7938" max="7943" width="10.1796875" style="3" customWidth="1"/>
    <col min="7944" max="8192" width="9.1796875" style="3"/>
    <col min="8193" max="8193" width="14" style="3" customWidth="1"/>
    <col min="8194" max="8199" width="10.1796875" style="3" customWidth="1"/>
    <col min="8200" max="8448" width="9.1796875" style="3"/>
    <col min="8449" max="8449" width="14" style="3" customWidth="1"/>
    <col min="8450" max="8455" width="10.1796875" style="3" customWidth="1"/>
    <col min="8456" max="8704" width="9.1796875" style="3"/>
    <col min="8705" max="8705" width="14" style="3" customWidth="1"/>
    <col min="8706" max="8711" width="10.1796875" style="3" customWidth="1"/>
    <col min="8712" max="8960" width="9.1796875" style="3"/>
    <col min="8961" max="8961" width="14" style="3" customWidth="1"/>
    <col min="8962" max="8967" width="10.1796875" style="3" customWidth="1"/>
    <col min="8968" max="9216" width="9.1796875" style="3"/>
    <col min="9217" max="9217" width="14" style="3" customWidth="1"/>
    <col min="9218" max="9223" width="10.1796875" style="3" customWidth="1"/>
    <col min="9224" max="9472" width="9.1796875" style="3"/>
    <col min="9473" max="9473" width="14" style="3" customWidth="1"/>
    <col min="9474" max="9479" width="10.1796875" style="3" customWidth="1"/>
    <col min="9480" max="9728" width="9.1796875" style="3"/>
    <col min="9729" max="9729" width="14" style="3" customWidth="1"/>
    <col min="9730" max="9735" width="10.1796875" style="3" customWidth="1"/>
    <col min="9736" max="9984" width="9.1796875" style="3"/>
    <col min="9985" max="9985" width="14" style="3" customWidth="1"/>
    <col min="9986" max="9991" width="10.1796875" style="3" customWidth="1"/>
    <col min="9992" max="10240" width="9.1796875" style="3"/>
    <col min="10241" max="10241" width="14" style="3" customWidth="1"/>
    <col min="10242" max="10247" width="10.1796875" style="3" customWidth="1"/>
    <col min="10248" max="10496" width="9.1796875" style="3"/>
    <col min="10497" max="10497" width="14" style="3" customWidth="1"/>
    <col min="10498" max="10503" width="10.1796875" style="3" customWidth="1"/>
    <col min="10504" max="10752" width="9.1796875" style="3"/>
    <col min="10753" max="10753" width="14" style="3" customWidth="1"/>
    <col min="10754" max="10759" width="10.1796875" style="3" customWidth="1"/>
    <col min="10760" max="11008" width="9.1796875" style="3"/>
    <col min="11009" max="11009" width="14" style="3" customWidth="1"/>
    <col min="11010" max="11015" width="10.1796875" style="3" customWidth="1"/>
    <col min="11016" max="11264" width="9.1796875" style="3"/>
    <col min="11265" max="11265" width="14" style="3" customWidth="1"/>
    <col min="11266" max="11271" width="10.1796875" style="3" customWidth="1"/>
    <col min="11272" max="11520" width="9.1796875" style="3"/>
    <col min="11521" max="11521" width="14" style="3" customWidth="1"/>
    <col min="11522" max="11527" width="10.1796875" style="3" customWidth="1"/>
    <col min="11528" max="11776" width="9.1796875" style="3"/>
    <col min="11777" max="11777" width="14" style="3" customWidth="1"/>
    <col min="11778" max="11783" width="10.1796875" style="3" customWidth="1"/>
    <col min="11784" max="12032" width="9.1796875" style="3"/>
    <col min="12033" max="12033" width="14" style="3" customWidth="1"/>
    <col min="12034" max="12039" width="10.1796875" style="3" customWidth="1"/>
    <col min="12040" max="12288" width="9.1796875" style="3"/>
    <col min="12289" max="12289" width="14" style="3" customWidth="1"/>
    <col min="12290" max="12295" width="10.1796875" style="3" customWidth="1"/>
    <col min="12296" max="12544" width="9.1796875" style="3"/>
    <col min="12545" max="12545" width="14" style="3" customWidth="1"/>
    <col min="12546" max="12551" width="10.1796875" style="3" customWidth="1"/>
    <col min="12552" max="12800" width="9.1796875" style="3"/>
    <col min="12801" max="12801" width="14" style="3" customWidth="1"/>
    <col min="12802" max="12807" width="10.1796875" style="3" customWidth="1"/>
    <col min="12808" max="13056" width="9.1796875" style="3"/>
    <col min="13057" max="13057" width="14" style="3" customWidth="1"/>
    <col min="13058" max="13063" width="10.1796875" style="3" customWidth="1"/>
    <col min="13064" max="13312" width="9.1796875" style="3"/>
    <col min="13313" max="13313" width="14" style="3" customWidth="1"/>
    <col min="13314" max="13319" width="10.1796875" style="3" customWidth="1"/>
    <col min="13320" max="13568" width="9.1796875" style="3"/>
    <col min="13569" max="13569" width="14" style="3" customWidth="1"/>
    <col min="13570" max="13575" width="10.1796875" style="3" customWidth="1"/>
    <col min="13576" max="13824" width="9.1796875" style="3"/>
    <col min="13825" max="13825" width="14" style="3" customWidth="1"/>
    <col min="13826" max="13831" width="10.1796875" style="3" customWidth="1"/>
    <col min="13832" max="14080" width="9.1796875" style="3"/>
    <col min="14081" max="14081" width="14" style="3" customWidth="1"/>
    <col min="14082" max="14087" width="10.1796875" style="3" customWidth="1"/>
    <col min="14088" max="14336" width="9.1796875" style="3"/>
    <col min="14337" max="14337" width="14" style="3" customWidth="1"/>
    <col min="14338" max="14343" width="10.1796875" style="3" customWidth="1"/>
    <col min="14344" max="14592" width="9.1796875" style="3"/>
    <col min="14593" max="14593" width="14" style="3" customWidth="1"/>
    <col min="14594" max="14599" width="10.1796875" style="3" customWidth="1"/>
    <col min="14600" max="14848" width="9.1796875" style="3"/>
    <col min="14849" max="14849" width="14" style="3" customWidth="1"/>
    <col min="14850" max="14855" width="10.1796875" style="3" customWidth="1"/>
    <col min="14856" max="15104" width="9.1796875" style="3"/>
    <col min="15105" max="15105" width="14" style="3" customWidth="1"/>
    <col min="15106" max="15111" width="10.1796875" style="3" customWidth="1"/>
    <col min="15112" max="15360" width="9.1796875" style="3"/>
    <col min="15361" max="15361" width="14" style="3" customWidth="1"/>
    <col min="15362" max="15367" width="10.1796875" style="3" customWidth="1"/>
    <col min="15368" max="15616" width="9.1796875" style="3"/>
    <col min="15617" max="15617" width="14" style="3" customWidth="1"/>
    <col min="15618" max="15623" width="10.1796875" style="3" customWidth="1"/>
    <col min="15624" max="15872" width="9.1796875" style="3"/>
    <col min="15873" max="15873" width="14" style="3" customWidth="1"/>
    <col min="15874" max="15879" width="10.1796875" style="3" customWidth="1"/>
    <col min="15880" max="16128" width="9.1796875" style="3"/>
    <col min="16129" max="16129" width="14" style="3" customWidth="1"/>
    <col min="16130" max="16135" width="10.1796875" style="3" customWidth="1"/>
    <col min="16136" max="16384" width="9.1796875" style="3"/>
  </cols>
  <sheetData>
    <row r="1" spans="1:19" ht="15.5" x14ac:dyDescent="0.35">
      <c r="A1" s="94" t="str">
        <f>+'Cover Page'!$B$29</f>
        <v>Annual Performance Report 2022</v>
      </c>
      <c r="B1" s="94"/>
      <c r="C1" s="94"/>
      <c r="D1" s="94"/>
      <c r="E1" s="94" t="str">
        <f>+'Cover Page'!$B$33</f>
        <v>Welland Biopower Ltd</v>
      </c>
    </row>
    <row r="3" spans="1:19" ht="14.5" x14ac:dyDescent="0.35">
      <c r="A3" s="56" t="s">
        <v>344</v>
      </c>
      <c r="D3" s="72" t="s">
        <v>303</v>
      </c>
      <c r="G3" s="76" t="s">
        <v>304</v>
      </c>
      <c r="J3" s="8" t="str">
        <f>+A3</f>
        <v>Monitoring of Particulate matter emissions</v>
      </c>
      <c r="L3" s="8"/>
      <c r="N3" s="8" t="s">
        <v>305</v>
      </c>
      <c r="Q3" s="75" t="s">
        <v>3</v>
      </c>
      <c r="R3" s="70"/>
      <c r="S3" s="70"/>
    </row>
    <row r="4" spans="1:19" ht="14" customHeight="1" x14ac:dyDescent="0.3">
      <c r="Q4" s="370" t="s">
        <v>306</v>
      </c>
      <c r="R4" s="370"/>
      <c r="S4" s="370"/>
    </row>
    <row r="5" spans="1:19" ht="16" x14ac:dyDescent="0.3">
      <c r="A5" s="64" t="s">
        <v>307</v>
      </c>
      <c r="B5" s="357" t="s">
        <v>308</v>
      </c>
      <c r="C5" s="357"/>
      <c r="D5" s="357"/>
      <c r="E5" s="357" t="s">
        <v>309</v>
      </c>
      <c r="F5" s="357"/>
      <c r="G5" s="357"/>
      <c r="J5" s="356"/>
      <c r="K5" s="356"/>
      <c r="L5" s="356"/>
      <c r="M5" s="356"/>
      <c r="N5" s="356"/>
      <c r="O5" s="356"/>
      <c r="Q5" s="370"/>
      <c r="R5" s="370"/>
      <c r="S5" s="370"/>
    </row>
    <row r="6" spans="1:19" s="54" customFormat="1" ht="37.5" customHeight="1" x14ac:dyDescent="0.35">
      <c r="A6" s="61">
        <f>+'Cover Page'!C39</f>
        <v>2022</v>
      </c>
      <c r="B6" s="51" t="s">
        <v>345</v>
      </c>
      <c r="C6" s="51" t="s">
        <v>311</v>
      </c>
      <c r="D6" s="51" t="s">
        <v>312</v>
      </c>
      <c r="E6" s="51" t="s">
        <v>346</v>
      </c>
      <c r="F6" s="51" t="s">
        <v>314</v>
      </c>
      <c r="G6" s="51" t="s">
        <v>315</v>
      </c>
      <c r="H6" s="55"/>
      <c r="J6" s="57">
        <f>+A6</f>
        <v>2022</v>
      </c>
      <c r="K6" s="57" t="s">
        <v>316</v>
      </c>
      <c r="L6" s="63" t="s">
        <v>311</v>
      </c>
      <c r="M6" s="63" t="s">
        <v>317</v>
      </c>
      <c r="N6" s="63" t="s">
        <v>314</v>
      </c>
      <c r="O6" s="63" t="s">
        <v>318</v>
      </c>
      <c r="Q6" s="370"/>
      <c r="R6" s="370"/>
      <c r="S6" s="370"/>
    </row>
    <row r="7" spans="1:19" x14ac:dyDescent="0.3">
      <c r="A7" s="62" t="s">
        <v>319</v>
      </c>
      <c r="B7" s="59">
        <f>'Air (CEMS)'!$C$17</f>
        <v>45</v>
      </c>
      <c r="C7" s="60">
        <v>1</v>
      </c>
      <c r="D7" s="60">
        <v>3</v>
      </c>
      <c r="E7" s="59">
        <f>'Air (CEMS)'!$C$16</f>
        <v>15</v>
      </c>
      <c r="F7" s="60">
        <v>1</v>
      </c>
      <c r="G7" s="60">
        <v>1</v>
      </c>
      <c r="J7" s="355" t="s">
        <v>170</v>
      </c>
      <c r="K7" s="62" t="s">
        <v>319</v>
      </c>
      <c r="L7" s="60">
        <f>C7</f>
        <v>1</v>
      </c>
      <c r="M7" s="60">
        <f>D7</f>
        <v>3</v>
      </c>
      <c r="N7" s="60">
        <f>F7</f>
        <v>1</v>
      </c>
      <c r="O7" s="60">
        <f>G7</f>
        <v>1</v>
      </c>
      <c r="Q7" s="370"/>
      <c r="R7" s="370"/>
      <c r="S7" s="370"/>
    </row>
    <row r="8" spans="1:19" x14ac:dyDescent="0.3">
      <c r="A8" s="62" t="s">
        <v>320</v>
      </c>
      <c r="B8" s="59">
        <f>'Air (CEMS)'!$C$17</f>
        <v>45</v>
      </c>
      <c r="C8" s="60">
        <v>2</v>
      </c>
      <c r="D8" s="60">
        <v>11</v>
      </c>
      <c r="E8" s="59">
        <f>'Air (CEMS)'!$C$16</f>
        <v>15</v>
      </c>
      <c r="F8" s="60">
        <v>2.13</v>
      </c>
      <c r="G8" s="60">
        <v>4</v>
      </c>
      <c r="J8" s="355"/>
      <c r="K8" s="62" t="s">
        <v>320</v>
      </c>
      <c r="L8" s="60">
        <f t="shared" ref="L8:L18" si="0">C8</f>
        <v>2</v>
      </c>
      <c r="M8" s="60">
        <f t="shared" ref="M8:M18" si="1">D8</f>
        <v>11</v>
      </c>
      <c r="N8" s="60">
        <f t="shared" ref="N8:N18" si="2">F8</f>
        <v>2.13</v>
      </c>
      <c r="O8" s="60">
        <f t="shared" ref="O8:O18" si="3">G8</f>
        <v>4</v>
      </c>
      <c r="Q8" s="370"/>
      <c r="R8" s="370"/>
      <c r="S8" s="370"/>
    </row>
    <row r="9" spans="1:19" x14ac:dyDescent="0.3">
      <c r="A9" s="62" t="s">
        <v>321</v>
      </c>
      <c r="B9" s="59">
        <f>'Air (CEMS)'!$C$17</f>
        <v>45</v>
      </c>
      <c r="C9" s="60">
        <v>3</v>
      </c>
      <c r="D9" s="60">
        <v>15</v>
      </c>
      <c r="E9" s="59">
        <f>'Air (CEMS)'!$C$16</f>
        <v>15</v>
      </c>
      <c r="F9" s="60">
        <v>3.5</v>
      </c>
      <c r="G9" s="60">
        <v>4</v>
      </c>
      <c r="J9" s="355"/>
      <c r="K9" s="62" t="s">
        <v>321</v>
      </c>
      <c r="L9" s="60">
        <f t="shared" si="0"/>
        <v>3</v>
      </c>
      <c r="M9" s="60">
        <f t="shared" si="1"/>
        <v>15</v>
      </c>
      <c r="N9" s="60">
        <f t="shared" si="2"/>
        <v>3.5</v>
      </c>
      <c r="O9" s="60">
        <f t="shared" si="3"/>
        <v>4</v>
      </c>
      <c r="Q9" s="74" t="s">
        <v>322</v>
      </c>
    </row>
    <row r="10" spans="1:19" ht="14.25" customHeight="1" x14ac:dyDescent="0.3">
      <c r="A10" s="62" t="s">
        <v>323</v>
      </c>
      <c r="B10" s="59">
        <f>'Air (CEMS)'!$C$17</f>
        <v>45</v>
      </c>
      <c r="C10" s="60">
        <v>5</v>
      </c>
      <c r="D10" s="60">
        <v>14</v>
      </c>
      <c r="E10" s="59">
        <f>'Air (CEMS)'!$C$16</f>
        <v>15</v>
      </c>
      <c r="F10" s="60">
        <v>5.1100000000000003</v>
      </c>
      <c r="G10" s="60">
        <v>7</v>
      </c>
      <c r="J10" s="355"/>
      <c r="K10" s="62" t="s">
        <v>323</v>
      </c>
      <c r="L10" s="60">
        <f t="shared" si="0"/>
        <v>5</v>
      </c>
      <c r="M10" s="60">
        <f t="shared" si="1"/>
        <v>14</v>
      </c>
      <c r="N10" s="60">
        <f t="shared" si="2"/>
        <v>5.1100000000000003</v>
      </c>
      <c r="O10" s="60">
        <f t="shared" si="3"/>
        <v>7</v>
      </c>
      <c r="Q10" s="354" t="s">
        <v>324</v>
      </c>
      <c r="R10" s="354"/>
      <c r="S10" s="354"/>
    </row>
    <row r="11" spans="1:19" x14ac:dyDescent="0.3">
      <c r="A11" s="62" t="s">
        <v>325</v>
      </c>
      <c r="B11" s="59">
        <f>'Air (CEMS)'!$C$17</f>
        <v>45</v>
      </c>
      <c r="C11" s="60">
        <v>4</v>
      </c>
      <c r="D11" s="60">
        <v>19</v>
      </c>
      <c r="E11" s="59">
        <f>'Air (CEMS)'!$C$16</f>
        <v>15</v>
      </c>
      <c r="F11" s="60">
        <v>4</v>
      </c>
      <c r="G11" s="60">
        <v>9</v>
      </c>
      <c r="J11" s="355"/>
      <c r="K11" s="62" t="s">
        <v>325</v>
      </c>
      <c r="L11" s="60">
        <f t="shared" si="0"/>
        <v>4</v>
      </c>
      <c r="M11" s="60">
        <f t="shared" si="1"/>
        <v>19</v>
      </c>
      <c r="N11" s="60">
        <f t="shared" si="2"/>
        <v>4</v>
      </c>
      <c r="O11" s="60">
        <f t="shared" si="3"/>
        <v>9</v>
      </c>
      <c r="Q11" s="354"/>
      <c r="R11" s="354"/>
      <c r="S11" s="354"/>
    </row>
    <row r="12" spans="1:19" x14ac:dyDescent="0.3">
      <c r="A12" s="62" t="s">
        <v>326</v>
      </c>
      <c r="B12" s="59">
        <f>'Air (CEMS)'!$C$17</f>
        <v>45</v>
      </c>
      <c r="C12" s="60">
        <v>5</v>
      </c>
      <c r="D12" s="60">
        <v>16</v>
      </c>
      <c r="E12" s="59">
        <f>'Air (CEMS)'!$C$16</f>
        <v>15</v>
      </c>
      <c r="F12" s="60">
        <v>5.07</v>
      </c>
      <c r="G12" s="60">
        <v>8</v>
      </c>
      <c r="J12" s="355"/>
      <c r="K12" s="62" t="s">
        <v>326</v>
      </c>
      <c r="L12" s="60">
        <f t="shared" si="0"/>
        <v>5</v>
      </c>
      <c r="M12" s="60">
        <f t="shared" si="1"/>
        <v>16</v>
      </c>
      <c r="N12" s="60">
        <f t="shared" si="2"/>
        <v>5.07</v>
      </c>
      <c r="O12" s="60">
        <f t="shared" si="3"/>
        <v>8</v>
      </c>
      <c r="Q12" s="354"/>
      <c r="R12" s="354"/>
      <c r="S12" s="354"/>
    </row>
    <row r="13" spans="1:19" ht="14.25" customHeight="1" x14ac:dyDescent="0.3">
      <c r="A13" s="62" t="s">
        <v>327</v>
      </c>
      <c r="B13" s="59">
        <f>'Air (CEMS)'!$C$17</f>
        <v>45</v>
      </c>
      <c r="C13" s="60">
        <v>9</v>
      </c>
      <c r="D13" s="60">
        <v>668</v>
      </c>
      <c r="E13" s="59">
        <f>'Air (CEMS)'!$C$16</f>
        <v>15</v>
      </c>
      <c r="F13" s="60">
        <v>8.94</v>
      </c>
      <c r="G13" s="60">
        <v>36</v>
      </c>
      <c r="J13" s="355"/>
      <c r="K13" s="62" t="s">
        <v>327</v>
      </c>
      <c r="L13" s="60">
        <f t="shared" si="0"/>
        <v>9</v>
      </c>
      <c r="M13" s="60">
        <f t="shared" si="1"/>
        <v>668</v>
      </c>
      <c r="N13" s="60">
        <f t="shared" si="2"/>
        <v>8.94</v>
      </c>
      <c r="O13" s="60">
        <f t="shared" si="3"/>
        <v>36</v>
      </c>
      <c r="Q13" s="354" t="s">
        <v>328</v>
      </c>
      <c r="R13" s="354"/>
      <c r="S13" s="354"/>
    </row>
    <row r="14" spans="1:19" x14ac:dyDescent="0.3">
      <c r="A14" s="62" t="s">
        <v>329</v>
      </c>
      <c r="B14" s="59">
        <f>'Air (CEMS)'!$C$17</f>
        <v>45</v>
      </c>
      <c r="C14" s="60">
        <v>4</v>
      </c>
      <c r="D14" s="60">
        <v>48</v>
      </c>
      <c r="E14" s="59">
        <f>'Air (CEMS)'!$C$16</f>
        <v>15</v>
      </c>
      <c r="F14" s="60">
        <v>3.74</v>
      </c>
      <c r="G14" s="60">
        <v>11</v>
      </c>
      <c r="J14" s="355"/>
      <c r="K14" s="62" t="s">
        <v>329</v>
      </c>
      <c r="L14" s="60">
        <f t="shared" si="0"/>
        <v>4</v>
      </c>
      <c r="M14" s="60">
        <f t="shared" si="1"/>
        <v>48</v>
      </c>
      <c r="N14" s="60">
        <f t="shared" si="2"/>
        <v>3.74</v>
      </c>
      <c r="O14" s="60">
        <f t="shared" si="3"/>
        <v>11</v>
      </c>
      <c r="Q14" s="354"/>
      <c r="R14" s="354"/>
      <c r="S14" s="354"/>
    </row>
    <row r="15" spans="1:19" x14ac:dyDescent="0.3">
      <c r="A15" s="62" t="s">
        <v>330</v>
      </c>
      <c r="B15" s="59">
        <f>'Air (CEMS)'!$C$17</f>
        <v>45</v>
      </c>
      <c r="C15" s="60">
        <v>5</v>
      </c>
      <c r="D15" s="60">
        <v>51</v>
      </c>
      <c r="E15" s="59">
        <f>'Air (CEMS)'!$C$16</f>
        <v>15</v>
      </c>
      <c r="F15" s="60">
        <v>4.93</v>
      </c>
      <c r="G15" s="60">
        <v>18</v>
      </c>
      <c r="J15" s="355"/>
      <c r="K15" s="62" t="s">
        <v>330</v>
      </c>
      <c r="L15" s="60">
        <f t="shared" si="0"/>
        <v>5</v>
      </c>
      <c r="M15" s="60">
        <f t="shared" si="1"/>
        <v>51</v>
      </c>
      <c r="N15" s="60">
        <f t="shared" si="2"/>
        <v>4.93</v>
      </c>
      <c r="O15" s="60">
        <f t="shared" si="3"/>
        <v>18</v>
      </c>
      <c r="Q15" s="354"/>
      <c r="R15" s="354"/>
      <c r="S15" s="354"/>
    </row>
    <row r="16" spans="1:19" x14ac:dyDescent="0.3">
      <c r="A16" s="62" t="s">
        <v>331</v>
      </c>
      <c r="B16" s="59">
        <f>'Air (CEMS)'!$C$17</f>
        <v>45</v>
      </c>
      <c r="C16" s="60">
        <v>6</v>
      </c>
      <c r="D16" s="60">
        <v>143</v>
      </c>
      <c r="E16" s="59">
        <f>'Air (CEMS)'!$C$16</f>
        <v>15</v>
      </c>
      <c r="F16" s="60">
        <v>5.38</v>
      </c>
      <c r="G16" s="60">
        <v>10</v>
      </c>
      <c r="J16" s="355"/>
      <c r="K16" s="62" t="s">
        <v>331</v>
      </c>
      <c r="L16" s="60">
        <f t="shared" si="0"/>
        <v>6</v>
      </c>
      <c r="M16" s="60">
        <f t="shared" si="1"/>
        <v>143</v>
      </c>
      <c r="N16" s="60">
        <f t="shared" si="2"/>
        <v>5.38</v>
      </c>
      <c r="O16" s="60">
        <f t="shared" si="3"/>
        <v>10</v>
      </c>
      <c r="Q16" s="354"/>
      <c r="R16" s="354"/>
      <c r="S16" s="354"/>
    </row>
    <row r="17" spans="1:15" x14ac:dyDescent="0.3">
      <c r="A17" s="62" t="s">
        <v>332</v>
      </c>
      <c r="B17" s="59">
        <f>'Air (CEMS)'!$C$17</f>
        <v>45</v>
      </c>
      <c r="C17" s="60">
        <v>5</v>
      </c>
      <c r="D17" s="60">
        <v>63</v>
      </c>
      <c r="E17" s="59">
        <f>'Air (CEMS)'!$C$16</f>
        <v>15</v>
      </c>
      <c r="F17" s="60">
        <v>4.5199999999999996</v>
      </c>
      <c r="G17" s="60">
        <v>22</v>
      </c>
      <c r="J17" s="355"/>
      <c r="K17" s="62" t="s">
        <v>332</v>
      </c>
      <c r="L17" s="60">
        <f t="shared" si="0"/>
        <v>5</v>
      </c>
      <c r="M17" s="60">
        <f t="shared" si="1"/>
        <v>63</v>
      </c>
      <c r="N17" s="60">
        <f t="shared" si="2"/>
        <v>4.5199999999999996</v>
      </c>
      <c r="O17" s="60">
        <f t="shared" si="3"/>
        <v>22</v>
      </c>
    </row>
    <row r="18" spans="1:15" x14ac:dyDescent="0.3">
      <c r="A18" s="62" t="s">
        <v>333</v>
      </c>
      <c r="B18" s="59">
        <f>'Air (CEMS)'!$C$17</f>
        <v>45</v>
      </c>
      <c r="C18" s="60">
        <v>4</v>
      </c>
      <c r="D18" s="60">
        <v>38</v>
      </c>
      <c r="E18" s="59">
        <f>'Air (CEMS)'!$C$16</f>
        <v>15</v>
      </c>
      <c r="F18" s="60">
        <v>3.87</v>
      </c>
      <c r="G18" s="60">
        <v>11</v>
      </c>
      <c r="J18" s="355"/>
      <c r="K18" s="62" t="s">
        <v>333</v>
      </c>
      <c r="L18" s="60">
        <f t="shared" si="0"/>
        <v>4</v>
      </c>
      <c r="M18" s="60">
        <f t="shared" si="1"/>
        <v>38</v>
      </c>
      <c r="N18" s="60">
        <f t="shared" si="2"/>
        <v>3.87</v>
      </c>
      <c r="O18" s="60">
        <f t="shared" si="3"/>
        <v>11</v>
      </c>
    </row>
    <row r="19" spans="1:15" x14ac:dyDescent="0.3">
      <c r="J19" s="355"/>
      <c r="K19" s="58" t="s">
        <v>334</v>
      </c>
      <c r="L19" s="58">
        <f>AVERAGE(L7:L18)</f>
        <v>4.416666666666667</v>
      </c>
      <c r="M19" s="58">
        <f>MAX(M7:M18)</f>
        <v>668</v>
      </c>
      <c r="N19" s="58">
        <f>AVERAGE(N7:N18)</f>
        <v>4.3491666666666671</v>
      </c>
      <c r="O19" s="58">
        <f>MAX(O7:O18)</f>
        <v>36</v>
      </c>
    </row>
    <row r="21" spans="1:15" ht="28" x14ac:dyDescent="0.3">
      <c r="J21" s="57">
        <f>+A6</f>
        <v>2022</v>
      </c>
      <c r="K21" s="57" t="s">
        <v>316</v>
      </c>
      <c r="L21" s="63" t="s">
        <v>311</v>
      </c>
      <c r="M21" s="63" t="s">
        <v>317</v>
      </c>
      <c r="N21" s="63" t="s">
        <v>314</v>
      </c>
      <c r="O21" s="63" t="s">
        <v>318</v>
      </c>
    </row>
    <row r="22" spans="1:15" x14ac:dyDescent="0.3">
      <c r="J22" s="355" t="s">
        <v>171</v>
      </c>
      <c r="K22" s="62" t="s">
        <v>319</v>
      </c>
      <c r="L22" s="60"/>
      <c r="M22" s="60"/>
      <c r="N22" s="60"/>
      <c r="O22" s="60"/>
    </row>
    <row r="23" spans="1:15" x14ac:dyDescent="0.3">
      <c r="J23" s="355"/>
      <c r="K23" s="62" t="s">
        <v>320</v>
      </c>
      <c r="L23" s="60"/>
      <c r="M23" s="60"/>
      <c r="N23" s="60"/>
      <c r="O23" s="60"/>
    </row>
    <row r="24" spans="1:15" x14ac:dyDescent="0.3">
      <c r="J24" s="355"/>
      <c r="K24" s="62" t="s">
        <v>321</v>
      </c>
      <c r="L24" s="60"/>
      <c r="M24" s="60"/>
      <c r="N24" s="60"/>
      <c r="O24" s="60"/>
    </row>
    <row r="25" spans="1:15" x14ac:dyDescent="0.3">
      <c r="J25" s="355"/>
      <c r="K25" s="62" t="s">
        <v>323</v>
      </c>
      <c r="L25" s="60"/>
      <c r="M25" s="60"/>
      <c r="N25" s="60"/>
      <c r="O25" s="60"/>
    </row>
    <row r="26" spans="1:15" x14ac:dyDescent="0.3">
      <c r="J26" s="355"/>
      <c r="K26" s="62" t="s">
        <v>325</v>
      </c>
      <c r="L26" s="60"/>
      <c r="M26" s="60"/>
      <c r="N26" s="60"/>
      <c r="O26" s="60"/>
    </row>
    <row r="27" spans="1:15" x14ac:dyDescent="0.3">
      <c r="J27" s="355"/>
      <c r="K27" s="62" t="s">
        <v>326</v>
      </c>
      <c r="L27" s="60"/>
      <c r="M27" s="60"/>
      <c r="N27" s="60"/>
      <c r="O27" s="60"/>
    </row>
    <row r="28" spans="1:15" x14ac:dyDescent="0.3">
      <c r="J28" s="355"/>
      <c r="K28" s="62" t="s">
        <v>327</v>
      </c>
      <c r="L28" s="60"/>
      <c r="M28" s="60"/>
      <c r="N28" s="60"/>
      <c r="O28" s="60"/>
    </row>
    <row r="29" spans="1:15" x14ac:dyDescent="0.3">
      <c r="J29" s="355"/>
      <c r="K29" s="62" t="s">
        <v>329</v>
      </c>
      <c r="L29" s="60"/>
      <c r="M29" s="60"/>
      <c r="N29" s="60"/>
      <c r="O29" s="60"/>
    </row>
    <row r="30" spans="1:15" x14ac:dyDescent="0.3">
      <c r="J30" s="355"/>
      <c r="K30" s="62" t="s">
        <v>330</v>
      </c>
      <c r="L30" s="60"/>
      <c r="M30" s="60"/>
      <c r="N30" s="60"/>
      <c r="O30" s="60"/>
    </row>
    <row r="31" spans="1:15" x14ac:dyDescent="0.3">
      <c r="J31" s="355"/>
      <c r="K31" s="62" t="s">
        <v>331</v>
      </c>
      <c r="L31" s="60"/>
      <c r="M31" s="60"/>
      <c r="N31" s="60"/>
      <c r="O31" s="60"/>
    </row>
    <row r="32" spans="1:15" x14ac:dyDescent="0.3">
      <c r="J32" s="355"/>
      <c r="K32" s="62" t="s">
        <v>332</v>
      </c>
      <c r="L32" s="60"/>
      <c r="M32" s="60"/>
      <c r="N32" s="60"/>
      <c r="O32" s="60"/>
    </row>
    <row r="33" spans="1:15" x14ac:dyDescent="0.3">
      <c r="J33" s="355"/>
      <c r="K33" s="62" t="s">
        <v>333</v>
      </c>
      <c r="L33" s="60"/>
      <c r="M33" s="60"/>
      <c r="N33" s="60"/>
      <c r="O33" s="60"/>
    </row>
    <row r="34" spans="1:15" x14ac:dyDescent="0.3">
      <c r="J34" s="355"/>
      <c r="K34" s="58" t="s">
        <v>334</v>
      </c>
      <c r="L34" s="58" t="e">
        <f>AVERAGE(L22:L33)</f>
        <v>#DIV/0!</v>
      </c>
      <c r="M34" s="58">
        <f>MAX(M22:M33)</f>
        <v>0</v>
      </c>
      <c r="N34" s="58" t="e">
        <f>AVERAGE(N22:N33)</f>
        <v>#DIV/0!</v>
      </c>
      <c r="O34" s="58">
        <f>MAX(O22:O33)</f>
        <v>0</v>
      </c>
    </row>
    <row r="36" spans="1:15" ht="28" x14ac:dyDescent="0.3">
      <c r="J36" s="57">
        <f>+A6</f>
        <v>2022</v>
      </c>
      <c r="K36" s="57" t="s">
        <v>316</v>
      </c>
      <c r="L36" s="63" t="s">
        <v>311</v>
      </c>
      <c r="M36" s="63" t="s">
        <v>317</v>
      </c>
      <c r="N36" s="63" t="s">
        <v>314</v>
      </c>
      <c r="O36" s="63" t="s">
        <v>318</v>
      </c>
    </row>
    <row r="37" spans="1:15" x14ac:dyDescent="0.3">
      <c r="J37" s="355" t="s">
        <v>172</v>
      </c>
      <c r="K37" s="62" t="s">
        <v>319</v>
      </c>
      <c r="L37" s="60"/>
      <c r="M37" s="60"/>
      <c r="N37" s="60"/>
      <c r="O37" s="60"/>
    </row>
    <row r="38" spans="1:15" x14ac:dyDescent="0.3">
      <c r="J38" s="355"/>
      <c r="K38" s="62" t="s">
        <v>320</v>
      </c>
      <c r="L38" s="60"/>
      <c r="M38" s="60"/>
      <c r="N38" s="60"/>
      <c r="O38" s="60"/>
    </row>
    <row r="39" spans="1:15" x14ac:dyDescent="0.3">
      <c r="J39" s="355"/>
      <c r="K39" s="62" t="s">
        <v>321</v>
      </c>
      <c r="L39" s="60"/>
      <c r="M39" s="60"/>
      <c r="N39" s="60"/>
      <c r="O39" s="60"/>
    </row>
    <row r="40" spans="1:15" x14ac:dyDescent="0.3">
      <c r="J40" s="355"/>
      <c r="K40" s="62" t="s">
        <v>323</v>
      </c>
      <c r="L40" s="60"/>
      <c r="M40" s="60"/>
      <c r="N40" s="60"/>
      <c r="O40" s="60"/>
    </row>
    <row r="41" spans="1:15" x14ac:dyDescent="0.3">
      <c r="J41" s="355"/>
      <c r="K41" s="62" t="s">
        <v>325</v>
      </c>
      <c r="L41" s="60"/>
      <c r="M41" s="60"/>
      <c r="N41" s="60"/>
      <c r="O41" s="60"/>
    </row>
    <row r="42" spans="1:15" x14ac:dyDescent="0.3">
      <c r="J42" s="355"/>
      <c r="K42" s="62" t="s">
        <v>326</v>
      </c>
      <c r="L42" s="60"/>
      <c r="M42" s="60"/>
      <c r="N42" s="60"/>
      <c r="O42" s="60"/>
    </row>
    <row r="43" spans="1:15" x14ac:dyDescent="0.3">
      <c r="J43" s="355"/>
      <c r="K43" s="62" t="s">
        <v>327</v>
      </c>
      <c r="L43" s="60"/>
      <c r="M43" s="60"/>
      <c r="N43" s="60"/>
      <c r="O43" s="60"/>
    </row>
    <row r="44" spans="1:15" x14ac:dyDescent="0.3">
      <c r="J44" s="355"/>
      <c r="K44" s="62" t="s">
        <v>329</v>
      </c>
      <c r="L44" s="60"/>
      <c r="M44" s="60"/>
      <c r="N44" s="60"/>
      <c r="O44" s="60"/>
    </row>
    <row r="45" spans="1:15" x14ac:dyDescent="0.3">
      <c r="J45" s="355"/>
      <c r="K45" s="62" t="s">
        <v>330</v>
      </c>
      <c r="L45" s="60"/>
      <c r="M45" s="60"/>
      <c r="N45" s="60"/>
      <c r="O45" s="60"/>
    </row>
    <row r="46" spans="1:15" x14ac:dyDescent="0.3">
      <c r="J46" s="355"/>
      <c r="K46" s="62" t="s">
        <v>331</v>
      </c>
      <c r="L46" s="60"/>
      <c r="M46" s="60"/>
      <c r="N46" s="60"/>
      <c r="O46" s="60"/>
    </row>
    <row r="47" spans="1:15" x14ac:dyDescent="0.3">
      <c r="J47" s="355"/>
      <c r="K47" s="62" t="s">
        <v>332</v>
      </c>
      <c r="L47" s="60"/>
      <c r="M47" s="60"/>
      <c r="N47" s="60"/>
      <c r="O47" s="60"/>
    </row>
    <row r="48" spans="1:15" x14ac:dyDescent="0.3">
      <c r="A48" s="367" t="s">
        <v>242</v>
      </c>
      <c r="B48" s="368"/>
      <c r="C48" s="368"/>
      <c r="D48" s="368"/>
      <c r="E48" s="368"/>
      <c r="F48" s="368"/>
      <c r="G48" s="369"/>
      <c r="J48" s="355"/>
      <c r="K48" s="62" t="s">
        <v>333</v>
      </c>
      <c r="L48" s="60"/>
      <c r="M48" s="60"/>
      <c r="N48" s="60"/>
      <c r="O48" s="60"/>
    </row>
    <row r="49" spans="1:15" x14ac:dyDescent="0.3">
      <c r="A49" s="358" t="s">
        <v>454</v>
      </c>
      <c r="B49" s="359"/>
      <c r="C49" s="359"/>
      <c r="D49" s="359"/>
      <c r="E49" s="359"/>
      <c r="F49" s="359"/>
      <c r="G49" s="360"/>
      <c r="J49" s="355"/>
      <c r="K49" s="58" t="s">
        <v>334</v>
      </c>
      <c r="L49" s="58" t="e">
        <f>AVERAGE(L37:L48)</f>
        <v>#DIV/0!</v>
      </c>
      <c r="M49" s="58">
        <f>MAX(M37:M48)</f>
        <v>0</v>
      </c>
      <c r="N49" s="58" t="e">
        <f>AVERAGE(N37:N48)</f>
        <v>#DIV/0!</v>
      </c>
      <c r="O49" s="58">
        <f>MAX(O37:O48)</f>
        <v>0</v>
      </c>
    </row>
    <row r="50" spans="1:15" x14ac:dyDescent="0.3">
      <c r="A50" s="361"/>
      <c r="B50" s="362"/>
      <c r="C50" s="362"/>
      <c r="D50" s="362"/>
      <c r="E50" s="362"/>
      <c r="F50" s="362"/>
      <c r="G50" s="363"/>
    </row>
    <row r="51" spans="1:15" ht="28" x14ac:dyDescent="0.3">
      <c r="A51" s="361"/>
      <c r="B51" s="362"/>
      <c r="C51" s="362"/>
      <c r="D51" s="362"/>
      <c r="E51" s="362"/>
      <c r="F51" s="362"/>
      <c r="G51" s="363"/>
      <c r="J51" s="57">
        <f>+A6</f>
        <v>2022</v>
      </c>
      <c r="K51" s="57" t="s">
        <v>316</v>
      </c>
      <c r="L51" s="63" t="s">
        <v>311</v>
      </c>
      <c r="M51" s="63" t="s">
        <v>317</v>
      </c>
      <c r="N51" s="63" t="s">
        <v>314</v>
      </c>
      <c r="O51" s="63" t="s">
        <v>318</v>
      </c>
    </row>
    <row r="52" spans="1:15" x14ac:dyDescent="0.3">
      <c r="A52" s="364"/>
      <c r="B52" s="365"/>
      <c r="C52" s="365"/>
      <c r="D52" s="365"/>
      <c r="E52" s="365"/>
      <c r="F52" s="365"/>
      <c r="G52" s="366"/>
      <c r="J52" s="355" t="s">
        <v>173</v>
      </c>
      <c r="K52" s="62" t="s">
        <v>319</v>
      </c>
      <c r="L52" s="60"/>
      <c r="M52" s="60"/>
      <c r="N52" s="60"/>
      <c r="O52" s="60"/>
    </row>
    <row r="53" spans="1:15" x14ac:dyDescent="0.3">
      <c r="J53" s="355"/>
      <c r="K53" s="62" t="s">
        <v>320</v>
      </c>
      <c r="L53" s="60"/>
      <c r="M53" s="60"/>
      <c r="N53" s="60"/>
      <c r="O53" s="60"/>
    </row>
    <row r="54" spans="1:15" x14ac:dyDescent="0.3">
      <c r="J54" s="355"/>
      <c r="K54" s="62" t="s">
        <v>321</v>
      </c>
      <c r="L54" s="60"/>
      <c r="M54" s="60"/>
      <c r="N54" s="60"/>
      <c r="O54" s="60"/>
    </row>
    <row r="55" spans="1:15" x14ac:dyDescent="0.3">
      <c r="J55" s="355"/>
      <c r="K55" s="62" t="s">
        <v>323</v>
      </c>
      <c r="L55" s="60"/>
      <c r="M55" s="60"/>
      <c r="N55" s="60"/>
      <c r="O55" s="60"/>
    </row>
    <row r="56" spans="1:15" x14ac:dyDescent="0.3">
      <c r="J56" s="355"/>
      <c r="K56" s="62" t="s">
        <v>325</v>
      </c>
      <c r="L56" s="60"/>
      <c r="M56" s="60"/>
      <c r="N56" s="60"/>
      <c r="O56" s="60"/>
    </row>
    <row r="57" spans="1:15" x14ac:dyDescent="0.3">
      <c r="J57" s="355"/>
      <c r="K57" s="62" t="s">
        <v>326</v>
      </c>
      <c r="L57" s="60"/>
      <c r="M57" s="60"/>
      <c r="N57" s="60"/>
      <c r="O57" s="60"/>
    </row>
    <row r="58" spans="1:15" x14ac:dyDescent="0.3">
      <c r="J58" s="355"/>
      <c r="K58" s="62" t="s">
        <v>327</v>
      </c>
      <c r="L58" s="60"/>
      <c r="M58" s="60"/>
      <c r="N58" s="60"/>
      <c r="O58" s="60"/>
    </row>
    <row r="59" spans="1:15" x14ac:dyDescent="0.3">
      <c r="J59" s="355"/>
      <c r="K59" s="62" t="s">
        <v>329</v>
      </c>
      <c r="L59" s="60"/>
      <c r="M59" s="60"/>
      <c r="N59" s="60"/>
      <c r="O59" s="60"/>
    </row>
    <row r="60" spans="1:15" x14ac:dyDescent="0.3">
      <c r="J60" s="355"/>
      <c r="K60" s="62" t="s">
        <v>330</v>
      </c>
      <c r="L60" s="60"/>
      <c r="M60" s="60"/>
      <c r="N60" s="60"/>
      <c r="O60" s="60"/>
    </row>
    <row r="61" spans="1:15" x14ac:dyDescent="0.3">
      <c r="J61" s="355"/>
      <c r="K61" s="62" t="s">
        <v>331</v>
      </c>
      <c r="L61" s="60"/>
      <c r="M61" s="60"/>
      <c r="N61" s="60"/>
      <c r="O61" s="60"/>
    </row>
    <row r="62" spans="1:15" x14ac:dyDescent="0.3">
      <c r="J62" s="355"/>
      <c r="K62" s="62" t="s">
        <v>332</v>
      </c>
      <c r="L62" s="60"/>
      <c r="M62" s="60"/>
      <c r="N62" s="60"/>
      <c r="O62" s="60"/>
    </row>
    <row r="63" spans="1:15" x14ac:dyDescent="0.3">
      <c r="J63" s="355"/>
      <c r="K63" s="62" t="s">
        <v>333</v>
      </c>
      <c r="L63" s="60"/>
      <c r="M63" s="60"/>
      <c r="N63" s="60"/>
      <c r="O63" s="60"/>
    </row>
    <row r="64" spans="1:15" x14ac:dyDescent="0.3">
      <c r="J64" s="355"/>
      <c r="K64" s="58" t="s">
        <v>334</v>
      </c>
      <c r="L64" s="58" t="e">
        <f>AVERAGE(L52:L63)</f>
        <v>#DIV/0!</v>
      </c>
      <c r="M64" s="58">
        <f>MAX(M52:M63)</f>
        <v>0</v>
      </c>
      <c r="N64" s="58" t="e">
        <f>AVERAGE(N52:N63)</f>
        <v>#DIV/0!</v>
      </c>
      <c r="O64" s="58">
        <f>MAX(O52:O63)</f>
        <v>0</v>
      </c>
    </row>
    <row r="66" spans="10:15" ht="28" x14ac:dyDescent="0.3">
      <c r="J66" s="57">
        <f>+A6</f>
        <v>2022</v>
      </c>
      <c r="K66" s="57" t="s">
        <v>316</v>
      </c>
      <c r="L66" s="63" t="s">
        <v>311</v>
      </c>
      <c r="M66" s="63" t="s">
        <v>317</v>
      </c>
      <c r="N66" s="63" t="s">
        <v>314</v>
      </c>
      <c r="O66" s="63" t="s">
        <v>318</v>
      </c>
    </row>
    <row r="67" spans="10:15" x14ac:dyDescent="0.3">
      <c r="J67" s="355" t="s">
        <v>174</v>
      </c>
      <c r="K67" s="62" t="s">
        <v>319</v>
      </c>
      <c r="L67" s="60"/>
      <c r="M67" s="60"/>
      <c r="N67" s="60"/>
      <c r="O67" s="60"/>
    </row>
    <row r="68" spans="10:15" x14ac:dyDescent="0.3">
      <c r="J68" s="355"/>
      <c r="K68" s="62" t="s">
        <v>320</v>
      </c>
      <c r="L68" s="60"/>
      <c r="M68" s="60"/>
      <c r="N68" s="60"/>
      <c r="O68" s="60"/>
    </row>
    <row r="69" spans="10:15" x14ac:dyDescent="0.3">
      <c r="J69" s="355"/>
      <c r="K69" s="62" t="s">
        <v>321</v>
      </c>
      <c r="L69" s="60"/>
      <c r="M69" s="60"/>
      <c r="N69" s="60"/>
      <c r="O69" s="60"/>
    </row>
    <row r="70" spans="10:15" x14ac:dyDescent="0.3">
      <c r="J70" s="355"/>
      <c r="K70" s="62" t="s">
        <v>323</v>
      </c>
      <c r="L70" s="60"/>
      <c r="M70" s="60"/>
      <c r="N70" s="60"/>
      <c r="O70" s="60"/>
    </row>
    <row r="71" spans="10:15" x14ac:dyDescent="0.3">
      <c r="J71" s="355"/>
      <c r="K71" s="62" t="s">
        <v>325</v>
      </c>
      <c r="L71" s="60"/>
      <c r="M71" s="60"/>
      <c r="N71" s="60"/>
      <c r="O71" s="60"/>
    </row>
    <row r="72" spans="10:15" x14ac:dyDescent="0.3">
      <c r="J72" s="355"/>
      <c r="K72" s="62" t="s">
        <v>326</v>
      </c>
      <c r="L72" s="60"/>
      <c r="M72" s="60"/>
      <c r="N72" s="60"/>
      <c r="O72" s="60"/>
    </row>
    <row r="73" spans="10:15" x14ac:dyDescent="0.3">
      <c r="J73" s="355"/>
      <c r="K73" s="62" t="s">
        <v>327</v>
      </c>
      <c r="L73" s="60"/>
      <c r="M73" s="60"/>
      <c r="N73" s="60"/>
      <c r="O73" s="60"/>
    </row>
    <row r="74" spans="10:15" x14ac:dyDescent="0.3">
      <c r="J74" s="355"/>
      <c r="K74" s="62" t="s">
        <v>329</v>
      </c>
      <c r="L74" s="60"/>
      <c r="M74" s="60"/>
      <c r="N74" s="60"/>
      <c r="O74" s="60"/>
    </row>
    <row r="75" spans="10:15" x14ac:dyDescent="0.3">
      <c r="J75" s="355"/>
      <c r="K75" s="62" t="s">
        <v>330</v>
      </c>
      <c r="L75" s="60"/>
      <c r="M75" s="60"/>
      <c r="N75" s="60"/>
      <c r="O75" s="60"/>
    </row>
    <row r="76" spans="10:15" x14ac:dyDescent="0.3">
      <c r="J76" s="355"/>
      <c r="K76" s="62" t="s">
        <v>331</v>
      </c>
      <c r="L76" s="60"/>
      <c r="M76" s="60"/>
      <c r="N76" s="60"/>
      <c r="O76" s="60"/>
    </row>
    <row r="77" spans="10:15" x14ac:dyDescent="0.3">
      <c r="J77" s="355"/>
      <c r="K77" s="62" t="s">
        <v>332</v>
      </c>
      <c r="L77" s="60"/>
      <c r="M77" s="60"/>
      <c r="N77" s="60"/>
      <c r="O77" s="60"/>
    </row>
    <row r="78" spans="10:15" x14ac:dyDescent="0.3">
      <c r="J78" s="355"/>
      <c r="K78" s="62" t="s">
        <v>333</v>
      </c>
      <c r="L78" s="60"/>
      <c r="M78" s="60"/>
      <c r="N78" s="60"/>
      <c r="O78" s="60"/>
    </row>
    <row r="79" spans="10:15" x14ac:dyDescent="0.3">
      <c r="J79" s="355"/>
      <c r="K79" s="58" t="s">
        <v>334</v>
      </c>
      <c r="L79" s="58" t="e">
        <f>AVERAGE(L67:L78)</f>
        <v>#DIV/0!</v>
      </c>
      <c r="M79" s="58">
        <f>MAX(M67:M78)</f>
        <v>0</v>
      </c>
      <c r="N79" s="58" t="e">
        <f>AVERAGE(N67:N78)</f>
        <v>#DIV/0!</v>
      </c>
      <c r="O79" s="5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showGridLines="0" zoomScaleNormal="100" workbookViewId="0">
      <selection activeCell="F14" sqref="F14"/>
    </sheetView>
  </sheetViews>
  <sheetFormatPr defaultRowHeight="14" x14ac:dyDescent="0.3"/>
  <cols>
    <col min="1" max="1" width="14" style="3" customWidth="1"/>
    <col min="2" max="4" width="17" style="33" customWidth="1"/>
    <col min="5" max="5" width="14.81640625" style="33" customWidth="1"/>
    <col min="6" max="7" width="17" style="33" customWidth="1"/>
    <col min="8" max="11" width="9.1796875" style="3"/>
    <col min="12" max="12" width="15.453125" style="3" customWidth="1"/>
    <col min="13" max="13" width="17.453125" style="3" bestFit="1" customWidth="1"/>
    <col min="14" max="14" width="13.81640625" style="3" customWidth="1"/>
    <col min="15" max="15" width="15" style="3" customWidth="1"/>
    <col min="16" max="18" width="9.1796875" style="3"/>
    <col min="19" max="19" width="21.54296875" style="3" customWidth="1"/>
    <col min="20" max="256" width="9.1796875" style="3"/>
    <col min="257" max="257" width="14" style="3" customWidth="1"/>
    <col min="258" max="263" width="10.1796875" style="3" customWidth="1"/>
    <col min="264" max="512" width="9.1796875" style="3"/>
    <col min="513" max="513" width="14" style="3" customWidth="1"/>
    <col min="514" max="519" width="10.1796875" style="3" customWidth="1"/>
    <col min="520" max="768" width="9.1796875" style="3"/>
    <col min="769" max="769" width="14" style="3" customWidth="1"/>
    <col min="770" max="775" width="10.1796875" style="3" customWidth="1"/>
    <col min="776" max="1024" width="9.1796875" style="3"/>
    <col min="1025" max="1025" width="14" style="3" customWidth="1"/>
    <col min="1026" max="1031" width="10.1796875" style="3" customWidth="1"/>
    <col min="1032" max="1280" width="9.1796875" style="3"/>
    <col min="1281" max="1281" width="14" style="3" customWidth="1"/>
    <col min="1282" max="1287" width="10.1796875" style="3" customWidth="1"/>
    <col min="1288" max="1536" width="9.1796875" style="3"/>
    <col min="1537" max="1537" width="14" style="3" customWidth="1"/>
    <col min="1538" max="1543" width="10.1796875" style="3" customWidth="1"/>
    <col min="1544" max="1792" width="9.1796875" style="3"/>
    <col min="1793" max="1793" width="14" style="3" customWidth="1"/>
    <col min="1794" max="1799" width="10.1796875" style="3" customWidth="1"/>
    <col min="1800" max="2048" width="9.1796875" style="3"/>
    <col min="2049" max="2049" width="14" style="3" customWidth="1"/>
    <col min="2050" max="2055" width="10.1796875" style="3" customWidth="1"/>
    <col min="2056" max="2304" width="9.1796875" style="3"/>
    <col min="2305" max="2305" width="14" style="3" customWidth="1"/>
    <col min="2306" max="2311" width="10.1796875" style="3" customWidth="1"/>
    <col min="2312" max="2560" width="9.1796875" style="3"/>
    <col min="2561" max="2561" width="14" style="3" customWidth="1"/>
    <col min="2562" max="2567" width="10.1796875" style="3" customWidth="1"/>
    <col min="2568" max="2816" width="9.1796875" style="3"/>
    <col min="2817" max="2817" width="14" style="3" customWidth="1"/>
    <col min="2818" max="2823" width="10.1796875" style="3" customWidth="1"/>
    <col min="2824" max="3072" width="9.1796875" style="3"/>
    <col min="3073" max="3073" width="14" style="3" customWidth="1"/>
    <col min="3074" max="3079" width="10.1796875" style="3" customWidth="1"/>
    <col min="3080" max="3328" width="9.1796875" style="3"/>
    <col min="3329" max="3329" width="14" style="3" customWidth="1"/>
    <col min="3330" max="3335" width="10.1796875" style="3" customWidth="1"/>
    <col min="3336" max="3584" width="9.1796875" style="3"/>
    <col min="3585" max="3585" width="14" style="3" customWidth="1"/>
    <col min="3586" max="3591" width="10.1796875" style="3" customWidth="1"/>
    <col min="3592" max="3840" width="9.1796875" style="3"/>
    <col min="3841" max="3841" width="14" style="3" customWidth="1"/>
    <col min="3842" max="3847" width="10.1796875" style="3" customWidth="1"/>
    <col min="3848" max="4096" width="9.1796875" style="3"/>
    <col min="4097" max="4097" width="14" style="3" customWidth="1"/>
    <col min="4098" max="4103" width="10.1796875" style="3" customWidth="1"/>
    <col min="4104" max="4352" width="9.1796875" style="3"/>
    <col min="4353" max="4353" width="14" style="3" customWidth="1"/>
    <col min="4354" max="4359" width="10.1796875" style="3" customWidth="1"/>
    <col min="4360" max="4608" width="9.1796875" style="3"/>
    <col min="4609" max="4609" width="14" style="3" customWidth="1"/>
    <col min="4610" max="4615" width="10.1796875" style="3" customWidth="1"/>
    <col min="4616" max="4864" width="9.1796875" style="3"/>
    <col min="4865" max="4865" width="14" style="3" customWidth="1"/>
    <col min="4866" max="4871" width="10.1796875" style="3" customWidth="1"/>
    <col min="4872" max="5120" width="9.1796875" style="3"/>
    <col min="5121" max="5121" width="14" style="3" customWidth="1"/>
    <col min="5122" max="5127" width="10.1796875" style="3" customWidth="1"/>
    <col min="5128" max="5376" width="9.1796875" style="3"/>
    <col min="5377" max="5377" width="14" style="3" customWidth="1"/>
    <col min="5378" max="5383" width="10.1796875" style="3" customWidth="1"/>
    <col min="5384" max="5632" width="9.1796875" style="3"/>
    <col min="5633" max="5633" width="14" style="3" customWidth="1"/>
    <col min="5634" max="5639" width="10.1796875" style="3" customWidth="1"/>
    <col min="5640" max="5888" width="9.1796875" style="3"/>
    <col min="5889" max="5889" width="14" style="3" customWidth="1"/>
    <col min="5890" max="5895" width="10.1796875" style="3" customWidth="1"/>
    <col min="5896" max="6144" width="9.1796875" style="3"/>
    <col min="6145" max="6145" width="14" style="3" customWidth="1"/>
    <col min="6146" max="6151" width="10.1796875" style="3" customWidth="1"/>
    <col min="6152" max="6400" width="9.1796875" style="3"/>
    <col min="6401" max="6401" width="14" style="3" customWidth="1"/>
    <col min="6402" max="6407" width="10.1796875" style="3" customWidth="1"/>
    <col min="6408" max="6656" width="9.1796875" style="3"/>
    <col min="6657" max="6657" width="14" style="3" customWidth="1"/>
    <col min="6658" max="6663" width="10.1796875" style="3" customWidth="1"/>
    <col min="6664" max="6912" width="9.1796875" style="3"/>
    <col min="6913" max="6913" width="14" style="3" customWidth="1"/>
    <col min="6914" max="6919" width="10.1796875" style="3" customWidth="1"/>
    <col min="6920" max="7168" width="9.1796875" style="3"/>
    <col min="7169" max="7169" width="14" style="3" customWidth="1"/>
    <col min="7170" max="7175" width="10.1796875" style="3" customWidth="1"/>
    <col min="7176" max="7424" width="9.1796875" style="3"/>
    <col min="7425" max="7425" width="14" style="3" customWidth="1"/>
    <col min="7426" max="7431" width="10.1796875" style="3" customWidth="1"/>
    <col min="7432" max="7680" width="9.1796875" style="3"/>
    <col min="7681" max="7681" width="14" style="3" customWidth="1"/>
    <col min="7682" max="7687" width="10.1796875" style="3" customWidth="1"/>
    <col min="7688" max="7936" width="9.1796875" style="3"/>
    <col min="7937" max="7937" width="14" style="3" customWidth="1"/>
    <col min="7938" max="7943" width="10.1796875" style="3" customWidth="1"/>
    <col min="7944" max="8192" width="9.1796875" style="3"/>
    <col min="8193" max="8193" width="14" style="3" customWidth="1"/>
    <col min="8194" max="8199" width="10.1796875" style="3" customWidth="1"/>
    <col min="8200" max="8448" width="9.1796875" style="3"/>
    <col min="8449" max="8449" width="14" style="3" customWidth="1"/>
    <col min="8450" max="8455" width="10.1796875" style="3" customWidth="1"/>
    <col min="8456" max="8704" width="9.1796875" style="3"/>
    <col min="8705" max="8705" width="14" style="3" customWidth="1"/>
    <col min="8706" max="8711" width="10.1796875" style="3" customWidth="1"/>
    <col min="8712" max="8960" width="9.1796875" style="3"/>
    <col min="8961" max="8961" width="14" style="3" customWidth="1"/>
    <col min="8962" max="8967" width="10.1796875" style="3" customWidth="1"/>
    <col min="8968" max="9216" width="9.1796875" style="3"/>
    <col min="9217" max="9217" width="14" style="3" customWidth="1"/>
    <col min="9218" max="9223" width="10.1796875" style="3" customWidth="1"/>
    <col min="9224" max="9472" width="9.1796875" style="3"/>
    <col min="9473" max="9473" width="14" style="3" customWidth="1"/>
    <col min="9474" max="9479" width="10.1796875" style="3" customWidth="1"/>
    <col min="9480" max="9728" width="9.1796875" style="3"/>
    <col min="9729" max="9729" width="14" style="3" customWidth="1"/>
    <col min="9730" max="9735" width="10.1796875" style="3" customWidth="1"/>
    <col min="9736" max="9984" width="9.1796875" style="3"/>
    <col min="9985" max="9985" width="14" style="3" customWidth="1"/>
    <col min="9986" max="9991" width="10.1796875" style="3" customWidth="1"/>
    <col min="9992" max="10240" width="9.1796875" style="3"/>
    <col min="10241" max="10241" width="14" style="3" customWidth="1"/>
    <col min="10242" max="10247" width="10.1796875" style="3" customWidth="1"/>
    <col min="10248" max="10496" width="9.1796875" style="3"/>
    <col min="10497" max="10497" width="14" style="3" customWidth="1"/>
    <col min="10498" max="10503" width="10.1796875" style="3" customWidth="1"/>
    <col min="10504" max="10752" width="9.1796875" style="3"/>
    <col min="10753" max="10753" width="14" style="3" customWidth="1"/>
    <col min="10754" max="10759" width="10.1796875" style="3" customWidth="1"/>
    <col min="10760" max="11008" width="9.1796875" style="3"/>
    <col min="11009" max="11009" width="14" style="3" customWidth="1"/>
    <col min="11010" max="11015" width="10.1796875" style="3" customWidth="1"/>
    <col min="11016" max="11264" width="9.1796875" style="3"/>
    <col min="11265" max="11265" width="14" style="3" customWidth="1"/>
    <col min="11266" max="11271" width="10.1796875" style="3" customWidth="1"/>
    <col min="11272" max="11520" width="9.1796875" style="3"/>
    <col min="11521" max="11521" width="14" style="3" customWidth="1"/>
    <col min="11522" max="11527" width="10.1796875" style="3" customWidth="1"/>
    <col min="11528" max="11776" width="9.1796875" style="3"/>
    <col min="11777" max="11777" width="14" style="3" customWidth="1"/>
    <col min="11778" max="11783" width="10.1796875" style="3" customWidth="1"/>
    <col min="11784" max="12032" width="9.1796875" style="3"/>
    <col min="12033" max="12033" width="14" style="3" customWidth="1"/>
    <col min="12034" max="12039" width="10.1796875" style="3" customWidth="1"/>
    <col min="12040" max="12288" width="9.1796875" style="3"/>
    <col min="12289" max="12289" width="14" style="3" customWidth="1"/>
    <col min="12290" max="12295" width="10.1796875" style="3" customWidth="1"/>
    <col min="12296" max="12544" width="9.1796875" style="3"/>
    <col min="12545" max="12545" width="14" style="3" customWidth="1"/>
    <col min="12546" max="12551" width="10.1796875" style="3" customWidth="1"/>
    <col min="12552" max="12800" width="9.1796875" style="3"/>
    <col min="12801" max="12801" width="14" style="3" customWidth="1"/>
    <col min="12802" max="12807" width="10.1796875" style="3" customWidth="1"/>
    <col min="12808" max="13056" width="9.1796875" style="3"/>
    <col min="13057" max="13057" width="14" style="3" customWidth="1"/>
    <col min="13058" max="13063" width="10.1796875" style="3" customWidth="1"/>
    <col min="13064" max="13312" width="9.1796875" style="3"/>
    <col min="13313" max="13313" width="14" style="3" customWidth="1"/>
    <col min="13314" max="13319" width="10.1796875" style="3" customWidth="1"/>
    <col min="13320" max="13568" width="9.1796875" style="3"/>
    <col min="13569" max="13569" width="14" style="3" customWidth="1"/>
    <col min="13570" max="13575" width="10.1796875" style="3" customWidth="1"/>
    <col min="13576" max="13824" width="9.1796875" style="3"/>
    <col min="13825" max="13825" width="14" style="3" customWidth="1"/>
    <col min="13826" max="13831" width="10.1796875" style="3" customWidth="1"/>
    <col min="13832" max="14080" width="9.1796875" style="3"/>
    <col min="14081" max="14081" width="14" style="3" customWidth="1"/>
    <col min="14082" max="14087" width="10.1796875" style="3" customWidth="1"/>
    <col min="14088" max="14336" width="9.1796875" style="3"/>
    <col min="14337" max="14337" width="14" style="3" customWidth="1"/>
    <col min="14338" max="14343" width="10.1796875" style="3" customWidth="1"/>
    <col min="14344" max="14592" width="9.1796875" style="3"/>
    <col min="14593" max="14593" width="14" style="3" customWidth="1"/>
    <col min="14594" max="14599" width="10.1796875" style="3" customWidth="1"/>
    <col min="14600" max="14848" width="9.1796875" style="3"/>
    <col min="14849" max="14849" width="14" style="3" customWidth="1"/>
    <col min="14850" max="14855" width="10.1796875" style="3" customWidth="1"/>
    <col min="14856" max="15104" width="9.1796875" style="3"/>
    <col min="15105" max="15105" width="14" style="3" customWidth="1"/>
    <col min="15106" max="15111" width="10.1796875" style="3" customWidth="1"/>
    <col min="15112" max="15360" width="9.1796875" style="3"/>
    <col min="15361" max="15361" width="14" style="3" customWidth="1"/>
    <col min="15362" max="15367" width="10.1796875" style="3" customWidth="1"/>
    <col min="15368" max="15616" width="9.1796875" style="3"/>
    <col min="15617" max="15617" width="14" style="3" customWidth="1"/>
    <col min="15618" max="15623" width="10.1796875" style="3" customWidth="1"/>
    <col min="15624" max="15872" width="9.1796875" style="3"/>
    <col min="15873" max="15873" width="14" style="3" customWidth="1"/>
    <col min="15874" max="15879" width="10.1796875" style="3" customWidth="1"/>
    <col min="15880" max="16128" width="9.1796875" style="3"/>
    <col min="16129" max="16129" width="14" style="3" customWidth="1"/>
    <col min="16130" max="16135" width="10.1796875" style="3" customWidth="1"/>
    <col min="16136" max="16384" width="9.1796875" style="3"/>
  </cols>
  <sheetData>
    <row r="1" spans="1:19" ht="15.5" x14ac:dyDescent="0.35">
      <c r="A1" s="94" t="str">
        <f>+'Cover Page'!$B$29</f>
        <v>Annual Performance Report 2022</v>
      </c>
      <c r="B1" s="94"/>
      <c r="C1" s="94"/>
      <c r="D1" s="94"/>
      <c r="E1" s="94" t="str">
        <f>+'Cover Page'!$B$33</f>
        <v>Welland Biopower Ltd</v>
      </c>
    </row>
    <row r="3" spans="1:19" ht="14.5" x14ac:dyDescent="0.35">
      <c r="A3" s="56" t="s">
        <v>347</v>
      </c>
      <c r="D3" s="72" t="s">
        <v>303</v>
      </c>
      <c r="G3" s="76" t="s">
        <v>304</v>
      </c>
      <c r="J3" s="8" t="str">
        <f>+A3</f>
        <v>Monitoring of Carbon Monoxide (half hourly)</v>
      </c>
      <c r="L3" s="8"/>
      <c r="N3" s="8" t="s">
        <v>305</v>
      </c>
      <c r="Q3" s="75" t="s">
        <v>3</v>
      </c>
      <c r="R3" s="70"/>
      <c r="S3" s="70"/>
    </row>
    <row r="4" spans="1:19" ht="14" customHeight="1" x14ac:dyDescent="0.3">
      <c r="Q4" s="370" t="s">
        <v>306</v>
      </c>
      <c r="R4" s="370"/>
      <c r="S4" s="370"/>
    </row>
    <row r="5" spans="1:19" ht="16" x14ac:dyDescent="0.3">
      <c r="A5" s="64" t="s">
        <v>307</v>
      </c>
      <c r="B5" s="357" t="s">
        <v>308</v>
      </c>
      <c r="C5" s="357"/>
      <c r="D5" s="357"/>
      <c r="E5" s="357" t="s">
        <v>309</v>
      </c>
      <c r="F5" s="357"/>
      <c r="G5" s="357"/>
      <c r="J5" s="356"/>
      <c r="K5" s="356"/>
      <c r="L5" s="356"/>
      <c r="M5" s="356"/>
      <c r="N5" s="356"/>
      <c r="O5" s="356"/>
      <c r="Q5" s="370"/>
      <c r="R5" s="370"/>
      <c r="S5" s="370"/>
    </row>
    <row r="6" spans="1:19" s="54" customFormat="1" ht="37.5" customHeight="1" x14ac:dyDescent="0.35">
      <c r="A6" s="61">
        <f>+'Cover Page'!C39</f>
        <v>2022</v>
      </c>
      <c r="B6" s="51" t="s">
        <v>348</v>
      </c>
      <c r="C6" s="51" t="s">
        <v>311</v>
      </c>
      <c r="D6" s="51" t="s">
        <v>312</v>
      </c>
      <c r="E6" s="51" t="s">
        <v>349</v>
      </c>
      <c r="F6" s="51" t="s">
        <v>314</v>
      </c>
      <c r="G6" s="51" t="s">
        <v>315</v>
      </c>
      <c r="H6" s="55"/>
      <c r="J6" s="57">
        <f>+A6</f>
        <v>2022</v>
      </c>
      <c r="K6" s="57" t="s">
        <v>316</v>
      </c>
      <c r="L6" s="63" t="s">
        <v>311</v>
      </c>
      <c r="M6" s="63" t="s">
        <v>317</v>
      </c>
      <c r="N6" s="63" t="s">
        <v>314</v>
      </c>
      <c r="O6" s="63" t="s">
        <v>318</v>
      </c>
      <c r="Q6" s="370"/>
      <c r="R6" s="370"/>
      <c r="S6" s="370"/>
    </row>
    <row r="7" spans="1:19" x14ac:dyDescent="0.3">
      <c r="A7" s="62" t="s">
        <v>319</v>
      </c>
      <c r="B7" s="59">
        <f>'Air (CEMS)'!$C$25</f>
        <v>150</v>
      </c>
      <c r="C7" s="60">
        <v>2</v>
      </c>
      <c r="D7" s="60">
        <v>59</v>
      </c>
      <c r="E7" s="59">
        <f>'Air (CEMS)'!$C$24</f>
        <v>75</v>
      </c>
      <c r="F7" s="60">
        <v>2.21</v>
      </c>
      <c r="G7" s="60">
        <v>4</v>
      </c>
      <c r="J7" s="355" t="s">
        <v>170</v>
      </c>
      <c r="K7" s="62" t="s">
        <v>319</v>
      </c>
      <c r="L7" s="60">
        <f>C7</f>
        <v>2</v>
      </c>
      <c r="M7" s="60">
        <f>D7</f>
        <v>59</v>
      </c>
      <c r="N7" s="60">
        <f>F7</f>
        <v>2.21</v>
      </c>
      <c r="O7" s="60">
        <f>G7</f>
        <v>4</v>
      </c>
      <c r="Q7" s="370"/>
      <c r="R7" s="370"/>
      <c r="S7" s="370"/>
    </row>
    <row r="8" spans="1:19" x14ac:dyDescent="0.3">
      <c r="A8" s="62" t="s">
        <v>320</v>
      </c>
      <c r="B8" s="59">
        <f>'Air (CEMS)'!$C$25</f>
        <v>150</v>
      </c>
      <c r="C8" s="60">
        <v>2</v>
      </c>
      <c r="D8" s="60">
        <v>23</v>
      </c>
      <c r="E8" s="59">
        <f>'Air (CEMS)'!$C$24</f>
        <v>75</v>
      </c>
      <c r="F8" s="60">
        <v>2.04</v>
      </c>
      <c r="G8" s="60">
        <v>5</v>
      </c>
      <c r="J8" s="355"/>
      <c r="K8" s="62" t="s">
        <v>320</v>
      </c>
      <c r="L8" s="60">
        <f t="shared" ref="L8:L18" si="0">C8</f>
        <v>2</v>
      </c>
      <c r="M8" s="60">
        <f t="shared" ref="M8:M18" si="1">D8</f>
        <v>23</v>
      </c>
      <c r="N8" s="60">
        <f t="shared" ref="N8:N18" si="2">F8</f>
        <v>2.04</v>
      </c>
      <c r="O8" s="60">
        <f t="shared" ref="O8:O18" si="3">G8</f>
        <v>5</v>
      </c>
      <c r="Q8" s="370"/>
      <c r="R8" s="370"/>
      <c r="S8" s="370"/>
    </row>
    <row r="9" spans="1:19" x14ac:dyDescent="0.3">
      <c r="A9" s="62" t="s">
        <v>321</v>
      </c>
      <c r="B9" s="59">
        <f>'Air (CEMS)'!$C$25</f>
        <v>150</v>
      </c>
      <c r="C9" s="60">
        <v>3</v>
      </c>
      <c r="D9" s="60">
        <v>25</v>
      </c>
      <c r="E9" s="59">
        <f>'Air (CEMS)'!$C$24</f>
        <v>75</v>
      </c>
      <c r="F9" s="60">
        <v>2.6</v>
      </c>
      <c r="G9" s="60">
        <v>8</v>
      </c>
      <c r="J9" s="355"/>
      <c r="K9" s="62" t="s">
        <v>321</v>
      </c>
      <c r="L9" s="60">
        <f t="shared" si="0"/>
        <v>3</v>
      </c>
      <c r="M9" s="60">
        <f t="shared" si="1"/>
        <v>25</v>
      </c>
      <c r="N9" s="60">
        <f t="shared" si="2"/>
        <v>2.6</v>
      </c>
      <c r="O9" s="60">
        <f t="shared" si="3"/>
        <v>8</v>
      </c>
      <c r="Q9" s="74" t="s">
        <v>322</v>
      </c>
    </row>
    <row r="10" spans="1:19" ht="14.25" customHeight="1" x14ac:dyDescent="0.3">
      <c r="A10" s="62" t="s">
        <v>323</v>
      </c>
      <c r="B10" s="59">
        <f>'Air (CEMS)'!$C$25</f>
        <v>150</v>
      </c>
      <c r="C10" s="60">
        <v>2</v>
      </c>
      <c r="D10" s="60">
        <v>131</v>
      </c>
      <c r="E10" s="59">
        <f>'Air (CEMS)'!$C$24</f>
        <v>75</v>
      </c>
      <c r="F10" s="60">
        <v>2.44</v>
      </c>
      <c r="G10" s="60">
        <v>5</v>
      </c>
      <c r="J10" s="355"/>
      <c r="K10" s="62" t="s">
        <v>323</v>
      </c>
      <c r="L10" s="60">
        <f t="shared" si="0"/>
        <v>2</v>
      </c>
      <c r="M10" s="60">
        <f t="shared" si="1"/>
        <v>131</v>
      </c>
      <c r="N10" s="60">
        <f t="shared" si="2"/>
        <v>2.44</v>
      </c>
      <c r="O10" s="60">
        <f t="shared" si="3"/>
        <v>5</v>
      </c>
      <c r="Q10" s="354" t="s">
        <v>324</v>
      </c>
      <c r="R10" s="354"/>
      <c r="S10" s="354"/>
    </row>
    <row r="11" spans="1:19" x14ac:dyDescent="0.3">
      <c r="A11" s="62" t="s">
        <v>325</v>
      </c>
      <c r="B11" s="59">
        <f>'Air (CEMS)'!$C$25</f>
        <v>150</v>
      </c>
      <c r="C11" s="60">
        <v>2</v>
      </c>
      <c r="D11" s="60">
        <v>287</v>
      </c>
      <c r="E11" s="59">
        <f>'Air (CEMS)'!$C$24</f>
        <v>75</v>
      </c>
      <c r="F11" s="60">
        <v>2.13</v>
      </c>
      <c r="G11" s="60">
        <v>11</v>
      </c>
      <c r="J11" s="355"/>
      <c r="K11" s="62" t="s">
        <v>325</v>
      </c>
      <c r="L11" s="60">
        <f t="shared" si="0"/>
        <v>2</v>
      </c>
      <c r="M11" s="60">
        <f t="shared" si="1"/>
        <v>287</v>
      </c>
      <c r="N11" s="60">
        <f t="shared" si="2"/>
        <v>2.13</v>
      </c>
      <c r="O11" s="60">
        <f t="shared" si="3"/>
        <v>11</v>
      </c>
      <c r="Q11" s="354"/>
      <c r="R11" s="354"/>
      <c r="S11" s="354"/>
    </row>
    <row r="12" spans="1:19" x14ac:dyDescent="0.3">
      <c r="A12" s="62" t="s">
        <v>326</v>
      </c>
      <c r="B12" s="59">
        <f>'Air (CEMS)'!$C$25</f>
        <v>150</v>
      </c>
      <c r="C12" s="60">
        <v>2</v>
      </c>
      <c r="D12" s="60">
        <v>304</v>
      </c>
      <c r="E12" s="59">
        <f>'Air (CEMS)'!$C$24</f>
        <v>75</v>
      </c>
      <c r="F12" s="60">
        <v>2.21</v>
      </c>
      <c r="G12" s="60">
        <v>18</v>
      </c>
      <c r="J12" s="355"/>
      <c r="K12" s="62" t="s">
        <v>326</v>
      </c>
      <c r="L12" s="60">
        <f t="shared" si="0"/>
        <v>2</v>
      </c>
      <c r="M12" s="60">
        <f t="shared" si="1"/>
        <v>304</v>
      </c>
      <c r="N12" s="60">
        <f t="shared" si="2"/>
        <v>2.21</v>
      </c>
      <c r="O12" s="60">
        <f t="shared" si="3"/>
        <v>18</v>
      </c>
      <c r="Q12" s="354"/>
      <c r="R12" s="354"/>
      <c r="S12" s="354"/>
    </row>
    <row r="13" spans="1:19" ht="14.25" customHeight="1" x14ac:dyDescent="0.3">
      <c r="A13" s="62" t="s">
        <v>327</v>
      </c>
      <c r="B13" s="59">
        <f>'Air (CEMS)'!$C$25</f>
        <v>150</v>
      </c>
      <c r="C13" s="60">
        <v>202</v>
      </c>
      <c r="D13" s="60">
        <v>8417</v>
      </c>
      <c r="E13" s="59">
        <f>'Air (CEMS)'!$C$24</f>
        <v>75</v>
      </c>
      <c r="F13" s="60">
        <v>205.42</v>
      </c>
      <c r="G13" s="60">
        <v>2250</v>
      </c>
      <c r="J13" s="355"/>
      <c r="K13" s="62" t="s">
        <v>327</v>
      </c>
      <c r="L13" s="60">
        <f t="shared" si="0"/>
        <v>202</v>
      </c>
      <c r="M13" s="60">
        <f t="shared" si="1"/>
        <v>8417</v>
      </c>
      <c r="N13" s="60">
        <f t="shared" si="2"/>
        <v>205.42</v>
      </c>
      <c r="O13" s="60">
        <f t="shared" si="3"/>
        <v>2250</v>
      </c>
      <c r="Q13" s="354" t="s">
        <v>328</v>
      </c>
      <c r="R13" s="354"/>
      <c r="S13" s="354"/>
    </row>
    <row r="14" spans="1:19" x14ac:dyDescent="0.3">
      <c r="A14" s="62" t="s">
        <v>329</v>
      </c>
      <c r="B14" s="59">
        <f>'Air (CEMS)'!$C$25</f>
        <v>150</v>
      </c>
      <c r="C14" s="60">
        <v>156</v>
      </c>
      <c r="D14" s="60">
        <v>4280</v>
      </c>
      <c r="E14" s="59">
        <f>'Air (CEMS)'!$C$24</f>
        <v>75</v>
      </c>
      <c r="F14" s="60">
        <v>156.38999999999999</v>
      </c>
      <c r="G14" s="60">
        <v>3025</v>
      </c>
      <c r="J14" s="355"/>
      <c r="K14" s="62" t="s">
        <v>329</v>
      </c>
      <c r="L14" s="60">
        <f t="shared" si="0"/>
        <v>156</v>
      </c>
      <c r="M14" s="60">
        <f t="shared" si="1"/>
        <v>4280</v>
      </c>
      <c r="N14" s="60">
        <f t="shared" si="2"/>
        <v>156.38999999999999</v>
      </c>
      <c r="O14" s="60">
        <f t="shared" si="3"/>
        <v>3025</v>
      </c>
      <c r="Q14" s="354"/>
      <c r="R14" s="354"/>
      <c r="S14" s="354"/>
    </row>
    <row r="15" spans="1:19" x14ac:dyDescent="0.3">
      <c r="A15" s="62" t="s">
        <v>330</v>
      </c>
      <c r="B15" s="59">
        <f>'Air (CEMS)'!$C$25</f>
        <v>150</v>
      </c>
      <c r="C15" s="60">
        <v>16</v>
      </c>
      <c r="D15" s="60">
        <v>4490</v>
      </c>
      <c r="E15" s="59">
        <f>'Air (CEMS)'!$C$24</f>
        <v>75</v>
      </c>
      <c r="F15" s="60">
        <v>15.87</v>
      </c>
      <c r="G15" s="60">
        <v>226</v>
      </c>
      <c r="J15" s="355"/>
      <c r="K15" s="62" t="s">
        <v>330</v>
      </c>
      <c r="L15" s="60">
        <f t="shared" si="0"/>
        <v>16</v>
      </c>
      <c r="M15" s="60">
        <f t="shared" si="1"/>
        <v>4490</v>
      </c>
      <c r="N15" s="60">
        <f t="shared" si="2"/>
        <v>15.87</v>
      </c>
      <c r="O15" s="60">
        <f t="shared" si="3"/>
        <v>226</v>
      </c>
      <c r="Q15" s="354"/>
      <c r="R15" s="354"/>
      <c r="S15" s="354"/>
    </row>
    <row r="16" spans="1:19" x14ac:dyDescent="0.3">
      <c r="A16" s="62" t="s">
        <v>331</v>
      </c>
      <c r="B16" s="59">
        <f>'Air (CEMS)'!$C$25</f>
        <v>150</v>
      </c>
      <c r="C16" s="60">
        <v>88</v>
      </c>
      <c r="D16" s="60">
        <v>5930</v>
      </c>
      <c r="E16" s="59">
        <f>'Air (CEMS)'!$C$24</f>
        <v>75</v>
      </c>
      <c r="F16" s="60">
        <v>152.5</v>
      </c>
      <c r="G16" s="60">
        <v>1260</v>
      </c>
      <c r="J16" s="355"/>
      <c r="K16" s="62" t="s">
        <v>331</v>
      </c>
      <c r="L16" s="60">
        <f t="shared" si="0"/>
        <v>88</v>
      </c>
      <c r="M16" s="60">
        <f t="shared" si="1"/>
        <v>5930</v>
      </c>
      <c r="N16" s="60">
        <f t="shared" si="2"/>
        <v>152.5</v>
      </c>
      <c r="O16" s="60">
        <f t="shared" si="3"/>
        <v>1260</v>
      </c>
      <c r="Q16" s="354"/>
      <c r="R16" s="354"/>
      <c r="S16" s="354"/>
    </row>
    <row r="17" spans="1:15" x14ac:dyDescent="0.3">
      <c r="A17" s="62" t="s">
        <v>332</v>
      </c>
      <c r="B17" s="59">
        <f>'Air (CEMS)'!$C$25</f>
        <v>150</v>
      </c>
      <c r="C17" s="60">
        <v>122</v>
      </c>
      <c r="D17" s="60">
        <v>3663</v>
      </c>
      <c r="E17" s="59">
        <f>'Air (CEMS)'!$C$24</f>
        <v>75</v>
      </c>
      <c r="F17" s="60">
        <v>122.41</v>
      </c>
      <c r="G17" s="60">
        <v>1233</v>
      </c>
      <c r="J17" s="355"/>
      <c r="K17" s="62" t="s">
        <v>332</v>
      </c>
      <c r="L17" s="60">
        <f t="shared" si="0"/>
        <v>122</v>
      </c>
      <c r="M17" s="60">
        <f t="shared" si="1"/>
        <v>3663</v>
      </c>
      <c r="N17" s="60">
        <f t="shared" si="2"/>
        <v>122.41</v>
      </c>
      <c r="O17" s="60">
        <f t="shared" si="3"/>
        <v>1233</v>
      </c>
    </row>
    <row r="18" spans="1:15" x14ac:dyDescent="0.3">
      <c r="A18" s="62" t="s">
        <v>333</v>
      </c>
      <c r="B18" s="59">
        <f>'Air (CEMS)'!$C$25</f>
        <v>150</v>
      </c>
      <c r="C18" s="60">
        <v>6</v>
      </c>
      <c r="D18" s="60">
        <v>524</v>
      </c>
      <c r="E18" s="59">
        <f>'Air (CEMS)'!$C$24</f>
        <v>75</v>
      </c>
      <c r="F18" s="60">
        <v>5.65</v>
      </c>
      <c r="G18" s="60">
        <v>23</v>
      </c>
      <c r="J18" s="355"/>
      <c r="K18" s="62" t="s">
        <v>333</v>
      </c>
      <c r="L18" s="60">
        <f t="shared" si="0"/>
        <v>6</v>
      </c>
      <c r="M18" s="60">
        <f t="shared" si="1"/>
        <v>524</v>
      </c>
      <c r="N18" s="60">
        <f t="shared" si="2"/>
        <v>5.65</v>
      </c>
      <c r="O18" s="60">
        <f t="shared" si="3"/>
        <v>23</v>
      </c>
    </row>
    <row r="19" spans="1:15" x14ac:dyDescent="0.3">
      <c r="J19" s="355"/>
      <c r="K19" s="58" t="s">
        <v>334</v>
      </c>
      <c r="L19" s="58">
        <f>AVERAGE(L7:L18)</f>
        <v>50.25</v>
      </c>
      <c r="M19" s="58">
        <f>MAX(M7:M18)</f>
        <v>8417</v>
      </c>
      <c r="N19" s="58">
        <f>AVERAGE(N7:N18)</f>
        <v>55.989166666666655</v>
      </c>
      <c r="O19" s="58">
        <f>MAX(O7:O18)</f>
        <v>3025</v>
      </c>
    </row>
    <row r="21" spans="1:15" ht="28" x14ac:dyDescent="0.3">
      <c r="J21" s="57">
        <f>+A6</f>
        <v>2022</v>
      </c>
      <c r="K21" s="57" t="s">
        <v>316</v>
      </c>
      <c r="L21" s="63" t="s">
        <v>311</v>
      </c>
      <c r="M21" s="63" t="s">
        <v>317</v>
      </c>
      <c r="N21" s="63" t="s">
        <v>314</v>
      </c>
      <c r="O21" s="63" t="s">
        <v>318</v>
      </c>
    </row>
    <row r="22" spans="1:15" x14ac:dyDescent="0.3">
      <c r="J22" s="355" t="s">
        <v>171</v>
      </c>
      <c r="K22" s="62" t="s">
        <v>319</v>
      </c>
      <c r="L22" s="60"/>
      <c r="M22" s="60"/>
      <c r="N22" s="60"/>
      <c r="O22" s="60"/>
    </row>
    <row r="23" spans="1:15" x14ac:dyDescent="0.3">
      <c r="J23" s="355"/>
      <c r="K23" s="62" t="s">
        <v>320</v>
      </c>
      <c r="L23" s="60"/>
      <c r="M23" s="60"/>
      <c r="N23" s="60"/>
      <c r="O23" s="60"/>
    </row>
    <row r="24" spans="1:15" x14ac:dyDescent="0.3">
      <c r="J24" s="355"/>
      <c r="K24" s="62" t="s">
        <v>321</v>
      </c>
      <c r="L24" s="60"/>
      <c r="M24" s="60"/>
      <c r="N24" s="60"/>
      <c r="O24" s="60"/>
    </row>
    <row r="25" spans="1:15" x14ac:dyDescent="0.3">
      <c r="J25" s="355"/>
      <c r="K25" s="62" t="s">
        <v>323</v>
      </c>
      <c r="L25" s="60"/>
      <c r="M25" s="60"/>
      <c r="N25" s="60"/>
      <c r="O25" s="60"/>
    </row>
    <row r="26" spans="1:15" x14ac:dyDescent="0.3">
      <c r="J26" s="355"/>
      <c r="K26" s="62" t="s">
        <v>325</v>
      </c>
      <c r="L26" s="60"/>
      <c r="M26" s="60"/>
      <c r="N26" s="60"/>
      <c r="O26" s="60"/>
    </row>
    <row r="27" spans="1:15" x14ac:dyDescent="0.3">
      <c r="J27" s="355"/>
      <c r="K27" s="62" t="s">
        <v>326</v>
      </c>
      <c r="L27" s="60"/>
      <c r="M27" s="60"/>
      <c r="N27" s="60"/>
      <c r="O27" s="60"/>
    </row>
    <row r="28" spans="1:15" x14ac:dyDescent="0.3">
      <c r="J28" s="355"/>
      <c r="K28" s="62" t="s">
        <v>327</v>
      </c>
      <c r="L28" s="60"/>
      <c r="M28" s="60"/>
      <c r="N28" s="60"/>
      <c r="O28" s="60"/>
    </row>
    <row r="29" spans="1:15" x14ac:dyDescent="0.3">
      <c r="J29" s="355"/>
      <c r="K29" s="62" t="s">
        <v>329</v>
      </c>
      <c r="L29" s="60"/>
      <c r="M29" s="60"/>
      <c r="N29" s="60"/>
      <c r="O29" s="60"/>
    </row>
    <row r="30" spans="1:15" x14ac:dyDescent="0.3">
      <c r="J30" s="355"/>
      <c r="K30" s="62" t="s">
        <v>330</v>
      </c>
      <c r="L30" s="60"/>
      <c r="M30" s="60"/>
      <c r="N30" s="60"/>
      <c r="O30" s="60"/>
    </row>
    <row r="31" spans="1:15" x14ac:dyDescent="0.3">
      <c r="J31" s="355"/>
      <c r="K31" s="62" t="s">
        <v>331</v>
      </c>
      <c r="L31" s="60"/>
      <c r="M31" s="60"/>
      <c r="N31" s="60"/>
      <c r="O31" s="60"/>
    </row>
    <row r="32" spans="1:15" x14ac:dyDescent="0.3">
      <c r="J32" s="355"/>
      <c r="K32" s="62" t="s">
        <v>332</v>
      </c>
      <c r="L32" s="60"/>
      <c r="M32" s="60"/>
      <c r="N32" s="60"/>
      <c r="O32" s="60"/>
    </row>
    <row r="33" spans="1:15" x14ac:dyDescent="0.3">
      <c r="J33" s="355"/>
      <c r="K33" s="62" t="s">
        <v>333</v>
      </c>
      <c r="L33" s="60"/>
      <c r="M33" s="60"/>
      <c r="N33" s="60"/>
      <c r="O33" s="60"/>
    </row>
    <row r="34" spans="1:15" x14ac:dyDescent="0.3">
      <c r="J34" s="355"/>
      <c r="K34" s="58" t="s">
        <v>334</v>
      </c>
      <c r="L34" s="58" t="e">
        <f>AVERAGE(L22:L33)</f>
        <v>#DIV/0!</v>
      </c>
      <c r="M34" s="58">
        <f>MAX(M22:M33)</f>
        <v>0</v>
      </c>
      <c r="N34" s="58" t="e">
        <f>AVERAGE(N22:N33)</f>
        <v>#DIV/0!</v>
      </c>
      <c r="O34" s="58">
        <f>MAX(O22:O33)</f>
        <v>0</v>
      </c>
    </row>
    <row r="36" spans="1:15" ht="28" x14ac:dyDescent="0.3">
      <c r="J36" s="57">
        <f>+A6</f>
        <v>2022</v>
      </c>
      <c r="K36" s="57" t="s">
        <v>316</v>
      </c>
      <c r="L36" s="63" t="s">
        <v>311</v>
      </c>
      <c r="M36" s="63" t="s">
        <v>317</v>
      </c>
      <c r="N36" s="63" t="s">
        <v>314</v>
      </c>
      <c r="O36" s="63" t="s">
        <v>318</v>
      </c>
    </row>
    <row r="37" spans="1:15" x14ac:dyDescent="0.3">
      <c r="J37" s="355" t="s">
        <v>172</v>
      </c>
      <c r="K37" s="62" t="s">
        <v>319</v>
      </c>
      <c r="L37" s="60"/>
      <c r="M37" s="60"/>
      <c r="N37" s="60"/>
      <c r="O37" s="60"/>
    </row>
    <row r="38" spans="1:15" x14ac:dyDescent="0.3">
      <c r="J38" s="355"/>
      <c r="K38" s="62" t="s">
        <v>320</v>
      </c>
      <c r="L38" s="60"/>
      <c r="M38" s="60"/>
      <c r="N38" s="60"/>
      <c r="O38" s="60"/>
    </row>
    <row r="39" spans="1:15" x14ac:dyDescent="0.3">
      <c r="J39" s="355"/>
      <c r="K39" s="62" t="s">
        <v>321</v>
      </c>
      <c r="L39" s="60"/>
      <c r="M39" s="60"/>
      <c r="N39" s="60"/>
      <c r="O39" s="60"/>
    </row>
    <row r="40" spans="1:15" x14ac:dyDescent="0.3">
      <c r="J40" s="355"/>
      <c r="K40" s="62" t="s">
        <v>323</v>
      </c>
      <c r="L40" s="60"/>
      <c r="M40" s="60"/>
      <c r="N40" s="60"/>
      <c r="O40" s="60"/>
    </row>
    <row r="41" spans="1:15" x14ac:dyDescent="0.3">
      <c r="J41" s="355"/>
      <c r="K41" s="62" t="s">
        <v>325</v>
      </c>
      <c r="L41" s="60"/>
      <c r="M41" s="60"/>
      <c r="N41" s="60"/>
      <c r="O41" s="60"/>
    </row>
    <row r="42" spans="1:15" x14ac:dyDescent="0.3">
      <c r="J42" s="355"/>
      <c r="K42" s="62" t="s">
        <v>326</v>
      </c>
      <c r="L42" s="60"/>
      <c r="M42" s="60"/>
      <c r="N42" s="60"/>
      <c r="O42" s="60"/>
    </row>
    <row r="43" spans="1:15" x14ac:dyDescent="0.3">
      <c r="J43" s="355"/>
      <c r="K43" s="62" t="s">
        <v>327</v>
      </c>
      <c r="L43" s="60"/>
      <c r="M43" s="60"/>
      <c r="N43" s="60"/>
      <c r="O43" s="60"/>
    </row>
    <row r="44" spans="1:15" x14ac:dyDescent="0.3">
      <c r="J44" s="355"/>
      <c r="K44" s="62" t="s">
        <v>329</v>
      </c>
      <c r="L44" s="60"/>
      <c r="M44" s="60"/>
      <c r="N44" s="60"/>
      <c r="O44" s="60"/>
    </row>
    <row r="45" spans="1:15" x14ac:dyDescent="0.3">
      <c r="J45" s="355"/>
      <c r="K45" s="62" t="s">
        <v>330</v>
      </c>
      <c r="L45" s="60"/>
      <c r="M45" s="60"/>
      <c r="N45" s="60"/>
      <c r="O45" s="60"/>
    </row>
    <row r="46" spans="1:15" x14ac:dyDescent="0.3">
      <c r="J46" s="355"/>
      <c r="K46" s="62" t="s">
        <v>331</v>
      </c>
      <c r="L46" s="60"/>
      <c r="M46" s="60"/>
      <c r="N46" s="60"/>
      <c r="O46" s="60"/>
    </row>
    <row r="47" spans="1:15" x14ac:dyDescent="0.3">
      <c r="J47" s="355"/>
      <c r="K47" s="62" t="s">
        <v>332</v>
      </c>
      <c r="L47" s="60"/>
      <c r="M47" s="60"/>
      <c r="N47" s="60"/>
      <c r="O47" s="60"/>
    </row>
    <row r="48" spans="1:15" x14ac:dyDescent="0.3">
      <c r="A48" s="367" t="s">
        <v>242</v>
      </c>
      <c r="B48" s="368"/>
      <c r="C48" s="368"/>
      <c r="D48" s="368"/>
      <c r="E48" s="368"/>
      <c r="F48" s="368"/>
      <c r="G48" s="369"/>
      <c r="J48" s="355"/>
      <c r="K48" s="62" t="s">
        <v>333</v>
      </c>
      <c r="L48" s="60"/>
      <c r="M48" s="60"/>
      <c r="N48" s="60"/>
      <c r="O48" s="60"/>
    </row>
    <row r="49" spans="1:15" x14ac:dyDescent="0.3">
      <c r="A49" s="358" t="s">
        <v>454</v>
      </c>
      <c r="B49" s="359"/>
      <c r="C49" s="359"/>
      <c r="D49" s="359"/>
      <c r="E49" s="359"/>
      <c r="F49" s="359"/>
      <c r="G49" s="360"/>
      <c r="J49" s="355"/>
      <c r="K49" s="58" t="s">
        <v>334</v>
      </c>
      <c r="L49" s="58" t="e">
        <f>AVERAGE(L37:L48)</f>
        <v>#DIV/0!</v>
      </c>
      <c r="M49" s="58">
        <f>MAX(M37:M48)</f>
        <v>0</v>
      </c>
      <c r="N49" s="58" t="e">
        <f>AVERAGE(N37:N48)</f>
        <v>#DIV/0!</v>
      </c>
      <c r="O49" s="58">
        <f>MAX(O37:O48)</f>
        <v>0</v>
      </c>
    </row>
    <row r="50" spans="1:15" x14ac:dyDescent="0.3">
      <c r="A50" s="361"/>
      <c r="B50" s="362"/>
      <c r="C50" s="362"/>
      <c r="D50" s="362"/>
      <c r="E50" s="362"/>
      <c r="F50" s="362"/>
      <c r="G50" s="363"/>
    </row>
    <row r="51" spans="1:15" ht="28" x14ac:dyDescent="0.3">
      <c r="A51" s="361"/>
      <c r="B51" s="362"/>
      <c r="C51" s="362"/>
      <c r="D51" s="362"/>
      <c r="E51" s="362"/>
      <c r="F51" s="362"/>
      <c r="G51" s="363"/>
      <c r="J51" s="57">
        <f>+A6</f>
        <v>2022</v>
      </c>
      <c r="K51" s="57" t="s">
        <v>316</v>
      </c>
      <c r="L51" s="63" t="s">
        <v>311</v>
      </c>
      <c r="M51" s="63" t="s">
        <v>317</v>
      </c>
      <c r="N51" s="63" t="s">
        <v>314</v>
      </c>
      <c r="O51" s="63" t="s">
        <v>318</v>
      </c>
    </row>
    <row r="52" spans="1:15" x14ac:dyDescent="0.3">
      <c r="A52" s="364"/>
      <c r="B52" s="365"/>
      <c r="C52" s="365"/>
      <c r="D52" s="365"/>
      <c r="E52" s="365"/>
      <c r="F52" s="365"/>
      <c r="G52" s="366"/>
      <c r="J52" s="355" t="s">
        <v>173</v>
      </c>
      <c r="K52" s="62" t="s">
        <v>319</v>
      </c>
      <c r="L52" s="60"/>
      <c r="M52" s="60"/>
      <c r="N52" s="60"/>
      <c r="O52" s="60"/>
    </row>
    <row r="53" spans="1:15" x14ac:dyDescent="0.3">
      <c r="J53" s="355"/>
      <c r="K53" s="62" t="s">
        <v>320</v>
      </c>
      <c r="L53" s="60"/>
      <c r="M53" s="60"/>
      <c r="N53" s="60"/>
      <c r="O53" s="60"/>
    </row>
    <row r="54" spans="1:15" x14ac:dyDescent="0.3">
      <c r="J54" s="355"/>
      <c r="K54" s="62" t="s">
        <v>321</v>
      </c>
      <c r="L54" s="60"/>
      <c r="M54" s="60"/>
      <c r="N54" s="60"/>
      <c r="O54" s="60"/>
    </row>
    <row r="55" spans="1:15" x14ac:dyDescent="0.3">
      <c r="J55" s="355"/>
      <c r="K55" s="62" t="s">
        <v>323</v>
      </c>
      <c r="L55" s="60"/>
      <c r="M55" s="60"/>
      <c r="N55" s="60"/>
      <c r="O55" s="60"/>
    </row>
    <row r="56" spans="1:15" x14ac:dyDescent="0.3">
      <c r="J56" s="355"/>
      <c r="K56" s="62" t="s">
        <v>325</v>
      </c>
      <c r="L56" s="60"/>
      <c r="M56" s="60"/>
      <c r="N56" s="60"/>
      <c r="O56" s="60"/>
    </row>
    <row r="57" spans="1:15" x14ac:dyDescent="0.3">
      <c r="J57" s="355"/>
      <c r="K57" s="62" t="s">
        <v>326</v>
      </c>
      <c r="L57" s="60"/>
      <c r="M57" s="60"/>
      <c r="N57" s="60"/>
      <c r="O57" s="60"/>
    </row>
    <row r="58" spans="1:15" x14ac:dyDescent="0.3">
      <c r="J58" s="355"/>
      <c r="K58" s="62" t="s">
        <v>327</v>
      </c>
      <c r="L58" s="60"/>
      <c r="M58" s="60"/>
      <c r="N58" s="60"/>
      <c r="O58" s="60"/>
    </row>
    <row r="59" spans="1:15" x14ac:dyDescent="0.3">
      <c r="J59" s="355"/>
      <c r="K59" s="62" t="s">
        <v>329</v>
      </c>
      <c r="L59" s="60"/>
      <c r="M59" s="60"/>
      <c r="N59" s="60"/>
      <c r="O59" s="60"/>
    </row>
    <row r="60" spans="1:15" x14ac:dyDescent="0.3">
      <c r="J60" s="355"/>
      <c r="K60" s="62" t="s">
        <v>330</v>
      </c>
      <c r="L60" s="60"/>
      <c r="M60" s="60"/>
      <c r="N60" s="60"/>
      <c r="O60" s="60"/>
    </row>
    <row r="61" spans="1:15" x14ac:dyDescent="0.3">
      <c r="J61" s="355"/>
      <c r="K61" s="62" t="s">
        <v>331</v>
      </c>
      <c r="L61" s="60"/>
      <c r="M61" s="60"/>
      <c r="N61" s="60"/>
      <c r="O61" s="60"/>
    </row>
    <row r="62" spans="1:15" x14ac:dyDescent="0.3">
      <c r="J62" s="355"/>
      <c r="K62" s="62" t="s">
        <v>332</v>
      </c>
      <c r="L62" s="60"/>
      <c r="M62" s="60"/>
      <c r="N62" s="60"/>
      <c r="O62" s="60"/>
    </row>
    <row r="63" spans="1:15" x14ac:dyDescent="0.3">
      <c r="J63" s="355"/>
      <c r="K63" s="62" t="s">
        <v>333</v>
      </c>
      <c r="L63" s="60"/>
      <c r="M63" s="60"/>
      <c r="N63" s="60"/>
      <c r="O63" s="60"/>
    </row>
    <row r="64" spans="1:15" x14ac:dyDescent="0.3">
      <c r="J64" s="355"/>
      <c r="K64" s="58" t="s">
        <v>334</v>
      </c>
      <c r="L64" s="58" t="e">
        <f>AVERAGE(L52:L63)</f>
        <v>#DIV/0!</v>
      </c>
      <c r="M64" s="58">
        <f>MAX(M52:M63)</f>
        <v>0</v>
      </c>
      <c r="N64" s="58" t="e">
        <f>AVERAGE(N52:N63)</f>
        <v>#DIV/0!</v>
      </c>
      <c r="O64" s="58">
        <f>MAX(O52:O63)</f>
        <v>0</v>
      </c>
    </row>
    <row r="66" spans="10:15" ht="28" x14ac:dyDescent="0.3">
      <c r="J66" s="57">
        <f>+A6</f>
        <v>2022</v>
      </c>
      <c r="K66" s="57" t="s">
        <v>316</v>
      </c>
      <c r="L66" s="63" t="s">
        <v>311</v>
      </c>
      <c r="M66" s="63" t="s">
        <v>317</v>
      </c>
      <c r="N66" s="63" t="s">
        <v>314</v>
      </c>
      <c r="O66" s="63" t="s">
        <v>318</v>
      </c>
    </row>
    <row r="67" spans="10:15" x14ac:dyDescent="0.3">
      <c r="J67" s="355" t="s">
        <v>174</v>
      </c>
      <c r="K67" s="62" t="s">
        <v>319</v>
      </c>
      <c r="L67" s="60"/>
      <c r="M67" s="60"/>
      <c r="N67" s="60"/>
      <c r="O67" s="60"/>
    </row>
    <row r="68" spans="10:15" x14ac:dyDescent="0.3">
      <c r="J68" s="355"/>
      <c r="K68" s="62" t="s">
        <v>320</v>
      </c>
      <c r="L68" s="60"/>
      <c r="M68" s="60"/>
      <c r="N68" s="60"/>
      <c r="O68" s="60"/>
    </row>
    <row r="69" spans="10:15" x14ac:dyDescent="0.3">
      <c r="J69" s="355"/>
      <c r="K69" s="62" t="s">
        <v>321</v>
      </c>
      <c r="L69" s="60"/>
      <c r="M69" s="60"/>
      <c r="N69" s="60"/>
      <c r="O69" s="60"/>
    </row>
    <row r="70" spans="10:15" x14ac:dyDescent="0.3">
      <c r="J70" s="355"/>
      <c r="K70" s="62" t="s">
        <v>323</v>
      </c>
      <c r="L70" s="60"/>
      <c r="M70" s="60"/>
      <c r="N70" s="60"/>
      <c r="O70" s="60"/>
    </row>
    <row r="71" spans="10:15" x14ac:dyDescent="0.3">
      <c r="J71" s="355"/>
      <c r="K71" s="62" t="s">
        <v>325</v>
      </c>
      <c r="L71" s="60"/>
      <c r="M71" s="60"/>
      <c r="N71" s="60"/>
      <c r="O71" s="60"/>
    </row>
    <row r="72" spans="10:15" x14ac:dyDescent="0.3">
      <c r="J72" s="355"/>
      <c r="K72" s="62" t="s">
        <v>326</v>
      </c>
      <c r="L72" s="60"/>
      <c r="M72" s="60"/>
      <c r="N72" s="60"/>
      <c r="O72" s="60"/>
    </row>
    <row r="73" spans="10:15" x14ac:dyDescent="0.3">
      <c r="J73" s="355"/>
      <c r="K73" s="62" t="s">
        <v>327</v>
      </c>
      <c r="L73" s="60"/>
      <c r="M73" s="60"/>
      <c r="N73" s="60"/>
      <c r="O73" s="60"/>
    </row>
    <row r="74" spans="10:15" x14ac:dyDescent="0.3">
      <c r="J74" s="355"/>
      <c r="K74" s="62" t="s">
        <v>329</v>
      </c>
      <c r="L74" s="60"/>
      <c r="M74" s="60"/>
      <c r="N74" s="60"/>
      <c r="O74" s="60"/>
    </row>
    <row r="75" spans="10:15" x14ac:dyDescent="0.3">
      <c r="J75" s="355"/>
      <c r="K75" s="62" t="s">
        <v>330</v>
      </c>
      <c r="L75" s="60"/>
      <c r="M75" s="60"/>
      <c r="N75" s="60"/>
      <c r="O75" s="60"/>
    </row>
    <row r="76" spans="10:15" x14ac:dyDescent="0.3">
      <c r="J76" s="355"/>
      <c r="K76" s="62" t="s">
        <v>331</v>
      </c>
      <c r="L76" s="60"/>
      <c r="M76" s="60"/>
      <c r="N76" s="60"/>
      <c r="O76" s="60"/>
    </row>
    <row r="77" spans="10:15" x14ac:dyDescent="0.3">
      <c r="J77" s="355"/>
      <c r="K77" s="62" t="s">
        <v>332</v>
      </c>
      <c r="L77" s="60"/>
      <c r="M77" s="60"/>
      <c r="N77" s="60"/>
      <c r="O77" s="60"/>
    </row>
    <row r="78" spans="10:15" x14ac:dyDescent="0.3">
      <c r="J78" s="355"/>
      <c r="K78" s="62" t="s">
        <v>333</v>
      </c>
      <c r="L78" s="60"/>
      <c r="M78" s="60"/>
      <c r="N78" s="60"/>
      <c r="O78" s="60"/>
    </row>
    <row r="79" spans="10:15" x14ac:dyDescent="0.3">
      <c r="J79" s="355"/>
      <c r="K79" s="58" t="s">
        <v>334</v>
      </c>
      <c r="L79" s="58" t="e">
        <f>AVERAGE(L67:L78)</f>
        <v>#DIV/0!</v>
      </c>
      <c r="M79" s="58">
        <f>MAX(M67:M78)</f>
        <v>0</v>
      </c>
      <c r="N79" s="58" t="e">
        <f>AVERAGE(N67:N78)</f>
        <v>#DIV/0!</v>
      </c>
      <c r="O79" s="5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zoomScaleNormal="100" workbookViewId="0">
      <selection activeCell="A49" sqref="A49:H52"/>
    </sheetView>
  </sheetViews>
  <sheetFormatPr defaultRowHeight="14" x14ac:dyDescent="0.3"/>
  <cols>
    <col min="1" max="1" width="14" style="3" customWidth="1"/>
    <col min="2" max="2" width="12.81640625" style="33" customWidth="1"/>
    <col min="3" max="3" width="15.1796875" style="33" customWidth="1"/>
    <col min="4" max="4" width="17.81640625" style="33" customWidth="1"/>
    <col min="5" max="5" width="14.81640625" style="33" customWidth="1"/>
    <col min="6" max="6" width="11.54296875" style="33" customWidth="1"/>
    <col min="7" max="7" width="15" style="33" customWidth="1"/>
    <col min="8" max="8" width="14.81640625" style="33" customWidth="1"/>
    <col min="9" max="12" width="9.1796875" style="3"/>
    <col min="13" max="13" width="15.453125" style="3" customWidth="1"/>
    <col min="14" max="14" width="17.81640625" style="3" customWidth="1"/>
    <col min="15" max="15" width="17.453125" style="3" bestFit="1" customWidth="1"/>
    <col min="16" max="16" width="13.81640625" style="3" customWidth="1"/>
    <col min="17" max="17" width="15" style="3" customWidth="1"/>
    <col min="18" max="20" width="9.1796875" style="3"/>
    <col min="21" max="21" width="22.453125" style="3" customWidth="1"/>
    <col min="22" max="258" width="9.1796875" style="3"/>
    <col min="259" max="259" width="14" style="3" customWidth="1"/>
    <col min="260" max="265" width="10.1796875" style="3" customWidth="1"/>
    <col min="266" max="514" width="9.1796875" style="3"/>
    <col min="515" max="515" width="14" style="3" customWidth="1"/>
    <col min="516" max="521" width="10.1796875" style="3" customWidth="1"/>
    <col min="522" max="770" width="9.1796875" style="3"/>
    <col min="771" max="771" width="14" style="3" customWidth="1"/>
    <col min="772" max="777" width="10.1796875" style="3" customWidth="1"/>
    <col min="778" max="1026" width="9.1796875" style="3"/>
    <col min="1027" max="1027" width="14" style="3" customWidth="1"/>
    <col min="1028" max="1033" width="10.1796875" style="3" customWidth="1"/>
    <col min="1034" max="1282" width="9.1796875" style="3"/>
    <col min="1283" max="1283" width="14" style="3" customWidth="1"/>
    <col min="1284" max="1289" width="10.1796875" style="3" customWidth="1"/>
    <col min="1290" max="1538" width="9.1796875" style="3"/>
    <col min="1539" max="1539" width="14" style="3" customWidth="1"/>
    <col min="1540" max="1545" width="10.1796875" style="3" customWidth="1"/>
    <col min="1546" max="1794" width="9.1796875" style="3"/>
    <col min="1795" max="1795" width="14" style="3" customWidth="1"/>
    <col min="1796" max="1801" width="10.1796875" style="3" customWidth="1"/>
    <col min="1802" max="2050" width="9.1796875" style="3"/>
    <col min="2051" max="2051" width="14" style="3" customWidth="1"/>
    <col min="2052" max="2057" width="10.1796875" style="3" customWidth="1"/>
    <col min="2058" max="2306" width="9.1796875" style="3"/>
    <col min="2307" max="2307" width="14" style="3" customWidth="1"/>
    <col min="2308" max="2313" width="10.1796875" style="3" customWidth="1"/>
    <col min="2314" max="2562" width="9.1796875" style="3"/>
    <col min="2563" max="2563" width="14" style="3" customWidth="1"/>
    <col min="2564" max="2569" width="10.1796875" style="3" customWidth="1"/>
    <col min="2570" max="2818" width="9.1796875" style="3"/>
    <col min="2819" max="2819" width="14" style="3" customWidth="1"/>
    <col min="2820" max="2825" width="10.1796875" style="3" customWidth="1"/>
    <col min="2826" max="3074" width="9.1796875" style="3"/>
    <col min="3075" max="3075" width="14" style="3" customWidth="1"/>
    <col min="3076" max="3081" width="10.1796875" style="3" customWidth="1"/>
    <col min="3082" max="3330" width="9.1796875" style="3"/>
    <col min="3331" max="3331" width="14" style="3" customWidth="1"/>
    <col min="3332" max="3337" width="10.1796875" style="3" customWidth="1"/>
    <col min="3338" max="3586" width="9.1796875" style="3"/>
    <col min="3587" max="3587" width="14" style="3" customWidth="1"/>
    <col min="3588" max="3593" width="10.1796875" style="3" customWidth="1"/>
    <col min="3594" max="3842" width="9.1796875" style="3"/>
    <col min="3843" max="3843" width="14" style="3" customWidth="1"/>
    <col min="3844" max="3849" width="10.1796875" style="3" customWidth="1"/>
    <col min="3850" max="4098" width="9.1796875" style="3"/>
    <col min="4099" max="4099" width="14" style="3" customWidth="1"/>
    <col min="4100" max="4105" width="10.1796875" style="3" customWidth="1"/>
    <col min="4106" max="4354" width="9.1796875" style="3"/>
    <col min="4355" max="4355" width="14" style="3" customWidth="1"/>
    <col min="4356" max="4361" width="10.1796875" style="3" customWidth="1"/>
    <col min="4362" max="4610" width="9.1796875" style="3"/>
    <col min="4611" max="4611" width="14" style="3" customWidth="1"/>
    <col min="4612" max="4617" width="10.1796875" style="3" customWidth="1"/>
    <col min="4618" max="4866" width="9.1796875" style="3"/>
    <col min="4867" max="4867" width="14" style="3" customWidth="1"/>
    <col min="4868" max="4873" width="10.1796875" style="3" customWidth="1"/>
    <col min="4874" max="5122" width="9.1796875" style="3"/>
    <col min="5123" max="5123" width="14" style="3" customWidth="1"/>
    <col min="5124" max="5129" width="10.1796875" style="3" customWidth="1"/>
    <col min="5130" max="5378" width="9.1796875" style="3"/>
    <col min="5379" max="5379" width="14" style="3" customWidth="1"/>
    <col min="5380" max="5385" width="10.1796875" style="3" customWidth="1"/>
    <col min="5386" max="5634" width="9.1796875" style="3"/>
    <col min="5635" max="5635" width="14" style="3" customWidth="1"/>
    <col min="5636" max="5641" width="10.1796875" style="3" customWidth="1"/>
    <col min="5642" max="5890" width="9.1796875" style="3"/>
    <col min="5891" max="5891" width="14" style="3" customWidth="1"/>
    <col min="5892" max="5897" width="10.1796875" style="3" customWidth="1"/>
    <col min="5898" max="6146" width="9.1796875" style="3"/>
    <col min="6147" max="6147" width="14" style="3" customWidth="1"/>
    <col min="6148" max="6153" width="10.1796875" style="3" customWidth="1"/>
    <col min="6154" max="6402" width="9.1796875" style="3"/>
    <col min="6403" max="6403" width="14" style="3" customWidth="1"/>
    <col min="6404" max="6409" width="10.1796875" style="3" customWidth="1"/>
    <col min="6410" max="6658" width="9.1796875" style="3"/>
    <col min="6659" max="6659" width="14" style="3" customWidth="1"/>
    <col min="6660" max="6665" width="10.1796875" style="3" customWidth="1"/>
    <col min="6666" max="6914" width="9.1796875" style="3"/>
    <col min="6915" max="6915" width="14" style="3" customWidth="1"/>
    <col min="6916" max="6921" width="10.1796875" style="3" customWidth="1"/>
    <col min="6922" max="7170" width="9.1796875" style="3"/>
    <col min="7171" max="7171" width="14" style="3" customWidth="1"/>
    <col min="7172" max="7177" width="10.1796875" style="3" customWidth="1"/>
    <col min="7178" max="7426" width="9.1796875" style="3"/>
    <col min="7427" max="7427" width="14" style="3" customWidth="1"/>
    <col min="7428" max="7433" width="10.1796875" style="3" customWidth="1"/>
    <col min="7434" max="7682" width="9.1796875" style="3"/>
    <col min="7683" max="7683" width="14" style="3" customWidth="1"/>
    <col min="7684" max="7689" width="10.1796875" style="3" customWidth="1"/>
    <col min="7690" max="7938" width="9.1796875" style="3"/>
    <col min="7939" max="7939" width="14" style="3" customWidth="1"/>
    <col min="7940" max="7945" width="10.1796875" style="3" customWidth="1"/>
    <col min="7946" max="8194" width="9.1796875" style="3"/>
    <col min="8195" max="8195" width="14" style="3" customWidth="1"/>
    <col min="8196" max="8201" width="10.1796875" style="3" customWidth="1"/>
    <col min="8202" max="8450" width="9.1796875" style="3"/>
    <col min="8451" max="8451" width="14" style="3" customWidth="1"/>
    <col min="8452" max="8457" width="10.1796875" style="3" customWidth="1"/>
    <col min="8458" max="8706" width="9.1796875" style="3"/>
    <col min="8707" max="8707" width="14" style="3" customWidth="1"/>
    <col min="8708" max="8713" width="10.1796875" style="3" customWidth="1"/>
    <col min="8714" max="8962" width="9.1796875" style="3"/>
    <col min="8963" max="8963" width="14" style="3" customWidth="1"/>
    <col min="8964" max="8969" width="10.1796875" style="3" customWidth="1"/>
    <col min="8970" max="9218" width="9.1796875" style="3"/>
    <col min="9219" max="9219" width="14" style="3" customWidth="1"/>
    <col min="9220" max="9225" width="10.1796875" style="3" customWidth="1"/>
    <col min="9226" max="9474" width="9.1796875" style="3"/>
    <col min="9475" max="9475" width="14" style="3" customWidth="1"/>
    <col min="9476" max="9481" width="10.1796875" style="3" customWidth="1"/>
    <col min="9482" max="9730" width="9.1796875" style="3"/>
    <col min="9731" max="9731" width="14" style="3" customWidth="1"/>
    <col min="9732" max="9737" width="10.1796875" style="3" customWidth="1"/>
    <col min="9738" max="9986" width="9.1796875" style="3"/>
    <col min="9987" max="9987" width="14" style="3" customWidth="1"/>
    <col min="9988" max="9993" width="10.1796875" style="3" customWidth="1"/>
    <col min="9994" max="10242" width="9.1796875" style="3"/>
    <col min="10243" max="10243" width="14" style="3" customWidth="1"/>
    <col min="10244" max="10249" width="10.1796875" style="3" customWidth="1"/>
    <col min="10250" max="10498" width="9.1796875" style="3"/>
    <col min="10499" max="10499" width="14" style="3" customWidth="1"/>
    <col min="10500" max="10505" width="10.1796875" style="3" customWidth="1"/>
    <col min="10506" max="10754" width="9.1796875" style="3"/>
    <col min="10755" max="10755" width="14" style="3" customWidth="1"/>
    <col min="10756" max="10761" width="10.1796875" style="3" customWidth="1"/>
    <col min="10762" max="11010" width="9.1796875" style="3"/>
    <col min="11011" max="11011" width="14" style="3" customWidth="1"/>
    <col min="11012" max="11017" width="10.1796875" style="3" customWidth="1"/>
    <col min="11018" max="11266" width="9.1796875" style="3"/>
    <col min="11267" max="11267" width="14" style="3" customWidth="1"/>
    <col min="11268" max="11273" width="10.1796875" style="3" customWidth="1"/>
    <col min="11274" max="11522" width="9.1796875" style="3"/>
    <col min="11523" max="11523" width="14" style="3" customWidth="1"/>
    <col min="11524" max="11529" width="10.1796875" style="3" customWidth="1"/>
    <col min="11530" max="11778" width="9.1796875" style="3"/>
    <col min="11779" max="11779" width="14" style="3" customWidth="1"/>
    <col min="11780" max="11785" width="10.1796875" style="3" customWidth="1"/>
    <col min="11786" max="12034" width="9.1796875" style="3"/>
    <col min="12035" max="12035" width="14" style="3" customWidth="1"/>
    <col min="12036" max="12041" width="10.1796875" style="3" customWidth="1"/>
    <col min="12042" max="12290" width="9.1796875" style="3"/>
    <col min="12291" max="12291" width="14" style="3" customWidth="1"/>
    <col min="12292" max="12297" width="10.1796875" style="3" customWidth="1"/>
    <col min="12298" max="12546" width="9.1796875" style="3"/>
    <col min="12547" max="12547" width="14" style="3" customWidth="1"/>
    <col min="12548" max="12553" width="10.1796875" style="3" customWidth="1"/>
    <col min="12554" max="12802" width="9.1796875" style="3"/>
    <col min="12803" max="12803" width="14" style="3" customWidth="1"/>
    <col min="12804" max="12809" width="10.1796875" style="3" customWidth="1"/>
    <col min="12810" max="13058" width="9.1796875" style="3"/>
    <col min="13059" max="13059" width="14" style="3" customWidth="1"/>
    <col min="13060" max="13065" width="10.1796875" style="3" customWidth="1"/>
    <col min="13066" max="13314" width="9.1796875" style="3"/>
    <col min="13315" max="13315" width="14" style="3" customWidth="1"/>
    <col min="13316" max="13321" width="10.1796875" style="3" customWidth="1"/>
    <col min="13322" max="13570" width="9.1796875" style="3"/>
    <col min="13571" max="13571" width="14" style="3" customWidth="1"/>
    <col min="13572" max="13577" width="10.1796875" style="3" customWidth="1"/>
    <col min="13578" max="13826" width="9.1796875" style="3"/>
    <col min="13827" max="13827" width="14" style="3" customWidth="1"/>
    <col min="13828" max="13833" width="10.1796875" style="3" customWidth="1"/>
    <col min="13834" max="14082" width="9.1796875" style="3"/>
    <col min="14083" max="14083" width="14" style="3" customWidth="1"/>
    <col min="14084" max="14089" width="10.1796875" style="3" customWidth="1"/>
    <col min="14090" max="14338" width="9.1796875" style="3"/>
    <col min="14339" max="14339" width="14" style="3" customWidth="1"/>
    <col min="14340" max="14345" width="10.1796875" style="3" customWidth="1"/>
    <col min="14346" max="14594" width="9.1796875" style="3"/>
    <col min="14595" max="14595" width="14" style="3" customWidth="1"/>
    <col min="14596" max="14601" width="10.1796875" style="3" customWidth="1"/>
    <col min="14602" max="14850" width="9.1796875" style="3"/>
    <col min="14851" max="14851" width="14" style="3" customWidth="1"/>
    <col min="14852" max="14857" width="10.1796875" style="3" customWidth="1"/>
    <col min="14858" max="15106" width="9.1796875" style="3"/>
    <col min="15107" max="15107" width="14" style="3" customWidth="1"/>
    <col min="15108" max="15113" width="10.1796875" style="3" customWidth="1"/>
    <col min="15114" max="15362" width="9.1796875" style="3"/>
    <col min="15363" max="15363" width="14" style="3" customWidth="1"/>
    <col min="15364" max="15369" width="10.1796875" style="3" customWidth="1"/>
    <col min="15370" max="15618" width="9.1796875" style="3"/>
    <col min="15619" max="15619" width="14" style="3" customWidth="1"/>
    <col min="15620" max="15625" width="10.1796875" style="3" customWidth="1"/>
    <col min="15626" max="15874" width="9.1796875" style="3"/>
    <col min="15875" max="15875" width="14" style="3" customWidth="1"/>
    <col min="15876" max="15881" width="10.1796875" style="3" customWidth="1"/>
    <col min="15882" max="16130" width="9.1796875" style="3"/>
    <col min="16131" max="16131" width="14" style="3" customWidth="1"/>
    <col min="16132" max="16137" width="10.1796875" style="3" customWidth="1"/>
    <col min="16138" max="16384" width="9.1796875" style="3"/>
  </cols>
  <sheetData>
    <row r="1" spans="1:21" ht="15.5" x14ac:dyDescent="0.35">
      <c r="A1" s="94" t="str">
        <f>+'Cover Page'!$B$29</f>
        <v>Annual Performance Report 2022</v>
      </c>
      <c r="B1" s="94"/>
      <c r="C1" s="94"/>
      <c r="D1" s="94"/>
      <c r="E1" s="94" t="str">
        <f>+'Cover Page'!$B$33</f>
        <v>Welland Biopower Ltd</v>
      </c>
    </row>
    <row r="3" spans="1:21" ht="14.5" x14ac:dyDescent="0.35">
      <c r="A3" s="56" t="s">
        <v>350</v>
      </c>
      <c r="E3" s="72" t="s">
        <v>303</v>
      </c>
      <c r="H3" s="76" t="s">
        <v>351</v>
      </c>
      <c r="J3" s="8" t="str">
        <f>+A3</f>
        <v>Monitoring of Carbon Monoxide (10-minute avg)</v>
      </c>
      <c r="L3" s="8"/>
      <c r="O3" s="8" t="s">
        <v>305</v>
      </c>
      <c r="Q3" s="73" t="s">
        <v>3</v>
      </c>
      <c r="S3" s="75" t="s">
        <v>3</v>
      </c>
      <c r="T3" s="70"/>
      <c r="U3" s="70"/>
    </row>
    <row r="4" spans="1:21" ht="14" customHeight="1" x14ac:dyDescent="0.3">
      <c r="S4" s="370" t="s">
        <v>352</v>
      </c>
      <c r="T4" s="370"/>
      <c r="U4" s="370"/>
    </row>
    <row r="5" spans="1:21" ht="16" x14ac:dyDescent="0.3">
      <c r="A5" s="64" t="s">
        <v>307</v>
      </c>
      <c r="B5" s="357" t="s">
        <v>353</v>
      </c>
      <c r="C5" s="357"/>
      <c r="D5" s="357"/>
      <c r="E5" s="357"/>
      <c r="F5" s="357" t="s">
        <v>309</v>
      </c>
      <c r="G5" s="357"/>
      <c r="H5" s="357"/>
      <c r="K5" s="356"/>
      <c r="L5" s="356"/>
      <c r="M5" s="356"/>
      <c r="N5" s="356"/>
      <c r="O5" s="356"/>
      <c r="P5" s="356"/>
      <c r="Q5" s="356"/>
      <c r="S5" s="370"/>
      <c r="T5" s="370"/>
      <c r="U5" s="370"/>
    </row>
    <row r="6" spans="1:21" s="54" customFormat="1" ht="37.5" customHeight="1" x14ac:dyDescent="0.35">
      <c r="A6" s="61">
        <f>+'Cover Page'!C39</f>
        <v>2022</v>
      </c>
      <c r="B6" s="51" t="s">
        <v>354</v>
      </c>
      <c r="C6" s="51" t="s">
        <v>355</v>
      </c>
      <c r="D6" s="51" t="s">
        <v>356</v>
      </c>
      <c r="E6" s="51" t="s">
        <v>357</v>
      </c>
      <c r="F6" s="51" t="s">
        <v>349</v>
      </c>
      <c r="G6" s="51" t="s">
        <v>314</v>
      </c>
      <c r="H6" s="51" t="s">
        <v>315</v>
      </c>
      <c r="I6" s="55"/>
      <c r="K6" s="57">
        <f>+A6</f>
        <v>2022</v>
      </c>
      <c r="L6" s="57" t="s">
        <v>316</v>
      </c>
      <c r="M6" s="51" t="s">
        <v>355</v>
      </c>
      <c r="N6" s="51" t="s">
        <v>356</v>
      </c>
      <c r="O6" s="51" t="s">
        <v>357</v>
      </c>
      <c r="P6" s="63" t="s">
        <v>314</v>
      </c>
      <c r="Q6" s="63" t="s">
        <v>318</v>
      </c>
      <c r="S6" s="370"/>
      <c r="T6" s="370"/>
      <c r="U6" s="370"/>
    </row>
    <row r="7" spans="1:21" x14ac:dyDescent="0.3">
      <c r="A7" s="62" t="s">
        <v>319</v>
      </c>
      <c r="B7" s="65">
        <v>150</v>
      </c>
      <c r="C7" s="60"/>
      <c r="D7" s="60"/>
      <c r="E7" s="60"/>
      <c r="F7" s="65">
        <v>50</v>
      </c>
      <c r="G7" s="60"/>
      <c r="H7" s="60"/>
      <c r="K7" s="355" t="s">
        <v>170</v>
      </c>
      <c r="L7" s="62" t="s">
        <v>319</v>
      </c>
      <c r="M7" s="60"/>
      <c r="N7" s="60"/>
      <c r="O7" s="60"/>
      <c r="P7" s="60"/>
      <c r="Q7" s="60"/>
      <c r="S7" s="370"/>
      <c r="T7" s="370"/>
      <c r="U7" s="370"/>
    </row>
    <row r="8" spans="1:21" x14ac:dyDescent="0.3">
      <c r="A8" s="62" t="s">
        <v>320</v>
      </c>
      <c r="B8" s="59">
        <f>+B7</f>
        <v>150</v>
      </c>
      <c r="C8" s="60"/>
      <c r="D8" s="60"/>
      <c r="E8" s="60"/>
      <c r="F8" s="59">
        <f>+F7</f>
        <v>50</v>
      </c>
      <c r="G8" s="60"/>
      <c r="H8" s="60"/>
      <c r="K8" s="355"/>
      <c r="L8" s="62" t="s">
        <v>320</v>
      </c>
      <c r="M8" s="60"/>
      <c r="N8" s="60"/>
      <c r="O8" s="60"/>
      <c r="P8" s="60"/>
      <c r="Q8" s="60"/>
      <c r="S8" s="370"/>
      <c r="T8" s="370"/>
      <c r="U8" s="370"/>
    </row>
    <row r="9" spans="1:21" x14ac:dyDescent="0.3">
      <c r="A9" s="62" t="s">
        <v>321</v>
      </c>
      <c r="B9" s="59">
        <f t="shared" ref="B9:B18" si="0">+B8</f>
        <v>150</v>
      </c>
      <c r="C9" s="60"/>
      <c r="D9" s="60"/>
      <c r="E9" s="60"/>
      <c r="F9" s="59">
        <f t="shared" ref="F9:F18" si="1">+F8</f>
        <v>50</v>
      </c>
      <c r="G9" s="60"/>
      <c r="H9" s="60"/>
      <c r="K9" s="355"/>
      <c r="L9" s="62" t="s">
        <v>321</v>
      </c>
      <c r="M9" s="60"/>
      <c r="N9" s="60"/>
      <c r="O9" s="60"/>
      <c r="P9" s="60"/>
      <c r="Q9" s="60"/>
      <c r="S9" s="74" t="s">
        <v>358</v>
      </c>
    </row>
    <row r="10" spans="1:21" x14ac:dyDescent="0.3">
      <c r="A10" s="62" t="s">
        <v>323</v>
      </c>
      <c r="B10" s="59">
        <f t="shared" si="0"/>
        <v>150</v>
      </c>
      <c r="C10" s="60"/>
      <c r="D10" s="60"/>
      <c r="E10" s="60"/>
      <c r="F10" s="59">
        <f t="shared" si="1"/>
        <v>50</v>
      </c>
      <c r="G10" s="60"/>
      <c r="H10" s="60"/>
      <c r="K10" s="355"/>
      <c r="L10" s="62" t="s">
        <v>323</v>
      </c>
      <c r="M10" s="60"/>
      <c r="N10" s="60"/>
      <c r="O10" s="60"/>
      <c r="P10" s="60"/>
      <c r="Q10" s="60"/>
      <c r="S10" s="354" t="s">
        <v>359</v>
      </c>
      <c r="T10" s="354"/>
      <c r="U10" s="354"/>
    </row>
    <row r="11" spans="1:21" x14ac:dyDescent="0.3">
      <c r="A11" s="62" t="s">
        <v>325</v>
      </c>
      <c r="B11" s="59">
        <f t="shared" si="0"/>
        <v>150</v>
      </c>
      <c r="C11" s="60"/>
      <c r="D11" s="60"/>
      <c r="E11" s="60"/>
      <c r="F11" s="59">
        <f t="shared" si="1"/>
        <v>50</v>
      </c>
      <c r="G11" s="60"/>
      <c r="H11" s="60"/>
      <c r="K11" s="355"/>
      <c r="L11" s="62" t="s">
        <v>325</v>
      </c>
      <c r="M11" s="60"/>
      <c r="N11" s="60"/>
      <c r="O11" s="60"/>
      <c r="P11" s="60"/>
      <c r="Q11" s="60"/>
      <c r="S11" s="354"/>
      <c r="T11" s="354"/>
      <c r="U11" s="354"/>
    </row>
    <row r="12" spans="1:21" x14ac:dyDescent="0.3">
      <c r="A12" s="62" t="s">
        <v>326</v>
      </c>
      <c r="B12" s="59">
        <f t="shared" si="0"/>
        <v>150</v>
      </c>
      <c r="C12" s="60"/>
      <c r="D12" s="60"/>
      <c r="E12" s="60"/>
      <c r="F12" s="59">
        <f t="shared" si="1"/>
        <v>50</v>
      </c>
      <c r="G12" s="60"/>
      <c r="H12" s="60"/>
      <c r="K12" s="355"/>
      <c r="L12" s="62" t="s">
        <v>326</v>
      </c>
      <c r="M12" s="60"/>
      <c r="N12" s="60"/>
      <c r="O12" s="60"/>
      <c r="P12" s="60"/>
      <c r="Q12" s="60"/>
      <c r="S12" s="354"/>
      <c r="T12" s="354"/>
      <c r="U12" s="354"/>
    </row>
    <row r="13" spans="1:21" x14ac:dyDescent="0.3">
      <c r="A13" s="62" t="s">
        <v>327</v>
      </c>
      <c r="B13" s="59">
        <f t="shared" si="0"/>
        <v>150</v>
      </c>
      <c r="C13" s="60"/>
      <c r="D13" s="60"/>
      <c r="E13" s="60"/>
      <c r="F13" s="59">
        <f t="shared" si="1"/>
        <v>50</v>
      </c>
      <c r="G13" s="60"/>
      <c r="H13" s="60"/>
      <c r="K13" s="355"/>
      <c r="L13" s="62" t="s">
        <v>327</v>
      </c>
      <c r="M13" s="60"/>
      <c r="N13" s="60"/>
      <c r="O13" s="60"/>
      <c r="P13" s="60"/>
      <c r="Q13" s="60"/>
      <c r="S13" s="354" t="s">
        <v>360</v>
      </c>
      <c r="T13" s="354"/>
      <c r="U13" s="354"/>
    </row>
    <row r="14" spans="1:21" x14ac:dyDescent="0.3">
      <c r="A14" s="62" t="s">
        <v>329</v>
      </c>
      <c r="B14" s="59">
        <f t="shared" si="0"/>
        <v>150</v>
      </c>
      <c r="C14" s="60"/>
      <c r="D14" s="60"/>
      <c r="E14" s="60"/>
      <c r="F14" s="59">
        <f t="shared" si="1"/>
        <v>50</v>
      </c>
      <c r="G14" s="60"/>
      <c r="H14" s="60"/>
      <c r="K14" s="355"/>
      <c r="L14" s="62" t="s">
        <v>329</v>
      </c>
      <c r="M14" s="60"/>
      <c r="N14" s="60"/>
      <c r="O14" s="60"/>
      <c r="P14" s="60"/>
      <c r="Q14" s="60"/>
      <c r="S14" s="354"/>
      <c r="T14" s="354"/>
      <c r="U14" s="354"/>
    </row>
    <row r="15" spans="1:21" x14ac:dyDescent="0.3">
      <c r="A15" s="62" t="s">
        <v>330</v>
      </c>
      <c r="B15" s="59">
        <f t="shared" si="0"/>
        <v>150</v>
      </c>
      <c r="C15" s="60"/>
      <c r="D15" s="60"/>
      <c r="E15" s="60"/>
      <c r="F15" s="59">
        <f t="shared" si="1"/>
        <v>50</v>
      </c>
      <c r="G15" s="60"/>
      <c r="H15" s="60"/>
      <c r="K15" s="355"/>
      <c r="L15" s="62" t="s">
        <v>330</v>
      </c>
      <c r="M15" s="60"/>
      <c r="N15" s="60"/>
      <c r="O15" s="60"/>
      <c r="P15" s="60"/>
      <c r="Q15" s="60"/>
      <c r="S15" s="354"/>
      <c r="T15" s="354"/>
      <c r="U15" s="354"/>
    </row>
    <row r="16" spans="1:21" x14ac:dyDescent="0.3">
      <c r="A16" s="62" t="s">
        <v>331</v>
      </c>
      <c r="B16" s="59">
        <f t="shared" si="0"/>
        <v>150</v>
      </c>
      <c r="C16" s="60"/>
      <c r="D16" s="60"/>
      <c r="E16" s="60"/>
      <c r="F16" s="59">
        <f t="shared" si="1"/>
        <v>50</v>
      </c>
      <c r="G16" s="60"/>
      <c r="H16" s="60"/>
      <c r="K16" s="355"/>
      <c r="L16" s="62" t="s">
        <v>331</v>
      </c>
      <c r="M16" s="60"/>
      <c r="N16" s="60"/>
      <c r="O16" s="60"/>
      <c r="P16" s="60"/>
      <c r="Q16" s="60"/>
      <c r="S16" s="354"/>
      <c r="T16" s="354"/>
      <c r="U16" s="354"/>
    </row>
    <row r="17" spans="1:17" x14ac:dyDescent="0.3">
      <c r="A17" s="62" t="s">
        <v>332</v>
      </c>
      <c r="B17" s="59">
        <f t="shared" si="0"/>
        <v>150</v>
      </c>
      <c r="C17" s="60"/>
      <c r="D17" s="60"/>
      <c r="E17" s="60"/>
      <c r="F17" s="59">
        <f t="shared" si="1"/>
        <v>50</v>
      </c>
      <c r="G17" s="60"/>
      <c r="H17" s="60"/>
      <c r="K17" s="355"/>
      <c r="L17" s="62" t="s">
        <v>332</v>
      </c>
      <c r="M17" s="60"/>
      <c r="N17" s="60"/>
      <c r="O17" s="60"/>
      <c r="P17" s="60"/>
      <c r="Q17" s="60"/>
    </row>
    <row r="18" spans="1:17" x14ac:dyDescent="0.3">
      <c r="A18" s="62" t="s">
        <v>333</v>
      </c>
      <c r="B18" s="59">
        <f t="shared" si="0"/>
        <v>150</v>
      </c>
      <c r="C18" s="60"/>
      <c r="D18" s="60"/>
      <c r="E18" s="60"/>
      <c r="F18" s="59">
        <f t="shared" si="1"/>
        <v>50</v>
      </c>
      <c r="G18" s="60"/>
      <c r="H18" s="60"/>
      <c r="K18" s="355"/>
      <c r="L18" s="62" t="s">
        <v>333</v>
      </c>
      <c r="M18" s="60"/>
      <c r="N18" s="60"/>
      <c r="O18" s="60"/>
      <c r="P18" s="60"/>
      <c r="Q18" s="60"/>
    </row>
    <row r="19" spans="1:17" x14ac:dyDescent="0.3">
      <c r="K19" s="355"/>
      <c r="L19" s="58" t="s">
        <v>334</v>
      </c>
      <c r="M19" s="58" t="e">
        <f>AVERAGE(M7:M18)</f>
        <v>#DIV/0!</v>
      </c>
      <c r="N19" s="58"/>
      <c r="O19" s="58">
        <f>MAX(O7:O18)</f>
        <v>0</v>
      </c>
      <c r="P19" s="58" t="e">
        <f>AVERAGE(P7:P18)</f>
        <v>#DIV/0!</v>
      </c>
      <c r="Q19" s="58">
        <f>MAX(Q7:Q18)</f>
        <v>0</v>
      </c>
    </row>
    <row r="21" spans="1:17" ht="28" x14ac:dyDescent="0.3">
      <c r="K21" s="57">
        <f>+A6</f>
        <v>2022</v>
      </c>
      <c r="L21" s="57" t="s">
        <v>316</v>
      </c>
      <c r="M21" s="51" t="s">
        <v>355</v>
      </c>
      <c r="N21" s="51" t="s">
        <v>356</v>
      </c>
      <c r="O21" s="51" t="s">
        <v>357</v>
      </c>
      <c r="P21" s="63" t="s">
        <v>314</v>
      </c>
      <c r="Q21" s="63" t="s">
        <v>318</v>
      </c>
    </row>
    <row r="22" spans="1:17" x14ac:dyDescent="0.3">
      <c r="K22" s="355" t="s">
        <v>171</v>
      </c>
      <c r="L22" s="62" t="s">
        <v>319</v>
      </c>
      <c r="M22" s="60"/>
      <c r="N22" s="60"/>
      <c r="O22" s="60"/>
      <c r="P22" s="60"/>
      <c r="Q22" s="60"/>
    </row>
    <row r="23" spans="1:17" x14ac:dyDescent="0.3">
      <c r="K23" s="355"/>
      <c r="L23" s="62" t="s">
        <v>320</v>
      </c>
      <c r="M23" s="60"/>
      <c r="N23" s="60"/>
      <c r="O23" s="60"/>
      <c r="P23" s="60"/>
      <c r="Q23" s="60"/>
    </row>
    <row r="24" spans="1:17" x14ac:dyDescent="0.3">
      <c r="K24" s="355"/>
      <c r="L24" s="62" t="s">
        <v>321</v>
      </c>
      <c r="M24" s="60"/>
      <c r="N24" s="60"/>
      <c r="O24" s="60"/>
      <c r="P24" s="60"/>
      <c r="Q24" s="60"/>
    </row>
    <row r="25" spans="1:17" x14ac:dyDescent="0.3">
      <c r="K25" s="355"/>
      <c r="L25" s="62" t="s">
        <v>323</v>
      </c>
      <c r="M25" s="60"/>
      <c r="N25" s="60"/>
      <c r="O25" s="60"/>
      <c r="P25" s="60"/>
      <c r="Q25" s="60"/>
    </row>
    <row r="26" spans="1:17" x14ac:dyDescent="0.3">
      <c r="K26" s="355"/>
      <c r="L26" s="62" t="s">
        <v>325</v>
      </c>
      <c r="M26" s="60"/>
      <c r="N26" s="60"/>
      <c r="O26" s="60"/>
      <c r="P26" s="60"/>
      <c r="Q26" s="60"/>
    </row>
    <row r="27" spans="1:17" x14ac:dyDescent="0.3">
      <c r="K27" s="355"/>
      <c r="L27" s="62" t="s">
        <v>326</v>
      </c>
      <c r="M27" s="60"/>
      <c r="N27" s="60"/>
      <c r="O27" s="60"/>
      <c r="P27" s="60"/>
      <c r="Q27" s="60"/>
    </row>
    <row r="28" spans="1:17" x14ac:dyDescent="0.3">
      <c r="K28" s="355"/>
      <c r="L28" s="62" t="s">
        <v>327</v>
      </c>
      <c r="M28" s="60"/>
      <c r="N28" s="60"/>
      <c r="O28" s="60"/>
      <c r="P28" s="60"/>
      <c r="Q28" s="60"/>
    </row>
    <row r="29" spans="1:17" x14ac:dyDescent="0.3">
      <c r="K29" s="355"/>
      <c r="L29" s="62" t="s">
        <v>329</v>
      </c>
      <c r="M29" s="60"/>
      <c r="N29" s="60"/>
      <c r="O29" s="60"/>
      <c r="P29" s="60"/>
      <c r="Q29" s="60"/>
    </row>
    <row r="30" spans="1:17" x14ac:dyDescent="0.3">
      <c r="K30" s="355"/>
      <c r="L30" s="62" t="s">
        <v>330</v>
      </c>
      <c r="M30" s="60"/>
      <c r="N30" s="60"/>
      <c r="O30" s="60"/>
      <c r="P30" s="60"/>
      <c r="Q30" s="60"/>
    </row>
    <row r="31" spans="1:17" x14ac:dyDescent="0.3">
      <c r="K31" s="355"/>
      <c r="L31" s="62" t="s">
        <v>331</v>
      </c>
      <c r="M31" s="60"/>
      <c r="N31" s="60"/>
      <c r="O31" s="60"/>
      <c r="P31" s="60"/>
      <c r="Q31" s="60"/>
    </row>
    <row r="32" spans="1:17" x14ac:dyDescent="0.3">
      <c r="K32" s="355"/>
      <c r="L32" s="62" t="s">
        <v>332</v>
      </c>
      <c r="M32" s="60"/>
      <c r="N32" s="60"/>
      <c r="O32" s="60"/>
      <c r="P32" s="60"/>
      <c r="Q32" s="60"/>
    </row>
    <row r="33" spans="1:17" x14ac:dyDescent="0.3">
      <c r="K33" s="355"/>
      <c r="L33" s="62" t="s">
        <v>333</v>
      </c>
      <c r="M33" s="60"/>
      <c r="N33" s="60"/>
      <c r="O33" s="60"/>
      <c r="P33" s="60"/>
      <c r="Q33" s="60"/>
    </row>
    <row r="34" spans="1:17" x14ac:dyDescent="0.3">
      <c r="K34" s="355"/>
      <c r="L34" s="58" t="s">
        <v>334</v>
      </c>
      <c r="M34" s="58" t="e">
        <f>AVERAGE(M22:M33)</f>
        <v>#DIV/0!</v>
      </c>
      <c r="N34" s="58"/>
      <c r="O34" s="58">
        <f>MAX(O22:O33)</f>
        <v>0</v>
      </c>
      <c r="P34" s="58" t="e">
        <f>AVERAGE(P22:P33)</f>
        <v>#DIV/0!</v>
      </c>
      <c r="Q34" s="58">
        <f>MAX(Q22:Q33)</f>
        <v>0</v>
      </c>
    </row>
    <row r="36" spans="1:17" ht="28" x14ac:dyDescent="0.3">
      <c r="K36" s="57">
        <f>+A6</f>
        <v>2022</v>
      </c>
      <c r="L36" s="57" t="s">
        <v>316</v>
      </c>
      <c r="M36" s="51" t="s">
        <v>355</v>
      </c>
      <c r="N36" s="51" t="s">
        <v>356</v>
      </c>
      <c r="O36" s="51" t="s">
        <v>357</v>
      </c>
      <c r="P36" s="63" t="s">
        <v>314</v>
      </c>
      <c r="Q36" s="63" t="s">
        <v>318</v>
      </c>
    </row>
    <row r="37" spans="1:17" x14ac:dyDescent="0.3">
      <c r="K37" s="355" t="s">
        <v>172</v>
      </c>
      <c r="L37" s="62" t="s">
        <v>319</v>
      </c>
      <c r="M37" s="60"/>
      <c r="N37" s="60"/>
      <c r="O37" s="60"/>
      <c r="P37" s="60"/>
      <c r="Q37" s="60"/>
    </row>
    <row r="38" spans="1:17" x14ac:dyDescent="0.3">
      <c r="K38" s="355"/>
      <c r="L38" s="62" t="s">
        <v>320</v>
      </c>
      <c r="M38" s="60"/>
      <c r="N38" s="60"/>
      <c r="O38" s="60"/>
      <c r="P38" s="60"/>
      <c r="Q38" s="60"/>
    </row>
    <row r="39" spans="1:17" x14ac:dyDescent="0.3">
      <c r="K39" s="355"/>
      <c r="L39" s="62" t="s">
        <v>321</v>
      </c>
      <c r="M39" s="60"/>
      <c r="N39" s="60"/>
      <c r="O39" s="60"/>
      <c r="P39" s="60"/>
      <c r="Q39" s="60"/>
    </row>
    <row r="40" spans="1:17" x14ac:dyDescent="0.3">
      <c r="K40" s="355"/>
      <c r="L40" s="62" t="s">
        <v>323</v>
      </c>
      <c r="M40" s="60"/>
      <c r="N40" s="60"/>
      <c r="O40" s="60"/>
      <c r="P40" s="60"/>
      <c r="Q40" s="60"/>
    </row>
    <row r="41" spans="1:17" x14ac:dyDescent="0.3">
      <c r="K41" s="355"/>
      <c r="L41" s="62" t="s">
        <v>325</v>
      </c>
      <c r="M41" s="60"/>
      <c r="N41" s="60"/>
      <c r="O41" s="60"/>
      <c r="P41" s="60"/>
      <c r="Q41" s="60"/>
    </row>
    <row r="42" spans="1:17" x14ac:dyDescent="0.3">
      <c r="K42" s="355"/>
      <c r="L42" s="62" t="s">
        <v>326</v>
      </c>
      <c r="M42" s="60"/>
      <c r="N42" s="60"/>
      <c r="O42" s="60"/>
      <c r="P42" s="60"/>
      <c r="Q42" s="60"/>
    </row>
    <row r="43" spans="1:17" x14ac:dyDescent="0.3">
      <c r="K43" s="355"/>
      <c r="L43" s="62" t="s">
        <v>327</v>
      </c>
      <c r="M43" s="60"/>
      <c r="N43" s="60"/>
      <c r="O43" s="60"/>
      <c r="P43" s="60"/>
      <c r="Q43" s="60"/>
    </row>
    <row r="44" spans="1:17" x14ac:dyDescent="0.3">
      <c r="K44" s="355"/>
      <c r="L44" s="62" t="s">
        <v>329</v>
      </c>
      <c r="M44" s="60"/>
      <c r="N44" s="60"/>
      <c r="O44" s="60"/>
      <c r="P44" s="60"/>
      <c r="Q44" s="60"/>
    </row>
    <row r="45" spans="1:17" x14ac:dyDescent="0.3">
      <c r="K45" s="355"/>
      <c r="L45" s="62" t="s">
        <v>330</v>
      </c>
      <c r="M45" s="60"/>
      <c r="N45" s="60"/>
      <c r="O45" s="60"/>
      <c r="P45" s="60"/>
      <c r="Q45" s="60"/>
    </row>
    <row r="46" spans="1:17" x14ac:dyDescent="0.3">
      <c r="K46" s="355"/>
      <c r="L46" s="62" t="s">
        <v>331</v>
      </c>
      <c r="M46" s="60"/>
      <c r="N46" s="60"/>
      <c r="O46" s="60"/>
      <c r="P46" s="60"/>
      <c r="Q46" s="60"/>
    </row>
    <row r="47" spans="1:17" x14ac:dyDescent="0.3">
      <c r="K47" s="355"/>
      <c r="L47" s="62" t="s">
        <v>332</v>
      </c>
      <c r="M47" s="60"/>
      <c r="N47" s="60"/>
      <c r="O47" s="60"/>
      <c r="P47" s="60"/>
      <c r="Q47" s="60"/>
    </row>
    <row r="48" spans="1:17" x14ac:dyDescent="0.3">
      <c r="A48" s="367" t="s">
        <v>242</v>
      </c>
      <c r="B48" s="368"/>
      <c r="C48" s="368"/>
      <c r="D48" s="368"/>
      <c r="E48" s="368"/>
      <c r="F48" s="368"/>
      <c r="G48" s="368"/>
      <c r="H48" s="369"/>
      <c r="K48" s="355"/>
      <c r="L48" s="62" t="s">
        <v>333</v>
      </c>
      <c r="M48" s="60"/>
      <c r="N48" s="60"/>
      <c r="O48" s="60"/>
      <c r="P48" s="60"/>
      <c r="Q48" s="60"/>
    </row>
    <row r="49" spans="1:17" x14ac:dyDescent="0.3">
      <c r="A49" s="371" t="s">
        <v>361</v>
      </c>
      <c r="B49" s="333"/>
      <c r="C49" s="333"/>
      <c r="D49" s="333"/>
      <c r="E49" s="333"/>
      <c r="F49" s="333"/>
      <c r="G49" s="333"/>
      <c r="H49" s="372"/>
      <c r="K49" s="355"/>
      <c r="L49" s="58" t="s">
        <v>334</v>
      </c>
      <c r="M49" s="58" t="e">
        <f>AVERAGE(M37:M48)</f>
        <v>#DIV/0!</v>
      </c>
      <c r="N49" s="58"/>
      <c r="O49" s="58">
        <f>MAX(O37:O48)</f>
        <v>0</v>
      </c>
      <c r="P49" s="58" t="e">
        <f>AVERAGE(P37:P48)</f>
        <v>#DIV/0!</v>
      </c>
      <c r="Q49" s="58">
        <f>MAX(Q37:Q48)</f>
        <v>0</v>
      </c>
    </row>
    <row r="50" spans="1:17" x14ac:dyDescent="0.3">
      <c r="A50" s="373"/>
      <c r="B50" s="334"/>
      <c r="C50" s="334"/>
      <c r="D50" s="334"/>
      <c r="E50" s="334"/>
      <c r="F50" s="334"/>
      <c r="G50" s="334"/>
      <c r="H50" s="374"/>
    </row>
    <row r="51" spans="1:17" ht="28" x14ac:dyDescent="0.3">
      <c r="A51" s="373"/>
      <c r="B51" s="334"/>
      <c r="C51" s="334"/>
      <c r="D51" s="334"/>
      <c r="E51" s="334"/>
      <c r="F51" s="334"/>
      <c r="G51" s="334"/>
      <c r="H51" s="374"/>
      <c r="K51" s="57">
        <f>+A6</f>
        <v>2022</v>
      </c>
      <c r="L51" s="57" t="s">
        <v>316</v>
      </c>
      <c r="M51" s="51" t="s">
        <v>355</v>
      </c>
      <c r="N51" s="51" t="s">
        <v>356</v>
      </c>
      <c r="O51" s="51" t="s">
        <v>357</v>
      </c>
      <c r="P51" s="63" t="s">
        <v>314</v>
      </c>
      <c r="Q51" s="63" t="s">
        <v>318</v>
      </c>
    </row>
    <row r="52" spans="1:17" x14ac:dyDescent="0.3">
      <c r="A52" s="375"/>
      <c r="B52" s="376"/>
      <c r="C52" s="376"/>
      <c r="D52" s="376"/>
      <c r="E52" s="376"/>
      <c r="F52" s="376"/>
      <c r="G52" s="376"/>
      <c r="H52" s="377"/>
      <c r="K52" s="355" t="s">
        <v>173</v>
      </c>
      <c r="L52" s="62" t="s">
        <v>319</v>
      </c>
      <c r="M52" s="60"/>
      <c r="N52" s="60"/>
      <c r="O52" s="60"/>
      <c r="P52" s="60"/>
      <c r="Q52" s="60"/>
    </row>
    <row r="53" spans="1:17" x14ac:dyDescent="0.3">
      <c r="K53" s="355"/>
      <c r="L53" s="62" t="s">
        <v>320</v>
      </c>
      <c r="M53" s="60"/>
      <c r="N53" s="60"/>
      <c r="O53" s="60"/>
      <c r="P53" s="60"/>
      <c r="Q53" s="60"/>
    </row>
    <row r="54" spans="1:17" x14ac:dyDescent="0.3">
      <c r="K54" s="355"/>
      <c r="L54" s="62" t="s">
        <v>321</v>
      </c>
      <c r="M54" s="60"/>
      <c r="N54" s="60"/>
      <c r="O54" s="60"/>
      <c r="P54" s="60"/>
      <c r="Q54" s="60"/>
    </row>
    <row r="55" spans="1:17" x14ac:dyDescent="0.3">
      <c r="K55" s="355"/>
      <c r="L55" s="62" t="s">
        <v>323</v>
      </c>
      <c r="M55" s="60"/>
      <c r="N55" s="60"/>
      <c r="O55" s="60"/>
      <c r="P55" s="60"/>
      <c r="Q55" s="60"/>
    </row>
    <row r="56" spans="1:17" x14ac:dyDescent="0.3">
      <c r="K56" s="355"/>
      <c r="L56" s="62" t="s">
        <v>325</v>
      </c>
      <c r="M56" s="60"/>
      <c r="N56" s="60"/>
      <c r="O56" s="60"/>
      <c r="P56" s="60"/>
      <c r="Q56" s="60"/>
    </row>
    <row r="57" spans="1:17" x14ac:dyDescent="0.3">
      <c r="K57" s="355"/>
      <c r="L57" s="62" t="s">
        <v>326</v>
      </c>
      <c r="M57" s="60"/>
      <c r="N57" s="60"/>
      <c r="O57" s="60"/>
      <c r="P57" s="60"/>
      <c r="Q57" s="60"/>
    </row>
    <row r="58" spans="1:17" x14ac:dyDescent="0.3">
      <c r="K58" s="355"/>
      <c r="L58" s="62" t="s">
        <v>327</v>
      </c>
      <c r="M58" s="60"/>
      <c r="N58" s="60"/>
      <c r="O58" s="60"/>
      <c r="P58" s="60"/>
      <c r="Q58" s="60"/>
    </row>
    <row r="59" spans="1:17" x14ac:dyDescent="0.3">
      <c r="K59" s="355"/>
      <c r="L59" s="62" t="s">
        <v>329</v>
      </c>
      <c r="M59" s="60"/>
      <c r="N59" s="60"/>
      <c r="O59" s="60"/>
      <c r="P59" s="60"/>
      <c r="Q59" s="60"/>
    </row>
    <row r="60" spans="1:17" x14ac:dyDescent="0.3">
      <c r="K60" s="355"/>
      <c r="L60" s="62" t="s">
        <v>330</v>
      </c>
      <c r="M60" s="60"/>
      <c r="N60" s="60"/>
      <c r="O60" s="60"/>
      <c r="P60" s="60"/>
      <c r="Q60" s="60"/>
    </row>
    <row r="61" spans="1:17" x14ac:dyDescent="0.3">
      <c r="K61" s="355"/>
      <c r="L61" s="62" t="s">
        <v>331</v>
      </c>
      <c r="M61" s="60"/>
      <c r="N61" s="60"/>
      <c r="O61" s="60"/>
      <c r="P61" s="60"/>
      <c r="Q61" s="60"/>
    </row>
    <row r="62" spans="1:17" x14ac:dyDescent="0.3">
      <c r="K62" s="355"/>
      <c r="L62" s="62" t="s">
        <v>332</v>
      </c>
      <c r="M62" s="60"/>
      <c r="N62" s="60"/>
      <c r="O62" s="60"/>
      <c r="P62" s="60"/>
      <c r="Q62" s="60"/>
    </row>
    <row r="63" spans="1:17" x14ac:dyDescent="0.3">
      <c r="K63" s="355"/>
      <c r="L63" s="62" t="s">
        <v>333</v>
      </c>
      <c r="M63" s="60"/>
      <c r="N63" s="60"/>
      <c r="O63" s="60"/>
      <c r="P63" s="60"/>
      <c r="Q63" s="60"/>
    </row>
    <row r="64" spans="1:17" x14ac:dyDescent="0.3">
      <c r="K64" s="355"/>
      <c r="L64" s="58" t="s">
        <v>334</v>
      </c>
      <c r="M64" s="58" t="e">
        <f>AVERAGE(M52:M63)</f>
        <v>#DIV/0!</v>
      </c>
      <c r="N64" s="58"/>
      <c r="O64" s="58">
        <f>MAX(O52:O63)</f>
        <v>0</v>
      </c>
      <c r="P64" s="58" t="e">
        <f>AVERAGE(P52:P63)</f>
        <v>#DIV/0!</v>
      </c>
      <c r="Q64" s="58">
        <f>MAX(Q52:Q63)</f>
        <v>0</v>
      </c>
    </row>
    <row r="66" spans="11:17" ht="28" x14ac:dyDescent="0.3">
      <c r="K66" s="57">
        <f>+A6</f>
        <v>2022</v>
      </c>
      <c r="L66" s="57" t="s">
        <v>316</v>
      </c>
      <c r="M66" s="51" t="s">
        <v>355</v>
      </c>
      <c r="N66" s="51" t="s">
        <v>356</v>
      </c>
      <c r="O66" s="51" t="s">
        <v>357</v>
      </c>
      <c r="P66" s="63" t="s">
        <v>314</v>
      </c>
      <c r="Q66" s="63" t="s">
        <v>318</v>
      </c>
    </row>
    <row r="67" spans="11:17" x14ac:dyDescent="0.3">
      <c r="K67" s="355" t="s">
        <v>174</v>
      </c>
      <c r="L67" s="62" t="s">
        <v>319</v>
      </c>
      <c r="M67" s="60"/>
      <c r="N67" s="60"/>
      <c r="O67" s="60"/>
      <c r="P67" s="60"/>
      <c r="Q67" s="60"/>
    </row>
    <row r="68" spans="11:17" x14ac:dyDescent="0.3">
      <c r="K68" s="355"/>
      <c r="L68" s="62" t="s">
        <v>320</v>
      </c>
      <c r="M68" s="60"/>
      <c r="N68" s="60"/>
      <c r="O68" s="60"/>
      <c r="P68" s="60"/>
      <c r="Q68" s="60"/>
    </row>
    <row r="69" spans="11:17" x14ac:dyDescent="0.3">
      <c r="K69" s="355"/>
      <c r="L69" s="62" t="s">
        <v>321</v>
      </c>
      <c r="M69" s="60"/>
      <c r="N69" s="60"/>
      <c r="O69" s="60"/>
      <c r="P69" s="60"/>
      <c r="Q69" s="60"/>
    </row>
    <row r="70" spans="11:17" x14ac:dyDescent="0.3">
      <c r="K70" s="355"/>
      <c r="L70" s="62" t="s">
        <v>323</v>
      </c>
      <c r="M70" s="60"/>
      <c r="N70" s="60"/>
      <c r="O70" s="60"/>
      <c r="P70" s="60"/>
      <c r="Q70" s="60"/>
    </row>
    <row r="71" spans="11:17" x14ac:dyDescent="0.3">
      <c r="K71" s="355"/>
      <c r="L71" s="62" t="s">
        <v>325</v>
      </c>
      <c r="M71" s="60"/>
      <c r="N71" s="60"/>
      <c r="O71" s="60"/>
      <c r="P71" s="60"/>
      <c r="Q71" s="60"/>
    </row>
    <row r="72" spans="11:17" x14ac:dyDescent="0.3">
      <c r="K72" s="355"/>
      <c r="L72" s="62" t="s">
        <v>326</v>
      </c>
      <c r="M72" s="60"/>
      <c r="N72" s="60"/>
      <c r="O72" s="60"/>
      <c r="P72" s="60"/>
      <c r="Q72" s="60"/>
    </row>
    <row r="73" spans="11:17" x14ac:dyDescent="0.3">
      <c r="K73" s="355"/>
      <c r="L73" s="62" t="s">
        <v>327</v>
      </c>
      <c r="M73" s="60"/>
      <c r="N73" s="60"/>
      <c r="O73" s="60"/>
      <c r="P73" s="60"/>
      <c r="Q73" s="60"/>
    </row>
    <row r="74" spans="11:17" x14ac:dyDescent="0.3">
      <c r="K74" s="355"/>
      <c r="L74" s="62" t="s">
        <v>329</v>
      </c>
      <c r="M74" s="60"/>
      <c r="N74" s="60"/>
      <c r="O74" s="60"/>
      <c r="P74" s="60"/>
      <c r="Q74" s="60"/>
    </row>
    <row r="75" spans="11:17" x14ac:dyDescent="0.3">
      <c r="K75" s="355"/>
      <c r="L75" s="62" t="s">
        <v>330</v>
      </c>
      <c r="M75" s="60"/>
      <c r="N75" s="60"/>
      <c r="O75" s="60"/>
      <c r="P75" s="60"/>
      <c r="Q75" s="60"/>
    </row>
    <row r="76" spans="11:17" x14ac:dyDescent="0.3">
      <c r="K76" s="355"/>
      <c r="L76" s="62" t="s">
        <v>331</v>
      </c>
      <c r="M76" s="60"/>
      <c r="N76" s="60"/>
      <c r="O76" s="60"/>
      <c r="P76" s="60"/>
      <c r="Q76" s="60"/>
    </row>
    <row r="77" spans="11:17" x14ac:dyDescent="0.3">
      <c r="K77" s="355"/>
      <c r="L77" s="62" t="s">
        <v>332</v>
      </c>
      <c r="M77" s="60"/>
      <c r="N77" s="60"/>
      <c r="O77" s="60"/>
      <c r="P77" s="60"/>
      <c r="Q77" s="60"/>
    </row>
    <row r="78" spans="11:17" x14ac:dyDescent="0.3">
      <c r="K78" s="355"/>
      <c r="L78" s="62" t="s">
        <v>333</v>
      </c>
      <c r="M78" s="60"/>
      <c r="N78" s="60"/>
      <c r="O78" s="60"/>
      <c r="P78" s="60"/>
      <c r="Q78" s="60"/>
    </row>
    <row r="79" spans="11:17" x14ac:dyDescent="0.3">
      <c r="K79" s="355"/>
      <c r="L79" s="58" t="s">
        <v>334</v>
      </c>
      <c r="M79" s="58" t="e">
        <f>AVERAGE(M67:M78)</f>
        <v>#DIV/0!</v>
      </c>
      <c r="N79" s="58"/>
      <c r="O79" s="58">
        <f>MAX(O67:O78)</f>
        <v>0</v>
      </c>
      <c r="P79" s="58" t="e">
        <f>AVERAGE(P67:P78)</f>
        <v>#DIV/0!</v>
      </c>
      <c r="Q79" s="58">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zoomScaleNormal="100" workbookViewId="0">
      <selection activeCell="A49" sqref="A49:G52"/>
    </sheetView>
  </sheetViews>
  <sheetFormatPr defaultRowHeight="14" x14ac:dyDescent="0.3"/>
  <cols>
    <col min="1" max="1" width="14" style="3" customWidth="1"/>
    <col min="2" max="4" width="17" style="33" customWidth="1"/>
    <col min="5" max="5" width="14.81640625" style="33" customWidth="1"/>
    <col min="6" max="7" width="17" style="33" customWidth="1"/>
    <col min="8" max="11" width="9.1796875" style="3"/>
    <col min="12" max="12" width="15.453125" style="3" customWidth="1"/>
    <col min="13" max="13" width="17.453125" style="3" bestFit="1" customWidth="1"/>
    <col min="14" max="14" width="13.81640625" style="3" customWidth="1"/>
    <col min="15" max="15" width="15" style="3" customWidth="1"/>
    <col min="16" max="18" width="9.1796875" style="3"/>
    <col min="19" max="19" width="22" style="3" customWidth="1"/>
    <col min="20" max="256" width="9.1796875" style="3"/>
    <col min="257" max="257" width="14" style="3" customWidth="1"/>
    <col min="258" max="263" width="10.1796875" style="3" customWidth="1"/>
    <col min="264" max="512" width="9.1796875" style="3"/>
    <col min="513" max="513" width="14" style="3" customWidth="1"/>
    <col min="514" max="519" width="10.1796875" style="3" customWidth="1"/>
    <col min="520" max="768" width="9.1796875" style="3"/>
    <col min="769" max="769" width="14" style="3" customWidth="1"/>
    <col min="770" max="775" width="10.1796875" style="3" customWidth="1"/>
    <col min="776" max="1024" width="9.1796875" style="3"/>
    <col min="1025" max="1025" width="14" style="3" customWidth="1"/>
    <col min="1026" max="1031" width="10.1796875" style="3" customWidth="1"/>
    <col min="1032" max="1280" width="9.1796875" style="3"/>
    <col min="1281" max="1281" width="14" style="3" customWidth="1"/>
    <col min="1282" max="1287" width="10.1796875" style="3" customWidth="1"/>
    <col min="1288" max="1536" width="9.1796875" style="3"/>
    <col min="1537" max="1537" width="14" style="3" customWidth="1"/>
    <col min="1538" max="1543" width="10.1796875" style="3" customWidth="1"/>
    <col min="1544" max="1792" width="9.1796875" style="3"/>
    <col min="1793" max="1793" width="14" style="3" customWidth="1"/>
    <col min="1794" max="1799" width="10.1796875" style="3" customWidth="1"/>
    <col min="1800" max="2048" width="9.1796875" style="3"/>
    <col min="2049" max="2049" width="14" style="3" customWidth="1"/>
    <col min="2050" max="2055" width="10.1796875" style="3" customWidth="1"/>
    <col min="2056" max="2304" width="9.1796875" style="3"/>
    <col min="2305" max="2305" width="14" style="3" customWidth="1"/>
    <col min="2306" max="2311" width="10.1796875" style="3" customWidth="1"/>
    <col min="2312" max="2560" width="9.1796875" style="3"/>
    <col min="2561" max="2561" width="14" style="3" customWidth="1"/>
    <col min="2562" max="2567" width="10.1796875" style="3" customWidth="1"/>
    <col min="2568" max="2816" width="9.1796875" style="3"/>
    <col min="2817" max="2817" width="14" style="3" customWidth="1"/>
    <col min="2818" max="2823" width="10.1796875" style="3" customWidth="1"/>
    <col min="2824" max="3072" width="9.1796875" style="3"/>
    <col min="3073" max="3073" width="14" style="3" customWidth="1"/>
    <col min="3074" max="3079" width="10.1796875" style="3" customWidth="1"/>
    <col min="3080" max="3328" width="9.1796875" style="3"/>
    <col min="3329" max="3329" width="14" style="3" customWidth="1"/>
    <col min="3330" max="3335" width="10.1796875" style="3" customWidth="1"/>
    <col min="3336" max="3584" width="9.1796875" style="3"/>
    <col min="3585" max="3585" width="14" style="3" customWidth="1"/>
    <col min="3586" max="3591" width="10.1796875" style="3" customWidth="1"/>
    <col min="3592" max="3840" width="9.1796875" style="3"/>
    <col min="3841" max="3841" width="14" style="3" customWidth="1"/>
    <col min="3842" max="3847" width="10.1796875" style="3" customWidth="1"/>
    <col min="3848" max="4096" width="9.1796875" style="3"/>
    <col min="4097" max="4097" width="14" style="3" customWidth="1"/>
    <col min="4098" max="4103" width="10.1796875" style="3" customWidth="1"/>
    <col min="4104" max="4352" width="9.1796875" style="3"/>
    <col min="4353" max="4353" width="14" style="3" customWidth="1"/>
    <col min="4354" max="4359" width="10.1796875" style="3" customWidth="1"/>
    <col min="4360" max="4608" width="9.1796875" style="3"/>
    <col min="4609" max="4609" width="14" style="3" customWidth="1"/>
    <col min="4610" max="4615" width="10.1796875" style="3" customWidth="1"/>
    <col min="4616" max="4864" width="9.1796875" style="3"/>
    <col min="4865" max="4865" width="14" style="3" customWidth="1"/>
    <col min="4866" max="4871" width="10.1796875" style="3" customWidth="1"/>
    <col min="4872" max="5120" width="9.1796875" style="3"/>
    <col min="5121" max="5121" width="14" style="3" customWidth="1"/>
    <col min="5122" max="5127" width="10.1796875" style="3" customWidth="1"/>
    <col min="5128" max="5376" width="9.1796875" style="3"/>
    <col min="5377" max="5377" width="14" style="3" customWidth="1"/>
    <col min="5378" max="5383" width="10.1796875" style="3" customWidth="1"/>
    <col min="5384" max="5632" width="9.1796875" style="3"/>
    <col min="5633" max="5633" width="14" style="3" customWidth="1"/>
    <col min="5634" max="5639" width="10.1796875" style="3" customWidth="1"/>
    <col min="5640" max="5888" width="9.1796875" style="3"/>
    <col min="5889" max="5889" width="14" style="3" customWidth="1"/>
    <col min="5890" max="5895" width="10.1796875" style="3" customWidth="1"/>
    <col min="5896" max="6144" width="9.1796875" style="3"/>
    <col min="6145" max="6145" width="14" style="3" customWidth="1"/>
    <col min="6146" max="6151" width="10.1796875" style="3" customWidth="1"/>
    <col min="6152" max="6400" width="9.1796875" style="3"/>
    <col min="6401" max="6401" width="14" style="3" customWidth="1"/>
    <col min="6402" max="6407" width="10.1796875" style="3" customWidth="1"/>
    <col min="6408" max="6656" width="9.1796875" style="3"/>
    <col min="6657" max="6657" width="14" style="3" customWidth="1"/>
    <col min="6658" max="6663" width="10.1796875" style="3" customWidth="1"/>
    <col min="6664" max="6912" width="9.1796875" style="3"/>
    <col min="6913" max="6913" width="14" style="3" customWidth="1"/>
    <col min="6914" max="6919" width="10.1796875" style="3" customWidth="1"/>
    <col min="6920" max="7168" width="9.1796875" style="3"/>
    <col min="7169" max="7169" width="14" style="3" customWidth="1"/>
    <col min="7170" max="7175" width="10.1796875" style="3" customWidth="1"/>
    <col min="7176" max="7424" width="9.1796875" style="3"/>
    <col min="7425" max="7425" width="14" style="3" customWidth="1"/>
    <col min="7426" max="7431" width="10.1796875" style="3" customWidth="1"/>
    <col min="7432" max="7680" width="9.1796875" style="3"/>
    <col min="7681" max="7681" width="14" style="3" customWidth="1"/>
    <col min="7682" max="7687" width="10.1796875" style="3" customWidth="1"/>
    <col min="7688" max="7936" width="9.1796875" style="3"/>
    <col min="7937" max="7937" width="14" style="3" customWidth="1"/>
    <col min="7938" max="7943" width="10.1796875" style="3" customWidth="1"/>
    <col min="7944" max="8192" width="9.1796875" style="3"/>
    <col min="8193" max="8193" width="14" style="3" customWidth="1"/>
    <col min="8194" max="8199" width="10.1796875" style="3" customWidth="1"/>
    <col min="8200" max="8448" width="9.1796875" style="3"/>
    <col min="8449" max="8449" width="14" style="3" customWidth="1"/>
    <col min="8450" max="8455" width="10.1796875" style="3" customWidth="1"/>
    <col min="8456" max="8704" width="9.1796875" style="3"/>
    <col min="8705" max="8705" width="14" style="3" customWidth="1"/>
    <col min="8706" max="8711" width="10.1796875" style="3" customWidth="1"/>
    <col min="8712" max="8960" width="9.1796875" style="3"/>
    <col min="8961" max="8961" width="14" style="3" customWidth="1"/>
    <col min="8962" max="8967" width="10.1796875" style="3" customWidth="1"/>
    <col min="8968" max="9216" width="9.1796875" style="3"/>
    <col min="9217" max="9217" width="14" style="3" customWidth="1"/>
    <col min="9218" max="9223" width="10.1796875" style="3" customWidth="1"/>
    <col min="9224" max="9472" width="9.1796875" style="3"/>
    <col min="9473" max="9473" width="14" style="3" customWidth="1"/>
    <col min="9474" max="9479" width="10.1796875" style="3" customWidth="1"/>
    <col min="9480" max="9728" width="9.1796875" style="3"/>
    <col min="9729" max="9729" width="14" style="3" customWidth="1"/>
    <col min="9730" max="9735" width="10.1796875" style="3" customWidth="1"/>
    <col min="9736" max="9984" width="9.1796875" style="3"/>
    <col min="9985" max="9985" width="14" style="3" customWidth="1"/>
    <col min="9986" max="9991" width="10.1796875" style="3" customWidth="1"/>
    <col min="9992" max="10240" width="9.1796875" style="3"/>
    <col min="10241" max="10241" width="14" style="3" customWidth="1"/>
    <col min="10242" max="10247" width="10.1796875" style="3" customWidth="1"/>
    <col min="10248" max="10496" width="9.1796875" style="3"/>
    <col min="10497" max="10497" width="14" style="3" customWidth="1"/>
    <col min="10498" max="10503" width="10.1796875" style="3" customWidth="1"/>
    <col min="10504" max="10752" width="9.1796875" style="3"/>
    <col min="10753" max="10753" width="14" style="3" customWidth="1"/>
    <col min="10754" max="10759" width="10.1796875" style="3" customWidth="1"/>
    <col min="10760" max="11008" width="9.1796875" style="3"/>
    <col min="11009" max="11009" width="14" style="3" customWidth="1"/>
    <col min="11010" max="11015" width="10.1796875" style="3" customWidth="1"/>
    <col min="11016" max="11264" width="9.1796875" style="3"/>
    <col min="11265" max="11265" width="14" style="3" customWidth="1"/>
    <col min="11266" max="11271" width="10.1796875" style="3" customWidth="1"/>
    <col min="11272" max="11520" width="9.1796875" style="3"/>
    <col min="11521" max="11521" width="14" style="3" customWidth="1"/>
    <col min="11522" max="11527" width="10.1796875" style="3" customWidth="1"/>
    <col min="11528" max="11776" width="9.1796875" style="3"/>
    <col min="11777" max="11777" width="14" style="3" customWidth="1"/>
    <col min="11778" max="11783" width="10.1796875" style="3" customWidth="1"/>
    <col min="11784" max="12032" width="9.1796875" style="3"/>
    <col min="12033" max="12033" width="14" style="3" customWidth="1"/>
    <col min="12034" max="12039" width="10.1796875" style="3" customWidth="1"/>
    <col min="12040" max="12288" width="9.1796875" style="3"/>
    <col min="12289" max="12289" width="14" style="3" customWidth="1"/>
    <col min="12290" max="12295" width="10.1796875" style="3" customWidth="1"/>
    <col min="12296" max="12544" width="9.1796875" style="3"/>
    <col min="12545" max="12545" width="14" style="3" customWidth="1"/>
    <col min="12546" max="12551" width="10.1796875" style="3" customWidth="1"/>
    <col min="12552" max="12800" width="9.1796875" style="3"/>
    <col min="12801" max="12801" width="14" style="3" customWidth="1"/>
    <col min="12802" max="12807" width="10.1796875" style="3" customWidth="1"/>
    <col min="12808" max="13056" width="9.1796875" style="3"/>
    <col min="13057" max="13057" width="14" style="3" customWidth="1"/>
    <col min="13058" max="13063" width="10.1796875" style="3" customWidth="1"/>
    <col min="13064" max="13312" width="9.1796875" style="3"/>
    <col min="13313" max="13313" width="14" style="3" customWidth="1"/>
    <col min="13314" max="13319" width="10.1796875" style="3" customWidth="1"/>
    <col min="13320" max="13568" width="9.1796875" style="3"/>
    <col min="13569" max="13569" width="14" style="3" customWidth="1"/>
    <col min="13570" max="13575" width="10.1796875" style="3" customWidth="1"/>
    <col min="13576" max="13824" width="9.1796875" style="3"/>
    <col min="13825" max="13825" width="14" style="3" customWidth="1"/>
    <col min="13826" max="13831" width="10.1796875" style="3" customWidth="1"/>
    <col min="13832" max="14080" width="9.1796875" style="3"/>
    <col min="14081" max="14081" width="14" style="3" customWidth="1"/>
    <col min="14082" max="14087" width="10.1796875" style="3" customWidth="1"/>
    <col min="14088" max="14336" width="9.1796875" style="3"/>
    <col min="14337" max="14337" width="14" style="3" customWidth="1"/>
    <col min="14338" max="14343" width="10.1796875" style="3" customWidth="1"/>
    <col min="14344" max="14592" width="9.1796875" style="3"/>
    <col min="14593" max="14593" width="14" style="3" customWidth="1"/>
    <col min="14594" max="14599" width="10.1796875" style="3" customWidth="1"/>
    <col min="14600" max="14848" width="9.1796875" style="3"/>
    <col min="14849" max="14849" width="14" style="3" customWidth="1"/>
    <col min="14850" max="14855" width="10.1796875" style="3" customWidth="1"/>
    <col min="14856" max="15104" width="9.1796875" style="3"/>
    <col min="15105" max="15105" width="14" style="3" customWidth="1"/>
    <col min="15106" max="15111" width="10.1796875" style="3" customWidth="1"/>
    <col min="15112" max="15360" width="9.1796875" style="3"/>
    <col min="15361" max="15361" width="14" style="3" customWidth="1"/>
    <col min="15362" max="15367" width="10.1796875" style="3" customWidth="1"/>
    <col min="15368" max="15616" width="9.1796875" style="3"/>
    <col min="15617" max="15617" width="14" style="3" customWidth="1"/>
    <col min="15618" max="15623" width="10.1796875" style="3" customWidth="1"/>
    <col min="15624" max="15872" width="9.1796875" style="3"/>
    <col min="15873" max="15873" width="14" style="3" customWidth="1"/>
    <col min="15874" max="15879" width="10.1796875" style="3" customWidth="1"/>
    <col min="15880" max="16128" width="9.1796875" style="3"/>
    <col min="16129" max="16129" width="14" style="3" customWidth="1"/>
    <col min="16130" max="16135" width="10.1796875" style="3" customWidth="1"/>
    <col min="16136" max="16384" width="9.1796875" style="3"/>
  </cols>
  <sheetData>
    <row r="1" spans="1:19" ht="15.5" x14ac:dyDescent="0.35">
      <c r="A1" s="94" t="str">
        <f>+'Cover Page'!$B$29</f>
        <v>Annual Performance Report 2022</v>
      </c>
      <c r="B1" s="94"/>
      <c r="C1" s="94"/>
      <c r="D1" s="94"/>
      <c r="E1" s="94" t="str">
        <f>+'Cover Page'!$B$33</f>
        <v>Welland Biopower Ltd</v>
      </c>
    </row>
    <row r="3" spans="1:19" ht="14.5" x14ac:dyDescent="0.35">
      <c r="A3" s="56" t="s">
        <v>362</v>
      </c>
      <c r="D3" s="72" t="s">
        <v>303</v>
      </c>
      <c r="G3" s="76" t="s">
        <v>304</v>
      </c>
      <c r="J3" s="8" t="str">
        <f>+A3</f>
        <v xml:space="preserve">Monitoring of Ammnonia emissions </v>
      </c>
      <c r="L3" s="8"/>
      <c r="N3" s="8" t="s">
        <v>305</v>
      </c>
      <c r="Q3" s="75" t="s">
        <v>3</v>
      </c>
      <c r="R3" s="70"/>
      <c r="S3" s="70"/>
    </row>
    <row r="4" spans="1:19" ht="14" customHeight="1" x14ac:dyDescent="0.3">
      <c r="Q4" s="370" t="s">
        <v>306</v>
      </c>
      <c r="R4" s="370"/>
      <c r="S4" s="370"/>
    </row>
    <row r="5" spans="1:19" ht="16" x14ac:dyDescent="0.3">
      <c r="A5" s="64" t="s">
        <v>307</v>
      </c>
      <c r="B5" s="357" t="s">
        <v>308</v>
      </c>
      <c r="C5" s="357"/>
      <c r="D5" s="357"/>
      <c r="E5" s="357" t="s">
        <v>309</v>
      </c>
      <c r="F5" s="357"/>
      <c r="G5" s="357"/>
      <c r="J5" s="356"/>
      <c r="K5" s="356"/>
      <c r="L5" s="356"/>
      <c r="M5" s="356"/>
      <c r="N5" s="356"/>
      <c r="O5" s="356"/>
      <c r="Q5" s="370"/>
      <c r="R5" s="370"/>
      <c r="S5" s="370"/>
    </row>
    <row r="6" spans="1:19" s="54" customFormat="1" ht="37.5" customHeight="1" x14ac:dyDescent="0.35">
      <c r="A6" s="61">
        <f>+'Cover Page'!C39</f>
        <v>2022</v>
      </c>
      <c r="B6" s="51" t="s">
        <v>363</v>
      </c>
      <c r="C6" s="51" t="s">
        <v>311</v>
      </c>
      <c r="D6" s="51" t="s">
        <v>312</v>
      </c>
      <c r="E6" s="51" t="s">
        <v>364</v>
      </c>
      <c r="F6" s="51" t="s">
        <v>314</v>
      </c>
      <c r="G6" s="51" t="s">
        <v>315</v>
      </c>
      <c r="H6" s="55"/>
      <c r="J6" s="57">
        <f>+A6</f>
        <v>2022</v>
      </c>
      <c r="K6" s="57" t="s">
        <v>316</v>
      </c>
      <c r="L6" s="63" t="s">
        <v>311</v>
      </c>
      <c r="M6" s="63" t="s">
        <v>317</v>
      </c>
      <c r="N6" s="63" t="s">
        <v>314</v>
      </c>
      <c r="O6" s="63" t="s">
        <v>318</v>
      </c>
      <c r="Q6" s="370"/>
      <c r="R6" s="370"/>
      <c r="S6" s="370"/>
    </row>
    <row r="7" spans="1:19" x14ac:dyDescent="0.3">
      <c r="A7" s="62" t="s">
        <v>319</v>
      </c>
      <c r="B7" s="65">
        <v>0</v>
      </c>
      <c r="C7" s="60"/>
      <c r="D7" s="60"/>
      <c r="E7" s="65">
        <v>10</v>
      </c>
      <c r="F7" s="60"/>
      <c r="G7" s="60"/>
      <c r="J7" s="355" t="s">
        <v>170</v>
      </c>
      <c r="K7" s="62" t="s">
        <v>319</v>
      </c>
      <c r="L7" s="60"/>
      <c r="M7" s="60"/>
      <c r="N7" s="60"/>
      <c r="O7" s="60"/>
      <c r="Q7" s="370"/>
      <c r="R7" s="370"/>
      <c r="S7" s="370"/>
    </row>
    <row r="8" spans="1:19" x14ac:dyDescent="0.3">
      <c r="A8" s="62" t="s">
        <v>320</v>
      </c>
      <c r="B8" s="59">
        <f>+B7</f>
        <v>0</v>
      </c>
      <c r="C8" s="60"/>
      <c r="D8" s="60"/>
      <c r="E8" s="59">
        <f>+E7</f>
        <v>10</v>
      </c>
      <c r="F8" s="60"/>
      <c r="G8" s="60"/>
      <c r="J8" s="355"/>
      <c r="K8" s="62" t="s">
        <v>320</v>
      </c>
      <c r="L8" s="60"/>
      <c r="M8" s="60"/>
      <c r="N8" s="60"/>
      <c r="O8" s="60"/>
      <c r="Q8" s="370"/>
      <c r="R8" s="370"/>
      <c r="S8" s="370"/>
    </row>
    <row r="9" spans="1:19" x14ac:dyDescent="0.3">
      <c r="A9" s="62" t="s">
        <v>321</v>
      </c>
      <c r="B9" s="59">
        <f t="shared" ref="B9:B18" si="0">+B8</f>
        <v>0</v>
      </c>
      <c r="C9" s="60"/>
      <c r="D9" s="60"/>
      <c r="E9" s="59">
        <f t="shared" ref="E9:E18" si="1">+E8</f>
        <v>10</v>
      </c>
      <c r="F9" s="60"/>
      <c r="G9" s="60"/>
      <c r="J9" s="355"/>
      <c r="K9" s="62" t="s">
        <v>321</v>
      </c>
      <c r="L9" s="60"/>
      <c r="M9" s="60"/>
      <c r="N9" s="60"/>
      <c r="O9" s="60"/>
      <c r="Q9" s="74" t="s">
        <v>322</v>
      </c>
    </row>
    <row r="10" spans="1:19" ht="14.25" customHeight="1" x14ac:dyDescent="0.3">
      <c r="A10" s="62" t="s">
        <v>323</v>
      </c>
      <c r="B10" s="59">
        <f t="shared" si="0"/>
        <v>0</v>
      </c>
      <c r="C10" s="60"/>
      <c r="D10" s="60"/>
      <c r="E10" s="59">
        <f t="shared" si="1"/>
        <v>10</v>
      </c>
      <c r="F10" s="60"/>
      <c r="G10" s="60"/>
      <c r="J10" s="355"/>
      <c r="K10" s="62" t="s">
        <v>323</v>
      </c>
      <c r="L10" s="60"/>
      <c r="M10" s="60"/>
      <c r="N10" s="60"/>
      <c r="O10" s="60"/>
      <c r="Q10" s="354" t="s">
        <v>324</v>
      </c>
      <c r="R10" s="354"/>
      <c r="S10" s="354"/>
    </row>
    <row r="11" spans="1:19" x14ac:dyDescent="0.3">
      <c r="A11" s="62" t="s">
        <v>325</v>
      </c>
      <c r="B11" s="59">
        <f t="shared" si="0"/>
        <v>0</v>
      </c>
      <c r="C11" s="60"/>
      <c r="D11" s="60"/>
      <c r="E11" s="59">
        <f t="shared" si="1"/>
        <v>10</v>
      </c>
      <c r="F11" s="60"/>
      <c r="G11" s="60"/>
      <c r="J11" s="355"/>
      <c r="K11" s="62" t="s">
        <v>325</v>
      </c>
      <c r="L11" s="60"/>
      <c r="M11" s="60"/>
      <c r="N11" s="60"/>
      <c r="O11" s="60"/>
      <c r="Q11" s="354"/>
      <c r="R11" s="354"/>
      <c r="S11" s="354"/>
    </row>
    <row r="12" spans="1:19" x14ac:dyDescent="0.3">
      <c r="A12" s="62" t="s">
        <v>326</v>
      </c>
      <c r="B12" s="59">
        <f t="shared" si="0"/>
        <v>0</v>
      </c>
      <c r="C12" s="60"/>
      <c r="D12" s="60"/>
      <c r="E12" s="59">
        <f t="shared" si="1"/>
        <v>10</v>
      </c>
      <c r="F12" s="60"/>
      <c r="G12" s="60"/>
      <c r="J12" s="355"/>
      <c r="K12" s="62" t="s">
        <v>326</v>
      </c>
      <c r="L12" s="60"/>
      <c r="M12" s="60"/>
      <c r="N12" s="60"/>
      <c r="O12" s="60"/>
      <c r="Q12" s="354"/>
      <c r="R12" s="354"/>
      <c r="S12" s="354"/>
    </row>
    <row r="13" spans="1:19" ht="14.25" customHeight="1" x14ac:dyDescent="0.3">
      <c r="A13" s="62" t="s">
        <v>327</v>
      </c>
      <c r="B13" s="59">
        <f t="shared" si="0"/>
        <v>0</v>
      </c>
      <c r="C13" s="60"/>
      <c r="D13" s="60"/>
      <c r="E13" s="59">
        <f t="shared" si="1"/>
        <v>10</v>
      </c>
      <c r="F13" s="60"/>
      <c r="G13" s="60"/>
      <c r="J13" s="355"/>
      <c r="K13" s="62" t="s">
        <v>327</v>
      </c>
      <c r="L13" s="60"/>
      <c r="M13" s="60"/>
      <c r="N13" s="60"/>
      <c r="O13" s="60"/>
      <c r="Q13" s="354" t="s">
        <v>328</v>
      </c>
      <c r="R13" s="354"/>
      <c r="S13" s="354"/>
    </row>
    <row r="14" spans="1:19" x14ac:dyDescent="0.3">
      <c r="A14" s="62" t="s">
        <v>329</v>
      </c>
      <c r="B14" s="59">
        <f t="shared" si="0"/>
        <v>0</v>
      </c>
      <c r="C14" s="60"/>
      <c r="D14" s="60"/>
      <c r="E14" s="59">
        <f t="shared" si="1"/>
        <v>10</v>
      </c>
      <c r="F14" s="60"/>
      <c r="G14" s="60"/>
      <c r="J14" s="355"/>
      <c r="K14" s="62" t="s">
        <v>329</v>
      </c>
      <c r="L14" s="60"/>
      <c r="M14" s="60"/>
      <c r="N14" s="60"/>
      <c r="O14" s="60"/>
      <c r="Q14" s="354"/>
      <c r="R14" s="354"/>
      <c r="S14" s="354"/>
    </row>
    <row r="15" spans="1:19" x14ac:dyDescent="0.3">
      <c r="A15" s="62" t="s">
        <v>330</v>
      </c>
      <c r="B15" s="59">
        <f t="shared" si="0"/>
        <v>0</v>
      </c>
      <c r="C15" s="60"/>
      <c r="D15" s="60"/>
      <c r="E15" s="59">
        <f t="shared" si="1"/>
        <v>10</v>
      </c>
      <c r="F15" s="60"/>
      <c r="G15" s="60"/>
      <c r="J15" s="355"/>
      <c r="K15" s="62" t="s">
        <v>330</v>
      </c>
      <c r="L15" s="60"/>
      <c r="M15" s="60"/>
      <c r="N15" s="60"/>
      <c r="O15" s="60"/>
      <c r="Q15" s="354"/>
      <c r="R15" s="354"/>
      <c r="S15" s="354"/>
    </row>
    <row r="16" spans="1:19" x14ac:dyDescent="0.3">
      <c r="A16" s="62" t="s">
        <v>331</v>
      </c>
      <c r="B16" s="59">
        <f t="shared" si="0"/>
        <v>0</v>
      </c>
      <c r="C16" s="60"/>
      <c r="D16" s="60"/>
      <c r="E16" s="59">
        <f t="shared" si="1"/>
        <v>10</v>
      </c>
      <c r="F16" s="60"/>
      <c r="G16" s="60"/>
      <c r="J16" s="355"/>
      <c r="K16" s="62" t="s">
        <v>331</v>
      </c>
      <c r="L16" s="60"/>
      <c r="M16" s="60"/>
      <c r="N16" s="60"/>
      <c r="O16" s="60"/>
      <c r="Q16" s="354"/>
      <c r="R16" s="354"/>
      <c r="S16" s="354"/>
    </row>
    <row r="17" spans="1:15" x14ac:dyDescent="0.3">
      <c r="A17" s="62" t="s">
        <v>332</v>
      </c>
      <c r="B17" s="59">
        <f t="shared" si="0"/>
        <v>0</v>
      </c>
      <c r="C17" s="60"/>
      <c r="D17" s="60"/>
      <c r="E17" s="59">
        <f t="shared" si="1"/>
        <v>10</v>
      </c>
      <c r="F17" s="60"/>
      <c r="G17" s="60"/>
      <c r="J17" s="355"/>
      <c r="K17" s="62" t="s">
        <v>332</v>
      </c>
      <c r="L17" s="60"/>
      <c r="M17" s="60"/>
      <c r="N17" s="60"/>
      <c r="O17" s="60"/>
    </row>
    <row r="18" spans="1:15" x14ac:dyDescent="0.3">
      <c r="A18" s="62" t="s">
        <v>333</v>
      </c>
      <c r="B18" s="59">
        <f t="shared" si="0"/>
        <v>0</v>
      </c>
      <c r="C18" s="60"/>
      <c r="D18" s="60"/>
      <c r="E18" s="59">
        <f t="shared" si="1"/>
        <v>10</v>
      </c>
      <c r="F18" s="60"/>
      <c r="G18" s="60"/>
      <c r="J18" s="355"/>
      <c r="K18" s="62" t="s">
        <v>333</v>
      </c>
      <c r="L18" s="60"/>
      <c r="M18" s="60"/>
      <c r="N18" s="60"/>
      <c r="O18" s="60"/>
    </row>
    <row r="19" spans="1:15" x14ac:dyDescent="0.3">
      <c r="J19" s="355"/>
      <c r="K19" s="58" t="s">
        <v>334</v>
      </c>
      <c r="L19" s="58" t="e">
        <f>AVERAGE(L7:L18)</f>
        <v>#DIV/0!</v>
      </c>
      <c r="M19" s="58">
        <f>MAX(M7:M18)</f>
        <v>0</v>
      </c>
      <c r="N19" s="58" t="e">
        <f>AVERAGE(N7:N18)</f>
        <v>#DIV/0!</v>
      </c>
      <c r="O19" s="58">
        <f>MAX(O7:O18)</f>
        <v>0</v>
      </c>
    </row>
    <row r="21" spans="1:15" ht="28" x14ac:dyDescent="0.3">
      <c r="J21" s="57">
        <f>+A6</f>
        <v>2022</v>
      </c>
      <c r="K21" s="57" t="s">
        <v>316</v>
      </c>
      <c r="L21" s="63" t="s">
        <v>311</v>
      </c>
      <c r="M21" s="63" t="s">
        <v>317</v>
      </c>
      <c r="N21" s="63" t="s">
        <v>314</v>
      </c>
      <c r="O21" s="63" t="s">
        <v>318</v>
      </c>
    </row>
    <row r="22" spans="1:15" x14ac:dyDescent="0.3">
      <c r="J22" s="355" t="s">
        <v>171</v>
      </c>
      <c r="K22" s="62" t="s">
        <v>319</v>
      </c>
      <c r="L22" s="60"/>
      <c r="M22" s="60"/>
      <c r="N22" s="60"/>
      <c r="O22" s="60"/>
    </row>
    <row r="23" spans="1:15" x14ac:dyDescent="0.3">
      <c r="J23" s="355"/>
      <c r="K23" s="62" t="s">
        <v>320</v>
      </c>
      <c r="L23" s="60"/>
      <c r="M23" s="60"/>
      <c r="N23" s="60"/>
      <c r="O23" s="60"/>
    </row>
    <row r="24" spans="1:15" x14ac:dyDescent="0.3">
      <c r="J24" s="355"/>
      <c r="K24" s="62" t="s">
        <v>321</v>
      </c>
      <c r="L24" s="60"/>
      <c r="M24" s="60"/>
      <c r="N24" s="60"/>
      <c r="O24" s="60"/>
    </row>
    <row r="25" spans="1:15" x14ac:dyDescent="0.3">
      <c r="J25" s="355"/>
      <c r="K25" s="62" t="s">
        <v>323</v>
      </c>
      <c r="L25" s="60"/>
      <c r="M25" s="60"/>
      <c r="N25" s="60"/>
      <c r="O25" s="60"/>
    </row>
    <row r="26" spans="1:15" x14ac:dyDescent="0.3">
      <c r="J26" s="355"/>
      <c r="K26" s="62" t="s">
        <v>325</v>
      </c>
      <c r="L26" s="60"/>
      <c r="M26" s="60"/>
      <c r="N26" s="60"/>
      <c r="O26" s="60"/>
    </row>
    <row r="27" spans="1:15" x14ac:dyDescent="0.3">
      <c r="J27" s="355"/>
      <c r="K27" s="62" t="s">
        <v>326</v>
      </c>
      <c r="L27" s="60"/>
      <c r="M27" s="60"/>
      <c r="N27" s="60"/>
      <c r="O27" s="60"/>
    </row>
    <row r="28" spans="1:15" x14ac:dyDescent="0.3">
      <c r="J28" s="355"/>
      <c r="K28" s="62" t="s">
        <v>327</v>
      </c>
      <c r="L28" s="60"/>
      <c r="M28" s="60"/>
      <c r="N28" s="60"/>
      <c r="O28" s="60"/>
    </row>
    <row r="29" spans="1:15" x14ac:dyDescent="0.3">
      <c r="J29" s="355"/>
      <c r="K29" s="62" t="s">
        <v>329</v>
      </c>
      <c r="L29" s="60"/>
      <c r="M29" s="60"/>
      <c r="N29" s="60"/>
      <c r="O29" s="60"/>
    </row>
    <row r="30" spans="1:15" x14ac:dyDescent="0.3">
      <c r="J30" s="355"/>
      <c r="K30" s="62" t="s">
        <v>330</v>
      </c>
      <c r="L30" s="60"/>
      <c r="M30" s="60"/>
      <c r="N30" s="60"/>
      <c r="O30" s="60"/>
    </row>
    <row r="31" spans="1:15" x14ac:dyDescent="0.3">
      <c r="J31" s="355"/>
      <c r="K31" s="62" t="s">
        <v>331</v>
      </c>
      <c r="L31" s="60"/>
      <c r="M31" s="60"/>
      <c r="N31" s="60"/>
      <c r="O31" s="60"/>
    </row>
    <row r="32" spans="1:15" x14ac:dyDescent="0.3">
      <c r="J32" s="355"/>
      <c r="K32" s="62" t="s">
        <v>332</v>
      </c>
      <c r="L32" s="60"/>
      <c r="M32" s="60"/>
      <c r="N32" s="60"/>
      <c r="O32" s="60"/>
    </row>
    <row r="33" spans="1:15" x14ac:dyDescent="0.3">
      <c r="J33" s="355"/>
      <c r="K33" s="62" t="s">
        <v>333</v>
      </c>
      <c r="L33" s="60"/>
      <c r="M33" s="60"/>
      <c r="N33" s="60"/>
      <c r="O33" s="60"/>
    </row>
    <row r="34" spans="1:15" x14ac:dyDescent="0.3">
      <c r="J34" s="355"/>
      <c r="K34" s="58" t="s">
        <v>334</v>
      </c>
      <c r="L34" s="58" t="e">
        <f>AVERAGE(L22:L33)</f>
        <v>#DIV/0!</v>
      </c>
      <c r="M34" s="58">
        <f>MAX(M22:M33)</f>
        <v>0</v>
      </c>
      <c r="N34" s="58" t="e">
        <f>AVERAGE(N22:N33)</f>
        <v>#DIV/0!</v>
      </c>
      <c r="O34" s="58">
        <f>MAX(O22:O33)</f>
        <v>0</v>
      </c>
    </row>
    <row r="36" spans="1:15" ht="28" x14ac:dyDescent="0.3">
      <c r="J36" s="57">
        <f>+A6</f>
        <v>2022</v>
      </c>
      <c r="K36" s="57" t="s">
        <v>316</v>
      </c>
      <c r="L36" s="63" t="s">
        <v>311</v>
      </c>
      <c r="M36" s="63" t="s">
        <v>317</v>
      </c>
      <c r="N36" s="63" t="s">
        <v>314</v>
      </c>
      <c r="O36" s="63" t="s">
        <v>318</v>
      </c>
    </row>
    <row r="37" spans="1:15" x14ac:dyDescent="0.3">
      <c r="J37" s="355" t="s">
        <v>172</v>
      </c>
      <c r="K37" s="62" t="s">
        <v>319</v>
      </c>
      <c r="L37" s="60"/>
      <c r="M37" s="60"/>
      <c r="N37" s="60"/>
      <c r="O37" s="60"/>
    </row>
    <row r="38" spans="1:15" x14ac:dyDescent="0.3">
      <c r="J38" s="355"/>
      <c r="K38" s="62" t="s">
        <v>320</v>
      </c>
      <c r="L38" s="60"/>
      <c r="M38" s="60"/>
      <c r="N38" s="60"/>
      <c r="O38" s="60"/>
    </row>
    <row r="39" spans="1:15" x14ac:dyDescent="0.3">
      <c r="J39" s="355"/>
      <c r="K39" s="62" t="s">
        <v>321</v>
      </c>
      <c r="L39" s="60"/>
      <c r="M39" s="60"/>
      <c r="N39" s="60"/>
      <c r="O39" s="60"/>
    </row>
    <row r="40" spans="1:15" x14ac:dyDescent="0.3">
      <c r="J40" s="355"/>
      <c r="K40" s="62" t="s">
        <v>323</v>
      </c>
      <c r="L40" s="60"/>
      <c r="M40" s="60"/>
      <c r="N40" s="60"/>
      <c r="O40" s="60"/>
    </row>
    <row r="41" spans="1:15" x14ac:dyDescent="0.3">
      <c r="J41" s="355"/>
      <c r="K41" s="62" t="s">
        <v>325</v>
      </c>
      <c r="L41" s="60"/>
      <c r="M41" s="60"/>
      <c r="N41" s="60"/>
      <c r="O41" s="60"/>
    </row>
    <row r="42" spans="1:15" x14ac:dyDescent="0.3">
      <c r="J42" s="355"/>
      <c r="K42" s="62" t="s">
        <v>326</v>
      </c>
      <c r="L42" s="60"/>
      <c r="M42" s="60"/>
      <c r="N42" s="60"/>
      <c r="O42" s="60"/>
    </row>
    <row r="43" spans="1:15" x14ac:dyDescent="0.3">
      <c r="J43" s="355"/>
      <c r="K43" s="62" t="s">
        <v>327</v>
      </c>
      <c r="L43" s="60"/>
      <c r="M43" s="60"/>
      <c r="N43" s="60"/>
      <c r="O43" s="60"/>
    </row>
    <row r="44" spans="1:15" x14ac:dyDescent="0.3">
      <c r="J44" s="355"/>
      <c r="K44" s="62" t="s">
        <v>329</v>
      </c>
      <c r="L44" s="60"/>
      <c r="M44" s="60"/>
      <c r="N44" s="60"/>
      <c r="O44" s="60"/>
    </row>
    <row r="45" spans="1:15" x14ac:dyDescent="0.3">
      <c r="J45" s="355"/>
      <c r="K45" s="62" t="s">
        <v>330</v>
      </c>
      <c r="L45" s="60"/>
      <c r="M45" s="60"/>
      <c r="N45" s="60"/>
      <c r="O45" s="60"/>
    </row>
    <row r="46" spans="1:15" x14ac:dyDescent="0.3">
      <c r="J46" s="355"/>
      <c r="K46" s="62" t="s">
        <v>331</v>
      </c>
      <c r="L46" s="60"/>
      <c r="M46" s="60"/>
      <c r="N46" s="60"/>
      <c r="O46" s="60"/>
    </row>
    <row r="47" spans="1:15" x14ac:dyDescent="0.3">
      <c r="J47" s="355"/>
      <c r="K47" s="62" t="s">
        <v>332</v>
      </c>
      <c r="L47" s="60"/>
      <c r="M47" s="60"/>
      <c r="N47" s="60"/>
      <c r="O47" s="60"/>
    </row>
    <row r="48" spans="1:15" x14ac:dyDescent="0.3">
      <c r="A48" s="367" t="s">
        <v>242</v>
      </c>
      <c r="B48" s="368"/>
      <c r="C48" s="368"/>
      <c r="D48" s="368"/>
      <c r="E48" s="368"/>
      <c r="F48" s="368"/>
      <c r="G48" s="369"/>
      <c r="J48" s="355"/>
      <c r="K48" s="62" t="s">
        <v>333</v>
      </c>
      <c r="L48" s="60"/>
      <c r="M48" s="60"/>
      <c r="N48" s="60"/>
      <c r="O48" s="60"/>
    </row>
    <row r="49" spans="1:15" x14ac:dyDescent="0.3">
      <c r="A49" s="358" t="s">
        <v>365</v>
      </c>
      <c r="B49" s="359"/>
      <c r="C49" s="359"/>
      <c r="D49" s="359"/>
      <c r="E49" s="359"/>
      <c r="F49" s="359"/>
      <c r="G49" s="360"/>
      <c r="J49" s="355"/>
      <c r="K49" s="58" t="s">
        <v>334</v>
      </c>
      <c r="L49" s="58" t="e">
        <f>AVERAGE(L37:L48)</f>
        <v>#DIV/0!</v>
      </c>
      <c r="M49" s="58">
        <f>MAX(M37:M48)</f>
        <v>0</v>
      </c>
      <c r="N49" s="58" t="e">
        <f>AVERAGE(N37:N48)</f>
        <v>#DIV/0!</v>
      </c>
      <c r="O49" s="58">
        <f>MAX(O37:O48)</f>
        <v>0</v>
      </c>
    </row>
    <row r="50" spans="1:15" x14ac:dyDescent="0.3">
      <c r="A50" s="361"/>
      <c r="B50" s="362"/>
      <c r="C50" s="362"/>
      <c r="D50" s="362"/>
      <c r="E50" s="362"/>
      <c r="F50" s="362"/>
      <c r="G50" s="363"/>
    </row>
    <row r="51" spans="1:15" ht="28" x14ac:dyDescent="0.3">
      <c r="A51" s="361"/>
      <c r="B51" s="362"/>
      <c r="C51" s="362"/>
      <c r="D51" s="362"/>
      <c r="E51" s="362"/>
      <c r="F51" s="362"/>
      <c r="G51" s="363"/>
      <c r="J51" s="57">
        <f>+A6</f>
        <v>2022</v>
      </c>
      <c r="K51" s="57" t="s">
        <v>316</v>
      </c>
      <c r="L51" s="63" t="s">
        <v>311</v>
      </c>
      <c r="M51" s="63" t="s">
        <v>317</v>
      </c>
      <c r="N51" s="63" t="s">
        <v>314</v>
      </c>
      <c r="O51" s="63" t="s">
        <v>318</v>
      </c>
    </row>
    <row r="52" spans="1:15" x14ac:dyDescent="0.3">
      <c r="A52" s="364"/>
      <c r="B52" s="365"/>
      <c r="C52" s="365"/>
      <c r="D52" s="365"/>
      <c r="E52" s="365"/>
      <c r="F52" s="365"/>
      <c r="G52" s="366"/>
      <c r="J52" s="355" t="s">
        <v>173</v>
      </c>
      <c r="K52" s="62" t="s">
        <v>319</v>
      </c>
      <c r="L52" s="60"/>
      <c r="M52" s="60"/>
      <c r="N52" s="60"/>
      <c r="O52" s="60"/>
    </row>
    <row r="53" spans="1:15" x14ac:dyDescent="0.3">
      <c r="J53" s="355"/>
      <c r="K53" s="62" t="s">
        <v>320</v>
      </c>
      <c r="L53" s="60"/>
      <c r="M53" s="60"/>
      <c r="N53" s="60"/>
      <c r="O53" s="60"/>
    </row>
    <row r="54" spans="1:15" x14ac:dyDescent="0.3">
      <c r="J54" s="355"/>
      <c r="K54" s="62" t="s">
        <v>321</v>
      </c>
      <c r="L54" s="60"/>
      <c r="M54" s="60"/>
      <c r="N54" s="60"/>
      <c r="O54" s="60"/>
    </row>
    <row r="55" spans="1:15" x14ac:dyDescent="0.3">
      <c r="J55" s="355"/>
      <c r="K55" s="62" t="s">
        <v>323</v>
      </c>
      <c r="L55" s="60"/>
      <c r="M55" s="60"/>
      <c r="N55" s="60"/>
      <c r="O55" s="60"/>
    </row>
    <row r="56" spans="1:15" x14ac:dyDescent="0.3">
      <c r="J56" s="355"/>
      <c r="K56" s="62" t="s">
        <v>325</v>
      </c>
      <c r="L56" s="60"/>
      <c r="M56" s="60"/>
      <c r="N56" s="60"/>
      <c r="O56" s="60"/>
    </row>
    <row r="57" spans="1:15" x14ac:dyDescent="0.3">
      <c r="J57" s="355"/>
      <c r="K57" s="62" t="s">
        <v>326</v>
      </c>
      <c r="L57" s="60"/>
      <c r="M57" s="60"/>
      <c r="N57" s="60"/>
      <c r="O57" s="60"/>
    </row>
    <row r="58" spans="1:15" x14ac:dyDescent="0.3">
      <c r="J58" s="355"/>
      <c r="K58" s="62" t="s">
        <v>327</v>
      </c>
      <c r="L58" s="60"/>
      <c r="M58" s="60"/>
      <c r="N58" s="60"/>
      <c r="O58" s="60"/>
    </row>
    <row r="59" spans="1:15" x14ac:dyDescent="0.3">
      <c r="J59" s="355"/>
      <c r="K59" s="62" t="s">
        <v>329</v>
      </c>
      <c r="L59" s="60"/>
      <c r="M59" s="60"/>
      <c r="N59" s="60"/>
      <c r="O59" s="60"/>
    </row>
    <row r="60" spans="1:15" x14ac:dyDescent="0.3">
      <c r="J60" s="355"/>
      <c r="K60" s="62" t="s">
        <v>330</v>
      </c>
      <c r="L60" s="60"/>
      <c r="M60" s="60"/>
      <c r="N60" s="60"/>
      <c r="O60" s="60"/>
    </row>
    <row r="61" spans="1:15" x14ac:dyDescent="0.3">
      <c r="J61" s="355"/>
      <c r="K61" s="62" t="s">
        <v>331</v>
      </c>
      <c r="L61" s="60"/>
      <c r="M61" s="60"/>
      <c r="N61" s="60"/>
      <c r="O61" s="60"/>
    </row>
    <row r="62" spans="1:15" x14ac:dyDescent="0.3">
      <c r="J62" s="355"/>
      <c r="K62" s="62" t="s">
        <v>332</v>
      </c>
      <c r="L62" s="60"/>
      <c r="M62" s="60"/>
      <c r="N62" s="60"/>
      <c r="O62" s="60"/>
    </row>
    <row r="63" spans="1:15" x14ac:dyDescent="0.3">
      <c r="J63" s="355"/>
      <c r="K63" s="62" t="s">
        <v>333</v>
      </c>
      <c r="L63" s="60"/>
      <c r="M63" s="60"/>
      <c r="N63" s="60"/>
      <c r="O63" s="60"/>
    </row>
    <row r="64" spans="1:15" x14ac:dyDescent="0.3">
      <c r="J64" s="355"/>
      <c r="K64" s="58" t="s">
        <v>334</v>
      </c>
      <c r="L64" s="58" t="e">
        <f>AVERAGE(L52:L63)</f>
        <v>#DIV/0!</v>
      </c>
      <c r="M64" s="58">
        <f>MAX(M52:M63)</f>
        <v>0</v>
      </c>
      <c r="N64" s="58" t="e">
        <f>AVERAGE(N52:N63)</f>
        <v>#DIV/0!</v>
      </c>
      <c r="O64" s="58">
        <f>MAX(O52:O63)</f>
        <v>0</v>
      </c>
    </row>
    <row r="66" spans="10:15" ht="28" x14ac:dyDescent="0.3">
      <c r="J66" s="57">
        <f>+A6</f>
        <v>2022</v>
      </c>
      <c r="K66" s="57" t="s">
        <v>316</v>
      </c>
      <c r="L66" s="63" t="s">
        <v>311</v>
      </c>
      <c r="M66" s="63" t="s">
        <v>317</v>
      </c>
      <c r="N66" s="63" t="s">
        <v>314</v>
      </c>
      <c r="O66" s="63" t="s">
        <v>318</v>
      </c>
    </row>
    <row r="67" spans="10:15" x14ac:dyDescent="0.3">
      <c r="J67" s="355" t="s">
        <v>174</v>
      </c>
      <c r="K67" s="62" t="s">
        <v>319</v>
      </c>
      <c r="L67" s="60"/>
      <c r="M67" s="60"/>
      <c r="N67" s="60"/>
      <c r="O67" s="60"/>
    </row>
    <row r="68" spans="10:15" x14ac:dyDescent="0.3">
      <c r="J68" s="355"/>
      <c r="K68" s="62" t="s">
        <v>320</v>
      </c>
      <c r="L68" s="60"/>
      <c r="M68" s="60"/>
      <c r="N68" s="60"/>
      <c r="O68" s="60"/>
    </row>
    <row r="69" spans="10:15" x14ac:dyDescent="0.3">
      <c r="J69" s="355"/>
      <c r="K69" s="62" t="s">
        <v>321</v>
      </c>
      <c r="L69" s="60"/>
      <c r="M69" s="60"/>
      <c r="N69" s="60"/>
      <c r="O69" s="60"/>
    </row>
    <row r="70" spans="10:15" x14ac:dyDescent="0.3">
      <c r="J70" s="355"/>
      <c r="K70" s="62" t="s">
        <v>323</v>
      </c>
      <c r="L70" s="60"/>
      <c r="M70" s="60"/>
      <c r="N70" s="60"/>
      <c r="O70" s="60"/>
    </row>
    <row r="71" spans="10:15" x14ac:dyDescent="0.3">
      <c r="J71" s="355"/>
      <c r="K71" s="62" t="s">
        <v>325</v>
      </c>
      <c r="L71" s="60"/>
      <c r="M71" s="60"/>
      <c r="N71" s="60"/>
      <c r="O71" s="60"/>
    </row>
    <row r="72" spans="10:15" x14ac:dyDescent="0.3">
      <c r="J72" s="355"/>
      <c r="K72" s="62" t="s">
        <v>326</v>
      </c>
      <c r="L72" s="60"/>
      <c r="M72" s="60"/>
      <c r="N72" s="60"/>
      <c r="O72" s="60"/>
    </row>
    <row r="73" spans="10:15" x14ac:dyDescent="0.3">
      <c r="J73" s="355"/>
      <c r="K73" s="62" t="s">
        <v>327</v>
      </c>
      <c r="L73" s="60"/>
      <c r="M73" s="60"/>
      <c r="N73" s="60"/>
      <c r="O73" s="60"/>
    </row>
    <row r="74" spans="10:15" x14ac:dyDescent="0.3">
      <c r="J74" s="355"/>
      <c r="K74" s="62" t="s">
        <v>329</v>
      </c>
      <c r="L74" s="60"/>
      <c r="M74" s="60"/>
      <c r="N74" s="60"/>
      <c r="O74" s="60"/>
    </row>
    <row r="75" spans="10:15" x14ac:dyDescent="0.3">
      <c r="J75" s="355"/>
      <c r="K75" s="62" t="s">
        <v>330</v>
      </c>
      <c r="L75" s="60"/>
      <c r="M75" s="60"/>
      <c r="N75" s="60"/>
      <c r="O75" s="60"/>
    </row>
    <row r="76" spans="10:15" x14ac:dyDescent="0.3">
      <c r="J76" s="355"/>
      <c r="K76" s="62" t="s">
        <v>331</v>
      </c>
      <c r="L76" s="60"/>
      <c r="M76" s="60"/>
      <c r="N76" s="60"/>
      <c r="O76" s="60"/>
    </row>
    <row r="77" spans="10:15" x14ac:dyDescent="0.3">
      <c r="J77" s="355"/>
      <c r="K77" s="62" t="s">
        <v>332</v>
      </c>
      <c r="L77" s="60"/>
      <c r="M77" s="60"/>
      <c r="N77" s="60"/>
      <c r="O77" s="60"/>
    </row>
    <row r="78" spans="10:15" x14ac:dyDescent="0.3">
      <c r="J78" s="355"/>
      <c r="K78" s="62" t="s">
        <v>333</v>
      </c>
      <c r="L78" s="60"/>
      <c r="M78" s="60"/>
      <c r="N78" s="60"/>
      <c r="O78" s="60"/>
    </row>
    <row r="79" spans="10:15" x14ac:dyDescent="0.3">
      <c r="J79" s="355"/>
      <c r="K79" s="58" t="s">
        <v>334</v>
      </c>
      <c r="L79" s="58" t="e">
        <f>AVERAGE(L67:L78)</f>
        <v>#DIV/0!</v>
      </c>
      <c r="M79" s="58">
        <f>MAX(M67:M78)</f>
        <v>0</v>
      </c>
      <c r="N79" s="58" t="e">
        <f>AVERAGE(N67:N78)</f>
        <v>#DIV/0!</v>
      </c>
      <c r="O79" s="5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k85d23755b3a46b5a51451cf336b2e9b xmlns="662745e8-e224-48e8-a2e3-254862b8c2f5">
      <Terms xmlns="http://schemas.microsoft.com/office/infopath/2007/PartnerControls"/>
    </k85d23755b3a46b5a51451cf336b2e9b>
    <Topic xmlns="662745e8-e224-48e8-a2e3-254862b8c2f5">Installations</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12</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LNA Environment Management and Regulated Industry</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Team</TermName>
          <TermId xmlns="http://schemas.microsoft.com/office/infopath/2007/PartnerControls">ff0485df-0575-416f-802f-e999165821b7</TermId>
        </TermInfo>
      </Terms>
    </n7493b4506bf40e28c373b1e51a33445>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99AE818-09E0-4C6B-8873-B76B7A502E49}"/>
</file>

<file path=customXml/itemProps2.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3.xml><?xml version="1.0" encoding="utf-8"?>
<ds:datastoreItem xmlns:ds="http://schemas.openxmlformats.org/officeDocument/2006/customXml" ds:itemID="{29872ED2-4B15-4988-A313-05BEBCB33934}">
  <ds:schemaRefs>
    <ds:schemaRef ds:uri="Microsoft.SharePoint.Taxonomy.ContentTypeSync"/>
  </ds:schemaRefs>
</ds:datastoreItem>
</file>

<file path=customXml/itemProps4.xml><?xml version="1.0" encoding="utf-8"?>
<ds:datastoreItem xmlns:ds="http://schemas.openxmlformats.org/officeDocument/2006/customXml" ds:itemID="{03A65312-EDD8-4ED5-85CD-21EC9D2BFEF5}">
  <ds:schemaRefs>
    <ds:schemaRef ds:uri="http://schemas.microsoft.com/office/2006/documentManagement/types"/>
    <ds:schemaRef ds:uri="http://schemas.openxmlformats.org/package/2006/metadata/core-properties"/>
    <ds:schemaRef ds:uri="http://www.w3.org/XML/1998/namespace"/>
    <ds:schemaRef ds:uri="http://purl.org/dc/elements/1.1/"/>
    <ds:schemaRef ds:uri="9da4a8cb-9be9-467a-8b6a-338adff71182"/>
    <ds:schemaRef ds:uri="http://schemas.microsoft.com/office/infopath/2007/PartnerControls"/>
    <ds:schemaRef ds:uri="http://purl.org/dc/dcmitype/"/>
    <ds:schemaRef ds:uri="662745e8-e224-48e8-a2e3-254862b8c2f5"/>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Summary</vt:lpstr>
      <vt:lpstr>Operational Data</vt:lpstr>
      <vt:lpstr>Perf. Form 1</vt:lpstr>
      <vt:lpstr>Energy Form 1</vt:lpstr>
      <vt:lpstr>Permit Compliance</vt:lpstr>
      <vt:lpstr>Improvements</vt:lpstr>
      <vt:lpstr>Public Liasion</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Brent Charlton</cp:lastModifiedBy>
  <cp:revision/>
  <cp:lastPrinted>2023-01-10T13:54:17Z</cp:lastPrinted>
  <dcterms:created xsi:type="dcterms:W3CDTF">2019-04-02T06:44:55Z</dcterms:created>
  <dcterms:modified xsi:type="dcterms:W3CDTF">2023-01-31T17:47:14Z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12;#Team|ff0485df-0575-416f-802f-e999165821b7</vt:lpwstr>
  </property>
  <property fmtid="{D5CDD505-2E9C-101B-9397-08002B2CF9AE}" pid="8" name="OrganisationalUnit">
    <vt:lpwstr>8;#EA|d5f78ddb-b1b6-4328-9877-d7e3ed06fdac</vt:lpwstr>
  </property>
</Properties>
</file>