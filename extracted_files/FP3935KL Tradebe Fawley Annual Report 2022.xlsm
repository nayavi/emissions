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04"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Ian.Smith\Desktop\"/>
    </mc:Choice>
  </mc:AlternateContent>
  <xr:revisionPtr revIDLastSave="0" documentId="8_{052F3419-6123-4AC0-82D9-44FCA3E3FBA6}" xr6:coauthVersionLast="47" xr6:coauthVersionMax="47" xr10:uidLastSave="{00000000-0000-0000-0000-000000000000}"/>
  <bookViews>
    <workbookView xWindow="-24300" yWindow="60" windowWidth="18840" windowHeight="11385" firstSheet="3" activeTab="3"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CO2 N2O" sheetId="32"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externalReferences>
    <externalReference r:id="rId24"/>
    <externalReference r:id="rId25"/>
  </externalReferences>
  <definedNames>
    <definedName name="_xlnm.Print_Area" localSheetId="14">'Air (CEMS)'!$A$1:$M$31</definedName>
    <definedName name="_xlnm.Print_Area" localSheetId="13">'Air (periodic)'!$A$1:$K$41</definedName>
    <definedName name="_xlnm.Print_Area" localSheetId="20">'CO 0.5hourly'!$A$1:$G$52</definedName>
    <definedName name="_xlnm.Print_Area" localSheetId="21">'CO 95% 10 min'!$A$1:$H$52</definedName>
    <definedName name="_xlnm.Print_Area" localSheetId="11">'CO2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Compliance'!$A$1:$J$37</definedName>
    <definedName name="_xlnm.Print_Area" localSheetId="9">'Public Liasion'!$A$1:$I$29</definedName>
    <definedName name="_xlnm.Print_Area" localSheetId="10">'Residue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3" i="2" l="1"/>
  <c r="H29" i="8"/>
  <c r="H54" i="7"/>
  <c r="I40" i="22"/>
  <c r="H40" i="22"/>
  <c r="I39" i="22"/>
  <c r="H39" i="22"/>
  <c r="G58" i="6"/>
  <c r="E26" i="24" l="1"/>
  <c r="E25" i="24"/>
  <c r="E24" i="24"/>
  <c r="E23" i="24"/>
  <c r="E22" i="24"/>
  <c r="E21" i="24"/>
  <c r="E20" i="24"/>
  <c r="E19" i="24"/>
  <c r="E18" i="24"/>
  <c r="E17" i="24"/>
  <c r="E16" i="24"/>
  <c r="E15" i="24"/>
  <c r="E14" i="24"/>
  <c r="D26" i="24"/>
  <c r="D25" i="24"/>
  <c r="D24" i="24"/>
  <c r="D23" i="24"/>
  <c r="D22" i="24"/>
  <c r="D21" i="24"/>
  <c r="D20" i="24"/>
  <c r="D19" i="24"/>
  <c r="D18" i="24"/>
  <c r="D17" i="24"/>
  <c r="D16" i="24"/>
  <c r="D15" i="24"/>
  <c r="D14" i="24"/>
  <c r="C1" i="32"/>
  <c r="A1" i="32"/>
  <c r="I20" i="7" l="1"/>
  <c r="I21" i="7"/>
  <c r="I22" i="7"/>
  <c r="I13" i="7"/>
  <c r="I14"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9" i="7" l="1"/>
  <c r="I11" i="7"/>
  <c r="I12" i="7"/>
  <c r="I18" i="7"/>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s="1"/>
  <c r="B4" i="7"/>
  <c r="G3"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G14" i="6"/>
  <c r="G12" i="6"/>
  <c r="H12" i="6" s="1"/>
  <c r="G11" i="6"/>
  <c r="G10" i="6"/>
  <c r="G9" i="6"/>
  <c r="G8" i="6"/>
  <c r="D11" i="8" l="1"/>
  <c r="H27" i="6"/>
  <c r="D14" i="8"/>
  <c r="H30" i="6"/>
  <c r="I23" i="7"/>
  <c r="D12" i="8"/>
  <c r="H25" i="6"/>
  <c r="E33" i="7"/>
  <c r="H33" i="7" s="1"/>
  <c r="E35" i="7"/>
  <c r="H35" i="7" s="1"/>
  <c r="E37" i="7"/>
  <c r="H37" i="7" s="1"/>
  <c r="E36" i="7"/>
  <c r="H36" i="7" s="1"/>
  <c r="G24" i="7"/>
  <c r="G18" i="6"/>
  <c r="H21" i="6" s="1"/>
  <c r="G28" i="6"/>
  <c r="E24" i="7"/>
  <c r="I24" i="7" s="1"/>
  <c r="E34" i="7"/>
  <c r="H34" i="7" s="1"/>
  <c r="D10" i="8"/>
  <c r="A31" i="7"/>
  <c r="A43" i="7" s="1"/>
  <c r="H15" i="6" l="1"/>
  <c r="H8" i="6"/>
  <c r="H19" i="6"/>
  <c r="H10" i="6"/>
  <c r="G11" i="8"/>
  <c r="G12" i="8"/>
  <c r="H14" i="6"/>
  <c r="G14" i="8"/>
  <c r="H11" i="6"/>
  <c r="H9" i="6"/>
  <c r="H45" i="22"/>
  <c r="I45" i="22"/>
</calcChain>
</file>

<file path=xl/sharedStrings.xml><?xml version="1.0" encoding="utf-8"?>
<sst xmlns="http://schemas.openxmlformats.org/spreadsheetml/2006/main" count="1665" uniqueCount="487">
  <si>
    <t>Version 22.3  30/11/22</t>
  </si>
  <si>
    <t>Add photo</t>
  </si>
  <si>
    <t>Notes:</t>
  </si>
  <si>
    <t>This template may require adjustments by individual operators to meet specific reporting requirements as defined in the site Permit(s)</t>
  </si>
  <si>
    <t>Annual Performance Report 2022</t>
  </si>
  <si>
    <t>Permit  EPR/FP3935KL</t>
  </si>
  <si>
    <t>Tradebe Fawley Limited</t>
  </si>
  <si>
    <t>Year:</t>
  </si>
  <si>
    <t>Address:</t>
  </si>
  <si>
    <t>Fawley High Temperature Incinerator, Charleston Road, Hardley, Hythe, Southampton, SO45 3NX</t>
  </si>
  <si>
    <t xml:space="preserve">Tel: </t>
  </si>
  <si>
    <t>0845 603 2893</t>
  </si>
  <si>
    <t xml:space="preserve">Email: </t>
  </si>
  <si>
    <t>ian.smith@tradebe.com</t>
  </si>
  <si>
    <t>Prepared by:</t>
  </si>
  <si>
    <t>Ian Smith</t>
  </si>
  <si>
    <t>Position:</t>
  </si>
  <si>
    <t>SHEQ Manager</t>
  </si>
  <si>
    <t>Approved by:</t>
  </si>
  <si>
    <t>Mick Barker</t>
  </si>
  <si>
    <t>Site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</si>
  <si>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</si>
  <si>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</si>
  <si>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</si>
  <si>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</si>
  <si>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</si>
  <si>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</si>
  <si>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</si>
  <si>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</si>
  <si>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</si>
  <si>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</si>
  <si>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</si>
  <si>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</si>
  <si>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</si>
  <si>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</si>
  <si>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</si>
  <si>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</si>
  <si>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</si>
  <si>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</si>
  <si>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</si>
  <si>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</si>
  <si>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</si>
  <si>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</si>
  <si>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</si>
  <si>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</si>
  <si>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</si>
  <si>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</si>
  <si>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</si>
  <si>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</si>
  <si>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</si>
  <si>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</si>
  <si>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</si>
  <si>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</si>
  <si>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</si>
  <si>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</si>
  <si>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</si>
  <si>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</si>
  <si>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</si>
  <si>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facility undertakes High Temperature Incineration (HTI) of wastes received using a rotary kiln incinerator. The incinerator is permitted to accept up to 48,000 tonnes (t) of waste per annum.
The mix of wastes which can be fed into the incinerator is determined by site chemists.  Wastes are loaded into the HTI by liquid and gas injection, via a shredder (for some Intermediate Bulk Containers [IBCs], drums and pallets), by wheelie bin hoist for clinical wastes and by drum hoist for more reactive materials or via a hopper and high pressure pump.
The single rotary kiln operates on a slight angle and rotates approximately ten times per hour.  The kiln heats wastes to at least 1,100 degrees celcius (oC).  Hot gases from the incinerator pass through an after burner chamber before entering a quench tower where the temperature is reduced from approximately 84oC.  Water is circulated in the quench tower and caustic soda is added to the quench liquor. Further gas treaement includes sequentially an Absorber/exchange tower, electrostatic precipitators and carbon filters before clean exhaust gases are discharged to the atmoshphere fromthe plant stack. Processes water is treated to discharge standards on site before controlled relaese to southampton water. Solid waste ash material and effluent filter cake are stored on site in skips before disposal to landfill
The site is located on an industrial estate that is close to the Fawley Oil Refinery on land leased fromthe refinery owners. The nearest houshold is approximatley 450m fromthe western boundary of the site and the site is located in open and wooded land with adjacent quarry operaions to the west. 
</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</si>
  <si>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</si>
  <si>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</si>
  <si>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site is Operated to a set of written procedures that are reviewed, distrubuted, and delivered within a management system that is accredited to ISO 9001 (quality), 14001 (Environment) and 45001 (health and Safety).
Detailed procedures and resources (personel) are provided to delver complaint waste pre-acceptance checks, waste reception on arrival, sorting, storage and schedulling of material in bulk liquid and non bulk solid forms.
A dedicated Operational Teams provide process operation and control on a 12 hour shift basis 24/7. Process control is managed by an expereinced Shift Manager and Process Supervisor who manage the input of waste feeds according to a 'burn list' and realtime electronic feedback froma dedicated process control system with automted functions to limit and stop process excedacnes of target measures for envirnmental emissions and temperature, amongst other parameters.
Site Operations are suppoted by a dedciated Maintenance team of electrical and mechnaical Maintenance Technicians, Supervisors and a Manager. Maintenance is planned and managed for all systems including safety and environmental critical systems.
The site has it's own ETP which is run by a dedicated and qualified ETP Chemist and supported by an internal lab. The lab staff and systems can delvier basic waste characterisation, effluent analysis for metals and analysis of solid waste outputs e.g. IBA/APC residues.
All off site materials, as above, are analysed to ensur ethey meet quality and environmental criteria. Third party quality control for gaseous emimssion is completed twice per year.</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</si>
  <si>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</si>
  <si>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</si>
  <si>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</si>
  <si>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</si>
  <si>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</si>
  <si>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</si>
  <si>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</si>
  <si>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</si>
  <si>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</si>
  <si>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</si>
  <si>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</si>
  <si>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</si>
  <si>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</si>
  <si>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</si>
  <si>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</si>
  <si>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</si>
  <si>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</si>
  <si>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</si>
  <si>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</si>
  <si>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</si>
  <si>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</si>
  <si>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</si>
  <si>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</si>
  <si>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</si>
  <si>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</si>
  <si>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</si>
  <si>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</si>
  <si>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Radioactives</t>
  </si>
  <si>
    <t>Liquid Waste</t>
  </si>
  <si>
    <t>Residue R1 Wastes</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</si>
  <si>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</si>
  <si>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</si>
  <si>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</si>
  <si>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</si>
  <si>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</si>
  <si>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</si>
  <si>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</si>
  <si>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</si>
  <si>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</si>
  <si>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</si>
  <si>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</si>
  <si>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</si>
  <si>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</si>
  <si>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</si>
  <si>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</si>
  <si>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</si>
  <si>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</si>
  <si>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</si>
  <si>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</si>
  <si>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</si>
  <si>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Kiln Rubble</t>
  </si>
  <si>
    <t>Inert C&amp;D</t>
  </si>
  <si>
    <t>Other</t>
  </si>
  <si>
    <t>Raw Material Usage</t>
  </si>
  <si>
    <t>kg or Ltr /te</t>
  </si>
  <si>
    <t>Mains Water</t>
  </si>
  <si>
    <t>ltrs</t>
  </si>
  <si>
    <t>Other Water</t>
  </si>
  <si>
    <t>Ammonia</t>
  </si>
  <si>
    <t>kgs</t>
  </si>
  <si>
    <t>Urea</t>
  </si>
  <si>
    <t>Activated Carbon</t>
  </si>
  <si>
    <t>Lime / hydrated lime</t>
  </si>
  <si>
    <t>Fuel oil</t>
  </si>
  <si>
    <t>Tonnes</t>
  </si>
  <si>
    <t>Gas</t>
  </si>
  <si>
    <t>cf</t>
  </si>
  <si>
    <t>Caustic Soda</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</si>
  <si>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</si>
  <si>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</si>
  <si>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</si>
  <si>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</si>
  <si>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</si>
  <si>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</si>
  <si>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</si>
  <si>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</si>
  <si>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</si>
  <si>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</si>
  <si>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</si>
  <si>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</si>
  <si>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</si>
  <si>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</si>
  <si>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</si>
  <si>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</si>
  <si>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</si>
  <si>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 following key maintenance operations were completed in the last year- 
Planned shut down and kiln relining and associated maintenance and cleaning
Full detailed service and recommisioning of the WEPs
Completed install and cold commisioning of Lower B Farm automated valves Project</t>
  </si>
  <si>
    <t xml:space="preserve">Include summary of key operational and/or mainteanance activity undertaken in the year, such as any major component upgrades and/or replacements </t>
  </si>
  <si>
    <t>Summary of Residue Handling for the reporting year</t>
  </si>
  <si>
    <t>There were no new developments in residue handling and all solid residues continue to be disposed of to landfill (Haz or Non-Haz) as determined by residue anlysis.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</si>
  <si>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</si>
  <si>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</si>
  <si>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</si>
  <si>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</si>
  <si>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</si>
  <si>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</si>
  <si>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</si>
  <si>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</si>
  <si>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</si>
  <si>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</si>
  <si>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</si>
  <si>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</si>
  <si>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</si>
  <si>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</si>
  <si>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</si>
  <si>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</si>
  <si>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Landfill</t>
  </si>
  <si>
    <t>IBA</t>
  </si>
  <si>
    <t>Total Hazardous Waste</t>
  </si>
  <si>
    <t>2) Non-Hazardous Wastes</t>
  </si>
  <si>
    <t>Ferrous Metal</t>
  </si>
  <si>
    <t>Recycling</t>
  </si>
  <si>
    <t>Process Water</t>
  </si>
  <si>
    <t>Surface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</si>
  <si>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</si>
  <si>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</si>
  <si>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</si>
  <si>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</si>
  <si>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</si>
  <si>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</si>
  <si>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</si>
  <si>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</si>
  <si>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</si>
  <si>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</si>
  <si>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</si>
  <si>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</si>
  <si>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</si>
  <si>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</si>
  <si>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</si>
  <si>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</si>
  <si>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</si>
  <si>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</si>
  <si>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</si>
  <si>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</si>
  <si>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</si>
  <si>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</si>
  <si>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</si>
  <si>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</si>
  <si>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</si>
  <si>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</si>
  <si>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</si>
  <si>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</si>
  <si>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</si>
  <si>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</si>
  <si>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</si>
  <si>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</si>
  <si>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</si>
  <si>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</si>
  <si>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</si>
  <si>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</si>
  <si>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</si>
  <si>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</si>
  <si>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</si>
  <si>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</si>
  <si>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</si>
  <si>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</si>
  <si>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</si>
  <si>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</si>
  <si>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</si>
  <si>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</si>
  <si>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</si>
  <si>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</si>
  <si>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</si>
  <si>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</si>
  <si>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</si>
  <si>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</si>
  <si>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 xml:space="preserve">
100%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</si>
  <si>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</si>
  <si>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</si>
  <si>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</si>
  <si>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</si>
  <si>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</si>
  <si>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</si>
  <si>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</si>
  <si>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Particualte monitoring failure</t>
  </si>
  <si>
    <t>Plant Trip</t>
  </si>
  <si>
    <t>Power failure</t>
  </si>
  <si>
    <t>Human Error</t>
  </si>
  <si>
    <t>Training</t>
  </si>
  <si>
    <t>Quench Exit Temp</t>
  </si>
  <si>
    <t>Planned Improvements</t>
  </si>
  <si>
    <t>Quench Exit temp</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</si>
  <si>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</si>
  <si>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</si>
  <si>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</si>
  <si>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</si>
  <si>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</si>
  <si>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</si>
  <si>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None</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</si>
  <si>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</si>
  <si>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</si>
  <si>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</si>
  <si>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Work was completed on Functional Safety improvemnts to automate the filling and transfer valves in the Lower B Farm.
Inspection and maintenance driven replacment were undertaken with 2 new Discharge Tanks installed to replace those considered at their end of life. 
As the year closes ongoing demolision of the old WTE plant continues and is scheduled to complete in Q1 2023
Improvments planned for this year will seek to improve the environmental performance of the pant to meet any new BREF based emissions limit vlaues with specific enginnering works to reduce NOx Emissions. These inlcude final SNCR trials. Further work on the Effluent dipsoal system includes replaces the last 2 discharge tanks as they reach the end of their service life and a new EST Tank. This work inlcudes pipework chnages to improve the management of effluent on site between tanks in cases of potenital excedances.
Further engineering work on the quench system aims to improve perforamces and robustness of the system with the insrallation of further jet mixers and the an additional pump system. The new pump will be aviolable to back up exisitng pumps for the upper sprays to ensure these crtical sprays maintain operations at all times.
Maintenance led replacemnt of the efluent input tank 1 and treatment pits ensur ethe long term system integrity and shoud limprove residual risk of fugitive (steam) emissions from effluent treatment.</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</si>
  <si>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</si>
  <si>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</si>
  <si>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</si>
  <si>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</si>
  <si>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</si>
  <si>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</si>
  <si>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</si>
  <si>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</si>
  <si>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</si>
  <si>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</si>
  <si>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</si>
  <si>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</si>
  <si>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</si>
  <si>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</si>
  <si>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</si>
  <si>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</si>
  <si>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</si>
  <si>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</si>
  <si>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</si>
  <si>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</si>
  <si>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</si>
  <si>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</si>
  <si>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</si>
  <si>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</si>
  <si>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</si>
  <si>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</si>
  <si>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</si>
  <si>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</si>
  <si>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</si>
  <si>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</si>
  <si>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</si>
  <si>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</si>
  <si>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</si>
  <si>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</si>
  <si>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</si>
  <si>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</si>
  <si>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</si>
  <si>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</si>
  <si>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</si>
  <si>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</si>
  <si>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</si>
  <si>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</si>
  <si>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</si>
  <si>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</si>
  <si>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Analysis of monthly flow prportional samples undertaken for simple analysis by on site laboratory. Off site anlysis for organics and POP's</t>
  </si>
  <si>
    <t>Emissions to Water / Sewer</t>
  </si>
  <si>
    <t>Monitoring Frequency</t>
  </si>
  <si>
    <t>Target</t>
  </si>
  <si>
    <t>Max.</t>
  </si>
  <si>
    <t>Average</t>
  </si>
  <si>
    <t>Cadmium and its compounds as Cd</t>
  </si>
  <si>
    <t>Monthly</t>
  </si>
  <si>
    <t>Cd/ugl-1</t>
  </si>
  <si>
    <t>Thallium and its compounds as Tl</t>
  </si>
  <si>
    <t>No Limit</t>
  </si>
  <si>
    <t>Tl/ugl-1</t>
  </si>
  <si>
    <t>Mercury and its compounds as Hg</t>
  </si>
  <si>
    <t>Hg/ugl-1</t>
  </si>
  <si>
    <t>Chromium and its compounds as Cr</t>
  </si>
  <si>
    <t>Cr/ugl-1</t>
  </si>
  <si>
    <t>Copper and its compounds as Cu</t>
  </si>
  <si>
    <t>Cu/ugl-1</t>
  </si>
  <si>
    <t>Nickel and its compounds as Ni</t>
  </si>
  <si>
    <t>Ni/ugl-1</t>
  </si>
  <si>
    <t xml:space="preserve"> </t>
  </si>
  <si>
    <t>Lead and its compounds as Pb</t>
  </si>
  <si>
    <t>Pb/ugl-1</t>
  </si>
  <si>
    <t>Zinc and its compounds as Zn</t>
  </si>
  <si>
    <t>Zn/ugl-1</t>
  </si>
  <si>
    <t>Aluminium and its compounds as Al</t>
  </si>
  <si>
    <t>Al/ug</t>
  </si>
  <si>
    <t>Iron and its compounds as Fe</t>
  </si>
  <si>
    <t>Fe/ugl-1</t>
  </si>
  <si>
    <t>Arsenic and its compounds as As</t>
  </si>
  <si>
    <t>As/ugl-1</t>
  </si>
  <si>
    <t>Total Ammoniacal N</t>
  </si>
  <si>
    <t>Total Ammonical Nitrogen µg·l-1</t>
  </si>
  <si>
    <t>Phosphate as P</t>
  </si>
  <si>
    <t>P/ugl-1</t>
  </si>
  <si>
    <t>Suspended solids</t>
  </si>
  <si>
    <t>TSS mg·l-1</t>
  </si>
  <si>
    <t>pH</t>
  </si>
  <si>
    <t>6 - 9.5</t>
  </si>
  <si>
    <t>Temperature</t>
  </si>
  <si>
    <t>Flow rate (maximum in month)</t>
  </si>
  <si>
    <t>Total Cyanide as CN</t>
  </si>
  <si>
    <t>Total cyanide        µg·l-1</t>
  </si>
  <si>
    <t>Total Phenols</t>
  </si>
  <si>
    <t>Phenols/ugl-1</t>
  </si>
  <si>
    <t>Fluoride</t>
  </si>
  <si>
    <t>Flouride mg·l-1</t>
  </si>
  <si>
    <t>Chemical Oxygen Demand</t>
  </si>
  <si>
    <t>COD mg·l-1</t>
  </si>
  <si>
    <t>BOD</t>
  </si>
  <si>
    <t>BOD mg·l-1</t>
  </si>
  <si>
    <t>Oil Content</t>
  </si>
  <si>
    <t>Oil Content mg·l-1</t>
  </si>
  <si>
    <t>Tin and its compounds as SN</t>
  </si>
  <si>
    <t>Sn/ugl-1</t>
  </si>
  <si>
    <t>Turbidity</t>
  </si>
  <si>
    <t>The turbidity of the discharge was controlled to 15 NTU in the manner described in the letter dated 22nd September 2006</t>
  </si>
  <si>
    <t>Summary of monitoring undertaken, standards used and compliance</t>
  </si>
  <si>
    <t>Tradebe Ltd commissioned Element to conduct stack emissions testing on the A1 - Main Stack at Fawley.The monitoring campaign's goal was to ensure that it complies with a set of emission limit values (ELVs) stipulated in the Site's Permit.
Target Parameters: Total Particulate Matter, Hydrogen Chloride, Cadmium &amp; Thallium, Heavy Metals, Mercury, Dioxins &amp; Furans, PCBs, PAHs (DEFRA 16), Sulphur Dioxide, Hydrogen Fluoride, Total VOCs (as Carbon), Oxides of Nitrogen (as NO₂), Carbon Monoxide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</si>
  <si>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</si>
  <si>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</si>
  <si>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</si>
  <si>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</si>
  <si>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</si>
  <si>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</si>
  <si>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</si>
  <si>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</si>
  <si>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</si>
  <si>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</si>
  <si>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</si>
  <si>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</si>
  <si>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</si>
  <si>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</si>
  <si>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</si>
  <si>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</si>
  <si>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</si>
  <si>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</si>
  <si>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</si>
  <si>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</si>
  <si>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</si>
  <si>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</si>
  <si>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</si>
  <si>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</si>
  <si>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</si>
  <si>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</si>
  <si>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</si>
  <si>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</si>
  <si>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</si>
  <si>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</si>
  <si>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</si>
  <si>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</si>
  <si>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</si>
  <si>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</si>
  <si>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</si>
  <si>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</si>
  <si>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</si>
  <si>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</si>
  <si>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</si>
  <si>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</si>
  <si>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</si>
  <si>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</si>
  <si>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</si>
  <si>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</si>
  <si>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Max</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</si>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</sst>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39">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u/>
      <sz val="12"/>
      <color theme="10"/>
      <name val="Arial"/>
      <family val="2"/>
    </font>
    <font>
      <sz val="10"/>
      <name val="Arial"/>
      <family val="2"/>
    </font>
    <font>
      <b/>
      <sz val="11"/>
      <color theme="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xf numFmtId="0" fontId="37" fillId="0" borderId="0"/>
    <xf numFmtId="0" fontId="37" fillId="0" borderId="0"/>
  </cellStyleXfs>
  <cellXfs count="40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2" fillId="5" borderId="2" xfId="0" applyFont="1" applyFill="1" applyBorder="1" applyAlignment="1">
      <alignment horizontal="center" vertical="center"/>
    </xf>
    <xf numFmtId="3" fontId="2" fillId="5" borderId="2" xfId="0" applyNumberFormat="1" applyFont="1" applyFill="1" applyBorder="1" applyAlignment="1">
      <alignment horizontal="center" vertical="center"/>
    </xf>
    <xf numFmtId="14" fontId="6" fillId="0" borderId="12" xfId="0" applyNumberFormat="1" applyFont="1" applyBorder="1"/>
    <xf numFmtId="0" fontId="2" fillId="2" borderId="0" xfId="0" applyFont="1" applyFill="1" applyAlignment="1">
      <alignment horizontal="center"/>
    </xf>
    <xf numFmtId="0" fontId="2" fillId="2" borderId="0" xfId="0" applyFont="1" applyFill="1" applyAlignment="1">
      <alignment horizontal="left"/>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0" fontId="1" fillId="0" borderId="2" xfId="0" applyFont="1" applyBorder="1" applyAlignment="1">
      <alignment horizontal="center" vertical="center" wrapText="1"/>
    </xf>
    <xf numFmtId="14" fontId="1" fillId="2" borderId="2" xfId="0" applyNumberFormat="1" applyFont="1" applyFill="1" applyBorder="1" applyAlignment="1">
      <alignment horizontal="left"/>
    </xf>
    <xf numFmtId="0" fontId="1" fillId="2" borderId="2" xfId="0" applyFont="1" applyFill="1" applyBorder="1" applyAlignment="1">
      <alignment horizontal="left"/>
    </xf>
    <xf numFmtId="9" fontId="1" fillId="0" borderId="2" xfId="0" applyNumberFormat="1" applyFont="1" applyBorder="1" applyAlignment="1">
      <alignment horizontal="center" vertical="center" wrapText="1"/>
    </xf>
    <xf numFmtId="0" fontId="1" fillId="5" borderId="2"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8" fillId="0" borderId="0" xfId="0" applyFont="1" applyAlignment="1">
      <alignment horizontal="center"/>
    </xf>
    <xf numFmtId="2" fontId="38" fillId="0" borderId="0" xfId="0" applyNumberFormat="1" applyFont="1"/>
    <xf numFmtId="0" fontId="1" fillId="2" borderId="3" xfId="0" applyFont="1" applyFill="1" applyBorder="1" applyAlignment="1">
      <alignment horizontal="left"/>
    </xf>
    <xf numFmtId="0" fontId="1" fillId="2" borderId="5" xfId="0" applyFont="1" applyFill="1" applyBorder="1" applyAlignment="1">
      <alignment horizontal="left"/>
    </xf>
    <xf numFmtId="169" fontId="10" fillId="0" borderId="10" xfId="2" applyNumberFormat="1" applyFont="1" applyBorder="1" applyAlignment="1">
      <alignment horizontal="center"/>
    </xf>
    <xf numFmtId="0" fontId="2" fillId="2" borderId="0" xfId="0" applyFont="1" applyFill="1" applyAlignment="1">
      <alignment horizontal="center"/>
    </xf>
    <xf numFmtId="14" fontId="2" fillId="2" borderId="0" xfId="0" applyNumberFormat="1" applyFont="1" applyFill="1" applyAlignment="1">
      <alignment horizontal="left"/>
    </xf>
    <xf numFmtId="0" fontId="2" fillId="2" borderId="0" xfId="0" applyFont="1" applyFill="1" applyAlignment="1">
      <alignment horizontal="left"/>
    </xf>
    <xf numFmtId="0" fontId="2" fillId="2" borderId="0" xfId="0" applyFont="1" applyFill="1" applyAlignment="1">
      <alignment horizontal="left" wrapText="1"/>
    </xf>
    <xf numFmtId="0" fontId="36" fillId="2" borderId="0" xfId="3" applyFont="1" applyFill="1" applyAlignment="1">
      <alignment horizontal="left"/>
    </xf>
    <xf numFmtId="0" fontId="8" fillId="2" borderId="0" xfId="0" applyFont="1"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3" xfId="0" applyFont="1" applyFill="1" applyBorder="1" applyAlignment="1">
      <alignment horizontal="center"/>
    </xf>
    <xf numFmtId="0" fontId="1" fillId="2" borderId="5" xfId="0" applyFont="1" applyFill="1" applyBorder="1" applyAlignment="1">
      <alignment horizontal="center"/>
    </xf>
    <xf numFmtId="0" fontId="1" fillId="2" borderId="4" xfId="0" applyFont="1" applyFill="1" applyBorder="1" applyAlignment="1">
      <alignment horizontal="center"/>
    </xf>
    <xf numFmtId="0" fontId="1"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9" fontId="1" fillId="2" borderId="2" xfId="0" applyNumberFormat="1" applyFont="1" applyFill="1" applyBorder="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wrapText="1"/>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0" fillId="0" borderId="0" xfId="0" applyAlignment="1">
      <alignment wrapText="1"/>
    </xf>
    <xf numFmtId="0" fontId="2" fillId="0" borderId="0" xfId="0" applyFont="1" applyAlignment="1">
      <alignment vertical="top" wrapText="1"/>
    </xf>
    <xf numFmtId="2" fontId="1" fillId="5" borderId="3" xfId="0" applyNumberFormat="1" applyFont="1" applyFill="1" applyBorder="1" applyAlignment="1">
      <alignment horizontal="left" vertical="center" wrapText="1"/>
    </xf>
    <xf numFmtId="2" fontId="1" fillId="5" borderId="4" xfId="0" applyNumberFormat="1" applyFont="1" applyFill="1" applyBorder="1" applyAlignment="1">
      <alignment horizontal="left" vertical="center" wrapText="1"/>
    </xf>
    <xf numFmtId="2" fontId="1" fillId="5" borderId="5" xfId="0" applyNumberFormat="1"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3" xfId="0" quotePrefix="1"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0" fillId="0" borderId="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6">
    <cellStyle name="Comma" xfId="1" builtinId="3"/>
    <cellStyle name="Hyperlink" xfId="3" builtinId="8"/>
    <cellStyle name="Normal" xfId="0" builtinId="0"/>
    <cellStyle name="Normal 2" xfId="4" xr:uid="{8752D728-F81C-4E8C-91CF-5E5002BA839F}"/>
    <cellStyle name="Normal 3" xfId="5" xr:uid="{4FE3B31A-0BEB-4075-9107-599E4A1AAFAD}"/>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0.3</c:v>
                </c:pt>
                <c:pt idx="1">
                  <c:v>0.4</c:v>
                </c:pt>
                <c:pt idx="2">
                  <c:v>0.4</c:v>
                </c:pt>
                <c:pt idx="3">
                  <c:v>0.3</c:v>
                </c:pt>
                <c:pt idx="4">
                  <c:v>0.3</c:v>
                </c:pt>
                <c:pt idx="5">
                  <c:v>0.3</c:v>
                </c:pt>
                <c:pt idx="6">
                  <c:v>0.3</c:v>
                </c:pt>
                <c:pt idx="7">
                  <c:v>0.3</c:v>
                </c:pt>
                <c:pt idx="8">
                  <c:v>0.3</c:v>
                </c:pt>
                <c:pt idx="9">
                  <c:v>0.3</c:v>
                </c:pt>
                <c:pt idx="10">
                  <c:v>0.3</c:v>
                </c:pt>
                <c:pt idx="11">
                  <c:v>0.2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3.6</c:v>
                </c:pt>
                <c:pt idx="1">
                  <c:v>3</c:v>
                </c:pt>
                <c:pt idx="2">
                  <c:v>5.4</c:v>
                </c:pt>
                <c:pt idx="3">
                  <c:v>0.7</c:v>
                </c:pt>
                <c:pt idx="4">
                  <c:v>0.9</c:v>
                </c:pt>
                <c:pt idx="5">
                  <c:v>0.6</c:v>
                </c:pt>
                <c:pt idx="6">
                  <c:v>1.1000000000000001</c:v>
                </c:pt>
                <c:pt idx="7">
                  <c:v>0.5</c:v>
                </c:pt>
                <c:pt idx="8">
                  <c:v>0.6</c:v>
                </c:pt>
                <c:pt idx="9">
                  <c:v>0.6</c:v>
                </c:pt>
                <c:pt idx="10">
                  <c:v>0.6</c:v>
                </c:pt>
                <c:pt idx="11">
                  <c:v>0.7</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0.3</c:v>
                </c:pt>
                <c:pt idx="1">
                  <c:v>0.3</c:v>
                </c:pt>
                <c:pt idx="2">
                  <c:v>0.4</c:v>
                </c:pt>
                <c:pt idx="3">
                  <c:v>0.3</c:v>
                </c:pt>
                <c:pt idx="4">
                  <c:v>0.1</c:v>
                </c:pt>
                <c:pt idx="5">
                  <c:v>0.2</c:v>
                </c:pt>
                <c:pt idx="6">
                  <c:v>0.2</c:v>
                </c:pt>
                <c:pt idx="7">
                  <c:v>0.2</c:v>
                </c:pt>
                <c:pt idx="8">
                  <c:v>0.2</c:v>
                </c:pt>
                <c:pt idx="9">
                  <c:v>0.3</c:v>
                </c:pt>
                <c:pt idx="10">
                  <c:v>0.2</c:v>
                </c:pt>
                <c:pt idx="11">
                  <c:v>0.2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0.6</c:v>
                </c:pt>
                <c:pt idx="1">
                  <c:v>0.5</c:v>
                </c:pt>
                <c:pt idx="2">
                  <c:v>0.9</c:v>
                </c:pt>
                <c:pt idx="3">
                  <c:v>0.4</c:v>
                </c:pt>
                <c:pt idx="4">
                  <c:v>0.4</c:v>
                </c:pt>
                <c:pt idx="5">
                  <c:v>0.4</c:v>
                </c:pt>
                <c:pt idx="6">
                  <c:v>0.4</c:v>
                </c:pt>
                <c:pt idx="7">
                  <c:v>0.4</c:v>
                </c:pt>
                <c:pt idx="8">
                  <c:v>0.4</c:v>
                </c:pt>
                <c:pt idx="9">
                  <c:v>0.4</c:v>
                </c:pt>
                <c:pt idx="10">
                  <c:v>0.4</c:v>
                </c:pt>
                <c:pt idx="11">
                  <c:v>0.5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0.9</c:v>
                </c:pt>
                <c:pt idx="1">
                  <c:v>0.5</c:v>
                </c:pt>
                <c:pt idx="2">
                  <c:v>1.2</c:v>
                </c:pt>
                <c:pt idx="3">
                  <c:v>0</c:v>
                </c:pt>
                <c:pt idx="4">
                  <c:v>0.2</c:v>
                </c:pt>
                <c:pt idx="5">
                  <c:v>0.1</c:v>
                </c:pt>
                <c:pt idx="6">
                  <c:v>0.1</c:v>
                </c:pt>
                <c:pt idx="7">
                  <c:v>0.1</c:v>
                </c:pt>
                <c:pt idx="8">
                  <c:v>0.1</c:v>
                </c:pt>
                <c:pt idx="9">
                  <c:v>0.2</c:v>
                </c:pt>
                <c:pt idx="10">
                  <c:v>0.2</c:v>
                </c:pt>
                <c:pt idx="11">
                  <c:v>0.1</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101.9</c:v>
                </c:pt>
                <c:pt idx="1">
                  <c:v>128.80000000000001</c:v>
                </c:pt>
                <c:pt idx="2">
                  <c:v>123.8</c:v>
                </c:pt>
                <c:pt idx="3">
                  <c:v>2.4</c:v>
                </c:pt>
                <c:pt idx="4">
                  <c:v>27.5</c:v>
                </c:pt>
                <c:pt idx="5">
                  <c:v>5</c:v>
                </c:pt>
                <c:pt idx="6">
                  <c:v>21.8</c:v>
                </c:pt>
                <c:pt idx="7">
                  <c:v>7.9</c:v>
                </c:pt>
                <c:pt idx="8">
                  <c:v>9.4</c:v>
                </c:pt>
                <c:pt idx="9">
                  <c:v>13</c:v>
                </c:pt>
                <c:pt idx="10">
                  <c:v>18.5</c:v>
                </c:pt>
                <c:pt idx="11">
                  <c:v>6.3</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0.9</c:v>
                </c:pt>
                <c:pt idx="1">
                  <c:v>0.5</c:v>
                </c:pt>
                <c:pt idx="2">
                  <c:v>1.2</c:v>
                </c:pt>
                <c:pt idx="3">
                  <c:v>0</c:v>
                </c:pt>
                <c:pt idx="4">
                  <c:v>0</c:v>
                </c:pt>
                <c:pt idx="5">
                  <c:v>0.1</c:v>
                </c:pt>
                <c:pt idx="6">
                  <c:v>0.1</c:v>
                </c:pt>
                <c:pt idx="7">
                  <c:v>0.1</c:v>
                </c:pt>
                <c:pt idx="8">
                  <c:v>0.1</c:v>
                </c:pt>
                <c:pt idx="9">
                  <c:v>0.2</c:v>
                </c:pt>
                <c:pt idx="10">
                  <c:v>0.2</c:v>
                </c:pt>
                <c:pt idx="11">
                  <c:v>0.1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5.6</c:v>
                </c:pt>
                <c:pt idx="1">
                  <c:v>3</c:v>
                </c:pt>
                <c:pt idx="2">
                  <c:v>11.3</c:v>
                </c:pt>
                <c:pt idx="3">
                  <c:v>0.2</c:v>
                </c:pt>
                <c:pt idx="4">
                  <c:v>1.2</c:v>
                </c:pt>
                <c:pt idx="5">
                  <c:v>0.4</c:v>
                </c:pt>
                <c:pt idx="6">
                  <c:v>0.6</c:v>
                </c:pt>
                <c:pt idx="7">
                  <c:v>0.4</c:v>
                </c:pt>
                <c:pt idx="8">
                  <c:v>0.4</c:v>
                </c:pt>
                <c:pt idx="9">
                  <c:v>0.8</c:v>
                </c:pt>
                <c:pt idx="10">
                  <c:v>1.1000000000000001</c:v>
                </c:pt>
                <c:pt idx="11">
                  <c:v>0.7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219.9</c:v>
                </c:pt>
                <c:pt idx="1">
                  <c:v>175.2</c:v>
                </c:pt>
                <c:pt idx="2">
                  <c:v>184.7</c:v>
                </c:pt>
                <c:pt idx="3">
                  <c:v>161.9</c:v>
                </c:pt>
                <c:pt idx="4">
                  <c:v>150.6</c:v>
                </c:pt>
                <c:pt idx="5">
                  <c:v>209.2</c:v>
                </c:pt>
                <c:pt idx="6">
                  <c:v>183.6</c:v>
                </c:pt>
                <c:pt idx="7">
                  <c:v>174.2</c:v>
                </c:pt>
                <c:pt idx="8">
                  <c:v>171.1</c:v>
                </c:pt>
                <c:pt idx="9">
                  <c:v>156.4</c:v>
                </c:pt>
                <c:pt idx="10">
                  <c:v>146.9</c:v>
                </c:pt>
                <c:pt idx="11">
                  <c:v>175.9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371.6</c:v>
                </c:pt>
                <c:pt idx="1">
                  <c:v>373.4</c:v>
                </c:pt>
                <c:pt idx="2">
                  <c:v>360.2</c:v>
                </c:pt>
                <c:pt idx="3">
                  <c:v>344.9</c:v>
                </c:pt>
                <c:pt idx="4">
                  <c:v>326.5</c:v>
                </c:pt>
                <c:pt idx="5">
                  <c:v>355.5</c:v>
                </c:pt>
                <c:pt idx="6">
                  <c:v>379.4</c:v>
                </c:pt>
                <c:pt idx="7">
                  <c:v>379.3</c:v>
                </c:pt>
                <c:pt idx="8">
                  <c:v>371.3</c:v>
                </c:pt>
                <c:pt idx="9">
                  <c:v>371.9</c:v>
                </c:pt>
                <c:pt idx="10">
                  <c:v>354.7</c:v>
                </c:pt>
                <c:pt idx="11">
                  <c:v>373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220.1</c:v>
                </c:pt>
                <c:pt idx="1">
                  <c:v>176.4</c:v>
                </c:pt>
                <c:pt idx="2">
                  <c:v>184.7</c:v>
                </c:pt>
                <c:pt idx="3">
                  <c:v>163.1</c:v>
                </c:pt>
                <c:pt idx="4">
                  <c:v>150.19999999999999</c:v>
                </c:pt>
                <c:pt idx="5">
                  <c:v>205.9</c:v>
                </c:pt>
                <c:pt idx="6">
                  <c:v>185.3</c:v>
                </c:pt>
                <c:pt idx="7">
                  <c:v>175.1</c:v>
                </c:pt>
                <c:pt idx="8">
                  <c:v>174.2</c:v>
                </c:pt>
                <c:pt idx="9">
                  <c:v>155.9</c:v>
                </c:pt>
                <c:pt idx="10">
                  <c:v>142.1</c:v>
                </c:pt>
                <c:pt idx="11">
                  <c:v>176.7</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288.60000000000002</c:v>
                </c:pt>
                <c:pt idx="1">
                  <c:v>239.1</c:v>
                </c:pt>
                <c:pt idx="2">
                  <c:v>232.6</c:v>
                </c:pt>
                <c:pt idx="3">
                  <c:v>223.7</c:v>
                </c:pt>
                <c:pt idx="4">
                  <c:v>193.4</c:v>
                </c:pt>
                <c:pt idx="5">
                  <c:v>267.39999999999998</c:v>
                </c:pt>
                <c:pt idx="6">
                  <c:v>250.9</c:v>
                </c:pt>
                <c:pt idx="7">
                  <c:v>274.2</c:v>
                </c:pt>
                <c:pt idx="8">
                  <c:v>247.4</c:v>
                </c:pt>
                <c:pt idx="9">
                  <c:v>221.2</c:v>
                </c:pt>
                <c:pt idx="10">
                  <c:v>187.7</c:v>
                </c:pt>
                <c:pt idx="11">
                  <c:v>249.9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0.7</c:v>
                </c:pt>
                <c:pt idx="1">
                  <c:v>0.7</c:v>
                </c:pt>
                <c:pt idx="2">
                  <c:v>0.7</c:v>
                </c:pt>
                <c:pt idx="3">
                  <c:v>0.7</c:v>
                </c:pt>
                <c:pt idx="4">
                  <c:v>0.8</c:v>
                </c:pt>
                <c:pt idx="5">
                  <c:v>0.7</c:v>
                </c:pt>
                <c:pt idx="6">
                  <c:v>0.8</c:v>
                </c:pt>
                <c:pt idx="7">
                  <c:v>0.6</c:v>
                </c:pt>
                <c:pt idx="8">
                  <c:v>0.8</c:v>
                </c:pt>
                <c:pt idx="9">
                  <c:v>1.2</c:v>
                </c:pt>
                <c:pt idx="10">
                  <c:v>1.2</c:v>
                </c:pt>
                <c:pt idx="11">
                  <c:v>0.8</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16.600000000000001</c:v>
                </c:pt>
                <c:pt idx="1">
                  <c:v>17.899999999999999</c:v>
                </c:pt>
                <c:pt idx="2">
                  <c:v>16.8</c:v>
                </c:pt>
                <c:pt idx="3">
                  <c:v>9.5</c:v>
                </c:pt>
                <c:pt idx="4">
                  <c:v>8.4</c:v>
                </c:pt>
                <c:pt idx="5">
                  <c:v>13.9</c:v>
                </c:pt>
                <c:pt idx="6">
                  <c:v>17</c:v>
                </c:pt>
                <c:pt idx="7">
                  <c:v>12.8</c:v>
                </c:pt>
                <c:pt idx="8">
                  <c:v>14</c:v>
                </c:pt>
                <c:pt idx="9">
                  <c:v>14.6</c:v>
                </c:pt>
                <c:pt idx="10">
                  <c:v>16</c:v>
                </c:pt>
                <c:pt idx="11">
                  <c:v>10.4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0.6</c:v>
                </c:pt>
                <c:pt idx="1">
                  <c:v>0.7</c:v>
                </c:pt>
                <c:pt idx="2">
                  <c:v>0.6</c:v>
                </c:pt>
                <c:pt idx="3">
                  <c:v>0.6</c:v>
                </c:pt>
                <c:pt idx="4">
                  <c:v>0.6</c:v>
                </c:pt>
                <c:pt idx="5">
                  <c:v>0.6</c:v>
                </c:pt>
                <c:pt idx="6">
                  <c:v>0.8</c:v>
                </c:pt>
                <c:pt idx="7">
                  <c:v>0.5</c:v>
                </c:pt>
                <c:pt idx="8">
                  <c:v>0.7</c:v>
                </c:pt>
                <c:pt idx="9">
                  <c:v>1.1000000000000001</c:v>
                </c:pt>
                <c:pt idx="10">
                  <c:v>1.1000000000000001</c:v>
                </c:pt>
                <c:pt idx="11">
                  <c:v>0.7</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1.2</c:v>
                </c:pt>
                <c:pt idx="1">
                  <c:v>3</c:v>
                </c:pt>
                <c:pt idx="2">
                  <c:v>2.6</c:v>
                </c:pt>
                <c:pt idx="3">
                  <c:v>1.1000000000000001</c:v>
                </c:pt>
                <c:pt idx="4">
                  <c:v>1.1000000000000001</c:v>
                </c:pt>
                <c:pt idx="5">
                  <c:v>1.1000000000000001</c:v>
                </c:pt>
                <c:pt idx="6">
                  <c:v>1.9</c:v>
                </c:pt>
                <c:pt idx="7">
                  <c:v>1.3</c:v>
                </c:pt>
                <c:pt idx="8">
                  <c:v>1.6</c:v>
                </c:pt>
                <c:pt idx="9">
                  <c:v>2.2999999999999998</c:v>
                </c:pt>
                <c:pt idx="10">
                  <c:v>3.4</c:v>
                </c:pt>
                <c:pt idx="11">
                  <c:v>1.3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5.5</c:v>
                </c:pt>
                <c:pt idx="1">
                  <c:v>2.7</c:v>
                </c:pt>
                <c:pt idx="2">
                  <c:v>3.1</c:v>
                </c:pt>
                <c:pt idx="3">
                  <c:v>2.6</c:v>
                </c:pt>
                <c:pt idx="4">
                  <c:v>3.1</c:v>
                </c:pt>
                <c:pt idx="5">
                  <c:v>1.7</c:v>
                </c:pt>
                <c:pt idx="6">
                  <c:v>1.7</c:v>
                </c:pt>
                <c:pt idx="7">
                  <c:v>1.9</c:v>
                </c:pt>
                <c:pt idx="8">
                  <c:v>2.6</c:v>
                </c:pt>
                <c:pt idx="9">
                  <c:v>2.1</c:v>
                </c:pt>
                <c:pt idx="10">
                  <c:v>1.9</c:v>
                </c:pt>
                <c:pt idx="11">
                  <c:v>2.5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8.3000000000000007</c:v>
                </c:pt>
                <c:pt idx="1">
                  <c:v>8.6</c:v>
                </c:pt>
                <c:pt idx="2">
                  <c:v>8.3000000000000007</c:v>
                </c:pt>
                <c:pt idx="3">
                  <c:v>9.6999999999999993</c:v>
                </c:pt>
                <c:pt idx="4">
                  <c:v>8.5</c:v>
                </c:pt>
                <c:pt idx="5">
                  <c:v>11.4</c:v>
                </c:pt>
                <c:pt idx="6">
                  <c:v>11.8</c:v>
                </c:pt>
                <c:pt idx="7">
                  <c:v>17.3</c:v>
                </c:pt>
                <c:pt idx="8">
                  <c:v>13.9</c:v>
                </c:pt>
                <c:pt idx="9">
                  <c:v>16.600000000000001</c:v>
                </c:pt>
                <c:pt idx="10">
                  <c:v>4.8</c:v>
                </c:pt>
                <c:pt idx="11">
                  <c:v>17.3</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5.5</c:v>
                </c:pt>
                <c:pt idx="1">
                  <c:v>2.7</c:v>
                </c:pt>
                <c:pt idx="2">
                  <c:v>3.2</c:v>
                </c:pt>
                <c:pt idx="3">
                  <c:v>2.6</c:v>
                </c:pt>
                <c:pt idx="4">
                  <c:v>2.9</c:v>
                </c:pt>
                <c:pt idx="5">
                  <c:v>1.6</c:v>
                </c:pt>
                <c:pt idx="6">
                  <c:v>1.6</c:v>
                </c:pt>
                <c:pt idx="7">
                  <c:v>1.8</c:v>
                </c:pt>
                <c:pt idx="8">
                  <c:v>2.5</c:v>
                </c:pt>
                <c:pt idx="9">
                  <c:v>2</c:v>
                </c:pt>
                <c:pt idx="10">
                  <c:v>1.8</c:v>
                </c:pt>
                <c:pt idx="11">
                  <c:v>2.4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6.2</c:v>
                </c:pt>
                <c:pt idx="1">
                  <c:v>5.7</c:v>
                </c:pt>
                <c:pt idx="2">
                  <c:v>5.6</c:v>
                </c:pt>
                <c:pt idx="3">
                  <c:v>3.8</c:v>
                </c:pt>
                <c:pt idx="4">
                  <c:v>4.0999999999999996</c:v>
                </c:pt>
                <c:pt idx="5">
                  <c:v>2.4</c:v>
                </c:pt>
                <c:pt idx="6">
                  <c:v>2.7</c:v>
                </c:pt>
                <c:pt idx="7">
                  <c:v>2.8</c:v>
                </c:pt>
                <c:pt idx="8">
                  <c:v>4.5</c:v>
                </c:pt>
                <c:pt idx="9">
                  <c:v>2.7</c:v>
                </c:pt>
                <c:pt idx="10">
                  <c:v>2.2999999999999998</c:v>
                </c:pt>
                <c:pt idx="11">
                  <c:v>4.4000000000000004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6.4</c:v>
                </c:pt>
                <c:pt idx="1">
                  <c:v>8.1</c:v>
                </c:pt>
                <c:pt idx="2">
                  <c:v>6.5</c:v>
                </c:pt>
                <c:pt idx="3">
                  <c:v>8.3000000000000007</c:v>
                </c:pt>
                <c:pt idx="4">
                  <c:v>5.7</c:v>
                </c:pt>
                <c:pt idx="5">
                  <c:v>9.1999999999999993</c:v>
                </c:pt>
                <c:pt idx="6">
                  <c:v>13</c:v>
                </c:pt>
                <c:pt idx="7">
                  <c:v>9.3000000000000007</c:v>
                </c:pt>
                <c:pt idx="8">
                  <c:v>12.6</c:v>
                </c:pt>
                <c:pt idx="9">
                  <c:v>18.5</c:v>
                </c:pt>
                <c:pt idx="10">
                  <c:v>16.8</c:v>
                </c:pt>
                <c:pt idx="11">
                  <c:v>11.5</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131.6</c:v>
                </c:pt>
                <c:pt idx="1">
                  <c:v>227.7</c:v>
                </c:pt>
                <c:pt idx="2">
                  <c:v>124.6</c:v>
                </c:pt>
                <c:pt idx="3">
                  <c:v>104.9</c:v>
                </c:pt>
                <c:pt idx="4">
                  <c:v>103.9</c:v>
                </c:pt>
                <c:pt idx="5">
                  <c:v>128.6</c:v>
                </c:pt>
                <c:pt idx="6">
                  <c:v>174.2</c:v>
                </c:pt>
                <c:pt idx="7">
                  <c:v>171</c:v>
                </c:pt>
                <c:pt idx="8">
                  <c:v>143.9</c:v>
                </c:pt>
                <c:pt idx="9">
                  <c:v>187.1</c:v>
                </c:pt>
                <c:pt idx="10">
                  <c:v>186.5</c:v>
                </c:pt>
                <c:pt idx="11">
                  <c:v>182.8</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6.3</c:v>
                </c:pt>
                <c:pt idx="1">
                  <c:v>8.1</c:v>
                </c:pt>
                <c:pt idx="2">
                  <c:v>6.7</c:v>
                </c:pt>
                <c:pt idx="3">
                  <c:v>7.6</c:v>
                </c:pt>
                <c:pt idx="4">
                  <c:v>5.6</c:v>
                </c:pt>
                <c:pt idx="5">
                  <c:v>9.4</c:v>
                </c:pt>
                <c:pt idx="6">
                  <c:v>13.3</c:v>
                </c:pt>
                <c:pt idx="7">
                  <c:v>9.1999999999999993</c:v>
                </c:pt>
                <c:pt idx="8">
                  <c:v>12.1</c:v>
                </c:pt>
                <c:pt idx="9">
                  <c:v>18.399999999999999</c:v>
                </c:pt>
                <c:pt idx="10">
                  <c:v>17.2</c:v>
                </c:pt>
                <c:pt idx="11">
                  <c:v>11.7</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15.4</c:v>
                </c:pt>
                <c:pt idx="1">
                  <c:v>21.8</c:v>
                </c:pt>
                <c:pt idx="2">
                  <c:v>29.1</c:v>
                </c:pt>
                <c:pt idx="3">
                  <c:v>18.7</c:v>
                </c:pt>
                <c:pt idx="4">
                  <c:v>10.8</c:v>
                </c:pt>
                <c:pt idx="5">
                  <c:v>19.8</c:v>
                </c:pt>
                <c:pt idx="6">
                  <c:v>28.7</c:v>
                </c:pt>
                <c:pt idx="7">
                  <c:v>25.2</c:v>
                </c:pt>
                <c:pt idx="8">
                  <c:v>29.8</c:v>
                </c:pt>
                <c:pt idx="9">
                  <c:v>38.9</c:v>
                </c:pt>
                <c:pt idx="10">
                  <c:v>31.9</c:v>
                </c:pt>
                <c:pt idx="11">
                  <c:v>29.2</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103.5</c:v>
                </c:pt>
                <c:pt idx="1">
                  <c:v>123.8</c:v>
                </c:pt>
                <c:pt idx="2">
                  <c:v>123.1</c:v>
                </c:pt>
                <c:pt idx="3">
                  <c:v>108.9</c:v>
                </c:pt>
                <c:pt idx="4">
                  <c:v>96.1</c:v>
                </c:pt>
                <c:pt idx="5">
                  <c:v>126.8</c:v>
                </c:pt>
                <c:pt idx="6">
                  <c:v>137.19999999999999</c:v>
                </c:pt>
                <c:pt idx="7">
                  <c:v>133</c:v>
                </c:pt>
                <c:pt idx="8">
                  <c:v>136.1</c:v>
                </c:pt>
                <c:pt idx="9">
                  <c:v>146.80000000000001</c:v>
                </c:pt>
                <c:pt idx="10">
                  <c:v>158.6</c:v>
                </c:pt>
                <c:pt idx="11">
                  <c:v>147.69999999999999</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273.2</c:v>
                </c:pt>
                <c:pt idx="1">
                  <c:v>275.5</c:v>
                </c:pt>
                <c:pt idx="2">
                  <c:v>234.8</c:v>
                </c:pt>
                <c:pt idx="3">
                  <c:v>251.6</c:v>
                </c:pt>
                <c:pt idx="4">
                  <c:v>237.6</c:v>
                </c:pt>
                <c:pt idx="5">
                  <c:v>230.7</c:v>
                </c:pt>
                <c:pt idx="6">
                  <c:v>249.1</c:v>
                </c:pt>
                <c:pt idx="7">
                  <c:v>417.2</c:v>
                </c:pt>
                <c:pt idx="8">
                  <c:v>308.3</c:v>
                </c:pt>
                <c:pt idx="9">
                  <c:v>399.8</c:v>
                </c:pt>
                <c:pt idx="10">
                  <c:v>349</c:v>
                </c:pt>
                <c:pt idx="11">
                  <c:v>293</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6.5</c:v>
                </c:pt>
                <c:pt idx="1">
                  <c:v>8.4</c:v>
                </c:pt>
                <c:pt idx="2">
                  <c:v>7</c:v>
                </c:pt>
                <c:pt idx="3">
                  <c:v>7.6</c:v>
                </c:pt>
                <c:pt idx="4">
                  <c:v>5.6</c:v>
                </c:pt>
                <c:pt idx="5">
                  <c:v>9.5</c:v>
                </c:pt>
                <c:pt idx="6">
                  <c:v>13.3</c:v>
                </c:pt>
                <c:pt idx="7">
                  <c:v>9.3000000000000007</c:v>
                </c:pt>
                <c:pt idx="8">
                  <c:v>12.3</c:v>
                </c:pt>
                <c:pt idx="9">
                  <c:v>17.899999999999999</c:v>
                </c:pt>
                <c:pt idx="10">
                  <c:v>16.7</c:v>
                </c:pt>
                <c:pt idx="11">
                  <c:v>11.7</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16.7</c:v>
                </c:pt>
                <c:pt idx="1">
                  <c:v>23.4</c:v>
                </c:pt>
                <c:pt idx="2">
                  <c:v>29.8</c:v>
                </c:pt>
                <c:pt idx="3">
                  <c:v>18.8</c:v>
                </c:pt>
                <c:pt idx="4">
                  <c:v>11</c:v>
                </c:pt>
                <c:pt idx="5">
                  <c:v>19.8</c:v>
                </c:pt>
                <c:pt idx="6">
                  <c:v>28</c:v>
                </c:pt>
                <c:pt idx="7">
                  <c:v>23</c:v>
                </c:pt>
                <c:pt idx="8">
                  <c:v>30.3</c:v>
                </c:pt>
                <c:pt idx="9">
                  <c:v>34.5</c:v>
                </c:pt>
                <c:pt idx="10">
                  <c:v>28.5</c:v>
                </c:pt>
                <c:pt idx="11">
                  <c:v>28.8</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165460</xdr:colOff>
      <xdr:row>0</xdr:row>
      <xdr:rowOff>54428</xdr:rowOff>
    </xdr:from>
    <xdr:to>
      <xdr:col>6</xdr:col>
      <xdr:colOff>511628</xdr:colOff>
      <xdr:row>5</xdr:row>
      <xdr:rowOff>140154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1460" y="54428"/>
          <a:ext cx="2272939" cy="10654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ilford.Canlas/Desktop/Book1.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tradebe1.sharepoint.com/sites/FAWLEYCORONAVIRUSRISKASSESSMENT/Documentos%20compartidos/Data/Annual%20Performance%20KPI%20Report%202021.xlsx" TargetMode="External"/><Relationship Id="rId1" Type="http://schemas.openxmlformats.org/officeDocument/2006/relationships/externalLinkPath" Target="https://tradebe1.sharepoint.com/sites/FAWLEYCORONAVIRUSRISKASSESSMENT/Documentos%20compartidos/Data/Annual%20Performance%20KPI%20Report%20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2">
          <cell r="N2">
            <v>33.444444444444443</v>
          </cell>
          <cell r="O2">
            <v>35</v>
          </cell>
        </row>
        <row r="3">
          <cell r="N3">
            <v>3550.7777777777778</v>
          </cell>
          <cell r="O3">
            <v>3932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_MOXxrlB_0CP4BOuo7Or7AZNhodrI9xMqUDz1c37vpoe9NaOZomLS7IajxHHsdpL" itemId="01M2ARCV5ZGM4CG4DEYVALEKTFHHKOSTXB">
      <xxl21:absoluteUrl r:id="rId2"/>
    </xxl21:alternateUrls>
    <sheetNames>
      <sheetName val="Summary"/>
      <sheetName val="Inputs (Water)"/>
      <sheetName val="Inputs (waste)"/>
      <sheetName val="Energy (Inputs)"/>
      <sheetName val="Air Mass (CEMS)"/>
      <sheetName val="Air (Biannual) - Transposed"/>
      <sheetName val="Air (Biannual)"/>
      <sheetName val="Air Mass"/>
      <sheetName val="Effluent flow"/>
      <sheetName val="Effluent (composite)"/>
      <sheetName val="Effluent Mass"/>
      <sheetName val="EFF Organics"/>
      <sheetName val="EFF Organics Mass"/>
      <sheetName val="Waste (outputs)"/>
      <sheetName val="Raw Materials (inputs)"/>
    </sheetNames>
    <sheetDataSet>
      <sheetData sheetId="0"/>
      <sheetData sheetId="1"/>
      <sheetData sheetId="2"/>
      <sheetData sheetId="3"/>
      <sheetData sheetId="4"/>
      <sheetData sheetId="5"/>
      <sheetData sheetId="6"/>
      <sheetData sheetId="7"/>
      <sheetData sheetId="8"/>
      <sheetData sheetId="9">
        <row r="1">
          <cell r="C1" t="str">
            <v>Quarter</v>
          </cell>
          <cell r="D1" t="str">
            <v>pH</v>
          </cell>
          <cell r="E1" t="str">
            <v>Total cyanide        µg·l-1</v>
          </cell>
          <cell r="F1" t="str">
            <v>TSS mg·l-1</v>
          </cell>
          <cell r="G1" t="str">
            <v>Flouride mg·l-1</v>
          </cell>
          <cell r="H1" t="str">
            <v>COD mg·l-1</v>
          </cell>
          <cell r="I1" t="str">
            <v>Total Ammonical Nitrogen µg·l-1</v>
          </cell>
          <cell r="J1" t="str">
            <v>Oil Content mg·l-1</v>
          </cell>
          <cell r="K1" t="str">
            <v>Al/ug</v>
          </cell>
          <cell r="L1" t="str">
            <v>As/ugl-1</v>
          </cell>
          <cell r="M1" t="str">
            <v>Cd/ugl-1</v>
          </cell>
          <cell r="N1" t="str">
            <v>Cr/ugl-1</v>
          </cell>
          <cell r="O1" t="str">
            <v>Cu/ugl-1</v>
          </cell>
          <cell r="P1" t="str">
            <v>Fe/ugl-1</v>
          </cell>
          <cell r="Q1" t="str">
            <v>Pb/ugl-1</v>
          </cell>
          <cell r="R1" t="str">
            <v>Ni/ugl-1</v>
          </cell>
          <cell r="S1" t="str">
            <v>P/ugl-1</v>
          </cell>
          <cell r="T1" t="str">
            <v>Tl/ugl-1</v>
          </cell>
          <cell r="U1" t="str">
            <v>Zn/ugl-1</v>
          </cell>
          <cell r="V1" t="str">
            <v>Sn/ugl-1</v>
          </cell>
          <cell r="W1" t="str">
            <v>Hg/ugl-1</v>
          </cell>
          <cell r="X1" t="str">
            <v>Phenols/ugl-1</v>
          </cell>
        </row>
        <row r="29">
          <cell r="C29" t="str">
            <v>Q2</v>
          </cell>
          <cell r="D29"/>
          <cell r="E29"/>
          <cell r="F29"/>
          <cell r="G29"/>
          <cell r="H29"/>
          <cell r="I29"/>
          <cell r="J29"/>
          <cell r="K29"/>
          <cell r="L29"/>
          <cell r="M29"/>
          <cell r="N29"/>
          <cell r="O29"/>
          <cell r="P29"/>
          <cell r="Q29"/>
          <cell r="R29"/>
          <cell r="S29"/>
          <cell r="T29"/>
          <cell r="U29"/>
          <cell r="V29"/>
          <cell r="W29"/>
          <cell r="X29"/>
        </row>
        <row r="30">
          <cell r="C30" t="str">
            <v>Q2</v>
          </cell>
          <cell r="D30"/>
          <cell r="E30"/>
          <cell r="F30"/>
          <cell r="G30"/>
          <cell r="H30"/>
          <cell r="I30"/>
          <cell r="J30"/>
          <cell r="K30"/>
          <cell r="L30"/>
          <cell r="M30"/>
          <cell r="N30"/>
          <cell r="O30"/>
          <cell r="P30"/>
          <cell r="Q30"/>
          <cell r="R30"/>
          <cell r="S30"/>
          <cell r="T30"/>
          <cell r="U30"/>
          <cell r="V30"/>
          <cell r="W30"/>
          <cell r="X30"/>
        </row>
      </sheetData>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an.smith@tradebe.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opLeftCell="L1" zoomScale="70" zoomScaleNormal="70" workbookViewId="0">
      <selection activeCell="L30" sqref="L30"/>
    </sheetView>
  </sheetViews>
  <sheetFormatPr defaultColWidth="9.28515625" defaultRowHeight="15"/>
  <cols>
    <col min="1" max="1" width="9.28515625" style="2" customWidth="1"/>
    <col min="2" max="2" width="14.5703125" style="2" bestFit="1" customWidth="1"/>
    <col min="3" max="8" width="9.28515625" style="2"/>
    <col min="9" max="9" width="9.28515625" style="2" customWidth="1"/>
    <col min="10" max="10" width="11.5703125" style="2" customWidth="1"/>
    <col min="11" max="14" width="9.28515625" style="2"/>
    <col min="15" max="15" width="9.28515625" style="2" customWidth="1"/>
    <col min="16" max="16384" width="9.28515625" style="2"/>
  </cols>
  <sheetData>
    <row r="1" spans="2:16">
      <c r="B1" s="92"/>
      <c r="C1" s="92"/>
      <c r="D1" s="189"/>
      <c r="E1" s="189"/>
      <c r="F1" s="189"/>
      <c r="G1" s="189"/>
      <c r="H1" s="92"/>
      <c r="I1" s="92"/>
      <c r="J1" s="92"/>
      <c r="K1" s="92"/>
      <c r="L1" s="92"/>
      <c r="M1" s="92"/>
      <c r="N1" s="92"/>
      <c r="O1" s="92"/>
      <c r="P1" s="92"/>
    </row>
    <row r="2" spans="2:16">
      <c r="B2" s="92"/>
      <c r="C2" s="92"/>
      <c r="D2" s="189"/>
      <c r="E2" s="189"/>
      <c r="F2" s="189"/>
      <c r="G2" s="189"/>
      <c r="H2" s="92"/>
      <c r="I2" s="92"/>
      <c r="J2" s="92"/>
      <c r="K2" s="92"/>
      <c r="L2" s="92"/>
      <c r="M2" s="92"/>
      <c r="N2" s="92" t="s">
        <v>0</v>
      </c>
      <c r="O2" s="92"/>
      <c r="P2" s="105"/>
    </row>
    <row r="3" spans="2:16">
      <c r="B3" s="92"/>
      <c r="C3" s="92"/>
      <c r="D3" s="189"/>
      <c r="E3" s="189"/>
      <c r="F3" s="189"/>
      <c r="G3" s="189"/>
      <c r="H3" s="92"/>
      <c r="I3" s="92"/>
      <c r="J3" s="92"/>
      <c r="K3" s="92"/>
      <c r="L3" s="92"/>
      <c r="M3" s="92"/>
      <c r="N3" s="105"/>
      <c r="O3" s="92"/>
      <c r="P3" s="92"/>
    </row>
    <row r="4" spans="2:16">
      <c r="B4" s="92"/>
      <c r="C4" s="92"/>
      <c r="D4" s="189"/>
      <c r="E4" s="189"/>
      <c r="F4" s="189"/>
      <c r="G4" s="189"/>
      <c r="H4" s="92"/>
      <c r="I4" s="92"/>
      <c r="J4" s="92"/>
      <c r="K4" s="92"/>
      <c r="L4" s="92"/>
      <c r="M4" s="92"/>
      <c r="N4" s="92"/>
      <c r="O4" s="92"/>
      <c r="P4" s="92"/>
    </row>
    <row r="5" spans="2:16">
      <c r="B5" s="92"/>
      <c r="C5" s="92"/>
      <c r="D5" s="189"/>
      <c r="E5" s="189"/>
      <c r="F5" s="189"/>
      <c r="G5" s="189"/>
      <c r="H5" s="92"/>
      <c r="I5" s="92"/>
      <c r="J5" s="92"/>
      <c r="K5" s="92"/>
      <c r="L5" s="92"/>
      <c r="M5" s="92"/>
      <c r="N5" s="92"/>
      <c r="O5" s="92"/>
      <c r="P5" s="92"/>
    </row>
    <row r="6" spans="2:16">
      <c r="B6" s="92"/>
      <c r="C6" s="92"/>
      <c r="D6" s="189"/>
      <c r="E6" s="189"/>
      <c r="F6" s="189"/>
      <c r="G6" s="189"/>
      <c r="H6" s="92"/>
      <c r="I6" s="92"/>
      <c r="J6" s="92"/>
      <c r="K6" s="92"/>
      <c r="L6" s="92"/>
      <c r="M6" s="92"/>
      <c r="N6" s="92"/>
      <c r="O6" s="92"/>
      <c r="P6" s="92"/>
    </row>
    <row r="8" spans="2:16" ht="15.75" customHeight="1">
      <c r="B8" s="189" t="s">
        <v>1</v>
      </c>
      <c r="C8" s="189"/>
      <c r="D8" s="189"/>
      <c r="E8" s="189"/>
      <c r="F8" s="189"/>
      <c r="G8" s="189"/>
      <c r="H8" s="189"/>
      <c r="I8" s="189"/>
      <c r="J8" s="92"/>
      <c r="K8" s="92"/>
      <c r="L8" s="92"/>
      <c r="M8" s="92"/>
      <c r="N8" s="71"/>
      <c r="O8" s="92"/>
      <c r="P8" s="92"/>
    </row>
    <row r="9" spans="2:16">
      <c r="B9" s="189"/>
      <c r="C9" s="189"/>
      <c r="D9" s="189"/>
      <c r="E9" s="189"/>
      <c r="F9" s="189"/>
      <c r="G9" s="189"/>
      <c r="H9" s="189"/>
      <c r="I9" s="189"/>
      <c r="J9" s="92"/>
      <c r="K9" s="92"/>
      <c r="L9" s="92"/>
      <c r="M9" s="92"/>
      <c r="N9" s="92"/>
      <c r="O9" s="92"/>
      <c r="P9" s="92"/>
    </row>
    <row r="10" spans="2:16">
      <c r="B10" s="189"/>
      <c r="C10" s="189"/>
      <c r="D10" s="189"/>
      <c r="E10" s="189"/>
      <c r="F10" s="189"/>
      <c r="G10" s="189"/>
      <c r="H10" s="189"/>
      <c r="I10" s="189"/>
      <c r="J10" s="92"/>
      <c r="K10" s="92"/>
      <c r="L10" s="92"/>
      <c r="M10" s="92"/>
      <c r="N10" s="92"/>
      <c r="O10" s="92"/>
      <c r="P10" s="92"/>
    </row>
    <row r="11" spans="2:16">
      <c r="B11" s="189"/>
      <c r="C11" s="189"/>
      <c r="D11" s="189"/>
      <c r="E11" s="189"/>
      <c r="F11" s="189"/>
      <c r="G11" s="189"/>
      <c r="H11" s="189"/>
      <c r="I11" s="189"/>
      <c r="J11" s="92"/>
      <c r="K11" s="92"/>
      <c r="L11" s="92"/>
      <c r="M11" s="92"/>
      <c r="N11" s="92"/>
      <c r="O11" s="92"/>
      <c r="P11" s="92"/>
    </row>
    <row r="12" spans="2:16">
      <c r="B12" s="189"/>
      <c r="C12" s="189"/>
      <c r="D12" s="189"/>
      <c r="E12" s="189"/>
      <c r="F12" s="189"/>
      <c r="G12" s="189"/>
      <c r="H12" s="189"/>
      <c r="I12" s="189"/>
      <c r="J12" s="92"/>
      <c r="K12" s="92"/>
      <c r="L12" s="92"/>
      <c r="M12" s="92"/>
      <c r="N12" s="92"/>
      <c r="O12" s="92"/>
      <c r="P12" s="92"/>
    </row>
    <row r="13" spans="2:16">
      <c r="B13" s="189"/>
      <c r="C13" s="189"/>
      <c r="D13" s="189"/>
      <c r="E13" s="189"/>
      <c r="F13" s="189"/>
      <c r="G13" s="189"/>
      <c r="H13" s="189"/>
      <c r="I13" s="189"/>
      <c r="J13" s="92"/>
      <c r="K13" s="92"/>
      <c r="L13" s="92"/>
      <c r="M13" s="92"/>
      <c r="N13" s="75" t="s">
        <v>2</v>
      </c>
      <c r="O13" s="73"/>
      <c r="P13" s="73"/>
    </row>
    <row r="14" spans="2:16" ht="15.6" customHeight="1">
      <c r="B14" s="189"/>
      <c r="C14" s="189"/>
      <c r="D14" s="189"/>
      <c r="E14" s="189"/>
      <c r="F14" s="189"/>
      <c r="G14" s="189"/>
      <c r="H14" s="189"/>
      <c r="I14" s="189"/>
      <c r="J14" s="92"/>
      <c r="K14" s="92"/>
      <c r="L14" s="92"/>
      <c r="M14" s="92"/>
      <c r="N14" s="188" t="s">
        <v>3</v>
      </c>
      <c r="O14" s="188"/>
      <c r="P14" s="188"/>
    </row>
    <row r="15" spans="2:16">
      <c r="B15" s="189"/>
      <c r="C15" s="189"/>
      <c r="D15" s="189"/>
      <c r="E15" s="189"/>
      <c r="F15" s="189"/>
      <c r="G15" s="189"/>
      <c r="H15" s="189"/>
      <c r="I15" s="189"/>
      <c r="J15" s="92"/>
      <c r="K15" s="92"/>
      <c r="L15" s="92"/>
      <c r="M15" s="92"/>
      <c r="N15" s="188"/>
      <c r="O15" s="188"/>
      <c r="P15" s="188"/>
    </row>
    <row r="16" spans="2:16">
      <c r="B16" s="189"/>
      <c r="C16" s="189"/>
      <c r="D16" s="189"/>
      <c r="E16" s="189"/>
      <c r="F16" s="189"/>
      <c r="G16" s="189"/>
      <c r="H16" s="189"/>
      <c r="I16" s="189"/>
      <c r="J16" s="92"/>
      <c r="K16" s="92"/>
      <c r="L16" s="92"/>
      <c r="M16" s="92"/>
      <c r="N16" s="188"/>
      <c r="O16" s="188"/>
      <c r="P16" s="188"/>
    </row>
    <row r="17" spans="2:16">
      <c r="B17" s="189"/>
      <c r="C17" s="189"/>
      <c r="D17" s="189"/>
      <c r="E17" s="189"/>
      <c r="F17" s="189"/>
      <c r="G17" s="189"/>
      <c r="H17" s="189"/>
      <c r="I17" s="189"/>
      <c r="J17" s="92"/>
      <c r="K17" s="92"/>
      <c r="L17" s="92"/>
      <c r="M17" s="92"/>
      <c r="N17" s="188"/>
      <c r="O17" s="188"/>
      <c r="P17" s="188"/>
    </row>
    <row r="18" spans="2:16">
      <c r="B18" s="189"/>
      <c r="C18" s="189"/>
      <c r="D18" s="189"/>
      <c r="E18" s="189"/>
      <c r="F18" s="189"/>
      <c r="G18" s="189"/>
      <c r="H18" s="189"/>
      <c r="I18" s="189"/>
      <c r="J18" s="92"/>
      <c r="K18" s="92"/>
      <c r="L18" s="92"/>
      <c r="M18" s="92"/>
      <c r="N18" s="188"/>
      <c r="O18" s="188"/>
      <c r="P18" s="188"/>
    </row>
    <row r="19" spans="2:16">
      <c r="B19" s="189"/>
      <c r="C19" s="189"/>
      <c r="D19" s="189"/>
      <c r="E19" s="189"/>
      <c r="F19" s="189"/>
      <c r="G19" s="189"/>
      <c r="H19" s="189"/>
      <c r="I19" s="189"/>
      <c r="J19" s="92"/>
      <c r="K19" s="92"/>
      <c r="L19" s="92"/>
      <c r="M19" s="92"/>
      <c r="N19" s="188"/>
      <c r="O19" s="188"/>
      <c r="P19" s="188"/>
    </row>
    <row r="20" spans="2:16">
      <c r="B20" s="189"/>
      <c r="C20" s="189"/>
      <c r="D20" s="189"/>
      <c r="E20" s="189"/>
      <c r="F20" s="189"/>
      <c r="G20" s="189"/>
      <c r="H20" s="189"/>
      <c r="I20" s="189"/>
      <c r="J20" s="92"/>
      <c r="K20" s="92"/>
      <c r="L20" s="92"/>
      <c r="M20" s="92"/>
      <c r="N20" s="92"/>
      <c r="O20" s="92"/>
      <c r="P20" s="92"/>
    </row>
    <row r="21" spans="2:16">
      <c r="B21" s="189"/>
      <c r="C21" s="189"/>
      <c r="D21" s="189"/>
      <c r="E21" s="189"/>
      <c r="F21" s="189"/>
      <c r="G21" s="189"/>
      <c r="H21" s="189"/>
      <c r="I21" s="189"/>
      <c r="J21" s="92"/>
      <c r="K21" s="92"/>
      <c r="L21" s="92"/>
      <c r="M21" s="92"/>
      <c r="N21" s="92"/>
      <c r="O21" s="92"/>
      <c r="P21" s="92"/>
    </row>
    <row r="22" spans="2:16">
      <c r="B22" s="189"/>
      <c r="C22" s="189"/>
      <c r="D22" s="189"/>
      <c r="E22" s="189"/>
      <c r="F22" s="189"/>
      <c r="G22" s="189"/>
      <c r="H22" s="189"/>
      <c r="I22" s="189"/>
      <c r="J22" s="92"/>
      <c r="K22" s="92"/>
      <c r="L22" s="92"/>
      <c r="M22" s="92"/>
      <c r="N22" s="92"/>
      <c r="O22" s="92"/>
      <c r="P22" s="92"/>
    </row>
    <row r="23" spans="2:16">
      <c r="B23" s="189"/>
      <c r="C23" s="189"/>
      <c r="D23" s="189"/>
      <c r="E23" s="189"/>
      <c r="F23" s="189"/>
      <c r="G23" s="189"/>
      <c r="H23" s="189"/>
      <c r="I23" s="189"/>
      <c r="J23" s="92"/>
      <c r="K23" s="92"/>
      <c r="L23" s="92"/>
      <c r="M23" s="92"/>
      <c r="N23" s="92"/>
      <c r="O23" s="92"/>
      <c r="P23" s="92"/>
    </row>
    <row r="24" spans="2:16">
      <c r="B24" s="189"/>
      <c r="C24" s="189"/>
      <c r="D24" s="189"/>
      <c r="E24" s="189"/>
      <c r="F24" s="189"/>
      <c r="G24" s="189"/>
      <c r="H24" s="189"/>
      <c r="I24" s="189"/>
      <c r="J24" s="92"/>
      <c r="K24" s="92"/>
      <c r="L24" s="92"/>
      <c r="M24" s="92"/>
      <c r="N24" s="92"/>
      <c r="O24" s="92"/>
      <c r="P24" s="92"/>
    </row>
    <row r="29" spans="2:16" ht="18">
      <c r="B29" s="187" t="s">
        <v>4</v>
      </c>
      <c r="C29" s="187"/>
      <c r="D29" s="187"/>
      <c r="E29" s="187"/>
      <c r="F29" s="187"/>
      <c r="G29" s="187"/>
      <c r="H29" s="187"/>
      <c r="I29" s="187"/>
      <c r="J29" s="92"/>
      <c r="K29" s="92"/>
      <c r="L29" s="92"/>
      <c r="M29" s="92"/>
      <c r="N29" s="92"/>
      <c r="O29" s="92"/>
      <c r="P29" s="92"/>
    </row>
    <row r="30" spans="2:16" ht="18">
      <c r="B30" s="92"/>
      <c r="C30" s="7"/>
      <c r="D30" s="8"/>
      <c r="E30" s="8"/>
      <c r="F30" s="8"/>
      <c r="G30" s="8"/>
      <c r="H30" s="8"/>
      <c r="I30" s="8"/>
      <c r="J30" s="92"/>
      <c r="K30" s="92"/>
      <c r="L30" s="92"/>
      <c r="M30" s="92"/>
      <c r="N30" s="92"/>
      <c r="O30" s="92"/>
      <c r="P30" s="92"/>
    </row>
    <row r="31" spans="2:16" ht="18">
      <c r="B31" s="187" t="s">
        <v>5</v>
      </c>
      <c r="C31" s="187"/>
      <c r="D31" s="187"/>
      <c r="E31" s="187"/>
      <c r="F31" s="187"/>
      <c r="G31" s="187"/>
      <c r="H31" s="187"/>
      <c r="I31" s="187"/>
      <c r="J31" s="92"/>
      <c r="K31" s="92"/>
      <c r="L31" s="92"/>
      <c r="M31" s="92"/>
      <c r="N31" s="92"/>
      <c r="O31" s="92"/>
      <c r="P31" s="92"/>
    </row>
    <row r="32" spans="2:16" ht="18">
      <c r="B32" s="92"/>
      <c r="C32" s="7"/>
      <c r="D32" s="8"/>
      <c r="E32" s="8"/>
      <c r="F32" s="8"/>
      <c r="G32" s="8"/>
      <c r="H32" s="8"/>
      <c r="I32" s="8"/>
      <c r="J32" s="92"/>
      <c r="K32" s="92"/>
      <c r="L32" s="92"/>
      <c r="M32" s="92"/>
      <c r="N32" s="92"/>
      <c r="O32" s="92"/>
      <c r="P32" s="92"/>
    </row>
    <row r="33" spans="2:9" ht="18">
      <c r="B33" s="187" t="s">
        <v>6</v>
      </c>
      <c r="C33" s="187"/>
      <c r="D33" s="187"/>
      <c r="E33" s="187"/>
      <c r="F33" s="187"/>
      <c r="G33" s="187"/>
      <c r="H33" s="187"/>
      <c r="I33" s="187"/>
    </row>
    <row r="34" spans="2:9" ht="18">
      <c r="B34" s="92"/>
      <c r="C34" s="7"/>
      <c r="D34" s="8"/>
      <c r="E34" s="8"/>
      <c r="F34" s="8"/>
      <c r="G34" s="8"/>
      <c r="H34" s="8"/>
      <c r="I34" s="8"/>
    </row>
    <row r="39" spans="2:9">
      <c r="B39" s="92" t="s">
        <v>7</v>
      </c>
      <c r="C39" s="104">
        <v>2022</v>
      </c>
      <c r="D39" s="92"/>
      <c r="E39" s="92"/>
      <c r="F39" s="92"/>
      <c r="G39" s="92"/>
      <c r="H39" s="92"/>
      <c r="I39" s="92"/>
    </row>
    <row r="40" spans="2:9" ht="14.25" customHeight="1">
      <c r="B40" s="92"/>
      <c r="C40" s="92"/>
      <c r="D40" s="92"/>
      <c r="E40" s="92"/>
      <c r="F40" s="92"/>
      <c r="G40" s="92"/>
      <c r="H40" s="92"/>
      <c r="I40" s="92"/>
    </row>
    <row r="41" spans="2:9" ht="33.6" customHeight="1">
      <c r="B41" s="106" t="s">
        <v>8</v>
      </c>
      <c r="C41" s="185" t="s">
        <v>9</v>
      </c>
      <c r="D41" s="185"/>
      <c r="E41" s="185"/>
      <c r="F41" s="185"/>
      <c r="G41" s="185"/>
      <c r="H41" s="185"/>
      <c r="I41" s="185"/>
    </row>
    <row r="42" spans="2:9">
      <c r="B42" s="106"/>
      <c r="C42" s="92"/>
      <c r="D42" s="92"/>
      <c r="E42" s="92"/>
      <c r="F42" s="92"/>
      <c r="G42" s="92"/>
      <c r="H42" s="92"/>
      <c r="I42" s="92"/>
    </row>
    <row r="43" spans="2:9">
      <c r="B43" s="106" t="s">
        <v>10</v>
      </c>
      <c r="C43" s="184" t="s">
        <v>11</v>
      </c>
      <c r="D43" s="184"/>
      <c r="E43" s="184"/>
      <c r="F43" s="92"/>
      <c r="G43" s="92"/>
      <c r="H43" s="92"/>
      <c r="I43" s="92"/>
    </row>
    <row r="44" spans="2:9">
      <c r="B44" s="106"/>
      <c r="C44" s="106"/>
      <c r="D44" s="106"/>
      <c r="E44" s="106"/>
      <c r="F44" s="92"/>
      <c r="G44" s="92"/>
      <c r="H44" s="92"/>
      <c r="I44" s="92"/>
    </row>
    <row r="45" spans="2:9">
      <c r="B45" s="106" t="s">
        <v>12</v>
      </c>
      <c r="C45" s="186" t="s">
        <v>13</v>
      </c>
      <c r="D45" s="184"/>
      <c r="E45" s="184"/>
      <c r="F45" s="92"/>
      <c r="G45" s="92"/>
      <c r="H45" s="92"/>
      <c r="I45" s="92"/>
    </row>
    <row r="46" spans="2:9">
      <c r="B46" s="106"/>
      <c r="C46" s="92"/>
      <c r="D46" s="92"/>
      <c r="E46" s="92"/>
      <c r="F46" s="92"/>
      <c r="G46" s="92"/>
      <c r="H46" s="92"/>
      <c r="I46" s="92"/>
    </row>
    <row r="47" spans="2:9">
      <c r="B47" s="106" t="s">
        <v>14</v>
      </c>
      <c r="C47" s="182" t="s">
        <v>15</v>
      </c>
      <c r="D47" s="182"/>
      <c r="E47" s="92"/>
      <c r="F47" s="92" t="s">
        <v>16</v>
      </c>
      <c r="G47" s="182" t="s">
        <v>17</v>
      </c>
      <c r="H47" s="182"/>
      <c r="I47" s="182"/>
    </row>
    <row r="48" spans="2:9">
      <c r="B48" s="106"/>
      <c r="C48" s="92"/>
      <c r="D48" s="92"/>
      <c r="E48" s="92"/>
      <c r="F48" s="92"/>
      <c r="G48" s="92"/>
      <c r="H48" s="92"/>
      <c r="I48" s="92"/>
    </row>
    <row r="49" spans="2:9">
      <c r="B49" s="106" t="s">
        <v>18</v>
      </c>
      <c r="C49" s="182" t="s">
        <v>19</v>
      </c>
      <c r="D49" s="182"/>
      <c r="E49" s="92"/>
      <c r="F49" s="92" t="s">
        <v>16</v>
      </c>
      <c r="G49" s="182" t="s">
        <v>20</v>
      </c>
      <c r="H49" s="182"/>
      <c r="I49" s="182"/>
    </row>
    <row r="50" spans="2:9">
      <c r="B50" s="106"/>
      <c r="C50" s="92"/>
      <c r="D50" s="92"/>
      <c r="E50" s="92"/>
      <c r="F50" s="92"/>
      <c r="G50" s="92"/>
      <c r="H50" s="92"/>
      <c r="I50" s="92"/>
    </row>
    <row r="51" spans="2:9">
      <c r="B51" s="106" t="s">
        <v>21</v>
      </c>
      <c r="C51" s="103">
        <v>0</v>
      </c>
      <c r="D51" s="106"/>
      <c r="E51" s="92"/>
      <c r="F51" s="92"/>
      <c r="G51" s="92"/>
      <c r="H51" s="92"/>
      <c r="I51" s="92"/>
    </row>
    <row r="52" spans="2:9">
      <c r="B52" s="106"/>
      <c r="C52" s="106"/>
      <c r="D52" s="106"/>
      <c r="E52" s="92"/>
      <c r="F52" s="92"/>
      <c r="G52" s="92"/>
      <c r="H52" s="92"/>
      <c r="I52" s="92"/>
    </row>
    <row r="53" spans="2:9">
      <c r="B53" s="106" t="s">
        <v>22</v>
      </c>
      <c r="C53" s="183">
        <f ca="1">TODAY()</f>
        <v>45028</v>
      </c>
      <c r="D53" s="184"/>
      <c r="E53" s="92"/>
      <c r="F53" s="92"/>
      <c r="G53" s="92"/>
      <c r="H53" s="92"/>
      <c r="I53" s="92"/>
    </row>
  </sheetData>
  <mergeCells count="14">
    <mergeCell ref="B33:I33"/>
    <mergeCell ref="N14:P19"/>
    <mergeCell ref="D1:G6"/>
    <mergeCell ref="B8:I24"/>
    <mergeCell ref="B29:I29"/>
    <mergeCell ref="B31:I31"/>
    <mergeCell ref="C49:D49"/>
    <mergeCell ref="G49:I49"/>
    <mergeCell ref="C53:D53"/>
    <mergeCell ref="C41:I41"/>
    <mergeCell ref="C43:E43"/>
    <mergeCell ref="C45:E45"/>
    <mergeCell ref="C47:D47"/>
    <mergeCell ref="G47:I47"/>
  </mergeCells>
  <hyperlinks>
    <hyperlink ref="C45" r:id="rId1" xr:uid="{386031A5-0B0F-4710-992C-3157EF7FB22D}"/>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P20" sqref="P20"/>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2" t="str">
        <f>+'Cover Page'!$B$29</f>
        <v>Annual Performance Report 2022</v>
      </c>
      <c r="B1" s="92"/>
      <c r="C1" s="92"/>
      <c r="D1" s="92"/>
      <c r="E1" s="92" t="str">
        <f>+'Cover Page'!$B$33</f>
        <v>Tradebe Fawley Limited</v>
      </c>
      <c r="F1" s="92"/>
      <c r="G1" s="92"/>
      <c r="H1" s="92"/>
      <c r="I1" s="92"/>
      <c r="J1" s="92"/>
      <c r="K1" s="92"/>
      <c r="L1" s="92"/>
      <c r="M1" s="92"/>
      <c r="N1" s="92"/>
      <c r="O1" s="92"/>
    </row>
    <row r="3" spans="1:15" ht="15.75">
      <c r="A3" s="53" t="s">
        <v>23</v>
      </c>
      <c r="B3" s="107"/>
      <c r="C3" s="107"/>
      <c r="D3" s="107"/>
      <c r="E3" s="107"/>
      <c r="F3" s="107"/>
      <c r="G3" s="107"/>
      <c r="H3" s="108"/>
      <c r="I3" s="92"/>
      <c r="J3" s="92"/>
      <c r="K3" s="75" t="s">
        <v>2</v>
      </c>
      <c r="L3" s="92"/>
      <c r="M3" s="92"/>
      <c r="N3" s="92"/>
      <c r="O3" s="92"/>
    </row>
    <row r="4" spans="1:15" ht="15.75">
      <c r="A4" s="5" t="s">
        <v>24</v>
      </c>
      <c r="B4" s="211" t="s">
        <v>25</v>
      </c>
      <c r="C4" s="211"/>
      <c r="D4" s="211"/>
      <c r="E4" s="211"/>
      <c r="F4" s="211"/>
      <c r="G4" s="211"/>
      <c r="H4" s="6" t="s">
        <v>26</v>
      </c>
      <c r="I4" s="92"/>
      <c r="J4" s="92"/>
      <c r="K4" s="73" t="s">
        <v>27</v>
      </c>
      <c r="L4" s="92"/>
      <c r="M4" s="92"/>
      <c r="N4" s="92"/>
      <c r="O4" s="92"/>
    </row>
    <row r="5" spans="1:15" ht="15.6" customHeight="1">
      <c r="A5" s="4"/>
      <c r="B5" s="207" t="s">
        <v>28</v>
      </c>
      <c r="C5" s="207"/>
      <c r="D5" s="207"/>
      <c r="E5" s="207"/>
      <c r="F5" s="207"/>
      <c r="G5" s="207"/>
      <c r="H5" s="4"/>
      <c r="I5" s="92"/>
      <c r="J5" s="92"/>
      <c r="K5" s="188" t="s">
        <v>29</v>
      </c>
      <c r="L5" s="188"/>
      <c r="M5" s="188"/>
      <c r="N5" s="188"/>
      <c r="O5" s="188"/>
    </row>
    <row r="6" spans="1:15">
      <c r="A6" s="4"/>
      <c r="B6" s="207" t="s">
        <v>30</v>
      </c>
      <c r="C6" s="207"/>
      <c r="D6" s="207"/>
      <c r="E6" s="207"/>
      <c r="F6" s="207"/>
      <c r="G6" s="207"/>
      <c r="H6" s="4"/>
      <c r="I6" s="92"/>
      <c r="J6" s="92"/>
      <c r="K6" s="188"/>
      <c r="L6" s="188"/>
      <c r="M6" s="188"/>
      <c r="N6" s="188"/>
      <c r="O6" s="188"/>
    </row>
    <row r="7" spans="1:15" ht="15.75" customHeight="1">
      <c r="A7" s="4"/>
      <c r="B7" s="207" t="s">
        <v>31</v>
      </c>
      <c r="C7" s="207"/>
      <c r="D7" s="207"/>
      <c r="E7" s="207"/>
      <c r="F7" s="207"/>
      <c r="G7" s="207"/>
      <c r="H7" s="4"/>
      <c r="I7" s="92"/>
      <c r="J7" s="92"/>
      <c r="K7" s="188"/>
      <c r="L7" s="188"/>
      <c r="M7" s="188"/>
      <c r="N7" s="188"/>
      <c r="O7" s="188"/>
    </row>
    <row r="8" spans="1:15">
      <c r="A8" s="4"/>
      <c r="B8" s="207" t="s">
        <v>32</v>
      </c>
      <c r="C8" s="207"/>
      <c r="D8" s="207"/>
      <c r="E8" s="207"/>
      <c r="F8" s="207"/>
      <c r="G8" s="207"/>
      <c r="H8" s="4"/>
      <c r="I8" s="92"/>
      <c r="J8" s="92"/>
      <c r="K8" s="188"/>
      <c r="L8" s="188"/>
      <c r="M8" s="188"/>
      <c r="N8" s="188"/>
      <c r="O8" s="188"/>
    </row>
    <row r="9" spans="1:15">
      <c r="A9" s="4"/>
      <c r="B9" s="207" t="s">
        <v>33</v>
      </c>
      <c r="C9" s="207"/>
      <c r="D9" s="207"/>
      <c r="E9" s="207"/>
      <c r="F9" s="207"/>
      <c r="G9" s="207"/>
      <c r="H9" s="4"/>
      <c r="I9" s="92"/>
      <c r="J9" s="92"/>
      <c r="K9" s="92"/>
      <c r="L9" s="92"/>
      <c r="M9" s="92"/>
      <c r="N9" s="92"/>
      <c r="O9" s="92"/>
    </row>
    <row r="10" spans="1:15">
      <c r="A10" s="4"/>
      <c r="B10" s="207" t="s">
        <v>34</v>
      </c>
      <c r="C10" s="207"/>
      <c r="D10" s="207"/>
      <c r="E10" s="207"/>
      <c r="F10" s="207"/>
      <c r="G10" s="207"/>
      <c r="H10" s="4"/>
      <c r="I10" s="92"/>
      <c r="J10" s="92"/>
      <c r="K10" s="92"/>
      <c r="L10" s="92"/>
      <c r="M10" s="92"/>
      <c r="N10" s="92"/>
      <c r="O10" s="92"/>
    </row>
    <row r="11" spans="1:15">
      <c r="A11" s="4"/>
      <c r="B11" s="207" t="s">
        <v>35</v>
      </c>
      <c r="C11" s="207"/>
      <c r="D11" s="207"/>
      <c r="E11" s="207"/>
      <c r="F11" s="207"/>
      <c r="G11" s="207"/>
      <c r="H11" s="4"/>
      <c r="I11" s="92"/>
      <c r="J11" s="92"/>
      <c r="K11" s="92"/>
      <c r="L11" s="92"/>
      <c r="M11" s="92"/>
      <c r="N11" s="92"/>
      <c r="O11" s="92"/>
    </row>
    <row r="12" spans="1:15">
      <c r="A12" s="4"/>
      <c r="B12" s="207" t="s">
        <v>36</v>
      </c>
      <c r="C12" s="207"/>
      <c r="D12" s="207"/>
      <c r="E12" s="207"/>
      <c r="F12" s="207"/>
      <c r="G12" s="207"/>
      <c r="H12" s="4"/>
      <c r="I12" s="92"/>
      <c r="J12" s="92"/>
      <c r="K12" s="92"/>
      <c r="L12" s="92"/>
      <c r="M12" s="92"/>
      <c r="N12" s="92"/>
      <c r="O12" s="92"/>
    </row>
    <row r="13" spans="1:15" ht="15.75">
      <c r="A13" s="4"/>
      <c r="B13" s="208" t="s">
        <v>37</v>
      </c>
      <c r="C13" s="209"/>
      <c r="D13" s="209"/>
      <c r="E13" s="209"/>
      <c r="F13" s="209"/>
      <c r="G13" s="210"/>
      <c r="H13" s="4"/>
      <c r="I13" s="92"/>
      <c r="J13" s="92"/>
      <c r="K13" s="92"/>
      <c r="L13" s="92"/>
      <c r="M13" s="92"/>
      <c r="N13" s="92"/>
      <c r="O13" s="92"/>
    </row>
    <row r="14" spans="1:15">
      <c r="A14" s="4"/>
      <c r="B14" s="207" t="s">
        <v>38</v>
      </c>
      <c r="C14" s="207"/>
      <c r="D14" s="207"/>
      <c r="E14" s="207"/>
      <c r="F14" s="207"/>
      <c r="G14" s="207"/>
      <c r="H14" s="4"/>
      <c r="I14" s="92"/>
      <c r="J14" s="92"/>
      <c r="K14" s="92"/>
      <c r="L14" s="92"/>
      <c r="M14" s="92"/>
      <c r="N14" s="92"/>
      <c r="O14" s="92"/>
    </row>
    <row r="15" spans="1:15">
      <c r="A15" s="4"/>
      <c r="B15" s="207" t="s">
        <v>39</v>
      </c>
      <c r="C15" s="207"/>
      <c r="D15" s="207"/>
      <c r="E15" s="207"/>
      <c r="F15" s="207"/>
      <c r="G15" s="207"/>
      <c r="H15" s="4"/>
      <c r="I15" s="92"/>
      <c r="J15" s="92"/>
      <c r="K15" s="92"/>
      <c r="L15" s="92"/>
      <c r="M15" s="92"/>
      <c r="N15" s="92"/>
      <c r="O15" s="92"/>
    </row>
    <row r="16" spans="1:15">
      <c r="A16" s="4"/>
      <c r="B16" s="207" t="s">
        <v>40</v>
      </c>
      <c r="C16" s="207"/>
      <c r="D16" s="207"/>
      <c r="E16" s="207"/>
      <c r="F16" s="207"/>
      <c r="G16" s="207"/>
      <c r="H16" s="4"/>
      <c r="I16" s="92"/>
      <c r="J16" s="92"/>
      <c r="K16" s="92"/>
      <c r="L16" s="92"/>
      <c r="M16" s="92"/>
      <c r="N16" s="92"/>
      <c r="O16" s="92"/>
    </row>
    <row r="17" spans="1:8">
      <c r="A17" s="4"/>
      <c r="B17" s="207" t="s">
        <v>41</v>
      </c>
      <c r="C17" s="207"/>
      <c r="D17" s="207"/>
      <c r="E17" s="207"/>
      <c r="F17" s="207"/>
      <c r="G17" s="207"/>
      <c r="H17" s="4"/>
    </row>
    <row r="18" spans="1:8">
      <c r="A18" s="4"/>
      <c r="B18" s="207" t="s">
        <v>42</v>
      </c>
      <c r="C18" s="207"/>
      <c r="D18" s="207"/>
      <c r="E18" s="207"/>
      <c r="F18" s="207"/>
      <c r="G18" s="207"/>
      <c r="H18" s="4"/>
    </row>
    <row r="19" spans="1:8">
      <c r="A19" s="4"/>
      <c r="B19" s="207" t="s">
        <v>43</v>
      </c>
      <c r="C19" s="207"/>
      <c r="D19" s="207"/>
      <c r="E19" s="207"/>
      <c r="F19" s="207"/>
      <c r="G19" s="207"/>
      <c r="H19" s="4"/>
    </row>
    <row r="20" spans="1:8">
      <c r="A20" s="4"/>
      <c r="B20" s="207" t="s">
        <v>44</v>
      </c>
      <c r="C20" s="207"/>
      <c r="D20" s="207"/>
      <c r="E20" s="207"/>
      <c r="F20" s="207"/>
      <c r="G20" s="207"/>
      <c r="H20" s="4"/>
    </row>
    <row r="21" spans="1:8">
      <c r="A21" s="4"/>
      <c r="B21" s="207" t="s">
        <v>45</v>
      </c>
      <c r="C21" s="207"/>
      <c r="D21" s="207"/>
      <c r="E21" s="207"/>
      <c r="F21" s="207"/>
      <c r="G21" s="207"/>
      <c r="H21" s="4"/>
    </row>
    <row r="22" spans="1:8">
      <c r="A22" s="4"/>
      <c r="B22" s="207" t="s">
        <v>46</v>
      </c>
      <c r="C22" s="207"/>
      <c r="D22" s="207"/>
      <c r="E22" s="207"/>
      <c r="F22" s="207"/>
      <c r="G22" s="207"/>
      <c r="H22" s="4"/>
    </row>
    <row r="23" spans="1:8">
      <c r="A23" s="4"/>
      <c r="B23" s="200" t="s">
        <v>47</v>
      </c>
      <c r="C23" s="201"/>
      <c r="D23" s="201"/>
      <c r="E23" s="201"/>
      <c r="F23" s="201"/>
      <c r="G23" s="202"/>
      <c r="H23" s="4"/>
    </row>
    <row r="24" spans="1:8">
      <c r="A24" s="4"/>
      <c r="B24" s="200" t="s">
        <v>48</v>
      </c>
      <c r="C24" s="201"/>
      <c r="D24" s="201"/>
      <c r="E24" s="201"/>
      <c r="F24" s="201"/>
      <c r="G24" s="202"/>
      <c r="H24" s="4"/>
    </row>
    <row r="25" spans="1:8">
      <c r="A25" s="4"/>
      <c r="B25" s="203"/>
      <c r="C25" s="203"/>
      <c r="D25" s="203"/>
      <c r="E25" s="203"/>
      <c r="F25" s="203"/>
      <c r="G25" s="203"/>
      <c r="H25" s="4"/>
    </row>
    <row r="27" spans="1:8" ht="15.75">
      <c r="A27" s="52" t="s">
        <v>49</v>
      </c>
      <c r="B27" s="107"/>
      <c r="C27" s="107"/>
      <c r="D27" s="107"/>
      <c r="E27" s="107"/>
      <c r="F27" s="107"/>
      <c r="G27" s="107"/>
      <c r="H27" s="108"/>
    </row>
    <row r="28" spans="1:8">
      <c r="A28" s="10" t="s">
        <v>24</v>
      </c>
      <c r="B28" s="204" t="s">
        <v>50</v>
      </c>
      <c r="C28" s="204"/>
      <c r="D28" s="204"/>
      <c r="E28" s="204"/>
      <c r="F28" s="204"/>
      <c r="G28" s="204"/>
      <c r="H28" s="11" t="s">
        <v>51</v>
      </c>
    </row>
    <row r="29" spans="1:8">
      <c r="A29" s="109"/>
      <c r="B29" s="205"/>
      <c r="C29" s="205"/>
      <c r="D29" s="205"/>
      <c r="E29" s="205"/>
      <c r="F29" s="205"/>
      <c r="G29" s="205"/>
      <c r="H29" s="109"/>
    </row>
    <row r="30" spans="1:8">
      <c r="A30" s="109"/>
      <c r="B30" s="205"/>
      <c r="C30" s="205"/>
      <c r="D30" s="205"/>
      <c r="E30" s="205"/>
      <c r="F30" s="205"/>
      <c r="G30" s="205"/>
      <c r="H30" s="109"/>
    </row>
    <row r="31" spans="1:8">
      <c r="A31" s="109"/>
      <c r="B31" s="205"/>
      <c r="C31" s="205"/>
      <c r="D31" s="205"/>
      <c r="E31" s="205"/>
      <c r="F31" s="205"/>
      <c r="G31" s="205"/>
      <c r="H31" s="109"/>
    </row>
    <row r="32" spans="1:8">
      <c r="A32" s="109"/>
      <c r="B32" s="205"/>
      <c r="C32" s="205"/>
      <c r="D32" s="205"/>
      <c r="E32" s="205"/>
      <c r="F32" s="205"/>
      <c r="G32" s="205"/>
      <c r="H32" s="109"/>
    </row>
    <row r="33" spans="1:10">
      <c r="A33" s="109"/>
      <c r="B33" s="205"/>
      <c r="C33" s="205"/>
      <c r="D33" s="205"/>
      <c r="E33" s="205"/>
      <c r="F33" s="205"/>
      <c r="G33" s="205"/>
      <c r="H33" s="109"/>
      <c r="I33" s="92"/>
      <c r="J33" s="92"/>
    </row>
    <row r="35" spans="1:10" ht="14.25" customHeight="1">
      <c r="A35" s="52" t="s">
        <v>52</v>
      </c>
      <c r="B35" s="107"/>
      <c r="C35" s="107"/>
      <c r="D35" s="107"/>
      <c r="E35" s="107"/>
      <c r="F35" s="107"/>
      <c r="G35" s="107"/>
      <c r="H35" s="108"/>
      <c r="I35" s="92"/>
      <c r="J35" s="92"/>
    </row>
    <row r="36" spans="1:10">
      <c r="A36" s="13" t="s">
        <v>53</v>
      </c>
      <c r="B36" s="206" t="s">
        <v>54</v>
      </c>
      <c r="C36" s="206"/>
      <c r="D36" s="206"/>
      <c r="E36" s="206"/>
      <c r="F36" s="206"/>
      <c r="G36" s="206"/>
      <c r="H36" s="14" t="s">
        <v>55</v>
      </c>
      <c r="I36" s="92"/>
      <c r="J36" s="92"/>
    </row>
    <row r="37" spans="1:10">
      <c r="A37" s="110"/>
      <c r="B37" s="199"/>
      <c r="C37" s="199"/>
      <c r="D37" s="199"/>
      <c r="E37" s="199"/>
      <c r="F37" s="199"/>
      <c r="G37" s="199"/>
      <c r="H37" s="110"/>
      <c r="I37" s="92"/>
      <c r="J37" s="92"/>
    </row>
    <row r="38" spans="1:10">
      <c r="A38" s="110"/>
      <c r="B38" s="199"/>
      <c r="C38" s="199"/>
      <c r="D38" s="199"/>
      <c r="E38" s="199"/>
      <c r="F38" s="199"/>
      <c r="G38" s="199"/>
      <c r="H38" s="110"/>
      <c r="I38" s="92"/>
      <c r="J38" s="92"/>
    </row>
    <row r="39" spans="1:10">
      <c r="A39" s="110"/>
      <c r="B39" s="199"/>
      <c r="C39" s="199"/>
      <c r="D39" s="199"/>
      <c r="E39" s="199"/>
      <c r="F39" s="199"/>
      <c r="G39" s="199"/>
      <c r="H39" s="110"/>
      <c r="I39" s="92"/>
      <c r="J39" s="92"/>
    </row>
    <row r="40" spans="1:10">
      <c r="A40" s="110"/>
      <c r="B40" s="199"/>
      <c r="C40" s="199"/>
      <c r="D40" s="199"/>
      <c r="E40" s="199"/>
      <c r="F40" s="199"/>
      <c r="G40" s="199"/>
      <c r="H40" s="110"/>
      <c r="I40" s="92"/>
      <c r="J40" s="92"/>
    </row>
    <row r="41" spans="1:10">
      <c r="A41" s="110"/>
      <c r="B41" s="199"/>
      <c r="C41" s="199"/>
      <c r="D41" s="199"/>
      <c r="E41" s="199"/>
      <c r="F41" s="199"/>
      <c r="G41" s="199"/>
      <c r="H41" s="110"/>
      <c r="I41" s="92"/>
      <c r="J41" s="92"/>
    </row>
    <row r="42" spans="1:10">
      <c r="A42" s="110"/>
      <c r="B42" s="199"/>
      <c r="C42" s="199"/>
      <c r="D42" s="199"/>
      <c r="E42" s="199"/>
      <c r="F42" s="199"/>
      <c r="G42" s="199"/>
      <c r="H42" s="110"/>
      <c r="I42" s="92"/>
      <c r="J42" s="92"/>
    </row>
    <row r="43" spans="1:10">
      <c r="A43" s="110"/>
      <c r="B43" s="199"/>
      <c r="C43" s="199"/>
      <c r="D43" s="199"/>
      <c r="E43" s="199"/>
      <c r="F43" s="199"/>
      <c r="G43" s="199"/>
      <c r="H43" s="110"/>
      <c r="I43" s="92"/>
      <c r="J43" s="92"/>
    </row>
    <row r="45" spans="1:10">
      <c r="A45" s="190" t="s">
        <v>56</v>
      </c>
      <c r="B45" s="191"/>
      <c r="C45" s="191"/>
      <c r="D45" s="191"/>
      <c r="E45" s="191"/>
      <c r="F45" s="191"/>
      <c r="G45" s="191"/>
      <c r="H45" s="191"/>
      <c r="I45" s="191"/>
      <c r="J45" s="192"/>
    </row>
    <row r="46" spans="1:10">
      <c r="A46" s="193"/>
      <c r="B46" s="194"/>
      <c r="C46" s="194"/>
      <c r="D46" s="194"/>
      <c r="E46" s="194"/>
      <c r="F46" s="194"/>
      <c r="G46" s="194"/>
      <c r="H46" s="194"/>
      <c r="I46" s="194"/>
      <c r="J46" s="195"/>
    </row>
    <row r="47" spans="1:10">
      <c r="A47" s="193"/>
      <c r="B47" s="194"/>
      <c r="C47" s="194"/>
      <c r="D47" s="194"/>
      <c r="E47" s="194"/>
      <c r="F47" s="194"/>
      <c r="G47" s="194"/>
      <c r="H47" s="194"/>
      <c r="I47" s="194"/>
      <c r="J47" s="195"/>
    </row>
    <row r="48" spans="1:10">
      <c r="A48" s="196"/>
      <c r="B48" s="197"/>
      <c r="C48" s="197"/>
      <c r="D48" s="197"/>
      <c r="E48" s="197"/>
      <c r="F48" s="197"/>
      <c r="G48" s="197"/>
      <c r="H48" s="197"/>
      <c r="I48" s="197"/>
      <c r="J48" s="198"/>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21" workbookViewId="0">
      <selection activeCell="A22" sqref="A22:I5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Tradebe Fawley Limited</v>
      </c>
      <c r="F1" s="92"/>
      <c r="G1" s="92"/>
      <c r="H1" s="92"/>
      <c r="I1" s="92"/>
      <c r="J1" s="92"/>
      <c r="K1" s="92"/>
      <c r="L1" s="92"/>
      <c r="M1" s="92"/>
      <c r="N1" s="92"/>
    </row>
    <row r="3" spans="1:14" ht="15.75">
      <c r="A3" s="51" t="s">
        <v>57</v>
      </c>
      <c r="B3" s="111"/>
      <c r="C3" s="111"/>
      <c r="D3" s="111"/>
      <c r="E3" s="111"/>
      <c r="F3" s="111"/>
      <c r="G3" s="111"/>
      <c r="H3" s="111"/>
      <c r="I3" s="112"/>
      <c r="J3" s="92"/>
      <c r="K3" s="81" t="s">
        <v>2</v>
      </c>
      <c r="L3" s="92"/>
      <c r="M3" s="92"/>
      <c r="N3" s="92"/>
    </row>
    <row r="4" spans="1:14">
      <c r="A4" s="113"/>
      <c r="B4" s="114"/>
      <c r="C4" s="114"/>
      <c r="D4" s="114"/>
      <c r="E4" s="114"/>
      <c r="F4" s="114"/>
      <c r="G4" s="114"/>
      <c r="H4" s="114"/>
      <c r="I4" s="115"/>
      <c r="J4" s="92"/>
      <c r="K4" s="92"/>
      <c r="L4" s="92"/>
      <c r="M4" s="92"/>
      <c r="N4" s="92"/>
    </row>
    <row r="5" spans="1:14" ht="15.75" customHeight="1">
      <c r="A5" s="212" t="s">
        <v>58</v>
      </c>
      <c r="B5" s="213"/>
      <c r="C5" s="213"/>
      <c r="D5" s="213"/>
      <c r="E5" s="213"/>
      <c r="F5" s="213"/>
      <c r="G5" s="213"/>
      <c r="H5" s="213"/>
      <c r="I5" s="214"/>
      <c r="J5" s="92"/>
      <c r="K5" s="229" t="s">
        <v>59</v>
      </c>
      <c r="L5" s="229"/>
      <c r="M5" s="229"/>
      <c r="N5" s="229"/>
    </row>
    <row r="6" spans="1:14">
      <c r="A6" s="215"/>
      <c r="B6" s="216"/>
      <c r="C6" s="216"/>
      <c r="D6" s="216"/>
      <c r="E6" s="216"/>
      <c r="F6" s="216"/>
      <c r="G6" s="216"/>
      <c r="H6" s="216"/>
      <c r="I6" s="217"/>
      <c r="J6" s="92"/>
      <c r="K6" s="229"/>
      <c r="L6" s="229"/>
      <c r="M6" s="229"/>
      <c r="N6" s="229"/>
    </row>
    <row r="7" spans="1:14">
      <c r="A7" s="215"/>
      <c r="B7" s="216"/>
      <c r="C7" s="216"/>
      <c r="D7" s="216"/>
      <c r="E7" s="216"/>
      <c r="F7" s="216"/>
      <c r="G7" s="216"/>
      <c r="H7" s="216"/>
      <c r="I7" s="217"/>
      <c r="J7" s="92"/>
      <c r="K7" s="229"/>
      <c r="L7" s="229"/>
      <c r="M7" s="229"/>
      <c r="N7" s="229"/>
    </row>
    <row r="8" spans="1:14" ht="15.75" customHeight="1">
      <c r="A8" s="215"/>
      <c r="B8" s="216"/>
      <c r="C8" s="216"/>
      <c r="D8" s="216"/>
      <c r="E8" s="216"/>
      <c r="F8" s="216"/>
      <c r="G8" s="216"/>
      <c r="H8" s="216"/>
      <c r="I8" s="217"/>
      <c r="J8" s="92"/>
      <c r="K8" s="229"/>
      <c r="L8" s="229"/>
      <c r="M8" s="229"/>
      <c r="N8" s="229"/>
    </row>
    <row r="9" spans="1:14">
      <c r="A9" s="215"/>
      <c r="B9" s="216"/>
      <c r="C9" s="216"/>
      <c r="D9" s="216"/>
      <c r="E9" s="216"/>
      <c r="F9" s="216"/>
      <c r="G9" s="216"/>
      <c r="H9" s="216"/>
      <c r="I9" s="217"/>
      <c r="J9" s="92"/>
      <c r="K9" s="229"/>
      <c r="L9" s="229"/>
      <c r="M9" s="229"/>
      <c r="N9" s="229"/>
    </row>
    <row r="10" spans="1:14">
      <c r="A10" s="215"/>
      <c r="B10" s="216"/>
      <c r="C10" s="216"/>
      <c r="D10" s="216"/>
      <c r="E10" s="216"/>
      <c r="F10" s="216"/>
      <c r="G10" s="216"/>
      <c r="H10" s="216"/>
      <c r="I10" s="217"/>
      <c r="J10" s="92"/>
      <c r="K10" s="229"/>
      <c r="L10" s="229"/>
      <c r="M10" s="229"/>
      <c r="N10" s="229"/>
    </row>
    <row r="11" spans="1:14">
      <c r="A11" s="215"/>
      <c r="B11" s="216"/>
      <c r="C11" s="216"/>
      <c r="D11" s="216"/>
      <c r="E11" s="216"/>
      <c r="F11" s="216"/>
      <c r="G11" s="216"/>
      <c r="H11" s="216"/>
      <c r="I11" s="217"/>
      <c r="J11" s="92"/>
      <c r="K11" s="229"/>
      <c r="L11" s="229"/>
      <c r="M11" s="229"/>
      <c r="N11" s="229"/>
    </row>
    <row r="12" spans="1:14">
      <c r="A12" s="215"/>
      <c r="B12" s="216"/>
      <c r="C12" s="216"/>
      <c r="D12" s="216"/>
      <c r="E12" s="216"/>
      <c r="F12" s="216"/>
      <c r="G12" s="216"/>
      <c r="H12" s="216"/>
      <c r="I12" s="217"/>
      <c r="J12" s="92"/>
      <c r="K12" s="229"/>
      <c r="L12" s="229"/>
      <c r="M12" s="229"/>
      <c r="N12" s="229"/>
    </row>
    <row r="13" spans="1:14">
      <c r="A13" s="215"/>
      <c r="B13" s="216"/>
      <c r="C13" s="216"/>
      <c r="D13" s="216"/>
      <c r="E13" s="216"/>
      <c r="F13" s="216"/>
      <c r="G13" s="216"/>
      <c r="H13" s="216"/>
      <c r="I13" s="217"/>
      <c r="J13" s="92"/>
      <c r="K13" s="229"/>
      <c r="L13" s="229"/>
      <c r="M13" s="229"/>
      <c r="N13" s="229"/>
    </row>
    <row r="14" spans="1:14">
      <c r="A14" s="215"/>
      <c r="B14" s="216"/>
      <c r="C14" s="216"/>
      <c r="D14" s="216"/>
      <c r="E14" s="216"/>
      <c r="F14" s="216"/>
      <c r="G14" s="216"/>
      <c r="H14" s="216"/>
      <c r="I14" s="217"/>
      <c r="J14" s="92"/>
      <c r="K14" s="229"/>
      <c r="L14" s="229"/>
      <c r="M14" s="229"/>
      <c r="N14" s="229"/>
    </row>
    <row r="15" spans="1:14">
      <c r="A15" s="215"/>
      <c r="B15" s="216"/>
      <c r="C15" s="216"/>
      <c r="D15" s="216"/>
      <c r="E15" s="216"/>
      <c r="F15" s="216"/>
      <c r="G15" s="216"/>
      <c r="H15" s="216"/>
      <c r="I15" s="217"/>
      <c r="J15" s="92"/>
      <c r="K15" s="92"/>
      <c r="L15" s="92"/>
      <c r="M15" s="92"/>
      <c r="N15" s="92"/>
    </row>
    <row r="16" spans="1:14">
      <c r="A16" s="215"/>
      <c r="B16" s="216"/>
      <c r="C16" s="216"/>
      <c r="D16" s="216"/>
      <c r="E16" s="216"/>
      <c r="F16" s="216"/>
      <c r="G16" s="216"/>
      <c r="H16" s="216"/>
      <c r="I16" s="217"/>
      <c r="J16" s="92"/>
      <c r="K16" s="92"/>
      <c r="L16" s="92"/>
      <c r="M16" s="92"/>
      <c r="N16" s="92"/>
    </row>
    <row r="17" spans="1:14">
      <c r="A17" s="215"/>
      <c r="B17" s="216"/>
      <c r="C17" s="216"/>
      <c r="D17" s="216"/>
      <c r="E17" s="216"/>
      <c r="F17" s="216"/>
      <c r="G17" s="216"/>
      <c r="H17" s="216"/>
      <c r="I17" s="217"/>
      <c r="J17" s="92"/>
      <c r="K17" s="92"/>
      <c r="L17" s="92"/>
      <c r="M17" s="92"/>
      <c r="N17" s="92"/>
    </row>
    <row r="18" spans="1:14">
      <c r="A18" s="218"/>
      <c r="B18" s="219"/>
      <c r="C18" s="219"/>
      <c r="D18" s="219"/>
      <c r="E18" s="219"/>
      <c r="F18" s="219"/>
      <c r="G18" s="219"/>
      <c r="H18" s="219"/>
      <c r="I18" s="220"/>
      <c r="J18" s="92"/>
      <c r="K18" s="92"/>
      <c r="L18" s="92"/>
      <c r="M18" s="92"/>
      <c r="N18" s="92"/>
    </row>
    <row r="20" spans="1:14" ht="15.75">
      <c r="A20" s="51" t="s">
        <v>60</v>
      </c>
      <c r="B20" s="111"/>
      <c r="C20" s="111"/>
      <c r="D20" s="111"/>
      <c r="E20" s="111"/>
      <c r="F20" s="111"/>
      <c r="G20" s="111"/>
      <c r="H20" s="111"/>
      <c r="I20" s="112"/>
      <c r="J20" s="92"/>
      <c r="K20" s="92"/>
      <c r="L20" s="92"/>
      <c r="M20" s="92"/>
      <c r="N20" s="92"/>
    </row>
    <row r="21" spans="1:14">
      <c r="A21" s="113"/>
      <c r="B21" s="114"/>
      <c r="C21" s="114"/>
      <c r="D21" s="114"/>
      <c r="E21" s="114"/>
      <c r="F21" s="114"/>
      <c r="G21" s="114"/>
      <c r="H21" s="114"/>
      <c r="I21" s="115"/>
      <c r="J21" s="92"/>
      <c r="K21" s="92"/>
      <c r="L21" s="92"/>
      <c r="M21" s="92"/>
      <c r="N21" s="92"/>
    </row>
    <row r="22" spans="1:14">
      <c r="A22" s="212" t="s">
        <v>61</v>
      </c>
      <c r="B22" s="221"/>
      <c r="C22" s="221"/>
      <c r="D22" s="221"/>
      <c r="E22" s="221"/>
      <c r="F22" s="221"/>
      <c r="G22" s="221"/>
      <c r="H22" s="221"/>
      <c r="I22" s="222"/>
      <c r="J22" s="92"/>
      <c r="K22" s="229" t="s">
        <v>62</v>
      </c>
      <c r="L22" s="229"/>
      <c r="M22" s="229"/>
      <c r="N22" s="229"/>
    </row>
    <row r="23" spans="1:14">
      <c r="A23" s="223"/>
      <c r="B23" s="224"/>
      <c r="C23" s="224"/>
      <c r="D23" s="224"/>
      <c r="E23" s="224"/>
      <c r="F23" s="224"/>
      <c r="G23" s="224"/>
      <c r="H23" s="224"/>
      <c r="I23" s="225"/>
      <c r="J23" s="92"/>
      <c r="K23" s="229"/>
      <c r="L23" s="229"/>
      <c r="M23" s="229"/>
      <c r="N23" s="229"/>
    </row>
    <row r="24" spans="1:14">
      <c r="A24" s="223"/>
      <c r="B24" s="224"/>
      <c r="C24" s="224"/>
      <c r="D24" s="224"/>
      <c r="E24" s="224"/>
      <c r="F24" s="224"/>
      <c r="G24" s="224"/>
      <c r="H24" s="224"/>
      <c r="I24" s="225"/>
      <c r="J24" s="92"/>
      <c r="K24" s="229"/>
      <c r="L24" s="229"/>
      <c r="M24" s="229"/>
      <c r="N24" s="229"/>
    </row>
    <row r="25" spans="1:14">
      <c r="A25" s="223"/>
      <c r="B25" s="224"/>
      <c r="C25" s="224"/>
      <c r="D25" s="224"/>
      <c r="E25" s="224"/>
      <c r="F25" s="224"/>
      <c r="G25" s="224"/>
      <c r="H25" s="224"/>
      <c r="I25" s="225"/>
      <c r="J25" s="92"/>
      <c r="K25" s="229"/>
      <c r="L25" s="229"/>
      <c r="M25" s="229"/>
      <c r="N25" s="229"/>
    </row>
    <row r="26" spans="1:14">
      <c r="A26" s="223"/>
      <c r="B26" s="224"/>
      <c r="C26" s="224"/>
      <c r="D26" s="224"/>
      <c r="E26" s="224"/>
      <c r="F26" s="224"/>
      <c r="G26" s="224"/>
      <c r="H26" s="224"/>
      <c r="I26" s="225"/>
      <c r="J26" s="92"/>
      <c r="K26" s="229"/>
      <c r="L26" s="229"/>
      <c r="M26" s="229"/>
      <c r="N26" s="229"/>
    </row>
    <row r="27" spans="1:14">
      <c r="A27" s="223"/>
      <c r="B27" s="224"/>
      <c r="C27" s="224"/>
      <c r="D27" s="224"/>
      <c r="E27" s="224"/>
      <c r="F27" s="224"/>
      <c r="G27" s="224"/>
      <c r="H27" s="224"/>
      <c r="I27" s="225"/>
      <c r="J27" s="92"/>
      <c r="K27" s="229"/>
      <c r="L27" s="229"/>
      <c r="M27" s="229"/>
      <c r="N27" s="229"/>
    </row>
    <row r="28" spans="1:14">
      <c r="A28" s="223"/>
      <c r="B28" s="224"/>
      <c r="C28" s="224"/>
      <c r="D28" s="224"/>
      <c r="E28" s="224"/>
      <c r="F28" s="224"/>
      <c r="G28" s="224"/>
      <c r="H28" s="224"/>
      <c r="I28" s="225"/>
      <c r="J28" s="92"/>
      <c r="K28" s="229"/>
      <c r="L28" s="229"/>
      <c r="M28" s="229"/>
      <c r="N28" s="229"/>
    </row>
    <row r="29" spans="1:14">
      <c r="A29" s="223"/>
      <c r="B29" s="224"/>
      <c r="C29" s="224"/>
      <c r="D29" s="224"/>
      <c r="E29" s="224"/>
      <c r="F29" s="224"/>
      <c r="G29" s="224"/>
      <c r="H29" s="224"/>
      <c r="I29" s="225"/>
      <c r="J29" s="92"/>
      <c r="K29" s="229"/>
      <c r="L29" s="229"/>
      <c r="M29" s="229"/>
      <c r="N29" s="229"/>
    </row>
    <row r="30" spans="1:14">
      <c r="A30" s="223"/>
      <c r="B30" s="224"/>
      <c r="C30" s="224"/>
      <c r="D30" s="224"/>
      <c r="E30" s="224"/>
      <c r="F30" s="224"/>
      <c r="G30" s="224"/>
      <c r="H30" s="224"/>
      <c r="I30" s="225"/>
      <c r="J30" s="92"/>
      <c r="K30" s="229"/>
      <c r="L30" s="229"/>
      <c r="M30" s="229"/>
      <c r="N30" s="229"/>
    </row>
    <row r="31" spans="1:14">
      <c r="A31" s="223"/>
      <c r="B31" s="224"/>
      <c r="C31" s="224"/>
      <c r="D31" s="224"/>
      <c r="E31" s="224"/>
      <c r="F31" s="224"/>
      <c r="G31" s="224"/>
      <c r="H31" s="224"/>
      <c r="I31" s="225"/>
      <c r="J31" s="92"/>
      <c r="K31" s="229"/>
      <c r="L31" s="229"/>
      <c r="M31" s="229"/>
      <c r="N31" s="229"/>
    </row>
    <row r="32" spans="1:14">
      <c r="A32" s="223"/>
      <c r="B32" s="224"/>
      <c r="C32" s="224"/>
      <c r="D32" s="224"/>
      <c r="E32" s="224"/>
      <c r="F32" s="224"/>
      <c r="G32" s="224"/>
      <c r="H32" s="224"/>
      <c r="I32" s="225"/>
      <c r="J32" s="92"/>
      <c r="K32" s="92"/>
      <c r="L32" s="92"/>
      <c r="M32" s="92"/>
      <c r="N32" s="92"/>
    </row>
    <row r="33" spans="1:9">
      <c r="A33" s="223"/>
      <c r="B33" s="224"/>
      <c r="C33" s="224"/>
      <c r="D33" s="224"/>
      <c r="E33" s="224"/>
      <c r="F33" s="224"/>
      <c r="G33" s="224"/>
      <c r="H33" s="224"/>
      <c r="I33" s="225"/>
    </row>
    <row r="34" spans="1:9">
      <c r="A34" s="223"/>
      <c r="B34" s="224"/>
      <c r="C34" s="224"/>
      <c r="D34" s="224"/>
      <c r="E34" s="224"/>
      <c r="F34" s="224"/>
      <c r="G34" s="224"/>
      <c r="H34" s="224"/>
      <c r="I34" s="225"/>
    </row>
    <row r="35" spans="1:9">
      <c r="A35" s="223"/>
      <c r="B35" s="224"/>
      <c r="C35" s="224"/>
      <c r="D35" s="224"/>
      <c r="E35" s="224"/>
      <c r="F35" s="224"/>
      <c r="G35" s="224"/>
      <c r="H35" s="224"/>
      <c r="I35" s="225"/>
    </row>
    <row r="36" spans="1:9">
      <c r="A36" s="223"/>
      <c r="B36" s="224"/>
      <c r="C36" s="224"/>
      <c r="D36" s="224"/>
      <c r="E36" s="224"/>
      <c r="F36" s="224"/>
      <c r="G36" s="224"/>
      <c r="H36" s="224"/>
      <c r="I36" s="225"/>
    </row>
    <row r="37" spans="1:9">
      <c r="A37" s="223"/>
      <c r="B37" s="224"/>
      <c r="C37" s="224"/>
      <c r="D37" s="224"/>
      <c r="E37" s="224"/>
      <c r="F37" s="224"/>
      <c r="G37" s="224"/>
      <c r="H37" s="224"/>
      <c r="I37" s="225"/>
    </row>
    <row r="38" spans="1:9">
      <c r="A38" s="223"/>
      <c r="B38" s="224"/>
      <c r="C38" s="224"/>
      <c r="D38" s="224"/>
      <c r="E38" s="224"/>
      <c r="F38" s="224"/>
      <c r="G38" s="224"/>
      <c r="H38" s="224"/>
      <c r="I38" s="225"/>
    </row>
    <row r="39" spans="1:9">
      <c r="A39" s="223"/>
      <c r="B39" s="224"/>
      <c r="C39" s="224"/>
      <c r="D39" s="224"/>
      <c r="E39" s="224"/>
      <c r="F39" s="224"/>
      <c r="G39" s="224"/>
      <c r="H39" s="224"/>
      <c r="I39" s="225"/>
    </row>
    <row r="40" spans="1:9" ht="14.25" customHeight="1">
      <c r="A40" s="223"/>
      <c r="B40" s="224"/>
      <c r="C40" s="224"/>
      <c r="D40" s="224"/>
      <c r="E40" s="224"/>
      <c r="F40" s="224"/>
      <c r="G40" s="224"/>
      <c r="H40" s="224"/>
      <c r="I40" s="225"/>
    </row>
    <row r="41" spans="1:9">
      <c r="A41" s="223"/>
      <c r="B41" s="224"/>
      <c r="C41" s="224"/>
      <c r="D41" s="224"/>
      <c r="E41" s="224"/>
      <c r="F41" s="224"/>
      <c r="G41" s="224"/>
      <c r="H41" s="224"/>
      <c r="I41" s="225"/>
    </row>
    <row r="42" spans="1:9">
      <c r="A42" s="223"/>
      <c r="B42" s="224"/>
      <c r="C42" s="224"/>
      <c r="D42" s="224"/>
      <c r="E42" s="224"/>
      <c r="F42" s="224"/>
      <c r="G42" s="224"/>
      <c r="H42" s="224"/>
      <c r="I42" s="225"/>
    </row>
    <row r="43" spans="1:9">
      <c r="A43" s="223"/>
      <c r="B43" s="224"/>
      <c r="C43" s="224"/>
      <c r="D43" s="224"/>
      <c r="E43" s="224"/>
      <c r="F43" s="224"/>
      <c r="G43" s="224"/>
      <c r="H43" s="224"/>
      <c r="I43" s="225"/>
    </row>
    <row r="44" spans="1:9">
      <c r="A44" s="223"/>
      <c r="B44" s="224"/>
      <c r="C44" s="224"/>
      <c r="D44" s="224"/>
      <c r="E44" s="224"/>
      <c r="F44" s="224"/>
      <c r="G44" s="224"/>
      <c r="H44" s="224"/>
      <c r="I44" s="225"/>
    </row>
    <row r="45" spans="1:9">
      <c r="A45" s="223"/>
      <c r="B45" s="224"/>
      <c r="C45" s="224"/>
      <c r="D45" s="224"/>
      <c r="E45" s="224"/>
      <c r="F45" s="224"/>
      <c r="G45" s="224"/>
      <c r="H45" s="224"/>
      <c r="I45" s="225"/>
    </row>
    <row r="46" spans="1:9">
      <c r="A46" s="223"/>
      <c r="B46" s="224"/>
      <c r="C46" s="224"/>
      <c r="D46" s="224"/>
      <c r="E46" s="224"/>
      <c r="F46" s="224"/>
      <c r="G46" s="224"/>
      <c r="H46" s="224"/>
      <c r="I46" s="225"/>
    </row>
    <row r="47" spans="1:9">
      <c r="A47" s="223"/>
      <c r="B47" s="224"/>
      <c r="C47" s="224"/>
      <c r="D47" s="224"/>
      <c r="E47" s="224"/>
      <c r="F47" s="224"/>
      <c r="G47" s="224"/>
      <c r="H47" s="224"/>
      <c r="I47" s="225"/>
    </row>
    <row r="48" spans="1:9">
      <c r="A48" s="223"/>
      <c r="B48" s="224"/>
      <c r="C48" s="224"/>
      <c r="D48" s="224"/>
      <c r="E48" s="224"/>
      <c r="F48" s="224"/>
      <c r="G48" s="224"/>
      <c r="H48" s="224"/>
      <c r="I48" s="225"/>
    </row>
    <row r="49" spans="1:9">
      <c r="A49" s="223"/>
      <c r="B49" s="224"/>
      <c r="C49" s="224"/>
      <c r="D49" s="224"/>
      <c r="E49" s="224"/>
      <c r="F49" s="224"/>
      <c r="G49" s="224"/>
      <c r="H49" s="224"/>
      <c r="I49" s="225"/>
    </row>
    <row r="50" spans="1:9">
      <c r="A50" s="223"/>
      <c r="B50" s="224"/>
      <c r="C50" s="224"/>
      <c r="D50" s="224"/>
      <c r="E50" s="224"/>
      <c r="F50" s="224"/>
      <c r="G50" s="224"/>
      <c r="H50" s="224"/>
      <c r="I50" s="225"/>
    </row>
    <row r="51" spans="1:9">
      <c r="A51" s="223"/>
      <c r="B51" s="224"/>
      <c r="C51" s="224"/>
      <c r="D51" s="224"/>
      <c r="E51" s="224"/>
      <c r="F51" s="224"/>
      <c r="G51" s="224"/>
      <c r="H51" s="224"/>
      <c r="I51" s="225"/>
    </row>
    <row r="52" spans="1:9">
      <c r="A52" s="223"/>
      <c r="B52" s="224"/>
      <c r="C52" s="224"/>
      <c r="D52" s="224"/>
      <c r="E52" s="224"/>
      <c r="F52" s="224"/>
      <c r="G52" s="224"/>
      <c r="H52" s="224"/>
      <c r="I52" s="225"/>
    </row>
    <row r="53" spans="1:9">
      <c r="A53" s="223"/>
      <c r="B53" s="224"/>
      <c r="C53" s="224"/>
      <c r="D53" s="224"/>
      <c r="E53" s="224"/>
      <c r="F53" s="224"/>
      <c r="G53" s="224"/>
      <c r="H53" s="224"/>
      <c r="I53" s="225"/>
    </row>
    <row r="54" spans="1:9">
      <c r="A54" s="226"/>
      <c r="B54" s="227"/>
      <c r="C54" s="227"/>
      <c r="D54" s="227"/>
      <c r="E54" s="227"/>
      <c r="F54" s="227"/>
      <c r="G54" s="227"/>
      <c r="H54" s="227"/>
      <c r="I54" s="228"/>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abSelected="1" topLeftCell="A37" workbookViewId="0">
      <selection activeCell="K49" sqref="K49"/>
    </sheetView>
  </sheetViews>
  <sheetFormatPr defaultColWidth="9.28515625" defaultRowHeight="15"/>
  <cols>
    <col min="1" max="1" width="30.710937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Tradebe Fawley Limited</v>
      </c>
      <c r="F1" s="92"/>
      <c r="G1" s="92"/>
      <c r="H1" s="92"/>
      <c r="I1" s="92"/>
      <c r="J1" s="92"/>
      <c r="K1" s="92"/>
    </row>
    <row r="3" spans="1:11" ht="15.75">
      <c r="A3" s="1" t="s">
        <v>30</v>
      </c>
      <c r="B3" s="116"/>
      <c r="C3" s="116"/>
      <c r="D3" s="116"/>
      <c r="E3" s="116"/>
      <c r="F3" s="116"/>
      <c r="H3" s="117"/>
      <c r="I3" s="92"/>
      <c r="J3" s="92"/>
      <c r="K3" s="81" t="s">
        <v>2</v>
      </c>
    </row>
    <row r="4" spans="1:11">
      <c r="A4" s="18" t="s">
        <v>63</v>
      </c>
      <c r="B4" s="237"/>
      <c r="C4" s="237"/>
      <c r="D4" s="20" t="s">
        <v>64</v>
      </c>
      <c r="E4" s="19">
        <v>37152.36</v>
      </c>
      <c r="F4" s="20" t="s">
        <v>65</v>
      </c>
      <c r="G4" s="19"/>
      <c r="H4" s="70" t="s">
        <v>66</v>
      </c>
      <c r="I4" s="92"/>
      <c r="J4" s="92"/>
      <c r="K4" s="17" t="s">
        <v>67</v>
      </c>
    </row>
    <row r="5" spans="1:11" ht="15.75">
      <c r="A5" s="21" t="s">
        <v>68</v>
      </c>
      <c r="B5" s="22">
        <v>1</v>
      </c>
      <c r="C5" s="23"/>
      <c r="D5" s="23" t="s">
        <v>69</v>
      </c>
      <c r="E5" s="23"/>
      <c r="F5" s="24">
        <v>1</v>
      </c>
      <c r="G5" s="25"/>
      <c r="H5" s="26"/>
      <c r="I5" s="92"/>
      <c r="J5" s="92"/>
      <c r="K5" s="17" t="s">
        <v>70</v>
      </c>
    </row>
    <row r="6" spans="1:11">
      <c r="A6" s="3"/>
      <c r="B6" s="116"/>
      <c r="C6" s="116"/>
      <c r="D6" s="116"/>
      <c r="E6" s="116"/>
      <c r="F6" s="116"/>
      <c r="H6" s="117"/>
      <c r="I6" s="92"/>
      <c r="J6" s="92"/>
      <c r="K6" s="232" t="s">
        <v>71</v>
      </c>
    </row>
    <row r="7" spans="1:11" ht="15.75">
      <c r="A7" s="9" t="s">
        <v>72</v>
      </c>
      <c r="B7" s="118" t="s">
        <v>73</v>
      </c>
      <c r="C7" s="119" t="s">
        <v>74</v>
      </c>
      <c r="D7" s="119" t="s">
        <v>75</v>
      </c>
      <c r="E7" s="119" t="s">
        <v>76</v>
      </c>
      <c r="F7" s="119" t="s">
        <v>77</v>
      </c>
      <c r="G7" s="27" t="s">
        <v>78</v>
      </c>
      <c r="H7" s="120" t="s">
        <v>79</v>
      </c>
      <c r="I7" s="92"/>
      <c r="J7" s="92"/>
      <c r="K7" s="232"/>
    </row>
    <row r="8" spans="1:11" ht="15.75" customHeight="1">
      <c r="A8" s="121" t="s">
        <v>80</v>
      </c>
      <c r="B8" s="234" t="s">
        <v>81</v>
      </c>
      <c r="C8" s="122"/>
      <c r="D8" s="122"/>
      <c r="E8" s="122"/>
      <c r="F8" s="122"/>
      <c r="G8" s="28">
        <f>SUM(C8:F8)</f>
        <v>0</v>
      </c>
      <c r="H8" s="123" t="str">
        <f t="shared" ref="H8:H15" si="0">IF(G8&gt;0,G8/$G$18,"-")</f>
        <v>-</v>
      </c>
      <c r="I8" s="92"/>
      <c r="J8" s="92"/>
      <c r="K8" s="233" t="s">
        <v>82</v>
      </c>
    </row>
    <row r="9" spans="1:11">
      <c r="A9" s="124" t="s">
        <v>83</v>
      </c>
      <c r="B9" s="235"/>
      <c r="C9" s="125"/>
      <c r="D9" s="125"/>
      <c r="E9" s="125"/>
      <c r="F9" s="125"/>
      <c r="G9" s="88">
        <f t="shared" ref="G9:G15" si="1">SUM(C9:F9)</f>
        <v>0</v>
      </c>
      <c r="H9" s="126" t="str">
        <f t="shared" si="0"/>
        <v>-</v>
      </c>
      <c r="I9" s="92"/>
      <c r="J9" s="92"/>
      <c r="K9" s="233"/>
    </row>
    <row r="10" spans="1:11" ht="15.75">
      <c r="A10" s="124" t="s">
        <v>84</v>
      </c>
      <c r="B10" s="235"/>
      <c r="C10">
        <v>3444.3560000000002</v>
      </c>
      <c r="D10">
        <v>1982.7679999999998</v>
      </c>
      <c r="E10">
        <v>3075.1549999999997</v>
      </c>
      <c r="F10">
        <v>3131.5909999999999</v>
      </c>
      <c r="G10" s="88">
        <f t="shared" si="1"/>
        <v>11633.869999999999</v>
      </c>
      <c r="H10" s="126">
        <f t="shared" si="0"/>
        <v>0.6442479818709228</v>
      </c>
      <c r="I10" s="92"/>
      <c r="J10" s="92"/>
      <c r="K10" s="233"/>
    </row>
    <row r="11" spans="1:11" ht="15.75">
      <c r="A11" s="124" t="s">
        <v>85</v>
      </c>
      <c r="B11" s="235"/>
      <c r="C11">
        <v>1612.23</v>
      </c>
      <c r="D11">
        <v>781.59300000000007</v>
      </c>
      <c r="E11">
        <v>1351.7749999999999</v>
      </c>
      <c r="F11">
        <v>1315.1310000000001</v>
      </c>
      <c r="G11" s="88">
        <f t="shared" si="1"/>
        <v>5060.7290000000003</v>
      </c>
      <c r="H11" s="126">
        <f t="shared" si="0"/>
        <v>0.28024762568652167</v>
      </c>
      <c r="I11" s="92"/>
      <c r="J11" s="92"/>
      <c r="K11" s="233"/>
    </row>
    <row r="12" spans="1:11">
      <c r="A12" s="124" t="s">
        <v>86</v>
      </c>
      <c r="B12" s="235"/>
      <c r="C12" s="125"/>
      <c r="D12" s="125"/>
      <c r="E12" s="125"/>
      <c r="F12" s="125"/>
      <c r="G12" s="88">
        <f t="shared" si="1"/>
        <v>0</v>
      </c>
      <c r="H12" s="126" t="str">
        <f t="shared" si="0"/>
        <v>-</v>
      </c>
      <c r="I12" s="92"/>
      <c r="J12" s="92"/>
      <c r="K12" s="233"/>
    </row>
    <row r="13" spans="1:11">
      <c r="A13" s="124" t="s">
        <v>87</v>
      </c>
      <c r="B13" s="235"/>
      <c r="C13" s="125"/>
      <c r="D13" s="125"/>
      <c r="E13" s="125"/>
      <c r="F13" s="125"/>
      <c r="G13" s="88">
        <f t="shared" ref="G13" si="2">SUM(C13:F13)</f>
        <v>0</v>
      </c>
      <c r="H13" s="126" t="str">
        <f t="shared" si="0"/>
        <v>-</v>
      </c>
      <c r="I13" s="92"/>
      <c r="J13" s="92"/>
      <c r="K13" s="233"/>
    </row>
    <row r="14" spans="1:11">
      <c r="A14" s="124" t="s">
        <v>88</v>
      </c>
      <c r="B14" s="235"/>
      <c r="C14" s="125"/>
      <c r="D14" s="125"/>
      <c r="E14" s="125"/>
      <c r="F14" s="125"/>
      <c r="G14" s="88">
        <f t="shared" si="1"/>
        <v>0</v>
      </c>
      <c r="H14" s="126" t="str">
        <f t="shared" si="0"/>
        <v>-</v>
      </c>
      <c r="I14" s="92"/>
      <c r="J14" s="92"/>
      <c r="K14" s="233"/>
    </row>
    <row r="15" spans="1:11" ht="15.75">
      <c r="A15" s="127" t="s">
        <v>89</v>
      </c>
      <c r="B15" s="235"/>
      <c r="C15">
        <v>376.39400000000001</v>
      </c>
      <c r="D15">
        <v>170.02199999999999</v>
      </c>
      <c r="E15">
        <v>298.18599999999998</v>
      </c>
      <c r="F15">
        <v>518.86099999999999</v>
      </c>
      <c r="G15" s="88">
        <f t="shared" si="1"/>
        <v>1363.4629999999997</v>
      </c>
      <c r="H15" s="126">
        <f t="shared" si="0"/>
        <v>7.5504392442555565E-2</v>
      </c>
      <c r="I15" s="92"/>
      <c r="J15" s="92"/>
      <c r="K15" s="233"/>
    </row>
    <row r="16" spans="1:11" ht="15.75">
      <c r="A16" s="127" t="s">
        <v>90</v>
      </c>
      <c r="B16" s="235"/>
      <c r="C16">
        <v>5292.7950000000001</v>
      </c>
      <c r="D16">
        <v>2677.1000000000004</v>
      </c>
      <c r="E16">
        <v>4380.5430000000006</v>
      </c>
      <c r="F16">
        <v>5686.6620000000003</v>
      </c>
      <c r="G16" s="88"/>
      <c r="H16" s="126"/>
      <c r="I16" s="92"/>
      <c r="J16" s="92"/>
      <c r="K16" s="233"/>
    </row>
    <row r="17" spans="1:12" ht="15.75">
      <c r="A17" s="127" t="s">
        <v>91</v>
      </c>
      <c r="B17" s="235"/>
      <c r="C17">
        <v>277.59000000000003</v>
      </c>
      <c r="D17">
        <v>215.03</v>
      </c>
      <c r="E17">
        <v>241.68000000000004</v>
      </c>
      <c r="F17">
        <v>322.89999999999998</v>
      </c>
      <c r="G17" s="88"/>
      <c r="H17" s="126"/>
      <c r="I17" s="92"/>
      <c r="J17" s="92"/>
      <c r="K17" s="233"/>
      <c r="L17" s="92"/>
    </row>
    <row r="18" spans="1:12" ht="15.75">
      <c r="A18" s="90" t="s">
        <v>92</v>
      </c>
      <c r="B18" s="235"/>
      <c r="C18">
        <f>SUM(C8:C17)</f>
        <v>11003.365000000002</v>
      </c>
      <c r="D18">
        <f>SUM(D8:D17)</f>
        <v>5826.5129999999999</v>
      </c>
      <c r="E18">
        <f>SUM(E8:E17)</f>
        <v>9347.3389999999999</v>
      </c>
      <c r="F18">
        <f>SUM(F8:F17)</f>
        <v>10975.144999999999</v>
      </c>
      <c r="G18" s="88">
        <f>SUM(G8:G17)</f>
        <v>18058.061999999998</v>
      </c>
      <c r="H18" s="128">
        <v>1</v>
      </c>
      <c r="I18" s="92"/>
      <c r="J18" s="92"/>
      <c r="K18" s="233"/>
      <c r="L18" s="92"/>
    </row>
    <row r="19" spans="1:12">
      <c r="A19" s="124" t="s">
        <v>93</v>
      </c>
      <c r="B19" s="235"/>
      <c r="C19" s="125"/>
      <c r="D19" s="125"/>
      <c r="E19" s="125"/>
      <c r="F19" s="125"/>
      <c r="G19" s="88">
        <f t="shared" ref="G19" si="3">SUM(C19:F19)</f>
        <v>0</v>
      </c>
      <c r="H19" s="126" t="str">
        <f t="shared" ref="H19" si="4">IF(G19&gt;0,G19/$G$18,"-")</f>
        <v>-</v>
      </c>
      <c r="I19" s="92"/>
      <c r="J19" s="92"/>
      <c r="K19" s="233"/>
      <c r="L19" s="92"/>
    </row>
    <row r="20" spans="1:12">
      <c r="A20" s="124" t="s">
        <v>94</v>
      </c>
      <c r="B20" s="235"/>
      <c r="C20" s="125"/>
      <c r="D20" s="125"/>
      <c r="E20" s="125"/>
      <c r="F20" s="125"/>
      <c r="G20" s="88">
        <f t="shared" ref="G20" si="5">SUM(C20:F20)</f>
        <v>0</v>
      </c>
      <c r="H20" s="126" t="str">
        <f>IF(G20&gt;0,G20/$G$18,"-")</f>
        <v>-</v>
      </c>
      <c r="I20" s="92"/>
      <c r="J20" s="92"/>
      <c r="K20" s="92"/>
      <c r="L20" s="92"/>
    </row>
    <row r="21" spans="1:12">
      <c r="A21" s="91" t="s">
        <v>95</v>
      </c>
      <c r="B21" s="129"/>
      <c r="C21" s="89">
        <f>C18-SUM(C19:C20)</f>
        <v>11003.365000000002</v>
      </c>
      <c r="D21" s="89">
        <f t="shared" ref="D21:F21" si="6">D18-SUM(D19:D20)</f>
        <v>5826.5129999999999</v>
      </c>
      <c r="E21" s="89">
        <f t="shared" si="6"/>
        <v>9347.3389999999999</v>
      </c>
      <c r="F21" s="89">
        <f t="shared" si="6"/>
        <v>10975.144999999999</v>
      </c>
      <c r="G21" s="30">
        <f>SUM(C21:F21)</f>
        <v>37152.362000000001</v>
      </c>
      <c r="H21" s="130">
        <f>IF(G21&gt;0,G21/$G$18,"-")</f>
        <v>2.0573836771631422</v>
      </c>
      <c r="I21" s="92"/>
      <c r="J21" s="92"/>
      <c r="K21" s="92"/>
      <c r="L21" s="92"/>
    </row>
    <row r="22" spans="1:12">
      <c r="A22" s="3"/>
      <c r="B22" s="116"/>
      <c r="C22" s="117"/>
      <c r="D22" s="117"/>
      <c r="E22" s="117"/>
      <c r="F22" s="117"/>
      <c r="G22" s="31"/>
      <c r="H22" s="117"/>
      <c r="I22" s="92"/>
      <c r="J22" s="92"/>
      <c r="K22" s="92"/>
      <c r="L22" s="92"/>
    </row>
    <row r="23" spans="1:12" ht="15.75">
      <c r="A23" s="9" t="s">
        <v>96</v>
      </c>
      <c r="B23" s="118" t="s">
        <v>73</v>
      </c>
      <c r="C23" s="131" t="s">
        <v>74</v>
      </c>
      <c r="D23" s="131" t="s">
        <v>75</v>
      </c>
      <c r="E23" s="131" t="s">
        <v>76</v>
      </c>
      <c r="F23" s="131" t="s">
        <v>77</v>
      </c>
      <c r="G23" s="32" t="s">
        <v>78</v>
      </c>
      <c r="H23" s="132" t="s">
        <v>97</v>
      </c>
      <c r="I23" s="92"/>
      <c r="J23" s="92"/>
      <c r="K23" s="92"/>
      <c r="L23" s="92"/>
    </row>
    <row r="24" spans="1:12" ht="15" customHeight="1">
      <c r="A24" s="133" t="s">
        <v>98</v>
      </c>
      <c r="B24" s="234" t="s">
        <v>99</v>
      </c>
      <c r="C24" s="122"/>
      <c r="D24" s="122"/>
      <c r="E24" s="122"/>
      <c r="F24" s="122"/>
      <c r="G24" s="28">
        <f t="shared" ref="G24:G27" si="7">SUM(C24:F24)</f>
        <v>0</v>
      </c>
      <c r="H24" s="134" t="str">
        <f>IF(G24&gt;0,G24*1000/$G$21,"-")</f>
        <v>-</v>
      </c>
      <c r="I24" s="92"/>
      <c r="J24" s="92"/>
      <c r="K24" s="92"/>
      <c r="L24" s="92"/>
    </row>
    <row r="25" spans="1:12">
      <c r="A25" s="135" t="s">
        <v>100</v>
      </c>
      <c r="B25" s="235"/>
      <c r="C25" s="136"/>
      <c r="D25" s="136"/>
      <c r="E25" s="136"/>
      <c r="F25" s="136"/>
      <c r="G25" s="29">
        <f>SUM(C25:F25)</f>
        <v>0</v>
      </c>
      <c r="H25" s="137" t="str">
        <f>IF(G25&gt;0,G25*1000/$G$21,"-")</f>
        <v>-</v>
      </c>
      <c r="I25" s="92"/>
      <c r="J25" s="92"/>
      <c r="K25" s="92"/>
      <c r="L25" s="92"/>
    </row>
    <row r="26" spans="1:12">
      <c r="A26" s="135" t="s">
        <v>101</v>
      </c>
      <c r="B26" s="235"/>
      <c r="C26" s="136">
        <v>2187</v>
      </c>
      <c r="D26" s="136">
        <v>1429.9041999999999</v>
      </c>
      <c r="E26" s="136">
        <v>2065.8009999999999</v>
      </c>
      <c r="F26" s="136">
        <v>2418.994823</v>
      </c>
      <c r="G26" s="29">
        <f>SUM(C26:F26)</f>
        <v>8101.7000230000003</v>
      </c>
      <c r="H26" s="137">
        <f>IF(G26&gt;0,G26*1000/$G$21,"-")</f>
        <v>218.06688960987191</v>
      </c>
      <c r="I26" s="92"/>
      <c r="J26" s="92"/>
      <c r="K26" s="92"/>
      <c r="L26" s="92"/>
    </row>
    <row r="27" spans="1:12">
      <c r="A27" s="135" t="s">
        <v>102</v>
      </c>
      <c r="B27" s="235"/>
      <c r="C27" s="136">
        <v>2187</v>
      </c>
      <c r="D27" s="136">
        <v>1429.9041999999999</v>
      </c>
      <c r="E27" s="136">
        <v>2065.8009999999999</v>
      </c>
      <c r="F27" s="136">
        <v>2418.994823</v>
      </c>
      <c r="G27" s="29">
        <f t="shared" si="7"/>
        <v>8101.7000230000003</v>
      </c>
      <c r="H27" s="137">
        <f>IF(G27&gt;0,G27*1000/$G$21,"-")</f>
        <v>218.06688960987191</v>
      </c>
      <c r="I27" s="92"/>
      <c r="J27" s="92"/>
      <c r="K27" s="92"/>
      <c r="L27" s="92"/>
    </row>
    <row r="28" spans="1:12">
      <c r="A28" s="135" t="s">
        <v>103</v>
      </c>
      <c r="B28" s="138" t="s">
        <v>79</v>
      </c>
      <c r="C28" s="139" t="str">
        <f>IF(C24&gt;0,1-C25/(C24+C27),"-")</f>
        <v>-</v>
      </c>
      <c r="D28" s="139" t="str">
        <f>IF(D24&gt;0,1-D25/(D24+D27),"-")</f>
        <v>-</v>
      </c>
      <c r="E28" s="139" t="str">
        <f>IF(E24&gt;0,1-E25/(E24+E27),"-")</f>
        <v>-</v>
      </c>
      <c r="F28" s="139" t="str">
        <f>IF(F24&gt;0,1-F25/(F24+F27),"-")</f>
        <v>-</v>
      </c>
      <c r="G28" s="139" t="str">
        <f>IF(G24&gt;0,1-G25/(G24+G27),"-")</f>
        <v>-</v>
      </c>
      <c r="H28" s="137"/>
      <c r="I28" s="92"/>
      <c r="J28" s="92"/>
      <c r="K28" s="92"/>
      <c r="L28" s="92"/>
    </row>
    <row r="29" spans="1:12">
      <c r="A29" s="135" t="s">
        <v>104</v>
      </c>
      <c r="B29" s="238" t="s">
        <v>99</v>
      </c>
      <c r="C29" s="136"/>
      <c r="D29" s="136"/>
      <c r="E29" s="136"/>
      <c r="F29" s="136"/>
      <c r="G29" s="29">
        <f t="shared" ref="G29:G30" si="8">SUM(C29:F29)</f>
        <v>0</v>
      </c>
      <c r="H29" s="137" t="str">
        <f>IF(G29&gt;0,G29*1000/$G$21,"-")</f>
        <v>-</v>
      </c>
      <c r="I29" s="92"/>
      <c r="J29" s="92"/>
      <c r="K29" s="92"/>
      <c r="L29" s="92"/>
    </row>
    <row r="30" spans="1:12">
      <c r="A30" s="135" t="s">
        <v>105</v>
      </c>
      <c r="B30" s="238"/>
      <c r="C30" s="136"/>
      <c r="D30" s="136"/>
      <c r="E30" s="136"/>
      <c r="F30" s="136"/>
      <c r="G30" s="29">
        <f t="shared" si="8"/>
        <v>0</v>
      </c>
      <c r="H30" s="137" t="str">
        <f>IF(G30&gt;0,G30*1000/$G$21,"-")</f>
        <v>-</v>
      </c>
      <c r="I30" s="92"/>
      <c r="J30" s="92"/>
      <c r="K30" s="17"/>
      <c r="L30" s="17"/>
    </row>
    <row r="31" spans="1:12">
      <c r="A31" s="99" t="s">
        <v>106</v>
      </c>
      <c r="B31" s="140"/>
      <c r="C31" s="141"/>
      <c r="D31" s="141"/>
      <c r="E31" s="141"/>
      <c r="F31" s="141"/>
      <c r="G31" s="142"/>
      <c r="H31" s="141"/>
      <c r="I31" s="92"/>
      <c r="J31" s="92"/>
      <c r="K31" s="92"/>
      <c r="L31" s="17"/>
    </row>
    <row r="32" spans="1:12">
      <c r="A32" s="3"/>
      <c r="B32" s="116"/>
      <c r="C32" s="117"/>
      <c r="D32" s="117"/>
      <c r="E32" s="117"/>
      <c r="F32" s="117"/>
      <c r="G32" s="31"/>
      <c r="H32" s="117"/>
      <c r="I32" s="92"/>
      <c r="J32" s="92"/>
      <c r="K32" s="92"/>
      <c r="L32" s="17"/>
    </row>
    <row r="33" spans="1:12" ht="15.75">
      <c r="A33" s="9" t="s">
        <v>107</v>
      </c>
      <c r="B33" s="143" t="s">
        <v>73</v>
      </c>
      <c r="C33" s="131" t="s">
        <v>74</v>
      </c>
      <c r="D33" s="131" t="s">
        <v>75</v>
      </c>
      <c r="E33" s="131" t="s">
        <v>76</v>
      </c>
      <c r="F33" s="131" t="s">
        <v>77</v>
      </c>
      <c r="G33" s="32" t="s">
        <v>78</v>
      </c>
      <c r="H33" s="144" t="s">
        <v>108</v>
      </c>
      <c r="I33" s="92"/>
      <c r="J33" s="92"/>
      <c r="K33" s="92"/>
      <c r="L33" s="17"/>
    </row>
    <row r="34" spans="1:12" ht="15" customHeight="1">
      <c r="A34" s="133" t="s">
        <v>109</v>
      </c>
      <c r="B34" s="234" t="s">
        <v>81</v>
      </c>
      <c r="C34" s="177">
        <v>369.31999999999994</v>
      </c>
      <c r="D34" s="177">
        <v>240.14999999999998</v>
      </c>
      <c r="E34" s="177">
        <v>375.48999999999995</v>
      </c>
      <c r="F34" s="177">
        <v>278.38</v>
      </c>
      <c r="G34" s="28">
        <f t="shared" ref="G34:G35" si="9">SUM(C34:F34)</f>
        <v>1263.3399999999997</v>
      </c>
      <c r="H34" s="123">
        <f>IF(G34&gt;0,G34/$G$21,"-")</f>
        <v>3.4004298300065003E-2</v>
      </c>
      <c r="I34" s="92"/>
      <c r="J34" s="92"/>
      <c r="K34" s="17"/>
      <c r="L34" s="17"/>
    </row>
    <row r="35" spans="1:12" ht="15" customHeight="1">
      <c r="A35" s="135" t="s">
        <v>110</v>
      </c>
      <c r="B35" s="235"/>
      <c r="C35" s="136">
        <v>1322.43</v>
      </c>
      <c r="D35" s="136">
        <v>756.62</v>
      </c>
      <c r="E35" s="136">
        <v>1353.2</v>
      </c>
      <c r="F35" s="136">
        <v>1181.52</v>
      </c>
      <c r="G35" s="29">
        <f t="shared" si="9"/>
        <v>4613.7700000000004</v>
      </c>
      <c r="H35" s="126">
        <f t="shared" ref="H35:H39" si="10">IF(G35&gt;0,G35/$G$21,"-")</f>
        <v>0.12418510564684959</v>
      </c>
      <c r="I35" s="92"/>
      <c r="J35" s="92"/>
      <c r="K35" s="17"/>
      <c r="L35" s="17"/>
    </row>
    <row r="36" spans="1:12" ht="15" customHeight="1">
      <c r="A36" s="135" t="s">
        <v>111</v>
      </c>
      <c r="B36" s="235"/>
      <c r="C36" s="177"/>
      <c r="D36" s="177">
        <v>5.12</v>
      </c>
      <c r="E36" s="177">
        <v>11.27</v>
      </c>
      <c r="F36" s="136">
        <v>4.2</v>
      </c>
      <c r="G36" s="29">
        <f t="shared" ref="G36:G39" si="11">SUM(C36:F36)</f>
        <v>20.59</v>
      </c>
      <c r="H36" s="126">
        <f t="shared" si="10"/>
        <v>5.5420433295735004E-4</v>
      </c>
      <c r="I36" s="92"/>
      <c r="J36" s="92"/>
      <c r="K36" s="92"/>
      <c r="L36" s="92"/>
    </row>
    <row r="37" spans="1:12" ht="15.75">
      <c r="A37" s="145" t="s">
        <v>112</v>
      </c>
      <c r="B37" s="235"/>
      <c r="C37" s="136">
        <v>0</v>
      </c>
      <c r="D37" s="177">
        <v>68.009999999999991</v>
      </c>
      <c r="E37" s="177">
        <v>38.400000000000006</v>
      </c>
      <c r="F37" s="136">
        <v>0</v>
      </c>
      <c r="G37" s="29">
        <f t="shared" ref="G37" si="12">SUM(C37:F37)</f>
        <v>106.41</v>
      </c>
      <c r="H37" s="126">
        <f t="shared" si="10"/>
        <v>2.8641516789699667E-3</v>
      </c>
      <c r="I37" s="92"/>
      <c r="J37" s="92"/>
      <c r="K37" s="92"/>
      <c r="L37" s="92"/>
    </row>
    <row r="38" spans="1:12">
      <c r="A38" s="145" t="s">
        <v>113</v>
      </c>
      <c r="B38" s="235"/>
      <c r="C38" s="136">
        <v>0</v>
      </c>
      <c r="D38" s="136">
        <v>43.15</v>
      </c>
      <c r="E38" s="136">
        <v>0</v>
      </c>
      <c r="F38" s="136">
        <v>0</v>
      </c>
      <c r="G38" s="29">
        <f t="shared" si="11"/>
        <v>43.15</v>
      </c>
      <c r="H38" s="126">
        <f t="shared" si="10"/>
        <v>1.161433558383179E-3</v>
      </c>
      <c r="I38" s="92"/>
      <c r="J38" s="92"/>
      <c r="K38" s="92"/>
      <c r="L38" s="92"/>
    </row>
    <row r="39" spans="1:12">
      <c r="A39" s="146" t="s">
        <v>114</v>
      </c>
      <c r="B39" s="236"/>
      <c r="C39" s="147">
        <v>0</v>
      </c>
      <c r="D39" s="147">
        <v>0</v>
      </c>
      <c r="E39" s="147">
        <v>0</v>
      </c>
      <c r="F39" s="147">
        <v>0</v>
      </c>
      <c r="G39" s="30">
        <f t="shared" si="11"/>
        <v>0</v>
      </c>
      <c r="H39" s="130" t="str">
        <f t="shared" si="10"/>
        <v>-</v>
      </c>
      <c r="I39" s="92"/>
      <c r="J39" s="92"/>
      <c r="K39" s="92"/>
      <c r="L39" s="92"/>
    </row>
    <row r="40" spans="1:12">
      <c r="A40" s="116"/>
      <c r="B40" s="116"/>
      <c r="C40" s="117"/>
      <c r="D40" s="117"/>
      <c r="E40" s="117"/>
      <c r="F40" s="117"/>
      <c r="G40" s="31"/>
      <c r="H40" s="117"/>
      <c r="I40" s="92"/>
      <c r="J40" s="92"/>
      <c r="K40" s="92"/>
      <c r="L40" s="92"/>
    </row>
    <row r="41" spans="1:12" ht="15.75">
      <c r="A41" s="9" t="s">
        <v>115</v>
      </c>
      <c r="B41" s="148" t="s">
        <v>73</v>
      </c>
      <c r="C41" s="119" t="s">
        <v>74</v>
      </c>
      <c r="D41" s="119" t="s">
        <v>75</v>
      </c>
      <c r="E41" s="119" t="s">
        <v>76</v>
      </c>
      <c r="F41" s="119" t="s">
        <v>77</v>
      </c>
      <c r="G41" s="27" t="s">
        <v>78</v>
      </c>
      <c r="H41" s="120" t="s">
        <v>116</v>
      </c>
      <c r="I41" s="92"/>
      <c r="J41" s="92"/>
      <c r="K41" s="92"/>
      <c r="L41" s="92"/>
    </row>
    <row r="42" spans="1:12" ht="15.6" customHeight="1">
      <c r="A42" s="133" t="s">
        <v>117</v>
      </c>
      <c r="B42" s="138" t="s">
        <v>118</v>
      </c>
      <c r="C42" s="177">
        <v>81734</v>
      </c>
      <c r="D42" s="177">
        <v>49947</v>
      </c>
      <c r="E42" s="177">
        <v>86825</v>
      </c>
      <c r="F42" s="177">
        <v>81042</v>
      </c>
      <c r="G42" s="28">
        <f t="shared" ref="G42:G50" si="13">SUM(C42:F42)</f>
        <v>299548</v>
      </c>
      <c r="H42" s="149">
        <f>IF(G42&gt;0,G42/$G$21,"-")</f>
        <v>8.0626906036283774</v>
      </c>
      <c r="I42" s="92"/>
      <c r="J42" s="92"/>
      <c r="K42" s="92"/>
      <c r="L42" s="92"/>
    </row>
    <row r="43" spans="1:12">
      <c r="A43" s="135" t="s">
        <v>119</v>
      </c>
      <c r="B43" s="138" t="s">
        <v>118</v>
      </c>
      <c r="C43" s="136"/>
      <c r="D43" s="136"/>
      <c r="E43" s="136"/>
      <c r="F43" s="136"/>
      <c r="G43" s="29">
        <f t="shared" si="13"/>
        <v>0</v>
      </c>
      <c r="H43" s="149" t="str">
        <f t="shared" ref="H43:H48" si="14">IF(G43&gt;0,G43/$G$21,"-")</f>
        <v>-</v>
      </c>
      <c r="I43" s="92"/>
      <c r="J43" s="92"/>
      <c r="K43" s="92"/>
      <c r="L43" s="92"/>
    </row>
    <row r="44" spans="1:12" ht="15.6" customHeight="1">
      <c r="A44" s="135" t="s">
        <v>120</v>
      </c>
      <c r="B44" s="138" t="s">
        <v>121</v>
      </c>
      <c r="C44" s="136"/>
      <c r="D44" s="136"/>
      <c r="E44" s="136"/>
      <c r="F44" s="136"/>
      <c r="G44" s="29">
        <f t="shared" si="13"/>
        <v>0</v>
      </c>
      <c r="H44" s="149" t="str">
        <f t="shared" si="14"/>
        <v>-</v>
      </c>
      <c r="I44" s="92"/>
      <c r="J44" s="92"/>
      <c r="K44" s="92"/>
      <c r="L44" s="92"/>
    </row>
    <row r="45" spans="1:12" ht="15.6" customHeight="1">
      <c r="A45" s="135" t="s">
        <v>122</v>
      </c>
      <c r="B45" s="138" t="s">
        <v>121</v>
      </c>
      <c r="C45" s="136"/>
      <c r="D45" s="136"/>
      <c r="E45" s="136"/>
      <c r="F45" s="136"/>
      <c r="G45" s="29">
        <f t="shared" ref="G45" si="15">SUM(C45:F45)</f>
        <v>0</v>
      </c>
      <c r="H45" s="149" t="str">
        <f t="shared" si="14"/>
        <v>-</v>
      </c>
      <c r="I45" s="92"/>
      <c r="J45" s="92"/>
      <c r="K45" s="92"/>
      <c r="L45" s="92"/>
    </row>
    <row r="46" spans="1:12">
      <c r="A46" s="135" t="s">
        <v>123</v>
      </c>
      <c r="B46" s="138" t="s">
        <v>121</v>
      </c>
      <c r="C46" s="136"/>
      <c r="D46" s="136"/>
      <c r="E46" s="136"/>
      <c r="F46" s="136"/>
      <c r="G46" s="29">
        <f t="shared" si="13"/>
        <v>0</v>
      </c>
      <c r="H46" s="149" t="str">
        <f t="shared" si="14"/>
        <v>-</v>
      </c>
      <c r="I46" s="92"/>
      <c r="J46" s="92"/>
      <c r="K46" s="92"/>
      <c r="L46" s="92"/>
    </row>
    <row r="47" spans="1:12">
      <c r="A47" s="135" t="s">
        <v>124</v>
      </c>
      <c r="B47" s="138" t="s">
        <v>121</v>
      </c>
      <c r="C47" s="136"/>
      <c r="D47" s="136"/>
      <c r="E47" s="136"/>
      <c r="F47" s="136"/>
      <c r="G47" s="29">
        <f t="shared" si="13"/>
        <v>0</v>
      </c>
      <c r="H47" s="149" t="str">
        <f t="shared" si="14"/>
        <v>-</v>
      </c>
      <c r="I47" s="92"/>
      <c r="J47" s="92"/>
      <c r="K47" s="92"/>
      <c r="L47" s="92"/>
    </row>
    <row r="48" spans="1:12" ht="15.75">
      <c r="A48" s="135" t="s">
        <v>125</v>
      </c>
      <c r="B48" s="138" t="s">
        <v>126</v>
      </c>
      <c r="C48" s="178">
        <v>45.825000000000003</v>
      </c>
      <c r="D48" s="178">
        <v>133.185</v>
      </c>
      <c r="E48" s="178">
        <v>117.785</v>
      </c>
      <c r="F48" s="178">
        <v>52.765000000000001</v>
      </c>
      <c r="G48" s="29">
        <f t="shared" si="13"/>
        <v>349.55999999999995</v>
      </c>
      <c r="H48" s="149">
        <f t="shared" si="14"/>
        <v>9.4088230514119114E-3</v>
      </c>
      <c r="I48" s="92"/>
      <c r="J48" s="92"/>
      <c r="K48" s="92"/>
      <c r="L48" s="92"/>
    </row>
    <row r="49" spans="1:10">
      <c r="A49" s="135" t="s">
        <v>127</v>
      </c>
      <c r="B49" s="138" t="s">
        <v>128</v>
      </c>
      <c r="C49" s="136">
        <v>0</v>
      </c>
      <c r="D49" s="136">
        <v>0</v>
      </c>
      <c r="E49" s="136">
        <v>0</v>
      </c>
      <c r="F49" s="136">
        <v>0</v>
      </c>
      <c r="G49" s="29">
        <f t="shared" si="13"/>
        <v>0</v>
      </c>
      <c r="H49" s="150"/>
      <c r="I49" s="92"/>
      <c r="J49" s="92"/>
    </row>
    <row r="50" spans="1:10">
      <c r="A50" s="99" t="s">
        <v>129</v>
      </c>
      <c r="B50" s="151"/>
      <c r="C50" s="147">
        <v>441</v>
      </c>
      <c r="D50" s="147">
        <v>354</v>
      </c>
      <c r="E50" s="147">
        <v>709</v>
      </c>
      <c r="F50" s="147">
        <v>492</v>
      </c>
      <c r="G50" s="30">
        <f t="shared" si="13"/>
        <v>1996</v>
      </c>
      <c r="H50" s="152"/>
      <c r="I50" s="92"/>
      <c r="J50" s="92"/>
    </row>
    <row r="51" spans="1:10">
      <c r="A51" s="116"/>
      <c r="B51" s="116"/>
      <c r="C51" s="117"/>
      <c r="D51" s="117"/>
      <c r="E51" s="117"/>
      <c r="F51" s="117"/>
      <c r="G51" s="31"/>
      <c r="H51" s="117"/>
      <c r="I51" s="92"/>
      <c r="J51" s="92"/>
    </row>
    <row r="52" spans="1:10" ht="15.75">
      <c r="A52" s="9" t="s">
        <v>130</v>
      </c>
      <c r="B52" s="153" t="s">
        <v>131</v>
      </c>
      <c r="C52" s="131" t="s">
        <v>74</v>
      </c>
      <c r="D52" s="131" t="s">
        <v>75</v>
      </c>
      <c r="E52" s="131" t="s">
        <v>76</v>
      </c>
      <c r="F52" s="131" t="s">
        <v>77</v>
      </c>
      <c r="G52" s="32" t="s">
        <v>78</v>
      </c>
      <c r="H52" s="132"/>
      <c r="I52" s="92"/>
      <c r="J52" s="86" t="s">
        <v>132</v>
      </c>
    </row>
    <row r="53" spans="1:10" ht="14.25" customHeight="1">
      <c r="A53" s="230" t="s">
        <v>133</v>
      </c>
      <c r="B53" s="131">
        <f>+B5</f>
        <v>1</v>
      </c>
      <c r="C53" s="122">
        <v>2114.5</v>
      </c>
      <c r="D53" s="122">
        <v>1116</v>
      </c>
      <c r="E53" s="122">
        <v>2013</v>
      </c>
      <c r="F53" s="122">
        <v>2095.5</v>
      </c>
      <c r="G53" s="28">
        <f t="shared" ref="G53:G65" si="16">SUM(C53:F53)</f>
        <v>7339</v>
      </c>
      <c r="H53" s="123">
        <v>0.83799999999999997</v>
      </c>
      <c r="I53" s="92"/>
      <c r="J53" s="87">
        <v>8760</v>
      </c>
    </row>
    <row r="54" spans="1:10" ht="14.25" customHeight="1">
      <c r="A54" s="231"/>
      <c r="B54" s="117">
        <v>2</v>
      </c>
      <c r="C54" s="125"/>
      <c r="D54" s="125"/>
      <c r="E54" s="125"/>
      <c r="F54" s="125"/>
      <c r="G54" s="29">
        <f t="shared" si="16"/>
        <v>0</v>
      </c>
      <c r="H54" s="126" t="s">
        <v>134</v>
      </c>
      <c r="I54" s="92"/>
      <c r="J54" s="92"/>
    </row>
    <row r="55" spans="1:10" ht="14.25" customHeight="1">
      <c r="A55" s="231"/>
      <c r="B55" s="117">
        <v>3</v>
      </c>
      <c r="C55" s="125"/>
      <c r="D55" s="125"/>
      <c r="E55" s="125"/>
      <c r="F55" s="125"/>
      <c r="G55" s="29">
        <f t="shared" si="16"/>
        <v>0</v>
      </c>
      <c r="H55" s="126" t="s">
        <v>134</v>
      </c>
      <c r="I55" s="92"/>
      <c r="J55" s="92"/>
    </row>
    <row r="56" spans="1:10" ht="14.25" customHeight="1">
      <c r="A56" s="231"/>
      <c r="B56" s="117">
        <v>4</v>
      </c>
      <c r="C56" s="125"/>
      <c r="D56" s="125"/>
      <c r="E56" s="125"/>
      <c r="F56" s="125"/>
      <c r="G56" s="29">
        <f t="shared" si="16"/>
        <v>0</v>
      </c>
      <c r="H56" s="126" t="s">
        <v>134</v>
      </c>
      <c r="I56" s="92"/>
      <c r="J56" s="92"/>
    </row>
    <row r="57" spans="1:10" ht="14.25" customHeight="1">
      <c r="A57" s="231"/>
      <c r="B57" s="117">
        <v>5</v>
      </c>
      <c r="C57" s="125"/>
      <c r="D57" s="125"/>
      <c r="E57" s="125"/>
      <c r="F57" s="125"/>
      <c r="G57" s="29">
        <f t="shared" ref="G57" si="17">SUM(C57:F57)</f>
        <v>0</v>
      </c>
      <c r="H57" s="126" t="s">
        <v>134</v>
      </c>
      <c r="I57" s="92"/>
      <c r="J57" s="92"/>
    </row>
    <row r="58" spans="1:10" ht="14.25" customHeight="1">
      <c r="A58" s="135" t="s">
        <v>135</v>
      </c>
      <c r="B58" s="117"/>
      <c r="C58" s="125">
        <v>2114.5</v>
      </c>
      <c r="D58" s="125">
        <v>1116</v>
      </c>
      <c r="E58" s="125">
        <v>2013</v>
      </c>
      <c r="F58" s="125">
        <v>2095.5</v>
      </c>
      <c r="G58" s="29">
        <f>AVERAGE(G53)</f>
        <v>7339</v>
      </c>
      <c r="H58" s="181">
        <v>83.8</v>
      </c>
      <c r="I58" s="92"/>
      <c r="J58" s="92"/>
    </row>
    <row r="59" spans="1:10" ht="14.25" customHeight="1">
      <c r="A59" s="135" t="s">
        <v>136</v>
      </c>
      <c r="B59" s="117">
        <v>1</v>
      </c>
      <c r="C59" s="125">
        <v>2114.5</v>
      </c>
      <c r="D59" s="125">
        <v>1116</v>
      </c>
      <c r="E59" s="125">
        <v>2013</v>
      </c>
      <c r="F59" s="125">
        <v>2095.5</v>
      </c>
      <c r="G59" s="29">
        <f t="shared" si="16"/>
        <v>7339</v>
      </c>
      <c r="H59" s="126" t="s">
        <v>134</v>
      </c>
      <c r="I59" s="92"/>
      <c r="J59" s="92"/>
    </row>
    <row r="60" spans="1:10">
      <c r="A60" s="135" t="s">
        <v>136</v>
      </c>
      <c r="B60" s="117">
        <v>2</v>
      </c>
      <c r="C60" s="136"/>
      <c r="D60" s="136"/>
      <c r="E60" s="136"/>
      <c r="F60" s="136"/>
      <c r="G60" s="29">
        <f t="shared" si="16"/>
        <v>0</v>
      </c>
      <c r="H60" s="126" t="s">
        <v>134</v>
      </c>
      <c r="I60" s="92"/>
      <c r="J60" s="92"/>
    </row>
    <row r="61" spans="1:10">
      <c r="A61" s="135" t="s">
        <v>137</v>
      </c>
      <c r="B61" s="117"/>
      <c r="C61" s="136"/>
      <c r="D61" s="136"/>
      <c r="E61" s="136"/>
      <c r="F61" s="136"/>
      <c r="G61" s="29">
        <f t="shared" si="16"/>
        <v>0</v>
      </c>
      <c r="H61" s="126" t="str">
        <f>IF(B61&gt;0,G60/J53,"n/a")</f>
        <v>n/a</v>
      </c>
      <c r="I61" s="92"/>
      <c r="J61" s="92"/>
    </row>
    <row r="62" spans="1:10">
      <c r="A62" s="135" t="s">
        <v>138</v>
      </c>
      <c r="B62" s="117" t="s">
        <v>139</v>
      </c>
      <c r="C62" s="136"/>
      <c r="D62" s="136"/>
      <c r="E62" s="136"/>
      <c r="F62" s="136"/>
      <c r="G62" s="29"/>
      <c r="H62" s="154" t="s">
        <v>140</v>
      </c>
      <c r="I62" s="92"/>
      <c r="J62" s="92"/>
    </row>
    <row r="63" spans="1:10">
      <c r="A63" s="135" t="s">
        <v>141</v>
      </c>
      <c r="B63" s="117" t="s">
        <v>142</v>
      </c>
      <c r="C63" s="136">
        <v>0</v>
      </c>
      <c r="D63" s="136">
        <v>0</v>
      </c>
      <c r="E63" s="136">
        <v>0</v>
      </c>
      <c r="F63" s="136">
        <v>0</v>
      </c>
      <c r="G63" s="29">
        <f t="shared" si="16"/>
        <v>0</v>
      </c>
      <c r="H63" s="137" t="str">
        <f>IF(G63&gt;0,"yes","no")</f>
        <v>no</v>
      </c>
      <c r="I63" s="92"/>
      <c r="J63" s="92"/>
    </row>
    <row r="64" spans="1:10">
      <c r="A64" s="135" t="s">
        <v>143</v>
      </c>
      <c r="B64" s="117" t="s">
        <v>144</v>
      </c>
      <c r="C64" s="136">
        <v>0</v>
      </c>
      <c r="D64" s="136">
        <v>0</v>
      </c>
      <c r="E64" s="136">
        <v>0</v>
      </c>
      <c r="F64" s="136">
        <v>0</v>
      </c>
      <c r="G64" s="29">
        <f t="shared" si="16"/>
        <v>0</v>
      </c>
      <c r="H64" s="155">
        <f>+(G64)/J53</f>
        <v>0</v>
      </c>
      <c r="I64" s="92"/>
      <c r="J64" s="92"/>
    </row>
    <row r="65" spans="1:8">
      <c r="A65" s="99" t="s">
        <v>145</v>
      </c>
      <c r="B65" s="156" t="s">
        <v>142</v>
      </c>
      <c r="C65" s="147"/>
      <c r="D65" s="147"/>
      <c r="E65" s="147"/>
      <c r="F65" s="147"/>
      <c r="G65" s="30">
        <f t="shared" si="16"/>
        <v>0</v>
      </c>
      <c r="H65" s="157" t="str">
        <f>IF(G65&gt;0,"yes","no")</f>
        <v>no</v>
      </c>
    </row>
    <row r="78" spans="1:8">
      <c r="A78" s="92"/>
      <c r="B78" s="116"/>
      <c r="C78" s="116"/>
      <c r="D78" s="116"/>
      <c r="E78" s="116"/>
      <c r="F78" s="3"/>
      <c r="H78" s="117"/>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18" workbookViewId="0">
      <selection activeCell="A31" sqref="A31:I5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Tradebe Fawley Limited</v>
      </c>
      <c r="F1" s="92"/>
      <c r="G1" s="92"/>
      <c r="H1" s="92"/>
      <c r="I1" s="92"/>
      <c r="J1" s="92"/>
      <c r="K1" s="92"/>
      <c r="L1" s="92"/>
      <c r="M1" s="92"/>
      <c r="N1" s="92"/>
    </row>
    <row r="3" spans="1:14" ht="15.75">
      <c r="A3" s="51" t="s">
        <v>146</v>
      </c>
      <c r="B3" s="111"/>
      <c r="C3" s="111"/>
      <c r="D3" s="111"/>
      <c r="E3" s="111"/>
      <c r="F3" s="111"/>
      <c r="G3" s="111"/>
      <c r="H3" s="111"/>
      <c r="I3" s="112"/>
      <c r="J3" s="92"/>
      <c r="K3" s="81" t="s">
        <v>2</v>
      </c>
      <c r="L3" s="92"/>
      <c r="M3" s="92"/>
      <c r="N3" s="92"/>
    </row>
    <row r="4" spans="1:14">
      <c r="A4" s="113"/>
      <c r="B4" s="114"/>
      <c r="C4" s="114"/>
      <c r="D4" s="114"/>
      <c r="E4" s="114"/>
      <c r="F4" s="114"/>
      <c r="G4" s="114"/>
      <c r="H4" s="114"/>
      <c r="I4" s="115"/>
      <c r="J4" s="92"/>
      <c r="K4" s="92"/>
      <c r="L4" s="92"/>
      <c r="M4" s="92"/>
      <c r="N4" s="92"/>
    </row>
    <row r="5" spans="1:14" ht="15.75" customHeight="1">
      <c r="A5" s="212" t="s">
        <v>147</v>
      </c>
      <c r="B5" s="213"/>
      <c r="C5" s="213"/>
      <c r="D5" s="213"/>
      <c r="E5" s="213"/>
      <c r="F5" s="213"/>
      <c r="G5" s="213"/>
      <c r="H5" s="213"/>
      <c r="I5" s="214"/>
      <c r="J5" s="92"/>
      <c r="K5" s="229" t="s">
        <v>148</v>
      </c>
      <c r="L5" s="229"/>
      <c r="M5" s="229"/>
      <c r="N5" s="229"/>
    </row>
    <row r="6" spans="1:14">
      <c r="A6" s="215"/>
      <c r="B6" s="216"/>
      <c r="C6" s="216"/>
      <c r="D6" s="216"/>
      <c r="E6" s="216"/>
      <c r="F6" s="216"/>
      <c r="G6" s="216"/>
      <c r="H6" s="216"/>
      <c r="I6" s="217"/>
      <c r="J6" s="92"/>
      <c r="K6" s="229"/>
      <c r="L6" s="229"/>
      <c r="M6" s="229"/>
      <c r="N6" s="229"/>
    </row>
    <row r="7" spans="1:14">
      <c r="A7" s="215"/>
      <c r="B7" s="216"/>
      <c r="C7" s="216"/>
      <c r="D7" s="216"/>
      <c r="E7" s="216"/>
      <c r="F7" s="216"/>
      <c r="G7" s="216"/>
      <c r="H7" s="216"/>
      <c r="I7" s="217"/>
      <c r="J7" s="92"/>
      <c r="K7" s="229"/>
      <c r="L7" s="229"/>
      <c r="M7" s="229"/>
      <c r="N7" s="229"/>
    </row>
    <row r="8" spans="1:14" ht="15.75" customHeight="1">
      <c r="A8" s="215"/>
      <c r="B8" s="216"/>
      <c r="C8" s="216"/>
      <c r="D8" s="216"/>
      <c r="E8" s="216"/>
      <c r="F8" s="216"/>
      <c r="G8" s="216"/>
      <c r="H8" s="216"/>
      <c r="I8" s="217"/>
      <c r="J8" s="92"/>
      <c r="K8" s="229"/>
      <c r="L8" s="229"/>
      <c r="M8" s="229"/>
      <c r="N8" s="229"/>
    </row>
    <row r="9" spans="1:14" ht="15.75" customHeight="1">
      <c r="A9" s="215"/>
      <c r="B9" s="216"/>
      <c r="C9" s="216"/>
      <c r="D9" s="216"/>
      <c r="E9" s="216"/>
      <c r="F9" s="216"/>
      <c r="G9" s="216"/>
      <c r="H9" s="216"/>
      <c r="I9" s="217"/>
      <c r="J9" s="92"/>
      <c r="K9" s="229"/>
      <c r="L9" s="229"/>
      <c r="M9" s="229"/>
      <c r="N9" s="229"/>
    </row>
    <row r="10" spans="1:14" ht="15.75" customHeight="1">
      <c r="A10" s="215"/>
      <c r="B10" s="216"/>
      <c r="C10" s="216"/>
      <c r="D10" s="216"/>
      <c r="E10" s="216"/>
      <c r="F10" s="216"/>
      <c r="G10" s="216"/>
      <c r="H10" s="216"/>
      <c r="I10" s="217"/>
      <c r="J10" s="92"/>
      <c r="K10" s="229"/>
      <c r="L10" s="229"/>
      <c r="M10" s="229"/>
      <c r="N10" s="229"/>
    </row>
    <row r="11" spans="1:14" ht="15.75" customHeight="1">
      <c r="A11" s="215"/>
      <c r="B11" s="216"/>
      <c r="C11" s="216"/>
      <c r="D11" s="216"/>
      <c r="E11" s="216"/>
      <c r="F11" s="216"/>
      <c r="G11" s="216"/>
      <c r="H11" s="216"/>
      <c r="I11" s="217"/>
      <c r="J11" s="92"/>
      <c r="K11" s="229"/>
      <c r="L11" s="229"/>
      <c r="M11" s="229"/>
      <c r="N11" s="229"/>
    </row>
    <row r="12" spans="1:14" ht="15.75" customHeight="1">
      <c r="A12" s="215"/>
      <c r="B12" s="216"/>
      <c r="C12" s="216"/>
      <c r="D12" s="216"/>
      <c r="E12" s="216"/>
      <c r="F12" s="216"/>
      <c r="G12" s="216"/>
      <c r="H12" s="216"/>
      <c r="I12" s="217"/>
      <c r="J12" s="92"/>
      <c r="K12" s="229"/>
      <c r="L12" s="229"/>
      <c r="M12" s="229"/>
      <c r="N12" s="229"/>
    </row>
    <row r="13" spans="1:14" ht="15.75" customHeight="1">
      <c r="A13" s="215"/>
      <c r="B13" s="216"/>
      <c r="C13" s="216"/>
      <c r="D13" s="216"/>
      <c r="E13" s="216"/>
      <c r="F13" s="216"/>
      <c r="G13" s="216"/>
      <c r="H13" s="216"/>
      <c r="I13" s="217"/>
      <c r="J13" s="92"/>
      <c r="K13" s="229"/>
      <c r="L13" s="229"/>
      <c r="M13" s="229"/>
      <c r="N13" s="229"/>
    </row>
    <row r="14" spans="1:14" ht="15.75" customHeight="1">
      <c r="A14" s="215"/>
      <c r="B14" s="216"/>
      <c r="C14" s="216"/>
      <c r="D14" s="216"/>
      <c r="E14" s="216"/>
      <c r="F14" s="216"/>
      <c r="G14" s="216"/>
      <c r="H14" s="216"/>
      <c r="I14" s="217"/>
      <c r="J14" s="92"/>
      <c r="K14" s="229"/>
      <c r="L14" s="229"/>
      <c r="M14" s="229"/>
      <c r="N14" s="229"/>
    </row>
    <row r="15" spans="1:14" ht="15.75" customHeight="1">
      <c r="A15" s="215"/>
      <c r="B15" s="216"/>
      <c r="C15" s="216"/>
      <c r="D15" s="216"/>
      <c r="E15" s="216"/>
      <c r="F15" s="216"/>
      <c r="G15" s="216"/>
      <c r="H15" s="216"/>
      <c r="I15" s="217"/>
      <c r="J15" s="92"/>
      <c r="K15" s="92"/>
      <c r="L15" s="92"/>
      <c r="M15" s="92"/>
      <c r="N15" s="92"/>
    </row>
    <row r="16" spans="1:14" ht="15.75" customHeight="1">
      <c r="A16" s="215"/>
      <c r="B16" s="216"/>
      <c r="C16" s="216"/>
      <c r="D16" s="216"/>
      <c r="E16" s="216"/>
      <c r="F16" s="216"/>
      <c r="G16" s="216"/>
      <c r="H16" s="216"/>
      <c r="I16" s="217"/>
      <c r="J16" s="92"/>
      <c r="K16" s="92"/>
      <c r="L16" s="92"/>
      <c r="M16" s="92"/>
      <c r="N16" s="92"/>
    </row>
    <row r="17" spans="1:14" ht="15.75" customHeight="1">
      <c r="A17" s="215"/>
      <c r="B17" s="216"/>
      <c r="C17" s="216"/>
      <c r="D17" s="216"/>
      <c r="E17" s="216"/>
      <c r="F17" s="216"/>
      <c r="G17" s="216"/>
      <c r="H17" s="216"/>
      <c r="I17" s="217"/>
      <c r="J17" s="92"/>
      <c r="K17" s="92"/>
      <c r="L17" s="92"/>
      <c r="M17" s="92"/>
      <c r="N17" s="92"/>
    </row>
    <row r="18" spans="1:14">
      <c r="A18" s="215"/>
      <c r="B18" s="216"/>
      <c r="C18" s="216"/>
      <c r="D18" s="216"/>
      <c r="E18" s="216"/>
      <c r="F18" s="216"/>
      <c r="G18" s="216"/>
      <c r="H18" s="216"/>
      <c r="I18" s="217"/>
      <c r="J18" s="92"/>
      <c r="K18" s="92"/>
      <c r="L18" s="92"/>
      <c r="M18" s="92"/>
      <c r="N18" s="92"/>
    </row>
    <row r="19" spans="1:14">
      <c r="A19" s="215"/>
      <c r="B19" s="216"/>
      <c r="C19" s="216"/>
      <c r="D19" s="216"/>
      <c r="E19" s="216"/>
      <c r="F19" s="216"/>
      <c r="G19" s="216"/>
      <c r="H19" s="216"/>
      <c r="I19" s="217"/>
      <c r="J19" s="92"/>
      <c r="K19" s="92"/>
      <c r="L19" s="92"/>
      <c r="M19" s="92"/>
      <c r="N19" s="92"/>
    </row>
    <row r="20" spans="1:14">
      <c r="A20" s="215"/>
      <c r="B20" s="216"/>
      <c r="C20" s="216"/>
      <c r="D20" s="216"/>
      <c r="E20" s="216"/>
      <c r="F20" s="216"/>
      <c r="G20" s="216"/>
      <c r="H20" s="216"/>
      <c r="I20" s="217"/>
      <c r="J20" s="92"/>
      <c r="K20" s="92"/>
      <c r="L20" s="92"/>
      <c r="M20" s="92"/>
      <c r="N20" s="92"/>
    </row>
    <row r="21" spans="1:14">
      <c r="A21" s="215"/>
      <c r="B21" s="216"/>
      <c r="C21" s="216"/>
      <c r="D21" s="216"/>
      <c r="E21" s="216"/>
      <c r="F21" s="216"/>
      <c r="G21" s="216"/>
      <c r="H21" s="216"/>
      <c r="I21" s="217"/>
      <c r="J21" s="92"/>
      <c r="K21" s="92"/>
      <c r="L21" s="92"/>
      <c r="M21" s="92"/>
      <c r="N21" s="92"/>
    </row>
    <row r="22" spans="1:14" ht="15.4" customHeight="1">
      <c r="A22" s="215"/>
      <c r="B22" s="216"/>
      <c r="C22" s="216"/>
      <c r="D22" s="216"/>
      <c r="E22" s="216"/>
      <c r="F22" s="216"/>
      <c r="G22" s="216"/>
      <c r="H22" s="216"/>
      <c r="I22" s="217"/>
      <c r="J22" s="92"/>
      <c r="K22" s="94"/>
      <c r="L22" s="94"/>
      <c r="M22" s="94"/>
      <c r="N22" s="94"/>
    </row>
    <row r="23" spans="1:14">
      <c r="A23" s="215"/>
      <c r="B23" s="216"/>
      <c r="C23" s="216"/>
      <c r="D23" s="216"/>
      <c r="E23" s="216"/>
      <c r="F23" s="216"/>
      <c r="G23" s="216"/>
      <c r="H23" s="216"/>
      <c r="I23" s="217"/>
      <c r="J23" s="92"/>
      <c r="K23" s="94"/>
      <c r="L23" s="94"/>
      <c r="M23" s="94"/>
      <c r="N23" s="94"/>
    </row>
    <row r="24" spans="1:14">
      <c r="A24" s="215"/>
      <c r="B24" s="216"/>
      <c r="C24" s="216"/>
      <c r="D24" s="216"/>
      <c r="E24" s="216"/>
      <c r="F24" s="216"/>
      <c r="G24" s="216"/>
      <c r="H24" s="216"/>
      <c r="I24" s="217"/>
      <c r="J24" s="92"/>
      <c r="K24" s="94"/>
      <c r="L24" s="94"/>
      <c r="M24" s="94"/>
      <c r="N24" s="94"/>
    </row>
    <row r="25" spans="1:14">
      <c r="A25" s="215"/>
      <c r="B25" s="216"/>
      <c r="C25" s="216"/>
      <c r="D25" s="216"/>
      <c r="E25" s="216"/>
      <c r="F25" s="216"/>
      <c r="G25" s="216"/>
      <c r="H25" s="216"/>
      <c r="I25" s="217"/>
      <c r="J25" s="92"/>
      <c r="K25" s="94"/>
      <c r="L25" s="94"/>
      <c r="M25" s="94"/>
      <c r="N25" s="94"/>
    </row>
    <row r="26" spans="1:14">
      <c r="A26" s="215"/>
      <c r="B26" s="216"/>
      <c r="C26" s="216"/>
      <c r="D26" s="216"/>
      <c r="E26" s="216"/>
      <c r="F26" s="216"/>
      <c r="G26" s="216"/>
      <c r="H26" s="216"/>
      <c r="I26" s="217"/>
      <c r="J26" s="92"/>
      <c r="K26" s="94"/>
      <c r="L26" s="94"/>
      <c r="M26" s="94"/>
      <c r="N26" s="94"/>
    </row>
    <row r="27" spans="1:14">
      <c r="A27" s="218"/>
      <c r="B27" s="219"/>
      <c r="C27" s="219"/>
      <c r="D27" s="219"/>
      <c r="E27" s="219"/>
      <c r="F27" s="219"/>
      <c r="G27" s="219"/>
      <c r="H27" s="219"/>
      <c r="I27" s="220"/>
      <c r="J27" s="92"/>
      <c r="K27" s="94"/>
      <c r="L27" s="94"/>
      <c r="M27" s="94"/>
      <c r="N27" s="94"/>
    </row>
    <row r="28" spans="1:14">
      <c r="A28" s="92"/>
      <c r="B28" s="92"/>
      <c r="C28" s="92"/>
      <c r="D28" s="92"/>
      <c r="E28" s="92"/>
      <c r="F28" s="92"/>
      <c r="G28" s="92"/>
      <c r="H28" s="92"/>
      <c r="I28" s="92"/>
      <c r="J28" s="92"/>
      <c r="K28" s="94"/>
      <c r="L28" s="94"/>
      <c r="M28" s="94"/>
      <c r="N28" s="94"/>
    </row>
    <row r="29" spans="1:14" ht="15.75">
      <c r="A29" s="51" t="s">
        <v>149</v>
      </c>
      <c r="B29" s="111"/>
      <c r="C29" s="111"/>
      <c r="D29" s="111"/>
      <c r="E29" s="111"/>
      <c r="F29" s="111"/>
      <c r="G29" s="111"/>
      <c r="H29" s="111"/>
      <c r="I29" s="112"/>
      <c r="J29" s="92"/>
      <c r="K29" s="94"/>
      <c r="L29" s="94"/>
      <c r="M29" s="94"/>
      <c r="N29" s="94"/>
    </row>
    <row r="30" spans="1:14">
      <c r="A30" s="113"/>
      <c r="B30" s="114"/>
      <c r="C30" s="114"/>
      <c r="D30" s="114"/>
      <c r="E30" s="114"/>
      <c r="F30" s="114"/>
      <c r="G30" s="114"/>
      <c r="H30" s="114"/>
      <c r="I30" s="115"/>
      <c r="J30" s="92"/>
      <c r="K30" s="94"/>
      <c r="L30" s="94"/>
      <c r="M30" s="94"/>
      <c r="N30" s="94"/>
    </row>
    <row r="31" spans="1:14">
      <c r="A31" s="212" t="s">
        <v>150</v>
      </c>
      <c r="B31" s="221"/>
      <c r="C31" s="221"/>
      <c r="D31" s="221"/>
      <c r="E31" s="221"/>
      <c r="F31" s="221"/>
      <c r="G31" s="221"/>
      <c r="H31" s="221"/>
      <c r="I31" s="222"/>
      <c r="J31" s="92"/>
      <c r="K31" s="229" t="s">
        <v>151</v>
      </c>
      <c r="L31" s="229"/>
      <c r="M31" s="229"/>
      <c r="N31" s="229"/>
    </row>
    <row r="32" spans="1:14">
      <c r="A32" s="223"/>
      <c r="B32" s="224"/>
      <c r="C32" s="224"/>
      <c r="D32" s="224"/>
      <c r="E32" s="224"/>
      <c r="F32" s="224"/>
      <c r="G32" s="224"/>
      <c r="H32" s="224"/>
      <c r="I32" s="225"/>
      <c r="J32" s="92"/>
      <c r="K32" s="229"/>
      <c r="L32" s="229"/>
      <c r="M32" s="229"/>
      <c r="N32" s="229"/>
    </row>
    <row r="33" spans="1:14">
      <c r="A33" s="223"/>
      <c r="B33" s="224"/>
      <c r="C33" s="224"/>
      <c r="D33" s="224"/>
      <c r="E33" s="224"/>
      <c r="F33" s="224"/>
      <c r="G33" s="224"/>
      <c r="H33" s="224"/>
      <c r="I33" s="225"/>
      <c r="J33" s="92"/>
      <c r="K33" s="229"/>
      <c r="L33" s="229"/>
      <c r="M33" s="229"/>
      <c r="N33" s="229"/>
    </row>
    <row r="34" spans="1:14">
      <c r="A34" s="223"/>
      <c r="B34" s="224"/>
      <c r="C34" s="224"/>
      <c r="D34" s="224"/>
      <c r="E34" s="224"/>
      <c r="F34" s="224"/>
      <c r="G34" s="224"/>
      <c r="H34" s="224"/>
      <c r="I34" s="225"/>
      <c r="J34" s="92"/>
      <c r="K34" s="229"/>
      <c r="L34" s="229"/>
      <c r="M34" s="229"/>
      <c r="N34" s="229"/>
    </row>
    <row r="35" spans="1:14">
      <c r="A35" s="223"/>
      <c r="B35" s="224"/>
      <c r="C35" s="224"/>
      <c r="D35" s="224"/>
      <c r="E35" s="224"/>
      <c r="F35" s="224"/>
      <c r="G35" s="224"/>
      <c r="H35" s="224"/>
      <c r="I35" s="225"/>
      <c r="J35" s="92"/>
      <c r="K35" s="229"/>
      <c r="L35" s="229"/>
      <c r="M35" s="229"/>
      <c r="N35" s="229"/>
    </row>
    <row r="36" spans="1:14">
      <c r="A36" s="223"/>
      <c r="B36" s="224"/>
      <c r="C36" s="224"/>
      <c r="D36" s="224"/>
      <c r="E36" s="224"/>
      <c r="F36" s="224"/>
      <c r="G36" s="224"/>
      <c r="H36" s="224"/>
      <c r="I36" s="225"/>
      <c r="J36" s="92"/>
      <c r="K36" s="229"/>
      <c r="L36" s="229"/>
      <c r="M36" s="229"/>
      <c r="N36" s="229"/>
    </row>
    <row r="37" spans="1:14">
      <c r="A37" s="223"/>
      <c r="B37" s="224"/>
      <c r="C37" s="224"/>
      <c r="D37" s="224"/>
      <c r="E37" s="224"/>
      <c r="F37" s="224"/>
      <c r="G37" s="224"/>
      <c r="H37" s="224"/>
      <c r="I37" s="225"/>
      <c r="J37" s="92"/>
      <c r="K37" s="229"/>
      <c r="L37" s="229"/>
      <c r="M37" s="229"/>
      <c r="N37" s="229"/>
    </row>
    <row r="38" spans="1:14" ht="14.25" customHeight="1">
      <c r="A38" s="223"/>
      <c r="B38" s="224"/>
      <c r="C38" s="224"/>
      <c r="D38" s="224"/>
      <c r="E38" s="224"/>
      <c r="F38" s="224"/>
      <c r="G38" s="224"/>
      <c r="H38" s="224"/>
      <c r="I38" s="225"/>
      <c r="J38" s="92"/>
      <c r="K38" s="229"/>
      <c r="L38" s="229"/>
      <c r="M38" s="229"/>
      <c r="N38" s="229"/>
    </row>
    <row r="39" spans="1:14">
      <c r="A39" s="223"/>
      <c r="B39" s="224"/>
      <c r="C39" s="224"/>
      <c r="D39" s="224"/>
      <c r="E39" s="224"/>
      <c r="F39" s="224"/>
      <c r="G39" s="224"/>
      <c r="H39" s="224"/>
      <c r="I39" s="225"/>
      <c r="J39" s="92"/>
      <c r="K39" s="229"/>
      <c r="L39" s="229"/>
      <c r="M39" s="229"/>
      <c r="N39" s="229"/>
    </row>
    <row r="40" spans="1:14">
      <c r="A40" s="223"/>
      <c r="B40" s="224"/>
      <c r="C40" s="224"/>
      <c r="D40" s="224"/>
      <c r="E40" s="224"/>
      <c r="F40" s="224"/>
      <c r="G40" s="224"/>
      <c r="H40" s="224"/>
      <c r="I40" s="225"/>
      <c r="J40" s="92"/>
      <c r="K40" s="229"/>
      <c r="L40" s="229"/>
      <c r="M40" s="229"/>
      <c r="N40" s="229"/>
    </row>
    <row r="41" spans="1:14">
      <c r="A41" s="223"/>
      <c r="B41" s="224"/>
      <c r="C41" s="224"/>
      <c r="D41" s="224"/>
      <c r="E41" s="224"/>
      <c r="F41" s="224"/>
      <c r="G41" s="224"/>
      <c r="H41" s="224"/>
      <c r="I41" s="225"/>
      <c r="J41" s="92"/>
      <c r="K41" s="92"/>
      <c r="L41" s="92"/>
      <c r="M41" s="92"/>
      <c r="N41" s="92"/>
    </row>
    <row r="42" spans="1:14">
      <c r="A42" s="223"/>
      <c r="B42" s="224"/>
      <c r="C42" s="224"/>
      <c r="D42" s="224"/>
      <c r="E42" s="224"/>
      <c r="F42" s="224"/>
      <c r="G42" s="224"/>
      <c r="H42" s="224"/>
      <c r="I42" s="225"/>
      <c r="J42" s="92"/>
      <c r="K42" s="92"/>
      <c r="L42" s="92"/>
      <c r="M42" s="92"/>
      <c r="N42" s="92"/>
    </row>
    <row r="43" spans="1:14">
      <c r="A43" s="223"/>
      <c r="B43" s="224"/>
      <c r="C43" s="224"/>
      <c r="D43" s="224"/>
      <c r="E43" s="224"/>
      <c r="F43" s="224"/>
      <c r="G43" s="224"/>
      <c r="H43" s="224"/>
      <c r="I43" s="225"/>
      <c r="J43" s="92"/>
      <c r="K43" s="92"/>
      <c r="L43" s="92"/>
      <c r="M43" s="92"/>
      <c r="N43" s="92"/>
    </row>
    <row r="44" spans="1:14">
      <c r="A44" s="223"/>
      <c r="B44" s="224"/>
      <c r="C44" s="224"/>
      <c r="D44" s="224"/>
      <c r="E44" s="224"/>
      <c r="F44" s="224"/>
      <c r="G44" s="224"/>
      <c r="H44" s="224"/>
      <c r="I44" s="225"/>
      <c r="J44" s="92"/>
      <c r="K44" s="92"/>
      <c r="L44" s="92"/>
      <c r="M44" s="92"/>
      <c r="N44" s="92"/>
    </row>
    <row r="45" spans="1:14">
      <c r="A45" s="223"/>
      <c r="B45" s="224"/>
      <c r="C45" s="224"/>
      <c r="D45" s="224"/>
      <c r="E45" s="224"/>
      <c r="F45" s="224"/>
      <c r="G45" s="224"/>
      <c r="H45" s="224"/>
      <c r="I45" s="225"/>
      <c r="J45" s="92"/>
      <c r="K45" s="92"/>
      <c r="L45" s="92"/>
      <c r="M45" s="92"/>
      <c r="N45" s="92"/>
    </row>
    <row r="46" spans="1:14">
      <c r="A46" s="223"/>
      <c r="B46" s="224"/>
      <c r="C46" s="224"/>
      <c r="D46" s="224"/>
      <c r="E46" s="224"/>
      <c r="F46" s="224"/>
      <c r="G46" s="224"/>
      <c r="H46" s="224"/>
      <c r="I46" s="225"/>
      <c r="J46" s="92"/>
      <c r="K46" s="92"/>
      <c r="L46" s="92"/>
      <c r="M46" s="92"/>
      <c r="N46" s="92"/>
    </row>
    <row r="47" spans="1:14">
      <c r="A47" s="223"/>
      <c r="B47" s="224"/>
      <c r="C47" s="224"/>
      <c r="D47" s="224"/>
      <c r="E47" s="224"/>
      <c r="F47" s="224"/>
      <c r="G47" s="224"/>
      <c r="H47" s="224"/>
      <c r="I47" s="225"/>
      <c r="J47" s="92"/>
      <c r="K47" s="92"/>
      <c r="L47" s="92"/>
      <c r="M47" s="92"/>
      <c r="N47" s="92"/>
    </row>
    <row r="48" spans="1:14">
      <c r="A48" s="223"/>
      <c r="B48" s="224"/>
      <c r="C48" s="224"/>
      <c r="D48" s="224"/>
      <c r="E48" s="224"/>
      <c r="F48" s="224"/>
      <c r="G48" s="224"/>
      <c r="H48" s="224"/>
      <c r="I48" s="225"/>
      <c r="J48" s="92"/>
      <c r="K48" s="92"/>
      <c r="L48" s="92"/>
      <c r="M48" s="92"/>
      <c r="N48" s="92"/>
    </row>
    <row r="49" spans="1:9">
      <c r="A49" s="223"/>
      <c r="B49" s="224"/>
      <c r="C49" s="224"/>
      <c r="D49" s="224"/>
      <c r="E49" s="224"/>
      <c r="F49" s="224"/>
      <c r="G49" s="224"/>
      <c r="H49" s="224"/>
      <c r="I49" s="225"/>
    </row>
    <row r="50" spans="1:9">
      <c r="A50" s="223"/>
      <c r="B50" s="224"/>
      <c r="C50" s="224"/>
      <c r="D50" s="224"/>
      <c r="E50" s="224"/>
      <c r="F50" s="224"/>
      <c r="G50" s="224"/>
      <c r="H50" s="224"/>
      <c r="I50" s="225"/>
    </row>
    <row r="51" spans="1:9">
      <c r="A51" s="223"/>
      <c r="B51" s="224"/>
      <c r="C51" s="224"/>
      <c r="D51" s="224"/>
      <c r="E51" s="224"/>
      <c r="F51" s="224"/>
      <c r="G51" s="224"/>
      <c r="H51" s="224"/>
      <c r="I51" s="225"/>
    </row>
    <row r="52" spans="1:9">
      <c r="A52" s="226"/>
      <c r="B52" s="227"/>
      <c r="C52" s="227"/>
      <c r="D52" s="227"/>
      <c r="E52" s="227"/>
      <c r="F52" s="227"/>
      <c r="G52" s="227"/>
      <c r="H52" s="227"/>
      <c r="I52" s="228"/>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G21" sqref="G20:H21"/>
    </sheetView>
  </sheetViews>
  <sheetFormatPr defaultColWidth="9.28515625" defaultRowHeight="15"/>
  <cols>
    <col min="1" max="7" width="9.28515625" style="2"/>
    <col min="8" max="8" width="11" style="2" bestFit="1" customWidth="1"/>
    <col min="9" max="16384" width="9.28515625" style="2"/>
  </cols>
  <sheetData>
    <row r="1" spans="1:10" ht="15.75">
      <c r="A1" s="33">
        <f>+'Cover Page'!C39</f>
        <v>2022</v>
      </c>
      <c r="B1" s="34" t="s">
        <v>152</v>
      </c>
      <c r="C1" s="34"/>
      <c r="D1" s="34"/>
      <c r="E1" s="34"/>
      <c r="F1" s="34"/>
      <c r="G1" s="34"/>
      <c r="H1" s="34"/>
      <c r="I1" s="34"/>
      <c r="J1" s="34"/>
    </row>
    <row r="2" spans="1:10" ht="8.25" customHeight="1">
      <c r="A2" s="92"/>
      <c r="B2" s="92"/>
      <c r="C2" s="92"/>
      <c r="D2" s="92"/>
      <c r="E2" s="92"/>
      <c r="F2" s="92"/>
      <c r="G2" s="92"/>
      <c r="H2" s="92"/>
      <c r="I2" s="92"/>
      <c r="J2" s="92"/>
    </row>
    <row r="3" spans="1:10" s="3" customFormat="1" ht="14.25">
      <c r="A3" s="276" t="str">
        <f>+'Cover Page'!B31</f>
        <v>Permit  EPR/FP3935KL</v>
      </c>
      <c r="B3" s="276"/>
      <c r="C3" s="276"/>
      <c r="D3" s="276"/>
      <c r="E3" s="276"/>
      <c r="F3" s="3" t="s">
        <v>153</v>
      </c>
      <c r="G3" s="277">
        <f>+'Cover Page'!B37:I37</f>
        <v>0</v>
      </c>
      <c r="H3" s="277"/>
      <c r="I3" s="277"/>
    </row>
    <row r="4" spans="1:10" s="3" customFormat="1" ht="14.25">
      <c r="A4" s="3" t="s">
        <v>154</v>
      </c>
      <c r="B4" s="276" t="str">
        <f>+'Cover Page'!B33:I33</f>
        <v>Tradebe Fawley Limited</v>
      </c>
      <c r="C4" s="276"/>
      <c r="D4" s="276"/>
      <c r="E4" s="276"/>
      <c r="F4" s="3" t="s">
        <v>155</v>
      </c>
      <c r="G4" s="3" t="s">
        <v>156</v>
      </c>
    </row>
    <row r="5" spans="1:10" s="3" customFormat="1" ht="6.75" customHeight="1"/>
    <row r="6" spans="1:10" s="3" customFormat="1" ht="15.75" customHeight="1">
      <c r="A6" s="3" t="s">
        <v>157</v>
      </c>
      <c r="D6" s="278">
        <v>44562</v>
      </c>
      <c r="E6" s="278"/>
      <c r="F6" s="35" t="s">
        <v>158</v>
      </c>
      <c r="G6" s="278">
        <v>44926</v>
      </c>
      <c r="H6" s="278"/>
    </row>
    <row r="7" spans="1:10" s="3" customFormat="1" ht="7.5" customHeight="1"/>
    <row r="8" spans="1:10" s="3" customFormat="1" ht="15.75">
      <c r="A8" s="9">
        <f>+A1</f>
        <v>2022</v>
      </c>
      <c r="B8" s="34" t="s">
        <v>159</v>
      </c>
      <c r="C8"/>
      <c r="D8"/>
      <c r="E8"/>
      <c r="F8"/>
      <c r="G8"/>
    </row>
    <row r="9" spans="1:10" s="3" customFormat="1" ht="28.5" customHeight="1">
      <c r="A9" s="279" t="s">
        <v>160</v>
      </c>
      <c r="B9" s="279"/>
      <c r="C9" s="279" t="s">
        <v>161</v>
      </c>
      <c r="D9" s="279"/>
      <c r="E9" s="279" t="s">
        <v>162</v>
      </c>
      <c r="F9" s="279"/>
      <c r="G9" s="279" t="s">
        <v>163</v>
      </c>
      <c r="H9" s="279"/>
      <c r="I9" s="279" t="s">
        <v>164</v>
      </c>
      <c r="J9" s="279"/>
    </row>
    <row r="10" spans="1:10" s="3" customFormat="1" ht="14.25" customHeight="1">
      <c r="A10" s="239" t="s">
        <v>165</v>
      </c>
      <c r="B10" s="239"/>
      <c r="C10" s="239"/>
      <c r="D10" s="239"/>
      <c r="E10" s="239"/>
      <c r="F10" s="239"/>
      <c r="G10" s="239"/>
      <c r="H10" s="239"/>
      <c r="I10" s="239"/>
      <c r="J10" s="239"/>
    </row>
    <row r="11" spans="1:10" s="3" customFormat="1" ht="14.25" customHeight="1">
      <c r="A11" s="239" t="s">
        <v>166</v>
      </c>
      <c r="B11" s="239"/>
      <c r="C11" s="266" t="s">
        <v>167</v>
      </c>
      <c r="D11" s="266"/>
      <c r="E11" s="267">
        <v>1263.3399999999999</v>
      </c>
      <c r="F11" s="267"/>
      <c r="G11" s="267"/>
      <c r="H11" s="267"/>
      <c r="I11" s="268">
        <f>IF((E11+G11)&gt;0,(E11+G11)/'Operational Data'!$G$21, "-")</f>
        <v>3.400429830006501E-2</v>
      </c>
      <c r="J11" s="268"/>
    </row>
    <row r="12" spans="1:10" s="3" customFormat="1" ht="14.25" customHeight="1">
      <c r="A12" s="239" t="s">
        <v>168</v>
      </c>
      <c r="B12" s="239"/>
      <c r="C12" s="266" t="s">
        <v>167</v>
      </c>
      <c r="D12" s="266"/>
      <c r="E12" s="267">
        <v>978.41</v>
      </c>
      <c r="F12" s="267"/>
      <c r="G12" s="267"/>
      <c r="H12" s="267"/>
      <c r="I12" s="268">
        <f>IF((E12+G12)&gt;0,(E12+G12)/'Operational Data'!$G$21, "-")</f>
        <v>2.6335068548266189E-2</v>
      </c>
      <c r="J12" s="268"/>
    </row>
    <row r="13" spans="1:10" s="3" customFormat="1" ht="14.25" customHeight="1">
      <c r="A13" s="274"/>
      <c r="B13" s="274"/>
      <c r="C13" s="266"/>
      <c r="D13" s="266"/>
      <c r="E13" s="267"/>
      <c r="F13" s="267"/>
      <c r="G13" s="267"/>
      <c r="H13" s="267"/>
      <c r="I13" s="268" t="str">
        <f>IF((E13+G13)&gt;0,(E13+G13)/'Operational Data'!$G$21, "-")</f>
        <v>-</v>
      </c>
      <c r="J13" s="268"/>
    </row>
    <row r="14" spans="1:10" s="3" customFormat="1" ht="14.25" customHeight="1">
      <c r="A14" s="274"/>
      <c r="B14" s="274"/>
      <c r="C14" s="266"/>
      <c r="D14" s="266"/>
      <c r="E14" s="267"/>
      <c r="F14" s="267"/>
      <c r="G14" s="267"/>
      <c r="H14" s="267"/>
      <c r="I14" s="268" t="str">
        <f>IF((E14+G14)&gt;0,(E14+G14)/'Operational Data'!$G$21, "-")</f>
        <v>-</v>
      </c>
      <c r="J14" s="268"/>
    </row>
    <row r="15" spans="1:10" s="3" customFormat="1" ht="14.25" customHeight="1">
      <c r="A15" s="275" t="s">
        <v>169</v>
      </c>
      <c r="B15" s="275"/>
      <c r="C15" s="275"/>
      <c r="D15" s="275"/>
      <c r="E15" s="270">
        <f>SUM(E11:F14)</f>
        <v>2241.75</v>
      </c>
      <c r="F15" s="270"/>
      <c r="G15" s="270">
        <f>SUM(G11:H14)</f>
        <v>0</v>
      </c>
      <c r="H15" s="270"/>
      <c r="I15" s="268">
        <f>IF((E15+G15)&gt;0,(E15+G15)/'Operational Data'!$G$21, "-")</f>
        <v>6.0339366848331202E-2</v>
      </c>
      <c r="J15" s="268"/>
    </row>
    <row r="16" spans="1:10" s="3" customFormat="1" ht="14.25" customHeight="1">
      <c r="A16" s="243"/>
      <c r="B16" s="244"/>
      <c r="C16" s="244"/>
      <c r="D16" s="244"/>
      <c r="E16" s="271"/>
      <c r="F16" s="271"/>
      <c r="G16" s="271"/>
      <c r="H16" s="271"/>
      <c r="I16" s="272"/>
      <c r="J16" s="247"/>
    </row>
    <row r="17" spans="1:10" s="3" customFormat="1" ht="14.25" customHeight="1">
      <c r="A17" s="273" t="s">
        <v>170</v>
      </c>
      <c r="B17" s="273"/>
      <c r="C17" s="273"/>
      <c r="D17" s="273"/>
      <c r="E17" s="273"/>
      <c r="F17" s="273"/>
      <c r="G17" s="273"/>
      <c r="H17" s="273"/>
      <c r="I17" s="273"/>
      <c r="J17" s="273"/>
    </row>
    <row r="18" spans="1:10" ht="14.25" customHeight="1">
      <c r="A18" s="239" t="s">
        <v>168</v>
      </c>
      <c r="B18" s="239"/>
      <c r="C18" s="266" t="s">
        <v>167</v>
      </c>
      <c r="D18" s="266"/>
      <c r="E18" s="267">
        <v>3635.36</v>
      </c>
      <c r="F18" s="267"/>
      <c r="G18" s="267"/>
      <c r="H18" s="267"/>
      <c r="I18" s="268">
        <f>IF((E18+G18)&gt;0,(E18+G18)/'Operational Data'!$G$21, "-")</f>
        <v>9.7850037098583392E-2</v>
      </c>
      <c r="J18" s="268"/>
    </row>
    <row r="19" spans="1:10" s="3" customFormat="1" ht="14.25" customHeight="1">
      <c r="A19" s="239" t="s">
        <v>171</v>
      </c>
      <c r="B19" s="239"/>
      <c r="C19" s="266" t="s">
        <v>172</v>
      </c>
      <c r="D19" s="266"/>
      <c r="E19" s="267">
        <v>20.59</v>
      </c>
      <c r="F19" s="267"/>
      <c r="G19" s="267"/>
      <c r="H19" s="267"/>
      <c r="I19" s="268">
        <f>IF((E19+G19)&gt;0,(E19+G19)/'Operational Data'!$G$21, "-")</f>
        <v>5.5420433295735004E-4</v>
      </c>
      <c r="J19" s="268"/>
    </row>
    <row r="20" spans="1:10" s="3" customFormat="1" ht="14.25" customHeight="1">
      <c r="A20" s="239" t="s">
        <v>173</v>
      </c>
      <c r="B20" s="239"/>
      <c r="C20" s="266" t="s">
        <v>174</v>
      </c>
      <c r="D20" s="266"/>
      <c r="E20" s="267">
        <v>161050</v>
      </c>
      <c r="F20" s="267"/>
      <c r="G20" s="267"/>
      <c r="H20" s="267"/>
      <c r="I20" s="268">
        <f>IF((E20+G20)&gt;0,(E20+G20)/'Operational Data'!$G$21, "-")</f>
        <v>4.3348522497708224</v>
      </c>
      <c r="J20" s="268"/>
    </row>
    <row r="21" spans="1:10" s="3" customFormat="1" ht="14.25" customHeight="1">
      <c r="A21" s="265"/>
      <c r="B21" s="265"/>
      <c r="C21" s="266"/>
      <c r="D21" s="266"/>
      <c r="E21" s="267"/>
      <c r="F21" s="267"/>
      <c r="G21" s="267"/>
      <c r="H21" s="267"/>
      <c r="I21" s="268" t="str">
        <f>IF((E21+G21)&gt;0,(E21+G21)/'Operational Data'!$G$21, "-")</f>
        <v>-</v>
      </c>
      <c r="J21" s="268"/>
    </row>
    <row r="22" spans="1:10" s="3" customFormat="1" ht="14.25" customHeight="1">
      <c r="A22" s="265"/>
      <c r="B22" s="265"/>
      <c r="C22" s="266"/>
      <c r="D22" s="266"/>
      <c r="E22" s="267"/>
      <c r="F22" s="267"/>
      <c r="G22" s="267"/>
      <c r="H22" s="267"/>
      <c r="I22" s="268" t="str">
        <f>IF((E22+G22)&gt;0,(E22+G22)/'Operational Data'!$G$21, "-")</f>
        <v>-</v>
      </c>
      <c r="J22" s="268"/>
    </row>
    <row r="23" spans="1:10" s="3" customFormat="1" ht="14.25" customHeight="1">
      <c r="A23" s="269" t="s">
        <v>175</v>
      </c>
      <c r="B23" s="269"/>
      <c r="C23" s="269"/>
      <c r="D23" s="269"/>
      <c r="E23" s="270">
        <f>SUM(E18:F22)</f>
        <v>164705.95000000001</v>
      </c>
      <c r="F23" s="270"/>
      <c r="G23" s="270">
        <f>SUM(G18:H22)</f>
        <v>0</v>
      </c>
      <c r="H23" s="270"/>
      <c r="I23" s="268">
        <f>IF((E23+G23)&gt;0,(E23+G23)/'Operational Data'!$G$21, "-")</f>
        <v>4.4332564912023633</v>
      </c>
      <c r="J23" s="268"/>
    </row>
    <row r="24" spans="1:10" s="3" customFormat="1" ht="14.25" customHeight="1">
      <c r="A24" s="262" t="s">
        <v>176</v>
      </c>
      <c r="B24" s="262"/>
      <c r="C24" s="262"/>
      <c r="D24" s="262"/>
      <c r="E24" s="263">
        <f>+E23+E15</f>
        <v>166947.70000000001</v>
      </c>
      <c r="F24" s="263"/>
      <c r="G24" s="263">
        <f>+G23+G15</f>
        <v>0</v>
      </c>
      <c r="H24" s="263"/>
      <c r="I24" s="264">
        <f>IF((E24+G24)&gt;0,(E24+G24)/'Operational Data'!$G$21, "-")</f>
        <v>4.4935958580506945</v>
      </c>
      <c r="J24" s="264"/>
    </row>
    <row r="25" spans="1:10" s="3" customFormat="1" ht="8.25" customHeight="1">
      <c r="A25" s="158"/>
      <c r="B25"/>
      <c r="C25"/>
      <c r="D25"/>
      <c r="E25"/>
      <c r="F25"/>
      <c r="G25"/>
    </row>
    <row r="26" spans="1:10" s="3" customFormat="1" ht="14.25" customHeight="1">
      <c r="A26" s="240" t="s">
        <v>177</v>
      </c>
      <c r="B26" s="240"/>
      <c r="C26" s="240"/>
      <c r="D26" s="240"/>
      <c r="E26" s="240"/>
      <c r="F26" s="240"/>
      <c r="G26" s="240"/>
      <c r="H26" s="240"/>
      <c r="I26" s="240"/>
      <c r="J26" s="240"/>
    </row>
    <row r="27" spans="1:10" s="3" customFormat="1" ht="14.25" customHeight="1">
      <c r="A27" s="241"/>
      <c r="B27" s="241"/>
      <c r="C27" s="241"/>
      <c r="D27" s="241"/>
      <c r="E27" s="241"/>
      <c r="F27" s="241"/>
      <c r="G27" s="241"/>
      <c r="H27" s="241"/>
      <c r="I27" s="241"/>
      <c r="J27" s="241"/>
    </row>
    <row r="28" spans="1:10" s="3" customFormat="1" ht="14.25" customHeight="1">
      <c r="A28" s="241"/>
      <c r="B28" s="241"/>
      <c r="C28" s="241"/>
      <c r="D28" s="241"/>
      <c r="E28" s="241"/>
      <c r="F28" s="241"/>
      <c r="G28" s="241"/>
      <c r="H28" s="241"/>
      <c r="I28" s="241"/>
      <c r="J28" s="241"/>
    </row>
    <row r="29" spans="1:10" s="3" customFormat="1" ht="14.25" customHeight="1">
      <c r="A29" s="241"/>
      <c r="B29" s="241"/>
      <c r="C29" s="241"/>
      <c r="D29" s="241"/>
      <c r="E29" s="241"/>
      <c r="F29" s="241"/>
      <c r="G29" s="241"/>
      <c r="H29" s="241"/>
      <c r="I29" s="241"/>
      <c r="J29" s="241"/>
    </row>
    <row r="30" spans="1:10" s="3" customFormat="1" ht="14.25" customHeight="1">
      <c r="A30" s="158"/>
      <c r="B30"/>
      <c r="C30"/>
      <c r="D30"/>
      <c r="E30"/>
      <c r="F30"/>
      <c r="G30"/>
    </row>
    <row r="31" spans="1:10" s="3" customFormat="1" ht="14.25" customHeight="1">
      <c r="A31" s="1">
        <f>+A1</f>
        <v>2022</v>
      </c>
      <c r="B31" s="34" t="s">
        <v>178</v>
      </c>
      <c r="C31" s="34"/>
      <c r="D31" s="34"/>
      <c r="E31" s="34"/>
      <c r="F31" s="34"/>
    </row>
    <row r="32" spans="1:10" s="3" customFormat="1" ht="24.75" customHeight="1">
      <c r="A32" s="257" t="s">
        <v>179</v>
      </c>
      <c r="B32" s="258"/>
      <c r="C32" s="258"/>
      <c r="D32" s="259"/>
      <c r="E32" s="38" t="s">
        <v>180</v>
      </c>
      <c r="F32" s="39"/>
      <c r="G32" s="40" t="s">
        <v>73</v>
      </c>
      <c r="H32" s="260" t="s">
        <v>181</v>
      </c>
      <c r="I32" s="261"/>
      <c r="J32" s="41" t="s">
        <v>73</v>
      </c>
    </row>
    <row r="33" spans="1:10" s="3" customFormat="1" ht="14.25" customHeight="1">
      <c r="A33" s="243" t="s">
        <v>117</v>
      </c>
      <c r="B33" s="244"/>
      <c r="C33" s="244"/>
      <c r="D33" s="245"/>
      <c r="E33" s="246">
        <f>+'Operational Data'!G42</f>
        <v>299548</v>
      </c>
      <c r="F33" s="247"/>
      <c r="G33" s="159" t="s">
        <v>182</v>
      </c>
      <c r="H33" s="248">
        <f>IF(E33&gt;0,E33/'Operational Data'!$G$21,"-")</f>
        <v>8.0626906036283774</v>
      </c>
      <c r="I33" s="249"/>
      <c r="J33" s="159" t="s">
        <v>183</v>
      </c>
    </row>
    <row r="34" spans="1:10" s="3" customFormat="1" ht="14.25" customHeight="1">
      <c r="A34" s="243" t="s">
        <v>184</v>
      </c>
      <c r="B34" s="244"/>
      <c r="C34" s="244"/>
      <c r="D34" s="245"/>
      <c r="E34" s="246">
        <f>+'Operational Data'!G43+'Operational Data'!G42</f>
        <v>299548</v>
      </c>
      <c r="F34" s="247"/>
      <c r="G34" s="159" t="s">
        <v>182</v>
      </c>
      <c r="H34" s="248">
        <f>IF(E34&gt;0,E34/'Operational Data'!$G$21,"-")</f>
        <v>8.0626906036283774</v>
      </c>
      <c r="I34" s="249"/>
      <c r="J34" s="159" t="s">
        <v>183</v>
      </c>
    </row>
    <row r="35" spans="1:10" s="3" customFormat="1" ht="14.25" customHeight="1">
      <c r="A35" s="243" t="s">
        <v>185</v>
      </c>
      <c r="B35" s="244"/>
      <c r="C35" s="244"/>
      <c r="D35" s="245"/>
      <c r="E35" s="246">
        <f>+'Operational Data'!G44</f>
        <v>0</v>
      </c>
      <c r="F35" s="247"/>
      <c r="G35" s="159" t="s">
        <v>186</v>
      </c>
      <c r="H35" s="248" t="str">
        <f>IF(E35&gt;0,E35/'Operational Data'!$G$21,"-")</f>
        <v>-</v>
      </c>
      <c r="I35" s="249"/>
      <c r="J35" s="159" t="s">
        <v>187</v>
      </c>
    </row>
    <row r="36" spans="1:10" s="3" customFormat="1" ht="14.25" customHeight="1">
      <c r="A36" s="243" t="s">
        <v>123</v>
      </c>
      <c r="B36" s="244"/>
      <c r="C36" s="244"/>
      <c r="D36" s="245"/>
      <c r="E36" s="246">
        <f>+'Operational Data'!G46</f>
        <v>0</v>
      </c>
      <c r="F36" s="247"/>
      <c r="G36" s="159" t="s">
        <v>186</v>
      </c>
      <c r="H36" s="248" t="str">
        <f>IF(E36&gt;0,E36/'Operational Data'!$G$21,"-")</f>
        <v>-</v>
      </c>
      <c r="I36" s="249"/>
      <c r="J36" s="159" t="s">
        <v>187</v>
      </c>
    </row>
    <row r="37" spans="1:10" s="3" customFormat="1" ht="14.25" customHeight="1">
      <c r="A37" s="243" t="s">
        <v>188</v>
      </c>
      <c r="B37" s="244"/>
      <c r="C37" s="244"/>
      <c r="D37" s="245"/>
      <c r="E37" s="246">
        <f>+'Operational Data'!G47</f>
        <v>0</v>
      </c>
      <c r="F37" s="247"/>
      <c r="G37" s="159" t="s">
        <v>186</v>
      </c>
      <c r="H37" s="248" t="str">
        <f>IF(E37&gt;0,E37/'Operational Data'!$G$21,"-")</f>
        <v>-</v>
      </c>
      <c r="I37" s="249"/>
      <c r="J37" s="159" t="s">
        <v>187</v>
      </c>
    </row>
    <row r="38" spans="1:10" s="3" customFormat="1" ht="14.25" customHeight="1">
      <c r="A38" s="250"/>
      <c r="B38" s="251"/>
      <c r="C38" s="251"/>
      <c r="D38" s="252"/>
      <c r="E38" s="253"/>
      <c r="F38" s="254"/>
      <c r="G38" s="160"/>
      <c r="H38" s="255"/>
      <c r="I38" s="256"/>
      <c r="J38" s="160"/>
    </row>
    <row r="39" spans="1:10" s="3" customFormat="1" ht="14.25" customHeight="1">
      <c r="A39" s="240" t="s">
        <v>177</v>
      </c>
      <c r="B39" s="240"/>
      <c r="C39" s="240"/>
      <c r="D39" s="240"/>
      <c r="E39" s="240"/>
      <c r="F39" s="240"/>
      <c r="G39" s="240"/>
      <c r="H39" s="240"/>
      <c r="I39" s="240"/>
      <c r="J39" s="240"/>
    </row>
    <row r="40" spans="1:10" s="3" customFormat="1" ht="14.25" customHeight="1">
      <c r="A40" s="241"/>
      <c r="B40" s="241"/>
      <c r="C40" s="241"/>
      <c r="D40" s="241"/>
      <c r="E40" s="241"/>
      <c r="F40" s="241"/>
      <c r="G40" s="241"/>
      <c r="H40" s="241"/>
      <c r="I40" s="241"/>
      <c r="J40" s="241"/>
    </row>
    <row r="41" spans="1:10" s="3" customFormat="1" ht="14.25" customHeight="1">
      <c r="A41" s="241"/>
      <c r="B41" s="241"/>
      <c r="C41" s="241"/>
      <c r="D41" s="241"/>
      <c r="E41" s="241"/>
      <c r="F41" s="241"/>
      <c r="G41" s="241"/>
      <c r="H41" s="241"/>
      <c r="I41" s="241"/>
      <c r="J41" s="241"/>
    </row>
    <row r="42" spans="1:10" s="3" customFormat="1" ht="14.25" customHeight="1">
      <c r="A42" s="42"/>
      <c r="B42" s="42"/>
      <c r="C42" s="42"/>
      <c r="D42" s="42"/>
      <c r="E42" s="42"/>
      <c r="F42" s="42"/>
      <c r="G42" s="42"/>
      <c r="H42" s="42"/>
      <c r="I42" s="42"/>
      <c r="J42" s="42"/>
    </row>
    <row r="43" spans="1:10" s="3" customFormat="1" ht="14.25" customHeight="1">
      <c r="A43" s="34">
        <f>+A31</f>
        <v>2022</v>
      </c>
      <c r="B43" s="34" t="s">
        <v>189</v>
      </c>
      <c r="C43" s="34"/>
      <c r="D43" s="34"/>
      <c r="E43" s="34"/>
      <c r="F43" s="34"/>
      <c r="G43" s="92"/>
    </row>
    <row r="44" spans="1:10" ht="14.25" customHeight="1">
      <c r="A44" s="242" t="s">
        <v>190</v>
      </c>
      <c r="B44" s="242"/>
      <c r="C44" s="242" t="s">
        <v>191</v>
      </c>
      <c r="D44" s="242"/>
      <c r="E44" s="242"/>
      <c r="F44" s="242"/>
      <c r="G44" s="242"/>
      <c r="H44" s="242"/>
      <c r="I44" s="242"/>
      <c r="J44" s="242"/>
    </row>
    <row r="45" spans="1:10" ht="14.25" customHeight="1">
      <c r="A45" s="43"/>
      <c r="B45" s="43"/>
      <c r="C45" s="36" t="s">
        <v>192</v>
      </c>
      <c r="D45" s="36" t="s">
        <v>193</v>
      </c>
      <c r="E45" s="36" t="s">
        <v>194</v>
      </c>
      <c r="F45" s="36" t="s">
        <v>195</v>
      </c>
      <c r="G45" s="36" t="s">
        <v>196</v>
      </c>
      <c r="H45" s="36"/>
      <c r="I45" s="36" t="s">
        <v>197</v>
      </c>
      <c r="J45" s="36" t="s">
        <v>198</v>
      </c>
    </row>
    <row r="46" spans="1:10" ht="31.5" customHeight="1">
      <c r="A46" s="239" t="s">
        <v>199</v>
      </c>
      <c r="B46" s="239"/>
      <c r="C46" s="161">
        <v>7339</v>
      </c>
      <c r="D46" s="162"/>
      <c r="E46" s="162"/>
      <c r="F46" s="163"/>
      <c r="G46" s="163"/>
      <c r="H46" s="163"/>
      <c r="I46" s="163"/>
      <c r="J46" s="163"/>
    </row>
    <row r="47" spans="1:10" ht="43.5" customHeight="1">
      <c r="A47" s="239" t="s">
        <v>200</v>
      </c>
      <c r="B47" s="239"/>
      <c r="C47" s="161">
        <v>0</v>
      </c>
      <c r="D47" s="162"/>
      <c r="E47" s="162"/>
      <c r="F47" s="163"/>
      <c r="G47" s="163"/>
      <c r="H47" s="163"/>
      <c r="I47" s="163"/>
      <c r="J47" s="163"/>
    </row>
    <row r="48" spans="1:10" ht="42.75" customHeight="1">
      <c r="A48" s="239" t="s">
        <v>201</v>
      </c>
      <c r="B48" s="239"/>
      <c r="C48" s="161">
        <v>0</v>
      </c>
      <c r="D48" s="162"/>
      <c r="E48" s="162"/>
      <c r="F48" s="163"/>
      <c r="G48" s="163"/>
      <c r="H48" s="163"/>
      <c r="I48" s="163"/>
      <c r="J48" s="163"/>
    </row>
    <row r="49" spans="1:10" ht="8.25" customHeight="1">
      <c r="A49" s="92"/>
      <c r="B49" s="92"/>
      <c r="C49" s="92"/>
      <c r="D49" s="92"/>
      <c r="E49" s="92"/>
      <c r="F49" s="92"/>
      <c r="G49" s="92"/>
      <c r="H49" s="92"/>
      <c r="I49" s="92"/>
      <c r="J49" s="92"/>
    </row>
    <row r="50" spans="1:10">
      <c r="A50" s="240" t="s">
        <v>177</v>
      </c>
      <c r="B50" s="240"/>
      <c r="C50" s="240"/>
      <c r="D50" s="240"/>
      <c r="E50" s="240"/>
      <c r="F50" s="240"/>
      <c r="G50" s="240"/>
      <c r="H50" s="240"/>
      <c r="I50" s="240"/>
      <c r="J50" s="240"/>
    </row>
    <row r="51" spans="1:10">
      <c r="A51" s="241"/>
      <c r="B51" s="241"/>
      <c r="C51" s="241"/>
      <c r="D51" s="241"/>
      <c r="E51" s="241"/>
      <c r="F51" s="241"/>
      <c r="G51" s="241"/>
      <c r="H51" s="241"/>
      <c r="I51" s="241"/>
      <c r="J51" s="241"/>
    </row>
    <row r="52" spans="1:10">
      <c r="A52" s="241"/>
      <c r="B52" s="241"/>
      <c r="C52" s="241"/>
      <c r="D52" s="241"/>
      <c r="E52" s="241"/>
      <c r="F52" s="241"/>
      <c r="G52" s="241"/>
      <c r="H52" s="241"/>
      <c r="I52" s="241"/>
      <c r="J52" s="241"/>
    </row>
    <row r="54" spans="1:10">
      <c r="A54" s="3" t="s">
        <v>202</v>
      </c>
      <c r="B54" s="23" t="s">
        <v>15</v>
      </c>
      <c r="C54" s="23"/>
      <c r="D54" s="23"/>
      <c r="E54" s="23"/>
      <c r="F54" s="3"/>
      <c r="G54" s="3" t="s">
        <v>203</v>
      </c>
      <c r="H54" s="102">
        <f ca="1">TODAY()</f>
        <v>45028</v>
      </c>
      <c r="I54" s="44"/>
      <c r="J54" s="92"/>
    </row>
    <row r="62" spans="1:10">
      <c r="A62" s="92"/>
      <c r="B62" s="92"/>
      <c r="C62" s="92"/>
      <c r="D62" s="92"/>
      <c r="E62" s="92"/>
      <c r="F62" s="3"/>
      <c r="G62" s="92"/>
      <c r="H62" s="92"/>
      <c r="I62" s="92"/>
      <c r="J62" s="9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topLeftCell="A3" workbookViewId="0">
      <selection activeCell="D14" sqref="D14:E14"/>
    </sheetView>
  </sheetViews>
  <sheetFormatPr defaultColWidth="9.28515625" defaultRowHeight="15"/>
  <cols>
    <col min="1" max="1" width="9.42578125" style="2" bestFit="1" customWidth="1"/>
    <col min="2" max="7" width="9.28515625" style="2"/>
    <col min="8" max="8" width="11" style="2" bestFit="1" customWidth="1"/>
    <col min="9" max="16384" width="9.28515625" style="2"/>
  </cols>
  <sheetData>
    <row r="1" spans="1:10" ht="15.75">
      <c r="A1" s="33">
        <f>+'Cover Page'!C39</f>
        <v>2022</v>
      </c>
      <c r="B1" s="34" t="s">
        <v>204</v>
      </c>
      <c r="C1" s="34"/>
      <c r="D1" s="34"/>
      <c r="E1" s="34"/>
      <c r="F1" s="34"/>
      <c r="G1" s="34"/>
      <c r="H1" s="34"/>
      <c r="I1" s="34"/>
      <c r="J1" s="34"/>
    </row>
    <row r="3" spans="1:10" s="3" customFormat="1" ht="15" customHeight="1">
      <c r="A3" s="3" t="str">
        <f>+'Cover Page'!B31</f>
        <v>Permit  EPR/FP3935KL</v>
      </c>
      <c r="F3" s="3" t="s">
        <v>153</v>
      </c>
      <c r="G3" s="286">
        <f>+'Cover Page'!B37:I37</f>
        <v>0</v>
      </c>
      <c r="H3" s="286"/>
      <c r="I3" s="286"/>
    </row>
    <row r="4" spans="1:10" s="3" customFormat="1" ht="14.25"/>
    <row r="5" spans="1:10" s="3" customFormat="1" ht="14.25">
      <c r="A5" s="3" t="s">
        <v>154</v>
      </c>
      <c r="B5" s="276" t="str">
        <f>+'Cover Page'!B33:I33</f>
        <v>Tradebe Fawley Limited</v>
      </c>
      <c r="C5" s="276"/>
      <c r="D5" s="276"/>
      <c r="E5" s="276"/>
      <c r="F5" s="3" t="s">
        <v>155</v>
      </c>
      <c r="G5" s="3" t="s">
        <v>205</v>
      </c>
    </row>
    <row r="6" spans="1:10" s="3" customFormat="1" ht="14.25"/>
    <row r="7" spans="1:10" s="3" customFormat="1" ht="15.75" customHeight="1">
      <c r="A7" s="3" t="s">
        <v>157</v>
      </c>
      <c r="D7" s="287">
        <f>+'Perf. Form 1'!D6:E6</f>
        <v>44562</v>
      </c>
      <c r="E7" s="287"/>
      <c r="F7" s="35" t="s">
        <v>158</v>
      </c>
      <c r="G7" s="287">
        <f>+'Perf. Form 1'!G6:H6</f>
        <v>44926</v>
      </c>
      <c r="H7" s="287"/>
    </row>
    <row r="8" spans="1:10" s="3" customFormat="1">
      <c r="B8"/>
      <c r="C8"/>
      <c r="D8"/>
    </row>
    <row r="9" spans="1:10" s="3" customFormat="1" ht="37.5" customHeight="1">
      <c r="A9" s="242" t="s">
        <v>206</v>
      </c>
      <c r="B9" s="242"/>
      <c r="C9" s="242"/>
      <c r="D9" s="279" t="s">
        <v>207</v>
      </c>
      <c r="E9" s="279"/>
      <c r="F9" s="36" t="s">
        <v>73</v>
      </c>
      <c r="G9" s="242" t="s">
        <v>208</v>
      </c>
      <c r="H9" s="242"/>
      <c r="I9" s="242"/>
    </row>
    <row r="10" spans="1:10" s="3" customFormat="1" ht="24.75" customHeight="1">
      <c r="A10" s="239" t="s">
        <v>209</v>
      </c>
      <c r="B10" s="239"/>
      <c r="C10" s="239"/>
      <c r="D10" s="281">
        <f>+'Operational Data'!G24</f>
        <v>0</v>
      </c>
      <c r="E10" s="281"/>
      <c r="F10" s="164" t="s">
        <v>99</v>
      </c>
      <c r="G10" s="282">
        <v>8101.7574999999997</v>
      </c>
      <c r="H10" s="282"/>
      <c r="I10" s="282"/>
    </row>
    <row r="11" spans="1:10" s="3" customFormat="1" ht="24.75" customHeight="1">
      <c r="A11" s="239" t="s">
        <v>210</v>
      </c>
      <c r="B11" s="239"/>
      <c r="C11" s="239"/>
      <c r="D11" s="285">
        <f>+'Operational Data'!G27</f>
        <v>8101.7000230000003</v>
      </c>
      <c r="E11" s="285"/>
      <c r="F11" s="164" t="s">
        <v>99</v>
      </c>
      <c r="G11" s="282">
        <f>+'Operational Data'!H27</f>
        <v>218.06688960987191</v>
      </c>
      <c r="H11" s="282"/>
      <c r="I11" s="282"/>
    </row>
    <row r="12" spans="1:10" s="3" customFormat="1" ht="24.75" customHeight="1">
      <c r="A12" s="239" t="s">
        <v>211</v>
      </c>
      <c r="B12" s="239"/>
      <c r="C12" s="239"/>
      <c r="D12" s="281">
        <f>+'Operational Data'!G25</f>
        <v>0</v>
      </c>
      <c r="E12" s="281"/>
      <c r="F12" s="164" t="s">
        <v>99</v>
      </c>
      <c r="G12" s="282" t="str">
        <f>+'Operational Data'!H25</f>
        <v>-</v>
      </c>
      <c r="H12" s="282"/>
      <c r="I12" s="282"/>
    </row>
    <row r="13" spans="1:10" s="3" customFormat="1" ht="24.75" customHeight="1">
      <c r="A13" s="239" t="s">
        <v>212</v>
      </c>
      <c r="B13" s="239"/>
      <c r="C13" s="239"/>
      <c r="D13" s="283"/>
      <c r="E13" s="283"/>
      <c r="F13" s="164" t="s">
        <v>81</v>
      </c>
      <c r="G13" s="284"/>
      <c r="H13" s="284"/>
      <c r="I13" s="284"/>
    </row>
    <row r="14" spans="1:10" s="3" customFormat="1" ht="24.75" customHeight="1">
      <c r="A14" s="239" t="s">
        <v>213</v>
      </c>
      <c r="B14" s="239"/>
      <c r="C14" s="239"/>
      <c r="D14" s="281">
        <f>+'Operational Data'!G30</f>
        <v>0</v>
      </c>
      <c r="E14" s="281"/>
      <c r="F14" s="164" t="s">
        <v>214</v>
      </c>
      <c r="G14" s="282" t="str">
        <f>+'Operational Data'!H30</f>
        <v>-</v>
      </c>
      <c r="H14" s="282"/>
      <c r="I14" s="282"/>
    </row>
    <row r="15" spans="1:10" s="3" customFormat="1" ht="24.75" customHeight="1">
      <c r="A15" s="274"/>
      <c r="B15" s="274"/>
      <c r="C15" s="274"/>
      <c r="D15" s="274"/>
      <c r="E15" s="274"/>
      <c r="F15" s="161"/>
      <c r="G15" s="205"/>
      <c r="H15" s="205"/>
      <c r="I15" s="205"/>
    </row>
    <row r="16" spans="1:10" s="3" customFormat="1" ht="24.75" customHeight="1">
      <c r="A16" s="274"/>
      <c r="B16" s="274"/>
      <c r="C16" s="274"/>
      <c r="D16" s="274"/>
      <c r="E16" s="274"/>
      <c r="F16" s="161"/>
      <c r="G16" s="205"/>
      <c r="H16" s="205"/>
      <c r="I16" s="205"/>
    </row>
    <row r="17" spans="1:9" s="3" customFormat="1">
      <c r="A17" s="45"/>
      <c r="B17"/>
      <c r="C17"/>
      <c r="D17"/>
    </row>
    <row r="18" spans="1:9" s="3" customFormat="1" ht="24" customHeight="1">
      <c r="A18" s="240" t="s">
        <v>177</v>
      </c>
      <c r="B18" s="240"/>
      <c r="C18" s="240"/>
      <c r="D18" s="240"/>
      <c r="E18" s="240"/>
      <c r="F18" s="240"/>
      <c r="G18" s="240"/>
      <c r="H18" s="240"/>
      <c r="I18" s="240"/>
    </row>
    <row r="19" spans="1:9" s="3" customFormat="1" ht="14.25">
      <c r="A19" s="280"/>
      <c r="B19" s="280"/>
      <c r="C19" s="280"/>
      <c r="D19" s="280"/>
      <c r="E19" s="280"/>
      <c r="F19" s="280"/>
      <c r="G19" s="280"/>
      <c r="H19" s="280"/>
      <c r="I19" s="280"/>
    </row>
    <row r="20" spans="1:9" s="3" customFormat="1" ht="14.25">
      <c r="A20" s="280"/>
      <c r="B20" s="280"/>
      <c r="C20" s="280"/>
      <c r="D20" s="280"/>
      <c r="E20" s="280"/>
      <c r="F20" s="280"/>
      <c r="G20" s="280"/>
      <c r="H20" s="280"/>
      <c r="I20" s="280"/>
    </row>
    <row r="21" spans="1:9" s="3" customFormat="1" ht="14.25">
      <c r="A21" s="280"/>
      <c r="B21" s="280"/>
      <c r="C21" s="280"/>
      <c r="D21" s="280"/>
      <c r="E21" s="280"/>
      <c r="F21" s="280"/>
      <c r="G21" s="280"/>
      <c r="H21" s="280"/>
      <c r="I21" s="280"/>
    </row>
    <row r="22" spans="1:9" s="3" customFormat="1" ht="14.25">
      <c r="A22" s="280"/>
      <c r="B22" s="280"/>
      <c r="C22" s="280"/>
      <c r="D22" s="280"/>
      <c r="E22" s="280"/>
      <c r="F22" s="280"/>
      <c r="G22" s="280"/>
      <c r="H22" s="280"/>
      <c r="I22" s="280"/>
    </row>
    <row r="23" spans="1:9" s="3" customFormat="1" ht="14.25">
      <c r="A23" s="280"/>
      <c r="B23" s="280"/>
      <c r="C23" s="280"/>
      <c r="D23" s="280"/>
      <c r="E23" s="280"/>
      <c r="F23" s="280"/>
      <c r="G23" s="280"/>
      <c r="H23" s="280"/>
      <c r="I23" s="280"/>
    </row>
    <row r="24" spans="1:9" s="3" customFormat="1" ht="14.25">
      <c r="A24" s="280"/>
      <c r="B24" s="280"/>
      <c r="C24" s="280"/>
      <c r="D24" s="280"/>
      <c r="E24" s="280"/>
      <c r="F24" s="280"/>
      <c r="G24" s="280"/>
      <c r="H24" s="280"/>
      <c r="I24" s="280"/>
    </row>
    <row r="25" spans="1:9" s="3" customFormat="1" ht="14.25">
      <c r="A25" s="280"/>
      <c r="B25" s="280"/>
      <c r="C25" s="280"/>
      <c r="D25" s="280"/>
      <c r="E25" s="280"/>
      <c r="F25" s="280"/>
      <c r="G25" s="280"/>
      <c r="H25" s="280"/>
      <c r="I25" s="280"/>
    </row>
    <row r="26" spans="1:9" s="3" customFormat="1" ht="14.25">
      <c r="A26" s="42"/>
      <c r="B26" s="42"/>
      <c r="C26" s="42"/>
      <c r="D26" s="42"/>
      <c r="E26" s="42"/>
      <c r="F26" s="42"/>
      <c r="G26" s="42"/>
      <c r="H26" s="42"/>
      <c r="I26" s="42"/>
    </row>
    <row r="27" spans="1:9" s="3" customFormat="1" ht="14.25"/>
    <row r="28" spans="1:9" s="3" customFormat="1" ht="14.25"/>
    <row r="29" spans="1:9" s="3" customFormat="1" ht="14.25">
      <c r="A29" s="3" t="s">
        <v>202</v>
      </c>
      <c r="B29" s="23" t="s">
        <v>15</v>
      </c>
      <c r="C29" s="23"/>
      <c r="D29" s="23"/>
      <c r="E29" s="23"/>
      <c r="G29" s="3" t="s">
        <v>203</v>
      </c>
      <c r="H29" s="102">
        <f ca="1">TODAY()</f>
        <v>45028</v>
      </c>
      <c r="I29" s="44"/>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92"/>
      <c r="B34" s="92"/>
      <c r="C34" s="92"/>
      <c r="D34" s="92"/>
      <c r="E34" s="92"/>
      <c r="F34" s="92"/>
      <c r="G34" s="92"/>
      <c r="H34" s="92"/>
      <c r="I34" s="92"/>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9"/>
  <sheetViews>
    <sheetView topLeftCell="A22" workbookViewId="0">
      <selection activeCell="H27" sqref="H27:J27"/>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Tradebe Fawley Limited</v>
      </c>
      <c r="F1" s="92"/>
      <c r="G1" s="92"/>
      <c r="H1" s="92"/>
      <c r="I1" s="92"/>
      <c r="J1" s="92"/>
      <c r="K1" s="92"/>
      <c r="L1" s="92"/>
      <c r="M1" s="92"/>
      <c r="N1" s="92"/>
      <c r="O1" s="92"/>
    </row>
    <row r="3" spans="1:15" ht="15.75">
      <c r="A3" s="1" t="s">
        <v>215</v>
      </c>
      <c r="B3" s="92"/>
      <c r="C3" s="92"/>
      <c r="D3" s="92"/>
      <c r="E3" s="92"/>
      <c r="F3" s="92"/>
      <c r="G3" s="92"/>
      <c r="H3" s="92"/>
      <c r="I3" s="92"/>
      <c r="J3" s="92"/>
      <c r="K3" s="92"/>
      <c r="L3" s="92"/>
      <c r="M3" s="92"/>
      <c r="N3" s="92"/>
      <c r="O3" s="92"/>
    </row>
    <row r="4" spans="1:15" ht="15.75">
      <c r="A4" s="1"/>
      <c r="B4" s="92"/>
      <c r="C4" s="92"/>
      <c r="D4" s="92"/>
      <c r="E4" s="92"/>
      <c r="F4" s="92"/>
      <c r="G4" s="92"/>
      <c r="H4" s="92"/>
      <c r="I4" s="92"/>
      <c r="J4" s="92"/>
      <c r="K4" s="92"/>
      <c r="L4" s="92"/>
      <c r="M4" s="92"/>
      <c r="N4" s="92"/>
      <c r="O4" s="92"/>
    </row>
    <row r="5" spans="1:15" ht="15.75">
      <c r="A5" s="9" t="s">
        <v>216</v>
      </c>
      <c r="B5" s="92"/>
      <c r="C5" s="92"/>
      <c r="D5" s="92"/>
      <c r="E5" s="92"/>
      <c r="F5" s="92"/>
      <c r="G5" s="92"/>
      <c r="H5" s="92"/>
      <c r="I5" s="92"/>
      <c r="J5" s="92"/>
      <c r="K5" s="92"/>
      <c r="L5" s="92"/>
      <c r="M5" s="92"/>
      <c r="N5" s="92"/>
      <c r="O5" s="92"/>
    </row>
    <row r="6" spans="1:15" ht="15.75">
      <c r="A6" s="9"/>
      <c r="B6" s="92"/>
      <c r="C6" s="92"/>
      <c r="D6" s="92"/>
      <c r="E6" s="92"/>
      <c r="F6" s="92"/>
      <c r="G6" s="92"/>
      <c r="H6" s="92"/>
      <c r="I6" s="92"/>
      <c r="J6" s="92"/>
      <c r="K6" s="92"/>
      <c r="L6" s="92"/>
      <c r="M6" s="92"/>
      <c r="N6" s="92"/>
      <c r="O6" s="92"/>
    </row>
    <row r="7" spans="1:15">
      <c r="A7" s="116" t="s">
        <v>217</v>
      </c>
      <c r="B7" s="92"/>
      <c r="C7" s="92"/>
      <c r="D7" s="92"/>
      <c r="E7" s="92"/>
      <c r="F7" s="92"/>
      <c r="G7" s="92"/>
      <c r="H7" s="92"/>
      <c r="I7" s="92"/>
      <c r="J7" s="92"/>
      <c r="K7" s="92"/>
      <c r="L7" s="92"/>
      <c r="M7" s="92"/>
      <c r="N7" s="92"/>
      <c r="O7" s="92"/>
    </row>
    <row r="8" spans="1:15" s="3" customFormat="1" ht="25.5" customHeight="1">
      <c r="A8" s="301" t="s">
        <v>218</v>
      </c>
      <c r="B8" s="302"/>
      <c r="C8" s="301" t="s">
        <v>219</v>
      </c>
      <c r="D8" s="303"/>
      <c r="E8" s="303"/>
      <c r="F8" s="303"/>
      <c r="G8" s="303"/>
      <c r="H8" s="303"/>
      <c r="I8" s="302"/>
      <c r="L8" s="81" t="s">
        <v>2</v>
      </c>
    </row>
    <row r="9" spans="1:15" s="3" customFormat="1" ht="22.5" customHeight="1">
      <c r="A9" s="304"/>
      <c r="B9" s="305"/>
      <c r="C9" s="306" t="s">
        <v>220</v>
      </c>
      <c r="D9" s="306"/>
      <c r="E9" s="306"/>
      <c r="F9" s="306" t="s">
        <v>221</v>
      </c>
      <c r="G9" s="306"/>
      <c r="H9" s="306"/>
      <c r="I9" s="306"/>
      <c r="L9" s="229" t="s">
        <v>222</v>
      </c>
      <c r="M9" s="229"/>
      <c r="N9" s="229"/>
      <c r="O9" s="229"/>
    </row>
    <row r="10" spans="1:15" s="3" customFormat="1" ht="22.5" customHeight="1">
      <c r="A10" s="300" t="s">
        <v>223</v>
      </c>
      <c r="B10" s="300"/>
      <c r="C10" s="308">
        <v>100</v>
      </c>
      <c r="D10" s="297"/>
      <c r="E10" s="297"/>
      <c r="F10" s="297">
        <v>100</v>
      </c>
      <c r="G10" s="297"/>
      <c r="H10" s="297"/>
      <c r="I10" s="297"/>
      <c r="L10" s="229"/>
      <c r="M10" s="229"/>
      <c r="N10" s="229"/>
      <c r="O10" s="229"/>
    </row>
    <row r="11" spans="1:15" s="3" customFormat="1" ht="22.5" customHeight="1">
      <c r="A11" s="300" t="s">
        <v>224</v>
      </c>
      <c r="B11" s="300"/>
      <c r="C11" s="297">
        <v>100</v>
      </c>
      <c r="D11" s="297"/>
      <c r="E11" s="297"/>
      <c r="F11" s="297">
        <v>100</v>
      </c>
      <c r="G11" s="297"/>
      <c r="H11" s="297"/>
      <c r="I11" s="297"/>
      <c r="L11" s="229"/>
      <c r="M11" s="229"/>
      <c r="N11" s="229"/>
      <c r="O11" s="229"/>
    </row>
    <row r="12" spans="1:15" s="3" customFormat="1" ht="22.5" customHeight="1">
      <c r="A12" s="300" t="s">
        <v>225</v>
      </c>
      <c r="B12" s="300"/>
      <c r="C12" s="297">
        <v>100</v>
      </c>
      <c r="D12" s="297"/>
      <c r="E12" s="297"/>
      <c r="F12" s="297">
        <v>100</v>
      </c>
      <c r="G12" s="297"/>
      <c r="H12" s="297"/>
      <c r="I12" s="297"/>
      <c r="L12" s="229"/>
      <c r="M12" s="229"/>
      <c r="N12" s="229"/>
      <c r="O12" s="229"/>
    </row>
    <row r="13" spans="1:15" s="3" customFormat="1" ht="22.5" customHeight="1">
      <c r="A13" s="300" t="s">
        <v>226</v>
      </c>
      <c r="B13" s="300"/>
      <c r="C13" s="266" t="s">
        <v>227</v>
      </c>
      <c r="D13" s="297"/>
      <c r="E13" s="297"/>
      <c r="F13" s="297">
        <v>100</v>
      </c>
      <c r="G13" s="297"/>
      <c r="H13" s="297"/>
      <c r="I13" s="297"/>
      <c r="L13" s="229"/>
      <c r="M13" s="229"/>
      <c r="N13" s="229"/>
      <c r="O13" s="229"/>
    </row>
    <row r="14" spans="1:15" s="3" customFormat="1" ht="22.5" customHeight="1">
      <c r="A14" s="300" t="s">
        <v>228</v>
      </c>
      <c r="B14" s="300"/>
      <c r="C14" s="297">
        <v>100</v>
      </c>
      <c r="D14" s="297"/>
      <c r="E14" s="297"/>
      <c r="F14" s="297">
        <v>100</v>
      </c>
      <c r="G14" s="297"/>
      <c r="H14" s="297"/>
      <c r="I14" s="297"/>
      <c r="L14" s="229"/>
      <c r="M14" s="229"/>
      <c r="N14" s="229"/>
      <c r="O14" s="229"/>
    </row>
    <row r="15" spans="1:15" s="3" customFormat="1" ht="22.5" customHeight="1">
      <c r="A15" s="300" t="s">
        <v>229</v>
      </c>
      <c r="B15" s="300"/>
      <c r="C15" s="297">
        <v>100</v>
      </c>
      <c r="D15" s="297"/>
      <c r="E15" s="297"/>
      <c r="F15" s="297">
        <v>100</v>
      </c>
      <c r="G15" s="297"/>
      <c r="H15" s="297"/>
      <c r="I15" s="297"/>
      <c r="L15" s="229"/>
      <c r="M15" s="229"/>
      <c r="N15" s="229"/>
      <c r="O15" s="229"/>
    </row>
    <row r="16" spans="1:15" s="3" customFormat="1" ht="22.5" customHeight="1">
      <c r="A16" s="300" t="s">
        <v>230</v>
      </c>
      <c r="B16" s="300"/>
      <c r="C16" s="297">
        <v>100</v>
      </c>
      <c r="D16" s="297"/>
      <c r="E16" s="297"/>
      <c r="F16" s="297">
        <v>100</v>
      </c>
      <c r="G16" s="297"/>
      <c r="H16" s="297"/>
      <c r="I16" s="297"/>
      <c r="L16" s="229"/>
      <c r="M16" s="229"/>
      <c r="N16" s="229"/>
      <c r="O16" s="229"/>
    </row>
    <row r="17" spans="1:15" s="3" customFormat="1" ht="22.5" customHeight="1">
      <c r="A17" s="298"/>
      <c r="B17" s="299"/>
      <c r="C17" s="297"/>
      <c r="D17" s="297"/>
      <c r="E17" s="297"/>
      <c r="F17" s="297"/>
      <c r="G17" s="297"/>
      <c r="H17" s="297"/>
      <c r="I17" s="297"/>
      <c r="L17" s="229"/>
      <c r="M17" s="229"/>
      <c r="N17" s="229"/>
      <c r="O17" s="229"/>
    </row>
    <row r="18" spans="1:15" s="3" customFormat="1" ht="14.25">
      <c r="L18" s="229"/>
      <c r="M18" s="229"/>
      <c r="N18" s="229"/>
      <c r="O18" s="229"/>
    </row>
    <row r="19" spans="1:15" s="45" customFormat="1" ht="21.75" customHeight="1">
      <c r="A19" s="288" t="s">
        <v>231</v>
      </c>
      <c r="B19" s="289"/>
      <c r="C19" s="289"/>
      <c r="D19" s="289"/>
      <c r="E19" s="289"/>
      <c r="F19" s="289"/>
      <c r="G19" s="289"/>
      <c r="H19" s="289"/>
      <c r="I19" s="289"/>
      <c r="J19" s="289"/>
      <c r="K19" s="290"/>
    </row>
    <row r="20" spans="1:15" s="3" customFormat="1" ht="38.25" customHeight="1">
      <c r="A20" s="46" t="s">
        <v>51</v>
      </c>
      <c r="B20" s="292" t="s">
        <v>232</v>
      </c>
      <c r="C20" s="292"/>
      <c r="D20" s="292"/>
      <c r="E20" s="292" t="s">
        <v>233</v>
      </c>
      <c r="F20" s="292"/>
      <c r="G20" s="292"/>
      <c r="H20" s="292" t="s">
        <v>234</v>
      </c>
      <c r="I20" s="292"/>
      <c r="J20" s="293"/>
      <c r="K20" s="72"/>
    </row>
    <row r="21" spans="1:15" s="3" customFormat="1" ht="14.25">
      <c r="A21" s="165">
        <v>44652</v>
      </c>
      <c r="B21" s="205" t="s">
        <v>235</v>
      </c>
      <c r="C21" s="205"/>
      <c r="D21" s="205"/>
      <c r="E21" s="205"/>
      <c r="F21" s="205"/>
      <c r="G21" s="205"/>
      <c r="H21" s="205"/>
      <c r="I21" s="205"/>
      <c r="J21" s="291"/>
      <c r="K21" s="72"/>
    </row>
    <row r="22" spans="1:15" s="3" customFormat="1" ht="14.25">
      <c r="A22" s="165">
        <v>44746</v>
      </c>
      <c r="B22" s="205" t="s">
        <v>236</v>
      </c>
      <c r="C22" s="205"/>
      <c r="D22" s="205"/>
      <c r="E22" s="205" t="s">
        <v>237</v>
      </c>
      <c r="F22" s="205"/>
      <c r="G22" s="205"/>
      <c r="H22" s="205"/>
      <c r="I22" s="205"/>
      <c r="J22" s="291"/>
      <c r="K22" s="72"/>
    </row>
    <row r="23" spans="1:15" s="3" customFormat="1" ht="14.25">
      <c r="A23" s="165">
        <v>44858</v>
      </c>
      <c r="B23" s="205" t="s">
        <v>236</v>
      </c>
      <c r="C23" s="205"/>
      <c r="D23" s="205"/>
      <c r="E23" s="205" t="s">
        <v>238</v>
      </c>
      <c r="F23" s="205"/>
      <c r="G23" s="205"/>
      <c r="H23" s="205" t="s">
        <v>239</v>
      </c>
      <c r="I23" s="205"/>
      <c r="J23" s="291"/>
      <c r="K23" s="72"/>
    </row>
    <row r="24" spans="1:15" s="3" customFormat="1" ht="14.25">
      <c r="A24" s="165">
        <v>44860</v>
      </c>
      <c r="B24" s="205" t="s">
        <v>236</v>
      </c>
      <c r="C24" s="205"/>
      <c r="D24" s="205"/>
      <c r="E24" s="294" t="s">
        <v>238</v>
      </c>
      <c r="F24" s="296"/>
      <c r="G24" s="295"/>
      <c r="H24" s="179" t="s">
        <v>239</v>
      </c>
      <c r="I24" s="180"/>
      <c r="J24" s="179"/>
      <c r="K24" s="72"/>
    </row>
    <row r="25" spans="1:15" s="3" customFormat="1" ht="14.25">
      <c r="A25" s="165">
        <v>44863</v>
      </c>
      <c r="B25" s="205" t="s">
        <v>236</v>
      </c>
      <c r="C25" s="205"/>
      <c r="D25" s="205"/>
      <c r="E25" s="294" t="s">
        <v>240</v>
      </c>
      <c r="F25" s="296"/>
      <c r="G25" s="295"/>
      <c r="H25" s="294" t="s">
        <v>241</v>
      </c>
      <c r="I25" s="295"/>
      <c r="J25" s="179"/>
      <c r="K25" s="72"/>
    </row>
    <row r="26" spans="1:15" s="3" customFormat="1" ht="14.25">
      <c r="A26" s="165">
        <v>44866</v>
      </c>
      <c r="B26" s="205" t="s">
        <v>236</v>
      </c>
      <c r="C26" s="205"/>
      <c r="D26" s="205"/>
      <c r="E26" s="205" t="s">
        <v>242</v>
      </c>
      <c r="F26" s="205"/>
      <c r="G26" s="205"/>
      <c r="H26" s="294" t="s">
        <v>241</v>
      </c>
      <c r="I26" s="295"/>
      <c r="K26" s="72"/>
    </row>
    <row r="27" spans="1:15" s="3" customFormat="1" ht="14.25">
      <c r="A27" s="165">
        <v>44917</v>
      </c>
      <c r="B27" s="205" t="s">
        <v>236</v>
      </c>
      <c r="C27" s="205"/>
      <c r="D27" s="205"/>
      <c r="E27" s="205" t="s">
        <v>237</v>
      </c>
      <c r="F27" s="205"/>
      <c r="G27" s="205"/>
      <c r="H27" s="205"/>
      <c r="I27" s="205"/>
      <c r="J27" s="291"/>
      <c r="K27" s="72"/>
    </row>
    <row r="28" spans="1:15" s="3" customFormat="1" ht="14.25"/>
    <row r="29" spans="1:15" s="45" customFormat="1" ht="22.5" customHeight="1">
      <c r="A29" s="288" t="s">
        <v>243</v>
      </c>
      <c r="B29" s="289"/>
      <c r="C29" s="289"/>
      <c r="D29" s="289"/>
      <c r="E29" s="289"/>
      <c r="F29" s="289"/>
      <c r="G29" s="289"/>
      <c r="H29" s="289"/>
      <c r="I29" s="289"/>
      <c r="J29" s="289"/>
      <c r="K29" s="290"/>
    </row>
    <row r="30" spans="1:15" s="3" customFormat="1" ht="39" customHeight="1">
      <c r="A30" s="46" t="s">
        <v>51</v>
      </c>
      <c r="B30" s="292" t="s">
        <v>244</v>
      </c>
      <c r="C30" s="292"/>
      <c r="D30" s="292"/>
      <c r="E30" s="292" t="s">
        <v>245</v>
      </c>
      <c r="F30" s="292"/>
      <c r="G30" s="292"/>
      <c r="H30" s="292" t="s">
        <v>234</v>
      </c>
      <c r="I30" s="292"/>
      <c r="J30" s="293"/>
      <c r="K30" s="72"/>
    </row>
    <row r="31" spans="1:15" s="3" customFormat="1" ht="14.25">
      <c r="A31" s="166"/>
      <c r="B31" s="205"/>
      <c r="C31" s="205"/>
      <c r="D31" s="205"/>
      <c r="E31" s="205"/>
      <c r="F31" s="205"/>
      <c r="G31" s="205"/>
      <c r="H31" s="205"/>
      <c r="I31" s="205"/>
      <c r="J31" s="291"/>
      <c r="K31" s="72"/>
    </row>
    <row r="32" spans="1:15" s="3" customFormat="1" ht="14.25">
      <c r="A32" s="166"/>
      <c r="B32" s="205"/>
      <c r="C32" s="205"/>
      <c r="D32" s="205"/>
      <c r="E32" s="205"/>
      <c r="F32" s="205"/>
      <c r="G32" s="205"/>
      <c r="H32" s="205"/>
      <c r="I32" s="205"/>
      <c r="J32" s="291"/>
      <c r="K32" s="72"/>
    </row>
    <row r="33" spans="1:15" ht="14.25" customHeight="1">
      <c r="A33" s="166"/>
      <c r="B33" s="205"/>
      <c r="C33" s="205"/>
      <c r="D33" s="205"/>
      <c r="E33" s="205"/>
      <c r="F33" s="205"/>
      <c r="G33" s="205"/>
      <c r="H33" s="205"/>
      <c r="I33" s="205"/>
      <c r="J33" s="291"/>
      <c r="K33" s="72"/>
      <c r="L33" s="92"/>
      <c r="M33" s="92"/>
      <c r="N33" s="92"/>
      <c r="O33" s="92"/>
    </row>
    <row r="34" spans="1:15" s="3" customFormat="1" ht="14.25">
      <c r="A34" s="166"/>
      <c r="B34" s="205"/>
      <c r="C34" s="205"/>
      <c r="D34" s="205"/>
      <c r="E34" s="205"/>
      <c r="F34" s="205"/>
      <c r="G34" s="205"/>
      <c r="H34" s="205"/>
      <c r="I34" s="205"/>
      <c r="J34" s="291"/>
      <c r="K34" s="72"/>
    </row>
    <row r="35" spans="1:15" s="3" customFormat="1" ht="14.25">
      <c r="A35" s="166"/>
      <c r="B35" s="205"/>
      <c r="C35" s="205"/>
      <c r="D35" s="205"/>
      <c r="E35" s="205"/>
      <c r="F35" s="205"/>
      <c r="G35" s="205"/>
      <c r="H35" s="205"/>
      <c r="I35" s="205"/>
      <c r="J35" s="291"/>
      <c r="K35" s="72"/>
    </row>
    <row r="36" spans="1:15" s="3" customFormat="1" ht="29.25" customHeight="1">
      <c r="A36" s="116"/>
      <c r="E36" s="307" t="s">
        <v>246</v>
      </c>
      <c r="F36" s="307"/>
      <c r="G36" s="307"/>
      <c r="H36" s="307"/>
      <c r="I36" s="307"/>
      <c r="J36" s="116"/>
    </row>
    <row r="69" spans="6:6">
      <c r="F69" s="3"/>
    </row>
  </sheetData>
  <mergeCells count="74">
    <mergeCell ref="L9:O18"/>
    <mergeCell ref="E36:I36"/>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B22:D22"/>
    <mergeCell ref="E22:G22"/>
    <mergeCell ref="H22:J22"/>
    <mergeCell ref="B23:D23"/>
    <mergeCell ref="E23:G23"/>
    <mergeCell ref="H23:J23"/>
    <mergeCell ref="A29:K29"/>
    <mergeCell ref="B25:D25"/>
    <mergeCell ref="E25:G25"/>
    <mergeCell ref="H25:I25"/>
    <mergeCell ref="B24:D24"/>
    <mergeCell ref="E24:G24"/>
    <mergeCell ref="B35:D35"/>
    <mergeCell ref="E35:G35"/>
    <mergeCell ref="H35:J35"/>
    <mergeCell ref="B32:D32"/>
    <mergeCell ref="E32:G32"/>
    <mergeCell ref="H32:J32"/>
    <mergeCell ref="B33:D33"/>
    <mergeCell ref="E33:G33"/>
    <mergeCell ref="H33:J33"/>
    <mergeCell ref="A19:K19"/>
    <mergeCell ref="B34:D34"/>
    <mergeCell ref="E34:G34"/>
    <mergeCell ref="H34:J34"/>
    <mergeCell ref="B30:D30"/>
    <mergeCell ref="E30:G30"/>
    <mergeCell ref="H30:J30"/>
    <mergeCell ref="B31:D31"/>
    <mergeCell ref="E31:G31"/>
    <mergeCell ref="H31:J31"/>
    <mergeCell ref="B26:D26"/>
    <mergeCell ref="E26:G26"/>
    <mergeCell ref="H27:J27"/>
    <mergeCell ref="B27:D27"/>
    <mergeCell ref="E27:G27"/>
    <mergeCell ref="H26:I26"/>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topLeftCell="A48" workbookViewId="0">
      <selection activeCell="L46" sqref="L4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Tradebe Fawley Limited</v>
      </c>
      <c r="F1" s="92"/>
      <c r="G1" s="92"/>
      <c r="H1" s="92"/>
      <c r="I1" s="92"/>
    </row>
    <row r="3" spans="1:9" ht="15.75">
      <c r="A3" s="1" t="s">
        <v>247</v>
      </c>
      <c r="B3" s="92"/>
      <c r="C3" s="92"/>
      <c r="D3" s="92"/>
      <c r="E3" s="92"/>
      <c r="F3" s="92"/>
      <c r="G3" s="92"/>
      <c r="H3" s="92"/>
      <c r="I3" s="92"/>
    </row>
    <row r="4" spans="1:9" ht="15.75">
      <c r="A4" s="1"/>
      <c r="B4" s="92"/>
      <c r="C4" s="92"/>
      <c r="D4" s="92"/>
      <c r="E4" s="92"/>
      <c r="F4" s="92"/>
      <c r="G4" s="92"/>
      <c r="H4" s="92"/>
      <c r="I4" s="92"/>
    </row>
    <row r="5" spans="1:9" s="3" customFormat="1">
      <c r="A5" s="321" t="s">
        <v>248</v>
      </c>
      <c r="B5" s="322"/>
      <c r="C5" s="322"/>
      <c r="D5" s="322"/>
      <c r="E5" s="322"/>
      <c r="F5" s="322"/>
      <c r="G5" s="322"/>
      <c r="H5" s="322"/>
      <c r="I5" s="323"/>
    </row>
    <row r="6" spans="1:9" s="3" customFormat="1" ht="15.75" customHeight="1">
      <c r="A6" s="324" t="s">
        <v>249</v>
      </c>
      <c r="B6" s="221"/>
      <c r="C6" s="221"/>
      <c r="D6" s="221"/>
      <c r="E6" s="221"/>
      <c r="F6" s="221"/>
      <c r="G6" s="221"/>
      <c r="H6" s="221"/>
      <c r="I6" s="222"/>
    </row>
    <row r="7" spans="1:9" s="3" customFormat="1" ht="15.75" customHeight="1">
      <c r="A7" s="223"/>
      <c r="B7" s="224"/>
      <c r="C7" s="224"/>
      <c r="D7" s="224"/>
      <c r="E7" s="224"/>
      <c r="F7" s="224"/>
      <c r="G7" s="224"/>
      <c r="H7" s="224"/>
      <c r="I7" s="225"/>
    </row>
    <row r="8" spans="1:9" s="3" customFormat="1" ht="15.75" customHeight="1">
      <c r="A8" s="223"/>
      <c r="B8" s="224"/>
      <c r="C8" s="224"/>
      <c r="D8" s="224"/>
      <c r="E8" s="224"/>
      <c r="F8" s="224"/>
      <c r="G8" s="224"/>
      <c r="H8" s="224"/>
      <c r="I8" s="225"/>
    </row>
    <row r="9" spans="1:9" s="3" customFormat="1" ht="15.75" customHeight="1">
      <c r="A9" s="223"/>
      <c r="B9" s="224"/>
      <c r="C9" s="224"/>
      <c r="D9" s="224"/>
      <c r="E9" s="224"/>
      <c r="F9" s="224"/>
      <c r="G9" s="224"/>
      <c r="H9" s="224"/>
      <c r="I9" s="225"/>
    </row>
    <row r="10" spans="1:9" s="3" customFormat="1" ht="15.75" customHeight="1">
      <c r="A10" s="223"/>
      <c r="B10" s="224"/>
      <c r="C10" s="224"/>
      <c r="D10" s="224"/>
      <c r="E10" s="224"/>
      <c r="F10" s="224"/>
      <c r="G10" s="224"/>
      <c r="H10" s="224"/>
      <c r="I10" s="225"/>
    </row>
    <row r="11" spans="1:9" s="3" customFormat="1" ht="15.75" customHeight="1">
      <c r="A11" s="223"/>
      <c r="B11" s="224"/>
      <c r="C11" s="224"/>
      <c r="D11" s="224"/>
      <c r="E11" s="224"/>
      <c r="F11" s="224"/>
      <c r="G11" s="224"/>
      <c r="H11" s="224"/>
      <c r="I11" s="225"/>
    </row>
    <row r="12" spans="1:9" s="3" customFormat="1" ht="15.75" customHeight="1">
      <c r="A12" s="223"/>
      <c r="B12" s="224"/>
      <c r="C12" s="224"/>
      <c r="D12" s="224"/>
      <c r="E12" s="224"/>
      <c r="F12" s="224"/>
      <c r="G12" s="224"/>
      <c r="H12" s="224"/>
      <c r="I12" s="225"/>
    </row>
    <row r="13" spans="1:9" s="3" customFormat="1" ht="15.75" customHeight="1">
      <c r="A13" s="223"/>
      <c r="B13" s="224"/>
      <c r="C13" s="224"/>
      <c r="D13" s="224"/>
      <c r="E13" s="224"/>
      <c r="F13" s="224"/>
      <c r="G13" s="224"/>
      <c r="H13" s="224"/>
      <c r="I13" s="225"/>
    </row>
    <row r="14" spans="1:9" s="3" customFormat="1" ht="15.75" customHeight="1">
      <c r="A14" s="226"/>
      <c r="B14" s="227"/>
      <c r="C14" s="227"/>
      <c r="D14" s="227"/>
      <c r="E14" s="227"/>
      <c r="F14" s="227"/>
      <c r="G14" s="227"/>
      <c r="H14" s="227"/>
      <c r="I14" s="228"/>
    </row>
    <row r="15" spans="1:9" s="3" customFormat="1" ht="14.25"/>
    <row r="16" spans="1:9" s="47" customFormat="1" ht="33.75" customHeight="1">
      <c r="A16" s="309" t="s">
        <v>250</v>
      </c>
      <c r="B16" s="310"/>
      <c r="C16" s="310"/>
      <c r="D16" s="310"/>
      <c r="E16" s="310"/>
      <c r="F16" s="310"/>
      <c r="G16" s="310"/>
      <c r="H16" s="310"/>
      <c r="I16" s="311"/>
    </row>
    <row r="17" spans="1:9" ht="15.75" customHeight="1">
      <c r="A17" s="324" t="s">
        <v>249</v>
      </c>
      <c r="B17" s="221"/>
      <c r="C17" s="221"/>
      <c r="D17" s="221"/>
      <c r="E17" s="221"/>
      <c r="F17" s="221"/>
      <c r="G17" s="221"/>
      <c r="H17" s="221"/>
      <c r="I17" s="222"/>
    </row>
    <row r="18" spans="1:9" ht="15.75" customHeight="1">
      <c r="A18" s="223"/>
      <c r="B18" s="224"/>
      <c r="C18" s="224"/>
      <c r="D18" s="224"/>
      <c r="E18" s="224"/>
      <c r="F18" s="224"/>
      <c r="G18" s="224"/>
      <c r="H18" s="224"/>
      <c r="I18" s="225"/>
    </row>
    <row r="19" spans="1:9" ht="15.75" customHeight="1">
      <c r="A19" s="223"/>
      <c r="B19" s="224"/>
      <c r="C19" s="224"/>
      <c r="D19" s="224"/>
      <c r="E19" s="224"/>
      <c r="F19" s="224"/>
      <c r="G19" s="224"/>
      <c r="H19" s="224"/>
      <c r="I19" s="225"/>
    </row>
    <row r="20" spans="1:9" ht="15.75" customHeight="1">
      <c r="A20" s="223"/>
      <c r="B20" s="224"/>
      <c r="C20" s="224"/>
      <c r="D20" s="224"/>
      <c r="E20" s="224"/>
      <c r="F20" s="224"/>
      <c r="G20" s="224"/>
      <c r="H20" s="224"/>
      <c r="I20" s="225"/>
    </row>
    <row r="21" spans="1:9" ht="15.75" customHeight="1">
      <c r="A21" s="223"/>
      <c r="B21" s="224"/>
      <c r="C21" s="224"/>
      <c r="D21" s="224"/>
      <c r="E21" s="224"/>
      <c r="F21" s="224"/>
      <c r="G21" s="224"/>
      <c r="H21" s="224"/>
      <c r="I21" s="225"/>
    </row>
    <row r="22" spans="1:9" ht="15.75" customHeight="1">
      <c r="A22" s="223"/>
      <c r="B22" s="224"/>
      <c r="C22" s="224"/>
      <c r="D22" s="224"/>
      <c r="E22" s="224"/>
      <c r="F22" s="224"/>
      <c r="G22" s="224"/>
      <c r="H22" s="224"/>
      <c r="I22" s="225"/>
    </row>
    <row r="23" spans="1:9" ht="15.75" customHeight="1">
      <c r="A23" s="223"/>
      <c r="B23" s="224"/>
      <c r="C23" s="224"/>
      <c r="D23" s="224"/>
      <c r="E23" s="224"/>
      <c r="F23" s="224"/>
      <c r="G23" s="224"/>
      <c r="H23" s="224"/>
      <c r="I23" s="225"/>
    </row>
    <row r="24" spans="1:9" ht="15.75" customHeight="1">
      <c r="A24" s="223"/>
      <c r="B24" s="224"/>
      <c r="C24" s="224"/>
      <c r="D24" s="224"/>
      <c r="E24" s="224"/>
      <c r="F24" s="224"/>
      <c r="G24" s="224"/>
      <c r="H24" s="224"/>
      <c r="I24" s="225"/>
    </row>
    <row r="25" spans="1:9" ht="15.75" customHeight="1">
      <c r="A25" s="226"/>
      <c r="B25" s="227"/>
      <c r="C25" s="227"/>
      <c r="D25" s="227"/>
      <c r="E25" s="227"/>
      <c r="F25" s="227"/>
      <c r="G25" s="227"/>
      <c r="H25" s="227"/>
      <c r="I25" s="228"/>
    </row>
    <row r="26" spans="1:9" ht="15.75">
      <c r="A26" s="1"/>
      <c r="B26" s="92"/>
      <c r="C26" s="92"/>
      <c r="D26" s="92"/>
      <c r="E26" s="92"/>
      <c r="F26" s="92"/>
      <c r="G26" s="92"/>
      <c r="H26" s="92"/>
      <c r="I26" s="92"/>
    </row>
    <row r="27" spans="1:9" ht="36.75" customHeight="1">
      <c r="A27" s="309" t="s">
        <v>251</v>
      </c>
      <c r="B27" s="310"/>
      <c r="C27" s="310"/>
      <c r="D27" s="310"/>
      <c r="E27" s="310"/>
      <c r="F27" s="310"/>
      <c r="G27" s="310"/>
      <c r="H27" s="310"/>
      <c r="I27" s="311"/>
    </row>
    <row r="28" spans="1:9" ht="15.75" customHeight="1">
      <c r="A28" s="324" t="s">
        <v>249</v>
      </c>
      <c r="B28" s="221"/>
      <c r="C28" s="221"/>
      <c r="D28" s="221"/>
      <c r="E28" s="221"/>
      <c r="F28" s="221"/>
      <c r="G28" s="221"/>
      <c r="H28" s="221"/>
      <c r="I28" s="222"/>
    </row>
    <row r="29" spans="1:9" ht="15.75" customHeight="1">
      <c r="A29" s="223"/>
      <c r="B29" s="224"/>
      <c r="C29" s="224"/>
      <c r="D29" s="224"/>
      <c r="E29" s="224"/>
      <c r="F29" s="224"/>
      <c r="G29" s="224"/>
      <c r="H29" s="224"/>
      <c r="I29" s="225"/>
    </row>
    <row r="30" spans="1:9" ht="15.75" customHeight="1">
      <c r="A30" s="223"/>
      <c r="B30" s="224"/>
      <c r="C30" s="224"/>
      <c r="D30" s="224"/>
      <c r="E30" s="224"/>
      <c r="F30" s="224"/>
      <c r="G30" s="224"/>
      <c r="H30" s="224"/>
      <c r="I30" s="225"/>
    </row>
    <row r="31" spans="1:9" ht="15.75" customHeight="1">
      <c r="A31" s="223"/>
      <c r="B31" s="224"/>
      <c r="C31" s="224"/>
      <c r="D31" s="224"/>
      <c r="E31" s="224"/>
      <c r="F31" s="224"/>
      <c r="G31" s="224"/>
      <c r="H31" s="224"/>
      <c r="I31" s="225"/>
    </row>
    <row r="32" spans="1:9" ht="15.75" customHeight="1">
      <c r="A32" s="223"/>
      <c r="B32" s="224"/>
      <c r="C32" s="224"/>
      <c r="D32" s="224"/>
      <c r="E32" s="224"/>
      <c r="F32" s="224"/>
      <c r="G32" s="224"/>
      <c r="H32" s="224"/>
      <c r="I32" s="225"/>
    </row>
    <row r="33" spans="1:9" ht="15.75" customHeight="1">
      <c r="A33" s="223"/>
      <c r="B33" s="224"/>
      <c r="C33" s="224"/>
      <c r="D33" s="224"/>
      <c r="E33" s="224"/>
      <c r="F33" s="224"/>
      <c r="G33" s="224"/>
      <c r="H33" s="224"/>
      <c r="I33" s="225"/>
    </row>
    <row r="34" spans="1:9" ht="15.75" customHeight="1">
      <c r="A34" s="223"/>
      <c r="B34" s="224"/>
      <c r="C34" s="224"/>
      <c r="D34" s="224"/>
      <c r="E34" s="224"/>
      <c r="F34" s="224"/>
      <c r="G34" s="224"/>
      <c r="H34" s="224"/>
      <c r="I34" s="225"/>
    </row>
    <row r="35" spans="1:9" ht="15.75" customHeight="1">
      <c r="A35" s="223"/>
      <c r="B35" s="224"/>
      <c r="C35" s="224"/>
      <c r="D35" s="224"/>
      <c r="E35" s="224"/>
      <c r="F35" s="224"/>
      <c r="G35" s="224"/>
      <c r="H35" s="224"/>
      <c r="I35" s="225"/>
    </row>
    <row r="36" spans="1:9" ht="15.75" customHeight="1">
      <c r="A36" s="226"/>
      <c r="B36" s="227"/>
      <c r="C36" s="227"/>
      <c r="D36" s="227"/>
      <c r="E36" s="227"/>
      <c r="F36" s="227"/>
      <c r="G36" s="227"/>
      <c r="H36" s="227"/>
      <c r="I36" s="228"/>
    </row>
    <row r="38" spans="1:9" ht="33" customHeight="1">
      <c r="A38" s="309" t="s">
        <v>252</v>
      </c>
      <c r="B38" s="310"/>
      <c r="C38" s="310"/>
      <c r="D38" s="310"/>
      <c r="E38" s="310"/>
      <c r="F38" s="310"/>
      <c r="G38" s="310"/>
      <c r="H38" s="310"/>
      <c r="I38" s="311"/>
    </row>
    <row r="39" spans="1:9" ht="15.75" customHeight="1">
      <c r="A39" s="312" t="s">
        <v>253</v>
      </c>
      <c r="B39" s="313"/>
      <c r="C39" s="313"/>
      <c r="D39" s="313"/>
      <c r="E39" s="313"/>
      <c r="F39" s="313"/>
      <c r="G39" s="313"/>
      <c r="H39" s="313"/>
      <c r="I39" s="314"/>
    </row>
    <row r="40" spans="1:9" ht="15.75" customHeight="1">
      <c r="A40" s="315"/>
      <c r="B40" s="316"/>
      <c r="C40" s="316"/>
      <c r="D40" s="316"/>
      <c r="E40" s="316"/>
      <c r="F40" s="316"/>
      <c r="G40" s="316"/>
      <c r="H40" s="316"/>
      <c r="I40" s="317"/>
    </row>
    <row r="41" spans="1:9" ht="15.75" customHeight="1">
      <c r="A41" s="315"/>
      <c r="B41" s="316"/>
      <c r="C41" s="316"/>
      <c r="D41" s="316"/>
      <c r="E41" s="316"/>
      <c r="F41" s="316"/>
      <c r="G41" s="316"/>
      <c r="H41" s="316"/>
      <c r="I41" s="317"/>
    </row>
    <row r="42" spans="1:9" ht="15.75" customHeight="1">
      <c r="A42" s="315"/>
      <c r="B42" s="316"/>
      <c r="C42" s="316"/>
      <c r="D42" s="316"/>
      <c r="E42" s="316"/>
      <c r="F42" s="316"/>
      <c r="G42" s="316"/>
      <c r="H42" s="316"/>
      <c r="I42" s="317"/>
    </row>
    <row r="43" spans="1:9" ht="15.75" customHeight="1">
      <c r="A43" s="315"/>
      <c r="B43" s="316"/>
      <c r="C43" s="316"/>
      <c r="D43" s="316"/>
      <c r="E43" s="316"/>
      <c r="F43" s="316"/>
      <c r="G43" s="316"/>
      <c r="H43" s="316"/>
      <c r="I43" s="317"/>
    </row>
    <row r="44" spans="1:9" ht="15.75" customHeight="1">
      <c r="A44" s="315"/>
      <c r="B44" s="316"/>
      <c r="C44" s="316"/>
      <c r="D44" s="316"/>
      <c r="E44" s="316"/>
      <c r="F44" s="316"/>
      <c r="G44" s="316"/>
      <c r="H44" s="316"/>
      <c r="I44" s="317"/>
    </row>
    <row r="45" spans="1:9" ht="15.75" customHeight="1">
      <c r="A45" s="315"/>
      <c r="B45" s="316"/>
      <c r="C45" s="316"/>
      <c r="D45" s="316"/>
      <c r="E45" s="316"/>
      <c r="F45" s="316"/>
      <c r="G45" s="316"/>
      <c r="H45" s="316"/>
      <c r="I45" s="317"/>
    </row>
    <row r="46" spans="1:9" ht="15.75" customHeight="1">
      <c r="A46" s="315"/>
      <c r="B46" s="316"/>
      <c r="C46" s="316"/>
      <c r="D46" s="316"/>
      <c r="E46" s="316"/>
      <c r="F46" s="316"/>
      <c r="G46" s="316"/>
      <c r="H46" s="316"/>
      <c r="I46" s="317"/>
    </row>
    <row r="47" spans="1:9" ht="15.75" customHeight="1">
      <c r="A47" s="315"/>
      <c r="B47" s="316"/>
      <c r="C47" s="316"/>
      <c r="D47" s="316"/>
      <c r="E47" s="316"/>
      <c r="F47" s="316"/>
      <c r="G47" s="316"/>
      <c r="H47" s="316"/>
      <c r="I47" s="317"/>
    </row>
    <row r="48" spans="1:9" ht="145.15" customHeight="1">
      <c r="A48" s="318"/>
      <c r="B48" s="319"/>
      <c r="C48" s="319"/>
      <c r="D48" s="319"/>
      <c r="E48" s="319"/>
      <c r="F48" s="319"/>
      <c r="G48" s="319"/>
      <c r="H48" s="319"/>
      <c r="I48" s="320"/>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C9" sqref="C9:I10"/>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Tradebe Fawley Limited</v>
      </c>
      <c r="F1" s="92"/>
      <c r="G1" s="92"/>
      <c r="H1" s="92"/>
      <c r="I1" s="92"/>
    </row>
    <row r="3" spans="1:9" ht="15.75">
      <c r="A3" s="1" t="s">
        <v>254</v>
      </c>
      <c r="B3" s="92"/>
      <c r="C3" s="92"/>
      <c r="D3" s="92"/>
      <c r="E3" s="92"/>
      <c r="F3" s="92"/>
      <c r="G3" s="92"/>
      <c r="H3" s="92"/>
      <c r="I3" s="92"/>
    </row>
    <row r="4" spans="1:9" ht="15.75">
      <c r="A4" s="1"/>
      <c r="B4" s="92"/>
      <c r="C4" s="92"/>
      <c r="D4" s="92"/>
      <c r="E4" s="92"/>
      <c r="F4" s="92"/>
      <c r="G4" s="92"/>
      <c r="H4" s="92"/>
      <c r="I4" s="92"/>
    </row>
    <row r="5" spans="1:9" s="3" customFormat="1" ht="28.5" customHeight="1">
      <c r="A5" s="48" t="s">
        <v>255</v>
      </c>
      <c r="B5" s="49"/>
      <c r="C5" s="49"/>
      <c r="D5" s="49"/>
      <c r="E5" s="49"/>
      <c r="F5" s="49"/>
      <c r="G5" s="49"/>
      <c r="H5" s="49"/>
      <c r="I5" s="50"/>
    </row>
    <row r="6" spans="1:9" s="3" customFormat="1" ht="15.75" customHeight="1">
      <c r="A6" s="321" t="s">
        <v>51</v>
      </c>
      <c r="B6" s="323"/>
      <c r="C6" s="321" t="s">
        <v>256</v>
      </c>
      <c r="D6" s="322"/>
      <c r="E6" s="322"/>
      <c r="F6" s="322"/>
      <c r="G6" s="322"/>
      <c r="H6" s="322"/>
      <c r="I6" s="323"/>
    </row>
    <row r="7" spans="1:9" s="3" customFormat="1" ht="15.75" customHeight="1">
      <c r="A7" s="324"/>
      <c r="B7" s="222"/>
      <c r="C7" s="324"/>
      <c r="D7" s="221"/>
      <c r="E7" s="221"/>
      <c r="F7" s="221"/>
      <c r="G7" s="221"/>
      <c r="H7" s="221"/>
      <c r="I7" s="222"/>
    </row>
    <row r="8" spans="1:9" s="3" customFormat="1" ht="15.75" customHeight="1">
      <c r="A8" s="226"/>
      <c r="B8" s="228"/>
      <c r="C8" s="226"/>
      <c r="D8" s="227"/>
      <c r="E8" s="227"/>
      <c r="F8" s="227"/>
      <c r="G8" s="227"/>
      <c r="H8" s="227"/>
      <c r="I8" s="228"/>
    </row>
    <row r="9" spans="1:9" s="3" customFormat="1" ht="15.75" customHeight="1">
      <c r="A9" s="324"/>
      <c r="B9" s="222"/>
      <c r="C9" s="324"/>
      <c r="D9" s="221"/>
      <c r="E9" s="221"/>
      <c r="F9" s="221"/>
      <c r="G9" s="221"/>
      <c r="H9" s="221"/>
      <c r="I9" s="222"/>
    </row>
    <row r="10" spans="1:9" s="3" customFormat="1" ht="15.75" customHeight="1">
      <c r="A10" s="226"/>
      <c r="B10" s="228"/>
      <c r="C10" s="226"/>
      <c r="D10" s="227"/>
      <c r="E10" s="227"/>
      <c r="F10" s="227"/>
      <c r="G10" s="227"/>
      <c r="H10" s="227"/>
      <c r="I10" s="228"/>
    </row>
    <row r="11" spans="1:9" s="3" customFormat="1" ht="15.75" customHeight="1">
      <c r="A11" s="324"/>
      <c r="B11" s="222"/>
      <c r="C11" s="324"/>
      <c r="D11" s="221"/>
      <c r="E11" s="221"/>
      <c r="F11" s="221"/>
      <c r="G11" s="221"/>
      <c r="H11" s="221"/>
      <c r="I11" s="222"/>
    </row>
    <row r="12" spans="1:9" s="3" customFormat="1" ht="15.75" customHeight="1">
      <c r="A12" s="226"/>
      <c r="B12" s="228"/>
      <c r="C12" s="226"/>
      <c r="D12" s="227"/>
      <c r="E12" s="227"/>
      <c r="F12" s="227"/>
      <c r="G12" s="227"/>
      <c r="H12" s="227"/>
      <c r="I12" s="228"/>
    </row>
    <row r="13" spans="1:9" s="3" customFormat="1" ht="15.75" customHeight="1">
      <c r="A13" s="324"/>
      <c r="B13" s="222"/>
      <c r="C13" s="324"/>
      <c r="D13" s="221"/>
      <c r="E13" s="221"/>
      <c r="F13" s="221"/>
      <c r="G13" s="221"/>
      <c r="H13" s="221"/>
      <c r="I13" s="222"/>
    </row>
    <row r="14" spans="1:9" s="3" customFormat="1" ht="15.75" customHeight="1">
      <c r="A14" s="226"/>
      <c r="B14" s="228"/>
      <c r="C14" s="226"/>
      <c r="D14" s="227"/>
      <c r="E14" s="227"/>
      <c r="F14" s="227"/>
      <c r="G14" s="227"/>
      <c r="H14" s="227"/>
      <c r="I14" s="228"/>
    </row>
    <row r="15" spans="1:9" s="3" customFormat="1" ht="14.25"/>
    <row r="16" spans="1:9" s="47" customFormat="1" ht="33.75" customHeight="1">
      <c r="A16" s="309" t="s">
        <v>257</v>
      </c>
      <c r="B16" s="310"/>
      <c r="C16" s="310"/>
      <c r="D16" s="310"/>
      <c r="E16" s="310"/>
      <c r="F16" s="310"/>
      <c r="G16" s="310"/>
      <c r="H16" s="310"/>
      <c r="I16" s="311"/>
    </row>
    <row r="17" spans="1:9" ht="15.75" customHeight="1">
      <c r="A17" s="321" t="s">
        <v>51</v>
      </c>
      <c r="B17" s="323"/>
      <c r="C17" s="321" t="s">
        <v>256</v>
      </c>
      <c r="D17" s="322"/>
      <c r="E17" s="322"/>
      <c r="F17" s="322"/>
      <c r="G17" s="322"/>
      <c r="H17" s="322"/>
      <c r="I17" s="322"/>
    </row>
    <row r="18" spans="1:9" ht="15.75" customHeight="1">
      <c r="A18" s="324"/>
      <c r="B18" s="222"/>
      <c r="C18" s="324"/>
      <c r="D18" s="221"/>
      <c r="E18" s="221"/>
      <c r="F18" s="221"/>
      <c r="G18" s="221"/>
      <c r="H18" s="221"/>
      <c r="I18" s="222"/>
    </row>
    <row r="19" spans="1:9" ht="15.75" customHeight="1">
      <c r="A19" s="226"/>
      <c r="B19" s="228"/>
      <c r="C19" s="226"/>
      <c r="D19" s="227"/>
      <c r="E19" s="227"/>
      <c r="F19" s="227"/>
      <c r="G19" s="227"/>
      <c r="H19" s="227"/>
      <c r="I19" s="228"/>
    </row>
    <row r="20" spans="1:9" ht="15.75" customHeight="1">
      <c r="A20" s="324"/>
      <c r="B20" s="222"/>
      <c r="C20" s="324"/>
      <c r="D20" s="221"/>
      <c r="E20" s="221"/>
      <c r="F20" s="221"/>
      <c r="G20" s="221"/>
      <c r="H20" s="221"/>
      <c r="I20" s="222"/>
    </row>
    <row r="21" spans="1:9" ht="15.75" customHeight="1">
      <c r="A21" s="226"/>
      <c r="B21" s="228"/>
      <c r="C21" s="226"/>
      <c r="D21" s="227"/>
      <c r="E21" s="227"/>
      <c r="F21" s="227"/>
      <c r="G21" s="227"/>
      <c r="H21" s="227"/>
      <c r="I21" s="228"/>
    </row>
    <row r="22" spans="1:9" ht="15.75" customHeight="1">
      <c r="A22" s="324"/>
      <c r="B22" s="222"/>
      <c r="C22" s="324"/>
      <c r="D22" s="221"/>
      <c r="E22" s="221"/>
      <c r="F22" s="221"/>
      <c r="G22" s="221"/>
      <c r="H22" s="221"/>
      <c r="I22" s="222"/>
    </row>
    <row r="23" spans="1:9" ht="15.75" customHeight="1">
      <c r="A23" s="226"/>
      <c r="B23" s="228"/>
      <c r="C23" s="226"/>
      <c r="D23" s="227"/>
      <c r="E23" s="227"/>
      <c r="F23" s="227"/>
      <c r="G23" s="227"/>
      <c r="H23" s="227"/>
      <c r="I23" s="228"/>
    </row>
    <row r="24" spans="1:9" ht="15.75" customHeight="1">
      <c r="A24" s="324"/>
      <c r="B24" s="222"/>
      <c r="C24" s="324"/>
      <c r="D24" s="221"/>
      <c r="E24" s="221"/>
      <c r="F24" s="221"/>
      <c r="G24" s="221"/>
      <c r="H24" s="221"/>
      <c r="I24" s="222"/>
    </row>
    <row r="25" spans="1:9" ht="15.75" customHeight="1">
      <c r="A25" s="226"/>
      <c r="B25" s="228"/>
      <c r="C25" s="226"/>
      <c r="D25" s="227"/>
      <c r="E25" s="227"/>
      <c r="F25" s="227"/>
      <c r="G25" s="227"/>
      <c r="H25" s="227"/>
      <c r="I25" s="228"/>
    </row>
    <row r="26" spans="1:9" ht="15.75" customHeight="1">
      <c r="A26" s="324"/>
      <c r="B26" s="222"/>
      <c r="C26" s="324"/>
      <c r="D26" s="221"/>
      <c r="E26" s="221"/>
      <c r="F26" s="221"/>
      <c r="G26" s="221"/>
      <c r="H26" s="221"/>
      <c r="I26" s="222"/>
    </row>
    <row r="27" spans="1:9" ht="15.75" customHeight="1">
      <c r="A27" s="226"/>
      <c r="B27" s="228"/>
      <c r="C27" s="226"/>
      <c r="D27" s="227"/>
      <c r="E27" s="227"/>
      <c r="F27" s="227"/>
      <c r="G27" s="227"/>
      <c r="H27" s="227"/>
      <c r="I27" s="228"/>
    </row>
    <row r="28" spans="1:9" ht="15.75">
      <c r="A28" s="1"/>
      <c r="B28" s="92"/>
      <c r="C28" s="92"/>
      <c r="D28" s="92"/>
      <c r="E28" s="92"/>
      <c r="F28" s="92"/>
      <c r="G28" s="92"/>
      <c r="H28" s="92"/>
      <c r="I28" s="92"/>
    </row>
    <row r="29" spans="1:9" ht="36.75" customHeight="1">
      <c r="A29" s="309" t="s">
        <v>258</v>
      </c>
      <c r="B29" s="310"/>
      <c r="C29" s="310"/>
      <c r="D29" s="310"/>
      <c r="E29" s="310"/>
      <c r="F29" s="310"/>
      <c r="G29" s="310"/>
      <c r="H29" s="310"/>
      <c r="I29" s="311"/>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16" workbookViewId="0">
      <selection activeCell="D31" sqref="D31:E31"/>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Tradebe Fawley Limited</v>
      </c>
      <c r="F1" s="92"/>
      <c r="G1" s="92"/>
    </row>
    <row r="3" spans="1:7" ht="15.75">
      <c r="A3" s="1" t="s">
        <v>259</v>
      </c>
      <c r="B3" s="92"/>
      <c r="C3" s="92"/>
      <c r="D3" s="92"/>
      <c r="E3" s="92"/>
      <c r="F3" s="92"/>
      <c r="G3" s="92"/>
    </row>
    <row r="4" spans="1:7" ht="15.75">
      <c r="A4" s="1"/>
      <c r="B4" s="92"/>
      <c r="C4" s="92"/>
      <c r="D4" s="92"/>
      <c r="E4" s="92"/>
      <c r="F4" s="92"/>
      <c r="G4" s="92"/>
    </row>
    <row r="5" spans="1:7" s="3" customFormat="1" ht="21.75" customHeight="1">
      <c r="A5" s="48" t="s">
        <v>260</v>
      </c>
      <c r="B5" s="49"/>
      <c r="C5" s="49"/>
      <c r="D5" s="49"/>
      <c r="E5" s="49"/>
      <c r="F5" s="49"/>
      <c r="G5" s="50"/>
    </row>
    <row r="6" spans="1:7" s="3" customFormat="1" ht="15.75" customHeight="1">
      <c r="A6" s="324"/>
      <c r="B6" s="221"/>
      <c r="C6" s="221"/>
      <c r="D6" s="221"/>
      <c r="E6" s="221"/>
      <c r="F6" s="221"/>
      <c r="G6" s="222"/>
    </row>
    <row r="7" spans="1:7" s="3" customFormat="1" ht="15.75" customHeight="1">
      <c r="A7" s="226"/>
      <c r="B7" s="227"/>
      <c r="C7" s="227"/>
      <c r="D7" s="227"/>
      <c r="E7" s="227"/>
      <c r="F7" s="227"/>
      <c r="G7" s="228"/>
    </row>
    <row r="8" spans="1:7" s="3" customFormat="1" ht="15.75" customHeight="1">
      <c r="A8" s="212"/>
      <c r="B8" s="213"/>
      <c r="C8" s="213"/>
      <c r="D8" s="213"/>
      <c r="E8" s="213"/>
      <c r="F8" s="213"/>
      <c r="G8" s="214"/>
    </row>
    <row r="9" spans="1:7" s="3" customFormat="1" ht="15.75" customHeight="1">
      <c r="A9" s="218"/>
      <c r="B9" s="219"/>
      <c r="C9" s="219"/>
      <c r="D9" s="219"/>
      <c r="E9" s="219"/>
      <c r="F9" s="219"/>
      <c r="G9" s="220"/>
    </row>
    <row r="10" spans="1:7" s="3" customFormat="1" ht="15.75" customHeight="1">
      <c r="A10" s="212"/>
      <c r="B10" s="213"/>
      <c r="C10" s="213"/>
      <c r="D10" s="213"/>
      <c r="E10" s="213"/>
      <c r="F10" s="213"/>
      <c r="G10" s="214"/>
    </row>
    <row r="11" spans="1:7" s="3" customFormat="1" ht="15.75" customHeight="1">
      <c r="A11" s="218"/>
      <c r="B11" s="219"/>
      <c r="C11" s="219"/>
      <c r="D11" s="219"/>
      <c r="E11" s="219"/>
      <c r="F11" s="219"/>
      <c r="G11" s="220"/>
    </row>
    <row r="12" spans="1:7" s="3" customFormat="1" ht="14.25"/>
    <row r="13" spans="1:7" s="47" customFormat="1" ht="33.75" customHeight="1">
      <c r="A13" s="309" t="s">
        <v>261</v>
      </c>
      <c r="B13" s="310"/>
      <c r="C13" s="310"/>
      <c r="D13" s="310"/>
      <c r="E13" s="310"/>
      <c r="F13" s="310"/>
      <c r="G13" s="311"/>
    </row>
    <row r="14" spans="1:7" ht="15.75" customHeight="1">
      <c r="A14" s="321" t="s">
        <v>262</v>
      </c>
      <c r="B14" s="323"/>
      <c r="C14" s="321" t="s">
        <v>256</v>
      </c>
      <c r="D14" s="322"/>
      <c r="E14" s="322"/>
      <c r="F14" s="322"/>
      <c r="G14" s="322"/>
    </row>
    <row r="15" spans="1:7" ht="15.75" customHeight="1">
      <c r="A15" s="212"/>
      <c r="B15" s="214"/>
      <c r="C15" s="324"/>
      <c r="D15" s="221"/>
      <c r="E15" s="221"/>
      <c r="F15" s="221"/>
      <c r="G15" s="222"/>
    </row>
    <row r="16" spans="1:7" ht="15.75" customHeight="1">
      <c r="A16" s="218"/>
      <c r="B16" s="220"/>
      <c r="C16" s="226"/>
      <c r="D16" s="227"/>
      <c r="E16" s="227"/>
      <c r="F16" s="227"/>
      <c r="G16" s="228"/>
    </row>
    <row r="17" spans="1:11" ht="15.75" customHeight="1">
      <c r="A17" s="324"/>
      <c r="B17" s="222"/>
      <c r="C17" s="324"/>
      <c r="D17" s="221"/>
      <c r="E17" s="221"/>
      <c r="F17" s="221"/>
      <c r="G17" s="222"/>
      <c r="H17" s="92"/>
      <c r="I17" s="92"/>
      <c r="J17" s="92"/>
      <c r="K17" s="92"/>
    </row>
    <row r="18" spans="1:11" ht="15.75" customHeight="1">
      <c r="A18" s="226"/>
      <c r="B18" s="228"/>
      <c r="C18" s="226"/>
      <c r="D18" s="227"/>
      <c r="E18" s="227"/>
      <c r="F18" s="227"/>
      <c r="G18" s="228"/>
      <c r="H18" s="92"/>
      <c r="I18" s="92"/>
      <c r="J18" s="92"/>
      <c r="K18" s="92"/>
    </row>
    <row r="19" spans="1:11" ht="15.75" customHeight="1">
      <c r="A19" s="324"/>
      <c r="B19" s="222"/>
      <c r="C19" s="324"/>
      <c r="D19" s="221"/>
      <c r="E19" s="221"/>
      <c r="F19" s="221"/>
      <c r="G19" s="222"/>
      <c r="H19" s="92"/>
      <c r="I19" s="92"/>
      <c r="J19" s="92"/>
      <c r="K19" s="92"/>
    </row>
    <row r="20" spans="1:11" ht="15.75" customHeight="1">
      <c r="A20" s="226"/>
      <c r="B20" s="228"/>
      <c r="C20" s="226"/>
      <c r="D20" s="227"/>
      <c r="E20" s="227"/>
      <c r="F20" s="227"/>
      <c r="G20" s="228"/>
      <c r="H20" s="92"/>
      <c r="I20" s="92"/>
      <c r="J20" s="92"/>
      <c r="K20" s="92"/>
    </row>
    <row r="21" spans="1:11" ht="15.75" customHeight="1">
      <c r="A21" s="324"/>
      <c r="B21" s="222"/>
      <c r="C21" s="324"/>
      <c r="D21" s="221"/>
      <c r="E21" s="221"/>
      <c r="F21" s="221"/>
      <c r="G21" s="222"/>
      <c r="H21" s="92"/>
      <c r="I21" s="92"/>
      <c r="J21" s="92"/>
      <c r="K21" s="92"/>
    </row>
    <row r="22" spans="1:11" ht="15.75" customHeight="1">
      <c r="A22" s="226"/>
      <c r="B22" s="228"/>
      <c r="C22" s="226"/>
      <c r="D22" s="227"/>
      <c r="E22" s="227"/>
      <c r="F22" s="227"/>
      <c r="G22" s="228"/>
      <c r="H22" s="92"/>
      <c r="I22" s="92"/>
      <c r="J22" s="92"/>
      <c r="K22" s="92"/>
    </row>
    <row r="23" spans="1:11" ht="15.75" customHeight="1">
      <c r="A23" s="324"/>
      <c r="B23" s="222"/>
      <c r="C23" s="324"/>
      <c r="D23" s="221"/>
      <c r="E23" s="221"/>
      <c r="F23" s="221"/>
      <c r="G23" s="222"/>
      <c r="H23" s="92"/>
      <c r="I23" s="92"/>
      <c r="J23" s="92"/>
      <c r="K23" s="92"/>
    </row>
    <row r="24" spans="1:11" ht="15.75" customHeight="1">
      <c r="A24" s="226"/>
      <c r="B24" s="228"/>
      <c r="C24" s="226"/>
      <c r="D24" s="227"/>
      <c r="E24" s="227"/>
      <c r="F24" s="227"/>
      <c r="G24" s="228"/>
      <c r="H24" s="92"/>
      <c r="I24" s="92"/>
      <c r="J24" s="92"/>
      <c r="K24" s="92"/>
    </row>
    <row r="26" spans="1:11">
      <c r="A26" s="116"/>
      <c r="B26" s="116"/>
      <c r="C26" s="116"/>
      <c r="D26" s="116"/>
      <c r="E26" s="116"/>
      <c r="F26" s="116"/>
      <c r="G26" s="116"/>
      <c r="H26" s="92"/>
      <c r="I26" s="92"/>
      <c r="J26" s="92"/>
      <c r="K26" s="92"/>
    </row>
    <row r="27" spans="1:11" s="56" customFormat="1" ht="16.5" customHeight="1">
      <c r="A27" s="331" t="s">
        <v>263</v>
      </c>
      <c r="B27" s="331"/>
      <c r="C27" s="331"/>
      <c r="D27" s="331"/>
      <c r="E27" s="331"/>
      <c r="F27" s="331"/>
      <c r="G27" s="331"/>
    </row>
    <row r="28" spans="1:11" s="12" customFormat="1" ht="17.25" customHeight="1">
      <c r="A28" s="326" t="s">
        <v>264</v>
      </c>
      <c r="B28" s="326"/>
      <c r="C28" s="292" t="s">
        <v>265</v>
      </c>
      <c r="D28" s="292" t="s">
        <v>266</v>
      </c>
      <c r="E28" s="292"/>
      <c r="F28" s="292"/>
      <c r="G28" s="292"/>
      <c r="H28" s="116"/>
      <c r="I28" s="116"/>
      <c r="J28" s="116"/>
      <c r="K28" s="116"/>
    </row>
    <row r="29" spans="1:11" s="12" customFormat="1" ht="17.25" customHeight="1">
      <c r="A29" s="326"/>
      <c r="B29" s="326"/>
      <c r="C29" s="292"/>
      <c r="D29" s="292" t="s">
        <v>267</v>
      </c>
      <c r="E29" s="292"/>
      <c r="F29" s="292" t="s">
        <v>166</v>
      </c>
      <c r="G29" s="292"/>
      <c r="H29" s="116"/>
      <c r="I29" s="116"/>
      <c r="J29" s="116"/>
      <c r="K29" s="116"/>
    </row>
    <row r="30" spans="1:11" s="37" customFormat="1" ht="38.1" customHeight="1">
      <c r="A30" s="239" t="s">
        <v>268</v>
      </c>
      <c r="B30" s="239"/>
      <c r="C30" s="167" t="s">
        <v>269</v>
      </c>
      <c r="D30" s="283">
        <v>3.2</v>
      </c>
      <c r="E30" s="283"/>
      <c r="F30" s="327"/>
      <c r="G30" s="328"/>
      <c r="H30" s="158"/>
      <c r="I30" s="158"/>
      <c r="J30" s="116"/>
      <c r="K30" s="116"/>
    </row>
    <row r="31" spans="1:11" s="37" customFormat="1" ht="38.1" customHeight="1">
      <c r="A31" s="239" t="s">
        <v>270</v>
      </c>
      <c r="B31" s="239"/>
      <c r="C31" s="164" t="s">
        <v>271</v>
      </c>
      <c r="D31" s="283"/>
      <c r="E31" s="283"/>
      <c r="F31" s="327"/>
      <c r="G31" s="328"/>
      <c r="H31" s="158"/>
      <c r="I31" s="158"/>
      <c r="J31" s="116"/>
      <c r="K31" s="116"/>
    </row>
    <row r="32" spans="1:11" s="37" customFormat="1" ht="38.1" customHeight="1">
      <c r="A32" s="239" t="s">
        <v>272</v>
      </c>
      <c r="B32" s="239"/>
      <c r="C32" s="164" t="s">
        <v>273</v>
      </c>
      <c r="D32" s="283">
        <v>242</v>
      </c>
      <c r="E32" s="283"/>
      <c r="F32" s="329"/>
      <c r="G32" s="330"/>
      <c r="H32" s="158"/>
      <c r="I32" s="158"/>
      <c r="J32" s="116"/>
      <c r="K32" s="116"/>
    </row>
    <row r="33" spans="1:7" s="37" customFormat="1" ht="38.1" customHeight="1">
      <c r="A33" s="239" t="s">
        <v>274</v>
      </c>
      <c r="B33" s="239"/>
      <c r="C33" s="164" t="s">
        <v>273</v>
      </c>
      <c r="D33" s="283"/>
      <c r="E33" s="283"/>
      <c r="F33" s="327"/>
      <c r="G33" s="328"/>
    </row>
    <row r="35" spans="1:7">
      <c r="A35" s="240" t="s">
        <v>275</v>
      </c>
      <c r="B35" s="240"/>
      <c r="C35" s="240"/>
      <c r="D35" s="240"/>
      <c r="E35" s="240"/>
      <c r="F35" s="240"/>
      <c r="G35" s="240"/>
    </row>
    <row r="36" spans="1:7">
      <c r="A36" s="325"/>
      <c r="B36" s="325"/>
      <c r="C36" s="325"/>
      <c r="D36" s="325"/>
      <c r="E36" s="325"/>
      <c r="F36" s="325"/>
      <c r="G36" s="325"/>
    </row>
    <row r="37" spans="1:7">
      <c r="A37" s="325"/>
      <c r="B37" s="325"/>
      <c r="C37" s="325"/>
      <c r="D37" s="325"/>
      <c r="E37" s="325"/>
      <c r="F37" s="325"/>
      <c r="G37" s="325"/>
    </row>
    <row r="38" spans="1:7">
      <c r="A38" s="325"/>
      <c r="B38" s="325"/>
      <c r="C38" s="325"/>
      <c r="D38" s="325"/>
      <c r="E38" s="325"/>
      <c r="F38" s="325"/>
      <c r="G38" s="325"/>
    </row>
    <row r="39" spans="1:7">
      <c r="A39" s="325"/>
      <c r="B39" s="325"/>
      <c r="C39" s="325"/>
      <c r="D39" s="325"/>
      <c r="E39" s="325"/>
      <c r="F39" s="325"/>
      <c r="G39" s="325"/>
    </row>
    <row r="40" spans="1:7">
      <c r="A40" s="325"/>
      <c r="B40" s="325"/>
      <c r="C40" s="325"/>
      <c r="D40" s="325"/>
      <c r="E40" s="325"/>
      <c r="F40" s="325"/>
      <c r="G40" s="325"/>
    </row>
    <row r="41" spans="1:7">
      <c r="A41" s="325"/>
      <c r="B41" s="325"/>
      <c r="C41" s="325"/>
      <c r="D41" s="325"/>
      <c r="E41" s="325"/>
      <c r="F41" s="325"/>
      <c r="G41" s="325"/>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G12" sqref="G12"/>
    </sheetView>
  </sheetViews>
  <sheetFormatPr defaultColWidth="8.85546875" defaultRowHeight="15"/>
  <cols>
    <col min="1" max="1" width="36.7109375" style="92" customWidth="1"/>
    <col min="2" max="2" width="17.7109375" style="92" customWidth="1"/>
    <col min="3" max="3" width="37.28515625" style="92" customWidth="1"/>
    <col min="4" max="14" width="8.85546875" style="92"/>
    <col min="15" max="15" width="9" style="92" customWidth="1"/>
    <col min="16" max="16384" width="8.85546875" style="92"/>
  </cols>
  <sheetData>
    <row r="1" spans="1:15">
      <c r="A1" s="92" t="str">
        <f>+'Cover Page'!$B$29</f>
        <v>Annual Performance Report 2022</v>
      </c>
      <c r="C1" s="92" t="str">
        <f>+'Cover Page'!$B$33</f>
        <v>Tradebe Fawley Limited</v>
      </c>
    </row>
    <row r="2" spans="1:15" ht="10.15" customHeight="1"/>
    <row r="3" spans="1:15" ht="15.75">
      <c r="A3" s="1" t="s">
        <v>276</v>
      </c>
      <c r="E3" s="81" t="s">
        <v>2</v>
      </c>
    </row>
    <row r="4" spans="1:15" ht="9.4" customHeight="1"/>
    <row r="5" spans="1:15">
      <c r="A5" s="332" t="s">
        <v>277</v>
      </c>
      <c r="B5" s="333"/>
      <c r="C5" s="333"/>
    </row>
    <row r="6" spans="1:15" ht="30">
      <c r="A6" s="93" t="s">
        <v>278</v>
      </c>
      <c r="B6" s="97" t="s">
        <v>279</v>
      </c>
      <c r="C6" s="101">
        <v>103545</v>
      </c>
    </row>
    <row r="7" spans="1:15" ht="45">
      <c r="A7" s="93" t="s">
        <v>280</v>
      </c>
      <c r="B7" s="97" t="s">
        <v>279</v>
      </c>
      <c r="C7" s="96"/>
    </row>
    <row r="8" spans="1:15" ht="45">
      <c r="A8" s="93" t="s">
        <v>281</v>
      </c>
      <c r="B8" s="97" t="s">
        <v>279</v>
      </c>
      <c r="C8" s="100" t="s">
        <v>140</v>
      </c>
    </row>
    <row r="9" spans="1:15" ht="89.45" customHeight="1">
      <c r="A9" s="93" t="s">
        <v>282</v>
      </c>
      <c r="B9" s="334"/>
      <c r="C9" s="335"/>
      <c r="E9" s="340" t="s">
        <v>283</v>
      </c>
      <c r="F9" s="339"/>
      <c r="G9" s="339"/>
      <c r="H9" s="339"/>
      <c r="I9" s="339"/>
      <c r="J9" s="339"/>
      <c r="K9" s="339"/>
      <c r="L9" s="339"/>
      <c r="M9" s="339"/>
      <c r="N9" s="339"/>
      <c r="O9" s="339"/>
    </row>
    <row r="10" spans="1:15" ht="8.65" customHeight="1">
      <c r="A10" s="94"/>
      <c r="B10" s="95"/>
      <c r="C10" s="95"/>
    </row>
    <row r="11" spans="1:15">
      <c r="A11" s="336" t="s">
        <v>284</v>
      </c>
      <c r="B11" s="333"/>
      <c r="C11" s="333"/>
    </row>
    <row r="12" spans="1:15" ht="33.4" customHeight="1">
      <c r="A12" s="93" t="s">
        <v>285</v>
      </c>
      <c r="B12" s="97" t="s">
        <v>279</v>
      </c>
      <c r="C12" s="96"/>
    </row>
    <row r="13" spans="1:15" ht="101.45" customHeight="1">
      <c r="A13" s="93" t="s">
        <v>286</v>
      </c>
      <c r="B13" s="337"/>
      <c r="C13" s="338"/>
      <c r="E13" s="229" t="s">
        <v>287</v>
      </c>
      <c r="F13" s="339"/>
      <c r="G13" s="339"/>
      <c r="H13" s="339"/>
      <c r="I13" s="339"/>
      <c r="J13" s="339"/>
      <c r="K13" s="339"/>
      <c r="L13" s="339"/>
      <c r="M13" s="339"/>
      <c r="N13" s="339"/>
      <c r="O13" s="339"/>
    </row>
    <row r="14" spans="1:15" ht="58.9" customHeight="1">
      <c r="A14" s="93" t="s">
        <v>288</v>
      </c>
      <c r="B14" s="98" t="s">
        <v>289</v>
      </c>
      <c r="C14" s="96"/>
    </row>
    <row r="15" spans="1:15" ht="6.4" customHeight="1">
      <c r="A15" s="94"/>
      <c r="B15" s="95"/>
      <c r="C15" s="95"/>
    </row>
    <row r="16" spans="1:15" ht="39" customHeight="1">
      <c r="A16" s="332" t="s">
        <v>290</v>
      </c>
      <c r="B16" s="333"/>
      <c r="C16" s="333"/>
    </row>
    <row r="17" spans="1:15" ht="49.15" customHeight="1">
      <c r="A17" s="93" t="s">
        <v>291</v>
      </c>
      <c r="B17" s="97" t="s">
        <v>134</v>
      </c>
      <c r="C17" s="96"/>
    </row>
    <row r="18" spans="1:15" ht="103.15" customHeight="1">
      <c r="A18" s="93" t="s">
        <v>292</v>
      </c>
      <c r="B18" s="337"/>
      <c r="C18" s="338"/>
      <c r="E18" s="229" t="s">
        <v>293</v>
      </c>
      <c r="F18" s="339"/>
      <c r="G18" s="339"/>
      <c r="H18" s="339"/>
      <c r="I18" s="339"/>
      <c r="J18" s="339"/>
      <c r="K18" s="339"/>
      <c r="L18" s="339"/>
      <c r="M18" s="339"/>
      <c r="N18" s="339"/>
      <c r="O18" s="339"/>
    </row>
    <row r="19" spans="1:15" ht="34.15" customHeight="1">
      <c r="A19" s="93" t="s">
        <v>294</v>
      </c>
      <c r="B19" s="97" t="s">
        <v>134</v>
      </c>
      <c r="C19" s="96"/>
    </row>
    <row r="20" spans="1:15" ht="92.45" customHeight="1">
      <c r="A20" s="93" t="s">
        <v>295</v>
      </c>
      <c r="B20" s="337"/>
      <c r="C20" s="338"/>
      <c r="E20" s="229" t="s">
        <v>296</v>
      </c>
      <c r="F20" s="339"/>
      <c r="G20" s="339"/>
      <c r="H20" s="339"/>
      <c r="I20" s="339"/>
      <c r="J20" s="339"/>
      <c r="K20" s="339"/>
      <c r="L20" s="339"/>
      <c r="M20" s="339"/>
      <c r="N20" s="339"/>
      <c r="O20" s="339"/>
    </row>
    <row r="21" spans="1:15" ht="10.15" customHeight="1"/>
    <row r="22" spans="1:15">
      <c r="A22" s="92" t="s">
        <v>297</v>
      </c>
    </row>
    <row r="23" spans="1:15">
      <c r="A23" s="280"/>
      <c r="B23" s="280"/>
      <c r="C23" s="280"/>
    </row>
    <row r="24" spans="1:15" ht="64.900000000000006" customHeight="1">
      <c r="A24" s="280"/>
      <c r="B24" s="280"/>
      <c r="C24" s="280"/>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N66"/>
  <sheetViews>
    <sheetView topLeftCell="A24" workbookViewId="0">
      <selection activeCell="A6" sqref="A6:I7"/>
    </sheetView>
  </sheetViews>
  <sheetFormatPr defaultColWidth="9.28515625" defaultRowHeight="15"/>
  <cols>
    <col min="1" max="1" width="9.28515625" style="2" customWidth="1"/>
    <col min="2" max="2" width="14.5703125" style="2" bestFit="1" customWidth="1"/>
    <col min="3" max="3" width="9.28515625" style="2"/>
    <col min="4" max="4" width="6.28515625" style="2" customWidth="1"/>
    <col min="5" max="5" width="15.5703125" style="2" customWidth="1"/>
    <col min="6" max="8" width="9.28515625" style="2"/>
    <col min="9" max="9" width="11.5703125" style="2" customWidth="1"/>
    <col min="10" max="10" width="0" style="2" hidden="1" customWidth="1"/>
    <col min="11" max="16384" width="9.28515625" style="2"/>
  </cols>
  <sheetData>
    <row r="1" spans="1:9">
      <c r="A1" s="92" t="str">
        <f>+'Cover Page'!$B$29</f>
        <v>Annual Performance Report 2022</v>
      </c>
      <c r="B1" s="92"/>
      <c r="C1" s="92"/>
      <c r="D1" s="92"/>
      <c r="E1" s="92" t="str">
        <f>+'Cover Page'!$B$33</f>
        <v>Tradebe Fawley Limited</v>
      </c>
      <c r="F1" s="92"/>
      <c r="G1" s="92"/>
      <c r="H1" s="92"/>
      <c r="I1" s="92"/>
    </row>
    <row r="3" spans="1:9" ht="15.75">
      <c r="A3" s="1" t="s">
        <v>39</v>
      </c>
      <c r="B3" s="92"/>
      <c r="C3" s="92"/>
      <c r="D3" s="92"/>
      <c r="E3" s="92"/>
      <c r="F3" s="92"/>
      <c r="G3" s="92"/>
      <c r="H3" s="92"/>
      <c r="I3" s="92"/>
    </row>
    <row r="4" spans="1:9" ht="15.75">
      <c r="A4" s="1"/>
      <c r="B4" s="92"/>
      <c r="C4" s="92"/>
      <c r="D4" s="92"/>
      <c r="E4" s="92"/>
      <c r="F4" s="92"/>
      <c r="G4" s="92"/>
      <c r="H4" s="92"/>
      <c r="I4" s="92"/>
    </row>
    <row r="5" spans="1:9" s="3" customFormat="1" ht="21.75" customHeight="1">
      <c r="A5" s="48" t="s">
        <v>260</v>
      </c>
      <c r="B5" s="49"/>
      <c r="C5" s="49"/>
      <c r="D5" s="49"/>
      <c r="E5" s="49"/>
      <c r="F5" s="49"/>
      <c r="G5" s="49"/>
      <c r="H5" s="49"/>
      <c r="I5" s="50"/>
    </row>
    <row r="6" spans="1:9" s="3" customFormat="1" ht="15.75" customHeight="1">
      <c r="A6" s="212" t="s">
        <v>298</v>
      </c>
      <c r="B6" s="213"/>
      <c r="C6" s="213"/>
      <c r="D6" s="213"/>
      <c r="E6" s="213"/>
      <c r="F6" s="213"/>
      <c r="G6" s="213"/>
      <c r="H6" s="213"/>
      <c r="I6" s="214"/>
    </row>
    <row r="7" spans="1:9" s="3" customFormat="1" ht="15.75" customHeight="1">
      <c r="A7" s="218"/>
      <c r="B7" s="219"/>
      <c r="C7" s="219"/>
      <c r="D7" s="219"/>
      <c r="E7" s="219"/>
      <c r="F7" s="219"/>
      <c r="G7" s="219"/>
      <c r="H7" s="219"/>
      <c r="I7" s="220"/>
    </row>
    <row r="8" spans="1:9" s="3" customFormat="1" ht="15.75" customHeight="1">
      <c r="A8" s="212"/>
      <c r="B8" s="213"/>
      <c r="C8" s="213"/>
      <c r="D8" s="213"/>
      <c r="E8" s="213"/>
      <c r="F8" s="213"/>
      <c r="G8" s="213"/>
      <c r="H8" s="213"/>
      <c r="I8" s="214"/>
    </row>
    <row r="9" spans="1:9" s="3" customFormat="1" ht="15.75" customHeight="1">
      <c r="A9" s="218"/>
      <c r="B9" s="219"/>
      <c r="C9" s="219"/>
      <c r="D9" s="219"/>
      <c r="E9" s="219"/>
      <c r="F9" s="219"/>
      <c r="G9" s="219"/>
      <c r="H9" s="219"/>
      <c r="I9" s="220"/>
    </row>
    <row r="10" spans="1:9" s="3" customFormat="1" ht="15.75" customHeight="1">
      <c r="A10" s="212"/>
      <c r="B10" s="213"/>
      <c r="C10" s="213"/>
      <c r="D10" s="213"/>
      <c r="E10" s="213"/>
      <c r="F10" s="213"/>
      <c r="G10" s="213"/>
      <c r="H10" s="213"/>
      <c r="I10" s="214"/>
    </row>
    <row r="11" spans="1:9" s="3" customFormat="1" ht="15.75" customHeight="1">
      <c r="A11" s="218"/>
      <c r="B11" s="219"/>
      <c r="C11" s="219"/>
      <c r="D11" s="219"/>
      <c r="E11" s="219"/>
      <c r="F11" s="219"/>
      <c r="G11" s="219"/>
      <c r="H11" s="219"/>
      <c r="I11" s="220"/>
    </row>
    <row r="12" spans="1:9" s="3" customFormat="1" ht="14.25"/>
    <row r="13" spans="1:9" s="47" customFormat="1" ht="33.75" customHeight="1">
      <c r="A13" s="309" t="s">
        <v>261</v>
      </c>
      <c r="B13" s="310"/>
      <c r="C13" s="310"/>
      <c r="D13" s="310"/>
      <c r="E13" s="310"/>
      <c r="F13" s="310"/>
      <c r="G13" s="310"/>
      <c r="H13" s="310"/>
      <c r="I13" s="311"/>
    </row>
    <row r="14" spans="1:9" ht="15.75" customHeight="1">
      <c r="A14" s="321" t="s">
        <v>262</v>
      </c>
      <c r="B14" s="323"/>
      <c r="C14" s="321" t="s">
        <v>256</v>
      </c>
      <c r="D14" s="322"/>
      <c r="E14" s="322"/>
      <c r="F14" s="322"/>
      <c r="G14" s="322"/>
      <c r="H14" s="322"/>
      <c r="I14" s="322"/>
    </row>
    <row r="15" spans="1:9" ht="15.75" customHeight="1">
      <c r="A15" s="212"/>
      <c r="B15" s="214"/>
      <c r="C15" s="324"/>
      <c r="D15" s="221"/>
      <c r="E15" s="221"/>
      <c r="F15" s="221"/>
      <c r="G15" s="221"/>
      <c r="H15" s="221"/>
      <c r="I15" s="222"/>
    </row>
    <row r="16" spans="1:9" ht="15.75" customHeight="1">
      <c r="A16" s="218"/>
      <c r="B16" s="220"/>
      <c r="C16" s="226"/>
      <c r="D16" s="227"/>
      <c r="E16" s="227"/>
      <c r="F16" s="227"/>
      <c r="G16" s="227"/>
      <c r="H16" s="227"/>
      <c r="I16" s="228"/>
    </row>
    <row r="17" spans="1:14" ht="15.75" customHeight="1">
      <c r="A17" s="324"/>
      <c r="B17" s="222"/>
      <c r="C17" s="324"/>
      <c r="D17" s="221"/>
      <c r="E17" s="221"/>
      <c r="F17" s="221"/>
      <c r="G17" s="221"/>
      <c r="H17" s="221"/>
      <c r="I17" s="222"/>
      <c r="J17" s="92"/>
      <c r="K17" s="92"/>
      <c r="L17" s="92"/>
      <c r="M17" s="92"/>
      <c r="N17" s="92"/>
    </row>
    <row r="18" spans="1:14" ht="15.75" customHeight="1">
      <c r="A18" s="226"/>
      <c r="B18" s="228"/>
      <c r="C18" s="226"/>
      <c r="D18" s="227"/>
      <c r="E18" s="227"/>
      <c r="F18" s="227"/>
      <c r="G18" s="227"/>
      <c r="H18" s="227"/>
      <c r="I18" s="228"/>
      <c r="J18" s="92"/>
      <c r="K18" s="92"/>
      <c r="L18" s="92"/>
      <c r="M18" s="92"/>
      <c r="N18" s="92"/>
    </row>
    <row r="19" spans="1:14" ht="15.75" customHeight="1">
      <c r="A19" s="324"/>
      <c r="B19" s="222"/>
      <c r="C19" s="324"/>
      <c r="D19" s="221"/>
      <c r="E19" s="221"/>
      <c r="F19" s="221"/>
      <c r="G19" s="221"/>
      <c r="H19" s="221"/>
      <c r="I19" s="222"/>
      <c r="J19" s="92"/>
      <c r="K19" s="92"/>
      <c r="L19" s="92"/>
      <c r="M19" s="92"/>
      <c r="N19" s="92"/>
    </row>
    <row r="20" spans="1:14" ht="15.75" customHeight="1">
      <c r="A20" s="226"/>
      <c r="B20" s="228"/>
      <c r="C20" s="226"/>
      <c r="D20" s="227"/>
      <c r="E20" s="227"/>
      <c r="F20" s="227"/>
      <c r="G20" s="227"/>
      <c r="H20" s="227"/>
      <c r="I20" s="228"/>
      <c r="J20" s="92"/>
      <c r="K20" s="92"/>
      <c r="L20" s="92"/>
      <c r="M20" s="92"/>
      <c r="N20" s="92"/>
    </row>
    <row r="22" spans="1:14" ht="22.5" customHeight="1">
      <c r="A22" s="348" t="s">
        <v>299</v>
      </c>
      <c r="B22" s="349"/>
      <c r="C22" s="349"/>
      <c r="D22" s="349"/>
      <c r="E22" s="349"/>
      <c r="F22" s="349"/>
      <c r="G22" s="349"/>
      <c r="H22" s="349"/>
      <c r="I22" s="349"/>
      <c r="J22" s="92"/>
      <c r="K22" s="92"/>
      <c r="L22" s="92"/>
      <c r="M22" s="92"/>
      <c r="N22" s="92"/>
    </row>
    <row r="23" spans="1:14" ht="19.5" customHeight="1">
      <c r="A23" s="350" t="s">
        <v>190</v>
      </c>
      <c r="B23" s="351"/>
      <c r="C23" s="352"/>
      <c r="D23" s="353" t="s">
        <v>300</v>
      </c>
      <c r="E23" s="354"/>
      <c r="F23" s="54" t="s">
        <v>265</v>
      </c>
      <c r="G23" s="54" t="s">
        <v>301</v>
      </c>
      <c r="H23" s="54" t="s">
        <v>302</v>
      </c>
      <c r="I23" s="54" t="s">
        <v>303</v>
      </c>
      <c r="J23" s="92"/>
      <c r="K23" s="92"/>
      <c r="L23" s="92"/>
      <c r="M23" s="92"/>
      <c r="N23" s="92"/>
    </row>
    <row r="24" spans="1:14" ht="15.75">
      <c r="A24" s="344" t="s">
        <v>304</v>
      </c>
      <c r="B24" s="345"/>
      <c r="C24" s="346"/>
      <c r="D24" s="329" t="s">
        <v>305</v>
      </c>
      <c r="E24" s="330"/>
      <c r="F24" s="168">
        <v>12.5</v>
      </c>
      <c r="G24" s="169"/>
      <c r="H24" s="169">
        <v>9.48</v>
      </c>
      <c r="I24" s="169">
        <v>2.4</v>
      </c>
      <c r="J24" t="s">
        <v>306</v>
      </c>
      <c r="K24" s="92"/>
      <c r="L24" s="92"/>
      <c r="M24" s="92"/>
      <c r="N24" s="92"/>
    </row>
    <row r="25" spans="1:14" ht="15.75">
      <c r="A25" s="344" t="s">
        <v>307</v>
      </c>
      <c r="B25" s="345"/>
      <c r="C25" s="346"/>
      <c r="D25" s="329" t="s">
        <v>305</v>
      </c>
      <c r="E25" s="330"/>
      <c r="F25" s="168" t="s">
        <v>308</v>
      </c>
      <c r="G25" s="169"/>
      <c r="H25" s="169">
        <v>469</v>
      </c>
      <c r="I25" s="169">
        <v>48.18</v>
      </c>
      <c r="J25" t="s">
        <v>309</v>
      </c>
      <c r="K25" s="92"/>
      <c r="L25" s="92"/>
      <c r="M25" s="92"/>
      <c r="N25" s="92"/>
    </row>
    <row r="26" spans="1:14" ht="15.75">
      <c r="A26" s="344" t="s">
        <v>310</v>
      </c>
      <c r="B26" s="345"/>
      <c r="C26" s="346"/>
      <c r="D26" s="329" t="s">
        <v>305</v>
      </c>
      <c r="E26" s="330"/>
      <c r="F26" s="168">
        <v>2</v>
      </c>
      <c r="G26" s="169"/>
      <c r="H26" s="169">
        <v>0.5</v>
      </c>
      <c r="I26" s="169">
        <v>0.5</v>
      </c>
      <c r="J26" t="s">
        <v>311</v>
      </c>
      <c r="K26" s="92"/>
      <c r="L26" s="92"/>
      <c r="M26" s="92"/>
      <c r="N26" s="92"/>
    </row>
    <row r="27" spans="1:14" ht="15.75">
      <c r="A27" s="344" t="s">
        <v>312</v>
      </c>
      <c r="B27" s="345"/>
      <c r="C27" s="346"/>
      <c r="D27" s="329" t="s">
        <v>305</v>
      </c>
      <c r="E27" s="330"/>
      <c r="F27" s="168">
        <v>40</v>
      </c>
      <c r="G27" s="169"/>
      <c r="H27" s="169">
        <v>7.83</v>
      </c>
      <c r="I27" s="169">
        <v>3.8</v>
      </c>
      <c r="J27" t="s">
        <v>313</v>
      </c>
      <c r="K27" s="92"/>
      <c r="L27" s="92"/>
      <c r="M27" s="92"/>
      <c r="N27" s="92"/>
    </row>
    <row r="28" spans="1:14" ht="15.75">
      <c r="A28" s="344" t="s">
        <v>314</v>
      </c>
      <c r="B28" s="345"/>
      <c r="C28" s="346"/>
      <c r="D28" s="329" t="s">
        <v>305</v>
      </c>
      <c r="E28" s="330"/>
      <c r="F28" s="168">
        <v>275</v>
      </c>
      <c r="G28" s="169"/>
      <c r="H28" s="169">
        <v>30.53</v>
      </c>
      <c r="I28" s="169">
        <v>14.43</v>
      </c>
      <c r="J28" t="s">
        <v>315</v>
      </c>
      <c r="K28" s="92"/>
      <c r="L28" s="92"/>
      <c r="M28" s="92"/>
      <c r="N28" s="92"/>
    </row>
    <row r="29" spans="1:14" ht="15.75">
      <c r="A29" s="344" t="s">
        <v>316</v>
      </c>
      <c r="B29" s="345"/>
      <c r="C29" s="346"/>
      <c r="D29" s="329" t="s">
        <v>305</v>
      </c>
      <c r="E29" s="330"/>
      <c r="F29" s="168">
        <v>100</v>
      </c>
      <c r="G29" s="169"/>
      <c r="H29" s="169">
        <v>62.95</v>
      </c>
      <c r="I29" s="169">
        <v>40.880000000000003</v>
      </c>
      <c r="J29" t="s">
        <v>317</v>
      </c>
      <c r="K29" s="92"/>
      <c r="L29" s="92"/>
      <c r="M29" s="92"/>
      <c r="N29" s="92" t="s">
        <v>318</v>
      </c>
    </row>
    <row r="30" spans="1:14" ht="15.75">
      <c r="A30" s="344" t="s">
        <v>319</v>
      </c>
      <c r="B30" s="345"/>
      <c r="C30" s="346"/>
      <c r="D30" s="329" t="s">
        <v>305</v>
      </c>
      <c r="E30" s="330"/>
      <c r="F30" s="168">
        <v>200</v>
      </c>
      <c r="G30" s="169"/>
      <c r="H30" s="169">
        <v>13.34</v>
      </c>
      <c r="I30" s="169">
        <v>3.54</v>
      </c>
      <c r="J30" t="s">
        <v>320</v>
      </c>
      <c r="K30" s="92"/>
      <c r="L30" s="92"/>
      <c r="M30" s="92"/>
      <c r="N30" s="92"/>
    </row>
    <row r="31" spans="1:14" ht="15.75">
      <c r="A31" s="344" t="s">
        <v>321</v>
      </c>
      <c r="B31" s="345"/>
      <c r="C31" s="346"/>
      <c r="D31" s="329" t="s">
        <v>305</v>
      </c>
      <c r="E31" s="330"/>
      <c r="F31" s="168">
        <v>150</v>
      </c>
      <c r="G31" s="169"/>
      <c r="H31" s="169">
        <v>70.87</v>
      </c>
      <c r="I31" s="169">
        <v>35.32</v>
      </c>
      <c r="J31" t="s">
        <v>322</v>
      </c>
      <c r="K31" s="92"/>
      <c r="L31" s="92"/>
      <c r="M31" s="92"/>
      <c r="N31" s="92"/>
    </row>
    <row r="32" spans="1:14" ht="15.75">
      <c r="A32" s="344" t="s">
        <v>323</v>
      </c>
      <c r="B32" s="345"/>
      <c r="C32" s="346"/>
      <c r="D32" s="329" t="s">
        <v>305</v>
      </c>
      <c r="E32" s="330"/>
      <c r="F32" s="168">
        <v>375</v>
      </c>
      <c r="G32" s="169"/>
      <c r="H32" s="169">
        <v>122</v>
      </c>
      <c r="I32" s="169">
        <v>46.9</v>
      </c>
      <c r="J32" t="s">
        <v>324</v>
      </c>
      <c r="K32" s="92"/>
      <c r="L32" s="92"/>
      <c r="M32" s="92"/>
      <c r="N32" s="92"/>
    </row>
    <row r="33" spans="1:10" ht="15.75">
      <c r="A33" s="344" t="s">
        <v>325</v>
      </c>
      <c r="B33" s="345"/>
      <c r="C33" s="346"/>
      <c r="D33" s="329" t="s">
        <v>305</v>
      </c>
      <c r="E33" s="330"/>
      <c r="F33" s="168">
        <v>1500</v>
      </c>
      <c r="G33" s="169"/>
      <c r="H33" s="169">
        <v>40.549999999999997</v>
      </c>
      <c r="I33" s="169">
        <v>10.41</v>
      </c>
      <c r="J33" t="s">
        <v>326</v>
      </c>
    </row>
    <row r="34" spans="1:10" ht="15.75">
      <c r="A34" s="344" t="s">
        <v>327</v>
      </c>
      <c r="B34" s="345"/>
      <c r="C34" s="346"/>
      <c r="D34" s="329" t="s">
        <v>305</v>
      </c>
      <c r="E34" s="330"/>
      <c r="F34" s="168">
        <v>100</v>
      </c>
      <c r="G34" s="169"/>
      <c r="H34" s="169">
        <v>25</v>
      </c>
      <c r="I34" s="169">
        <v>13.11</v>
      </c>
      <c r="J34" t="s">
        <v>328</v>
      </c>
    </row>
    <row r="35" spans="1:10" ht="15.75">
      <c r="A35" s="344" t="s">
        <v>329</v>
      </c>
      <c r="B35" s="345"/>
      <c r="C35" s="346"/>
      <c r="D35" s="329" t="s">
        <v>305</v>
      </c>
      <c r="E35" s="330"/>
      <c r="F35" s="168">
        <v>11000</v>
      </c>
      <c r="G35" s="169"/>
      <c r="H35" s="169">
        <v>3362</v>
      </c>
      <c r="I35" s="169">
        <v>1507.28</v>
      </c>
      <c r="J35" t="s">
        <v>330</v>
      </c>
    </row>
    <row r="36" spans="1:10" ht="15.75">
      <c r="A36" s="344" t="s">
        <v>331</v>
      </c>
      <c r="B36" s="345"/>
      <c r="C36" s="346"/>
      <c r="D36" s="329" t="s">
        <v>305</v>
      </c>
      <c r="E36" s="330"/>
      <c r="F36" s="168">
        <v>15250</v>
      </c>
      <c r="G36" s="169"/>
      <c r="H36" s="169">
        <v>291</v>
      </c>
      <c r="I36" s="169">
        <v>72.53</v>
      </c>
      <c r="J36" t="s">
        <v>332</v>
      </c>
    </row>
    <row r="37" spans="1:10" ht="15.75">
      <c r="A37" s="344" t="s">
        <v>333</v>
      </c>
      <c r="B37" s="345"/>
      <c r="C37" s="346"/>
      <c r="D37" s="329" t="s">
        <v>305</v>
      </c>
      <c r="E37" s="330"/>
      <c r="F37" s="168">
        <v>45</v>
      </c>
      <c r="G37" s="169"/>
      <c r="H37" s="169">
        <v>6</v>
      </c>
      <c r="I37" s="169">
        <v>2.0299999999999998</v>
      </c>
      <c r="J37" t="s">
        <v>334</v>
      </c>
    </row>
    <row r="38" spans="1:10" ht="15.75">
      <c r="A38" s="344" t="s">
        <v>335</v>
      </c>
      <c r="B38" s="345"/>
      <c r="C38" s="346"/>
      <c r="D38" s="329" t="s">
        <v>305</v>
      </c>
      <c r="E38" s="330"/>
      <c r="F38" s="168" t="s">
        <v>336</v>
      </c>
      <c r="G38" s="169"/>
      <c r="H38" s="169">
        <v>8.2799999999999994</v>
      </c>
      <c r="I38" s="169">
        <v>7.66</v>
      </c>
      <c r="J38" t="s">
        <v>335</v>
      </c>
    </row>
    <row r="39" spans="1:10">
      <c r="A39" s="344" t="s">
        <v>337</v>
      </c>
      <c r="B39" s="345"/>
      <c r="C39" s="346"/>
      <c r="D39" s="329" t="s">
        <v>305</v>
      </c>
      <c r="E39" s="330"/>
      <c r="F39" s="168">
        <v>35</v>
      </c>
      <c r="G39" s="169"/>
      <c r="H39" s="169">
        <f>[1]Sheet1!$N$2</f>
        <v>33.444444444444443</v>
      </c>
      <c r="I39" s="169">
        <f>[1]Sheet1!$O$2</f>
        <v>35</v>
      </c>
      <c r="J39" s="92"/>
    </row>
    <row r="40" spans="1:10">
      <c r="A40" s="344" t="s">
        <v>338</v>
      </c>
      <c r="B40" s="345"/>
      <c r="C40" s="346"/>
      <c r="D40" s="329" t="s">
        <v>305</v>
      </c>
      <c r="E40" s="330"/>
      <c r="F40" s="168">
        <v>4750</v>
      </c>
      <c r="G40" s="169"/>
      <c r="H40" s="169">
        <f>[1]Sheet1!$N$3</f>
        <v>3550.7777777777778</v>
      </c>
      <c r="I40" s="169">
        <f>[1]Sheet1!$O$3</f>
        <v>3932</v>
      </c>
      <c r="J40" s="92"/>
    </row>
    <row r="41" spans="1:10" ht="15.75">
      <c r="A41" s="344" t="s">
        <v>339</v>
      </c>
      <c r="B41" s="345"/>
      <c r="C41" s="346"/>
      <c r="D41" s="329" t="s">
        <v>305</v>
      </c>
      <c r="E41" s="330"/>
      <c r="F41" s="168">
        <v>30</v>
      </c>
      <c r="G41" s="169"/>
      <c r="H41" s="169">
        <v>10</v>
      </c>
      <c r="I41" s="169">
        <v>10</v>
      </c>
      <c r="J41" t="s">
        <v>340</v>
      </c>
    </row>
    <row r="42" spans="1:10" ht="15.75">
      <c r="A42" s="344" t="s">
        <v>341</v>
      </c>
      <c r="B42" s="345"/>
      <c r="C42" s="346"/>
      <c r="D42" s="329" t="s">
        <v>305</v>
      </c>
      <c r="E42" s="330"/>
      <c r="F42" s="168">
        <v>10</v>
      </c>
      <c r="G42" s="169"/>
      <c r="H42" s="169">
        <v>1</v>
      </c>
      <c r="I42" s="169">
        <v>1</v>
      </c>
      <c r="J42" t="s">
        <v>342</v>
      </c>
    </row>
    <row r="43" spans="1:10" ht="15.75">
      <c r="A43" s="344" t="s">
        <v>343</v>
      </c>
      <c r="B43" s="345"/>
      <c r="C43" s="346"/>
      <c r="D43" s="329" t="s">
        <v>305</v>
      </c>
      <c r="E43" s="330"/>
      <c r="F43" s="168">
        <v>2500</v>
      </c>
      <c r="G43" s="169"/>
      <c r="H43" s="169">
        <v>203</v>
      </c>
      <c r="I43" s="169">
        <v>39.950000000000003</v>
      </c>
      <c r="J43" t="s">
        <v>344</v>
      </c>
    </row>
    <row r="44" spans="1:10" ht="15.75">
      <c r="A44" s="344" t="s">
        <v>345</v>
      </c>
      <c r="B44" s="345"/>
      <c r="C44" s="346"/>
      <c r="D44" s="329" t="s">
        <v>305</v>
      </c>
      <c r="E44" s="330"/>
      <c r="F44" s="168">
        <v>160</v>
      </c>
      <c r="G44" s="169"/>
      <c r="H44" s="169">
        <v>111</v>
      </c>
      <c r="I44" s="169">
        <v>80.66</v>
      </c>
      <c r="J44" t="s">
        <v>346</v>
      </c>
    </row>
    <row r="45" spans="1:10" ht="15.75">
      <c r="A45" s="344" t="s">
        <v>347</v>
      </c>
      <c r="B45" s="345"/>
      <c r="C45" s="346"/>
      <c r="D45" s="329" t="s">
        <v>305</v>
      </c>
      <c r="E45" s="330"/>
      <c r="F45" s="168">
        <v>60</v>
      </c>
      <c r="G45" s="169"/>
      <c r="H45" s="169" t="e">
        <f>_xlfn.XLOOKUP(J45,'[2]Effluent (composite)'!$C$1:$X$1,'[2]Effluent (composite)'!$C$30:$X$30)</f>
        <v>#N/A</v>
      </c>
      <c r="I45" s="169" t="e">
        <f>_xlfn.XLOOKUP(J45,'[2]Effluent (composite)'!$C$1:$X$1,'[2]Effluent (composite)'!$C$29:$X$29)</f>
        <v>#N/A</v>
      </c>
      <c r="J45" t="s">
        <v>348</v>
      </c>
    </row>
    <row r="46" spans="1:10" ht="15.75">
      <c r="A46" s="344" t="s">
        <v>349</v>
      </c>
      <c r="B46" s="345"/>
      <c r="C46" s="346"/>
      <c r="D46" s="329" t="s">
        <v>305</v>
      </c>
      <c r="E46" s="330"/>
      <c r="F46" s="168">
        <v>7</v>
      </c>
      <c r="G46" s="169"/>
      <c r="H46" s="169">
        <v>1.17</v>
      </c>
      <c r="I46" s="169">
        <v>1.1000000000000001</v>
      </c>
      <c r="J46" t="s">
        <v>350</v>
      </c>
    </row>
    <row r="47" spans="1:10" ht="15.75">
      <c r="A47" s="344" t="s">
        <v>351</v>
      </c>
      <c r="B47" s="345"/>
      <c r="C47" s="346"/>
      <c r="D47" s="329" t="s">
        <v>305</v>
      </c>
      <c r="E47" s="330"/>
      <c r="F47" s="168">
        <v>0</v>
      </c>
      <c r="G47" s="169"/>
      <c r="H47" s="169">
        <v>11</v>
      </c>
      <c r="I47" s="169">
        <v>1.1000000000000001</v>
      </c>
      <c r="J47" t="s">
        <v>352</v>
      </c>
    </row>
    <row r="48" spans="1:10" ht="52.15" customHeight="1">
      <c r="A48" s="344" t="s">
        <v>353</v>
      </c>
      <c r="B48" s="345"/>
      <c r="C48" s="346"/>
      <c r="D48" s="347" t="s">
        <v>140</v>
      </c>
      <c r="E48" s="330"/>
      <c r="F48" s="168">
        <v>15</v>
      </c>
      <c r="G48" s="341" t="s">
        <v>354</v>
      </c>
      <c r="H48" s="342"/>
      <c r="I48" s="343"/>
      <c r="J48" s="92"/>
    </row>
    <row r="66" spans="5:5">
      <c r="E66" s="3"/>
    </row>
  </sheetData>
  <mergeCells count="66">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 ref="A31:C31"/>
    <mergeCell ref="A32:C32"/>
    <mergeCell ref="A33:C33"/>
    <mergeCell ref="A34:C34"/>
    <mergeCell ref="A35:C35"/>
    <mergeCell ref="A36:C36"/>
    <mergeCell ref="A37:C37"/>
    <mergeCell ref="A38:C38"/>
    <mergeCell ref="A39:C39"/>
    <mergeCell ref="A40:C40"/>
    <mergeCell ref="D41:E41"/>
    <mergeCell ref="D42:E42"/>
    <mergeCell ref="D43:E43"/>
    <mergeCell ref="D44:E44"/>
    <mergeCell ref="A41:C41"/>
    <mergeCell ref="A42:C42"/>
    <mergeCell ref="A43:C43"/>
    <mergeCell ref="A44:C44"/>
    <mergeCell ref="D36:E36"/>
    <mergeCell ref="D37:E37"/>
    <mergeCell ref="D38:E38"/>
    <mergeCell ref="D39:E39"/>
    <mergeCell ref="D40:E40"/>
    <mergeCell ref="D31:E31"/>
    <mergeCell ref="D32:E32"/>
    <mergeCell ref="D33:E33"/>
    <mergeCell ref="D34:E34"/>
    <mergeCell ref="D35:E35"/>
    <mergeCell ref="G48:I48"/>
    <mergeCell ref="D45:E45"/>
    <mergeCell ref="D46:E46"/>
    <mergeCell ref="D47:E47"/>
    <mergeCell ref="A48:C48"/>
    <mergeCell ref="D48:E48"/>
    <mergeCell ref="A46:C46"/>
    <mergeCell ref="A47:C47"/>
    <mergeCell ref="A45:C45"/>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Q64"/>
  <sheetViews>
    <sheetView topLeftCell="A13" workbookViewId="0">
      <selection activeCell="P20" sqref="P20"/>
    </sheetView>
  </sheetViews>
  <sheetFormatPr defaultColWidth="9.28515625" defaultRowHeight="15"/>
  <cols>
    <col min="1" max="1" width="9.28515625" style="2" customWidth="1"/>
    <col min="2" max="2" width="14.5703125" style="2" bestFit="1" customWidth="1"/>
    <col min="3" max="10" width="9.28515625" style="2"/>
    <col min="11" max="11" width="10.42578125" style="2" customWidth="1"/>
    <col min="12" max="16384" width="9.28515625" style="2"/>
  </cols>
  <sheetData>
    <row r="1" spans="1:17">
      <c r="A1" s="92" t="str">
        <f>+'Cover Page'!$B$29</f>
        <v>Annual Performance Report 2022</v>
      </c>
      <c r="B1" s="92"/>
      <c r="C1" s="92"/>
      <c r="D1" s="92"/>
      <c r="E1" s="92" t="str">
        <f>+'Cover Page'!$B$33</f>
        <v>Tradebe Fawley Limited</v>
      </c>
      <c r="F1" s="92"/>
      <c r="G1" s="92"/>
      <c r="H1" s="92"/>
      <c r="I1" s="92"/>
      <c r="J1" s="92"/>
      <c r="K1" s="92"/>
      <c r="L1" s="92"/>
      <c r="M1" s="92"/>
      <c r="N1" s="92"/>
      <c r="O1" s="92"/>
      <c r="P1" s="92"/>
      <c r="Q1" s="92"/>
    </row>
    <row r="2" spans="1:17" ht="7.5" customHeight="1">
      <c r="A2" s="92"/>
      <c r="B2" s="92"/>
      <c r="C2" s="92"/>
      <c r="D2" s="92"/>
      <c r="E2" s="92"/>
      <c r="F2" s="92"/>
      <c r="G2" s="92"/>
      <c r="H2" s="92"/>
      <c r="I2" s="92"/>
      <c r="J2" s="92"/>
      <c r="K2" s="92"/>
      <c r="L2" s="92"/>
      <c r="M2" s="92"/>
      <c r="N2" s="92"/>
      <c r="O2" s="92"/>
      <c r="P2" s="92"/>
      <c r="Q2" s="92"/>
    </row>
    <row r="3" spans="1:17" ht="15.75">
      <c r="A3" s="1" t="s">
        <v>40</v>
      </c>
      <c r="B3" s="92"/>
      <c r="C3" s="92"/>
      <c r="D3" s="92"/>
      <c r="E3" s="92"/>
      <c r="F3" s="92"/>
      <c r="G3" s="92"/>
      <c r="H3" s="92"/>
      <c r="I3" s="92"/>
      <c r="J3" s="92"/>
      <c r="K3" s="92"/>
      <c r="L3" s="92"/>
      <c r="M3" s="92"/>
      <c r="N3" s="92"/>
      <c r="O3" s="92"/>
      <c r="P3" s="92"/>
      <c r="Q3" s="92"/>
    </row>
    <row r="4" spans="1:17" ht="9.75" customHeight="1">
      <c r="A4" s="1"/>
      <c r="B4" s="92"/>
      <c r="C4" s="92"/>
      <c r="D4" s="92"/>
      <c r="E4" s="92"/>
      <c r="F4" s="92"/>
      <c r="G4" s="92"/>
      <c r="H4" s="92"/>
      <c r="I4" s="92"/>
      <c r="J4" s="92"/>
      <c r="K4" s="92"/>
      <c r="L4" s="92"/>
      <c r="M4" s="92"/>
      <c r="N4" s="92"/>
      <c r="O4" s="92"/>
      <c r="P4" s="92"/>
      <c r="Q4" s="92"/>
    </row>
    <row r="5" spans="1:17" s="3" customFormat="1" ht="21.75" customHeight="1">
      <c r="A5" s="48" t="s">
        <v>355</v>
      </c>
      <c r="B5" s="49"/>
      <c r="C5" s="49"/>
      <c r="D5" s="49"/>
      <c r="E5" s="49"/>
      <c r="F5" s="49"/>
      <c r="G5" s="49"/>
      <c r="H5" s="49"/>
      <c r="I5" s="49"/>
      <c r="J5" s="49"/>
      <c r="K5" s="50"/>
      <c r="N5" s="82" t="s">
        <v>2</v>
      </c>
    </row>
    <row r="6" spans="1:17" s="3" customFormat="1" ht="15.75" customHeight="1">
      <c r="A6" s="212" t="s">
        <v>356</v>
      </c>
      <c r="B6" s="213"/>
      <c r="C6" s="213"/>
      <c r="D6" s="213"/>
      <c r="E6" s="213"/>
      <c r="F6" s="213"/>
      <c r="G6" s="213"/>
      <c r="H6" s="213"/>
      <c r="I6" s="213"/>
      <c r="J6" s="213"/>
      <c r="K6" s="214"/>
      <c r="N6" s="368" t="s">
        <v>357</v>
      </c>
      <c r="O6" s="368"/>
      <c r="P6" s="368"/>
      <c r="Q6" s="368"/>
    </row>
    <row r="7" spans="1:17" s="3" customFormat="1" ht="67.150000000000006" customHeight="1">
      <c r="A7" s="218"/>
      <c r="B7" s="219"/>
      <c r="C7" s="219"/>
      <c r="D7" s="219"/>
      <c r="E7" s="219"/>
      <c r="F7" s="219"/>
      <c r="G7" s="219"/>
      <c r="H7" s="219"/>
      <c r="I7" s="219"/>
      <c r="J7" s="219"/>
      <c r="K7" s="220"/>
      <c r="N7" s="368"/>
      <c r="O7" s="368"/>
      <c r="P7" s="368"/>
      <c r="Q7" s="368"/>
    </row>
    <row r="8" spans="1:17" s="3" customFormat="1" ht="14.25">
      <c r="N8" s="368"/>
      <c r="O8" s="368"/>
      <c r="P8" s="368"/>
      <c r="Q8" s="368"/>
    </row>
    <row r="9" spans="1:17" s="56" customFormat="1" ht="16.5" customHeight="1">
      <c r="A9" s="331" t="s">
        <v>358</v>
      </c>
      <c r="B9" s="331"/>
      <c r="C9" s="331"/>
      <c r="D9" s="331"/>
      <c r="E9" s="331"/>
      <c r="F9" s="331"/>
      <c r="G9" s="331"/>
      <c r="H9" s="331"/>
      <c r="I9" s="331"/>
      <c r="J9" s="331"/>
      <c r="K9" s="331"/>
      <c r="N9" s="368"/>
      <c r="O9" s="368"/>
      <c r="P9" s="368"/>
      <c r="Q9" s="368"/>
    </row>
    <row r="10" spans="1:17" s="56" customFormat="1" ht="16.5" customHeight="1">
      <c r="A10" s="355" t="s">
        <v>218</v>
      </c>
      <c r="B10" s="356"/>
      <c r="C10" s="366" t="s">
        <v>359</v>
      </c>
      <c r="D10" s="362" t="s">
        <v>360</v>
      </c>
      <c r="E10" s="363"/>
      <c r="F10" s="359" t="s">
        <v>303</v>
      </c>
      <c r="G10" s="360"/>
      <c r="H10" s="360"/>
      <c r="I10" s="360"/>
      <c r="J10" s="360"/>
      <c r="K10" s="361"/>
      <c r="N10" s="368" t="s">
        <v>361</v>
      </c>
      <c r="O10" s="368"/>
      <c r="P10" s="368"/>
      <c r="Q10" s="368"/>
    </row>
    <row r="11" spans="1:17" s="12" customFormat="1" ht="17.25" customHeight="1">
      <c r="A11" s="357"/>
      <c r="B11" s="358"/>
      <c r="C11" s="367"/>
      <c r="D11" s="364"/>
      <c r="E11" s="365"/>
      <c r="F11" s="293" t="s">
        <v>192</v>
      </c>
      <c r="G11" s="369"/>
      <c r="H11" s="46" t="s">
        <v>193</v>
      </c>
      <c r="I11" s="46" t="s">
        <v>194</v>
      </c>
      <c r="J11" s="46" t="s">
        <v>195</v>
      </c>
      <c r="K11" s="46" t="s">
        <v>196</v>
      </c>
      <c r="L11" s="116"/>
      <c r="M11" s="116"/>
      <c r="N11" s="368"/>
      <c r="O11" s="368"/>
      <c r="P11" s="368"/>
      <c r="Q11" s="368"/>
    </row>
    <row r="12" spans="1:17" s="12" customFormat="1" ht="23.25" customHeight="1">
      <c r="A12" s="239" t="s">
        <v>230</v>
      </c>
      <c r="B12" s="239"/>
      <c r="C12" s="170" t="s">
        <v>362</v>
      </c>
      <c r="D12" s="285" t="s">
        <v>363</v>
      </c>
      <c r="E12" s="285"/>
      <c r="F12" s="168">
        <v>4.4999999999999998E-2</v>
      </c>
      <c r="G12" s="168">
        <v>3.2000000000000001E-2</v>
      </c>
      <c r="H12" s="168"/>
      <c r="I12" s="168"/>
      <c r="J12" s="168"/>
      <c r="K12" s="168"/>
      <c r="L12" s="116"/>
      <c r="M12" s="116"/>
      <c r="N12" s="368"/>
      <c r="O12" s="368"/>
      <c r="P12" s="368"/>
      <c r="Q12" s="368"/>
    </row>
    <row r="13" spans="1:17" s="12" customFormat="1" ht="23.25" customHeight="1">
      <c r="A13" s="239" t="s">
        <v>364</v>
      </c>
      <c r="B13" s="239"/>
      <c r="C13" s="170" t="s">
        <v>365</v>
      </c>
      <c r="D13" s="285" t="s">
        <v>366</v>
      </c>
      <c r="E13" s="285"/>
      <c r="F13" s="168">
        <v>9.3999999999999997E-4</v>
      </c>
      <c r="G13" s="168">
        <v>8.4999999999999995E-4</v>
      </c>
      <c r="H13" s="168"/>
      <c r="I13" s="168"/>
      <c r="J13" s="168"/>
      <c r="K13" s="168"/>
      <c r="L13" s="116"/>
      <c r="M13" s="116"/>
      <c r="N13" s="116"/>
      <c r="O13" s="116"/>
      <c r="P13" s="116"/>
      <c r="Q13" s="116"/>
    </row>
    <row r="14" spans="1:17" s="12" customFormat="1" ht="23.25" customHeight="1">
      <c r="A14" s="239" t="s">
        <v>367</v>
      </c>
      <c r="B14" s="239"/>
      <c r="C14" s="170" t="s">
        <v>365</v>
      </c>
      <c r="D14" s="285" t="s">
        <v>366</v>
      </c>
      <c r="E14" s="285"/>
      <c r="F14" s="168">
        <v>3.6999999999999998E-2</v>
      </c>
      <c r="G14" s="168">
        <v>3.2000000000000002E-3</v>
      </c>
      <c r="H14" s="168"/>
      <c r="I14" s="168"/>
      <c r="J14" s="168"/>
      <c r="K14" s="168"/>
      <c r="L14" s="116"/>
      <c r="M14" s="116"/>
      <c r="N14" s="116"/>
      <c r="O14" s="116"/>
      <c r="P14" s="116"/>
      <c r="Q14" s="116"/>
    </row>
    <row r="15" spans="1:17" s="12" customFormat="1" ht="23.25" customHeight="1">
      <c r="A15" s="239" t="s">
        <v>368</v>
      </c>
      <c r="B15" s="239"/>
      <c r="C15" s="170" t="s">
        <v>365</v>
      </c>
      <c r="D15" s="285" t="s">
        <v>369</v>
      </c>
      <c r="E15" s="285"/>
      <c r="F15" s="168">
        <v>0.18</v>
      </c>
      <c r="G15" s="168">
        <v>0.22</v>
      </c>
      <c r="H15" s="168"/>
      <c r="I15" s="168"/>
      <c r="J15" s="168"/>
      <c r="K15" s="168"/>
      <c r="L15" s="116"/>
      <c r="M15" s="116"/>
      <c r="N15" s="116"/>
      <c r="O15" s="116"/>
      <c r="P15" s="116"/>
      <c r="Q15" s="116"/>
    </row>
    <row r="16" spans="1:17" s="12" customFormat="1" ht="23.25" customHeight="1">
      <c r="A16" s="239" t="s">
        <v>370</v>
      </c>
      <c r="B16" s="239"/>
      <c r="C16" s="170" t="s">
        <v>365</v>
      </c>
      <c r="D16" s="285" t="s">
        <v>371</v>
      </c>
      <c r="E16" s="285"/>
      <c r="F16" s="168">
        <v>3.2000000000000003E-4</v>
      </c>
      <c r="G16" s="168">
        <v>2.9999999999999997E-4</v>
      </c>
      <c r="H16" s="168"/>
      <c r="I16" s="168"/>
      <c r="J16" s="168"/>
      <c r="K16" s="168"/>
      <c r="L16" s="116"/>
      <c r="M16" s="116"/>
      <c r="N16" s="116"/>
      <c r="O16" s="116"/>
      <c r="P16" s="116"/>
      <c r="Q16" s="116"/>
    </row>
    <row r="17" spans="1:11" s="12" customFormat="1" ht="23.25" customHeight="1">
      <c r="A17" s="239" t="s">
        <v>372</v>
      </c>
      <c r="B17" s="239"/>
      <c r="C17" s="170" t="s">
        <v>365</v>
      </c>
      <c r="D17" s="285" t="s">
        <v>373</v>
      </c>
      <c r="E17" s="285"/>
      <c r="F17" s="168">
        <v>6.9999999999999994E-5</v>
      </c>
      <c r="G17" s="168">
        <v>2.1000000000000001E-4</v>
      </c>
      <c r="H17" s="168"/>
      <c r="I17" s="168"/>
      <c r="J17" s="168"/>
      <c r="K17" s="168"/>
    </row>
    <row r="18" spans="1:11" s="12" customFormat="1" ht="23.25" customHeight="1">
      <c r="A18" s="239" t="s">
        <v>374</v>
      </c>
      <c r="B18" s="239"/>
      <c r="C18" s="170" t="s">
        <v>365</v>
      </c>
      <c r="D18" s="285" t="s">
        <v>373</v>
      </c>
      <c r="E18" s="285"/>
      <c r="F18" s="168">
        <v>3.4E-5</v>
      </c>
      <c r="G18" s="168">
        <v>2.0000000000000002E-5</v>
      </c>
      <c r="H18" s="168"/>
      <c r="I18" s="168"/>
      <c r="J18" s="168"/>
      <c r="K18" s="168"/>
    </row>
    <row r="19" spans="1:11" s="12" customFormat="1" ht="23.25" customHeight="1">
      <c r="A19" s="239" t="s">
        <v>375</v>
      </c>
      <c r="B19" s="239"/>
      <c r="C19" s="170" t="s">
        <v>365</v>
      </c>
      <c r="D19" s="285" t="s">
        <v>373</v>
      </c>
      <c r="E19" s="285"/>
      <c r="F19" s="168">
        <v>1.8000000000000001E-4</v>
      </c>
      <c r="G19" s="168">
        <v>5.4000000000000003E-3</v>
      </c>
      <c r="H19" s="168"/>
      <c r="I19" s="168"/>
      <c r="J19" s="168"/>
      <c r="K19" s="168"/>
    </row>
    <row r="20" spans="1:11" s="12" customFormat="1" ht="23.25" customHeight="1">
      <c r="A20" s="239" t="s">
        <v>376</v>
      </c>
      <c r="B20" s="239"/>
      <c r="C20" s="170" t="s">
        <v>365</v>
      </c>
      <c r="D20" s="285" t="s">
        <v>373</v>
      </c>
      <c r="E20" s="285"/>
      <c r="F20" s="168">
        <v>2.9999999999999997E-4</v>
      </c>
      <c r="G20" s="168">
        <v>1.9000000000000001E-4</v>
      </c>
      <c r="H20" s="168"/>
      <c r="I20" s="168"/>
      <c r="J20" s="168"/>
      <c r="K20" s="168"/>
    </row>
    <row r="21" spans="1:11" s="12" customFormat="1" ht="23.25" customHeight="1">
      <c r="A21" s="239" t="s">
        <v>377</v>
      </c>
      <c r="B21" s="239"/>
      <c r="C21" s="170" t="s">
        <v>365</v>
      </c>
      <c r="D21" s="285" t="s">
        <v>373</v>
      </c>
      <c r="E21" s="285"/>
      <c r="F21" s="168">
        <v>3.1E-4</v>
      </c>
      <c r="G21" s="168">
        <v>2.9999999999999997E-4</v>
      </c>
      <c r="H21" s="168"/>
      <c r="I21" s="168"/>
      <c r="J21" s="168"/>
      <c r="K21" s="168"/>
    </row>
    <row r="22" spans="1:11" s="12" customFormat="1" ht="23.25" customHeight="1">
      <c r="A22" s="239" t="s">
        <v>378</v>
      </c>
      <c r="B22" s="239"/>
      <c r="C22" s="170" t="s">
        <v>365</v>
      </c>
      <c r="D22" s="285" t="s">
        <v>373</v>
      </c>
      <c r="E22" s="285"/>
      <c r="F22" s="168">
        <v>6.9999999999999999E-4</v>
      </c>
      <c r="G22" s="168">
        <v>5.8E-4</v>
      </c>
      <c r="H22" s="168"/>
      <c r="I22" s="168"/>
      <c r="J22" s="168"/>
      <c r="K22" s="168"/>
    </row>
    <row r="23" spans="1:11" s="12" customFormat="1" ht="23.25" customHeight="1">
      <c r="A23" s="239" t="s">
        <v>379</v>
      </c>
      <c r="B23" s="239"/>
      <c r="C23" s="170" t="s">
        <v>365</v>
      </c>
      <c r="D23" s="285" t="s">
        <v>380</v>
      </c>
      <c r="E23" s="285"/>
      <c r="F23" s="168">
        <v>9.3999999999999997E-4</v>
      </c>
      <c r="G23" s="168">
        <v>1.9E-3</v>
      </c>
      <c r="H23" s="168"/>
      <c r="I23" s="168"/>
      <c r="J23" s="168"/>
      <c r="K23" s="168"/>
    </row>
    <row r="24" spans="1:11" s="12" customFormat="1" ht="23.25" customHeight="1">
      <c r="A24" s="239" t="s">
        <v>381</v>
      </c>
      <c r="B24" s="239"/>
      <c r="C24" s="170" t="s">
        <v>365</v>
      </c>
      <c r="D24" s="285" t="s">
        <v>380</v>
      </c>
      <c r="E24" s="285"/>
      <c r="F24" s="168">
        <v>9.3999999999999997E-4</v>
      </c>
      <c r="G24" s="168">
        <v>1.9E-3</v>
      </c>
      <c r="H24" s="168"/>
      <c r="I24" s="168"/>
      <c r="J24" s="168"/>
      <c r="K24" s="168"/>
    </row>
    <row r="25" spans="1:11" s="12" customFormat="1" ht="23.25" customHeight="1">
      <c r="A25" s="239" t="s">
        <v>382</v>
      </c>
      <c r="B25" s="239"/>
      <c r="C25" s="170" t="s">
        <v>365</v>
      </c>
      <c r="D25" s="285" t="s">
        <v>380</v>
      </c>
      <c r="E25" s="285"/>
      <c r="F25" s="168">
        <v>9.3999999999999997E-4</v>
      </c>
      <c r="G25" s="168">
        <v>1.9E-3</v>
      </c>
      <c r="H25" s="168"/>
      <c r="I25" s="168"/>
      <c r="J25" s="168"/>
      <c r="K25" s="168"/>
    </row>
    <row r="26" spans="1:11" s="12" customFormat="1" ht="23.25" customHeight="1">
      <c r="A26" s="239" t="s">
        <v>383</v>
      </c>
      <c r="B26" s="239"/>
      <c r="C26" s="170" t="s">
        <v>365</v>
      </c>
      <c r="D26" s="285" t="s">
        <v>380</v>
      </c>
      <c r="E26" s="285"/>
      <c r="F26" s="168">
        <v>9.3999999999999997E-4</v>
      </c>
      <c r="G26" s="168">
        <v>3.0000000000000001E-3</v>
      </c>
      <c r="H26" s="168"/>
      <c r="I26" s="168"/>
      <c r="J26" s="168"/>
      <c r="K26" s="168"/>
    </row>
    <row r="27" spans="1:11" s="12" customFormat="1" ht="23.25" customHeight="1">
      <c r="A27" s="239" t="s">
        <v>384</v>
      </c>
      <c r="B27" s="239"/>
      <c r="C27" s="170" t="s">
        <v>365</v>
      </c>
      <c r="D27" s="285" t="s">
        <v>380</v>
      </c>
      <c r="E27" s="285"/>
      <c r="F27" s="168">
        <v>9.3999999999999997E-4</v>
      </c>
      <c r="G27" s="168">
        <v>1.9E-3</v>
      </c>
      <c r="H27" s="168"/>
      <c r="I27" s="168"/>
      <c r="J27" s="168"/>
      <c r="K27" s="168"/>
    </row>
    <row r="28" spans="1:11" s="12" customFormat="1" ht="23.25" customHeight="1">
      <c r="A28" s="239" t="s">
        <v>385</v>
      </c>
      <c r="B28" s="239"/>
      <c r="C28" s="170" t="s">
        <v>365</v>
      </c>
      <c r="D28" s="285" t="s">
        <v>380</v>
      </c>
      <c r="E28" s="285"/>
      <c r="F28" s="168">
        <v>9.3999999999999997E-4</v>
      </c>
      <c r="G28" s="168">
        <v>1.9E-3</v>
      </c>
      <c r="H28" s="168"/>
      <c r="I28" s="168"/>
      <c r="J28" s="168"/>
      <c r="K28" s="168"/>
    </row>
    <row r="29" spans="1:11" s="12" customFormat="1" ht="23.25" customHeight="1">
      <c r="A29" s="239" t="s">
        <v>386</v>
      </c>
      <c r="B29" s="239"/>
      <c r="C29" s="170" t="s">
        <v>365</v>
      </c>
      <c r="D29" s="285" t="s">
        <v>380</v>
      </c>
      <c r="E29" s="285"/>
      <c r="F29" s="168">
        <v>9.3999999999999997E-4</v>
      </c>
      <c r="G29" s="168">
        <v>1.9E-3</v>
      </c>
      <c r="H29" s="168"/>
      <c r="I29" s="168"/>
      <c r="J29" s="168"/>
      <c r="K29" s="168"/>
    </row>
    <row r="30" spans="1:11" s="12" customFormat="1" ht="23.25" customHeight="1">
      <c r="A30" s="239" t="s">
        <v>387</v>
      </c>
      <c r="B30" s="239"/>
      <c r="C30" s="170" t="s">
        <v>365</v>
      </c>
      <c r="D30" s="285" t="s">
        <v>380</v>
      </c>
      <c r="E30" s="285"/>
      <c r="F30" s="168">
        <v>9.3999999999999997E-4</v>
      </c>
      <c r="G30" s="168">
        <v>1.9E-3</v>
      </c>
      <c r="H30" s="168"/>
      <c r="I30" s="168"/>
      <c r="J30" s="168"/>
      <c r="K30" s="168"/>
    </row>
    <row r="31" spans="1:11" s="12" customFormat="1" ht="23.25" customHeight="1">
      <c r="A31" s="239" t="s">
        <v>388</v>
      </c>
      <c r="B31" s="239"/>
      <c r="C31" s="170" t="s">
        <v>365</v>
      </c>
      <c r="D31" s="285" t="s">
        <v>380</v>
      </c>
      <c r="E31" s="285"/>
      <c r="F31" s="168">
        <v>9.3999999999999997E-4</v>
      </c>
      <c r="G31" s="168">
        <v>1.9E-3</v>
      </c>
      <c r="H31" s="168"/>
      <c r="I31" s="168"/>
      <c r="J31" s="168"/>
      <c r="K31" s="168"/>
    </row>
    <row r="32" spans="1:11" s="12" customFormat="1" ht="23.25" customHeight="1">
      <c r="A32" s="239" t="s">
        <v>389</v>
      </c>
      <c r="B32" s="239"/>
      <c r="C32" s="170" t="s">
        <v>365</v>
      </c>
      <c r="D32" s="285" t="s">
        <v>380</v>
      </c>
      <c r="E32" s="285"/>
      <c r="F32" s="168">
        <v>9.3999999999999997E-4</v>
      </c>
      <c r="G32" s="168">
        <v>2.7000000000000001E-3</v>
      </c>
      <c r="H32" s="168"/>
      <c r="I32" s="168"/>
      <c r="J32" s="168"/>
      <c r="K32" s="168"/>
    </row>
    <row r="33" spans="1:11" s="12" customFormat="1" ht="23.25" customHeight="1">
      <c r="A33" s="239" t="s">
        <v>390</v>
      </c>
      <c r="B33" s="239"/>
      <c r="C33" s="170" t="s">
        <v>365</v>
      </c>
      <c r="D33" s="285" t="s">
        <v>380</v>
      </c>
      <c r="E33" s="285"/>
      <c r="F33" s="168">
        <v>9.3999999999999997E-4</v>
      </c>
      <c r="G33" s="168">
        <v>1.9E-3</v>
      </c>
      <c r="H33" s="168"/>
      <c r="I33" s="168"/>
      <c r="J33" s="168"/>
      <c r="K33" s="168"/>
    </row>
    <row r="34" spans="1:11" s="12" customFormat="1" ht="23.25" customHeight="1">
      <c r="A34" s="239" t="s">
        <v>391</v>
      </c>
      <c r="B34" s="239"/>
      <c r="C34" s="170" t="s">
        <v>365</v>
      </c>
      <c r="D34" s="285" t="s">
        <v>380</v>
      </c>
      <c r="E34" s="285"/>
      <c r="F34" s="168">
        <v>9.3999999999999997E-4</v>
      </c>
      <c r="G34" s="168">
        <v>1.9E-3</v>
      </c>
      <c r="H34" s="168"/>
      <c r="I34" s="168"/>
      <c r="J34" s="168"/>
      <c r="K34" s="168"/>
    </row>
    <row r="35" spans="1:11" s="12" customFormat="1" ht="23.25" customHeight="1">
      <c r="A35" s="239" t="s">
        <v>392</v>
      </c>
      <c r="B35" s="239"/>
      <c r="C35" s="170" t="s">
        <v>365</v>
      </c>
      <c r="D35" s="285" t="s">
        <v>380</v>
      </c>
      <c r="E35" s="285"/>
      <c r="F35" s="168">
        <v>9.3999999999999997E-4</v>
      </c>
      <c r="G35" s="168">
        <v>1.9E-3</v>
      </c>
      <c r="H35" s="168"/>
      <c r="I35" s="168"/>
      <c r="J35" s="168"/>
      <c r="K35" s="168"/>
    </row>
    <row r="36" spans="1:11" s="12" customFormat="1" ht="23.25" customHeight="1">
      <c r="A36" s="239" t="s">
        <v>393</v>
      </c>
      <c r="B36" s="239"/>
      <c r="C36" s="170" t="s">
        <v>365</v>
      </c>
      <c r="D36" s="285" t="s">
        <v>380</v>
      </c>
      <c r="E36" s="285"/>
      <c r="F36" s="168">
        <v>0.02</v>
      </c>
      <c r="G36" s="168">
        <v>0.1002</v>
      </c>
      <c r="H36" s="168"/>
      <c r="I36" s="168"/>
      <c r="J36" s="168"/>
      <c r="K36" s="168"/>
    </row>
    <row r="37" spans="1:11" s="12" customFormat="1" ht="23.25" customHeight="1">
      <c r="A37" s="239" t="s">
        <v>394</v>
      </c>
      <c r="B37" s="239"/>
      <c r="C37" s="170" t="s">
        <v>365</v>
      </c>
      <c r="D37" s="285" t="s">
        <v>380</v>
      </c>
      <c r="E37" s="285"/>
      <c r="F37" s="168">
        <v>9.3999999999999997E-4</v>
      </c>
      <c r="G37" s="168">
        <v>1.9E-3</v>
      </c>
      <c r="H37" s="168"/>
      <c r="I37" s="168"/>
      <c r="J37" s="168"/>
      <c r="K37" s="168"/>
    </row>
    <row r="38" spans="1:11" s="12" customFormat="1" ht="23.25" customHeight="1">
      <c r="A38" s="239" t="s">
        <v>395</v>
      </c>
      <c r="B38" s="239"/>
      <c r="C38" s="170" t="s">
        <v>365</v>
      </c>
      <c r="D38" s="285" t="s">
        <v>380</v>
      </c>
      <c r="E38" s="285"/>
      <c r="F38" s="168">
        <v>0.48</v>
      </c>
      <c r="G38" s="168">
        <v>0.46</v>
      </c>
      <c r="H38" s="168"/>
      <c r="I38" s="168"/>
      <c r="J38" s="168"/>
      <c r="K38" s="168"/>
    </row>
    <row r="39" spans="1:11">
      <c r="A39" s="240" t="s">
        <v>275</v>
      </c>
      <c r="B39" s="240"/>
      <c r="C39" s="240"/>
      <c r="D39" s="240"/>
      <c r="E39" s="240"/>
      <c r="F39" s="240"/>
      <c r="G39" s="240"/>
      <c r="H39" s="240"/>
      <c r="I39" s="240"/>
      <c r="J39" s="240"/>
      <c r="K39" s="240"/>
    </row>
    <row r="40" spans="1:11">
      <c r="A40" s="325"/>
      <c r="B40" s="325"/>
      <c r="C40" s="325"/>
      <c r="D40" s="325"/>
      <c r="E40" s="325"/>
      <c r="F40" s="325"/>
      <c r="G40" s="325"/>
      <c r="H40" s="325"/>
      <c r="I40" s="325"/>
      <c r="J40" s="325"/>
      <c r="K40" s="325"/>
    </row>
    <row r="41" spans="1:11">
      <c r="A41" s="325"/>
      <c r="B41" s="325"/>
      <c r="C41" s="325"/>
      <c r="D41" s="325"/>
      <c r="E41" s="325"/>
      <c r="F41" s="325"/>
      <c r="G41" s="325"/>
      <c r="H41" s="325"/>
      <c r="I41" s="325"/>
      <c r="J41" s="325"/>
      <c r="K41" s="325"/>
    </row>
    <row r="64" spans="6:7">
      <c r="F64" s="3"/>
      <c r="G64" s="3"/>
    </row>
  </sheetData>
  <mergeCells count="65">
    <mergeCell ref="N6:Q9"/>
    <mergeCell ref="N10:Q12"/>
    <mergeCell ref="A9:K9"/>
    <mergeCell ref="A6:K7"/>
    <mergeCell ref="A12:B12"/>
    <mergeCell ref="F11:G11"/>
    <mergeCell ref="A13:B13"/>
    <mergeCell ref="D12:E12"/>
    <mergeCell ref="D13:E13"/>
    <mergeCell ref="A10:B11"/>
    <mergeCell ref="F10:K10"/>
    <mergeCell ref="D10:E11"/>
    <mergeCell ref="C10:C11"/>
    <mergeCell ref="A17:B17"/>
    <mergeCell ref="A18:B18"/>
    <mergeCell ref="A19:B19"/>
    <mergeCell ref="A14:B14"/>
    <mergeCell ref="A15:B15"/>
    <mergeCell ref="A16:B16"/>
    <mergeCell ref="A40:K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K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4" workbookViewId="0">
      <selection activeCell="P20" sqref="P20"/>
    </sheetView>
  </sheetViews>
  <sheetFormatPr defaultColWidth="9.28515625" defaultRowHeight="15"/>
  <cols>
    <col min="1" max="1" width="21.28515625" style="2" customWidth="1"/>
    <col min="2" max="2" width="13.7109375" style="2" customWidth="1"/>
    <col min="3" max="3" width="16.28515625" style="2" customWidth="1"/>
    <col min="4" max="4" width="11.5703125" style="2" bestFit="1" customWidth="1"/>
    <col min="5" max="5" width="11.5703125" style="2" customWidth="1"/>
    <col min="6"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Tradebe Fawley Limited</v>
      </c>
      <c r="J1" s="92"/>
      <c r="K1" s="92"/>
      <c r="L1" s="92"/>
      <c r="M1" s="92"/>
      <c r="N1" s="92"/>
      <c r="O1" s="92"/>
      <c r="P1" s="92"/>
    </row>
    <row r="3" spans="1:16" ht="15.75">
      <c r="A3" s="1" t="s">
        <v>396</v>
      </c>
      <c r="B3" s="92"/>
      <c r="C3" s="92"/>
      <c r="D3" s="92"/>
      <c r="E3" s="92"/>
      <c r="F3" s="92"/>
      <c r="G3" s="92"/>
      <c r="H3" s="92"/>
      <c r="I3" s="92"/>
      <c r="J3" s="92"/>
      <c r="K3" s="92"/>
      <c r="L3" s="92"/>
      <c r="M3" s="92"/>
      <c r="N3" s="92"/>
      <c r="O3" s="92"/>
      <c r="P3" s="92"/>
    </row>
    <row r="4" spans="1:16" ht="15.75">
      <c r="A4" s="1"/>
      <c r="B4" s="92"/>
      <c r="C4" s="92"/>
      <c r="D4" s="92"/>
      <c r="E4" s="92"/>
      <c r="F4" s="92"/>
      <c r="G4" s="92"/>
      <c r="H4" s="92"/>
      <c r="I4" s="92"/>
      <c r="J4" s="92"/>
      <c r="K4" s="92"/>
      <c r="L4" s="92"/>
      <c r="M4" s="92"/>
      <c r="N4" s="92"/>
      <c r="O4" s="92"/>
      <c r="P4" s="73" t="s">
        <v>2</v>
      </c>
    </row>
    <row r="5" spans="1:16" s="3" customFormat="1" ht="21.75" customHeight="1">
      <c r="A5" s="48" t="s">
        <v>355</v>
      </c>
      <c r="B5" s="49"/>
      <c r="C5" s="49"/>
      <c r="D5" s="49"/>
      <c r="E5" s="49"/>
      <c r="F5" s="49"/>
      <c r="G5" s="49"/>
      <c r="H5" s="49"/>
      <c r="I5" s="49"/>
      <c r="J5" s="49"/>
      <c r="K5" s="49"/>
      <c r="L5" s="49"/>
      <c r="M5" s="50"/>
      <c r="P5" s="74" t="s">
        <v>397</v>
      </c>
    </row>
    <row r="6" spans="1:16" s="3" customFormat="1" ht="15.75" customHeight="1">
      <c r="A6" s="324"/>
      <c r="B6" s="221"/>
      <c r="C6" s="221"/>
      <c r="D6" s="221"/>
      <c r="E6" s="221"/>
      <c r="F6" s="221"/>
      <c r="G6" s="221"/>
      <c r="H6" s="221"/>
      <c r="I6" s="221"/>
      <c r="J6" s="221"/>
      <c r="K6" s="221"/>
      <c r="L6" s="221"/>
      <c r="M6" s="222"/>
      <c r="P6" s="3" t="s">
        <v>398</v>
      </c>
    </row>
    <row r="7" spans="1:16" s="3" customFormat="1" ht="15.75" customHeight="1">
      <c r="A7" s="226"/>
      <c r="B7" s="227"/>
      <c r="C7" s="227"/>
      <c r="D7" s="227"/>
      <c r="E7" s="227"/>
      <c r="F7" s="227"/>
      <c r="G7" s="227"/>
      <c r="H7" s="227"/>
      <c r="I7" s="227"/>
      <c r="J7" s="227"/>
      <c r="K7" s="227"/>
      <c r="L7" s="227"/>
      <c r="M7" s="228"/>
    </row>
    <row r="8" spans="1:16" s="3" customFormat="1" ht="15.75" customHeight="1">
      <c r="A8" s="212"/>
      <c r="B8" s="213"/>
      <c r="C8" s="213"/>
      <c r="D8" s="213"/>
      <c r="E8" s="213"/>
      <c r="F8" s="213"/>
      <c r="G8" s="213"/>
      <c r="H8" s="213"/>
      <c r="I8" s="213"/>
      <c r="J8" s="213"/>
      <c r="K8" s="213"/>
      <c r="L8" s="213"/>
      <c r="M8" s="214"/>
    </row>
    <row r="9" spans="1:16" s="3" customFormat="1" ht="15.75" customHeight="1">
      <c r="A9" s="218"/>
      <c r="B9" s="219"/>
      <c r="C9" s="219"/>
      <c r="D9" s="219"/>
      <c r="E9" s="219"/>
      <c r="F9" s="219"/>
      <c r="G9" s="219"/>
      <c r="H9" s="219"/>
      <c r="I9" s="219"/>
      <c r="J9" s="219"/>
      <c r="K9" s="219"/>
      <c r="L9" s="219"/>
      <c r="M9" s="220"/>
    </row>
    <row r="10" spans="1:16" s="3" customFormat="1" ht="14.25"/>
    <row r="11" spans="1:16" s="56" customFormat="1" ht="16.5" customHeight="1">
      <c r="A11" s="331" t="s">
        <v>399</v>
      </c>
      <c r="B11" s="331"/>
      <c r="C11" s="331"/>
      <c r="D11" s="331"/>
      <c r="E11" s="331"/>
      <c r="F11" s="331"/>
      <c r="G11" s="331"/>
      <c r="H11" s="331"/>
      <c r="I11" s="331"/>
      <c r="J11" s="331"/>
      <c r="K11" s="331"/>
      <c r="L11" s="331"/>
      <c r="M11" s="331"/>
    </row>
    <row r="12" spans="1:16" s="56" customFormat="1" ht="16.5" customHeight="1">
      <c r="A12" s="374" t="s">
        <v>218</v>
      </c>
      <c r="B12" s="366" t="s">
        <v>400</v>
      </c>
      <c r="C12" s="292" t="s">
        <v>360</v>
      </c>
      <c r="D12" s="293" t="s">
        <v>192</v>
      </c>
      <c r="E12" s="369"/>
      <c r="F12" s="293" t="s">
        <v>193</v>
      </c>
      <c r="G12" s="369"/>
      <c r="H12" s="293" t="s">
        <v>194</v>
      </c>
      <c r="I12" s="369"/>
      <c r="J12" s="293" t="s">
        <v>195</v>
      </c>
      <c r="K12" s="369"/>
      <c r="L12" s="293" t="s">
        <v>196</v>
      </c>
      <c r="M12" s="369"/>
    </row>
    <row r="13" spans="1:16" s="12" customFormat="1" ht="17.25" customHeight="1">
      <c r="A13" s="374"/>
      <c r="B13" s="375"/>
      <c r="C13" s="292"/>
      <c r="D13" s="57" t="s">
        <v>401</v>
      </c>
      <c r="E13" s="46" t="s">
        <v>402</v>
      </c>
      <c r="F13" s="46" t="s">
        <v>302</v>
      </c>
      <c r="G13" s="57" t="s">
        <v>402</v>
      </c>
      <c r="H13" s="46" t="s">
        <v>302</v>
      </c>
      <c r="I13" s="57" t="s">
        <v>402</v>
      </c>
      <c r="J13" s="46" t="s">
        <v>302</v>
      </c>
      <c r="K13" s="57" t="s">
        <v>402</v>
      </c>
      <c r="L13" s="46" t="s">
        <v>302</v>
      </c>
      <c r="M13" s="57" t="s">
        <v>402</v>
      </c>
      <c r="N13" s="116"/>
      <c r="O13" s="116"/>
      <c r="P13" s="116"/>
    </row>
    <row r="14" spans="1:16" s="12" customFormat="1" ht="23.25" customHeight="1">
      <c r="A14" s="239" t="s">
        <v>224</v>
      </c>
      <c r="B14" s="164" t="s">
        <v>403</v>
      </c>
      <c r="C14" s="164" t="s">
        <v>404</v>
      </c>
      <c r="D14" s="169">
        <f>AVERAGE(NOx!G7:G18)</f>
        <v>239.67499999999998</v>
      </c>
      <c r="E14" s="169">
        <f>AVERAGE(NOx!F7:F18)</f>
        <v>175.80833333333331</v>
      </c>
      <c r="F14" s="168"/>
      <c r="G14" s="168"/>
      <c r="H14" s="168"/>
      <c r="I14" s="168"/>
      <c r="J14" s="168"/>
      <c r="K14" s="168"/>
      <c r="L14" s="168"/>
      <c r="M14" s="168"/>
      <c r="N14" s="116"/>
      <c r="O14" s="116"/>
      <c r="P14" s="116"/>
    </row>
    <row r="15" spans="1:16" s="12" customFormat="1" ht="23.25" customHeight="1">
      <c r="A15" s="239"/>
      <c r="B15" s="164" t="s">
        <v>405</v>
      </c>
      <c r="C15" s="164" t="s">
        <v>406</v>
      </c>
      <c r="D15" s="169">
        <f>AVERAGE(NOx!D7:D18)</f>
        <v>363.47500000000008</v>
      </c>
      <c r="E15" s="169">
        <f>AVERAGE(NOx!C7:C18)</f>
        <v>175.79999999999998</v>
      </c>
      <c r="F15" s="168"/>
      <c r="G15" s="168"/>
      <c r="H15" s="168"/>
      <c r="I15" s="168"/>
      <c r="J15" s="168"/>
      <c r="K15" s="168"/>
      <c r="L15" s="168"/>
      <c r="M15" s="168"/>
      <c r="N15" s="116"/>
      <c r="O15" s="116"/>
      <c r="P15" s="116"/>
    </row>
    <row r="16" spans="1:16" s="12" customFormat="1" ht="23.25" customHeight="1">
      <c r="A16" s="171" t="s">
        <v>223</v>
      </c>
      <c r="B16" s="172" t="s">
        <v>403</v>
      </c>
      <c r="C16" s="164" t="s">
        <v>407</v>
      </c>
      <c r="D16" s="169">
        <f>AVERAGE(Particulates!G7:G18)</f>
        <v>3.9333333333333331</v>
      </c>
      <c r="E16" s="169">
        <f>AVERAGE(Particulates!F7:F18)</f>
        <v>2.5500000000000003</v>
      </c>
      <c r="F16" s="168"/>
      <c r="G16" s="168"/>
      <c r="H16" s="168"/>
      <c r="I16" s="168"/>
      <c r="J16" s="168"/>
      <c r="K16" s="168"/>
      <c r="L16" s="168"/>
      <c r="M16" s="168"/>
      <c r="N16" s="116"/>
      <c r="O16" s="116"/>
      <c r="P16" s="116"/>
    </row>
    <row r="17" spans="1:13" s="12" customFormat="1" ht="23.25" customHeight="1">
      <c r="A17" s="171"/>
      <c r="B17" s="164" t="s">
        <v>405</v>
      </c>
      <c r="C17" s="164" t="s">
        <v>408</v>
      </c>
      <c r="D17" s="169">
        <f>AVERAGE(Particulates!D7:D18)</f>
        <v>11.375</v>
      </c>
      <c r="E17" s="169">
        <f>AVERAGE(Particulates!C7:C18)</f>
        <v>2.6166666666666667</v>
      </c>
      <c r="F17" s="168"/>
      <c r="G17" s="168"/>
      <c r="H17" s="168"/>
      <c r="I17" s="168"/>
      <c r="J17" s="168"/>
      <c r="K17" s="168"/>
      <c r="L17" s="168"/>
      <c r="M17" s="168"/>
    </row>
    <row r="18" spans="1:13" s="12" customFormat="1" ht="23.25" customHeight="1">
      <c r="A18" s="171" t="s">
        <v>409</v>
      </c>
      <c r="B18" s="164" t="s">
        <v>403</v>
      </c>
      <c r="C18" s="164" t="s">
        <v>410</v>
      </c>
      <c r="D18" s="169">
        <f>AVERAGE(TOC!G7:G18)</f>
        <v>1.825</v>
      </c>
      <c r="E18" s="169">
        <f>AVERAGE(TOC!F7:F18)</f>
        <v>0.71666666666666667</v>
      </c>
      <c r="F18" s="168"/>
      <c r="G18" s="168"/>
      <c r="H18" s="168"/>
      <c r="I18" s="168"/>
      <c r="J18" s="168"/>
      <c r="K18" s="168"/>
      <c r="L18" s="168"/>
      <c r="M18" s="168"/>
    </row>
    <row r="19" spans="1:13" s="12" customFormat="1" ht="23.25" customHeight="1">
      <c r="A19" s="171"/>
      <c r="B19" s="164" t="s">
        <v>405</v>
      </c>
      <c r="C19" s="164" t="s">
        <v>411</v>
      </c>
      <c r="D19" s="169">
        <f>AVERAGE(TOC!D7:D18)</f>
        <v>13.991666666666667</v>
      </c>
      <c r="E19" s="169">
        <f>AVERAGE(TOC!C7:C18)</f>
        <v>0.80833333333333324</v>
      </c>
      <c r="F19" s="168"/>
      <c r="G19" s="168"/>
      <c r="H19" s="168"/>
      <c r="I19" s="168"/>
      <c r="J19" s="168"/>
      <c r="K19" s="168"/>
      <c r="L19" s="168"/>
      <c r="M19" s="168"/>
    </row>
    <row r="20" spans="1:13" s="12" customFormat="1" ht="23.25" customHeight="1">
      <c r="A20" s="171" t="s">
        <v>412</v>
      </c>
      <c r="B20" s="164" t="s">
        <v>403</v>
      </c>
      <c r="C20" s="164" t="s">
        <v>410</v>
      </c>
      <c r="D20" s="169">
        <f>AVERAGE(HCl!G7:G18)</f>
        <v>0.47500000000000003</v>
      </c>
      <c r="E20" s="169">
        <f>AVERAGE(HCl!F7:F18)</f>
        <v>0.2416666666666667</v>
      </c>
      <c r="F20" s="168"/>
      <c r="G20" s="168"/>
      <c r="H20" s="168"/>
      <c r="I20" s="168"/>
      <c r="J20" s="168"/>
      <c r="K20" s="168"/>
      <c r="L20" s="168"/>
      <c r="M20" s="168"/>
    </row>
    <row r="21" spans="1:13" s="12" customFormat="1" ht="23.25" customHeight="1">
      <c r="A21" s="171"/>
      <c r="B21" s="164" t="s">
        <v>405</v>
      </c>
      <c r="C21" s="164" t="s">
        <v>413</v>
      </c>
      <c r="D21" s="169">
        <f>AVERAGE(HCl!D7:D18)</f>
        <v>1.5250000000000001</v>
      </c>
      <c r="E21" s="169">
        <f>AVERAGE(HCl!C7:C18)</f>
        <v>0.30833333333333329</v>
      </c>
      <c r="F21" s="168"/>
      <c r="G21" s="168"/>
      <c r="H21" s="168"/>
      <c r="I21" s="168"/>
      <c r="J21" s="168"/>
      <c r="K21" s="168"/>
      <c r="L21" s="168"/>
      <c r="M21" s="168"/>
    </row>
    <row r="22" spans="1:13" s="12" customFormat="1" ht="23.25" customHeight="1">
      <c r="A22" s="171" t="s">
        <v>225</v>
      </c>
      <c r="B22" s="164" t="s">
        <v>403</v>
      </c>
      <c r="C22" s="164" t="s">
        <v>414</v>
      </c>
      <c r="D22" s="169">
        <f>AVERAGE('SO2'!G7:G18)</f>
        <v>2.1416666666666662</v>
      </c>
      <c r="E22" s="169">
        <f>AVERAGE('SO2'!F7:F18)</f>
        <v>0.29166666666666669</v>
      </c>
      <c r="F22" s="168"/>
      <c r="G22" s="168"/>
      <c r="H22" s="168"/>
      <c r="I22" s="168"/>
      <c r="J22" s="168"/>
      <c r="K22" s="168"/>
      <c r="L22" s="168"/>
      <c r="M22" s="168"/>
    </row>
    <row r="23" spans="1:13" s="12" customFormat="1" ht="23.25" customHeight="1">
      <c r="A23" s="171"/>
      <c r="B23" s="164" t="s">
        <v>405</v>
      </c>
      <c r="C23" s="164" t="s">
        <v>404</v>
      </c>
      <c r="D23" s="169">
        <f>AVERAGE('SO2'!D7:D18)</f>
        <v>38.858333333333327</v>
      </c>
      <c r="E23" s="169">
        <f>AVERAGE('SO2'!C7:C18)</f>
        <v>0.3083333333333334</v>
      </c>
      <c r="F23" s="168"/>
      <c r="G23" s="168"/>
      <c r="H23" s="168"/>
      <c r="I23" s="168"/>
      <c r="J23" s="168"/>
      <c r="K23" s="168"/>
      <c r="L23" s="168"/>
      <c r="M23" s="168"/>
    </row>
    <row r="24" spans="1:13" s="12" customFormat="1" ht="23.25" customHeight="1">
      <c r="A24" s="171" t="s">
        <v>415</v>
      </c>
      <c r="B24" s="164" t="s">
        <v>403</v>
      </c>
      <c r="C24" s="164" t="s">
        <v>414</v>
      </c>
      <c r="D24" s="169">
        <f>AVERAGE('CO 0.5hourly'!G7:G18)</f>
        <v>24.941666666666666</v>
      </c>
      <c r="E24" s="169">
        <f>AVERAGE('CO 0.5hourly'!F7:F18)</f>
        <v>10.466666666666667</v>
      </c>
      <c r="F24" s="168"/>
      <c r="G24" s="168"/>
      <c r="H24" s="168"/>
      <c r="I24" s="168"/>
      <c r="J24" s="168"/>
      <c r="K24" s="168"/>
      <c r="L24" s="168"/>
      <c r="M24" s="168"/>
    </row>
    <row r="25" spans="1:13" s="12" customFormat="1" ht="23.25" customHeight="1">
      <c r="A25" s="171"/>
      <c r="B25" s="168" t="s">
        <v>416</v>
      </c>
      <c r="C25" s="168" t="s">
        <v>417</v>
      </c>
      <c r="D25" s="169">
        <f>AVERAGE('CO 0.5hourly'!D7:D18)</f>
        <v>155.56666666666666</v>
      </c>
      <c r="E25" s="169">
        <f>AVERAGE('CO 0.5hourly'!C7:C18)</f>
        <v>10.491666666666665</v>
      </c>
      <c r="F25" s="168"/>
      <c r="G25" s="168"/>
      <c r="H25" s="168"/>
      <c r="I25" s="168"/>
      <c r="J25" s="168"/>
      <c r="K25" s="168"/>
      <c r="L25" s="168"/>
      <c r="M25" s="168"/>
    </row>
    <row r="26" spans="1:13" s="12" customFormat="1" ht="23.25" customHeight="1">
      <c r="A26" s="171"/>
      <c r="B26" s="168" t="s">
        <v>418</v>
      </c>
      <c r="C26" s="168" t="s">
        <v>419</v>
      </c>
      <c r="D26" s="169">
        <f>AVERAGE('CO 95% 10 min'!D7:D18)</f>
        <v>10.533333333333333</v>
      </c>
      <c r="E26" s="169">
        <f>AVERAGE('CO 95% 10 min'!C7:C18)</f>
        <v>128.46666666666664</v>
      </c>
      <c r="F26" s="168"/>
      <c r="G26" s="168"/>
      <c r="H26" s="168"/>
      <c r="I26" s="168"/>
      <c r="J26" s="168"/>
      <c r="K26" s="168"/>
      <c r="L26" s="168"/>
      <c r="M26" s="168"/>
    </row>
    <row r="27" spans="1:13" s="12" customFormat="1" ht="23.25" customHeight="1">
      <c r="A27" s="173" t="s">
        <v>420</v>
      </c>
      <c r="B27" s="174" t="s">
        <v>403</v>
      </c>
      <c r="C27" s="174" t="s">
        <v>421</v>
      </c>
      <c r="D27" s="175"/>
      <c r="E27" s="175"/>
      <c r="F27" s="176"/>
      <c r="G27" s="176"/>
      <c r="H27" s="176"/>
      <c r="I27" s="176"/>
      <c r="J27" s="176"/>
      <c r="K27" s="176"/>
      <c r="L27" s="176"/>
      <c r="M27" s="176"/>
    </row>
    <row r="28" spans="1:13">
      <c r="A28" s="370" t="s">
        <v>422</v>
      </c>
      <c r="B28" s="371"/>
      <c r="C28" s="371"/>
      <c r="D28" s="371"/>
      <c r="E28" s="371"/>
      <c r="F28" s="371"/>
      <c r="G28" s="371"/>
      <c r="H28" s="371"/>
      <c r="I28" s="371"/>
      <c r="J28" s="371"/>
      <c r="K28" s="371"/>
      <c r="L28" s="371"/>
      <c r="M28" s="372"/>
    </row>
    <row r="29" spans="1:13">
      <c r="A29" s="83" t="s">
        <v>275</v>
      </c>
      <c r="B29" s="84"/>
      <c r="C29" s="84"/>
      <c r="D29" s="84"/>
      <c r="E29" s="84"/>
      <c r="F29" s="84"/>
      <c r="G29" s="84"/>
      <c r="H29" s="84"/>
      <c r="I29" s="84"/>
      <c r="J29" s="84"/>
      <c r="K29" s="84"/>
      <c r="L29" s="84"/>
      <c r="M29" s="85"/>
    </row>
    <row r="30" spans="1:13">
      <c r="A30" s="373"/>
      <c r="B30" s="373"/>
      <c r="C30" s="373"/>
      <c r="D30" s="373"/>
      <c r="E30" s="373"/>
      <c r="F30" s="373"/>
      <c r="G30" s="373"/>
      <c r="H30" s="373"/>
      <c r="I30" s="373"/>
      <c r="J30" s="373"/>
      <c r="K30" s="373"/>
      <c r="L30" s="373"/>
      <c r="M30" s="373"/>
    </row>
    <row r="31" spans="1:13">
      <c r="A31" s="325"/>
      <c r="B31" s="325"/>
      <c r="C31" s="325"/>
      <c r="D31" s="325"/>
      <c r="E31" s="325"/>
      <c r="F31" s="325"/>
      <c r="G31" s="325"/>
      <c r="H31" s="325"/>
      <c r="I31" s="325"/>
      <c r="J31" s="325"/>
      <c r="K31" s="325"/>
      <c r="L31" s="325"/>
      <c r="M31" s="325"/>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C7" sqref="C7"/>
    </sheetView>
  </sheetViews>
  <sheetFormatPr defaultRowHeight="14.25"/>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c r="F1" s="92"/>
      <c r="G1" s="92"/>
    </row>
    <row r="3" spans="1:19" ht="15">
      <c r="A3" s="60" t="s">
        <v>423</v>
      </c>
      <c r="D3" s="76" t="s">
        <v>424</v>
      </c>
      <c r="G3" s="80" t="s">
        <v>425</v>
      </c>
      <c r="J3" s="9" t="str">
        <f>+A3</f>
        <v>Monitoring of Hydrogen Chloride emissions</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431</v>
      </c>
      <c r="C6" s="55" t="s">
        <v>432</v>
      </c>
      <c r="D6" s="55" t="s">
        <v>433</v>
      </c>
      <c r="E6" s="55" t="s">
        <v>434</v>
      </c>
      <c r="F6" s="55" t="s">
        <v>435</v>
      </c>
      <c r="G6" s="55" t="s">
        <v>436</v>
      </c>
      <c r="H6" s="59"/>
      <c r="J6" s="61">
        <f>+A6</f>
        <v>2022</v>
      </c>
      <c r="K6" s="61" t="s">
        <v>437</v>
      </c>
      <c r="L6" s="67" t="s">
        <v>432</v>
      </c>
      <c r="M6" s="67" t="s">
        <v>438</v>
      </c>
      <c r="N6" s="67" t="s">
        <v>435</v>
      </c>
      <c r="O6" s="67" t="s">
        <v>439</v>
      </c>
      <c r="Q6" s="368"/>
      <c r="R6" s="368"/>
      <c r="S6" s="368"/>
    </row>
    <row r="7" spans="1:19" ht="13.9" customHeight="1">
      <c r="A7" s="66" t="s">
        <v>440</v>
      </c>
      <c r="B7" s="63">
        <v>60</v>
      </c>
      <c r="C7" s="64">
        <v>0.3</v>
      </c>
      <c r="D7" s="64">
        <v>3.6</v>
      </c>
      <c r="E7" s="63">
        <v>10</v>
      </c>
      <c r="F7" s="64">
        <v>0.3</v>
      </c>
      <c r="G7" s="64">
        <v>0.6</v>
      </c>
      <c r="J7" s="377" t="s">
        <v>192</v>
      </c>
      <c r="K7" s="66" t="s">
        <v>440</v>
      </c>
      <c r="L7" s="64"/>
      <c r="M7" s="64"/>
      <c r="N7" s="64"/>
      <c r="O7" s="64"/>
      <c r="Q7" s="368"/>
      <c r="R7" s="368"/>
      <c r="S7" s="368"/>
    </row>
    <row r="8" spans="1:19">
      <c r="A8" s="66" t="s">
        <v>441</v>
      </c>
      <c r="B8" s="63">
        <v>60</v>
      </c>
      <c r="C8" s="64">
        <v>0.4</v>
      </c>
      <c r="D8" s="64">
        <v>3</v>
      </c>
      <c r="E8" s="63">
        <v>10</v>
      </c>
      <c r="F8" s="64">
        <v>0.3</v>
      </c>
      <c r="G8" s="64">
        <v>0.5</v>
      </c>
      <c r="J8" s="377"/>
      <c r="K8" s="66" t="s">
        <v>441</v>
      </c>
      <c r="L8" s="64"/>
      <c r="M8" s="64"/>
      <c r="N8" s="64"/>
      <c r="O8" s="64"/>
      <c r="Q8" s="368"/>
      <c r="R8" s="368"/>
      <c r="S8" s="368"/>
    </row>
    <row r="9" spans="1:19" ht="15">
      <c r="A9" s="66" t="s">
        <v>442</v>
      </c>
      <c r="B9" s="63">
        <v>60</v>
      </c>
      <c r="C9" s="64">
        <v>0.4</v>
      </c>
      <c r="D9" s="64">
        <v>5.4</v>
      </c>
      <c r="E9" s="63">
        <v>10</v>
      </c>
      <c r="F9" s="64">
        <v>0.4</v>
      </c>
      <c r="G9" s="64">
        <v>0.9</v>
      </c>
      <c r="J9" s="377"/>
      <c r="K9" s="66" t="s">
        <v>442</v>
      </c>
      <c r="L9" s="64"/>
      <c r="M9" s="64"/>
      <c r="N9" s="64"/>
      <c r="O9" s="64"/>
      <c r="Q9" s="78" t="s">
        <v>443</v>
      </c>
    </row>
    <row r="10" spans="1:19" ht="13.9" customHeight="1">
      <c r="A10" s="66" t="s">
        <v>444</v>
      </c>
      <c r="B10" s="63">
        <v>60</v>
      </c>
      <c r="C10" s="64">
        <v>0.3</v>
      </c>
      <c r="D10" s="64">
        <v>0.7</v>
      </c>
      <c r="E10" s="63">
        <v>10</v>
      </c>
      <c r="F10" s="64">
        <v>0.3</v>
      </c>
      <c r="G10" s="64">
        <v>0.4</v>
      </c>
      <c r="J10" s="377"/>
      <c r="K10" s="66" t="s">
        <v>444</v>
      </c>
      <c r="L10" s="64"/>
      <c r="M10" s="64"/>
      <c r="N10" s="64"/>
      <c r="O10" s="64"/>
      <c r="Q10" s="376" t="s">
        <v>445</v>
      </c>
      <c r="R10" s="376"/>
      <c r="S10" s="376"/>
    </row>
    <row r="11" spans="1:19">
      <c r="A11" s="66" t="s">
        <v>446</v>
      </c>
      <c r="B11" s="63">
        <v>60</v>
      </c>
      <c r="C11" s="64">
        <v>0.3</v>
      </c>
      <c r="D11" s="64">
        <v>0.9</v>
      </c>
      <c r="E11" s="63">
        <v>10</v>
      </c>
      <c r="F11" s="64">
        <v>0.1</v>
      </c>
      <c r="G11" s="64">
        <v>0.4</v>
      </c>
      <c r="J11" s="377"/>
      <c r="K11" s="66" t="s">
        <v>446</v>
      </c>
      <c r="L11" s="64"/>
      <c r="M11" s="64"/>
      <c r="N11" s="64"/>
      <c r="O11" s="64"/>
      <c r="Q11" s="376"/>
      <c r="R11" s="376"/>
      <c r="S11" s="376"/>
    </row>
    <row r="12" spans="1:19">
      <c r="A12" s="66" t="s">
        <v>447</v>
      </c>
      <c r="B12" s="63">
        <v>60</v>
      </c>
      <c r="C12" s="64">
        <v>0.3</v>
      </c>
      <c r="D12" s="64">
        <v>0.6</v>
      </c>
      <c r="E12" s="63">
        <v>10</v>
      </c>
      <c r="F12" s="64">
        <v>0.2</v>
      </c>
      <c r="G12" s="64">
        <v>0.4</v>
      </c>
      <c r="J12" s="377"/>
      <c r="K12" s="66" t="s">
        <v>447</v>
      </c>
      <c r="L12" s="64"/>
      <c r="M12" s="64"/>
      <c r="N12" s="64"/>
      <c r="O12" s="64"/>
      <c r="Q12" s="376"/>
      <c r="R12" s="376"/>
      <c r="S12" s="376"/>
    </row>
    <row r="13" spans="1:19" ht="13.9" customHeight="1">
      <c r="A13" s="66" t="s">
        <v>448</v>
      </c>
      <c r="B13" s="63">
        <v>60</v>
      </c>
      <c r="C13" s="64">
        <v>0.3</v>
      </c>
      <c r="D13" s="64">
        <v>1.1000000000000001</v>
      </c>
      <c r="E13" s="63">
        <v>10</v>
      </c>
      <c r="F13" s="64">
        <v>0.2</v>
      </c>
      <c r="G13" s="64">
        <v>0.4</v>
      </c>
      <c r="J13" s="377"/>
      <c r="K13" s="66" t="s">
        <v>448</v>
      </c>
      <c r="L13" s="64"/>
      <c r="M13" s="64"/>
      <c r="N13" s="64"/>
      <c r="O13" s="64"/>
      <c r="Q13" s="376" t="s">
        <v>449</v>
      </c>
      <c r="R13" s="376"/>
      <c r="S13" s="376"/>
    </row>
    <row r="14" spans="1:19">
      <c r="A14" s="66" t="s">
        <v>450</v>
      </c>
      <c r="B14" s="63">
        <v>60</v>
      </c>
      <c r="C14" s="64">
        <v>0.3</v>
      </c>
      <c r="D14" s="64">
        <v>0.5</v>
      </c>
      <c r="E14" s="63">
        <v>10</v>
      </c>
      <c r="F14" s="64">
        <v>0.2</v>
      </c>
      <c r="G14" s="64">
        <v>0.4</v>
      </c>
      <c r="J14" s="377"/>
      <c r="K14" s="66" t="s">
        <v>450</v>
      </c>
      <c r="L14" s="64"/>
      <c r="M14" s="64"/>
      <c r="N14" s="64"/>
      <c r="O14" s="64"/>
      <c r="Q14" s="376"/>
      <c r="R14" s="376"/>
      <c r="S14" s="376"/>
    </row>
    <row r="15" spans="1:19">
      <c r="A15" s="66" t="s">
        <v>451</v>
      </c>
      <c r="B15" s="63">
        <v>60</v>
      </c>
      <c r="C15" s="64">
        <v>0.3</v>
      </c>
      <c r="D15" s="64">
        <v>0.6</v>
      </c>
      <c r="E15" s="63">
        <v>10</v>
      </c>
      <c r="F15" s="64">
        <v>0.2</v>
      </c>
      <c r="G15" s="64">
        <v>0.4</v>
      </c>
      <c r="J15" s="377"/>
      <c r="K15" s="66" t="s">
        <v>451</v>
      </c>
      <c r="L15" s="64"/>
      <c r="M15" s="64"/>
      <c r="N15" s="64"/>
      <c r="O15" s="64"/>
      <c r="Q15" s="376"/>
      <c r="R15" s="376"/>
      <c r="S15" s="376"/>
    </row>
    <row r="16" spans="1:19">
      <c r="A16" s="66" t="s">
        <v>452</v>
      </c>
      <c r="B16" s="63">
        <v>60</v>
      </c>
      <c r="C16" s="64">
        <v>0.3</v>
      </c>
      <c r="D16" s="64">
        <v>0.6</v>
      </c>
      <c r="E16" s="63">
        <v>10</v>
      </c>
      <c r="F16" s="64">
        <v>0.3</v>
      </c>
      <c r="G16" s="64">
        <v>0.4</v>
      </c>
      <c r="J16" s="377"/>
      <c r="K16" s="66" t="s">
        <v>452</v>
      </c>
      <c r="L16" s="64"/>
      <c r="M16" s="64"/>
      <c r="N16" s="64"/>
      <c r="O16" s="64"/>
      <c r="Q16" s="376"/>
      <c r="R16" s="376"/>
      <c r="S16" s="376"/>
    </row>
    <row r="17" spans="1:15">
      <c r="A17" s="66" t="s">
        <v>453</v>
      </c>
      <c r="B17" s="63">
        <v>60</v>
      </c>
      <c r="C17" s="64">
        <v>0.3</v>
      </c>
      <c r="D17" s="64">
        <v>0.6</v>
      </c>
      <c r="E17" s="63">
        <v>10</v>
      </c>
      <c r="F17" s="64">
        <v>0.2</v>
      </c>
      <c r="G17" s="64">
        <v>0.4</v>
      </c>
      <c r="J17" s="377"/>
      <c r="K17" s="66" t="s">
        <v>453</v>
      </c>
      <c r="L17" s="64"/>
      <c r="M17" s="64"/>
      <c r="N17" s="64"/>
      <c r="O17" s="64"/>
    </row>
    <row r="18" spans="1:15">
      <c r="A18" s="66" t="s">
        <v>454</v>
      </c>
      <c r="B18" s="63">
        <v>60</v>
      </c>
      <c r="C18" s="64">
        <v>0.2</v>
      </c>
      <c r="D18" s="64">
        <v>0.7</v>
      </c>
      <c r="E18" s="63">
        <v>10</v>
      </c>
      <c r="F18" s="64">
        <v>0.2</v>
      </c>
      <c r="G18" s="64">
        <v>0.5</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zoomScale="85" zoomScaleNormal="85" workbookViewId="0">
      <selection activeCell="P20" sqref="P20"/>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c r="F1" s="92"/>
      <c r="G1" s="92"/>
    </row>
    <row r="3" spans="1:19" ht="15">
      <c r="A3" s="60" t="s">
        <v>456</v>
      </c>
      <c r="D3" s="76" t="s">
        <v>424</v>
      </c>
      <c r="G3" s="80" t="s">
        <v>425</v>
      </c>
      <c r="J3" s="9" t="str">
        <f>+A3</f>
        <v>Monitoring of Sulphur dioxide emissions</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457</v>
      </c>
      <c r="C6" s="55" t="s">
        <v>432</v>
      </c>
      <c r="D6" s="55" t="s">
        <v>433</v>
      </c>
      <c r="E6" s="55" t="s">
        <v>458</v>
      </c>
      <c r="F6" s="55" t="s">
        <v>435</v>
      </c>
      <c r="G6" s="55" t="s">
        <v>436</v>
      </c>
      <c r="H6" s="59"/>
      <c r="J6" s="61">
        <f>+A6</f>
        <v>2022</v>
      </c>
      <c r="K6" s="61" t="s">
        <v>437</v>
      </c>
      <c r="L6" s="67" t="s">
        <v>432</v>
      </c>
      <c r="M6" s="67" t="s">
        <v>438</v>
      </c>
      <c r="N6" s="67" t="s">
        <v>435</v>
      </c>
      <c r="O6" s="67" t="s">
        <v>439</v>
      </c>
      <c r="Q6" s="368"/>
      <c r="R6" s="368"/>
      <c r="S6" s="368"/>
    </row>
    <row r="7" spans="1:19">
      <c r="A7" s="66" t="s">
        <v>440</v>
      </c>
      <c r="B7" s="63">
        <v>200</v>
      </c>
      <c r="C7" s="64">
        <v>0.9</v>
      </c>
      <c r="D7" s="64">
        <v>101.9</v>
      </c>
      <c r="E7" s="63">
        <v>50</v>
      </c>
      <c r="F7" s="64">
        <v>0.9</v>
      </c>
      <c r="G7" s="64">
        <v>5.6</v>
      </c>
      <c r="J7" s="377" t="s">
        <v>192</v>
      </c>
      <c r="K7" s="66" t="s">
        <v>440</v>
      </c>
      <c r="L7" s="64"/>
      <c r="M7" s="64"/>
      <c r="N7" s="64"/>
      <c r="O7" s="64"/>
      <c r="Q7" s="368"/>
      <c r="R7" s="368"/>
      <c r="S7" s="368"/>
    </row>
    <row r="8" spans="1:19">
      <c r="A8" s="66" t="s">
        <v>441</v>
      </c>
      <c r="B8" s="63">
        <v>200</v>
      </c>
      <c r="C8" s="64">
        <v>0.5</v>
      </c>
      <c r="D8" s="64">
        <v>128.80000000000001</v>
      </c>
      <c r="E8" s="63">
        <v>50</v>
      </c>
      <c r="F8" s="64">
        <v>0.5</v>
      </c>
      <c r="G8" s="64">
        <v>3</v>
      </c>
      <c r="J8" s="377"/>
      <c r="K8" s="66" t="s">
        <v>441</v>
      </c>
      <c r="L8" s="64"/>
      <c r="M8" s="64"/>
      <c r="N8" s="64"/>
      <c r="O8" s="64"/>
      <c r="Q8" s="368"/>
      <c r="R8" s="368"/>
      <c r="S8" s="368"/>
    </row>
    <row r="9" spans="1:19" ht="15">
      <c r="A9" s="66" t="s">
        <v>442</v>
      </c>
      <c r="B9" s="63">
        <v>200</v>
      </c>
      <c r="C9" s="64">
        <v>1.2</v>
      </c>
      <c r="D9" s="64">
        <v>123.8</v>
      </c>
      <c r="E9" s="63">
        <v>50</v>
      </c>
      <c r="F9" s="64">
        <v>1.2</v>
      </c>
      <c r="G9" s="64">
        <v>11.3</v>
      </c>
      <c r="J9" s="377"/>
      <c r="K9" s="66" t="s">
        <v>442</v>
      </c>
      <c r="L9" s="64"/>
      <c r="M9" s="64"/>
      <c r="N9" s="64"/>
      <c r="O9" s="64"/>
      <c r="Q9" s="78" t="s">
        <v>443</v>
      </c>
    </row>
    <row r="10" spans="1:19" ht="14.25" customHeight="1">
      <c r="A10" s="66" t="s">
        <v>444</v>
      </c>
      <c r="B10" s="63">
        <v>200</v>
      </c>
      <c r="C10" s="64">
        <v>0</v>
      </c>
      <c r="D10" s="64">
        <v>2.4</v>
      </c>
      <c r="E10" s="63">
        <v>50</v>
      </c>
      <c r="F10" s="64">
        <v>0</v>
      </c>
      <c r="G10" s="64">
        <v>0.2</v>
      </c>
      <c r="J10" s="377"/>
      <c r="K10" s="66" t="s">
        <v>444</v>
      </c>
      <c r="L10" s="64"/>
      <c r="M10" s="64"/>
      <c r="N10" s="64"/>
      <c r="O10" s="64"/>
      <c r="Q10" s="376" t="s">
        <v>445</v>
      </c>
      <c r="R10" s="376"/>
      <c r="S10" s="376"/>
    </row>
    <row r="11" spans="1:19">
      <c r="A11" s="66" t="s">
        <v>446</v>
      </c>
      <c r="B11" s="63">
        <v>200</v>
      </c>
      <c r="C11" s="64">
        <v>0.2</v>
      </c>
      <c r="D11" s="64">
        <v>27.5</v>
      </c>
      <c r="E11" s="63">
        <v>50</v>
      </c>
      <c r="F11" s="64">
        <v>0</v>
      </c>
      <c r="G11" s="64">
        <v>1.2</v>
      </c>
      <c r="J11" s="377"/>
      <c r="K11" s="66" t="s">
        <v>446</v>
      </c>
      <c r="L11" s="64"/>
      <c r="M11" s="64"/>
      <c r="N11" s="64"/>
      <c r="O11" s="64"/>
      <c r="Q11" s="376"/>
      <c r="R11" s="376"/>
      <c r="S11" s="376"/>
    </row>
    <row r="12" spans="1:19">
      <c r="A12" s="66" t="s">
        <v>447</v>
      </c>
      <c r="B12" s="63">
        <v>200</v>
      </c>
      <c r="C12" s="64">
        <v>0.1</v>
      </c>
      <c r="D12" s="64">
        <v>5</v>
      </c>
      <c r="E12" s="63">
        <v>50</v>
      </c>
      <c r="F12" s="64">
        <v>0.1</v>
      </c>
      <c r="G12" s="64">
        <v>0.4</v>
      </c>
      <c r="J12" s="377"/>
      <c r="K12" s="66" t="s">
        <v>447</v>
      </c>
      <c r="L12" s="64"/>
      <c r="M12" s="64"/>
      <c r="N12" s="64"/>
      <c r="O12" s="64"/>
      <c r="Q12" s="376"/>
      <c r="R12" s="376"/>
      <c r="S12" s="376"/>
    </row>
    <row r="13" spans="1:19" ht="14.25" customHeight="1">
      <c r="A13" s="66" t="s">
        <v>448</v>
      </c>
      <c r="B13" s="63">
        <v>200</v>
      </c>
      <c r="C13" s="64">
        <v>0.1</v>
      </c>
      <c r="D13" s="64">
        <v>21.8</v>
      </c>
      <c r="E13" s="63">
        <v>50</v>
      </c>
      <c r="F13" s="64">
        <v>0.1</v>
      </c>
      <c r="G13" s="64">
        <v>0.6</v>
      </c>
      <c r="J13" s="377"/>
      <c r="K13" s="66" t="s">
        <v>448</v>
      </c>
      <c r="L13" s="64"/>
      <c r="M13" s="64"/>
      <c r="N13" s="64"/>
      <c r="O13" s="64"/>
      <c r="Q13" s="376" t="s">
        <v>449</v>
      </c>
      <c r="R13" s="376"/>
      <c r="S13" s="376"/>
    </row>
    <row r="14" spans="1:19">
      <c r="A14" s="66" t="s">
        <v>450</v>
      </c>
      <c r="B14" s="63">
        <v>200</v>
      </c>
      <c r="C14" s="64">
        <v>0.1</v>
      </c>
      <c r="D14" s="64">
        <v>7.9</v>
      </c>
      <c r="E14" s="63">
        <v>50</v>
      </c>
      <c r="F14" s="64">
        <v>0.1</v>
      </c>
      <c r="G14" s="64">
        <v>0.4</v>
      </c>
      <c r="J14" s="377"/>
      <c r="K14" s="66" t="s">
        <v>450</v>
      </c>
      <c r="L14" s="64"/>
      <c r="M14" s="64"/>
      <c r="N14" s="64"/>
      <c r="O14" s="64"/>
      <c r="Q14" s="376"/>
      <c r="R14" s="376"/>
      <c r="S14" s="376"/>
    </row>
    <row r="15" spans="1:19">
      <c r="A15" s="66" t="s">
        <v>451</v>
      </c>
      <c r="B15" s="63">
        <v>200</v>
      </c>
      <c r="C15" s="64">
        <v>0.1</v>
      </c>
      <c r="D15" s="64">
        <v>9.4</v>
      </c>
      <c r="E15" s="63">
        <v>50</v>
      </c>
      <c r="F15" s="64">
        <v>0.1</v>
      </c>
      <c r="G15" s="64">
        <v>0.4</v>
      </c>
      <c r="J15" s="377"/>
      <c r="K15" s="66" t="s">
        <v>451</v>
      </c>
      <c r="L15" s="64"/>
      <c r="M15" s="64"/>
      <c r="N15" s="64"/>
      <c r="O15" s="64"/>
      <c r="Q15" s="376"/>
      <c r="R15" s="376"/>
      <c r="S15" s="376"/>
    </row>
    <row r="16" spans="1:19">
      <c r="A16" s="66" t="s">
        <v>452</v>
      </c>
      <c r="B16" s="63">
        <v>200</v>
      </c>
      <c r="C16" s="64">
        <v>0.2</v>
      </c>
      <c r="D16" s="64">
        <v>13</v>
      </c>
      <c r="E16" s="63">
        <v>50</v>
      </c>
      <c r="F16" s="64">
        <v>0.2</v>
      </c>
      <c r="G16" s="64">
        <v>0.8</v>
      </c>
      <c r="J16" s="377"/>
      <c r="K16" s="66" t="s">
        <v>452</v>
      </c>
      <c r="L16" s="64"/>
      <c r="M16" s="64"/>
      <c r="N16" s="64"/>
      <c r="O16" s="64"/>
      <c r="Q16" s="376"/>
      <c r="R16" s="376"/>
      <c r="S16" s="376"/>
    </row>
    <row r="17" spans="1:15">
      <c r="A17" s="66" t="s">
        <v>453</v>
      </c>
      <c r="B17" s="63">
        <v>200</v>
      </c>
      <c r="C17" s="64">
        <v>0.2</v>
      </c>
      <c r="D17" s="64">
        <v>18.5</v>
      </c>
      <c r="E17" s="63">
        <v>50</v>
      </c>
      <c r="F17" s="64">
        <v>0.2</v>
      </c>
      <c r="G17" s="64">
        <v>1.1000000000000001</v>
      </c>
      <c r="J17" s="377"/>
      <c r="K17" s="66" t="s">
        <v>453</v>
      </c>
      <c r="L17" s="64"/>
      <c r="M17" s="64"/>
      <c r="N17" s="64"/>
      <c r="O17" s="64"/>
    </row>
    <row r="18" spans="1:15">
      <c r="A18" s="66" t="s">
        <v>454</v>
      </c>
      <c r="B18" s="63">
        <v>200</v>
      </c>
      <c r="C18" s="64">
        <v>0.1</v>
      </c>
      <c r="D18" s="64">
        <v>6.3</v>
      </c>
      <c r="E18" s="63">
        <v>50</v>
      </c>
      <c r="F18" s="64">
        <v>0.1</v>
      </c>
      <c r="G18" s="64">
        <v>0.7</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A15" workbookViewId="0">
      <selection activeCell="F12" sqref="F12"/>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c r="F1" s="92"/>
    </row>
    <row r="3" spans="1:19" ht="15">
      <c r="A3" s="60" t="s">
        <v>459</v>
      </c>
      <c r="D3" s="76" t="s">
        <v>424</v>
      </c>
      <c r="G3" s="80" t="s">
        <v>425</v>
      </c>
      <c r="J3" s="9" t="str">
        <f>+A3</f>
        <v>Monitoring of Oxides of Nitrogen emissions</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460</v>
      </c>
      <c r="C6" s="55" t="s">
        <v>432</v>
      </c>
      <c r="D6" s="55" t="s">
        <v>433</v>
      </c>
      <c r="E6" s="55" t="s">
        <v>461</v>
      </c>
      <c r="F6" s="55" t="s">
        <v>435</v>
      </c>
      <c r="G6" s="55" t="s">
        <v>436</v>
      </c>
      <c r="H6" s="59"/>
      <c r="J6" s="61">
        <f>+A6</f>
        <v>2022</v>
      </c>
      <c r="K6" s="61" t="s">
        <v>437</v>
      </c>
      <c r="L6" s="67" t="s">
        <v>432</v>
      </c>
      <c r="M6" s="67" t="s">
        <v>438</v>
      </c>
      <c r="N6" s="67" t="s">
        <v>435</v>
      </c>
      <c r="O6" s="67" t="s">
        <v>439</v>
      </c>
      <c r="Q6" s="368"/>
      <c r="R6" s="368"/>
      <c r="S6" s="368"/>
    </row>
    <row r="7" spans="1:19">
      <c r="A7" s="66" t="s">
        <v>440</v>
      </c>
      <c r="B7" s="63">
        <v>400</v>
      </c>
      <c r="C7" s="64">
        <v>219.9</v>
      </c>
      <c r="D7" s="64">
        <v>371.6</v>
      </c>
      <c r="E7" s="63">
        <v>200</v>
      </c>
      <c r="F7" s="64">
        <v>220.1</v>
      </c>
      <c r="G7" s="64">
        <v>288.60000000000002</v>
      </c>
      <c r="J7" s="377" t="s">
        <v>192</v>
      </c>
      <c r="K7" s="66" t="s">
        <v>440</v>
      </c>
      <c r="L7" s="64"/>
      <c r="M7" s="64"/>
      <c r="N7" s="64"/>
      <c r="O7" s="64"/>
      <c r="Q7" s="368"/>
      <c r="R7" s="368"/>
      <c r="S7" s="368"/>
    </row>
    <row r="8" spans="1:19">
      <c r="A8" s="66" t="s">
        <v>441</v>
      </c>
      <c r="B8" s="63">
        <v>400</v>
      </c>
      <c r="C8" s="64">
        <v>175.2</v>
      </c>
      <c r="D8" s="64">
        <v>373.4</v>
      </c>
      <c r="E8" s="63">
        <v>200</v>
      </c>
      <c r="F8" s="64">
        <v>176.4</v>
      </c>
      <c r="G8" s="64">
        <v>239.1</v>
      </c>
      <c r="J8" s="377"/>
      <c r="K8" s="66" t="s">
        <v>441</v>
      </c>
      <c r="L8" s="64"/>
      <c r="M8" s="64"/>
      <c r="N8" s="64"/>
      <c r="O8" s="64"/>
      <c r="Q8" s="368"/>
      <c r="R8" s="368"/>
      <c r="S8" s="368"/>
    </row>
    <row r="9" spans="1:19" ht="15">
      <c r="A9" s="66" t="s">
        <v>442</v>
      </c>
      <c r="B9" s="63">
        <v>400</v>
      </c>
      <c r="C9" s="64">
        <v>184.7</v>
      </c>
      <c r="D9" s="64">
        <v>360.2</v>
      </c>
      <c r="E9" s="63">
        <v>200</v>
      </c>
      <c r="F9" s="64">
        <v>184.7</v>
      </c>
      <c r="G9" s="64">
        <v>232.6</v>
      </c>
      <c r="J9" s="377"/>
      <c r="K9" s="66" t="s">
        <v>442</v>
      </c>
      <c r="L9" s="64"/>
      <c r="M9" s="64"/>
      <c r="N9" s="64"/>
      <c r="O9" s="64"/>
      <c r="Q9" s="78" t="s">
        <v>443</v>
      </c>
    </row>
    <row r="10" spans="1:19" ht="14.25" customHeight="1">
      <c r="A10" s="66" t="s">
        <v>444</v>
      </c>
      <c r="B10" s="63">
        <v>400</v>
      </c>
      <c r="C10" s="64">
        <v>161.9</v>
      </c>
      <c r="D10" s="64">
        <v>344.9</v>
      </c>
      <c r="E10" s="63">
        <v>200</v>
      </c>
      <c r="F10" s="64">
        <v>163.1</v>
      </c>
      <c r="G10" s="64">
        <v>223.7</v>
      </c>
      <c r="J10" s="377"/>
      <c r="K10" s="66" t="s">
        <v>444</v>
      </c>
      <c r="L10" s="64"/>
      <c r="M10" s="64"/>
      <c r="N10" s="64"/>
      <c r="O10" s="64"/>
      <c r="Q10" s="376" t="s">
        <v>445</v>
      </c>
      <c r="R10" s="376"/>
      <c r="S10" s="376"/>
    </row>
    <row r="11" spans="1:19">
      <c r="A11" s="66" t="s">
        <v>446</v>
      </c>
      <c r="B11" s="63">
        <v>400</v>
      </c>
      <c r="C11" s="64">
        <v>150.6</v>
      </c>
      <c r="D11" s="64">
        <v>326.5</v>
      </c>
      <c r="E11" s="63">
        <v>200</v>
      </c>
      <c r="F11" s="64">
        <v>150.19999999999999</v>
      </c>
      <c r="G11" s="64">
        <v>193.4</v>
      </c>
      <c r="J11" s="377"/>
      <c r="K11" s="66" t="s">
        <v>446</v>
      </c>
      <c r="L11" s="64"/>
      <c r="M11" s="64"/>
      <c r="N11" s="64"/>
      <c r="O11" s="64"/>
      <c r="Q11" s="376"/>
      <c r="R11" s="376"/>
      <c r="S11" s="376"/>
    </row>
    <row r="12" spans="1:19">
      <c r="A12" s="66" t="s">
        <v>447</v>
      </c>
      <c r="B12" s="63">
        <v>400</v>
      </c>
      <c r="C12" s="64">
        <v>209.2</v>
      </c>
      <c r="D12" s="64">
        <v>355.5</v>
      </c>
      <c r="E12" s="63">
        <v>200</v>
      </c>
      <c r="F12" s="64">
        <v>205.9</v>
      </c>
      <c r="G12" s="64">
        <v>267.39999999999998</v>
      </c>
      <c r="J12" s="377"/>
      <c r="K12" s="66" t="s">
        <v>447</v>
      </c>
      <c r="L12" s="64"/>
      <c r="M12" s="64"/>
      <c r="N12" s="64"/>
      <c r="O12" s="64"/>
      <c r="Q12" s="376"/>
      <c r="R12" s="376"/>
      <c r="S12" s="376"/>
    </row>
    <row r="13" spans="1:19" ht="14.25" customHeight="1">
      <c r="A13" s="66" t="s">
        <v>448</v>
      </c>
      <c r="B13" s="63">
        <v>400</v>
      </c>
      <c r="C13" s="64">
        <v>183.6</v>
      </c>
      <c r="D13" s="64">
        <v>379.4</v>
      </c>
      <c r="E13" s="63">
        <v>200</v>
      </c>
      <c r="F13" s="64">
        <v>185.3</v>
      </c>
      <c r="G13" s="64">
        <v>250.9</v>
      </c>
      <c r="J13" s="377"/>
      <c r="K13" s="66" t="s">
        <v>448</v>
      </c>
      <c r="L13" s="64"/>
      <c r="M13" s="64"/>
      <c r="N13" s="64"/>
      <c r="O13" s="64"/>
      <c r="Q13" s="376" t="s">
        <v>449</v>
      </c>
      <c r="R13" s="376"/>
      <c r="S13" s="376"/>
    </row>
    <row r="14" spans="1:19">
      <c r="A14" s="66" t="s">
        <v>450</v>
      </c>
      <c r="B14" s="63">
        <v>400</v>
      </c>
      <c r="C14" s="64">
        <v>174.2</v>
      </c>
      <c r="D14" s="64">
        <v>379.3</v>
      </c>
      <c r="E14" s="63">
        <v>200</v>
      </c>
      <c r="F14" s="64">
        <v>175.1</v>
      </c>
      <c r="G14" s="64">
        <v>274.2</v>
      </c>
      <c r="J14" s="377"/>
      <c r="K14" s="66" t="s">
        <v>450</v>
      </c>
      <c r="L14" s="64"/>
      <c r="M14" s="64"/>
      <c r="N14" s="64"/>
      <c r="O14" s="64"/>
      <c r="Q14" s="376"/>
      <c r="R14" s="376"/>
      <c r="S14" s="376"/>
    </row>
    <row r="15" spans="1:19">
      <c r="A15" s="66" t="s">
        <v>451</v>
      </c>
      <c r="B15" s="63">
        <v>400</v>
      </c>
      <c r="C15" s="64">
        <v>171.1</v>
      </c>
      <c r="D15" s="64">
        <v>371.3</v>
      </c>
      <c r="E15" s="63">
        <v>200</v>
      </c>
      <c r="F15" s="64">
        <v>174.2</v>
      </c>
      <c r="G15" s="64">
        <v>247.4</v>
      </c>
      <c r="J15" s="377"/>
      <c r="K15" s="66" t="s">
        <v>451</v>
      </c>
      <c r="L15" s="64"/>
      <c r="M15" s="64"/>
      <c r="N15" s="64"/>
      <c r="O15" s="64"/>
      <c r="Q15" s="376"/>
      <c r="R15" s="376"/>
      <c r="S15" s="376"/>
    </row>
    <row r="16" spans="1:19">
      <c r="A16" s="66" t="s">
        <v>452</v>
      </c>
      <c r="B16" s="63">
        <v>400</v>
      </c>
      <c r="C16" s="64">
        <v>156.4</v>
      </c>
      <c r="D16" s="64">
        <v>371.9</v>
      </c>
      <c r="E16" s="63">
        <v>200</v>
      </c>
      <c r="F16" s="64">
        <v>155.9</v>
      </c>
      <c r="G16" s="64">
        <v>221.2</v>
      </c>
      <c r="J16" s="377"/>
      <c r="K16" s="66" t="s">
        <v>452</v>
      </c>
      <c r="L16" s="64"/>
      <c r="M16" s="64"/>
      <c r="N16" s="64"/>
      <c r="O16" s="64"/>
      <c r="Q16" s="376"/>
      <c r="R16" s="376"/>
      <c r="S16" s="376"/>
    </row>
    <row r="17" spans="1:15">
      <c r="A17" s="66" t="s">
        <v>453</v>
      </c>
      <c r="B17" s="63">
        <v>400</v>
      </c>
      <c r="C17" s="64">
        <v>146.9</v>
      </c>
      <c r="D17" s="64">
        <v>354.7</v>
      </c>
      <c r="E17" s="63">
        <v>200</v>
      </c>
      <c r="F17" s="64">
        <v>142.1</v>
      </c>
      <c r="G17" s="64">
        <v>187.7</v>
      </c>
      <c r="J17" s="377"/>
      <c r="K17" s="66" t="s">
        <v>453</v>
      </c>
      <c r="L17" s="64"/>
      <c r="M17" s="64"/>
      <c r="N17" s="64"/>
      <c r="O17" s="64"/>
    </row>
    <row r="18" spans="1:15">
      <c r="A18" s="66" t="s">
        <v>454</v>
      </c>
      <c r="B18" s="63">
        <v>400</v>
      </c>
      <c r="C18" s="64">
        <v>175.9</v>
      </c>
      <c r="D18" s="64">
        <v>373</v>
      </c>
      <c r="E18" s="63">
        <v>200</v>
      </c>
      <c r="F18" s="64">
        <v>176.7</v>
      </c>
      <c r="G18" s="64">
        <v>249.9</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24" workbookViewId="0">
      <selection activeCell="P20" sqref="P20"/>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row>
    <row r="3" spans="1:19" ht="15">
      <c r="A3" s="60" t="s">
        <v>462</v>
      </c>
      <c r="D3" s="76" t="s">
        <v>424</v>
      </c>
      <c r="G3" s="80" t="s">
        <v>425</v>
      </c>
      <c r="J3" s="9" t="str">
        <f>+A3</f>
        <v>Monitoring of Total organic carbon emissions</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463</v>
      </c>
      <c r="C6" s="55" t="s">
        <v>432</v>
      </c>
      <c r="D6" s="55" t="s">
        <v>433</v>
      </c>
      <c r="E6" s="55" t="s">
        <v>464</v>
      </c>
      <c r="F6" s="55" t="s">
        <v>435</v>
      </c>
      <c r="G6" s="55" t="s">
        <v>436</v>
      </c>
      <c r="H6" s="59"/>
      <c r="J6" s="61">
        <f>+A6</f>
        <v>2022</v>
      </c>
      <c r="K6" s="61" t="s">
        <v>437</v>
      </c>
      <c r="L6" s="67" t="s">
        <v>432</v>
      </c>
      <c r="M6" s="67" t="s">
        <v>438</v>
      </c>
      <c r="N6" s="67" t="s">
        <v>435</v>
      </c>
      <c r="O6" s="67" t="s">
        <v>439</v>
      </c>
      <c r="Q6" s="368"/>
      <c r="R6" s="368"/>
      <c r="S6" s="368"/>
    </row>
    <row r="7" spans="1:19">
      <c r="A7" s="66" t="s">
        <v>440</v>
      </c>
      <c r="B7" s="63">
        <v>20</v>
      </c>
      <c r="C7" s="64">
        <v>0.7</v>
      </c>
      <c r="D7" s="64">
        <v>16.600000000000001</v>
      </c>
      <c r="E7" s="63">
        <v>10</v>
      </c>
      <c r="F7" s="64">
        <v>0.6</v>
      </c>
      <c r="G7" s="64">
        <v>1.2</v>
      </c>
      <c r="J7" s="377" t="s">
        <v>192</v>
      </c>
      <c r="K7" s="66" t="s">
        <v>440</v>
      </c>
      <c r="L7" s="64"/>
      <c r="M7" s="64"/>
      <c r="N7" s="64"/>
      <c r="O7" s="64"/>
      <c r="Q7" s="368"/>
      <c r="R7" s="368"/>
      <c r="S7" s="368"/>
    </row>
    <row r="8" spans="1:19">
      <c r="A8" s="66" t="s">
        <v>441</v>
      </c>
      <c r="B8" s="63">
        <v>20</v>
      </c>
      <c r="C8" s="64">
        <v>0.7</v>
      </c>
      <c r="D8" s="64">
        <v>17.899999999999999</v>
      </c>
      <c r="E8" s="63">
        <v>10</v>
      </c>
      <c r="F8" s="64">
        <v>0.7</v>
      </c>
      <c r="G8" s="64">
        <v>3</v>
      </c>
      <c r="J8" s="377"/>
      <c r="K8" s="66" t="s">
        <v>441</v>
      </c>
      <c r="L8" s="64"/>
      <c r="M8" s="64"/>
      <c r="N8" s="64"/>
      <c r="O8" s="64"/>
      <c r="Q8" s="368"/>
      <c r="R8" s="368"/>
      <c r="S8" s="368"/>
    </row>
    <row r="9" spans="1:19" ht="15">
      <c r="A9" s="66" t="s">
        <v>442</v>
      </c>
      <c r="B9" s="63">
        <v>20</v>
      </c>
      <c r="C9" s="64">
        <v>0.7</v>
      </c>
      <c r="D9" s="64">
        <v>16.8</v>
      </c>
      <c r="E9" s="63">
        <v>10</v>
      </c>
      <c r="F9" s="64">
        <v>0.6</v>
      </c>
      <c r="G9" s="64">
        <v>2.6</v>
      </c>
      <c r="J9" s="377"/>
      <c r="K9" s="66" t="s">
        <v>442</v>
      </c>
      <c r="L9" s="64"/>
      <c r="M9" s="64"/>
      <c r="N9" s="64"/>
      <c r="O9" s="64"/>
      <c r="Q9" s="78" t="s">
        <v>443</v>
      </c>
    </row>
    <row r="10" spans="1:19" ht="14.25" customHeight="1">
      <c r="A10" s="66" t="s">
        <v>444</v>
      </c>
      <c r="B10" s="63">
        <v>20</v>
      </c>
      <c r="C10" s="64">
        <v>0.7</v>
      </c>
      <c r="D10" s="64">
        <v>9.5</v>
      </c>
      <c r="E10" s="63">
        <v>10</v>
      </c>
      <c r="F10" s="64">
        <v>0.6</v>
      </c>
      <c r="G10" s="64">
        <v>1.1000000000000001</v>
      </c>
      <c r="J10" s="377"/>
      <c r="K10" s="66" t="s">
        <v>444</v>
      </c>
      <c r="L10" s="64"/>
      <c r="M10" s="64"/>
      <c r="N10" s="64"/>
      <c r="O10" s="64"/>
      <c r="Q10" s="376" t="s">
        <v>445</v>
      </c>
      <c r="R10" s="376"/>
      <c r="S10" s="376"/>
    </row>
    <row r="11" spans="1:19">
      <c r="A11" s="66" t="s">
        <v>446</v>
      </c>
      <c r="B11" s="63">
        <v>20</v>
      </c>
      <c r="C11" s="64">
        <v>0.8</v>
      </c>
      <c r="D11" s="64">
        <v>8.4</v>
      </c>
      <c r="E11" s="63">
        <v>10</v>
      </c>
      <c r="F11" s="64">
        <v>0.6</v>
      </c>
      <c r="G11" s="64">
        <v>1.1000000000000001</v>
      </c>
      <c r="J11" s="377"/>
      <c r="K11" s="66" t="s">
        <v>446</v>
      </c>
      <c r="L11" s="64"/>
      <c r="M11" s="64"/>
      <c r="N11" s="64"/>
      <c r="O11" s="64"/>
      <c r="Q11" s="376"/>
      <c r="R11" s="376"/>
      <c r="S11" s="376"/>
    </row>
    <row r="12" spans="1:19">
      <c r="A12" s="66" t="s">
        <v>447</v>
      </c>
      <c r="B12" s="63">
        <v>20</v>
      </c>
      <c r="C12" s="64">
        <v>0.7</v>
      </c>
      <c r="D12" s="64">
        <v>13.9</v>
      </c>
      <c r="E12" s="63">
        <v>10</v>
      </c>
      <c r="F12" s="64">
        <v>0.6</v>
      </c>
      <c r="G12" s="64">
        <v>1.1000000000000001</v>
      </c>
      <c r="J12" s="377"/>
      <c r="K12" s="66" t="s">
        <v>447</v>
      </c>
      <c r="L12" s="64"/>
      <c r="M12" s="64"/>
      <c r="N12" s="64"/>
      <c r="O12" s="64"/>
      <c r="Q12" s="376"/>
      <c r="R12" s="376"/>
      <c r="S12" s="376"/>
    </row>
    <row r="13" spans="1:19" ht="14.25" customHeight="1">
      <c r="A13" s="66" t="s">
        <v>448</v>
      </c>
      <c r="B13" s="63">
        <v>20</v>
      </c>
      <c r="C13" s="64">
        <v>0.8</v>
      </c>
      <c r="D13" s="64">
        <v>17</v>
      </c>
      <c r="E13" s="63">
        <v>10</v>
      </c>
      <c r="F13" s="64">
        <v>0.8</v>
      </c>
      <c r="G13" s="64">
        <v>1.9</v>
      </c>
      <c r="J13" s="377"/>
      <c r="K13" s="66" t="s">
        <v>448</v>
      </c>
      <c r="L13" s="64"/>
      <c r="M13" s="64"/>
      <c r="N13" s="64"/>
      <c r="O13" s="64"/>
      <c r="Q13" s="376" t="s">
        <v>449</v>
      </c>
      <c r="R13" s="376"/>
      <c r="S13" s="376"/>
    </row>
    <row r="14" spans="1:19">
      <c r="A14" s="66" t="s">
        <v>450</v>
      </c>
      <c r="B14" s="63">
        <v>20</v>
      </c>
      <c r="C14" s="64">
        <v>0.6</v>
      </c>
      <c r="D14" s="64">
        <v>12.8</v>
      </c>
      <c r="E14" s="63">
        <v>10</v>
      </c>
      <c r="F14" s="64">
        <v>0.5</v>
      </c>
      <c r="G14" s="64">
        <v>1.3</v>
      </c>
      <c r="J14" s="377"/>
      <c r="K14" s="66" t="s">
        <v>450</v>
      </c>
      <c r="L14" s="64"/>
      <c r="M14" s="64"/>
      <c r="N14" s="64"/>
      <c r="O14" s="64"/>
      <c r="Q14" s="376"/>
      <c r="R14" s="376"/>
      <c r="S14" s="376"/>
    </row>
    <row r="15" spans="1:19">
      <c r="A15" s="66" t="s">
        <v>451</v>
      </c>
      <c r="B15" s="63">
        <v>20</v>
      </c>
      <c r="C15" s="64">
        <v>0.8</v>
      </c>
      <c r="D15" s="64">
        <v>14</v>
      </c>
      <c r="E15" s="63">
        <v>10</v>
      </c>
      <c r="F15" s="64">
        <v>0.7</v>
      </c>
      <c r="G15" s="64">
        <v>1.6</v>
      </c>
      <c r="J15" s="377"/>
      <c r="K15" s="66" t="s">
        <v>451</v>
      </c>
      <c r="L15" s="64"/>
      <c r="M15" s="64"/>
      <c r="N15" s="64"/>
      <c r="O15" s="64"/>
      <c r="Q15" s="376"/>
      <c r="R15" s="376"/>
      <c r="S15" s="376"/>
    </row>
    <row r="16" spans="1:19">
      <c r="A16" s="66" t="s">
        <v>452</v>
      </c>
      <c r="B16" s="63">
        <v>20</v>
      </c>
      <c r="C16" s="64">
        <v>1.2</v>
      </c>
      <c r="D16" s="64">
        <v>14.6</v>
      </c>
      <c r="E16" s="63">
        <v>10</v>
      </c>
      <c r="F16" s="64">
        <v>1.1000000000000001</v>
      </c>
      <c r="G16" s="64">
        <v>2.2999999999999998</v>
      </c>
      <c r="J16" s="377"/>
      <c r="K16" s="66" t="s">
        <v>452</v>
      </c>
      <c r="L16" s="64"/>
      <c r="M16" s="64"/>
      <c r="N16" s="64"/>
      <c r="O16" s="64"/>
      <c r="Q16" s="376"/>
      <c r="R16" s="376"/>
      <c r="S16" s="376"/>
    </row>
    <row r="17" spans="1:15">
      <c r="A17" s="66" t="s">
        <v>453</v>
      </c>
      <c r="B17" s="63">
        <v>20</v>
      </c>
      <c r="C17" s="64">
        <v>1.2</v>
      </c>
      <c r="D17" s="64">
        <v>16</v>
      </c>
      <c r="E17" s="63">
        <v>10</v>
      </c>
      <c r="F17" s="64">
        <v>1.1000000000000001</v>
      </c>
      <c r="G17" s="64">
        <v>3.4</v>
      </c>
      <c r="J17" s="377"/>
      <c r="K17" s="66" t="s">
        <v>453</v>
      </c>
      <c r="L17" s="64"/>
      <c r="M17" s="64"/>
      <c r="N17" s="64"/>
      <c r="O17" s="64"/>
    </row>
    <row r="18" spans="1:15">
      <c r="A18" s="66" t="s">
        <v>454</v>
      </c>
      <c r="B18" s="63">
        <v>20</v>
      </c>
      <c r="C18" s="64">
        <v>0.8</v>
      </c>
      <c r="D18" s="64">
        <v>10.4</v>
      </c>
      <c r="E18" s="63">
        <v>10</v>
      </c>
      <c r="F18" s="64">
        <v>0.7</v>
      </c>
      <c r="G18" s="64">
        <v>1.3</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24" workbookViewId="0">
      <selection activeCell="P20" sqref="P20"/>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row>
    <row r="3" spans="1:19" ht="15">
      <c r="A3" s="60" t="s">
        <v>465</v>
      </c>
      <c r="D3" s="76" t="s">
        <v>424</v>
      </c>
      <c r="G3" s="80" t="s">
        <v>425</v>
      </c>
      <c r="J3" s="9" t="str">
        <f>+A3</f>
        <v>Monitoring of Particulate matter emissions</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466</v>
      </c>
      <c r="C6" s="55" t="s">
        <v>432</v>
      </c>
      <c r="D6" s="55" t="s">
        <v>433</v>
      </c>
      <c r="E6" s="55" t="s">
        <v>467</v>
      </c>
      <c r="F6" s="55" t="s">
        <v>435</v>
      </c>
      <c r="G6" s="55" t="s">
        <v>436</v>
      </c>
      <c r="H6" s="59"/>
      <c r="J6" s="61">
        <f>+A6</f>
        <v>2022</v>
      </c>
      <c r="K6" s="61" t="s">
        <v>437</v>
      </c>
      <c r="L6" s="67" t="s">
        <v>432</v>
      </c>
      <c r="M6" s="67" t="s">
        <v>438</v>
      </c>
      <c r="N6" s="67" t="s">
        <v>435</v>
      </c>
      <c r="O6" s="67" t="s">
        <v>439</v>
      </c>
      <c r="Q6" s="368"/>
      <c r="R6" s="368"/>
      <c r="S6" s="368"/>
    </row>
    <row r="7" spans="1:19">
      <c r="A7" s="66" t="s">
        <v>440</v>
      </c>
      <c r="B7" s="63">
        <v>30</v>
      </c>
      <c r="C7" s="64">
        <v>5.5</v>
      </c>
      <c r="D7" s="64">
        <v>8.3000000000000007</v>
      </c>
      <c r="E7" s="63">
        <v>10</v>
      </c>
      <c r="F7" s="64">
        <v>5.5</v>
      </c>
      <c r="G7" s="64">
        <v>6.2</v>
      </c>
      <c r="J7" s="377" t="s">
        <v>192</v>
      </c>
      <c r="K7" s="66" t="s">
        <v>440</v>
      </c>
      <c r="L7" s="64"/>
      <c r="M7" s="64"/>
      <c r="N7" s="64"/>
      <c r="O7" s="64"/>
      <c r="Q7" s="368"/>
      <c r="R7" s="368"/>
      <c r="S7" s="368"/>
    </row>
    <row r="8" spans="1:19">
      <c r="A8" s="66" t="s">
        <v>441</v>
      </c>
      <c r="B8" s="63">
        <v>30</v>
      </c>
      <c r="C8" s="64">
        <v>2.7</v>
      </c>
      <c r="D8" s="64">
        <v>8.6</v>
      </c>
      <c r="E8" s="63">
        <v>10</v>
      </c>
      <c r="F8" s="64">
        <v>2.7</v>
      </c>
      <c r="G8" s="64">
        <v>5.7</v>
      </c>
      <c r="J8" s="377"/>
      <c r="K8" s="66" t="s">
        <v>441</v>
      </c>
      <c r="L8" s="64"/>
      <c r="M8" s="64"/>
      <c r="N8" s="64"/>
      <c r="O8" s="64"/>
      <c r="Q8" s="368"/>
      <c r="R8" s="368"/>
      <c r="S8" s="368"/>
    </row>
    <row r="9" spans="1:19" ht="15">
      <c r="A9" s="66" t="s">
        <v>442</v>
      </c>
      <c r="B9" s="63">
        <v>30</v>
      </c>
      <c r="C9" s="64">
        <v>3.1</v>
      </c>
      <c r="D9" s="64">
        <v>8.3000000000000007</v>
      </c>
      <c r="E9" s="63">
        <v>10</v>
      </c>
      <c r="F9" s="64">
        <v>3.2</v>
      </c>
      <c r="G9" s="64">
        <v>5.6</v>
      </c>
      <c r="J9" s="377"/>
      <c r="K9" s="66" t="s">
        <v>442</v>
      </c>
      <c r="L9" s="64"/>
      <c r="M9" s="64"/>
      <c r="N9" s="64"/>
      <c r="O9" s="64"/>
      <c r="Q9" s="78" t="s">
        <v>443</v>
      </c>
    </row>
    <row r="10" spans="1:19" ht="14.25" customHeight="1">
      <c r="A10" s="66" t="s">
        <v>444</v>
      </c>
      <c r="B10" s="63">
        <v>30</v>
      </c>
      <c r="C10" s="64">
        <v>2.6</v>
      </c>
      <c r="D10" s="64">
        <v>9.6999999999999993</v>
      </c>
      <c r="E10" s="63">
        <v>10</v>
      </c>
      <c r="F10" s="64">
        <v>2.6</v>
      </c>
      <c r="G10" s="64">
        <v>3.8</v>
      </c>
      <c r="J10" s="377"/>
      <c r="K10" s="66" t="s">
        <v>444</v>
      </c>
      <c r="L10" s="64"/>
      <c r="M10" s="64"/>
      <c r="N10" s="64"/>
      <c r="O10" s="64"/>
      <c r="Q10" s="376" t="s">
        <v>445</v>
      </c>
      <c r="R10" s="376"/>
      <c r="S10" s="376"/>
    </row>
    <row r="11" spans="1:19">
      <c r="A11" s="66" t="s">
        <v>446</v>
      </c>
      <c r="B11" s="63">
        <v>30</v>
      </c>
      <c r="C11" s="64">
        <v>3.1</v>
      </c>
      <c r="D11" s="64">
        <v>8.5</v>
      </c>
      <c r="E11" s="63">
        <v>10</v>
      </c>
      <c r="F11" s="64">
        <v>2.9</v>
      </c>
      <c r="G11" s="64">
        <v>4.0999999999999996</v>
      </c>
      <c r="J11" s="377"/>
      <c r="K11" s="66" t="s">
        <v>446</v>
      </c>
      <c r="L11" s="64"/>
      <c r="M11" s="64"/>
      <c r="N11" s="64"/>
      <c r="O11" s="64"/>
      <c r="Q11" s="376"/>
      <c r="R11" s="376"/>
      <c r="S11" s="376"/>
    </row>
    <row r="12" spans="1:19">
      <c r="A12" s="66" t="s">
        <v>447</v>
      </c>
      <c r="B12" s="63">
        <v>30</v>
      </c>
      <c r="C12" s="64">
        <v>1.7</v>
      </c>
      <c r="D12" s="64">
        <v>11.4</v>
      </c>
      <c r="E12" s="63">
        <v>10</v>
      </c>
      <c r="F12" s="64">
        <v>1.6</v>
      </c>
      <c r="G12" s="64">
        <v>2.4</v>
      </c>
      <c r="J12" s="377"/>
      <c r="K12" s="66" t="s">
        <v>447</v>
      </c>
      <c r="L12" s="64"/>
      <c r="M12" s="64"/>
      <c r="N12" s="64"/>
      <c r="O12" s="64"/>
      <c r="Q12" s="376"/>
      <c r="R12" s="376"/>
      <c r="S12" s="376"/>
    </row>
    <row r="13" spans="1:19" ht="14.25" customHeight="1">
      <c r="A13" s="66" t="s">
        <v>448</v>
      </c>
      <c r="B13" s="63">
        <v>30</v>
      </c>
      <c r="C13" s="64">
        <v>1.7</v>
      </c>
      <c r="D13" s="64">
        <v>11.8</v>
      </c>
      <c r="E13" s="63">
        <v>10</v>
      </c>
      <c r="F13" s="64">
        <v>1.6</v>
      </c>
      <c r="G13" s="64">
        <v>2.7</v>
      </c>
      <c r="J13" s="377"/>
      <c r="K13" s="66" t="s">
        <v>448</v>
      </c>
      <c r="L13" s="64"/>
      <c r="M13" s="64"/>
      <c r="N13" s="64"/>
      <c r="O13" s="64"/>
      <c r="Q13" s="376" t="s">
        <v>449</v>
      </c>
      <c r="R13" s="376"/>
      <c r="S13" s="376"/>
    </row>
    <row r="14" spans="1:19">
      <c r="A14" s="66" t="s">
        <v>450</v>
      </c>
      <c r="B14" s="63">
        <v>30</v>
      </c>
      <c r="C14" s="64">
        <v>1.9</v>
      </c>
      <c r="D14" s="64">
        <v>17.3</v>
      </c>
      <c r="E14" s="63">
        <v>10</v>
      </c>
      <c r="F14" s="64">
        <v>1.8</v>
      </c>
      <c r="G14" s="64">
        <v>2.8</v>
      </c>
      <c r="J14" s="377"/>
      <c r="K14" s="66" t="s">
        <v>450</v>
      </c>
      <c r="L14" s="64"/>
      <c r="M14" s="64"/>
      <c r="N14" s="64"/>
      <c r="O14" s="64"/>
      <c r="Q14" s="376"/>
      <c r="R14" s="376"/>
      <c r="S14" s="376"/>
    </row>
    <row r="15" spans="1:19">
      <c r="A15" s="66" t="s">
        <v>451</v>
      </c>
      <c r="B15" s="63">
        <v>30</v>
      </c>
      <c r="C15" s="64">
        <v>2.6</v>
      </c>
      <c r="D15" s="64">
        <v>13.9</v>
      </c>
      <c r="E15" s="63">
        <v>10</v>
      </c>
      <c r="F15" s="64">
        <v>2.5</v>
      </c>
      <c r="G15" s="64">
        <v>4.5</v>
      </c>
      <c r="J15" s="377"/>
      <c r="K15" s="66" t="s">
        <v>451</v>
      </c>
      <c r="L15" s="64"/>
      <c r="M15" s="64"/>
      <c r="N15" s="64"/>
      <c r="O15" s="64"/>
      <c r="Q15" s="376"/>
      <c r="R15" s="376"/>
      <c r="S15" s="376"/>
    </row>
    <row r="16" spans="1:19">
      <c r="A16" s="66" t="s">
        <v>452</v>
      </c>
      <c r="B16" s="63">
        <v>30</v>
      </c>
      <c r="C16" s="64">
        <v>2.1</v>
      </c>
      <c r="D16" s="64">
        <v>16.600000000000001</v>
      </c>
      <c r="E16" s="63">
        <v>10</v>
      </c>
      <c r="F16" s="64">
        <v>2</v>
      </c>
      <c r="G16" s="64">
        <v>2.7</v>
      </c>
      <c r="J16" s="377"/>
      <c r="K16" s="66" t="s">
        <v>452</v>
      </c>
      <c r="L16" s="64"/>
      <c r="M16" s="64"/>
      <c r="N16" s="64"/>
      <c r="O16" s="64"/>
      <c r="Q16" s="376"/>
      <c r="R16" s="376"/>
      <c r="S16" s="376"/>
    </row>
    <row r="17" spans="1:15">
      <c r="A17" s="66" t="s">
        <v>453</v>
      </c>
      <c r="B17" s="63">
        <v>30</v>
      </c>
      <c r="C17" s="64">
        <v>1.9</v>
      </c>
      <c r="D17" s="64">
        <v>4.8</v>
      </c>
      <c r="E17" s="63">
        <v>10</v>
      </c>
      <c r="F17" s="64">
        <v>1.8</v>
      </c>
      <c r="G17" s="64">
        <v>2.2999999999999998</v>
      </c>
      <c r="J17" s="377"/>
      <c r="K17" s="66" t="s">
        <v>453</v>
      </c>
      <c r="L17" s="64"/>
      <c r="M17" s="64"/>
      <c r="N17" s="64"/>
      <c r="O17" s="64"/>
    </row>
    <row r="18" spans="1:15">
      <c r="A18" s="66" t="s">
        <v>454</v>
      </c>
      <c r="B18" s="63">
        <v>30</v>
      </c>
      <c r="C18" s="64">
        <v>2.5</v>
      </c>
      <c r="D18" s="64">
        <v>17.3</v>
      </c>
      <c r="E18" s="63">
        <v>10</v>
      </c>
      <c r="F18" s="64">
        <v>2.4</v>
      </c>
      <c r="G18" s="64">
        <v>4.4000000000000004</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P20" sqref="P20"/>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row>
    <row r="3" spans="1:19" ht="15">
      <c r="A3" s="60" t="s">
        <v>468</v>
      </c>
      <c r="D3" s="76" t="s">
        <v>424</v>
      </c>
      <c r="G3" s="80" t="s">
        <v>425</v>
      </c>
      <c r="J3" s="9" t="str">
        <f>+A3</f>
        <v>Monitoring of Carbon Monoxide (half hourly)</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469</v>
      </c>
      <c r="C6" s="55" t="s">
        <v>432</v>
      </c>
      <c r="D6" s="55" t="s">
        <v>433</v>
      </c>
      <c r="E6" s="55" t="s">
        <v>470</v>
      </c>
      <c r="F6" s="55" t="s">
        <v>435</v>
      </c>
      <c r="G6" s="55" t="s">
        <v>436</v>
      </c>
      <c r="H6" s="59"/>
      <c r="J6" s="61">
        <f>+A6</f>
        <v>2022</v>
      </c>
      <c r="K6" s="61" t="s">
        <v>437</v>
      </c>
      <c r="L6" s="67" t="s">
        <v>432</v>
      </c>
      <c r="M6" s="67" t="s">
        <v>438</v>
      </c>
      <c r="N6" s="67" t="s">
        <v>435</v>
      </c>
      <c r="O6" s="67" t="s">
        <v>439</v>
      </c>
      <c r="Q6" s="368"/>
      <c r="R6" s="368"/>
      <c r="S6" s="368"/>
    </row>
    <row r="7" spans="1:19">
      <c r="A7" s="66" t="s">
        <v>440</v>
      </c>
      <c r="B7" s="69">
        <v>100</v>
      </c>
      <c r="C7" s="64">
        <v>6.4</v>
      </c>
      <c r="D7" s="64">
        <v>131.6</v>
      </c>
      <c r="E7" s="69">
        <v>50</v>
      </c>
      <c r="F7" s="64">
        <v>6.3</v>
      </c>
      <c r="G7" s="64">
        <v>15.4</v>
      </c>
      <c r="J7" s="377" t="s">
        <v>192</v>
      </c>
      <c r="K7" s="66" t="s">
        <v>440</v>
      </c>
      <c r="L7" s="64"/>
      <c r="M7" s="64"/>
      <c r="N7" s="64"/>
      <c r="O7" s="64"/>
      <c r="Q7" s="368"/>
      <c r="R7" s="368"/>
      <c r="S7" s="368"/>
    </row>
    <row r="8" spans="1:19">
      <c r="A8" s="66" t="s">
        <v>441</v>
      </c>
      <c r="B8" s="63">
        <f>+B7</f>
        <v>100</v>
      </c>
      <c r="C8" s="64">
        <v>8.1</v>
      </c>
      <c r="D8" s="64">
        <v>227.7</v>
      </c>
      <c r="E8" s="63">
        <f>+E7</f>
        <v>50</v>
      </c>
      <c r="F8" s="64">
        <v>8.1</v>
      </c>
      <c r="G8" s="64">
        <v>21.8</v>
      </c>
      <c r="J8" s="377"/>
      <c r="K8" s="66" t="s">
        <v>441</v>
      </c>
      <c r="L8" s="64"/>
      <c r="M8" s="64"/>
      <c r="N8" s="64"/>
      <c r="O8" s="64"/>
      <c r="Q8" s="368"/>
      <c r="R8" s="368"/>
      <c r="S8" s="368"/>
    </row>
    <row r="9" spans="1:19" ht="15">
      <c r="A9" s="66" t="s">
        <v>442</v>
      </c>
      <c r="B9" s="63">
        <f t="shared" ref="B9:B18" si="0">+B8</f>
        <v>100</v>
      </c>
      <c r="C9" s="64">
        <v>6.5</v>
      </c>
      <c r="D9" s="64">
        <v>124.6</v>
      </c>
      <c r="E9" s="63">
        <f t="shared" ref="E9:E18" si="1">+E8</f>
        <v>50</v>
      </c>
      <c r="F9" s="64">
        <v>6.7</v>
      </c>
      <c r="G9" s="64">
        <v>29.1</v>
      </c>
      <c r="J9" s="377"/>
      <c r="K9" s="66" t="s">
        <v>442</v>
      </c>
      <c r="L9" s="64"/>
      <c r="M9" s="64"/>
      <c r="N9" s="64"/>
      <c r="O9" s="64"/>
      <c r="Q9" s="78" t="s">
        <v>443</v>
      </c>
    </row>
    <row r="10" spans="1:19" ht="14.25" customHeight="1">
      <c r="A10" s="66" t="s">
        <v>444</v>
      </c>
      <c r="B10" s="63">
        <f t="shared" si="0"/>
        <v>100</v>
      </c>
      <c r="C10" s="64">
        <v>8.3000000000000007</v>
      </c>
      <c r="D10" s="64">
        <v>104.9</v>
      </c>
      <c r="E10" s="63">
        <f t="shared" si="1"/>
        <v>50</v>
      </c>
      <c r="F10" s="64">
        <v>7.6</v>
      </c>
      <c r="G10" s="64">
        <v>18.7</v>
      </c>
      <c r="J10" s="377"/>
      <c r="K10" s="66" t="s">
        <v>444</v>
      </c>
      <c r="L10" s="64"/>
      <c r="M10" s="64"/>
      <c r="N10" s="64"/>
      <c r="O10" s="64"/>
      <c r="Q10" s="376" t="s">
        <v>445</v>
      </c>
      <c r="R10" s="376"/>
      <c r="S10" s="376"/>
    </row>
    <row r="11" spans="1:19">
      <c r="A11" s="66" t="s">
        <v>446</v>
      </c>
      <c r="B11" s="63">
        <f t="shared" si="0"/>
        <v>100</v>
      </c>
      <c r="C11" s="64">
        <v>5.7</v>
      </c>
      <c r="D11" s="64">
        <v>103.9</v>
      </c>
      <c r="E11" s="63">
        <f t="shared" si="1"/>
        <v>50</v>
      </c>
      <c r="F11" s="64">
        <v>5.6</v>
      </c>
      <c r="G11" s="64">
        <v>10.8</v>
      </c>
      <c r="J11" s="377"/>
      <c r="K11" s="66" t="s">
        <v>446</v>
      </c>
      <c r="L11" s="64"/>
      <c r="M11" s="64"/>
      <c r="N11" s="64"/>
      <c r="O11" s="64"/>
      <c r="Q11" s="376"/>
      <c r="R11" s="376"/>
      <c r="S11" s="376"/>
    </row>
    <row r="12" spans="1:19">
      <c r="A12" s="66" t="s">
        <v>447</v>
      </c>
      <c r="B12" s="63">
        <f t="shared" si="0"/>
        <v>100</v>
      </c>
      <c r="C12" s="64">
        <v>9.1999999999999993</v>
      </c>
      <c r="D12" s="64">
        <v>128.6</v>
      </c>
      <c r="E12" s="63">
        <f t="shared" si="1"/>
        <v>50</v>
      </c>
      <c r="F12" s="64">
        <v>9.4</v>
      </c>
      <c r="G12" s="64">
        <v>19.8</v>
      </c>
      <c r="J12" s="377"/>
      <c r="K12" s="66" t="s">
        <v>447</v>
      </c>
      <c r="L12" s="64"/>
      <c r="M12" s="64"/>
      <c r="N12" s="64"/>
      <c r="O12" s="64"/>
      <c r="Q12" s="376"/>
      <c r="R12" s="376"/>
      <c r="S12" s="376"/>
    </row>
    <row r="13" spans="1:19" ht="14.25" customHeight="1">
      <c r="A13" s="66" t="s">
        <v>448</v>
      </c>
      <c r="B13" s="63">
        <f t="shared" si="0"/>
        <v>100</v>
      </c>
      <c r="C13" s="64">
        <v>13</v>
      </c>
      <c r="D13" s="64">
        <v>174.2</v>
      </c>
      <c r="E13" s="63">
        <f t="shared" si="1"/>
        <v>50</v>
      </c>
      <c r="F13" s="64">
        <v>13.3</v>
      </c>
      <c r="G13" s="64">
        <v>28.7</v>
      </c>
      <c r="J13" s="377"/>
      <c r="K13" s="66" t="s">
        <v>448</v>
      </c>
      <c r="L13" s="64"/>
      <c r="M13" s="64"/>
      <c r="N13" s="64"/>
      <c r="O13" s="64"/>
      <c r="Q13" s="376" t="s">
        <v>449</v>
      </c>
      <c r="R13" s="376"/>
      <c r="S13" s="376"/>
    </row>
    <row r="14" spans="1:19">
      <c r="A14" s="66" t="s">
        <v>450</v>
      </c>
      <c r="B14" s="63">
        <f t="shared" si="0"/>
        <v>100</v>
      </c>
      <c r="C14" s="64">
        <v>9.3000000000000007</v>
      </c>
      <c r="D14" s="64">
        <v>171</v>
      </c>
      <c r="E14" s="63">
        <f t="shared" si="1"/>
        <v>50</v>
      </c>
      <c r="F14" s="64">
        <v>9.1999999999999993</v>
      </c>
      <c r="G14" s="64">
        <v>25.2</v>
      </c>
      <c r="J14" s="377"/>
      <c r="K14" s="66" t="s">
        <v>450</v>
      </c>
      <c r="L14" s="64"/>
      <c r="M14" s="64"/>
      <c r="N14" s="64"/>
      <c r="O14" s="64"/>
      <c r="Q14" s="376"/>
      <c r="R14" s="376"/>
      <c r="S14" s="376"/>
    </row>
    <row r="15" spans="1:19">
      <c r="A15" s="66" t="s">
        <v>451</v>
      </c>
      <c r="B15" s="63">
        <f t="shared" si="0"/>
        <v>100</v>
      </c>
      <c r="C15" s="64">
        <v>12.6</v>
      </c>
      <c r="D15" s="64">
        <v>143.9</v>
      </c>
      <c r="E15" s="63">
        <f t="shared" si="1"/>
        <v>50</v>
      </c>
      <c r="F15" s="64">
        <v>12.1</v>
      </c>
      <c r="G15" s="64">
        <v>29.8</v>
      </c>
      <c r="J15" s="377"/>
      <c r="K15" s="66" t="s">
        <v>451</v>
      </c>
      <c r="L15" s="64"/>
      <c r="M15" s="64"/>
      <c r="N15" s="64"/>
      <c r="O15" s="64"/>
      <c r="Q15" s="376"/>
      <c r="R15" s="376"/>
      <c r="S15" s="376"/>
    </row>
    <row r="16" spans="1:19">
      <c r="A16" s="66" t="s">
        <v>452</v>
      </c>
      <c r="B16" s="63">
        <f t="shared" si="0"/>
        <v>100</v>
      </c>
      <c r="C16" s="64">
        <v>18.5</v>
      </c>
      <c r="D16" s="64">
        <v>187.1</v>
      </c>
      <c r="E16" s="63">
        <f t="shared" si="1"/>
        <v>50</v>
      </c>
      <c r="F16" s="64">
        <v>18.399999999999999</v>
      </c>
      <c r="G16" s="64">
        <v>38.9</v>
      </c>
      <c r="J16" s="377"/>
      <c r="K16" s="66" t="s">
        <v>452</v>
      </c>
      <c r="L16" s="64"/>
      <c r="M16" s="64"/>
      <c r="N16" s="64"/>
      <c r="O16" s="64"/>
      <c r="Q16" s="376"/>
      <c r="R16" s="376"/>
      <c r="S16" s="376"/>
    </row>
    <row r="17" spans="1:15">
      <c r="A17" s="66" t="s">
        <v>453</v>
      </c>
      <c r="B17" s="63">
        <f t="shared" si="0"/>
        <v>100</v>
      </c>
      <c r="C17" s="64">
        <v>16.8</v>
      </c>
      <c r="D17" s="64">
        <v>186.5</v>
      </c>
      <c r="E17" s="63">
        <f t="shared" si="1"/>
        <v>50</v>
      </c>
      <c r="F17" s="64">
        <v>17.2</v>
      </c>
      <c r="G17" s="64">
        <v>31.9</v>
      </c>
      <c r="J17" s="377"/>
      <c r="K17" s="66" t="s">
        <v>453</v>
      </c>
      <c r="L17" s="64"/>
      <c r="M17" s="64"/>
      <c r="N17" s="64"/>
      <c r="O17" s="64"/>
    </row>
    <row r="18" spans="1:15">
      <c r="A18" s="66" t="s">
        <v>454</v>
      </c>
      <c r="B18" s="63">
        <f t="shared" si="0"/>
        <v>100</v>
      </c>
      <c r="C18" s="64">
        <v>11.5</v>
      </c>
      <c r="D18" s="64">
        <v>182.8</v>
      </c>
      <c r="E18" s="63">
        <f t="shared" si="1"/>
        <v>50</v>
      </c>
      <c r="F18" s="64">
        <v>11.7</v>
      </c>
      <c r="G18" s="64">
        <v>29.2</v>
      </c>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P20" sqref="P20"/>
    </sheetView>
  </sheetViews>
  <sheetFormatPr defaultRowHeight="14.25"/>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Tradebe Fawley Limited</v>
      </c>
    </row>
    <row r="3" spans="1:21" ht="15">
      <c r="A3" s="60" t="s">
        <v>471</v>
      </c>
      <c r="E3" s="76" t="s">
        <v>424</v>
      </c>
      <c r="H3" s="80" t="s">
        <v>472</v>
      </c>
      <c r="J3" s="9" t="str">
        <f>+A3</f>
        <v>Monitoring of Carbon Monoxide (10-minute avg)</v>
      </c>
      <c r="L3" s="9"/>
      <c r="O3" s="9" t="s">
        <v>426</v>
      </c>
      <c r="Q3" s="77" t="s">
        <v>2</v>
      </c>
      <c r="S3" s="79" t="s">
        <v>2</v>
      </c>
      <c r="T3" s="74"/>
      <c r="U3" s="74"/>
    </row>
    <row r="4" spans="1:21" ht="13.9" customHeight="1">
      <c r="S4" s="368" t="s">
        <v>473</v>
      </c>
      <c r="T4" s="368"/>
      <c r="U4" s="368"/>
    </row>
    <row r="5" spans="1:21" ht="17.25">
      <c r="A5" s="68" t="s">
        <v>428</v>
      </c>
      <c r="B5" s="379" t="s">
        <v>474</v>
      </c>
      <c r="C5" s="379"/>
      <c r="D5" s="379"/>
      <c r="E5" s="379"/>
      <c r="F5" s="379" t="s">
        <v>430</v>
      </c>
      <c r="G5" s="379"/>
      <c r="H5" s="379"/>
      <c r="K5" s="378"/>
      <c r="L5" s="378"/>
      <c r="M5" s="378"/>
      <c r="N5" s="378"/>
      <c r="O5" s="378"/>
      <c r="P5" s="378"/>
      <c r="Q5" s="378"/>
      <c r="S5" s="368"/>
      <c r="T5" s="368"/>
      <c r="U5" s="368"/>
    </row>
    <row r="6" spans="1:21" s="58" customFormat="1" ht="37.5" customHeight="1">
      <c r="A6" s="65">
        <f>+'Cover Page'!C39</f>
        <v>2022</v>
      </c>
      <c r="B6" s="55" t="s">
        <v>475</v>
      </c>
      <c r="C6" s="55" t="s">
        <v>476</v>
      </c>
      <c r="D6" s="55" t="s">
        <v>477</v>
      </c>
      <c r="E6" s="55" t="s">
        <v>478</v>
      </c>
      <c r="F6" s="55" t="s">
        <v>470</v>
      </c>
      <c r="G6" s="55" t="s">
        <v>435</v>
      </c>
      <c r="H6" s="55" t="s">
        <v>436</v>
      </c>
      <c r="I6" s="59"/>
      <c r="K6" s="61">
        <f>+A6</f>
        <v>2022</v>
      </c>
      <c r="L6" s="61" t="s">
        <v>437</v>
      </c>
      <c r="M6" s="55" t="s">
        <v>476</v>
      </c>
      <c r="N6" s="55" t="s">
        <v>477</v>
      </c>
      <c r="O6" s="55" t="s">
        <v>478</v>
      </c>
      <c r="P6" s="67" t="s">
        <v>435</v>
      </c>
      <c r="Q6" s="67" t="s">
        <v>439</v>
      </c>
      <c r="S6" s="368"/>
      <c r="T6" s="368"/>
      <c r="U6" s="368"/>
    </row>
    <row r="7" spans="1:21">
      <c r="A7" s="66" t="s">
        <v>440</v>
      </c>
      <c r="B7" s="69">
        <v>150</v>
      </c>
      <c r="C7" s="64">
        <v>103.5</v>
      </c>
      <c r="D7" s="64">
        <v>6.5</v>
      </c>
      <c r="E7" s="64">
        <v>273.2</v>
      </c>
      <c r="F7" s="69">
        <v>50</v>
      </c>
      <c r="G7" s="64">
        <v>6.5</v>
      </c>
      <c r="H7" s="64">
        <v>16.7</v>
      </c>
      <c r="K7" s="377" t="s">
        <v>192</v>
      </c>
      <c r="L7" s="66" t="s">
        <v>440</v>
      </c>
      <c r="M7" s="64"/>
      <c r="N7" s="64"/>
      <c r="O7" s="64"/>
      <c r="P7" s="64"/>
      <c r="Q7" s="64"/>
      <c r="S7" s="368"/>
      <c r="T7" s="368"/>
      <c r="U7" s="368"/>
    </row>
    <row r="8" spans="1:21">
      <c r="A8" s="66" t="s">
        <v>441</v>
      </c>
      <c r="B8" s="63">
        <f>+B7</f>
        <v>150</v>
      </c>
      <c r="C8" s="64">
        <v>123.8</v>
      </c>
      <c r="D8" s="64">
        <v>8.5</v>
      </c>
      <c r="E8" s="64">
        <v>275.5</v>
      </c>
      <c r="F8" s="63">
        <f>+F7</f>
        <v>50</v>
      </c>
      <c r="G8" s="64">
        <v>8.4</v>
      </c>
      <c r="H8" s="64">
        <v>23.4</v>
      </c>
      <c r="K8" s="377"/>
      <c r="L8" s="66" t="s">
        <v>441</v>
      </c>
      <c r="M8" s="64"/>
      <c r="N8" s="64"/>
      <c r="O8" s="64"/>
      <c r="P8" s="64"/>
      <c r="Q8" s="64"/>
      <c r="S8" s="368"/>
      <c r="T8" s="368"/>
      <c r="U8" s="368"/>
    </row>
    <row r="9" spans="1:21" ht="15">
      <c r="A9" s="66" t="s">
        <v>442</v>
      </c>
      <c r="B9" s="63">
        <f t="shared" ref="B9:B18" si="0">+B8</f>
        <v>150</v>
      </c>
      <c r="C9" s="64">
        <v>123.1</v>
      </c>
      <c r="D9" s="64">
        <v>6.8</v>
      </c>
      <c r="E9" s="64">
        <v>234.8</v>
      </c>
      <c r="F9" s="63">
        <f t="shared" ref="F9:F18" si="1">+F8</f>
        <v>50</v>
      </c>
      <c r="G9" s="64">
        <v>7</v>
      </c>
      <c r="H9" s="64">
        <v>29.8</v>
      </c>
      <c r="K9" s="377"/>
      <c r="L9" s="66" t="s">
        <v>442</v>
      </c>
      <c r="M9" s="64"/>
      <c r="N9" s="64"/>
      <c r="O9" s="64"/>
      <c r="P9" s="64"/>
      <c r="Q9" s="64"/>
      <c r="S9" s="78" t="s">
        <v>479</v>
      </c>
    </row>
    <row r="10" spans="1:21">
      <c r="A10" s="66" t="s">
        <v>444</v>
      </c>
      <c r="B10" s="63">
        <f t="shared" si="0"/>
        <v>150</v>
      </c>
      <c r="C10" s="64">
        <v>108.9</v>
      </c>
      <c r="D10" s="64">
        <v>8.4</v>
      </c>
      <c r="E10" s="64">
        <v>251.6</v>
      </c>
      <c r="F10" s="63">
        <f t="shared" si="1"/>
        <v>50</v>
      </c>
      <c r="G10" s="64">
        <v>7.6</v>
      </c>
      <c r="H10" s="64">
        <v>18.8</v>
      </c>
      <c r="K10" s="377"/>
      <c r="L10" s="66" t="s">
        <v>444</v>
      </c>
      <c r="M10" s="64"/>
      <c r="N10" s="64"/>
      <c r="O10" s="64"/>
      <c r="P10" s="64"/>
      <c r="Q10" s="64"/>
      <c r="S10" s="376" t="s">
        <v>480</v>
      </c>
      <c r="T10" s="376"/>
      <c r="U10" s="376"/>
    </row>
    <row r="11" spans="1:21">
      <c r="A11" s="66" t="s">
        <v>446</v>
      </c>
      <c r="B11" s="63">
        <f t="shared" si="0"/>
        <v>150</v>
      </c>
      <c r="C11" s="64">
        <v>96.1</v>
      </c>
      <c r="D11" s="64">
        <v>5.7</v>
      </c>
      <c r="E11" s="64">
        <v>237.6</v>
      </c>
      <c r="F11" s="63">
        <f t="shared" si="1"/>
        <v>50</v>
      </c>
      <c r="G11" s="64">
        <v>5.6</v>
      </c>
      <c r="H11" s="64">
        <v>11</v>
      </c>
      <c r="K11" s="377"/>
      <c r="L11" s="66" t="s">
        <v>446</v>
      </c>
      <c r="M11" s="64"/>
      <c r="N11" s="64"/>
      <c r="O11" s="64"/>
      <c r="P11" s="64"/>
      <c r="Q11" s="64"/>
      <c r="S11" s="376"/>
      <c r="T11" s="376"/>
      <c r="U11" s="376"/>
    </row>
    <row r="12" spans="1:21">
      <c r="A12" s="66" t="s">
        <v>447</v>
      </c>
      <c r="B12" s="63">
        <f t="shared" si="0"/>
        <v>150</v>
      </c>
      <c r="C12" s="64">
        <v>126.8</v>
      </c>
      <c r="D12" s="64">
        <v>9.3000000000000007</v>
      </c>
      <c r="E12" s="64">
        <v>230.7</v>
      </c>
      <c r="F12" s="63">
        <f t="shared" si="1"/>
        <v>50</v>
      </c>
      <c r="G12" s="64">
        <v>9.5</v>
      </c>
      <c r="H12" s="64">
        <v>19.8</v>
      </c>
      <c r="K12" s="377"/>
      <c r="L12" s="66" t="s">
        <v>447</v>
      </c>
      <c r="M12" s="64"/>
      <c r="N12" s="64"/>
      <c r="O12" s="64"/>
      <c r="P12" s="64"/>
      <c r="Q12" s="64"/>
      <c r="S12" s="376"/>
      <c r="T12" s="376"/>
      <c r="U12" s="376"/>
    </row>
    <row r="13" spans="1:21">
      <c r="A13" s="66" t="s">
        <v>448</v>
      </c>
      <c r="B13" s="63">
        <f t="shared" si="0"/>
        <v>150</v>
      </c>
      <c r="C13" s="64">
        <v>137.19999999999999</v>
      </c>
      <c r="D13" s="64">
        <v>13.2</v>
      </c>
      <c r="E13" s="64">
        <v>249.1</v>
      </c>
      <c r="F13" s="63">
        <f t="shared" si="1"/>
        <v>50</v>
      </c>
      <c r="G13" s="64">
        <v>13.3</v>
      </c>
      <c r="H13" s="64">
        <v>28</v>
      </c>
      <c r="K13" s="377"/>
      <c r="L13" s="66" t="s">
        <v>448</v>
      </c>
      <c r="M13" s="64"/>
      <c r="N13" s="64"/>
      <c r="O13" s="64"/>
      <c r="P13" s="64"/>
      <c r="Q13" s="64"/>
      <c r="S13" s="376" t="s">
        <v>481</v>
      </c>
      <c r="T13" s="376"/>
      <c r="U13" s="376"/>
    </row>
    <row r="14" spans="1:21">
      <c r="A14" s="66" t="s">
        <v>450</v>
      </c>
      <c r="B14" s="63">
        <f t="shared" si="0"/>
        <v>150</v>
      </c>
      <c r="C14" s="64">
        <v>133</v>
      </c>
      <c r="D14" s="64">
        <v>9.3000000000000007</v>
      </c>
      <c r="E14" s="64">
        <v>417.2</v>
      </c>
      <c r="F14" s="63">
        <f t="shared" si="1"/>
        <v>50</v>
      </c>
      <c r="G14" s="64">
        <v>9.3000000000000007</v>
      </c>
      <c r="H14" s="64">
        <v>23</v>
      </c>
      <c r="K14" s="377"/>
      <c r="L14" s="66" t="s">
        <v>450</v>
      </c>
      <c r="M14" s="64"/>
      <c r="N14" s="64"/>
      <c r="O14" s="64"/>
      <c r="P14" s="64"/>
      <c r="Q14" s="64"/>
      <c r="S14" s="376"/>
      <c r="T14" s="376"/>
      <c r="U14" s="376"/>
    </row>
    <row r="15" spans="1:21">
      <c r="A15" s="66" t="s">
        <v>451</v>
      </c>
      <c r="B15" s="63">
        <f t="shared" si="0"/>
        <v>150</v>
      </c>
      <c r="C15" s="64">
        <v>136.1</v>
      </c>
      <c r="D15" s="64">
        <v>12.7</v>
      </c>
      <c r="E15" s="64">
        <v>308.3</v>
      </c>
      <c r="F15" s="63">
        <f t="shared" si="1"/>
        <v>50</v>
      </c>
      <c r="G15" s="64">
        <v>12.3</v>
      </c>
      <c r="H15" s="64">
        <v>30.3</v>
      </c>
      <c r="K15" s="377"/>
      <c r="L15" s="66" t="s">
        <v>451</v>
      </c>
      <c r="M15" s="64"/>
      <c r="N15" s="64"/>
      <c r="O15" s="64"/>
      <c r="P15" s="64"/>
      <c r="Q15" s="64"/>
      <c r="S15" s="376"/>
      <c r="T15" s="376"/>
      <c r="U15" s="376"/>
    </row>
    <row r="16" spans="1:21">
      <c r="A16" s="66" t="s">
        <v>452</v>
      </c>
      <c r="B16" s="63">
        <f t="shared" si="0"/>
        <v>150</v>
      </c>
      <c r="C16" s="64">
        <v>146.80000000000001</v>
      </c>
      <c r="D16" s="64">
        <v>18.100000000000001</v>
      </c>
      <c r="E16" s="64">
        <v>399.8</v>
      </c>
      <c r="F16" s="63">
        <f t="shared" si="1"/>
        <v>50</v>
      </c>
      <c r="G16" s="64">
        <v>17.899999999999999</v>
      </c>
      <c r="H16" s="64">
        <v>34.5</v>
      </c>
      <c r="K16" s="377"/>
      <c r="L16" s="66" t="s">
        <v>452</v>
      </c>
      <c r="M16" s="64"/>
      <c r="N16" s="64"/>
      <c r="O16" s="64"/>
      <c r="P16" s="64"/>
      <c r="Q16" s="64"/>
      <c r="S16" s="376"/>
      <c r="T16" s="376"/>
      <c r="U16" s="376"/>
    </row>
    <row r="17" spans="1:17">
      <c r="A17" s="66" t="s">
        <v>453</v>
      </c>
      <c r="B17" s="63">
        <f t="shared" si="0"/>
        <v>150</v>
      </c>
      <c r="C17" s="64">
        <v>158.6</v>
      </c>
      <c r="D17" s="64">
        <v>16.399999999999999</v>
      </c>
      <c r="E17" s="64">
        <v>349</v>
      </c>
      <c r="F17" s="63">
        <f t="shared" si="1"/>
        <v>50</v>
      </c>
      <c r="G17" s="64">
        <v>16.7</v>
      </c>
      <c r="H17" s="64">
        <v>28.5</v>
      </c>
      <c r="K17" s="377"/>
      <c r="L17" s="66" t="s">
        <v>453</v>
      </c>
      <c r="M17" s="64"/>
      <c r="N17" s="64"/>
      <c r="O17" s="64"/>
      <c r="P17" s="64"/>
      <c r="Q17" s="64"/>
    </row>
    <row r="18" spans="1:17">
      <c r="A18" s="66" t="s">
        <v>454</v>
      </c>
      <c r="B18" s="63">
        <f t="shared" si="0"/>
        <v>150</v>
      </c>
      <c r="C18" s="64">
        <v>147.69999999999999</v>
      </c>
      <c r="D18" s="64">
        <v>11.5</v>
      </c>
      <c r="E18" s="64">
        <v>293</v>
      </c>
      <c r="F18" s="63">
        <f t="shared" si="1"/>
        <v>50</v>
      </c>
      <c r="G18" s="64">
        <v>11.7</v>
      </c>
      <c r="H18" s="64">
        <v>28.8</v>
      </c>
      <c r="K18" s="377"/>
      <c r="L18" s="66" t="s">
        <v>454</v>
      </c>
      <c r="M18" s="64"/>
      <c r="N18" s="64"/>
      <c r="O18" s="64"/>
      <c r="P18" s="64"/>
      <c r="Q18" s="64"/>
    </row>
    <row r="19" spans="1:17">
      <c r="K19" s="377"/>
      <c r="L19" s="62" t="s">
        <v>455</v>
      </c>
      <c r="M19" s="62" t="e">
        <f>AVERAGE(M7:M18)</f>
        <v>#DIV/0!</v>
      </c>
      <c r="N19" s="62"/>
      <c r="O19" s="62">
        <f>MAX(O7:O18)</f>
        <v>0</v>
      </c>
      <c r="P19" s="62" t="e">
        <f>AVERAGE(P7:P18)</f>
        <v>#DIV/0!</v>
      </c>
      <c r="Q19" s="62">
        <f>MAX(Q7:Q18)</f>
        <v>0</v>
      </c>
    </row>
    <row r="21" spans="1:17" ht="30">
      <c r="K21" s="61">
        <f>+A6</f>
        <v>2022</v>
      </c>
      <c r="L21" s="61" t="s">
        <v>437</v>
      </c>
      <c r="M21" s="55" t="s">
        <v>476</v>
      </c>
      <c r="N21" s="55" t="s">
        <v>477</v>
      </c>
      <c r="O21" s="55" t="s">
        <v>478</v>
      </c>
      <c r="P21" s="67" t="s">
        <v>435</v>
      </c>
      <c r="Q21" s="67" t="s">
        <v>439</v>
      </c>
    </row>
    <row r="22" spans="1:17">
      <c r="K22" s="377" t="s">
        <v>193</v>
      </c>
      <c r="L22" s="66" t="s">
        <v>440</v>
      </c>
      <c r="M22" s="64"/>
      <c r="N22" s="64"/>
      <c r="O22" s="64"/>
      <c r="P22" s="64"/>
      <c r="Q22" s="64"/>
    </row>
    <row r="23" spans="1:17">
      <c r="K23" s="377"/>
      <c r="L23" s="66" t="s">
        <v>441</v>
      </c>
      <c r="M23" s="64"/>
      <c r="N23" s="64"/>
      <c r="O23" s="64"/>
      <c r="P23" s="64"/>
      <c r="Q23" s="64"/>
    </row>
    <row r="24" spans="1:17">
      <c r="K24" s="377"/>
      <c r="L24" s="66" t="s">
        <v>442</v>
      </c>
      <c r="M24" s="64"/>
      <c r="N24" s="64"/>
      <c r="O24" s="64"/>
      <c r="P24" s="64"/>
      <c r="Q24" s="64"/>
    </row>
    <row r="25" spans="1:17">
      <c r="K25" s="377"/>
      <c r="L25" s="66" t="s">
        <v>444</v>
      </c>
      <c r="M25" s="64"/>
      <c r="N25" s="64"/>
      <c r="O25" s="64"/>
      <c r="P25" s="64"/>
      <c r="Q25" s="64"/>
    </row>
    <row r="26" spans="1:17">
      <c r="K26" s="377"/>
      <c r="L26" s="66" t="s">
        <v>446</v>
      </c>
      <c r="M26" s="64"/>
      <c r="N26" s="64"/>
      <c r="O26" s="64"/>
      <c r="P26" s="64"/>
      <c r="Q26" s="64"/>
    </row>
    <row r="27" spans="1:17">
      <c r="K27" s="377"/>
      <c r="L27" s="66" t="s">
        <v>447</v>
      </c>
      <c r="M27" s="64"/>
      <c r="N27" s="64"/>
      <c r="O27" s="64"/>
      <c r="P27" s="64"/>
      <c r="Q27" s="64"/>
    </row>
    <row r="28" spans="1:17">
      <c r="K28" s="377"/>
      <c r="L28" s="66" t="s">
        <v>448</v>
      </c>
      <c r="M28" s="64"/>
      <c r="N28" s="64"/>
      <c r="O28" s="64"/>
      <c r="P28" s="64"/>
      <c r="Q28" s="64"/>
    </row>
    <row r="29" spans="1:17">
      <c r="K29" s="377"/>
      <c r="L29" s="66" t="s">
        <v>450</v>
      </c>
      <c r="M29" s="64"/>
      <c r="N29" s="64"/>
      <c r="O29" s="64"/>
      <c r="P29" s="64"/>
      <c r="Q29" s="64"/>
    </row>
    <row r="30" spans="1:17">
      <c r="K30" s="377"/>
      <c r="L30" s="66" t="s">
        <v>451</v>
      </c>
      <c r="M30" s="64"/>
      <c r="N30" s="64"/>
      <c r="O30" s="64"/>
      <c r="P30" s="64"/>
      <c r="Q30" s="64"/>
    </row>
    <row r="31" spans="1:17">
      <c r="K31" s="377"/>
      <c r="L31" s="66" t="s">
        <v>452</v>
      </c>
      <c r="M31" s="64"/>
      <c r="N31" s="64"/>
      <c r="O31" s="64"/>
      <c r="P31" s="64"/>
      <c r="Q31" s="64"/>
    </row>
    <row r="32" spans="1:17">
      <c r="K32" s="377"/>
      <c r="L32" s="66" t="s">
        <v>453</v>
      </c>
      <c r="M32" s="64"/>
      <c r="N32" s="64"/>
      <c r="O32" s="64"/>
      <c r="P32" s="64"/>
      <c r="Q32" s="64"/>
    </row>
    <row r="33" spans="1:17">
      <c r="K33" s="377"/>
      <c r="L33" s="66" t="s">
        <v>454</v>
      </c>
      <c r="M33" s="64"/>
      <c r="N33" s="64"/>
      <c r="O33" s="64"/>
      <c r="P33" s="64"/>
      <c r="Q33" s="64"/>
    </row>
    <row r="34" spans="1:17">
      <c r="K34" s="377"/>
      <c r="L34" s="62" t="s">
        <v>455</v>
      </c>
      <c r="M34" s="62" t="e">
        <f>AVERAGE(M22:M33)</f>
        <v>#DIV/0!</v>
      </c>
      <c r="N34" s="62"/>
      <c r="O34" s="62">
        <f>MAX(O22:O33)</f>
        <v>0</v>
      </c>
      <c r="P34" s="62" t="e">
        <f>AVERAGE(P22:P33)</f>
        <v>#DIV/0!</v>
      </c>
      <c r="Q34" s="62">
        <f>MAX(Q22:Q33)</f>
        <v>0</v>
      </c>
    </row>
    <row r="36" spans="1:17" ht="30">
      <c r="K36" s="61">
        <f>+A6</f>
        <v>2022</v>
      </c>
      <c r="L36" s="61" t="s">
        <v>437</v>
      </c>
      <c r="M36" s="55" t="s">
        <v>476</v>
      </c>
      <c r="N36" s="55" t="s">
        <v>477</v>
      </c>
      <c r="O36" s="55" t="s">
        <v>478</v>
      </c>
      <c r="P36" s="67" t="s">
        <v>435</v>
      </c>
      <c r="Q36" s="67" t="s">
        <v>439</v>
      </c>
    </row>
    <row r="37" spans="1:17">
      <c r="K37" s="377" t="s">
        <v>194</v>
      </c>
      <c r="L37" s="66" t="s">
        <v>440</v>
      </c>
      <c r="M37" s="64"/>
      <c r="N37" s="64"/>
      <c r="O37" s="64"/>
      <c r="P37" s="64"/>
      <c r="Q37" s="64"/>
    </row>
    <row r="38" spans="1:17">
      <c r="K38" s="377"/>
      <c r="L38" s="66" t="s">
        <v>441</v>
      </c>
      <c r="M38" s="64"/>
      <c r="N38" s="64"/>
      <c r="O38" s="64"/>
      <c r="P38" s="64"/>
      <c r="Q38" s="64"/>
    </row>
    <row r="39" spans="1:17">
      <c r="K39" s="377"/>
      <c r="L39" s="66" t="s">
        <v>442</v>
      </c>
      <c r="M39" s="64"/>
      <c r="N39" s="64"/>
      <c r="O39" s="64"/>
      <c r="P39" s="64"/>
      <c r="Q39" s="64"/>
    </row>
    <row r="40" spans="1:17">
      <c r="K40" s="377"/>
      <c r="L40" s="66" t="s">
        <v>444</v>
      </c>
      <c r="M40" s="64"/>
      <c r="N40" s="64"/>
      <c r="O40" s="64"/>
      <c r="P40" s="64"/>
      <c r="Q40" s="64"/>
    </row>
    <row r="41" spans="1:17">
      <c r="K41" s="377"/>
      <c r="L41" s="66" t="s">
        <v>446</v>
      </c>
      <c r="M41" s="64"/>
      <c r="N41" s="64"/>
      <c r="O41" s="64"/>
      <c r="P41" s="64"/>
      <c r="Q41" s="64"/>
    </row>
    <row r="42" spans="1:17">
      <c r="K42" s="377"/>
      <c r="L42" s="66" t="s">
        <v>447</v>
      </c>
      <c r="M42" s="64"/>
      <c r="N42" s="64"/>
      <c r="O42" s="64"/>
      <c r="P42" s="64"/>
      <c r="Q42" s="64"/>
    </row>
    <row r="43" spans="1:17">
      <c r="K43" s="377"/>
      <c r="L43" s="66" t="s">
        <v>448</v>
      </c>
      <c r="M43" s="64"/>
      <c r="N43" s="64"/>
      <c r="O43" s="64"/>
      <c r="P43" s="64"/>
      <c r="Q43" s="64"/>
    </row>
    <row r="44" spans="1:17">
      <c r="K44" s="377"/>
      <c r="L44" s="66" t="s">
        <v>450</v>
      </c>
      <c r="M44" s="64"/>
      <c r="N44" s="64"/>
      <c r="O44" s="64"/>
      <c r="P44" s="64"/>
      <c r="Q44" s="64"/>
    </row>
    <row r="45" spans="1:17">
      <c r="K45" s="377"/>
      <c r="L45" s="66" t="s">
        <v>451</v>
      </c>
      <c r="M45" s="64"/>
      <c r="N45" s="64"/>
      <c r="O45" s="64"/>
      <c r="P45" s="64"/>
      <c r="Q45" s="64"/>
    </row>
    <row r="46" spans="1:17">
      <c r="K46" s="377"/>
      <c r="L46" s="66" t="s">
        <v>452</v>
      </c>
      <c r="M46" s="64"/>
      <c r="N46" s="64"/>
      <c r="O46" s="64"/>
      <c r="P46" s="64"/>
      <c r="Q46" s="64"/>
    </row>
    <row r="47" spans="1:17">
      <c r="K47" s="377"/>
      <c r="L47" s="66" t="s">
        <v>453</v>
      </c>
      <c r="M47" s="64"/>
      <c r="N47" s="64"/>
      <c r="O47" s="64"/>
      <c r="P47" s="64"/>
      <c r="Q47" s="64"/>
    </row>
    <row r="48" spans="1:17" ht="15">
      <c r="A48" s="389" t="s">
        <v>275</v>
      </c>
      <c r="B48" s="390"/>
      <c r="C48" s="390"/>
      <c r="D48" s="390"/>
      <c r="E48" s="390"/>
      <c r="F48" s="390"/>
      <c r="G48" s="390"/>
      <c r="H48" s="391"/>
      <c r="K48" s="377"/>
      <c r="L48" s="66" t="s">
        <v>454</v>
      </c>
      <c r="M48" s="64"/>
      <c r="N48" s="64"/>
      <c r="O48" s="64"/>
      <c r="P48" s="64"/>
      <c r="Q48" s="64"/>
    </row>
    <row r="49" spans="1:17">
      <c r="A49" s="392" t="s">
        <v>482</v>
      </c>
      <c r="B49" s="393"/>
      <c r="C49" s="393"/>
      <c r="D49" s="393"/>
      <c r="E49" s="393"/>
      <c r="F49" s="393"/>
      <c r="G49" s="393"/>
      <c r="H49" s="394"/>
      <c r="K49" s="377"/>
      <c r="L49" s="62" t="s">
        <v>455</v>
      </c>
      <c r="M49" s="62" t="e">
        <f>AVERAGE(M37:M48)</f>
        <v>#DIV/0!</v>
      </c>
      <c r="N49" s="62"/>
      <c r="O49" s="62">
        <f>MAX(O37:O48)</f>
        <v>0</v>
      </c>
      <c r="P49" s="62" t="e">
        <f>AVERAGE(P37:P48)</f>
        <v>#DIV/0!</v>
      </c>
      <c r="Q49" s="62">
        <f>MAX(Q37:Q48)</f>
        <v>0</v>
      </c>
    </row>
    <row r="50" spans="1:17">
      <c r="A50" s="395"/>
      <c r="B50" s="396"/>
      <c r="C50" s="396"/>
      <c r="D50" s="396"/>
      <c r="E50" s="396"/>
      <c r="F50" s="396"/>
      <c r="G50" s="396"/>
      <c r="H50" s="397"/>
    </row>
    <row r="51" spans="1:17" ht="30">
      <c r="A51" s="395"/>
      <c r="B51" s="396"/>
      <c r="C51" s="396"/>
      <c r="D51" s="396"/>
      <c r="E51" s="396"/>
      <c r="F51" s="396"/>
      <c r="G51" s="396"/>
      <c r="H51" s="397"/>
      <c r="K51" s="61">
        <f>+A6</f>
        <v>2022</v>
      </c>
      <c r="L51" s="61" t="s">
        <v>437</v>
      </c>
      <c r="M51" s="55" t="s">
        <v>476</v>
      </c>
      <c r="N51" s="55" t="s">
        <v>477</v>
      </c>
      <c r="O51" s="55" t="s">
        <v>478</v>
      </c>
      <c r="P51" s="67" t="s">
        <v>435</v>
      </c>
      <c r="Q51" s="67" t="s">
        <v>439</v>
      </c>
    </row>
    <row r="52" spans="1:17">
      <c r="A52" s="398"/>
      <c r="B52" s="399"/>
      <c r="C52" s="399"/>
      <c r="D52" s="399"/>
      <c r="E52" s="399"/>
      <c r="F52" s="399"/>
      <c r="G52" s="399"/>
      <c r="H52" s="400"/>
      <c r="K52" s="377" t="s">
        <v>195</v>
      </c>
      <c r="L52" s="66" t="s">
        <v>440</v>
      </c>
      <c r="M52" s="64"/>
      <c r="N52" s="64"/>
      <c r="O52" s="64"/>
      <c r="P52" s="64"/>
      <c r="Q52" s="64"/>
    </row>
    <row r="53" spans="1:17">
      <c r="K53" s="377"/>
      <c r="L53" s="66" t="s">
        <v>441</v>
      </c>
      <c r="M53" s="64"/>
      <c r="N53" s="64"/>
      <c r="O53" s="64"/>
      <c r="P53" s="64"/>
      <c r="Q53" s="64"/>
    </row>
    <row r="54" spans="1:17">
      <c r="K54" s="377"/>
      <c r="L54" s="66" t="s">
        <v>442</v>
      </c>
      <c r="M54" s="64"/>
      <c r="N54" s="64"/>
      <c r="O54" s="64"/>
      <c r="P54" s="64"/>
      <c r="Q54" s="64"/>
    </row>
    <row r="55" spans="1:17">
      <c r="K55" s="377"/>
      <c r="L55" s="66" t="s">
        <v>444</v>
      </c>
      <c r="M55" s="64"/>
      <c r="N55" s="64"/>
      <c r="O55" s="64"/>
      <c r="P55" s="64"/>
      <c r="Q55" s="64"/>
    </row>
    <row r="56" spans="1:17">
      <c r="K56" s="377"/>
      <c r="L56" s="66" t="s">
        <v>446</v>
      </c>
      <c r="M56" s="64"/>
      <c r="N56" s="64"/>
      <c r="O56" s="64"/>
      <c r="P56" s="64"/>
      <c r="Q56" s="64"/>
    </row>
    <row r="57" spans="1:17">
      <c r="K57" s="377"/>
      <c r="L57" s="66" t="s">
        <v>447</v>
      </c>
      <c r="M57" s="64"/>
      <c r="N57" s="64"/>
      <c r="O57" s="64"/>
      <c r="P57" s="64"/>
      <c r="Q57" s="64"/>
    </row>
    <row r="58" spans="1:17">
      <c r="K58" s="377"/>
      <c r="L58" s="66" t="s">
        <v>448</v>
      </c>
      <c r="M58" s="64"/>
      <c r="N58" s="64"/>
      <c r="O58" s="64"/>
      <c r="P58" s="64"/>
      <c r="Q58" s="64"/>
    </row>
    <row r="59" spans="1:17">
      <c r="K59" s="377"/>
      <c r="L59" s="66" t="s">
        <v>450</v>
      </c>
      <c r="M59" s="64"/>
      <c r="N59" s="64"/>
      <c r="O59" s="64"/>
      <c r="P59" s="64"/>
      <c r="Q59" s="64"/>
    </row>
    <row r="60" spans="1:17">
      <c r="K60" s="377"/>
      <c r="L60" s="66" t="s">
        <v>451</v>
      </c>
      <c r="M60" s="64"/>
      <c r="N60" s="64"/>
      <c r="O60" s="64"/>
      <c r="P60" s="64"/>
      <c r="Q60" s="64"/>
    </row>
    <row r="61" spans="1:17">
      <c r="K61" s="377"/>
      <c r="L61" s="66" t="s">
        <v>452</v>
      </c>
      <c r="M61" s="64"/>
      <c r="N61" s="64"/>
      <c r="O61" s="64"/>
      <c r="P61" s="64"/>
      <c r="Q61" s="64"/>
    </row>
    <row r="62" spans="1:17">
      <c r="K62" s="377"/>
      <c r="L62" s="66" t="s">
        <v>453</v>
      </c>
      <c r="M62" s="64"/>
      <c r="N62" s="64"/>
      <c r="O62" s="64"/>
      <c r="P62" s="64"/>
      <c r="Q62" s="64"/>
    </row>
    <row r="63" spans="1:17">
      <c r="K63" s="377"/>
      <c r="L63" s="66" t="s">
        <v>454</v>
      </c>
      <c r="M63" s="64"/>
      <c r="N63" s="64"/>
      <c r="O63" s="64"/>
      <c r="P63" s="64"/>
      <c r="Q63" s="64"/>
    </row>
    <row r="64" spans="1:17">
      <c r="K64" s="377"/>
      <c r="L64" s="62" t="s">
        <v>455</v>
      </c>
      <c r="M64" s="62" t="e">
        <f>AVERAGE(M52:M63)</f>
        <v>#DIV/0!</v>
      </c>
      <c r="N64" s="62"/>
      <c r="O64" s="62">
        <f>MAX(O52:O63)</f>
        <v>0</v>
      </c>
      <c r="P64" s="62" t="e">
        <f>AVERAGE(P52:P63)</f>
        <v>#DIV/0!</v>
      </c>
      <c r="Q64" s="62">
        <f>MAX(Q52:Q63)</f>
        <v>0</v>
      </c>
    </row>
    <row r="66" spans="11:17" ht="30">
      <c r="K66" s="61">
        <f>+A6</f>
        <v>2022</v>
      </c>
      <c r="L66" s="61" t="s">
        <v>437</v>
      </c>
      <c r="M66" s="55" t="s">
        <v>476</v>
      </c>
      <c r="N66" s="55" t="s">
        <v>477</v>
      </c>
      <c r="O66" s="55" t="s">
        <v>478</v>
      </c>
      <c r="P66" s="67" t="s">
        <v>435</v>
      </c>
      <c r="Q66" s="67" t="s">
        <v>439</v>
      </c>
    </row>
    <row r="67" spans="11:17">
      <c r="K67" s="377" t="s">
        <v>196</v>
      </c>
      <c r="L67" s="66" t="s">
        <v>440</v>
      </c>
      <c r="M67" s="64"/>
      <c r="N67" s="64"/>
      <c r="O67" s="64"/>
      <c r="P67" s="64"/>
      <c r="Q67" s="64"/>
    </row>
    <row r="68" spans="11:17">
      <c r="K68" s="377"/>
      <c r="L68" s="66" t="s">
        <v>441</v>
      </c>
      <c r="M68" s="64"/>
      <c r="N68" s="64"/>
      <c r="O68" s="64"/>
      <c r="P68" s="64"/>
      <c r="Q68" s="64"/>
    </row>
    <row r="69" spans="11:17">
      <c r="K69" s="377"/>
      <c r="L69" s="66" t="s">
        <v>442</v>
      </c>
      <c r="M69" s="64"/>
      <c r="N69" s="64"/>
      <c r="O69" s="64"/>
      <c r="P69" s="64"/>
      <c r="Q69" s="64"/>
    </row>
    <row r="70" spans="11:17">
      <c r="K70" s="377"/>
      <c r="L70" s="66" t="s">
        <v>444</v>
      </c>
      <c r="M70" s="64"/>
      <c r="N70" s="64"/>
      <c r="O70" s="64"/>
      <c r="P70" s="64"/>
      <c r="Q70" s="64"/>
    </row>
    <row r="71" spans="11:17">
      <c r="K71" s="377"/>
      <c r="L71" s="66" t="s">
        <v>446</v>
      </c>
      <c r="M71" s="64"/>
      <c r="N71" s="64"/>
      <c r="O71" s="64"/>
      <c r="P71" s="64"/>
      <c r="Q71" s="64"/>
    </row>
    <row r="72" spans="11:17">
      <c r="K72" s="377"/>
      <c r="L72" s="66" t="s">
        <v>447</v>
      </c>
      <c r="M72" s="64"/>
      <c r="N72" s="64"/>
      <c r="O72" s="64"/>
      <c r="P72" s="64"/>
      <c r="Q72" s="64"/>
    </row>
    <row r="73" spans="11:17">
      <c r="K73" s="377"/>
      <c r="L73" s="66" t="s">
        <v>448</v>
      </c>
      <c r="M73" s="64"/>
      <c r="N73" s="64"/>
      <c r="O73" s="64"/>
      <c r="P73" s="64"/>
      <c r="Q73" s="64"/>
    </row>
    <row r="74" spans="11:17">
      <c r="K74" s="377"/>
      <c r="L74" s="66" t="s">
        <v>450</v>
      </c>
      <c r="M74" s="64"/>
      <c r="N74" s="64"/>
      <c r="O74" s="64"/>
      <c r="P74" s="64"/>
      <c r="Q74" s="64"/>
    </row>
    <row r="75" spans="11:17">
      <c r="K75" s="377"/>
      <c r="L75" s="66" t="s">
        <v>451</v>
      </c>
      <c r="M75" s="64"/>
      <c r="N75" s="64"/>
      <c r="O75" s="64"/>
      <c r="P75" s="64"/>
      <c r="Q75" s="64"/>
    </row>
    <row r="76" spans="11:17">
      <c r="K76" s="377"/>
      <c r="L76" s="66" t="s">
        <v>452</v>
      </c>
      <c r="M76" s="64"/>
      <c r="N76" s="64"/>
      <c r="O76" s="64"/>
      <c r="P76" s="64"/>
      <c r="Q76" s="64"/>
    </row>
    <row r="77" spans="11:17">
      <c r="K77" s="377"/>
      <c r="L77" s="66" t="s">
        <v>453</v>
      </c>
      <c r="M77" s="64"/>
      <c r="N77" s="64"/>
      <c r="O77" s="64"/>
      <c r="P77" s="64"/>
      <c r="Q77" s="64"/>
    </row>
    <row r="78" spans="11:17">
      <c r="K78" s="377"/>
      <c r="L78" s="66" t="s">
        <v>454</v>
      </c>
      <c r="M78" s="64"/>
      <c r="N78" s="64"/>
      <c r="O78" s="64"/>
      <c r="P78" s="64"/>
      <c r="Q78" s="64"/>
    </row>
    <row r="79" spans="11:17">
      <c r="K79" s="377"/>
      <c r="L79" s="62" t="s">
        <v>455</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P20" sqref="P20"/>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Tradebe Fawley Limited</v>
      </c>
    </row>
    <row r="3" spans="1:19" ht="15">
      <c r="A3" s="60" t="s">
        <v>483</v>
      </c>
      <c r="D3" s="76" t="s">
        <v>424</v>
      </c>
      <c r="G3" s="80" t="s">
        <v>425</v>
      </c>
      <c r="J3" s="9" t="str">
        <f>+A3</f>
        <v xml:space="preserve">Monitoring of Ammnonia emissions </v>
      </c>
      <c r="L3" s="9"/>
      <c r="N3" s="9" t="s">
        <v>426</v>
      </c>
      <c r="Q3" s="79" t="s">
        <v>2</v>
      </c>
      <c r="R3" s="74"/>
      <c r="S3" s="74"/>
    </row>
    <row r="4" spans="1:19" ht="13.9" customHeight="1">
      <c r="Q4" s="368" t="s">
        <v>427</v>
      </c>
      <c r="R4" s="368"/>
      <c r="S4" s="368"/>
    </row>
    <row r="5" spans="1:19" ht="17.25">
      <c r="A5" s="68" t="s">
        <v>428</v>
      </c>
      <c r="B5" s="379" t="s">
        <v>429</v>
      </c>
      <c r="C5" s="379"/>
      <c r="D5" s="379"/>
      <c r="E5" s="379" t="s">
        <v>430</v>
      </c>
      <c r="F5" s="379"/>
      <c r="G5" s="379"/>
      <c r="J5" s="378"/>
      <c r="K5" s="378"/>
      <c r="L5" s="378"/>
      <c r="M5" s="378"/>
      <c r="N5" s="378"/>
      <c r="O5" s="378"/>
      <c r="Q5" s="368"/>
      <c r="R5" s="368"/>
      <c r="S5" s="368"/>
    </row>
    <row r="6" spans="1:19" s="58" customFormat="1" ht="37.5" customHeight="1">
      <c r="A6" s="65">
        <f>+'Cover Page'!C39</f>
        <v>2022</v>
      </c>
      <c r="B6" s="55" t="s">
        <v>484</v>
      </c>
      <c r="C6" s="55" t="s">
        <v>432</v>
      </c>
      <c r="D6" s="55" t="s">
        <v>433</v>
      </c>
      <c r="E6" s="55" t="s">
        <v>485</v>
      </c>
      <c r="F6" s="55" t="s">
        <v>435</v>
      </c>
      <c r="G6" s="55" t="s">
        <v>436</v>
      </c>
      <c r="H6" s="59"/>
      <c r="J6" s="61">
        <f>+A6</f>
        <v>2022</v>
      </c>
      <c r="K6" s="61" t="s">
        <v>437</v>
      </c>
      <c r="L6" s="67" t="s">
        <v>432</v>
      </c>
      <c r="M6" s="67" t="s">
        <v>438</v>
      </c>
      <c r="N6" s="67" t="s">
        <v>435</v>
      </c>
      <c r="O6" s="67" t="s">
        <v>439</v>
      </c>
      <c r="Q6" s="368"/>
      <c r="R6" s="368"/>
      <c r="S6" s="368"/>
    </row>
    <row r="7" spans="1:19">
      <c r="A7" s="66" t="s">
        <v>440</v>
      </c>
      <c r="B7" s="69">
        <v>0</v>
      </c>
      <c r="C7" s="64"/>
      <c r="D7" s="64"/>
      <c r="E7" s="69">
        <v>10</v>
      </c>
      <c r="F7" s="64"/>
      <c r="G7" s="64"/>
      <c r="J7" s="377" t="s">
        <v>192</v>
      </c>
      <c r="K7" s="66" t="s">
        <v>440</v>
      </c>
      <c r="L7" s="64"/>
      <c r="M7" s="64"/>
      <c r="N7" s="64"/>
      <c r="O7" s="64"/>
      <c r="Q7" s="368"/>
      <c r="R7" s="368"/>
      <c r="S7" s="368"/>
    </row>
    <row r="8" spans="1:19">
      <c r="A8" s="66" t="s">
        <v>441</v>
      </c>
      <c r="B8" s="63">
        <f>+B7</f>
        <v>0</v>
      </c>
      <c r="C8" s="64"/>
      <c r="D8" s="64"/>
      <c r="E8" s="63">
        <f>+E7</f>
        <v>10</v>
      </c>
      <c r="F8" s="64"/>
      <c r="G8" s="64"/>
      <c r="J8" s="377"/>
      <c r="K8" s="66" t="s">
        <v>441</v>
      </c>
      <c r="L8" s="64"/>
      <c r="M8" s="64"/>
      <c r="N8" s="64"/>
      <c r="O8" s="64"/>
      <c r="Q8" s="368"/>
      <c r="R8" s="368"/>
      <c r="S8" s="368"/>
    </row>
    <row r="9" spans="1:19" ht="15">
      <c r="A9" s="66" t="s">
        <v>442</v>
      </c>
      <c r="B9" s="63">
        <f t="shared" ref="B9:B18" si="0">+B8</f>
        <v>0</v>
      </c>
      <c r="C9" s="64"/>
      <c r="D9" s="64"/>
      <c r="E9" s="63">
        <f t="shared" ref="E9:E18" si="1">+E8</f>
        <v>10</v>
      </c>
      <c r="F9" s="64"/>
      <c r="G9" s="64"/>
      <c r="J9" s="377"/>
      <c r="K9" s="66" t="s">
        <v>442</v>
      </c>
      <c r="L9" s="64"/>
      <c r="M9" s="64"/>
      <c r="N9" s="64"/>
      <c r="O9" s="64"/>
      <c r="Q9" s="78" t="s">
        <v>443</v>
      </c>
    </row>
    <row r="10" spans="1:19" ht="14.25" customHeight="1">
      <c r="A10" s="66" t="s">
        <v>444</v>
      </c>
      <c r="B10" s="63">
        <f t="shared" si="0"/>
        <v>0</v>
      </c>
      <c r="C10" s="64"/>
      <c r="D10" s="64"/>
      <c r="E10" s="63">
        <f t="shared" si="1"/>
        <v>10</v>
      </c>
      <c r="F10" s="64"/>
      <c r="G10" s="64"/>
      <c r="J10" s="377"/>
      <c r="K10" s="66" t="s">
        <v>444</v>
      </c>
      <c r="L10" s="64"/>
      <c r="M10" s="64"/>
      <c r="N10" s="64"/>
      <c r="O10" s="64"/>
      <c r="Q10" s="376" t="s">
        <v>445</v>
      </c>
      <c r="R10" s="376"/>
      <c r="S10" s="376"/>
    </row>
    <row r="11" spans="1:19">
      <c r="A11" s="66" t="s">
        <v>446</v>
      </c>
      <c r="B11" s="63">
        <f t="shared" si="0"/>
        <v>0</v>
      </c>
      <c r="C11" s="64"/>
      <c r="D11" s="64"/>
      <c r="E11" s="63">
        <f t="shared" si="1"/>
        <v>10</v>
      </c>
      <c r="F11" s="64"/>
      <c r="G11" s="64"/>
      <c r="J11" s="377"/>
      <c r="K11" s="66" t="s">
        <v>446</v>
      </c>
      <c r="L11" s="64"/>
      <c r="M11" s="64"/>
      <c r="N11" s="64"/>
      <c r="O11" s="64"/>
      <c r="Q11" s="376"/>
      <c r="R11" s="376"/>
      <c r="S11" s="376"/>
    </row>
    <row r="12" spans="1:19">
      <c r="A12" s="66" t="s">
        <v>447</v>
      </c>
      <c r="B12" s="63">
        <f t="shared" si="0"/>
        <v>0</v>
      </c>
      <c r="C12" s="64"/>
      <c r="D12" s="64"/>
      <c r="E12" s="63">
        <f t="shared" si="1"/>
        <v>10</v>
      </c>
      <c r="F12" s="64"/>
      <c r="G12" s="64"/>
      <c r="J12" s="377"/>
      <c r="K12" s="66" t="s">
        <v>447</v>
      </c>
      <c r="L12" s="64"/>
      <c r="M12" s="64"/>
      <c r="N12" s="64"/>
      <c r="O12" s="64"/>
      <c r="Q12" s="376"/>
      <c r="R12" s="376"/>
      <c r="S12" s="376"/>
    </row>
    <row r="13" spans="1:19" ht="14.25" customHeight="1">
      <c r="A13" s="66" t="s">
        <v>448</v>
      </c>
      <c r="B13" s="63">
        <f t="shared" si="0"/>
        <v>0</v>
      </c>
      <c r="C13" s="64"/>
      <c r="D13" s="64"/>
      <c r="E13" s="63">
        <f t="shared" si="1"/>
        <v>10</v>
      </c>
      <c r="F13" s="64"/>
      <c r="G13" s="64"/>
      <c r="J13" s="377"/>
      <c r="K13" s="66" t="s">
        <v>448</v>
      </c>
      <c r="L13" s="64"/>
      <c r="M13" s="64"/>
      <c r="N13" s="64"/>
      <c r="O13" s="64"/>
      <c r="Q13" s="376" t="s">
        <v>449</v>
      </c>
      <c r="R13" s="376"/>
      <c r="S13" s="376"/>
    </row>
    <row r="14" spans="1:19">
      <c r="A14" s="66" t="s">
        <v>450</v>
      </c>
      <c r="B14" s="63">
        <f t="shared" si="0"/>
        <v>0</v>
      </c>
      <c r="C14" s="64"/>
      <c r="D14" s="64"/>
      <c r="E14" s="63">
        <f t="shared" si="1"/>
        <v>10</v>
      </c>
      <c r="F14" s="64"/>
      <c r="G14" s="64"/>
      <c r="J14" s="377"/>
      <c r="K14" s="66" t="s">
        <v>450</v>
      </c>
      <c r="L14" s="64"/>
      <c r="M14" s="64"/>
      <c r="N14" s="64"/>
      <c r="O14" s="64"/>
      <c r="Q14" s="376"/>
      <c r="R14" s="376"/>
      <c r="S14" s="376"/>
    </row>
    <row r="15" spans="1:19">
      <c r="A15" s="66" t="s">
        <v>451</v>
      </c>
      <c r="B15" s="63">
        <f t="shared" si="0"/>
        <v>0</v>
      </c>
      <c r="C15" s="64"/>
      <c r="D15" s="64"/>
      <c r="E15" s="63">
        <f t="shared" si="1"/>
        <v>10</v>
      </c>
      <c r="F15" s="64"/>
      <c r="G15" s="64"/>
      <c r="J15" s="377"/>
      <c r="K15" s="66" t="s">
        <v>451</v>
      </c>
      <c r="L15" s="64"/>
      <c r="M15" s="64"/>
      <c r="N15" s="64"/>
      <c r="O15" s="64"/>
      <c r="Q15" s="376"/>
      <c r="R15" s="376"/>
      <c r="S15" s="376"/>
    </row>
    <row r="16" spans="1:19">
      <c r="A16" s="66" t="s">
        <v>452</v>
      </c>
      <c r="B16" s="63">
        <f t="shared" si="0"/>
        <v>0</v>
      </c>
      <c r="C16" s="64"/>
      <c r="D16" s="64"/>
      <c r="E16" s="63">
        <f t="shared" si="1"/>
        <v>10</v>
      </c>
      <c r="F16" s="64"/>
      <c r="G16" s="64"/>
      <c r="J16" s="377"/>
      <c r="K16" s="66" t="s">
        <v>452</v>
      </c>
      <c r="L16" s="64"/>
      <c r="M16" s="64"/>
      <c r="N16" s="64"/>
      <c r="O16" s="64"/>
      <c r="Q16" s="376"/>
      <c r="R16" s="376"/>
      <c r="S16" s="376"/>
    </row>
    <row r="17" spans="1:15">
      <c r="A17" s="66" t="s">
        <v>453</v>
      </c>
      <c r="B17" s="63">
        <f t="shared" si="0"/>
        <v>0</v>
      </c>
      <c r="C17" s="64"/>
      <c r="D17" s="64"/>
      <c r="E17" s="63">
        <f t="shared" si="1"/>
        <v>10</v>
      </c>
      <c r="F17" s="64"/>
      <c r="G17" s="64"/>
      <c r="J17" s="377"/>
      <c r="K17" s="66" t="s">
        <v>453</v>
      </c>
      <c r="L17" s="64"/>
      <c r="M17" s="64"/>
      <c r="N17" s="64"/>
      <c r="O17" s="64"/>
    </row>
    <row r="18" spans="1:15">
      <c r="A18" s="66" t="s">
        <v>454</v>
      </c>
      <c r="B18" s="63">
        <f t="shared" si="0"/>
        <v>0</v>
      </c>
      <c r="C18" s="64"/>
      <c r="D18" s="64"/>
      <c r="E18" s="63">
        <f t="shared" si="1"/>
        <v>10</v>
      </c>
      <c r="F18" s="64"/>
      <c r="G18" s="64"/>
      <c r="J18" s="377"/>
      <c r="K18" s="66" t="s">
        <v>454</v>
      </c>
      <c r="L18" s="64"/>
      <c r="M18" s="64"/>
      <c r="N18" s="64"/>
      <c r="O18" s="64"/>
    </row>
    <row r="19" spans="1:15">
      <c r="J19" s="377"/>
      <c r="K19" s="62" t="s">
        <v>455</v>
      </c>
      <c r="L19" s="62" t="e">
        <f>AVERAGE(L7:L18)</f>
        <v>#DIV/0!</v>
      </c>
      <c r="M19" s="62">
        <f>MAX(M7:M18)</f>
        <v>0</v>
      </c>
      <c r="N19" s="62" t="e">
        <f>AVERAGE(N7:N18)</f>
        <v>#DIV/0!</v>
      </c>
      <c r="O19" s="62">
        <f>MAX(O7:O18)</f>
        <v>0</v>
      </c>
    </row>
    <row r="21" spans="1:15" ht="30">
      <c r="J21" s="61">
        <f>+A6</f>
        <v>2022</v>
      </c>
      <c r="K21" s="61" t="s">
        <v>437</v>
      </c>
      <c r="L21" s="67" t="s">
        <v>432</v>
      </c>
      <c r="M21" s="67" t="s">
        <v>438</v>
      </c>
      <c r="N21" s="67" t="s">
        <v>435</v>
      </c>
      <c r="O21" s="67" t="s">
        <v>439</v>
      </c>
    </row>
    <row r="22" spans="1:15">
      <c r="J22" s="377" t="s">
        <v>193</v>
      </c>
      <c r="K22" s="66" t="s">
        <v>440</v>
      </c>
      <c r="L22" s="64"/>
      <c r="M22" s="64"/>
      <c r="N22" s="64"/>
      <c r="O22" s="64"/>
    </row>
    <row r="23" spans="1:15">
      <c r="J23" s="377"/>
      <c r="K23" s="66" t="s">
        <v>441</v>
      </c>
      <c r="L23" s="64"/>
      <c r="M23" s="64"/>
      <c r="N23" s="64"/>
      <c r="O23" s="64"/>
    </row>
    <row r="24" spans="1:15">
      <c r="J24" s="377"/>
      <c r="K24" s="66" t="s">
        <v>442</v>
      </c>
      <c r="L24" s="64"/>
      <c r="M24" s="64"/>
      <c r="N24" s="64"/>
      <c r="O24" s="64"/>
    </row>
    <row r="25" spans="1:15">
      <c r="J25" s="377"/>
      <c r="K25" s="66" t="s">
        <v>444</v>
      </c>
      <c r="L25" s="64"/>
      <c r="M25" s="64"/>
      <c r="N25" s="64"/>
      <c r="O25" s="64"/>
    </row>
    <row r="26" spans="1:15">
      <c r="J26" s="377"/>
      <c r="K26" s="66" t="s">
        <v>446</v>
      </c>
      <c r="L26" s="64"/>
      <c r="M26" s="64"/>
      <c r="N26" s="64"/>
      <c r="O26" s="64"/>
    </row>
    <row r="27" spans="1:15">
      <c r="J27" s="377"/>
      <c r="K27" s="66" t="s">
        <v>447</v>
      </c>
      <c r="L27" s="64"/>
      <c r="M27" s="64"/>
      <c r="N27" s="64"/>
      <c r="O27" s="64"/>
    </row>
    <row r="28" spans="1:15">
      <c r="J28" s="377"/>
      <c r="K28" s="66" t="s">
        <v>448</v>
      </c>
      <c r="L28" s="64"/>
      <c r="M28" s="64"/>
      <c r="N28" s="64"/>
      <c r="O28" s="64"/>
    </row>
    <row r="29" spans="1:15">
      <c r="J29" s="377"/>
      <c r="K29" s="66" t="s">
        <v>450</v>
      </c>
      <c r="L29" s="64"/>
      <c r="M29" s="64"/>
      <c r="N29" s="64"/>
      <c r="O29" s="64"/>
    </row>
    <row r="30" spans="1:15">
      <c r="J30" s="377"/>
      <c r="K30" s="66" t="s">
        <v>451</v>
      </c>
      <c r="L30" s="64"/>
      <c r="M30" s="64"/>
      <c r="N30" s="64"/>
      <c r="O30" s="64"/>
    </row>
    <row r="31" spans="1:15">
      <c r="J31" s="377"/>
      <c r="K31" s="66" t="s">
        <v>452</v>
      </c>
      <c r="L31" s="64"/>
      <c r="M31" s="64"/>
      <c r="N31" s="64"/>
      <c r="O31" s="64"/>
    </row>
    <row r="32" spans="1:15">
      <c r="J32" s="377"/>
      <c r="K32" s="66" t="s">
        <v>453</v>
      </c>
      <c r="L32" s="64"/>
      <c r="M32" s="64"/>
      <c r="N32" s="64"/>
      <c r="O32" s="64"/>
    </row>
    <row r="33" spans="1:15">
      <c r="J33" s="377"/>
      <c r="K33" s="66" t="s">
        <v>454</v>
      </c>
      <c r="L33" s="64"/>
      <c r="M33" s="64"/>
      <c r="N33" s="64"/>
      <c r="O33" s="64"/>
    </row>
    <row r="34" spans="1:15">
      <c r="J34" s="377"/>
      <c r="K34" s="62" t="s">
        <v>455</v>
      </c>
      <c r="L34" s="62" t="e">
        <f>AVERAGE(L22:L33)</f>
        <v>#DIV/0!</v>
      </c>
      <c r="M34" s="62">
        <f>MAX(M22:M33)</f>
        <v>0</v>
      </c>
      <c r="N34" s="62" t="e">
        <f>AVERAGE(N22:N33)</f>
        <v>#DIV/0!</v>
      </c>
      <c r="O34" s="62">
        <f>MAX(O22:O33)</f>
        <v>0</v>
      </c>
    </row>
    <row r="36" spans="1:15" ht="30">
      <c r="J36" s="61">
        <f>+A6</f>
        <v>2022</v>
      </c>
      <c r="K36" s="61" t="s">
        <v>437</v>
      </c>
      <c r="L36" s="67" t="s">
        <v>432</v>
      </c>
      <c r="M36" s="67" t="s">
        <v>438</v>
      </c>
      <c r="N36" s="67" t="s">
        <v>435</v>
      </c>
      <c r="O36" s="67" t="s">
        <v>439</v>
      </c>
    </row>
    <row r="37" spans="1:15">
      <c r="J37" s="377" t="s">
        <v>194</v>
      </c>
      <c r="K37" s="66" t="s">
        <v>440</v>
      </c>
      <c r="L37" s="64"/>
      <c r="M37" s="64"/>
      <c r="N37" s="64"/>
      <c r="O37" s="64"/>
    </row>
    <row r="38" spans="1:15">
      <c r="J38" s="377"/>
      <c r="K38" s="66" t="s">
        <v>441</v>
      </c>
      <c r="L38" s="64"/>
      <c r="M38" s="64"/>
      <c r="N38" s="64"/>
      <c r="O38" s="64"/>
    </row>
    <row r="39" spans="1:15">
      <c r="J39" s="377"/>
      <c r="K39" s="66" t="s">
        <v>442</v>
      </c>
      <c r="L39" s="64"/>
      <c r="M39" s="64"/>
      <c r="N39" s="64"/>
      <c r="O39" s="64"/>
    </row>
    <row r="40" spans="1:15">
      <c r="J40" s="377"/>
      <c r="K40" s="66" t="s">
        <v>444</v>
      </c>
      <c r="L40" s="64"/>
      <c r="M40" s="64"/>
      <c r="N40" s="64"/>
      <c r="O40" s="64"/>
    </row>
    <row r="41" spans="1:15">
      <c r="J41" s="377"/>
      <c r="K41" s="66" t="s">
        <v>446</v>
      </c>
      <c r="L41" s="64"/>
      <c r="M41" s="64"/>
      <c r="N41" s="64"/>
      <c r="O41" s="64"/>
    </row>
    <row r="42" spans="1:15">
      <c r="J42" s="377"/>
      <c r="K42" s="66" t="s">
        <v>447</v>
      </c>
      <c r="L42" s="64"/>
      <c r="M42" s="64"/>
      <c r="N42" s="64"/>
      <c r="O42" s="64"/>
    </row>
    <row r="43" spans="1:15">
      <c r="J43" s="377"/>
      <c r="K43" s="66" t="s">
        <v>448</v>
      </c>
      <c r="L43" s="64"/>
      <c r="M43" s="64"/>
      <c r="N43" s="64"/>
      <c r="O43" s="64"/>
    </row>
    <row r="44" spans="1:15">
      <c r="J44" s="377"/>
      <c r="K44" s="66" t="s">
        <v>450</v>
      </c>
      <c r="L44" s="64"/>
      <c r="M44" s="64"/>
      <c r="N44" s="64"/>
      <c r="O44" s="64"/>
    </row>
    <row r="45" spans="1:15">
      <c r="J45" s="377"/>
      <c r="K45" s="66" t="s">
        <v>451</v>
      </c>
      <c r="L45" s="64"/>
      <c r="M45" s="64"/>
      <c r="N45" s="64"/>
      <c r="O45" s="64"/>
    </row>
    <row r="46" spans="1:15">
      <c r="J46" s="377"/>
      <c r="K46" s="66" t="s">
        <v>452</v>
      </c>
      <c r="L46" s="64"/>
      <c r="M46" s="64"/>
      <c r="N46" s="64"/>
      <c r="O46" s="64"/>
    </row>
    <row r="47" spans="1:15">
      <c r="J47" s="377"/>
      <c r="K47" s="66" t="s">
        <v>453</v>
      </c>
      <c r="L47" s="64"/>
      <c r="M47" s="64"/>
      <c r="N47" s="64"/>
      <c r="O47" s="64"/>
    </row>
    <row r="48" spans="1:15" ht="15">
      <c r="A48" s="389" t="s">
        <v>275</v>
      </c>
      <c r="B48" s="390"/>
      <c r="C48" s="390"/>
      <c r="D48" s="390"/>
      <c r="E48" s="390"/>
      <c r="F48" s="390"/>
      <c r="G48" s="391"/>
      <c r="J48" s="377"/>
      <c r="K48" s="66" t="s">
        <v>454</v>
      </c>
      <c r="L48" s="64"/>
      <c r="M48" s="64"/>
      <c r="N48" s="64"/>
      <c r="O48" s="64"/>
    </row>
    <row r="49" spans="1:15">
      <c r="A49" s="380" t="s">
        <v>486</v>
      </c>
      <c r="B49" s="381"/>
      <c r="C49" s="381"/>
      <c r="D49" s="381"/>
      <c r="E49" s="381"/>
      <c r="F49" s="381"/>
      <c r="G49" s="382"/>
      <c r="J49" s="377"/>
      <c r="K49" s="62" t="s">
        <v>455</v>
      </c>
      <c r="L49" s="62" t="e">
        <f>AVERAGE(L37:L48)</f>
        <v>#DIV/0!</v>
      </c>
      <c r="M49" s="62">
        <f>MAX(M37:M48)</f>
        <v>0</v>
      </c>
      <c r="N49" s="62" t="e">
        <f>AVERAGE(N37:N48)</f>
        <v>#DIV/0!</v>
      </c>
      <c r="O49" s="62">
        <f>MAX(O37:O48)</f>
        <v>0</v>
      </c>
    </row>
    <row r="50" spans="1:15">
      <c r="A50" s="383"/>
      <c r="B50" s="384"/>
      <c r="C50" s="384"/>
      <c r="D50" s="384"/>
      <c r="E50" s="384"/>
      <c r="F50" s="384"/>
      <c r="G50" s="385"/>
    </row>
    <row r="51" spans="1:15" ht="30">
      <c r="A51" s="383"/>
      <c r="B51" s="384"/>
      <c r="C51" s="384"/>
      <c r="D51" s="384"/>
      <c r="E51" s="384"/>
      <c r="F51" s="384"/>
      <c r="G51" s="385"/>
      <c r="J51" s="61">
        <f>+A6</f>
        <v>2022</v>
      </c>
      <c r="K51" s="61" t="s">
        <v>437</v>
      </c>
      <c r="L51" s="67" t="s">
        <v>432</v>
      </c>
      <c r="M51" s="67" t="s">
        <v>438</v>
      </c>
      <c r="N51" s="67" t="s">
        <v>435</v>
      </c>
      <c r="O51" s="67" t="s">
        <v>439</v>
      </c>
    </row>
    <row r="52" spans="1:15">
      <c r="A52" s="386"/>
      <c r="B52" s="387"/>
      <c r="C52" s="387"/>
      <c r="D52" s="387"/>
      <c r="E52" s="387"/>
      <c r="F52" s="387"/>
      <c r="G52" s="388"/>
      <c r="J52" s="377" t="s">
        <v>195</v>
      </c>
      <c r="K52" s="66" t="s">
        <v>440</v>
      </c>
      <c r="L52" s="64"/>
      <c r="M52" s="64"/>
      <c r="N52" s="64"/>
      <c r="O52" s="64"/>
    </row>
    <row r="53" spans="1:15">
      <c r="J53" s="377"/>
      <c r="K53" s="66" t="s">
        <v>441</v>
      </c>
      <c r="L53" s="64"/>
      <c r="M53" s="64"/>
      <c r="N53" s="64"/>
      <c r="O53" s="64"/>
    </row>
    <row r="54" spans="1:15">
      <c r="J54" s="377"/>
      <c r="K54" s="66" t="s">
        <v>442</v>
      </c>
      <c r="L54" s="64"/>
      <c r="M54" s="64"/>
      <c r="N54" s="64"/>
      <c r="O54" s="64"/>
    </row>
    <row r="55" spans="1:15">
      <c r="J55" s="377"/>
      <c r="K55" s="66" t="s">
        <v>444</v>
      </c>
      <c r="L55" s="64"/>
      <c r="M55" s="64"/>
      <c r="N55" s="64"/>
      <c r="O55" s="64"/>
    </row>
    <row r="56" spans="1:15">
      <c r="J56" s="377"/>
      <c r="K56" s="66" t="s">
        <v>446</v>
      </c>
      <c r="L56" s="64"/>
      <c r="M56" s="64"/>
      <c r="N56" s="64"/>
      <c r="O56" s="64"/>
    </row>
    <row r="57" spans="1:15">
      <c r="J57" s="377"/>
      <c r="K57" s="66" t="s">
        <v>447</v>
      </c>
      <c r="L57" s="64"/>
      <c r="M57" s="64"/>
      <c r="N57" s="64"/>
      <c r="O57" s="64"/>
    </row>
    <row r="58" spans="1:15">
      <c r="J58" s="377"/>
      <c r="K58" s="66" t="s">
        <v>448</v>
      </c>
      <c r="L58" s="64"/>
      <c r="M58" s="64"/>
      <c r="N58" s="64"/>
      <c r="O58" s="64"/>
    </row>
    <row r="59" spans="1:15">
      <c r="J59" s="377"/>
      <c r="K59" s="66" t="s">
        <v>450</v>
      </c>
      <c r="L59" s="64"/>
      <c r="M59" s="64"/>
      <c r="N59" s="64"/>
      <c r="O59" s="64"/>
    </row>
    <row r="60" spans="1:15">
      <c r="J60" s="377"/>
      <c r="K60" s="66" t="s">
        <v>451</v>
      </c>
      <c r="L60" s="64"/>
      <c r="M60" s="64"/>
      <c r="N60" s="64"/>
      <c r="O60" s="64"/>
    </row>
    <row r="61" spans="1:15">
      <c r="J61" s="377"/>
      <c r="K61" s="66" t="s">
        <v>452</v>
      </c>
      <c r="L61" s="64"/>
      <c r="M61" s="64"/>
      <c r="N61" s="64"/>
      <c r="O61" s="64"/>
    </row>
    <row r="62" spans="1:15">
      <c r="J62" s="377"/>
      <c r="K62" s="66" t="s">
        <v>453</v>
      </c>
      <c r="L62" s="64"/>
      <c r="M62" s="64"/>
      <c r="N62" s="64"/>
      <c r="O62" s="64"/>
    </row>
    <row r="63" spans="1:15">
      <c r="J63" s="377"/>
      <c r="K63" s="66" t="s">
        <v>454</v>
      </c>
      <c r="L63" s="64"/>
      <c r="M63" s="64"/>
      <c r="N63" s="64"/>
      <c r="O63" s="64"/>
    </row>
    <row r="64" spans="1:15">
      <c r="J64" s="377"/>
      <c r="K64" s="62" t="s">
        <v>455</v>
      </c>
      <c r="L64" s="62" t="e">
        <f>AVERAGE(L52:L63)</f>
        <v>#DIV/0!</v>
      </c>
      <c r="M64" s="62">
        <f>MAX(M52:M63)</f>
        <v>0</v>
      </c>
      <c r="N64" s="62" t="e">
        <f>AVERAGE(N52:N63)</f>
        <v>#DIV/0!</v>
      </c>
      <c r="O64" s="62">
        <f>MAX(O52:O63)</f>
        <v>0</v>
      </c>
    </row>
    <row r="66" spans="10:15" ht="30">
      <c r="J66" s="61">
        <f>+A6</f>
        <v>2022</v>
      </c>
      <c r="K66" s="61" t="s">
        <v>437</v>
      </c>
      <c r="L66" s="67" t="s">
        <v>432</v>
      </c>
      <c r="M66" s="67" t="s">
        <v>438</v>
      </c>
      <c r="N66" s="67" t="s">
        <v>435</v>
      </c>
      <c r="O66" s="67" t="s">
        <v>439</v>
      </c>
    </row>
    <row r="67" spans="10:15">
      <c r="J67" s="377" t="s">
        <v>196</v>
      </c>
      <c r="K67" s="66" t="s">
        <v>440</v>
      </c>
      <c r="L67" s="64"/>
      <c r="M67" s="64"/>
      <c r="N67" s="64"/>
      <c r="O67" s="64"/>
    </row>
    <row r="68" spans="10:15">
      <c r="J68" s="377"/>
      <c r="K68" s="66" t="s">
        <v>441</v>
      </c>
      <c r="L68" s="64"/>
      <c r="M68" s="64"/>
      <c r="N68" s="64"/>
      <c r="O68" s="64"/>
    </row>
    <row r="69" spans="10:15">
      <c r="J69" s="377"/>
      <c r="K69" s="66" t="s">
        <v>442</v>
      </c>
      <c r="L69" s="64"/>
      <c r="M69" s="64"/>
      <c r="N69" s="64"/>
      <c r="O69" s="64"/>
    </row>
    <row r="70" spans="10:15">
      <c r="J70" s="377"/>
      <c r="K70" s="66" t="s">
        <v>444</v>
      </c>
      <c r="L70" s="64"/>
      <c r="M70" s="64"/>
      <c r="N70" s="64"/>
      <c r="O70" s="64"/>
    </row>
    <row r="71" spans="10:15">
      <c r="J71" s="377"/>
      <c r="K71" s="66" t="s">
        <v>446</v>
      </c>
      <c r="L71" s="64"/>
      <c r="M71" s="64"/>
      <c r="N71" s="64"/>
      <c r="O71" s="64"/>
    </row>
    <row r="72" spans="10:15">
      <c r="J72" s="377"/>
      <c r="K72" s="66" t="s">
        <v>447</v>
      </c>
      <c r="L72" s="64"/>
      <c r="M72" s="64"/>
      <c r="N72" s="64"/>
      <c r="O72" s="64"/>
    </row>
    <row r="73" spans="10:15">
      <c r="J73" s="377"/>
      <c r="K73" s="66" t="s">
        <v>448</v>
      </c>
      <c r="L73" s="64"/>
      <c r="M73" s="64"/>
      <c r="N73" s="64"/>
      <c r="O73" s="64"/>
    </row>
    <row r="74" spans="10:15">
      <c r="J74" s="377"/>
      <c r="K74" s="66" t="s">
        <v>450</v>
      </c>
      <c r="L74" s="64"/>
      <c r="M74" s="64"/>
      <c r="N74" s="64"/>
      <c r="O74" s="64"/>
    </row>
    <row r="75" spans="10:15">
      <c r="J75" s="377"/>
      <c r="K75" s="66" t="s">
        <v>451</v>
      </c>
      <c r="L75" s="64"/>
      <c r="M75" s="64"/>
      <c r="N75" s="64"/>
      <c r="O75" s="64"/>
    </row>
    <row r="76" spans="10:15">
      <c r="J76" s="377"/>
      <c r="K76" s="66" t="s">
        <v>452</v>
      </c>
      <c r="L76" s="64"/>
      <c r="M76" s="64"/>
      <c r="N76" s="64"/>
      <c r="O76" s="64"/>
    </row>
    <row r="77" spans="10:15">
      <c r="J77" s="377"/>
      <c r="K77" s="66" t="s">
        <v>453</v>
      </c>
      <c r="L77" s="64"/>
      <c r="M77" s="64"/>
      <c r="N77" s="64"/>
      <c r="O77" s="64"/>
    </row>
    <row r="78" spans="10:15">
      <c r="J78" s="377"/>
      <c r="K78" s="66" t="s">
        <v>454</v>
      </c>
      <c r="L78" s="64"/>
      <c r="M78" s="64"/>
      <c r="N78" s="64"/>
      <c r="O78" s="64"/>
    </row>
    <row r="79" spans="10:15">
      <c r="J79" s="377"/>
      <c r="K79" s="62" t="s">
        <v>455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AE8ED00B-945E-49F8-90F9-88B3F8927E2F}"/>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A59D79BB-1047-49D8-86D1-9182825D9EB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2023-04-12T08:44:26Z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