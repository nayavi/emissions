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2"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Northumberland Durham &amp; Tees/"/>
    </mc:Choice>
  </mc:AlternateContent>
  <xr:revisionPtr revIDLastSave="0" documentId="13_ncr:1_{49EECE6B-E48E-4E84-B88D-B84916F0A84E}" xr6:coauthVersionLast="47" xr6:coauthVersionMax="47" xr10:uidLastSave="{00000000-0000-0000-0000-000000000000}"/>
  <bookViews>
    <workbookView xWindow="-108" yWindow="-108" windowWidth="23256" windowHeight="12576" tabRatio="900" xr2:uid="{00000000-000D-0000-FFFF-FFFF000000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0"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95% 10 min" sheetId="30" r:id="rId21"/>
    <sheet name="NH3" sheetId="31" r:id="rId22"/>
  </sheets>
  <externalReferences>
    <externalReference r:id="rId23"/>
  </externalReferences>
  <definedNames>
    <definedName name="_xlnm.Print_Area" localSheetId="14">'Air (CEMS)'!$A$1:$M$31</definedName>
    <definedName name="_xlnm.Print_Area" localSheetId="13">'Air (periodic)'!$A$1:$J$41</definedName>
    <definedName name="_xlnm.Print_Area" localSheetId="20">'CO 95% 10 min'!$A$1:$H$52</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Info'!$A$1:$I$54</definedName>
    <definedName name="_xlnm.Print_Area" localSheetId="15">HCl!$A$1:$G$52</definedName>
    <definedName name="_xlnm.Print_Area" localSheetId="8">Improvements!$A$1:$J$48</definedName>
    <definedName name="_xlnm.Print_Area" localSheetId="21">'NH3'!$A$1:$G$52</definedName>
    <definedName name="_xlnm.Print_Area" localSheetId="17">NOx!$A$1:$G$52</definedName>
    <definedName name="_xlnm.Print_Area" localSheetId="3">'Operational Data'!$A$1:$H$63</definedName>
    <definedName name="_xlnm.Print_Area" localSheetId="4">'Operational Summary'!$A$1:$I$52</definedName>
    <definedName name="_xlnm.Print_Area" localSheetId="19">Particulates!$A$1:$G$52</definedName>
    <definedName name="_xlnm.Print_Area" localSheetId="5">'Perf. Form 1'!$A$1:$J$55</definedName>
    <definedName name="_xlnm.Print_Area" localSheetId="7">'Permit Compliance'!$A$1:$J$35</definedName>
    <definedName name="_xlnm.Print_Area" localSheetId="9">'Public Liasion'!$A$1:$J$32</definedName>
    <definedName name="_xlnm.Print_Area" localSheetId="11">'Residue Quality '!$A$1:$G$41</definedName>
    <definedName name="_xlnm.Print_Area" localSheetId="16">'SO2'!$A$1:$G$52</definedName>
    <definedName name="_xlnm.Print_Area" localSheetId="18">TOC!$A$1:$G$52</definedName>
    <definedName name="_xlnm.Print_Area" localSheetId="12">Water!$A$1:$J$30</definedName>
  </definedNames>
  <calcPr calcId="191028"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6" i="6" l="1"/>
  <c r="A1" i="32" l="1"/>
  <c r="C1" i="32"/>
  <c r="G16" i="6"/>
  <c r="I20" i="7"/>
  <c r="I21" i="7"/>
  <c r="I22" i="7"/>
  <c r="I12" i="7"/>
  <c r="I13" i="7"/>
  <c r="I14" i="7"/>
  <c r="H19" i="6"/>
  <c r="G60" i="6" l="1"/>
  <c r="H56" i="6" l="1"/>
  <c r="C8" i="30"/>
  <c r="D8" i="30"/>
  <c r="E8" i="30"/>
  <c r="C9" i="30"/>
  <c r="D9" i="30"/>
  <c r="E9" i="30"/>
  <c r="C10" i="30"/>
  <c r="D10" i="30"/>
  <c r="E10" i="30"/>
  <c r="C11" i="30"/>
  <c r="D11" i="30"/>
  <c r="E11" i="30"/>
  <c r="C12" i="30"/>
  <c r="D12" i="30"/>
  <c r="E12" i="30"/>
  <c r="C13" i="30"/>
  <c r="D13" i="30"/>
  <c r="E13" i="30"/>
  <c r="C14" i="30"/>
  <c r="D14" i="30"/>
  <c r="E14" i="30"/>
  <c r="C15" i="30"/>
  <c r="D15" i="30"/>
  <c r="E15" i="30"/>
  <c r="C16" i="30"/>
  <c r="D16" i="30"/>
  <c r="E16" i="30"/>
  <c r="C17" i="30"/>
  <c r="D17" i="30"/>
  <c r="E17" i="30"/>
  <c r="C18" i="30"/>
  <c r="D18" i="30"/>
  <c r="E18" i="30"/>
  <c r="G8" i="30"/>
  <c r="H8" i="30"/>
  <c r="G9" i="30"/>
  <c r="H9" i="30"/>
  <c r="G10" i="30"/>
  <c r="H10" i="30"/>
  <c r="G11" i="30"/>
  <c r="H11" i="30"/>
  <c r="G12" i="30"/>
  <c r="H12" i="30"/>
  <c r="G13" i="30"/>
  <c r="H13" i="30"/>
  <c r="G14" i="30"/>
  <c r="H14" i="30"/>
  <c r="G15" i="30"/>
  <c r="H15" i="30"/>
  <c r="G16" i="30"/>
  <c r="H16" i="30"/>
  <c r="G17" i="30"/>
  <c r="H17" i="30"/>
  <c r="G18" i="30"/>
  <c r="H18" i="30"/>
  <c r="H7" i="30"/>
  <c r="G7" i="30"/>
  <c r="E7" i="30"/>
  <c r="C7" i="30"/>
  <c r="D7" i="30"/>
  <c r="F8" i="28"/>
  <c r="G8" i="28"/>
  <c r="F9" i="28"/>
  <c r="G9" i="28"/>
  <c r="F10" i="28"/>
  <c r="G10" i="28"/>
  <c r="F11" i="28"/>
  <c r="G11" i="28"/>
  <c r="F12" i="28"/>
  <c r="G12" i="28"/>
  <c r="F13" i="28"/>
  <c r="G13" i="28"/>
  <c r="F14" i="28"/>
  <c r="G14" i="28"/>
  <c r="F15" i="28"/>
  <c r="G15" i="28"/>
  <c r="F16" i="28"/>
  <c r="G16" i="28"/>
  <c r="F17" i="28"/>
  <c r="G17" i="28"/>
  <c r="F18" i="28"/>
  <c r="G18" i="28"/>
  <c r="C8" i="28"/>
  <c r="D8" i="28"/>
  <c r="C9" i="28"/>
  <c r="D9" i="28"/>
  <c r="C10" i="28"/>
  <c r="D10" i="28"/>
  <c r="C11" i="28"/>
  <c r="D11" i="28"/>
  <c r="C12" i="28"/>
  <c r="D12" i="28"/>
  <c r="C13" i="28"/>
  <c r="D13" i="28"/>
  <c r="C14" i="28"/>
  <c r="D14" i="28"/>
  <c r="C15" i="28"/>
  <c r="D15" i="28"/>
  <c r="C16" i="28"/>
  <c r="D16" i="28"/>
  <c r="C17" i="28"/>
  <c r="D17" i="28"/>
  <c r="C18" i="28"/>
  <c r="D18" i="28"/>
  <c r="G7" i="28"/>
  <c r="F7" i="28"/>
  <c r="D7" i="28"/>
  <c r="C7" i="28"/>
  <c r="D7" i="27"/>
  <c r="F8" i="27"/>
  <c r="G8" i="27"/>
  <c r="F9" i="27"/>
  <c r="G9" i="27"/>
  <c r="F10" i="27"/>
  <c r="G10" i="27"/>
  <c r="F11" i="27"/>
  <c r="G11" i="27"/>
  <c r="F12" i="27"/>
  <c r="G12" i="27"/>
  <c r="F13" i="27"/>
  <c r="G13" i="27"/>
  <c r="F14" i="27"/>
  <c r="G14" i="27"/>
  <c r="F15" i="27"/>
  <c r="G15" i="27"/>
  <c r="F16" i="27"/>
  <c r="G16" i="27"/>
  <c r="F17" i="27"/>
  <c r="G17" i="27"/>
  <c r="F18" i="27"/>
  <c r="G18" i="27"/>
  <c r="C8" i="27"/>
  <c r="D8" i="27"/>
  <c r="C9" i="27"/>
  <c r="D9" i="27"/>
  <c r="C10" i="27"/>
  <c r="D10" i="27"/>
  <c r="C11" i="27"/>
  <c r="D11" i="27"/>
  <c r="C12" i="27"/>
  <c r="D12" i="27"/>
  <c r="C13" i="27"/>
  <c r="D13" i="27"/>
  <c r="C14" i="27"/>
  <c r="D14" i="27"/>
  <c r="C15" i="27"/>
  <c r="D15" i="27"/>
  <c r="C16" i="27"/>
  <c r="D16" i="27"/>
  <c r="C17" i="27"/>
  <c r="D17" i="27"/>
  <c r="C18" i="27"/>
  <c r="D18" i="27"/>
  <c r="G7" i="27"/>
  <c r="F7" i="27"/>
  <c r="C7" i="27"/>
  <c r="F8" i="26"/>
  <c r="G8" i="26"/>
  <c r="F9" i="26"/>
  <c r="G9" i="26"/>
  <c r="F10" i="26"/>
  <c r="G10" i="26"/>
  <c r="F11" i="26"/>
  <c r="G11" i="26"/>
  <c r="F12" i="26"/>
  <c r="G12" i="26"/>
  <c r="F13" i="26"/>
  <c r="G13" i="26"/>
  <c r="F14" i="26"/>
  <c r="G14" i="26"/>
  <c r="F15" i="26"/>
  <c r="G15" i="26"/>
  <c r="F16" i="26"/>
  <c r="G16" i="26"/>
  <c r="F17" i="26"/>
  <c r="G17" i="26"/>
  <c r="F18" i="26"/>
  <c r="G18" i="26"/>
  <c r="C8" i="26"/>
  <c r="D8" i="26"/>
  <c r="C9" i="26"/>
  <c r="D9" i="26"/>
  <c r="C10" i="26"/>
  <c r="D10" i="26"/>
  <c r="C11" i="26"/>
  <c r="D11" i="26"/>
  <c r="C12" i="26"/>
  <c r="D12" i="26"/>
  <c r="C13" i="26"/>
  <c r="D13" i="26"/>
  <c r="C14" i="26"/>
  <c r="D14" i="26"/>
  <c r="C15" i="26"/>
  <c r="D15" i="26"/>
  <c r="C16" i="26"/>
  <c r="D16" i="26"/>
  <c r="C17" i="26"/>
  <c r="D17" i="26"/>
  <c r="C18" i="26"/>
  <c r="D18" i="26"/>
  <c r="D7" i="26"/>
  <c r="C7" i="26"/>
  <c r="G7" i="26"/>
  <c r="F7" i="26"/>
  <c r="F7" i="25"/>
  <c r="F8" i="25"/>
  <c r="G8" i="25"/>
  <c r="F9" i="25"/>
  <c r="G9" i="25"/>
  <c r="F10" i="25"/>
  <c r="G10" i="25"/>
  <c r="F11" i="25"/>
  <c r="G11" i="25"/>
  <c r="F12" i="25"/>
  <c r="G12" i="25"/>
  <c r="F13" i="25"/>
  <c r="G13" i="25"/>
  <c r="F14" i="25"/>
  <c r="G14" i="25"/>
  <c r="F15" i="25"/>
  <c r="G15" i="25"/>
  <c r="F16" i="25"/>
  <c r="G16" i="25"/>
  <c r="F17" i="25"/>
  <c r="G17" i="25"/>
  <c r="F18" i="25"/>
  <c r="G18" i="25"/>
  <c r="G7" i="25"/>
  <c r="D7" i="25"/>
  <c r="C7" i="25"/>
  <c r="C8" i="25"/>
  <c r="D8" i="25"/>
  <c r="C9" i="25"/>
  <c r="D9" i="25"/>
  <c r="C10" i="25"/>
  <c r="D10" i="25"/>
  <c r="C11" i="25"/>
  <c r="D11" i="25"/>
  <c r="C12" i="25"/>
  <c r="D12" i="25"/>
  <c r="C13" i="25"/>
  <c r="D13" i="25"/>
  <c r="C14" i="25"/>
  <c r="D14" i="25"/>
  <c r="C15" i="25"/>
  <c r="D15" i="25"/>
  <c r="C16" i="25"/>
  <c r="D16" i="25"/>
  <c r="C17" i="25"/>
  <c r="D17" i="25"/>
  <c r="C18" i="25"/>
  <c r="D18" i="25"/>
  <c r="F8" i="13"/>
  <c r="G8" i="13"/>
  <c r="F9" i="13"/>
  <c r="G9" i="13"/>
  <c r="F10" i="13"/>
  <c r="G10" i="13"/>
  <c r="F11" i="13"/>
  <c r="G11" i="13"/>
  <c r="F12" i="13"/>
  <c r="G12" i="13"/>
  <c r="F13" i="13"/>
  <c r="G13" i="13"/>
  <c r="F14" i="13"/>
  <c r="G14" i="13"/>
  <c r="F15" i="13"/>
  <c r="G15" i="13"/>
  <c r="F16" i="13"/>
  <c r="G16" i="13"/>
  <c r="F17" i="13"/>
  <c r="G17" i="13"/>
  <c r="F18" i="13"/>
  <c r="G18" i="13"/>
  <c r="F7" i="13"/>
  <c r="G7" i="13"/>
  <c r="C8" i="13"/>
  <c r="D8" i="13"/>
  <c r="C9" i="13"/>
  <c r="D9" i="13"/>
  <c r="C10" i="13"/>
  <c r="D10" i="13"/>
  <c r="C11" i="13"/>
  <c r="D11" i="13"/>
  <c r="C12" i="13"/>
  <c r="D12" i="13"/>
  <c r="C13" i="13"/>
  <c r="D13" i="13"/>
  <c r="C14" i="13"/>
  <c r="D14" i="13"/>
  <c r="C15" i="13"/>
  <c r="D15" i="13"/>
  <c r="C16" i="13"/>
  <c r="D16" i="13"/>
  <c r="C17" i="13"/>
  <c r="D17" i="13"/>
  <c r="C18" i="13"/>
  <c r="D18" i="13"/>
  <c r="C7" i="13"/>
  <c r="D7" i="13"/>
  <c r="F8" i="31"/>
  <c r="G8" i="31"/>
  <c r="F9" i="31"/>
  <c r="G9" i="31"/>
  <c r="F10" i="31"/>
  <c r="G10" i="31"/>
  <c r="F11" i="31"/>
  <c r="G11" i="31"/>
  <c r="F12" i="31"/>
  <c r="G12" i="31"/>
  <c r="F13" i="31"/>
  <c r="G13" i="31"/>
  <c r="F14" i="31"/>
  <c r="G14" i="31"/>
  <c r="F15" i="31"/>
  <c r="G15" i="31"/>
  <c r="F16" i="31"/>
  <c r="G16" i="31"/>
  <c r="F17" i="31"/>
  <c r="G17" i="31"/>
  <c r="F18" i="31"/>
  <c r="G18" i="31"/>
  <c r="G7" i="31"/>
  <c r="F7" i="31"/>
  <c r="D8" i="31"/>
  <c r="D9" i="31"/>
  <c r="D10" i="31"/>
  <c r="D11" i="31"/>
  <c r="D12" i="31"/>
  <c r="D13" i="31"/>
  <c r="D14" i="31"/>
  <c r="D15" i="31"/>
  <c r="D16" i="31"/>
  <c r="D17" i="31"/>
  <c r="D18" i="31"/>
  <c r="D7" i="31"/>
  <c r="C8" i="31"/>
  <c r="C9" i="31"/>
  <c r="C10" i="31"/>
  <c r="C11" i="31"/>
  <c r="C12" i="31"/>
  <c r="C13" i="31"/>
  <c r="C14" i="31"/>
  <c r="C15" i="31"/>
  <c r="C16" i="31"/>
  <c r="C17" i="31"/>
  <c r="C18" i="31"/>
  <c r="C7" i="31"/>
  <c r="J3" i="31" l="1"/>
  <c r="J3" i="30"/>
  <c r="J3" i="28"/>
  <c r="J3" i="27"/>
  <c r="J3" i="26"/>
  <c r="J3" i="25"/>
  <c r="J3" i="13"/>
  <c r="G19" i="6" l="1"/>
  <c r="G55" i="6" l="1"/>
  <c r="G57" i="6" l="1"/>
  <c r="G63" i="6"/>
  <c r="G62" i="6"/>
  <c r="G61" i="6"/>
  <c r="G59" i="6"/>
  <c r="G51" i="6"/>
  <c r="G52" i="6"/>
  <c r="G53" i="6"/>
  <c r="G54" i="6"/>
  <c r="G58" i="6"/>
  <c r="C46" i="7" l="1"/>
  <c r="H51" i="6"/>
  <c r="D46" i="7"/>
  <c r="H52" i="6"/>
  <c r="D18" i="6"/>
  <c r="D21" i="6" s="1"/>
  <c r="E18" i="6"/>
  <c r="E21" i="6" s="1"/>
  <c r="F18" i="6"/>
  <c r="F21" i="6" s="1"/>
  <c r="C18" i="6"/>
  <c r="C21" i="6" s="1"/>
  <c r="G21" i="6" l="1"/>
  <c r="E1" i="31"/>
  <c r="A1" i="31"/>
  <c r="E1" i="30"/>
  <c r="A1" i="30"/>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F27" i="24" s="1"/>
  <c r="N34" i="31"/>
  <c r="G27" i="24" s="1"/>
  <c r="M34" i="31"/>
  <c r="L34" i="31"/>
  <c r="O19" i="31"/>
  <c r="D27" i="24" s="1"/>
  <c r="N19" i="31"/>
  <c r="E27" i="24" s="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F24" i="24" s="1"/>
  <c r="P34" i="30"/>
  <c r="G24" i="24" s="1"/>
  <c r="O34" i="30"/>
  <c r="M34" i="30"/>
  <c r="F26" i="24" s="1"/>
  <c r="Q19" i="30"/>
  <c r="D24" i="24" s="1"/>
  <c r="P19" i="30"/>
  <c r="E24" i="24" s="1"/>
  <c r="O19" i="30"/>
  <c r="M19" i="30"/>
  <c r="D26" i="24" s="1"/>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O79" i="28"/>
  <c r="N79" i="28"/>
  <c r="M79" i="28"/>
  <c r="L79" i="28"/>
  <c r="O64" i="28"/>
  <c r="N64" i="28"/>
  <c r="M64" i="28"/>
  <c r="L64" i="28"/>
  <c r="O49" i="28"/>
  <c r="N49" i="28"/>
  <c r="M49" i="28"/>
  <c r="L49" i="28"/>
  <c r="O34" i="28"/>
  <c r="F16" i="24" s="1"/>
  <c r="N34" i="28"/>
  <c r="G16" i="24" s="1"/>
  <c r="M34" i="28"/>
  <c r="F17" i="24" s="1"/>
  <c r="L34" i="28"/>
  <c r="G17" i="24" s="1"/>
  <c r="O19" i="28"/>
  <c r="D16" i="24" s="1"/>
  <c r="N19" i="28"/>
  <c r="E16" i="24" s="1"/>
  <c r="M19" i="28"/>
  <c r="D17" i="24" s="1"/>
  <c r="L19" i="28"/>
  <c r="E17" i="24" s="1"/>
  <c r="A6" i="28"/>
  <c r="J66" i="28" s="1"/>
  <c r="O79" i="27"/>
  <c r="N79" i="27"/>
  <c r="M79" i="27"/>
  <c r="L79" i="27"/>
  <c r="O64" i="27"/>
  <c r="N64" i="27"/>
  <c r="M64" i="27"/>
  <c r="L64" i="27"/>
  <c r="O49" i="27"/>
  <c r="N49" i="27"/>
  <c r="M49" i="27"/>
  <c r="L49" i="27"/>
  <c r="O34" i="27"/>
  <c r="F18" i="24" s="1"/>
  <c r="N34" i="27"/>
  <c r="G18" i="24" s="1"/>
  <c r="M34" i="27"/>
  <c r="F19" i="24" s="1"/>
  <c r="L34" i="27"/>
  <c r="G19" i="24" s="1"/>
  <c r="O19" i="27"/>
  <c r="D18" i="24" s="1"/>
  <c r="N19" i="27"/>
  <c r="E18" i="24" s="1"/>
  <c r="M19" i="27"/>
  <c r="D19" i="24" s="1"/>
  <c r="L19" i="27"/>
  <c r="E19" i="24" s="1"/>
  <c r="A6" i="27"/>
  <c r="J66" i="27" s="1"/>
  <c r="O79" i="26"/>
  <c r="N79" i="26"/>
  <c r="M79" i="26"/>
  <c r="L79" i="26"/>
  <c r="O64" i="26"/>
  <c r="N64" i="26"/>
  <c r="M64" i="26"/>
  <c r="L64" i="26"/>
  <c r="O49" i="26"/>
  <c r="N49" i="26"/>
  <c r="M49" i="26"/>
  <c r="L49" i="26"/>
  <c r="O34" i="26"/>
  <c r="F14" i="24" s="1"/>
  <c r="N34" i="26"/>
  <c r="G14" i="24" s="1"/>
  <c r="M34" i="26"/>
  <c r="F15" i="24" s="1"/>
  <c r="L34" i="26"/>
  <c r="G15" i="24" s="1"/>
  <c r="O19" i="26"/>
  <c r="D14" i="24" s="1"/>
  <c r="N19" i="26"/>
  <c r="E14" i="24" s="1"/>
  <c r="M19" i="26"/>
  <c r="D15" i="24" s="1"/>
  <c r="L19" i="26"/>
  <c r="E15" i="24" s="1"/>
  <c r="A6" i="26"/>
  <c r="J66" i="26" s="1"/>
  <c r="O79" i="25"/>
  <c r="N79" i="25"/>
  <c r="M79" i="25"/>
  <c r="L79" i="25"/>
  <c r="O64" i="25"/>
  <c r="N64" i="25"/>
  <c r="M64" i="25"/>
  <c r="L64" i="25"/>
  <c r="O49" i="25"/>
  <c r="N49" i="25"/>
  <c r="M49" i="25"/>
  <c r="L49" i="25"/>
  <c r="O34" i="25"/>
  <c r="F22" i="24" s="1"/>
  <c r="N34" i="25"/>
  <c r="G22" i="24" s="1"/>
  <c r="M34" i="25"/>
  <c r="F23" i="24" s="1"/>
  <c r="L34" i="25"/>
  <c r="G23" i="24" s="1"/>
  <c r="O19" i="25"/>
  <c r="D22" i="24" s="1"/>
  <c r="N19" i="25"/>
  <c r="E22" i="24" s="1"/>
  <c r="M19" i="25"/>
  <c r="D23" i="24" s="1"/>
  <c r="L19" i="25"/>
  <c r="E23" i="24" s="1"/>
  <c r="A6" i="25"/>
  <c r="J66" i="25" s="1"/>
  <c r="O79" i="13"/>
  <c r="N79" i="13"/>
  <c r="M79" i="13"/>
  <c r="L79" i="13"/>
  <c r="O64" i="13"/>
  <c r="N64" i="13"/>
  <c r="M64" i="13"/>
  <c r="L64" i="13"/>
  <c r="O49" i="13"/>
  <c r="N49" i="13"/>
  <c r="M49" i="13"/>
  <c r="L49" i="13"/>
  <c r="O34" i="13"/>
  <c r="F20" i="24" s="1"/>
  <c r="N34" i="13"/>
  <c r="G20" i="24" s="1"/>
  <c r="M34" i="13"/>
  <c r="F21" i="24" s="1"/>
  <c r="L34" i="13"/>
  <c r="G21" i="24" s="1"/>
  <c r="O19" i="13"/>
  <c r="D20" i="24" s="1"/>
  <c r="N19" i="13"/>
  <c r="E20" i="24" s="1"/>
  <c r="M19" i="13"/>
  <c r="D21" i="24" s="1"/>
  <c r="L19" i="13"/>
  <c r="E21" i="24" s="1"/>
  <c r="A6" i="13"/>
  <c r="J66" i="13" s="1"/>
  <c r="J36" i="27" l="1"/>
  <c r="J66" i="31"/>
  <c r="J21" i="28"/>
  <c r="J21" i="27"/>
  <c r="J21" i="26"/>
  <c r="J21" i="25"/>
  <c r="J36" i="13"/>
  <c r="J51" i="13"/>
  <c r="J21" i="13"/>
  <c r="J6" i="13"/>
  <c r="J21" i="31"/>
  <c r="J6" i="31"/>
  <c r="J36" i="31"/>
  <c r="K6" i="30"/>
  <c r="K36" i="30"/>
  <c r="K51" i="30"/>
  <c r="K21" i="30"/>
  <c r="J36" i="28"/>
  <c r="J51" i="28"/>
  <c r="J6" i="28"/>
  <c r="J51" i="27"/>
  <c r="J6" i="27"/>
  <c r="J51" i="26"/>
  <c r="J36" i="26"/>
  <c r="J6" i="26"/>
  <c r="J36" i="25"/>
  <c r="J51" i="25"/>
  <c r="J6" i="25"/>
  <c r="G7" i="8"/>
  <c r="D7" i="8"/>
  <c r="B5" i="8"/>
  <c r="G3" i="8"/>
  <c r="A3" i="8"/>
  <c r="A1" i="8"/>
  <c r="G23" i="7"/>
  <c r="G15" i="7"/>
  <c r="B4" i="7"/>
  <c r="G3" i="7"/>
  <c r="A3" i="7"/>
  <c r="A1" i="7"/>
  <c r="A8" i="7" s="1"/>
  <c r="H63" i="6"/>
  <c r="H62" i="6"/>
  <c r="H61" i="6"/>
  <c r="H59" i="6"/>
  <c r="G48" i="6"/>
  <c r="H48" i="6" s="1"/>
  <c r="G47" i="6"/>
  <c r="G46" i="6"/>
  <c r="H46" i="6" s="1"/>
  <c r="G45" i="6"/>
  <c r="G44" i="6"/>
  <c r="G43" i="6"/>
  <c r="G42" i="6"/>
  <c r="H42" i="6" s="1"/>
  <c r="G41" i="6"/>
  <c r="G38" i="6"/>
  <c r="H38" i="6" s="1"/>
  <c r="G37" i="6"/>
  <c r="H37" i="6" s="1"/>
  <c r="G36" i="6"/>
  <c r="H36" i="6" s="1"/>
  <c r="G35" i="6"/>
  <c r="G34" i="6"/>
  <c r="G33" i="6"/>
  <c r="G29" i="6"/>
  <c r="G28" i="6"/>
  <c r="H28" i="6" s="1"/>
  <c r="G26" i="6"/>
  <c r="G25" i="6"/>
  <c r="H25" i="6" s="1"/>
  <c r="G24" i="6"/>
  <c r="G23" i="6"/>
  <c r="H23" i="6" s="1"/>
  <c r="G20" i="6"/>
  <c r="H20" i="6" s="1"/>
  <c r="G15" i="6"/>
  <c r="G14" i="6"/>
  <c r="G13" i="6"/>
  <c r="G12" i="6"/>
  <c r="H12" i="6" s="1"/>
  <c r="G11" i="6"/>
  <c r="H11" i="6" s="1"/>
  <c r="G10" i="6"/>
  <c r="H10" i="6" s="1"/>
  <c r="G9" i="6"/>
  <c r="G8" i="6"/>
  <c r="E37" i="7" l="1"/>
  <c r="H37" i="7" s="1"/>
  <c r="H45" i="6"/>
  <c r="D13" i="8"/>
  <c r="H47" i="6"/>
  <c r="E36" i="7"/>
  <c r="H36" i="7" s="1"/>
  <c r="H44" i="6"/>
  <c r="E33" i="7"/>
  <c r="H33" i="7" s="1"/>
  <c r="H41" i="6"/>
  <c r="E18" i="7"/>
  <c r="H34" i="6"/>
  <c r="E11" i="7"/>
  <c r="H33" i="6"/>
  <c r="E19" i="7"/>
  <c r="I19" i="7" s="1"/>
  <c r="H35" i="6"/>
  <c r="D14" i="8"/>
  <c r="H29" i="6"/>
  <c r="D12" i="8"/>
  <c r="H24" i="6"/>
  <c r="D11" i="8"/>
  <c r="H26" i="6"/>
  <c r="E35" i="7"/>
  <c r="H35" i="7" s="1"/>
  <c r="H43" i="6"/>
  <c r="G18" i="6"/>
  <c r="H14" i="6" s="1"/>
  <c r="G24" i="7"/>
  <c r="G27" i="6"/>
  <c r="E34" i="7"/>
  <c r="H34" i="7" s="1"/>
  <c r="D10" i="8"/>
  <c r="A31" i="7"/>
  <c r="A43" i="7" s="1"/>
  <c r="H9" i="6" l="1"/>
  <c r="H16" i="6"/>
  <c r="H8" i="6"/>
  <c r="E15" i="7"/>
  <c r="I15" i="7" s="1"/>
  <c r="I11" i="7"/>
  <c r="E23" i="7"/>
  <c r="I18" i="7"/>
  <c r="H15" i="6"/>
  <c r="H13" i="6"/>
  <c r="H21" i="6"/>
  <c r="G10" i="8"/>
  <c r="G14" i="8"/>
  <c r="G11" i="8"/>
  <c r="G12" i="8"/>
  <c r="G13" i="8"/>
  <c r="I23" i="7" l="1"/>
  <c r="E24" i="7"/>
  <c r="I24" i="7" s="1"/>
</calcChain>
</file>

<file path=xl/sharedStrings.xml><?xml version="1.0" encoding="utf-8"?>
<sst xmlns="http://schemas.openxmlformats.org/spreadsheetml/2006/main" count="1477" uniqueCount="439">
  <si>
    <t>Add company logo</t>
  </si>
  <si>
    <t>Version 22.3  30/11/22</t>
  </si>
  <si>
    <t>Add photo</t>
  </si>
  <si>
    <t>Notes:</t>
  </si>
  <si>
    <t>This template may require adjustments by individual operators to meet specific reporting requirements as defined in the site Permit(s)</t>
  </si>
  <si>
    <t>Annual Performance Report 2022</t>
  </si>
  <si>
    <t>Permit EPR/XP3436WB/V002</t>
  </si>
  <si>
    <t>SUEZ R&amp;R Wilton 11 EfW</t>
  </si>
  <si>
    <t>other name of facility (if applicable)</t>
  </si>
  <si>
    <t>SUEZ R&amp;R</t>
  </si>
  <si>
    <t>Year:</t>
  </si>
  <si>
    <t>Address:</t>
  </si>
  <si>
    <t>Wilton International, Middlesbrough TS10 4RG</t>
  </si>
  <si>
    <t xml:space="preserve">Tel: </t>
  </si>
  <si>
    <t>01642 442400</t>
  </si>
  <si>
    <t xml:space="preserve">Email: </t>
  </si>
  <si>
    <t>paula.bakes@suez.com</t>
  </si>
  <si>
    <t>Prepared by:</t>
  </si>
  <si>
    <t>Paula Bakes</t>
  </si>
  <si>
    <t>Position:</t>
  </si>
  <si>
    <t>EIR Manager</t>
  </si>
  <si>
    <t>Approved by:</t>
  </si>
  <si>
    <t>Alex Biggins</t>
  </si>
  <si>
    <t>Plant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</si>
  <si>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</si>
  <si>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</si>
  <si>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</si>
  <si>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</si>
  <si>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</si>
  <si>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</si>
  <si>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</si>
  <si>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</si>
  <si>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</si>
  <si>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</si>
  <si>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Operational Data</t>
  </si>
  <si>
    <t>Performance Form 1</t>
  </si>
  <si>
    <t>Energy Form 1</t>
  </si>
  <si>
    <t>Permit Compliance</t>
  </si>
  <si>
    <t>Improvements</t>
  </si>
  <si>
    <t>Public Liasion</t>
  </si>
  <si>
    <t>Carbon dioxide and nitrous oxide emissions</t>
  </si>
  <si>
    <t>Residue Quality - Optional</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</si>
  <si>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</si>
  <si>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</si>
  <si>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</si>
  <si>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</si>
  <si>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</si>
  <si>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</si>
  <si>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</si>
  <si>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</si>
  <si>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</si>
  <si>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</si>
  <si>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</si>
  <si>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</si>
  <si>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</si>
  <si>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</si>
  <si>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</si>
  <si>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</si>
  <si>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</si>
  <si>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</si>
  <si>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</si>
  <si>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The Energy from Waste facility operates 24/7 and has a design capacity of 49.9 MW. This requires a fuel input with a maximum continuous rating of around 29.2 tonnes per hour of MSW (from Merseyside County Council and various commercial customers) with an average net calorific value of 9.8 MJ/kg. This equates to 467,200 tonnes per annum at 8000 hours operation per annum through two combustion lines. 
The plant has two Lines capable of processing up to 500,000 tonnes of waste per year. Incoming waste is delivered to site by rail and bulk vehicle trucks. Rail waste is checked at SUEZ’s Knowsley Transfer station, weighed and then loaded into ISO containers before being placed onto rail carriages and transported to the EFW facility. 
Road waste is weighed via weighbridge at the Wilton site, and then tipped in the traditional way in the waste reception hall.
(alt enter to make new para)</t>
  </si>
  <si>
    <t xml:space="preserve">Include summary of plant design, design capacity, no. of combustion lines, electrical and heat capacity and any other general information that descibes the facility, its location and purpose </t>
  </si>
  <si>
    <t>Summary of Operational Processes and Procedures</t>
  </si>
  <si>
    <t>WASTE RECEPTION
The plant is designed to accept contractual waste from Merseyside County Council via rail in bespoke ISO containers. Once at the EFW plant, the containers are lifted off the rail carriages by a gantry crane and placed onto mechanical ‘tilters’ The tilters operate hydraulically and move to the edge of the waste pit waste before being tilted to a 60 degree angle, allowing the waste to fall into the waste pit.
Waste is also delivered by road via Bulk Transfer Vehicles in the standard operating way. 
Air needed for combustion is drawn into the furnace from above the waste reception hall so that odour and dust do not escape from the building.
BUNKER
Mixing of waste occurs as the crane driver sorts the waste looking for unsuitable wastes to be removed, and to improve the homogeneity of the incinerator feedstock. 
CONTROL ROOM
There is one control room which centralises the operation of all equipment, including the grab crane used to mix and load waste into hoppers that feeds the furnace. All on-site functions are monitored automatically and manually. Its systems verify in real time that equipment is functioning properly, continuously monitor the combustion gas, and maximise the efficiency of the entire EfW process.
GRATE AND BOILER
Waste is lifted into the feed hoppers by the crane, from here waste falls into the furnace-charging chute and then onto the grate system for incineration. The thermal energy released from the burning is used to convert water to super-heated steam. At high pressure, this steam drives a turbine to generate electricity.
ENERGY GENERATION
Electricity is generated at 11kv, with an electric capacity of 49.9 MWh.  The plant also has the capability of exporting steam at 3 different pressures, 58 bar(g), 17 bar(g) and 1.4 bar(g).  Steam is exported into the Wilton International site headers for use by a number of plants on site.  Where possible the steam is taken from turbine extract to ensure maximum efficiency.
BOTTOM ASH
Ash left on the grate after incineration is carried by conveyor to a recycling facility opposite the EFW plant. Once operational (February 2017) the bottom ash recycling facility will use a magnet above the conveyor to extract ferrous material for recycling. The remaining bottom ash is processed for recycling following classification of its hazardous properties. 
WATER-COOLED CONDENSERS
After exiting the turbine, the steam is cooled and condensed back into water through water cooled condensers. This recovered water is treated and reused in the boilers to produce more steam. The water cooled condenser is capable of taking the full load from the boiler to ensure continuous operation of the EfW Plant.
EMISSION CONTROL
The gases from the furnace are subject to a rigorous cleaning process involving selective non-catalytic reduction (SNCR), spray absorbers, and active carbon injection. This removes oxides of nitrogen, acidic gases, dioxins, and heavy metals from the gas stream.
AIR POLLUTION CONTROL RESIDUE (APCR)
The cleaned gas is passed through fine-fabric bag filters to remove solid particles before it is emitted through the stack. The resultant APCR residue, or fly-ash, contains particles from the incineration process, we have a semi dry lime injection system. It is stored in a sealed silo until it removed from site for disposal.
EMISSIONS MONITORING
As they pass through the stack, the residual flue gases from the process are continuously monitored before release. Each incinerator line has and independent stack and emissions monitoring system. This data is relayed automatically to the control room.
(alt enter to make new para)</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</si>
  <si>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</si>
  <si>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</si>
  <si>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</si>
  <si>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</si>
  <si>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</si>
  <si>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No. of combustion lines</t>
  </si>
  <si>
    <t>No. of Turbines:</t>
  </si>
  <si>
    <t>Waste types received</t>
  </si>
  <si>
    <t>Unit</t>
  </si>
  <si>
    <t>Q1</t>
  </si>
  <si>
    <t>Q2</t>
  </si>
  <si>
    <t>Q3</t>
  </si>
  <si>
    <t>Q4</t>
  </si>
  <si>
    <t>Year Total</t>
  </si>
  <si>
    <t>%</t>
  </si>
  <si>
    <t>Household / Local Authority</t>
  </si>
  <si>
    <t>tonnes</t>
  </si>
  <si>
    <t xml:space="preserve">Commercial &amp; Industrial </t>
  </si>
  <si>
    <t xml:space="preserve"> -   </t>
  </si>
  <si>
    <t xml:space="preserve">Hazardous </t>
  </si>
  <si>
    <t>Clinical</t>
  </si>
  <si>
    <t xml:space="preserve">Waste wood (biomass) </t>
  </si>
  <si>
    <t xml:space="preserve">Refuse derived fuel </t>
  </si>
  <si>
    <t xml:space="preserve">Solid recovered fuel </t>
  </si>
  <si>
    <t>Spec Compost 19.05.03</t>
  </si>
  <si>
    <t>Other [Please specify]</t>
  </si>
  <si>
    <t>Total waste received</t>
  </si>
  <si>
    <t xml:space="preserve">Rejected Waste </t>
  </si>
  <si>
    <t>Waste transferred out</t>
  </si>
  <si>
    <t>Total waste combusted</t>
  </si>
  <si>
    <t>Energy Useage / Export</t>
  </si>
  <si>
    <t>KWh/te</t>
  </si>
  <si>
    <t>Power Generated</t>
  </si>
  <si>
    <t>MWh</t>
  </si>
  <si>
    <t>Power Exported</t>
  </si>
  <si>
    <t>Power Used on site</t>
  </si>
  <si>
    <t>Power Imported</t>
  </si>
  <si>
    <t>Parasitic Load</t>
  </si>
  <si>
    <t>Thermal Energy Produced</t>
  </si>
  <si>
    <t>Thermal Energy Exported</t>
  </si>
  <si>
    <t>R1 value</t>
  </si>
  <si>
    <t>Design / Operational / n/a</t>
  </si>
  <si>
    <t>Waste Disposal &amp; Recovery</t>
  </si>
  <si>
    <t>% inputs</t>
  </si>
  <si>
    <t>APC Residues - produced</t>
  </si>
  <si>
    <t>IBA - produced</t>
  </si>
  <si>
    <t>Metals recycling</t>
  </si>
  <si>
    <t>Ferrous</t>
  </si>
  <si>
    <t>Non Ferrous</t>
  </si>
  <si>
    <t>Mixed Metal Skips (Scrap Metal Skips)</t>
  </si>
  <si>
    <t>Raw Material Usage</t>
  </si>
  <si>
    <t>kg or Ltr /te</t>
  </si>
  <si>
    <t>Mains Water</t>
  </si>
  <si>
    <r>
      <t>m</t>
    </r>
    <r>
      <rPr>
        <vertAlign val="superscript"/>
        <sz val="10"/>
        <color theme="1"/>
        <rFont val="Arial"/>
        <family val="2"/>
      </rPr>
      <t>3</t>
    </r>
  </si>
  <si>
    <t>Other Water ( Demin &amp; Raw)</t>
  </si>
  <si>
    <t>Ammonia / Urea</t>
  </si>
  <si>
    <t>kgs</t>
  </si>
  <si>
    <t>Activated Carbon</t>
  </si>
  <si>
    <t>Lime / hydrated lime</t>
  </si>
  <si>
    <t>Fuel oil (Mobile Plant)</t>
  </si>
  <si>
    <t>ltrs</t>
  </si>
  <si>
    <t>Natural Gas</t>
  </si>
  <si>
    <t>Other</t>
  </si>
  <si>
    <t>Summary of Hours</t>
  </si>
  <si>
    <t>Line/Unit</t>
  </si>
  <si>
    <t>Hours of waste combustion, total</t>
  </si>
  <si>
    <t>x %</t>
  </si>
  <si>
    <t>Overall Avaliability, mean average of all lines</t>
  </si>
  <si>
    <t>Hours of turbine operations, total</t>
  </si>
  <si>
    <t>Hours of heat / steam export</t>
  </si>
  <si>
    <t xml:space="preserve">Net Calorific Value of waste </t>
  </si>
  <si>
    <t>MJ/kg</t>
  </si>
  <si>
    <t>Abnormal Events</t>
  </si>
  <si>
    <t>qty.</t>
  </si>
  <si>
    <t>-</t>
  </si>
  <si>
    <t>Abnormal operation</t>
  </si>
  <si>
    <t>hours</t>
  </si>
  <si>
    <t>Permit Breaches</t>
  </si>
  <si>
    <t>Summary of Plant Operations and Maintenance during the reporting year</t>
  </si>
  <si>
    <t>We have had a very challenging 2022 with tube leaks in the second pass on Line 1 and first pass on Line 2
The Grate on Line Two had to be brought off line due to blockage in Jan 22, which was subsequently identified as grate bars failure; several grate bars had fractured and fell through to the grate bed causing a build up of ash under the grate.  This problem was shared with the OEM and whilst this is an uncommon failure it was not unique.
There were 6 tube leaks in Line 1 second pass throughout 2022.  The second pass pendants have now been replaced with incolnel overlayed tube so will eliminate these issues moving forward.
Line 2 has had 3 tube leaks in the 1st pass throughout 2022.  There has been extensive boiler tube and refractory replacement in the planned major outage so this should improve into 2023.
The turbine was brought off line at Sembcorp request 3 times in 2022 so that Wilton 11 could export steam only.
There were two planned maintenance periods during 2022; the first being a minor outages planned for the first and second week of April.  The major maintenance activity which was planned over Sep, was extended significantly due to the emergent boiler tube and refractory replacement, FGT plating repairs due to corrosion following technical surveys.  Major maintenance activity included boiler tube repairs, refractory survey and replacement and a minor service on the Grate. The Turbine underwent a minor service with nothing of significance to report and is due the major turbine and generator service in 2023.
The shutdown periods were:
Line 1, 1st Sept - 6th Nov 2022
Line 2, 20th Oct - 25th Dec 2022</t>
  </si>
  <si>
    <t xml:space="preserve">Include summary of key operational and/or maintenance activity undertaken in the year, such as any major component upgrades and/or replacements </t>
  </si>
  <si>
    <t>Summary of Residue Handling for the reporting year</t>
  </si>
  <si>
    <t xml:space="preserve">Residue handling system has performed well in 2022.
</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</si>
  <si>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</si>
  <si>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</si>
  <si>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</si>
  <si>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</si>
  <si>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</si>
  <si>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</si>
  <si>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</si>
  <si>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January</t>
  </si>
  <si>
    <t>to:</t>
  </si>
  <si>
    <t>December</t>
  </si>
  <si>
    <t>Annual Reporting of Waste Disposal and Recovery</t>
  </si>
  <si>
    <t>Waste Description</t>
  </si>
  <si>
    <t>Disposal Route(s)</t>
  </si>
  <si>
    <t>Disposal Tonnes</t>
  </si>
  <si>
    <t>Recovery Tonnes</t>
  </si>
  <si>
    <t>% / tonne of waste incinerated</t>
  </si>
  <si>
    <t>1) Hazardous Wastes</t>
  </si>
  <si>
    <t>APC Residues</t>
  </si>
  <si>
    <t>Landfill</t>
  </si>
  <si>
    <t>IBA</t>
  </si>
  <si>
    <t>Total Hazardous Waste</t>
  </si>
  <si>
    <t>2) Non-Hazardous Wastes</t>
  </si>
  <si>
    <t>Recovery</t>
  </si>
  <si>
    <t>Total Metals</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</si>
  <si>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</si>
  <si>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</si>
  <si>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</si>
  <si>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</si>
  <si>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</si>
  <si>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</si>
  <si>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</si>
  <si>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</si>
  <si>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</si>
  <si>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</si>
  <si>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</si>
  <si>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</si>
  <si>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</si>
  <si>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</si>
  <si>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</si>
  <si>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</si>
  <si>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</si>
  <si>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</si>
  <si>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</si>
  <si>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</si>
  <si>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</si>
  <si>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</si>
  <si>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</si>
  <si>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</si>
  <si>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</si>
  <si>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</si>
  <si>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</si>
  <si>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</si>
  <si>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</si>
  <si>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</si>
  <si>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</si>
  <si>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</si>
  <si>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</si>
  <si>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</si>
  <si>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</si>
  <si>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</si>
  <si>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</si>
  <si>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</si>
  <si>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</si>
  <si>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</si>
  <si>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</si>
  <si>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</si>
  <si>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</si>
  <si>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</si>
  <si>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</si>
  <si>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</si>
  <si>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Particulates</t>
  </si>
  <si>
    <t>Oxides of nitrogen</t>
  </si>
  <si>
    <t>Sulphur dioxide</t>
  </si>
  <si>
    <t>Carbon monoxide</t>
  </si>
  <si>
    <t xml:space="preserve"> 
100% 95% of 10-min averages</t>
  </si>
  <si>
    <t>Total organic carbon</t>
  </si>
  <si>
    <t>Hydrogen chloride</t>
  </si>
  <si>
    <t>Hydrogen fluoride</t>
  </si>
  <si>
    <t>NA</t>
  </si>
  <si>
    <t>Summary of any notifications or non-compliances under the permit</t>
  </si>
  <si>
    <t>Summary of notification or non-compliance [including Line/Reference]</t>
  </si>
  <si>
    <t xml:space="preserve">Reason </t>
  </si>
  <si>
    <t>Measures taken to prevent reoccurrence</t>
  </si>
  <si>
    <t>W11 001/2022 Line 2 Boiler Trip</t>
  </si>
  <si>
    <t xml:space="preserve">The Boiler tripped due to an operator error, the operator was being trained on the DCS. The grate feeders stroke lengths and Camera were manually reduced, causing the burners to cut in when the boiler temperature dropped. Waste feed had stopped meaning there was minimal waste on the grates, the burners ramped up and superheater temperatures raised, causing the boiler to trip. The boiler was restarted, but due to ID Fan, primary and secondary air fans being left in manual a breach occurred. 
A trained operator took over and brought the plant back online in a safe and controlled manner. 
No further mistakes have taken place following a robust training programme. </t>
  </si>
  <si>
    <t>•	Full DCS training to be given to new starters/Promotions and signed off
•	Toolbox talks on reporting of breaches to be given to Shift Teams</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</si>
  <si>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</si>
  <si>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</si>
  <si>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</si>
  <si>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</si>
  <si>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</si>
  <si>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</si>
  <si>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The improvements made in 2021, specifically installed SPGs and Steam Cycle Improvements have continued to yield positive results.
Improvements have been made to the Boiler Design to remove failure modes from the Boiler. New materials have been installed that are more hard wearing which will reduce tube wear and improve the longevity. 
Class 5 Isolation valves have been installed in the HP steam lines which gaurentee a lower leakage rate therefore improve efficency of the boiler steam output. 
Considerable work to improve the efficency of the FGT + Bag Filter carried out by minimising air ingress to flue gas path. This is having a postive effect on ragent usage.</t>
  </si>
  <si>
    <t>Summary of any permit improvement conditions that have been completed within the year and the resulting environmental benefits.</t>
  </si>
  <si>
    <t xml:space="preserve">None, completed in previous years. </t>
  </si>
  <si>
    <t>Summary of any changes to the plant or operating techniques which required a variation to the permit and a summary of the resulting environmental impact.</t>
  </si>
  <si>
    <t xml:space="preserve">None. </t>
  </si>
  <si>
    <t>Summary of any other improvements made to the plant or planned to be made and a summary of the resulting environmental benefits.</t>
  </si>
  <si>
    <t>Improvement as detailed above to the FGT is reduced reagent consumption.</t>
  </si>
  <si>
    <t>Details of Public &amp; Stakeholder Liasion</t>
  </si>
  <si>
    <t>Summary of events held during the reporting year.</t>
  </si>
  <si>
    <t>Description</t>
  </si>
  <si>
    <t>EA visit to complete R1 validation</t>
  </si>
  <si>
    <t>Groups visit of 22 by the Dept. National Trade</t>
  </si>
  <si>
    <t>1 visitor from Weighpoint</t>
  </si>
  <si>
    <t>3 visitors to conduct audit with Mott McDonald</t>
  </si>
  <si>
    <t>List of events planned for next year</t>
  </si>
  <si>
    <t>If you wish to be involved in the public liasion programme, please contact _________________</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</si>
  <si>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</si>
  <si>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</si>
  <si>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</si>
  <si>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357812.1737 tonnes </t>
  </si>
  <si>
    <t>Annual mass of carbon dioxide released per tonne of waste burned</t>
  </si>
  <si>
    <t>1.00 tonnes</t>
  </si>
  <si>
    <t>Annual mass of carbon dioxide released per MWh of energy exported</t>
  </si>
  <si>
    <t xml:space="preserve">3.14 tonnes </t>
  </si>
  <si>
    <t>Description of how annual carbon dioxide mass emission has been calculated</t>
  </si>
  <si>
    <t>Calculated from reported CO2 volume fraction on the CEMS and the stack flowrate readings on an adjusted basis for each line</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</si>
  <si>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</si>
  <si>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</si>
  <si>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</si>
  <si>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 xml:space="preserve">0.5 tonnes </t>
  </si>
  <si>
    <t>Description of how annual nitrous oxide mass emission has been calculated</t>
  </si>
  <si>
    <t>Calculated from reported N2O mass concentration on the CEMS and the stack flowrate readings on an adjusted basis for each line</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</si>
  <si>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</si>
  <si>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</si>
  <si>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357,961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</si>
  <si>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</si>
  <si>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</si>
  <si>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Description of how biogenic NCV percentage has been calculated or estimated</t>
  </si>
  <si>
    <t>From CO2 boigenic analyser on site</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</si>
  <si>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</si>
  <si>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</si>
  <si>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</si>
  <si>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</si>
  <si>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</si>
  <si>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</si>
  <si>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</si>
  <si>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Quarterly IBA &amp; APCR samples taken on Lines 1&amp;2</t>
  </si>
  <si>
    <t>Fortnightly hazard assessment carried out on Lines 1&amp;2</t>
  </si>
  <si>
    <t>Commentary on any specific events</t>
  </si>
  <si>
    <t>Date &amp; Event</t>
  </si>
  <si>
    <t>Residue Quality Monitoring Results</t>
  </si>
  <si>
    <t xml:space="preserve">Parameter (unit) </t>
  </si>
  <si>
    <t>Limit</t>
  </si>
  <si>
    <t xml:space="preserve">Normal Operation </t>
  </si>
  <si>
    <t xml:space="preserve">Bottom ash  </t>
  </si>
  <si>
    <t>Loss on Ignition (%)</t>
  </si>
  <si>
    <t>&lt;5%</t>
  </si>
  <si>
    <t>ToC (%)</t>
  </si>
  <si>
    <t>&lt;3%</t>
  </si>
  <si>
    <t>No. of Assessments Undertaken</t>
  </si>
  <si>
    <t>---</t>
  </si>
  <si>
    <t>1 samples per quarter</t>
  </si>
  <si>
    <t>No. of Hazardous Assessments</t>
  </si>
  <si>
    <t>Fortnightly hazard assessment, unless plant outage</t>
  </si>
  <si>
    <t>Comments :</t>
  </si>
  <si>
    <t xml:space="preserve">None carried out </t>
  </si>
  <si>
    <t>Emissions to Water / Sewer</t>
  </si>
  <si>
    <t>Monitoring Frequency</t>
  </si>
  <si>
    <t>Target</t>
  </si>
  <si>
    <t>Max.</t>
  </si>
  <si>
    <t>Average</t>
  </si>
  <si>
    <t>Summary of monitoring undertaken, standards used and compliance</t>
  </si>
  <si>
    <t>Monitoring completed biannually.</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</si>
  <si>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</si>
  <si>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</si>
  <si>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</si>
  <si>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</si>
  <si>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</si>
  <si>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</si>
  <si>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</si>
  <si>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</si>
  <si>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</si>
  <si>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</si>
  <si>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</si>
  <si>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</si>
  <si>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</si>
  <si>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</si>
  <si>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</si>
  <si>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</si>
  <si>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</si>
  <si>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</si>
  <si>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</si>
  <si>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</si>
  <si>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</si>
  <si>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</si>
  <si>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</si>
  <si>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</si>
  <si>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</si>
  <si>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</si>
  <si>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</si>
  <si>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</si>
  <si>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</si>
  <si>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</si>
  <si>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</si>
  <si>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</si>
  <si>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</si>
  <si>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</si>
  <si>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</si>
  <si>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</si>
  <si>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</si>
  <si>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</si>
  <si>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</si>
  <si>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</si>
  <si>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</si>
  <si>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Results of emissions to air that are continuously monitored</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</si>
  <si>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</si>
  <si>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</si>
  <si>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</si>
  <si>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</si>
  <si>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</si>
  <si>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</si>
  <si>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</si>
  <si>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</si>
  <si>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</si>
  <si>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</si>
  <si>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</si>
  <si>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</si>
  <si>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</si>
  <si>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</si>
  <si>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</si>
  <si>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</si>
  <si>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</si>
  <si>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</si>
  <si>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</si>
  <si>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</si>
  <si>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</si>
  <si>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</si>
  <si>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</si>
  <si>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</si>
  <si>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</si>
  <si>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</si>
  <si>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</si>
  <si>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</si>
  <si>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</si>
  <si>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</si>
  <si>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</si>
  <si>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</si>
  <si>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</si>
  <si>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</si>
  <si>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</si>
  <si>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</si>
  <si>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</si>
  <si>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</si>
  <si>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</si>
  <si>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</si>
  <si>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</si>
  <si>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</si>
  <si>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</si>
  <si>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</si>
  <si>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</si>
  <si>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</si>
  <si>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</si>
  <si>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</si>
  <si>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</si>
  <si>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</si>
  <si>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</si>
  <si>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</si>
  <si>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</si>
  <si>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</si>
  <si>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</si>
  <si>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</si>
  <si>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</si>
  <si>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</si>
  <si>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</si>
  <si>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</si>
  <si>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</si>
  <si>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</si>
  <si>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</si>
  <si>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</si>
  <si>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</si>
  <si>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</si>
  <si>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</si>
  <si>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</si>
  <si>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</si>
  <si>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</si>
  <si>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</si>
  <si>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</si>
  <si>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</si>
  <si>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</si>
  <si>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</si>
  <si>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Daily CO ELV</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</si>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</sst>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34">
    <font>
      <sz val="11"/>
      <color theme="1"/>
      <name val="Calibri"/>
      <family val="2"/>
      <scheme val="minor"/>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u/>
      <sz val="11"/>
      <color theme="10"/>
      <name val="Calibri"/>
      <family val="2"/>
      <scheme val="minor"/>
    </font>
    <font>
      <sz val="10"/>
      <name val="Arial"/>
      <family val="2"/>
    </font>
    <font>
      <i/>
      <sz val="11"/>
      <name val="Arial"/>
      <family val="2"/>
    </font>
    <font>
      <sz val="11"/>
      <name val="Calibri"/>
      <family val="2"/>
      <scheme val="minor"/>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2" fillId="0" borderId="0" applyFont="0" applyFill="0" applyBorder="0" applyAlignment="0" applyProtection="0"/>
    <xf numFmtId="9" fontId="2" fillId="0" borderId="0" applyFont="0" applyFill="0" applyBorder="0" applyAlignment="0" applyProtection="0"/>
    <xf numFmtId="0" fontId="30" fillId="0" borderId="0" applyNumberFormat="0" applyFill="0" applyBorder="0" applyAlignment="0" applyProtection="0"/>
  </cellStyleXfs>
  <cellXfs count="433">
    <xf numFmtId="0" fontId="0" fillId="0" borderId="0" xfId="0"/>
    <xf numFmtId="0" fontId="3" fillId="0" borderId="0" xfId="0" applyFont="1"/>
    <xf numFmtId="0" fontId="4" fillId="0" borderId="0" xfId="0" applyFont="1"/>
    <xf numFmtId="0" fontId="5" fillId="0" borderId="0" xfId="0" applyFont="1"/>
    <xf numFmtId="0" fontId="5" fillId="2" borderId="2" xfId="0" applyFont="1" applyFill="1" applyBorder="1" applyAlignment="1">
      <alignment horizontal="center"/>
    </xf>
    <xf numFmtId="0" fontId="6" fillId="0" borderId="2" xfId="0" applyFont="1" applyBorder="1"/>
    <xf numFmtId="0" fontId="7" fillId="0" borderId="0" xfId="0" applyFont="1"/>
    <xf numFmtId="0" fontId="8" fillId="0" borderId="0" xfId="0" applyFont="1"/>
    <xf numFmtId="0" fontId="6" fillId="0" borderId="0" xfId="0" applyFont="1"/>
    <xf numFmtId="0" fontId="9" fillId="0" borderId="2" xfId="0" applyFont="1" applyBorder="1" applyAlignment="1">
      <alignment horizontal="center"/>
    </xf>
    <xf numFmtId="0" fontId="9" fillId="0" borderId="2" xfId="0" applyFont="1" applyBorder="1"/>
    <xf numFmtId="0" fontId="10" fillId="2" borderId="2" xfId="0" applyFont="1" applyFill="1" applyBorder="1" applyAlignment="1">
      <alignment horizontal="center"/>
    </xf>
    <xf numFmtId="0" fontId="10" fillId="0" borderId="0" xfId="0" applyFont="1"/>
    <xf numFmtId="0" fontId="9" fillId="0" borderId="2" xfId="0" applyFont="1" applyBorder="1" applyAlignment="1">
      <alignment horizontal="center" vertical="top"/>
    </xf>
    <xf numFmtId="0" fontId="9" fillId="0" borderId="2" xfId="0" applyFont="1" applyBorder="1" applyAlignment="1">
      <alignment vertical="top"/>
    </xf>
    <xf numFmtId="0" fontId="10" fillId="2" borderId="2" xfId="0" applyFont="1" applyFill="1" applyBorder="1" applyAlignment="1">
      <alignment horizontal="center" vertical="top"/>
    </xf>
    <xf numFmtId="0" fontId="9" fillId="0" borderId="0" xfId="0" applyFont="1"/>
    <xf numFmtId="0" fontId="10" fillId="0" borderId="0" xfId="0" applyFont="1" applyAlignment="1">
      <alignment horizontal="center"/>
    </xf>
    <xf numFmtId="0" fontId="11" fillId="0" borderId="0" xfId="0" applyFont="1"/>
    <xf numFmtId="0" fontId="5" fillId="0" borderId="6" xfId="0" applyFont="1" applyBorder="1"/>
    <xf numFmtId="0" fontId="5" fillId="3" borderId="7" xfId="0" applyFont="1" applyFill="1" applyBorder="1" applyAlignment="1">
      <alignment vertical="center"/>
    </xf>
    <xf numFmtId="0" fontId="5" fillId="0" borderId="11" xfId="0" applyFont="1" applyBorder="1"/>
    <xf numFmtId="0" fontId="5" fillId="2" borderId="12" xfId="0" applyFont="1" applyFill="1" applyBorder="1" applyAlignment="1">
      <alignment horizontal="center" vertical="center"/>
    </xf>
    <xf numFmtId="0" fontId="5" fillId="0" borderId="12" xfId="0" applyFont="1" applyBorder="1"/>
    <xf numFmtId="0" fontId="5" fillId="2" borderId="12" xfId="0" applyFont="1" applyFill="1" applyBorder="1" applyAlignment="1">
      <alignment horizontal="center"/>
    </xf>
    <xf numFmtId="0" fontId="6" fillId="0" borderId="12" xfId="0" applyFont="1" applyBorder="1"/>
    <xf numFmtId="0" fontId="5" fillId="0" borderId="13" xfId="0" applyFont="1" applyBorder="1" applyAlignment="1">
      <alignment horizontal="center"/>
    </xf>
    <xf numFmtId="0" fontId="10" fillId="0" borderId="3" xfId="0" applyFont="1" applyBorder="1"/>
    <xf numFmtId="0" fontId="10" fillId="0" borderId="4" xfId="0" applyFont="1" applyBorder="1" applyAlignment="1">
      <alignment horizontal="center"/>
    </xf>
    <xf numFmtId="0" fontId="9" fillId="0" borderId="4" xfId="0" applyFont="1" applyBorder="1" applyAlignment="1">
      <alignment horizontal="center"/>
    </xf>
    <xf numFmtId="0" fontId="10" fillId="0" borderId="5" xfId="0" applyFont="1" applyBorder="1" applyAlignment="1">
      <alignment horizontal="center"/>
    </xf>
    <xf numFmtId="0" fontId="10" fillId="0" borderId="6" xfId="0" applyFont="1" applyBorder="1" applyAlignment="1">
      <alignment vertical="center"/>
    </xf>
    <xf numFmtId="164" fontId="10" fillId="2" borderId="7" xfId="1" applyNumberFormat="1" applyFont="1" applyFill="1" applyBorder="1" applyAlignment="1">
      <alignment horizontal="center"/>
    </xf>
    <xf numFmtId="164" fontId="9" fillId="0" borderId="7" xfId="1" applyNumberFormat="1" applyFont="1" applyBorder="1" applyAlignment="1">
      <alignment horizontal="center"/>
    </xf>
    <xf numFmtId="165" fontId="10" fillId="0" borderId="10" xfId="2" applyNumberFormat="1" applyFont="1" applyBorder="1" applyAlignment="1">
      <alignment horizontal="center"/>
    </xf>
    <xf numFmtId="0" fontId="10" fillId="0" borderId="9" xfId="0" applyFont="1" applyBorder="1" applyAlignment="1">
      <alignment vertical="center"/>
    </xf>
    <xf numFmtId="164" fontId="10" fillId="2" borderId="0" xfId="1" applyNumberFormat="1" applyFont="1" applyFill="1" applyAlignment="1">
      <alignment horizontal="center"/>
    </xf>
    <xf numFmtId="164" fontId="9" fillId="0" borderId="0" xfId="1" applyNumberFormat="1" applyFont="1" applyAlignment="1">
      <alignment horizontal="center"/>
    </xf>
    <xf numFmtId="0" fontId="9" fillId="0" borderId="9" xfId="0" applyFont="1" applyBorder="1" applyAlignment="1">
      <alignment vertical="center"/>
    </xf>
    <xf numFmtId="0" fontId="10" fillId="0" borderId="11" xfId="0" applyFont="1" applyBorder="1" applyAlignment="1">
      <alignment vertical="center"/>
    </xf>
    <xf numFmtId="164" fontId="10" fillId="2" borderId="12" xfId="1" applyNumberFormat="1" applyFont="1" applyFill="1" applyBorder="1" applyAlignment="1">
      <alignment horizontal="center"/>
    </xf>
    <xf numFmtId="164" fontId="9" fillId="0" borderId="12" xfId="1" applyNumberFormat="1" applyFont="1" applyBorder="1" applyAlignment="1">
      <alignment horizontal="center"/>
    </xf>
    <xf numFmtId="0" fontId="9" fillId="0" borderId="0" xfId="0" applyFont="1" applyAlignment="1">
      <alignment horizontal="center"/>
    </xf>
    <xf numFmtId="0" fontId="10" fillId="0" borderId="7" xfId="0" applyFont="1" applyBorder="1" applyAlignment="1">
      <alignment horizontal="center"/>
    </xf>
    <xf numFmtId="0" fontId="9" fillId="0" borderId="7" xfId="0" applyFont="1" applyBorder="1" applyAlignment="1">
      <alignment horizontal="center"/>
    </xf>
    <xf numFmtId="0" fontId="10" fillId="0" borderId="8" xfId="0" applyFont="1" applyBorder="1" applyAlignment="1">
      <alignment horizontal="center"/>
    </xf>
    <xf numFmtId="0" fontId="10" fillId="0" borderId="6" xfId="0" applyFont="1" applyBorder="1"/>
    <xf numFmtId="164" fontId="10" fillId="0" borderId="8" xfId="0" applyNumberFormat="1" applyFont="1" applyBorder="1" applyAlignment="1">
      <alignment horizontal="center"/>
    </xf>
    <xf numFmtId="0" fontId="10" fillId="0" borderId="9" xfId="0" applyFont="1" applyBorder="1"/>
    <xf numFmtId="164" fontId="10" fillId="0" borderId="10" xfId="0" applyNumberFormat="1" applyFont="1" applyBorder="1" applyAlignment="1">
      <alignment horizontal="center"/>
    </xf>
    <xf numFmtId="0" fontId="10" fillId="0" borderId="0" xfId="0" applyFont="1" applyAlignment="1">
      <alignment horizontal="center" vertical="center"/>
    </xf>
    <xf numFmtId="165" fontId="10" fillId="0" borderId="0" xfId="2" applyNumberFormat="1" applyFont="1" applyAlignment="1">
      <alignment horizontal="center" vertical="center"/>
    </xf>
    <xf numFmtId="0" fontId="10" fillId="0" borderId="11" xfId="0" applyFont="1" applyBorder="1"/>
    <xf numFmtId="0" fontId="10" fillId="0" borderId="12" xfId="0" applyFont="1" applyBorder="1"/>
    <xf numFmtId="0" fontId="10" fillId="0" borderId="6" xfId="0" applyFont="1" applyBorder="1" applyAlignment="1">
      <alignment horizontal="center" vertical="center"/>
    </xf>
    <xf numFmtId="0" fontId="10" fillId="0" borderId="8" xfId="0" quotePrefix="1" applyFont="1" applyBorder="1" applyAlignment="1">
      <alignment horizontal="center"/>
    </xf>
    <xf numFmtId="165" fontId="10" fillId="0" borderId="8" xfId="2" applyNumberFormat="1" applyFont="1" applyBorder="1" applyAlignment="1">
      <alignment horizontal="center"/>
    </xf>
    <xf numFmtId="0" fontId="10" fillId="2" borderId="9" xfId="0" applyFont="1" applyFill="1" applyBorder="1"/>
    <xf numFmtId="0" fontId="10" fillId="2" borderId="11" xfId="0" applyFont="1" applyFill="1" applyBorder="1"/>
    <xf numFmtId="165" fontId="10" fillId="0" borderId="13" xfId="2" applyNumberFormat="1" applyFont="1" applyBorder="1" applyAlignment="1">
      <alignment horizontal="center"/>
    </xf>
    <xf numFmtId="0" fontId="10" fillId="0" borderId="3" xfId="0" applyFont="1" applyBorder="1" applyAlignment="1">
      <alignment horizontal="center" vertical="center"/>
    </xf>
    <xf numFmtId="43" fontId="10" fillId="0" borderId="10" xfId="0" applyNumberFormat="1" applyFont="1" applyBorder="1" applyAlignment="1">
      <alignment horizontal="center" vertical="center"/>
    </xf>
    <xf numFmtId="0" fontId="10" fillId="2" borderId="12" xfId="0" applyFont="1" applyFill="1" applyBorder="1" applyAlignment="1">
      <alignment horizontal="center" vertical="center"/>
    </xf>
    <xf numFmtId="0" fontId="10" fillId="0" borderId="6" xfId="0" applyFont="1" applyBorder="1" applyAlignment="1">
      <alignment horizontal="center"/>
    </xf>
    <xf numFmtId="10" fontId="10" fillId="0" borderId="10" xfId="2" applyNumberFormat="1" applyFont="1" applyBorder="1" applyAlignment="1">
      <alignment horizontal="center"/>
    </xf>
    <xf numFmtId="0" fontId="10" fillId="0" borderId="12" xfId="0" applyFont="1" applyBorder="1" applyAlignment="1">
      <alignment horizontal="center"/>
    </xf>
    <xf numFmtId="164" fontId="10" fillId="0" borderId="13" xfId="0" applyNumberFormat="1" applyFont="1" applyBorder="1" applyAlignment="1">
      <alignment horizontal="center"/>
    </xf>
    <xf numFmtId="0" fontId="3" fillId="0" borderId="0" xfId="0" applyFont="1" applyAlignment="1">
      <alignment horizontal="right"/>
    </xf>
    <xf numFmtId="0" fontId="3" fillId="0" borderId="0" xfId="0" applyFont="1" applyAlignment="1">
      <alignment vertical="center"/>
    </xf>
    <xf numFmtId="0" fontId="5" fillId="0" borderId="0" xfId="0" applyFont="1" applyAlignment="1">
      <alignment horizontal="center"/>
    </xf>
    <xf numFmtId="0" fontId="10" fillId="0" borderId="0" xfId="0" applyFont="1" applyAlignment="1">
      <alignment vertical="center"/>
    </xf>
    <xf numFmtId="0" fontId="13" fillId="4" borderId="6" xfId="0" applyFont="1" applyFill="1" applyBorder="1" applyAlignment="1">
      <alignment vertical="center" wrapText="1"/>
    </xf>
    <xf numFmtId="0" fontId="13" fillId="4" borderId="8" xfId="0" applyFont="1" applyFill="1" applyBorder="1" applyAlignment="1">
      <alignment vertical="center" wrapText="1"/>
    </xf>
    <xf numFmtId="0" fontId="13" fillId="4" borderId="1" xfId="0" applyFont="1" applyFill="1" applyBorder="1" applyAlignment="1">
      <alignment horizontal="center" vertical="center" wrapText="1"/>
    </xf>
    <xf numFmtId="0" fontId="13" fillId="4" borderId="1" xfId="0" applyFont="1" applyFill="1" applyBorder="1" applyAlignment="1">
      <alignment vertical="center" wrapText="1"/>
    </xf>
    <xf numFmtId="4" fontId="10" fillId="0" borderId="2" xfId="0" applyNumberFormat="1" applyFont="1" applyBorder="1" applyAlignment="1">
      <alignment horizontal="center" vertical="center" wrapText="1"/>
    </xf>
    <xf numFmtId="4" fontId="10" fillId="2" borderId="2" xfId="0" applyNumberFormat="1" applyFont="1" applyFill="1" applyBorder="1" applyAlignment="1">
      <alignment horizontal="center" vertical="center" wrapText="1"/>
    </xf>
    <xf numFmtId="0" fontId="5" fillId="0" borderId="0" xfId="0" applyFont="1" applyAlignment="1">
      <alignment horizontal="left" vertical="top" wrapText="1"/>
    </xf>
    <xf numFmtId="0" fontId="13" fillId="4" borderId="2" xfId="0" applyFont="1" applyFill="1" applyBorder="1" applyAlignment="1">
      <alignment vertical="center" wrapText="1"/>
    </xf>
    <xf numFmtId="0" fontId="14" fillId="0" borderId="12" xfId="0" applyFont="1" applyBorder="1"/>
    <xf numFmtId="0" fontId="5" fillId="0" borderId="0" xfId="0" applyFont="1" applyAlignment="1">
      <alignment vertical="center"/>
    </xf>
    <xf numFmtId="0" fontId="4" fillId="0" borderId="0" xfId="0" applyFont="1" applyAlignment="1">
      <alignment horizontal="left" vertical="center" wrapText="1"/>
    </xf>
    <xf numFmtId="0" fontId="6" fillId="0" borderId="3" xfId="0" applyFont="1" applyBorder="1" applyAlignment="1">
      <alignment vertical="center"/>
    </xf>
    <xf numFmtId="0" fontId="6" fillId="0" borderId="4" xfId="0" applyFont="1" applyBorder="1" applyAlignment="1">
      <alignment vertical="center"/>
    </xf>
    <xf numFmtId="0" fontId="6" fillId="0" borderId="5" xfId="0" applyFont="1" applyBorder="1" applyAlignment="1">
      <alignment vertical="center"/>
    </xf>
    <xf numFmtId="0" fontId="6" fillId="0" borderId="6" xfId="0" applyFont="1" applyBorder="1"/>
    <xf numFmtId="0" fontId="6" fillId="0" borderId="3" xfId="0" applyFont="1" applyBorder="1"/>
    <xf numFmtId="0" fontId="3" fillId="0" borderId="3" xfId="0" applyFont="1" applyBorder="1"/>
    <xf numFmtId="0" fontId="10" fillId="0" borderId="2" xfId="0" applyFont="1" applyBorder="1" applyAlignment="1">
      <alignment horizontal="center"/>
    </xf>
    <xf numFmtId="0" fontId="9" fillId="0" borderId="2" xfId="0" applyFont="1" applyBorder="1" applyAlignment="1">
      <alignment horizontal="center" vertical="center"/>
    </xf>
    <xf numFmtId="0" fontId="6" fillId="0" borderId="2" xfId="0" applyFont="1" applyBorder="1" applyAlignment="1">
      <alignment horizontal="center" vertical="center" wrapText="1"/>
    </xf>
    <xf numFmtId="0" fontId="15" fillId="0" borderId="0" xfId="0" applyFont="1"/>
    <xf numFmtId="9" fontId="10" fillId="0" borderId="2" xfId="0" applyNumberFormat="1" applyFont="1" applyBorder="1" applyAlignment="1">
      <alignment horizontal="center" vertical="center" wrapText="1"/>
    </xf>
    <xf numFmtId="0" fontId="16" fillId="0" borderId="2" xfId="0" applyFont="1" applyBorder="1" applyAlignment="1">
      <alignment horizontal="center"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6" fillId="0" borderId="0" xfId="0" applyFont="1" applyAlignment="1">
      <alignment vertical="top"/>
    </xf>
    <xf numFmtId="0" fontId="6" fillId="0" borderId="2" xfId="0" applyFont="1" applyBorder="1" applyAlignment="1">
      <alignment horizontal="center" vertical="center"/>
    </xf>
    <xf numFmtId="0" fontId="5" fillId="0" borderId="2" xfId="0" applyFont="1" applyBorder="1"/>
    <xf numFmtId="0" fontId="18" fillId="0" borderId="2" xfId="0" applyFont="1" applyBorder="1" applyAlignment="1">
      <alignment horizontal="center"/>
    </xf>
    <xf numFmtId="0" fontId="5" fillId="5" borderId="2" xfId="0" applyFont="1" applyFill="1" applyBorder="1" applyAlignment="1">
      <alignment horizontal="center"/>
    </xf>
    <xf numFmtId="0" fontId="6" fillId="0" borderId="2" xfId="0" applyFont="1" applyBorder="1" applyAlignment="1">
      <alignment horizontal="left" vertical="center"/>
    </xf>
    <xf numFmtId="0" fontId="5" fillId="0" borderId="2" xfId="0" applyFont="1" applyBorder="1" applyAlignment="1">
      <alignment horizontal="left"/>
    </xf>
    <xf numFmtId="0" fontId="6" fillId="0" borderId="1" xfId="0" applyFont="1" applyBorder="1" applyAlignment="1">
      <alignment horizontal="center" vertical="center" wrapText="1"/>
    </xf>
    <xf numFmtId="0" fontId="6" fillId="0" borderId="0" xfId="0" applyFont="1" applyAlignment="1">
      <alignment vertical="center"/>
    </xf>
    <xf numFmtId="0" fontId="18" fillId="5" borderId="2" xfId="0" applyFont="1" applyFill="1" applyBorder="1" applyAlignment="1">
      <alignment horizontal="center"/>
    </xf>
    <xf numFmtId="0" fontId="5" fillId="0" borderId="8" xfId="0" applyFont="1" applyBorder="1" applyAlignment="1">
      <alignment horizontal="left"/>
    </xf>
    <xf numFmtId="0" fontId="20" fillId="0" borderId="0" xfId="0" applyFont="1"/>
    <xf numFmtId="164" fontId="10" fillId="2" borderId="0" xfId="1" applyNumberFormat="1" applyFont="1" applyFill="1" applyBorder="1" applyAlignment="1">
      <alignment horizontal="center"/>
    </xf>
    <xf numFmtId="0" fontId="10" fillId="7" borderId="9" xfId="0" applyFont="1" applyFill="1" applyBorder="1" applyAlignment="1">
      <alignment vertical="center"/>
    </xf>
    <xf numFmtId="0" fontId="5" fillId="0" borderId="9" xfId="0" applyFont="1" applyBorder="1"/>
    <xf numFmtId="0" fontId="21" fillId="0" borderId="0" xfId="0" applyFont="1"/>
    <xf numFmtId="0" fontId="22" fillId="0" borderId="0" xfId="0" applyFont="1"/>
    <xf numFmtId="0" fontId="23" fillId="0" borderId="0" xfId="0" applyFont="1"/>
    <xf numFmtId="0" fontId="10" fillId="0" borderId="7" xfId="0" applyFont="1" applyBorder="1" applyAlignment="1">
      <alignment horizontal="center" vertical="center"/>
    </xf>
    <xf numFmtId="0" fontId="6" fillId="0" borderId="0" xfId="0" applyFont="1" applyAlignment="1">
      <alignment horizontal="center"/>
    </xf>
    <xf numFmtId="0" fontId="25" fillId="0" borderId="0" xfId="0" applyFont="1"/>
    <xf numFmtId="0" fontId="26" fillId="0" borderId="0" xfId="0" applyFont="1"/>
    <xf numFmtId="0" fontId="27" fillId="0" borderId="0" xfId="0" applyFont="1"/>
    <xf numFmtId="0" fontId="22" fillId="0" borderId="0" xfId="0" applyFont="1" applyAlignment="1">
      <alignment horizontal="right"/>
    </xf>
    <xf numFmtId="0" fontId="28" fillId="0" borderId="0" xfId="0" applyFont="1"/>
    <xf numFmtId="0" fontId="29" fillId="0" borderId="0" xfId="0" applyFont="1"/>
    <xf numFmtId="0" fontId="10" fillId="0" borderId="1" xfId="0" applyFont="1" applyBorder="1" applyAlignment="1">
      <alignment horizontal="left" vertical="center" wrapText="1"/>
    </xf>
    <xf numFmtId="0" fontId="10" fillId="0" borderId="1" xfId="0" applyFont="1" applyBorder="1" applyAlignment="1">
      <alignment horizontal="center" vertical="center" wrapText="1"/>
    </xf>
    <xf numFmtId="0" fontId="10" fillId="5" borderId="1" xfId="0" applyFont="1" applyFill="1" applyBorder="1" applyAlignment="1">
      <alignment horizontal="center" vertical="center" wrapText="1"/>
    </xf>
    <xf numFmtId="0" fontId="6" fillId="0" borderId="11" xfId="0" applyFont="1" applyBorder="1" applyAlignment="1">
      <alignment horizontal="left" vertical="top" wrapText="1"/>
    </xf>
    <xf numFmtId="0" fontId="6" fillId="0" borderId="12" xfId="0" applyFont="1" applyBorder="1" applyAlignment="1">
      <alignment horizontal="left" vertical="top" wrapText="1"/>
    </xf>
    <xf numFmtId="0" fontId="6" fillId="0" borderId="13" xfId="0" applyFont="1" applyBorder="1" applyAlignment="1">
      <alignment horizontal="left" vertical="top" wrapText="1"/>
    </xf>
    <xf numFmtId="0" fontId="1" fillId="0" borderId="0" xfId="0" applyFont="1"/>
    <xf numFmtId="43" fontId="9" fillId="0" borderId="7" xfId="1" applyFont="1" applyBorder="1" applyAlignment="1">
      <alignment horizontal="center"/>
    </xf>
    <xf numFmtId="43" fontId="9" fillId="0" borderId="0" xfId="1" applyFont="1" applyAlignment="1">
      <alignment horizontal="center"/>
    </xf>
    <xf numFmtId="14" fontId="10" fillId="2" borderId="2" xfId="0" applyNumberFormat="1" applyFont="1" applyFill="1" applyBorder="1" applyAlignment="1">
      <alignment horizontal="left" vertical="top"/>
    </xf>
    <xf numFmtId="0" fontId="10" fillId="0" borderId="9" xfId="0" applyFont="1" applyBorder="1" applyAlignment="1">
      <alignment vertical="top" wrapText="1"/>
    </xf>
    <xf numFmtId="43" fontId="10" fillId="2" borderId="0" xfId="1" applyFont="1" applyFill="1" applyBorder="1" applyAlignment="1">
      <alignment horizontal="center"/>
    </xf>
    <xf numFmtId="165" fontId="10" fillId="0" borderId="10" xfId="2" applyNumberFormat="1" applyFont="1" applyFill="1" applyBorder="1" applyAlignment="1">
      <alignment horizontal="center"/>
    </xf>
    <xf numFmtId="0" fontId="9" fillId="0" borderId="11" xfId="0" applyFont="1" applyBorder="1" applyAlignment="1">
      <alignment vertical="center"/>
    </xf>
    <xf numFmtId="164" fontId="9" fillId="2" borderId="12" xfId="1" applyNumberFormat="1" applyFont="1" applyFill="1" applyBorder="1" applyAlignment="1">
      <alignment horizontal="center"/>
    </xf>
    <xf numFmtId="164" fontId="5" fillId="2" borderId="7" xfId="1" applyNumberFormat="1" applyFont="1" applyFill="1" applyBorder="1"/>
    <xf numFmtId="0" fontId="10" fillId="2" borderId="2" xfId="0" applyFont="1" applyFill="1" applyBorder="1" applyAlignment="1">
      <alignment horizontal="left"/>
    </xf>
    <xf numFmtId="0" fontId="10" fillId="0" borderId="2" xfId="0" applyFont="1" applyBorder="1" applyAlignment="1">
      <alignment horizontal="left" vertical="center" wrapText="1"/>
    </xf>
    <xf numFmtId="0" fontId="10" fillId="2" borderId="2" xfId="0" applyFont="1" applyFill="1" applyBorder="1" applyAlignment="1">
      <alignment horizontal="center" vertical="center" wrapText="1"/>
    </xf>
    <xf numFmtId="0" fontId="13" fillId="4" borderId="2" xfId="0" applyFont="1" applyFill="1" applyBorder="1" applyAlignment="1">
      <alignment horizontal="center" vertical="center" wrapText="1"/>
    </xf>
    <xf numFmtId="0" fontId="10" fillId="2" borderId="2" xfId="0" applyFont="1" applyFill="1" applyBorder="1" applyAlignment="1">
      <alignment vertical="center" wrapText="1"/>
    </xf>
    <xf numFmtId="0" fontId="10" fillId="0" borderId="2" xfId="0" applyFont="1" applyBorder="1" applyAlignment="1">
      <alignment vertical="center" wrapText="1"/>
    </xf>
    <xf numFmtId="0" fontId="10" fillId="0" borderId="2" xfId="0" applyFont="1" applyBorder="1" applyAlignment="1">
      <alignment horizontal="center" vertical="center" wrapText="1"/>
    </xf>
    <xf numFmtId="0" fontId="9" fillId="0" borderId="2" xfId="0" applyFont="1" applyBorder="1" applyAlignment="1">
      <alignment horizontal="center" vertical="center" wrapText="1"/>
    </xf>
    <xf numFmtId="0" fontId="10" fillId="5" borderId="2" xfId="0" applyFont="1" applyFill="1" applyBorder="1" applyAlignment="1">
      <alignment horizontal="center" vertical="center" wrapText="1"/>
    </xf>
    <xf numFmtId="0" fontId="6" fillId="0" borderId="2" xfId="0" applyFont="1" applyBorder="1" applyAlignment="1">
      <alignment horizontal="center"/>
    </xf>
    <xf numFmtId="17" fontId="1" fillId="0" borderId="0" xfId="0" applyNumberFormat="1" applyFont="1"/>
    <xf numFmtId="0" fontId="1" fillId="2" borderId="0" xfId="0" applyFont="1" applyFill="1"/>
    <xf numFmtId="0" fontId="1" fillId="0" borderId="0" xfId="0" applyFont="1" applyAlignment="1">
      <alignment horizontal="left"/>
    </xf>
    <xf numFmtId="0" fontId="1" fillId="0" borderId="4" xfId="0" applyFont="1" applyBorder="1"/>
    <xf numFmtId="0" fontId="1" fillId="0" borderId="5" xfId="0" applyFont="1" applyBorder="1"/>
    <xf numFmtId="0" fontId="1" fillId="0" borderId="7" xfId="0" applyFont="1" applyBorder="1"/>
    <xf numFmtId="0" fontId="1" fillId="0" borderId="8" xfId="0" applyFont="1" applyBorder="1"/>
    <xf numFmtId="0" fontId="1" fillId="0" borderId="11" xfId="0" applyFont="1" applyBorder="1"/>
    <xf numFmtId="0" fontId="1" fillId="0" borderId="12" xfId="0" applyFont="1" applyBorder="1"/>
    <xf numFmtId="0" fontId="1" fillId="0" borderId="13" xfId="0" applyFont="1" applyBorder="1"/>
    <xf numFmtId="0" fontId="1" fillId="0" borderId="0" xfId="0" applyFont="1" applyAlignment="1">
      <alignment vertical="top" wrapText="1"/>
    </xf>
    <xf numFmtId="0" fontId="1" fillId="2" borderId="2" xfId="0" applyFont="1" applyFill="1" applyBorder="1"/>
    <xf numFmtId="164" fontId="10" fillId="5" borderId="0" xfId="1" applyNumberFormat="1" applyFont="1" applyFill="1" applyAlignment="1">
      <alignment horizontal="center"/>
    </xf>
    <xf numFmtId="164" fontId="10" fillId="7" borderId="0" xfId="1" applyNumberFormat="1" applyFont="1" applyFill="1" applyAlignment="1">
      <alignment horizontal="center"/>
    </xf>
    <xf numFmtId="0" fontId="5" fillId="0" borderId="2" xfId="0" applyFont="1" applyBorder="1" applyAlignment="1">
      <alignment horizontal="center"/>
    </xf>
    <xf numFmtId="0" fontId="1" fillId="0" borderId="2" xfId="0" applyFont="1" applyBorder="1" applyAlignment="1">
      <alignment vertical="top" wrapText="1"/>
    </xf>
    <xf numFmtId="0" fontId="1" fillId="0" borderId="2" xfId="0" applyFont="1" applyBorder="1" applyAlignment="1">
      <alignment horizontal="center" vertical="top"/>
    </xf>
    <xf numFmtId="0" fontId="1" fillId="5" borderId="2" xfId="0" applyFont="1" applyFill="1" applyBorder="1" applyAlignment="1">
      <alignment vertical="top"/>
    </xf>
    <xf numFmtId="0" fontId="1" fillId="0" borderId="0" xfId="0" applyFont="1" applyAlignment="1">
      <alignment vertical="top"/>
    </xf>
    <xf numFmtId="0" fontId="1" fillId="0" borderId="2" xfId="0" applyFont="1" applyBorder="1" applyAlignment="1">
      <alignment horizontal="center" vertical="top" wrapText="1"/>
    </xf>
    <xf numFmtId="0" fontId="5" fillId="7" borderId="2" xfId="0" applyFont="1" applyFill="1" applyBorder="1" applyAlignment="1">
      <alignment horizontal="center"/>
    </xf>
    <xf numFmtId="0" fontId="5" fillId="3" borderId="2" xfId="0" applyFont="1" applyFill="1" applyBorder="1" applyAlignment="1">
      <alignment horizontal="center"/>
    </xf>
    <xf numFmtId="10" fontId="1" fillId="0" borderId="2" xfId="0" applyNumberFormat="1" applyFont="1" applyBorder="1" applyAlignment="1">
      <alignment horizontal="center" vertical="top"/>
    </xf>
    <xf numFmtId="0" fontId="1" fillId="2" borderId="0" xfId="0" applyFont="1" applyFill="1" applyAlignment="1">
      <alignment horizontal="center"/>
    </xf>
    <xf numFmtId="14" fontId="1" fillId="2" borderId="0" xfId="0" applyNumberFormat="1" applyFont="1" applyFill="1" applyAlignment="1">
      <alignment horizontal="center"/>
    </xf>
    <xf numFmtId="0" fontId="7" fillId="2" borderId="0" xfId="0" applyFont="1" applyFill="1" applyAlignment="1">
      <alignment horizontal="center"/>
    </xf>
    <xf numFmtId="0" fontId="30" fillId="2" borderId="0" xfId="3" applyFill="1" applyAlignment="1">
      <alignment horizontal="center"/>
    </xf>
    <xf numFmtId="0" fontId="21" fillId="0" borderId="0" xfId="0" applyFont="1" applyAlignment="1">
      <alignment horizontal="left" wrapText="1"/>
    </xf>
    <xf numFmtId="0" fontId="1" fillId="2" borderId="0" xfId="0" applyFont="1" applyFill="1" applyAlignment="1">
      <alignment horizontal="center" vertical="center"/>
    </xf>
    <xf numFmtId="0" fontId="10" fillId="0" borderId="6" xfId="0" applyFont="1" applyBorder="1" applyAlignment="1">
      <alignment horizontal="left" vertical="top" wrapText="1"/>
    </xf>
    <xf numFmtId="0" fontId="10" fillId="0" borderId="7" xfId="0" applyFont="1" applyBorder="1" applyAlignment="1">
      <alignment horizontal="left" vertical="top" wrapText="1"/>
    </xf>
    <xf numFmtId="0" fontId="10" fillId="0" borderId="8" xfId="0" applyFont="1" applyBorder="1" applyAlignment="1">
      <alignment horizontal="left" vertical="top" wrapText="1"/>
    </xf>
    <xf numFmtId="0" fontId="10" fillId="0" borderId="9" xfId="0" applyFont="1" applyBorder="1" applyAlignment="1">
      <alignment horizontal="left" vertical="top" wrapText="1"/>
    </xf>
    <xf numFmtId="0" fontId="10" fillId="0" borderId="0" xfId="0" applyFont="1" applyAlignment="1">
      <alignment horizontal="left" vertical="top" wrapText="1"/>
    </xf>
    <xf numFmtId="0" fontId="10" fillId="0" borderId="10" xfId="0" applyFont="1" applyBorder="1" applyAlignment="1">
      <alignment horizontal="left" vertical="top" wrapText="1"/>
    </xf>
    <xf numFmtId="0" fontId="10" fillId="0" borderId="11" xfId="0" applyFont="1" applyBorder="1" applyAlignment="1">
      <alignment horizontal="left" vertical="top" wrapText="1"/>
    </xf>
    <xf numFmtId="0" fontId="10" fillId="0" borderId="12" xfId="0" applyFont="1" applyBorder="1" applyAlignment="1">
      <alignment horizontal="left" vertical="top" wrapText="1"/>
    </xf>
    <xf numFmtId="0" fontId="10" fillId="0" borderId="13" xfId="0" applyFont="1" applyBorder="1" applyAlignment="1">
      <alignment horizontal="left" vertical="top" wrapText="1"/>
    </xf>
    <xf numFmtId="0" fontId="10" fillId="2" borderId="2" xfId="0" applyFont="1" applyFill="1" applyBorder="1" applyAlignment="1">
      <alignment horizontal="left" vertical="top"/>
    </xf>
    <xf numFmtId="0" fontId="5" fillId="3" borderId="3" xfId="0" applyFont="1" applyFill="1" applyBorder="1" applyAlignment="1">
      <alignment horizontal="left"/>
    </xf>
    <xf numFmtId="0" fontId="5" fillId="3" borderId="4" xfId="0" applyFont="1" applyFill="1" applyBorder="1" applyAlignment="1">
      <alignment horizontal="left"/>
    </xf>
    <xf numFmtId="0" fontId="5" fillId="3" borderId="5" xfId="0" applyFont="1" applyFill="1" applyBorder="1" applyAlignment="1">
      <alignment horizontal="left"/>
    </xf>
    <xf numFmtId="0" fontId="5" fillId="2" borderId="2" xfId="0" applyFont="1" applyFill="1" applyBorder="1" applyAlignment="1">
      <alignment horizontal="left"/>
    </xf>
    <xf numFmtId="0" fontId="9" fillId="0" borderId="2" xfId="0" applyFont="1" applyBorder="1" applyAlignment="1">
      <alignment horizontal="left"/>
    </xf>
    <xf numFmtId="0" fontId="10" fillId="2" borderId="2" xfId="0" applyFont="1" applyFill="1" applyBorder="1" applyAlignment="1">
      <alignment horizontal="left"/>
    </xf>
    <xf numFmtId="0" fontId="9" fillId="0" borderId="2" xfId="0" applyFont="1" applyBorder="1" applyAlignment="1">
      <alignment horizontal="left" vertical="top"/>
    </xf>
    <xf numFmtId="0" fontId="5" fillId="3" borderId="2" xfId="0" applyFont="1" applyFill="1" applyBorder="1" applyAlignment="1">
      <alignment horizontal="left"/>
    </xf>
    <xf numFmtId="0" fontId="6" fillId="0" borderId="2" xfId="0" applyFont="1" applyBorder="1" applyAlignment="1">
      <alignment horizontal="left"/>
    </xf>
    <xf numFmtId="0" fontId="10" fillId="2" borderId="6" xfId="0" applyFont="1" applyFill="1" applyBorder="1" applyAlignment="1">
      <alignment horizontal="left" vertical="top" wrapText="1"/>
    </xf>
    <xf numFmtId="0" fontId="10" fillId="2" borderId="7" xfId="0" applyFont="1" applyFill="1" applyBorder="1" applyAlignment="1">
      <alignment horizontal="left" vertical="top" wrapText="1"/>
    </xf>
    <xf numFmtId="0" fontId="10" fillId="2" borderId="8" xfId="0" applyFont="1" applyFill="1" applyBorder="1" applyAlignment="1">
      <alignment horizontal="left" vertical="top" wrapText="1"/>
    </xf>
    <xf numFmtId="0" fontId="10" fillId="2" borderId="9" xfId="0" applyFont="1" applyFill="1" applyBorder="1" applyAlignment="1">
      <alignment horizontal="left" vertical="top" wrapText="1"/>
    </xf>
    <xf numFmtId="0" fontId="10" fillId="2" borderId="0" xfId="0" applyFont="1" applyFill="1" applyAlignment="1">
      <alignment horizontal="left" vertical="top" wrapText="1"/>
    </xf>
    <xf numFmtId="0" fontId="10" fillId="2" borderId="10" xfId="0" applyFont="1" applyFill="1" applyBorder="1" applyAlignment="1">
      <alignment horizontal="left" vertical="top" wrapText="1"/>
    </xf>
    <xf numFmtId="0" fontId="10" fillId="2" borderId="11" xfId="0" applyFont="1" applyFill="1" applyBorder="1" applyAlignment="1">
      <alignment horizontal="left" vertical="top" wrapText="1"/>
    </xf>
    <xf numFmtId="0" fontId="10" fillId="2" borderId="12" xfId="0" applyFont="1" applyFill="1" applyBorder="1" applyAlignment="1">
      <alignment horizontal="left" vertical="top" wrapText="1"/>
    </xf>
    <xf numFmtId="0" fontId="10" fillId="2" borderId="13" xfId="0" applyFont="1" applyFill="1" applyBorder="1" applyAlignment="1">
      <alignment horizontal="left" vertical="top" wrapText="1"/>
    </xf>
    <xf numFmtId="0" fontId="10" fillId="2" borderId="7" xfId="0" applyFont="1" applyFill="1" applyBorder="1" applyAlignment="1">
      <alignment horizontal="left" vertical="top"/>
    </xf>
    <xf numFmtId="0" fontId="10" fillId="2" borderId="8" xfId="0" applyFont="1" applyFill="1" applyBorder="1" applyAlignment="1">
      <alignment horizontal="left" vertical="top"/>
    </xf>
    <xf numFmtId="0" fontId="10" fillId="2" borderId="9" xfId="0" applyFont="1" applyFill="1" applyBorder="1" applyAlignment="1">
      <alignment horizontal="left" vertical="top"/>
    </xf>
    <xf numFmtId="0" fontId="10" fillId="2" borderId="0" xfId="0" applyFont="1" applyFill="1" applyAlignment="1">
      <alignment horizontal="left" vertical="top"/>
    </xf>
    <xf numFmtId="0" fontId="10" fillId="2" borderId="10" xfId="0" applyFont="1" applyFill="1" applyBorder="1" applyAlignment="1">
      <alignment horizontal="left" vertical="top"/>
    </xf>
    <xf numFmtId="0" fontId="10" fillId="2" borderId="11" xfId="0" applyFont="1" applyFill="1" applyBorder="1" applyAlignment="1">
      <alignment horizontal="left" vertical="top"/>
    </xf>
    <xf numFmtId="0" fontId="10" fillId="2" borderId="12" xfId="0" applyFont="1" applyFill="1" applyBorder="1" applyAlignment="1">
      <alignment horizontal="left" vertical="top"/>
    </xf>
    <xf numFmtId="0" fontId="10" fillId="2" borderId="13" xfId="0" applyFont="1" applyFill="1" applyBorder="1" applyAlignment="1">
      <alignment horizontal="left" vertical="top"/>
    </xf>
    <xf numFmtId="0" fontId="1" fillId="0" borderId="0" xfId="0" applyFont="1" applyAlignment="1">
      <alignment horizontal="left" vertical="top" wrapText="1"/>
    </xf>
    <xf numFmtId="0" fontId="10" fillId="0" borderId="7" xfId="0" applyFont="1" applyBorder="1" applyAlignment="1">
      <alignment horizontal="center" vertical="center" textRotation="90"/>
    </xf>
    <xf numFmtId="0" fontId="10" fillId="0" borderId="0" xfId="0" applyFont="1" applyAlignment="1">
      <alignment horizontal="center" vertical="center" textRotation="90"/>
    </xf>
    <xf numFmtId="0" fontId="10" fillId="0" borderId="12" xfId="0" applyFont="1" applyBorder="1" applyAlignment="1">
      <alignment horizontal="center" vertical="center" textRotation="90"/>
    </xf>
    <xf numFmtId="43" fontId="10" fillId="2" borderId="12" xfId="1" applyFont="1" applyFill="1" applyBorder="1" applyAlignment="1">
      <alignment horizontal="center"/>
    </xf>
    <xf numFmtId="166" fontId="10" fillId="2" borderId="12" xfId="0" applyNumberFormat="1" applyFont="1" applyFill="1" applyBorder="1" applyAlignment="1">
      <alignment horizontal="center"/>
    </xf>
    <xf numFmtId="166" fontId="10" fillId="2" borderId="13" xfId="0" applyNumberFormat="1" applyFont="1" applyFill="1" applyBorder="1" applyAlignment="1">
      <alignment horizontal="center"/>
    </xf>
    <xf numFmtId="164" fontId="5" fillId="2" borderId="7" xfId="1" applyNumberFormat="1" applyFont="1" applyFill="1" applyBorder="1" applyAlignment="1"/>
    <xf numFmtId="0" fontId="10" fillId="0" borderId="0" xfId="0" applyFont="1" applyAlignment="1">
      <alignment horizontal="center" textRotation="90"/>
    </xf>
    <xf numFmtId="0" fontId="31" fillId="5" borderId="6" xfId="0" applyFont="1" applyFill="1" applyBorder="1" applyAlignment="1">
      <alignment horizontal="left" vertical="top" wrapText="1"/>
    </xf>
    <xf numFmtId="0" fontId="31" fillId="5" borderId="7" xfId="0" applyFont="1" applyFill="1" applyBorder="1" applyAlignment="1">
      <alignment horizontal="left" vertical="top" wrapText="1"/>
    </xf>
    <xf numFmtId="0" fontId="31" fillId="5" borderId="8" xfId="0" applyFont="1" applyFill="1" applyBorder="1" applyAlignment="1">
      <alignment horizontal="left" vertical="top" wrapText="1"/>
    </xf>
    <xf numFmtId="0" fontId="31" fillId="5" borderId="9" xfId="0" applyFont="1" applyFill="1" applyBorder="1" applyAlignment="1">
      <alignment horizontal="left" vertical="top" wrapText="1"/>
    </xf>
    <xf numFmtId="0" fontId="31" fillId="5" borderId="0" xfId="0" applyFont="1" applyFill="1" applyAlignment="1">
      <alignment horizontal="left" vertical="top" wrapText="1"/>
    </xf>
    <xf numFmtId="0" fontId="31" fillId="5" borderId="10" xfId="0" applyFont="1" applyFill="1" applyBorder="1" applyAlignment="1">
      <alignment horizontal="left" vertical="top" wrapText="1"/>
    </xf>
    <xf numFmtId="0" fontId="31" fillId="5" borderId="11" xfId="0" applyFont="1" applyFill="1" applyBorder="1" applyAlignment="1">
      <alignment horizontal="left" vertical="top" wrapText="1"/>
    </xf>
    <xf numFmtId="0" fontId="31" fillId="5" borderId="12" xfId="0" applyFont="1" applyFill="1" applyBorder="1" applyAlignment="1">
      <alignment horizontal="left" vertical="top" wrapText="1"/>
    </xf>
    <xf numFmtId="0" fontId="31" fillId="5" borderId="13" xfId="0" applyFont="1" applyFill="1" applyBorder="1" applyAlignment="1">
      <alignment horizontal="left" vertical="top" wrapText="1"/>
    </xf>
    <xf numFmtId="0" fontId="31" fillId="5" borderId="7" xfId="0" applyFont="1" applyFill="1" applyBorder="1" applyAlignment="1">
      <alignment horizontal="left" vertical="top"/>
    </xf>
    <xf numFmtId="0" fontId="31" fillId="5" borderId="8" xfId="0" applyFont="1" applyFill="1" applyBorder="1" applyAlignment="1">
      <alignment horizontal="left" vertical="top"/>
    </xf>
    <xf numFmtId="0" fontId="31" fillId="5" borderId="9" xfId="0" applyFont="1" applyFill="1" applyBorder="1" applyAlignment="1">
      <alignment horizontal="left" vertical="top"/>
    </xf>
    <xf numFmtId="0" fontId="31" fillId="5" borderId="0" xfId="0" applyFont="1" applyFill="1" applyAlignment="1">
      <alignment horizontal="left" vertical="top"/>
    </xf>
    <xf numFmtId="0" fontId="31" fillId="5" borderId="10" xfId="0" applyFont="1" applyFill="1" applyBorder="1" applyAlignment="1">
      <alignment horizontal="left" vertical="top"/>
    </xf>
    <xf numFmtId="0" fontId="31" fillId="5" borderId="11" xfId="0" applyFont="1" applyFill="1" applyBorder="1" applyAlignment="1">
      <alignment horizontal="left" vertical="top"/>
    </xf>
    <xf numFmtId="0" fontId="31" fillId="5" borderId="12" xfId="0" applyFont="1" applyFill="1" applyBorder="1" applyAlignment="1">
      <alignment horizontal="left" vertical="top"/>
    </xf>
    <xf numFmtId="0" fontId="31" fillId="5" borderId="13" xfId="0" applyFont="1" applyFill="1" applyBorder="1" applyAlignment="1">
      <alignment horizontal="left" vertical="top"/>
    </xf>
    <xf numFmtId="0" fontId="10" fillId="0" borderId="2" xfId="0" applyFont="1" applyBorder="1" applyAlignment="1">
      <alignment horizontal="left" vertical="center" wrapText="1"/>
    </xf>
    <xf numFmtId="0" fontId="6" fillId="0" borderId="2" xfId="0" applyFont="1" applyBorder="1" applyAlignment="1">
      <alignment horizontal="left" vertical="top" wrapText="1"/>
    </xf>
    <xf numFmtId="0" fontId="5" fillId="2" borderId="2" xfId="0" applyFont="1" applyFill="1" applyBorder="1" applyAlignment="1">
      <alignment horizontal="left" vertical="top" wrapText="1"/>
    </xf>
    <xf numFmtId="0" fontId="13" fillId="4" borderId="2" xfId="0" applyFont="1" applyFill="1" applyBorder="1" applyAlignment="1">
      <alignment horizontal="left" vertical="center" wrapText="1"/>
    </xf>
    <xf numFmtId="0" fontId="10" fillId="0" borderId="3" xfId="0" applyFont="1" applyBorder="1" applyAlignment="1">
      <alignment horizontal="left" vertical="center" wrapText="1"/>
    </xf>
    <xf numFmtId="0" fontId="10" fillId="0" borderId="4" xfId="0" applyFont="1" applyBorder="1" applyAlignment="1">
      <alignment horizontal="left" vertical="center" wrapText="1"/>
    </xf>
    <xf numFmtId="0" fontId="10" fillId="0" borderId="5" xfId="0" applyFont="1" applyBorder="1" applyAlignment="1">
      <alignment horizontal="left" vertical="center" wrapText="1"/>
    </xf>
    <xf numFmtId="0" fontId="10" fillId="0" borderId="3" xfId="0" applyFont="1" applyBorder="1" applyAlignment="1">
      <alignment horizontal="center" vertical="center" wrapText="1"/>
    </xf>
    <xf numFmtId="0" fontId="10" fillId="0" borderId="5" xfId="0" applyFont="1" applyBorder="1" applyAlignment="1">
      <alignment horizontal="center" vertical="center" wrapText="1"/>
    </xf>
    <xf numFmtId="4" fontId="10" fillId="0" borderId="3" xfId="0" applyNumberFormat="1" applyFont="1" applyBorder="1" applyAlignment="1">
      <alignment horizontal="center" vertical="center" wrapText="1"/>
    </xf>
    <xf numFmtId="4" fontId="10" fillId="0" borderId="5" xfId="0" applyNumberFormat="1" applyFont="1" applyBorder="1" applyAlignment="1">
      <alignment horizontal="center" vertical="center" wrapText="1"/>
    </xf>
    <xf numFmtId="0" fontId="10" fillId="2" borderId="3" xfId="0" applyFont="1" applyFill="1" applyBorder="1" applyAlignment="1">
      <alignment horizontal="left" vertical="center" wrapText="1"/>
    </xf>
    <xf numFmtId="0" fontId="10" fillId="2" borderId="4" xfId="0" applyFont="1" applyFill="1" applyBorder="1" applyAlignment="1">
      <alignment horizontal="left" vertical="center" wrapText="1"/>
    </xf>
    <xf numFmtId="0" fontId="10" fillId="2" borderId="5" xfId="0" applyFont="1" applyFill="1" applyBorder="1" applyAlignment="1">
      <alignment horizontal="left" vertical="center" wrapText="1"/>
    </xf>
    <xf numFmtId="0" fontId="10" fillId="2" borderId="3" xfId="0" applyFont="1" applyFill="1" applyBorder="1" applyAlignment="1">
      <alignment horizontal="center" vertical="center" wrapText="1"/>
    </xf>
    <xf numFmtId="0" fontId="10" fillId="2" borderId="5" xfId="0" applyFont="1" applyFill="1" applyBorder="1" applyAlignment="1">
      <alignment horizontal="center" vertical="center" wrapText="1"/>
    </xf>
    <xf numFmtId="4" fontId="10" fillId="2" borderId="3" xfId="0" applyNumberFormat="1" applyFont="1" applyFill="1" applyBorder="1" applyAlignment="1">
      <alignment horizontal="center" vertical="center" wrapText="1"/>
    </xf>
    <xf numFmtId="4" fontId="10" fillId="2" borderId="5" xfId="0" applyNumberFormat="1" applyFont="1" applyFill="1" applyBorder="1" applyAlignment="1">
      <alignment horizontal="center" vertical="center" wrapText="1"/>
    </xf>
    <xf numFmtId="0" fontId="13" fillId="4" borderId="9" xfId="0" applyFont="1" applyFill="1" applyBorder="1" applyAlignment="1">
      <alignment horizontal="center" vertical="center" wrapText="1"/>
    </xf>
    <xf numFmtId="0" fontId="13" fillId="4" borderId="0" xfId="0" applyFont="1" applyFill="1" applyAlignment="1">
      <alignment horizontal="center" vertical="center" wrapText="1"/>
    </xf>
    <xf numFmtId="0" fontId="13" fillId="4" borderId="10" xfId="0" applyFont="1" applyFill="1" applyBorder="1" applyAlignment="1">
      <alignment horizontal="center" vertical="center" wrapText="1"/>
    </xf>
    <xf numFmtId="0" fontId="13" fillId="4" borderId="6" xfId="0" applyFont="1" applyFill="1" applyBorder="1" applyAlignment="1">
      <alignment horizontal="center" vertical="center" wrapText="1"/>
    </xf>
    <xf numFmtId="0" fontId="13" fillId="4" borderId="8" xfId="0" applyFont="1" applyFill="1" applyBorder="1" applyAlignment="1">
      <alignment horizontal="center" vertical="center" wrapText="1"/>
    </xf>
    <xf numFmtId="0" fontId="9" fillId="0" borderId="2" xfId="0" applyFont="1" applyBorder="1" applyAlignment="1">
      <alignment vertical="center" wrapText="1"/>
    </xf>
    <xf numFmtId="168" fontId="9" fillId="0" borderId="2" xfId="0" applyNumberFormat="1" applyFont="1" applyBorder="1" applyAlignment="1">
      <alignment horizontal="center" vertical="center" wrapText="1"/>
    </xf>
    <xf numFmtId="165" fontId="10" fillId="0" borderId="1" xfId="2" applyNumberFormat="1" applyFont="1" applyBorder="1" applyAlignment="1">
      <alignment horizontal="center" vertical="center" wrapText="1"/>
    </xf>
    <xf numFmtId="0" fontId="10" fillId="2" borderId="2" xfId="0" applyFont="1" applyFill="1" applyBorder="1" applyAlignment="1">
      <alignment vertical="center" wrapText="1"/>
    </xf>
    <xf numFmtId="0" fontId="10" fillId="2" borderId="2" xfId="0" applyFont="1" applyFill="1" applyBorder="1" applyAlignment="1">
      <alignment horizontal="center" vertical="center" wrapText="1"/>
    </xf>
    <xf numFmtId="168" fontId="10" fillId="2" borderId="1" xfId="0" applyNumberFormat="1" applyFont="1" applyFill="1" applyBorder="1" applyAlignment="1">
      <alignment horizontal="center" vertical="center" wrapText="1"/>
    </xf>
    <xf numFmtId="0" fontId="10" fillId="0" borderId="2" xfId="0" applyFont="1" applyBorder="1" applyAlignment="1">
      <alignment vertical="center" wrapText="1"/>
    </xf>
    <xf numFmtId="168" fontId="10" fillId="0" borderId="1" xfId="0" applyNumberFormat="1" applyFont="1" applyBorder="1" applyAlignment="1">
      <alignment horizontal="center" vertical="center" wrapText="1"/>
    </xf>
    <xf numFmtId="4" fontId="10" fillId="0" borderId="4" xfId="0" applyNumberFormat="1" applyFont="1" applyBorder="1" applyAlignment="1">
      <alignment horizontal="center" vertical="center" wrapText="1"/>
    </xf>
    <xf numFmtId="0" fontId="10" fillId="0" borderId="4" xfId="0" applyFont="1" applyBorder="1" applyAlignment="1">
      <alignment horizontal="center" vertical="center" wrapText="1"/>
    </xf>
    <xf numFmtId="0" fontId="10" fillId="0" borderId="14" xfId="0" applyFont="1" applyBorder="1" applyAlignment="1">
      <alignment vertical="center" wrapText="1"/>
    </xf>
    <xf numFmtId="0" fontId="10" fillId="2" borderId="2" xfId="0" applyFont="1" applyFill="1" applyBorder="1" applyAlignment="1">
      <alignment horizontal="left" vertical="center" wrapText="1"/>
    </xf>
    <xf numFmtId="0" fontId="10" fillId="0" borderId="1" xfId="0" applyFont="1" applyBorder="1" applyAlignment="1">
      <alignment vertical="center" wrapText="1"/>
    </xf>
    <xf numFmtId="0" fontId="5" fillId="0" borderId="0" xfId="0" applyFont="1" applyAlignment="1">
      <alignment horizontal="left"/>
    </xf>
    <xf numFmtId="0" fontId="5" fillId="0" borderId="0" xfId="0" applyFont="1" applyAlignment="1">
      <alignment horizontal="left" vertical="top"/>
    </xf>
    <xf numFmtId="167" fontId="5" fillId="2" borderId="0" xfId="0" applyNumberFormat="1" applyFont="1" applyFill="1" applyAlignment="1">
      <alignment horizontal="center" vertical="top"/>
    </xf>
    <xf numFmtId="0" fontId="13" fillId="4" borderId="2" xfId="0" applyFont="1" applyFill="1" applyBorder="1" applyAlignment="1">
      <alignment horizontal="center" vertical="center" wrapText="1"/>
    </xf>
    <xf numFmtId="0" fontId="10" fillId="2" borderId="2" xfId="0" applyFont="1" applyFill="1" applyBorder="1" applyAlignment="1">
      <alignment horizontal="left" vertical="top" wrapText="1"/>
    </xf>
    <xf numFmtId="3" fontId="10" fillId="0" borderId="2" xfId="0" applyNumberFormat="1" applyFont="1" applyBorder="1" applyAlignment="1">
      <alignment horizontal="center" vertical="center" wrapText="1"/>
    </xf>
    <xf numFmtId="1" fontId="10" fillId="0" borderId="2" xfId="0" applyNumberFormat="1" applyFont="1" applyBorder="1" applyAlignment="1">
      <alignment horizontal="center" vertical="center"/>
    </xf>
    <xf numFmtId="0" fontId="10" fillId="0" borderId="2" xfId="0" applyFont="1" applyBorder="1" applyAlignment="1">
      <alignment horizontal="center" vertical="center" wrapText="1"/>
    </xf>
    <xf numFmtId="43" fontId="10" fillId="0" borderId="3" xfId="0" applyNumberFormat="1" applyFont="1" applyBorder="1" applyAlignment="1">
      <alignment horizontal="left" vertical="center" wrapText="1"/>
    </xf>
    <xf numFmtId="43" fontId="10" fillId="0" borderId="4" xfId="0" applyNumberFormat="1" applyFont="1" applyBorder="1" applyAlignment="1">
      <alignment horizontal="left" vertical="center" wrapText="1"/>
    </xf>
    <xf numFmtId="43" fontId="10" fillId="0" borderId="5" xfId="0" applyNumberFormat="1" applyFont="1" applyBorder="1" applyAlignment="1">
      <alignment horizontal="left" vertical="center" wrapText="1"/>
    </xf>
    <xf numFmtId="0" fontId="5" fillId="0" borderId="0" xfId="0" applyFont="1" applyAlignment="1">
      <alignment horizontal="center" vertical="top"/>
    </xf>
    <xf numFmtId="167" fontId="5" fillId="0" borderId="0" xfId="0" applyNumberFormat="1" applyFont="1" applyAlignment="1">
      <alignment horizontal="center" vertical="top"/>
    </xf>
    <xf numFmtId="0" fontId="6" fillId="0" borderId="11" xfId="0" applyFont="1" applyBorder="1" applyAlignment="1">
      <alignment horizontal="center" vertical="center"/>
    </xf>
    <xf numFmtId="0" fontId="6" fillId="0" borderId="12" xfId="0" applyFont="1" applyBorder="1" applyAlignment="1">
      <alignment horizontal="center" vertical="center"/>
    </xf>
    <xf numFmtId="0" fontId="6" fillId="0" borderId="0" xfId="0" applyFont="1" applyAlignment="1">
      <alignment horizontal="center" vertical="center"/>
    </xf>
    <xf numFmtId="0" fontId="10" fillId="2" borderId="3" xfId="0" applyFont="1" applyFill="1" applyBorder="1" applyAlignment="1">
      <alignment horizontal="left"/>
    </xf>
    <xf numFmtId="0" fontId="9" fillId="0" borderId="2" xfId="0" applyFont="1" applyBorder="1" applyAlignment="1">
      <alignment horizontal="center" vertical="center" wrapText="1"/>
    </xf>
    <xf numFmtId="0" fontId="9" fillId="0" borderId="3" xfId="0" applyFont="1" applyBorder="1" applyAlignment="1">
      <alignment horizontal="center" vertical="center" wrapText="1"/>
    </xf>
    <xf numFmtId="0" fontId="10" fillId="2" borderId="3" xfId="0" applyFont="1" applyFill="1" applyBorder="1" applyAlignment="1">
      <alignment horizontal="left" vertical="top" wrapText="1"/>
    </xf>
    <xf numFmtId="0" fontId="10" fillId="2" borderId="4" xfId="0" applyFont="1" applyFill="1" applyBorder="1" applyAlignment="1">
      <alignment horizontal="left" vertical="top" wrapText="1"/>
    </xf>
    <xf numFmtId="0" fontId="10" fillId="2" borderId="5" xfId="0" applyFont="1" applyFill="1" applyBorder="1" applyAlignment="1">
      <alignment horizontal="left" vertical="top" wrapText="1"/>
    </xf>
    <xf numFmtId="0" fontId="10" fillId="2" borderId="3" xfId="0" applyFont="1" applyFill="1" applyBorder="1" applyAlignment="1">
      <alignment horizontal="left" vertical="top"/>
    </xf>
    <xf numFmtId="0" fontId="10" fillId="2" borderId="4" xfId="0" applyFont="1" applyFill="1" applyBorder="1" applyAlignment="1">
      <alignment horizontal="left" vertical="top"/>
    </xf>
    <xf numFmtId="0" fontId="10" fillId="2" borderId="5" xfId="0" applyFont="1" applyFill="1" applyBorder="1" applyAlignment="1">
      <alignment horizontal="left" vertical="top"/>
    </xf>
    <xf numFmtId="0" fontId="6" fillId="0" borderId="2" xfId="0" applyFont="1" applyBorder="1" applyAlignment="1">
      <alignment horizontal="left" vertical="center" wrapText="1"/>
    </xf>
    <xf numFmtId="9" fontId="10" fillId="2" borderId="2" xfId="0" applyNumberFormat="1" applyFont="1" applyFill="1" applyBorder="1" applyAlignment="1">
      <alignment horizontal="center" vertical="center"/>
    </xf>
    <xf numFmtId="0" fontId="10" fillId="2" borderId="2" xfId="0" applyFont="1" applyFill="1" applyBorder="1" applyAlignment="1">
      <alignment horizontal="center" vertical="center"/>
    </xf>
    <xf numFmtId="0" fontId="5" fillId="7" borderId="3" xfId="0" applyFont="1" applyFill="1" applyBorder="1" applyAlignment="1">
      <alignment horizontal="center"/>
    </xf>
    <xf numFmtId="0" fontId="5" fillId="7" borderId="5" xfId="0" applyFont="1" applyFill="1" applyBorder="1" applyAlignment="1">
      <alignment horizontal="center"/>
    </xf>
    <xf numFmtId="0" fontId="9" fillId="0" borderId="7" xfId="0" applyFont="1" applyBorder="1" applyAlignment="1">
      <alignment horizontal="center" wrapText="1"/>
    </xf>
    <xf numFmtId="0" fontId="6" fillId="5" borderId="3"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4"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5" xfId="0" applyFont="1" applyFill="1" applyBorder="1" applyAlignment="1">
      <alignment horizontal="center" vertical="center"/>
    </xf>
    <xf numFmtId="0" fontId="6" fillId="3" borderId="2" xfId="0" applyFont="1" applyFill="1" applyBorder="1" applyAlignment="1">
      <alignment horizontal="center" vertical="center"/>
    </xf>
    <xf numFmtId="0" fontId="6" fillId="0" borderId="3" xfId="0" applyFont="1" applyBorder="1" applyAlignment="1">
      <alignment horizontal="left" vertical="center" wrapText="1"/>
    </xf>
    <xf numFmtId="0" fontId="6" fillId="0" borderId="4" xfId="0" applyFont="1" applyBorder="1" applyAlignment="1">
      <alignment horizontal="left" vertical="center" wrapText="1"/>
    </xf>
    <xf numFmtId="0" fontId="6" fillId="0" borderId="5" xfId="0" applyFont="1" applyBorder="1" applyAlignment="1">
      <alignment horizontal="left" vertical="center" wrapText="1"/>
    </xf>
    <xf numFmtId="0" fontId="31" fillId="3" borderId="6" xfId="0" applyFont="1" applyFill="1" applyBorder="1" applyAlignment="1">
      <alignment horizontal="left" vertical="top" wrapText="1"/>
    </xf>
    <xf numFmtId="0" fontId="31" fillId="3" borderId="7" xfId="0" applyFont="1" applyFill="1" applyBorder="1" applyAlignment="1">
      <alignment horizontal="left" vertical="top" wrapText="1"/>
    </xf>
    <xf numFmtId="0" fontId="31" fillId="3" borderId="8" xfId="0" applyFont="1" applyFill="1" applyBorder="1" applyAlignment="1">
      <alignment horizontal="left" vertical="top" wrapText="1"/>
    </xf>
    <xf numFmtId="0" fontId="31" fillId="3" borderId="9" xfId="0" applyFont="1" applyFill="1" applyBorder="1" applyAlignment="1">
      <alignment horizontal="left" vertical="top" wrapText="1"/>
    </xf>
    <xf numFmtId="0" fontId="31" fillId="3" borderId="0" xfId="0" applyFont="1" applyFill="1" applyAlignment="1">
      <alignment horizontal="left" vertical="top" wrapText="1"/>
    </xf>
    <xf numFmtId="0" fontId="31" fillId="3" borderId="10" xfId="0" applyFont="1" applyFill="1" applyBorder="1" applyAlignment="1">
      <alignment horizontal="left" vertical="top" wrapText="1"/>
    </xf>
    <xf numFmtId="0" fontId="31" fillId="3" borderId="11" xfId="0" applyFont="1" applyFill="1" applyBorder="1" applyAlignment="1">
      <alignment horizontal="left" vertical="top" wrapText="1"/>
    </xf>
    <xf numFmtId="0" fontId="31" fillId="3" borderId="12" xfId="0" applyFont="1" applyFill="1" applyBorder="1" applyAlignment="1">
      <alignment horizontal="left" vertical="top" wrapText="1"/>
    </xf>
    <xf numFmtId="0" fontId="31" fillId="3" borderId="13" xfId="0" applyFont="1" applyFill="1" applyBorder="1" applyAlignment="1">
      <alignment horizontal="left" vertical="top" wrapText="1"/>
    </xf>
    <xf numFmtId="0" fontId="6" fillId="0" borderId="3" xfId="0" applyFont="1" applyBorder="1" applyAlignment="1">
      <alignment horizontal="left" vertical="center"/>
    </xf>
    <xf numFmtId="0" fontId="6" fillId="0" borderId="4" xfId="0" applyFont="1" applyBorder="1" applyAlignment="1">
      <alignment horizontal="left" vertical="center"/>
    </xf>
    <xf numFmtId="0" fontId="6" fillId="0" borderId="5" xfId="0" applyFont="1" applyBorder="1" applyAlignment="1">
      <alignment horizontal="left" vertical="center"/>
    </xf>
    <xf numFmtId="0" fontId="31" fillId="0" borderId="6" xfId="0" applyFont="1" applyBorder="1" applyAlignment="1">
      <alignment horizontal="left" vertical="top" wrapText="1"/>
    </xf>
    <xf numFmtId="0" fontId="31" fillId="0" borderId="7" xfId="0" applyFont="1" applyBorder="1" applyAlignment="1">
      <alignment horizontal="left" vertical="top" wrapText="1"/>
    </xf>
    <xf numFmtId="0" fontId="31" fillId="0" borderId="8" xfId="0" applyFont="1" applyBorder="1" applyAlignment="1">
      <alignment horizontal="left" vertical="top" wrapText="1"/>
    </xf>
    <xf numFmtId="0" fontId="31" fillId="0" borderId="9" xfId="0" applyFont="1" applyBorder="1" applyAlignment="1">
      <alignment horizontal="left" vertical="top" wrapText="1"/>
    </xf>
    <xf numFmtId="0" fontId="31" fillId="0" borderId="0" xfId="0" applyFont="1" applyAlignment="1">
      <alignment horizontal="left" vertical="top" wrapText="1"/>
    </xf>
    <xf numFmtId="0" fontId="31" fillId="0" borderId="10" xfId="0" applyFont="1" applyBorder="1" applyAlignment="1">
      <alignment horizontal="left" vertical="top" wrapText="1"/>
    </xf>
    <xf numFmtId="0" fontId="31" fillId="0" borderId="11" xfId="0" applyFont="1" applyBorder="1" applyAlignment="1">
      <alignment horizontal="left" vertical="top" wrapText="1"/>
    </xf>
    <xf numFmtId="0" fontId="31" fillId="0" borderId="12" xfId="0" applyFont="1" applyBorder="1" applyAlignment="1">
      <alignment horizontal="left" vertical="top" wrapText="1"/>
    </xf>
    <xf numFmtId="0" fontId="31" fillId="0" borderId="13" xfId="0" applyFont="1" applyBorder="1" applyAlignment="1">
      <alignment horizontal="left" vertical="top" wrapText="1"/>
    </xf>
    <xf numFmtId="0" fontId="31" fillId="0" borderId="6" xfId="0" applyFont="1" applyBorder="1" applyAlignment="1">
      <alignment horizontal="left" vertical="top"/>
    </xf>
    <xf numFmtId="0" fontId="31" fillId="0" borderId="7" xfId="0" applyFont="1" applyBorder="1" applyAlignment="1">
      <alignment horizontal="left" vertical="top"/>
    </xf>
    <xf numFmtId="0" fontId="31" fillId="0" borderId="8" xfId="0" applyFont="1" applyBorder="1" applyAlignment="1">
      <alignment horizontal="left" vertical="top"/>
    </xf>
    <xf numFmtId="0" fontId="31" fillId="0" borderId="9" xfId="0" applyFont="1" applyBorder="1" applyAlignment="1">
      <alignment horizontal="left" vertical="top"/>
    </xf>
    <xf numFmtId="0" fontId="31" fillId="0" borderId="0" xfId="0" applyFont="1" applyAlignment="1">
      <alignment horizontal="left" vertical="top"/>
    </xf>
    <xf numFmtId="0" fontId="31" fillId="0" borderId="10" xfId="0" applyFont="1" applyBorder="1" applyAlignment="1">
      <alignment horizontal="left" vertical="top"/>
    </xf>
    <xf numFmtId="0" fontId="31" fillId="0" borderId="11" xfId="0" applyFont="1" applyBorder="1" applyAlignment="1">
      <alignment horizontal="left" vertical="top"/>
    </xf>
    <xf numFmtId="0" fontId="31" fillId="0" borderId="12" xfId="0" applyFont="1" applyBorder="1" applyAlignment="1">
      <alignment horizontal="left" vertical="top"/>
    </xf>
    <xf numFmtId="0" fontId="31" fillId="0" borderId="13" xfId="0" applyFont="1" applyBorder="1" applyAlignment="1">
      <alignment horizontal="left" vertical="top"/>
    </xf>
    <xf numFmtId="0" fontId="10" fillId="2" borderId="6" xfId="0" applyFont="1" applyFill="1" applyBorder="1" applyAlignment="1">
      <alignment horizontal="left" vertical="top"/>
    </xf>
    <xf numFmtId="14" fontId="31" fillId="5" borderId="6" xfId="0" applyNumberFormat="1" applyFont="1" applyFill="1" applyBorder="1" applyAlignment="1">
      <alignment horizontal="left" vertical="top"/>
    </xf>
    <xf numFmtId="0" fontId="31" fillId="5" borderId="6" xfId="0" applyFont="1" applyFill="1" applyBorder="1" applyAlignment="1">
      <alignment horizontal="left" vertical="top"/>
    </xf>
    <xf numFmtId="14" fontId="31" fillId="5" borderId="7" xfId="0" applyNumberFormat="1" applyFont="1" applyFill="1" applyBorder="1" applyAlignment="1">
      <alignment horizontal="left" vertical="top"/>
    </xf>
    <xf numFmtId="0" fontId="31" fillId="5" borderId="2" xfId="0" applyFont="1" applyFill="1" applyBorder="1" applyAlignment="1">
      <alignment horizontal="left" vertical="top"/>
    </xf>
    <xf numFmtId="14" fontId="31" fillId="5" borderId="8" xfId="0" applyNumberFormat="1" applyFont="1" applyFill="1" applyBorder="1" applyAlignment="1">
      <alignment horizontal="left" vertical="top"/>
    </xf>
    <xf numFmtId="14" fontId="31" fillId="5" borderId="9" xfId="0" applyNumberFormat="1" applyFont="1" applyFill="1" applyBorder="1" applyAlignment="1">
      <alignment horizontal="left" vertical="top"/>
    </xf>
    <xf numFmtId="14" fontId="31" fillId="5" borderId="10" xfId="0" applyNumberFormat="1" applyFont="1" applyFill="1" applyBorder="1" applyAlignment="1">
      <alignment horizontal="left" vertical="top"/>
    </xf>
    <xf numFmtId="0" fontId="3" fillId="0" borderId="2" xfId="0" applyFont="1" applyBorder="1" applyAlignment="1">
      <alignment vertical="top" wrapText="1"/>
    </xf>
    <xf numFmtId="0" fontId="0" fillId="0" borderId="2" xfId="0" applyBorder="1" applyAlignment="1">
      <alignment vertical="top"/>
    </xf>
    <xf numFmtId="0" fontId="32" fillId="0" borderId="3" xfId="0" applyFont="1" applyBorder="1" applyAlignment="1">
      <alignment vertical="top" wrapText="1"/>
    </xf>
    <xf numFmtId="0" fontId="0" fillId="0" borderId="5" xfId="0" applyBorder="1" applyAlignment="1">
      <alignment vertical="top" wrapText="1"/>
    </xf>
    <xf numFmtId="0" fontId="1" fillId="0" borderId="0" xfId="0" applyFont="1" applyAlignment="1">
      <alignment vertical="top" wrapText="1"/>
    </xf>
    <xf numFmtId="0" fontId="0" fillId="0" borderId="0" xfId="0" applyAlignment="1">
      <alignment wrapText="1"/>
    </xf>
    <xf numFmtId="0" fontId="1" fillId="0" borderId="2" xfId="0" applyFont="1" applyBorder="1" applyAlignment="1">
      <alignment vertical="top" wrapText="1"/>
    </xf>
    <xf numFmtId="0" fontId="32" fillId="0" borderId="2" xfId="0" applyFont="1" applyBorder="1" applyAlignment="1">
      <alignment vertical="top" wrapText="1"/>
    </xf>
    <xf numFmtId="0" fontId="0" fillId="0" borderId="2" xfId="0" applyBorder="1" applyAlignment="1">
      <alignment vertical="top" wrapText="1"/>
    </xf>
    <xf numFmtId="0" fontId="33" fillId="0" borderId="2" xfId="0" applyFont="1" applyBorder="1" applyAlignment="1">
      <alignment vertical="top" wrapText="1"/>
    </xf>
    <xf numFmtId="0" fontId="5" fillId="2" borderId="2" xfId="0" applyFont="1" applyFill="1" applyBorder="1" applyAlignment="1">
      <alignment horizontal="left" vertical="top"/>
    </xf>
    <xf numFmtId="0" fontId="10" fillId="5" borderId="2" xfId="0" applyFont="1" applyFill="1" applyBorder="1" applyAlignment="1">
      <alignment horizontal="center" vertical="center" wrapText="1"/>
    </xf>
    <xf numFmtId="0" fontId="9" fillId="3" borderId="2" xfId="0" applyFont="1" applyFill="1" applyBorder="1" applyAlignment="1">
      <alignment horizontal="left" vertical="center" wrapText="1"/>
    </xf>
    <xf numFmtId="10" fontId="10" fillId="5" borderId="2" xfId="0" applyNumberFormat="1" applyFont="1" applyFill="1" applyBorder="1" applyAlignment="1">
      <alignment horizontal="center" vertical="center" wrapText="1"/>
    </xf>
    <xf numFmtId="0" fontId="10" fillId="6" borderId="16" xfId="0" applyFont="1" applyFill="1" applyBorder="1" applyAlignment="1">
      <alignment horizontal="center" vertical="center" wrapText="1"/>
    </xf>
    <xf numFmtId="0" fontId="10" fillId="6" borderId="17" xfId="0" applyFont="1" applyFill="1" applyBorder="1" applyAlignment="1">
      <alignment horizontal="center" vertical="center" wrapText="1"/>
    </xf>
    <xf numFmtId="0" fontId="10" fillId="5" borderId="3" xfId="0" applyFont="1" applyFill="1" applyBorder="1" applyAlignment="1">
      <alignment horizontal="center" vertical="center" wrapText="1"/>
    </xf>
    <xf numFmtId="0" fontId="10" fillId="5" borderId="5" xfId="0" applyFont="1" applyFill="1" applyBorder="1" applyAlignment="1">
      <alignment horizontal="center" vertical="center" wrapText="1"/>
    </xf>
    <xf numFmtId="0" fontId="17" fillId="0" borderId="2" xfId="0" applyFont="1" applyBorder="1" applyAlignment="1">
      <alignment horizontal="left" vertical="center" wrapText="1"/>
    </xf>
    <xf numFmtId="0" fontId="10" fillId="5" borderId="2" xfId="0" applyFont="1" applyFill="1" applyBorder="1" applyAlignment="1">
      <alignment horizontal="left" vertical="center" wrapText="1"/>
    </xf>
    <xf numFmtId="0" fontId="10" fillId="5" borderId="3" xfId="0" applyFont="1" applyFill="1" applyBorder="1" applyAlignment="1">
      <alignment horizontal="left" vertical="center" wrapText="1"/>
    </xf>
    <xf numFmtId="0" fontId="10" fillId="5" borderId="4" xfId="0" applyFont="1" applyFill="1" applyBorder="1" applyAlignment="1">
      <alignment horizontal="left" vertical="center" wrapText="1"/>
    </xf>
    <xf numFmtId="0" fontId="10" fillId="5" borderId="5" xfId="0" applyFont="1" applyFill="1" applyBorder="1" applyAlignment="1">
      <alignment horizontal="left" vertical="center" wrapText="1"/>
    </xf>
    <xf numFmtId="0" fontId="10" fillId="5" borderId="6" xfId="0" applyFont="1" applyFill="1" applyBorder="1" applyAlignment="1">
      <alignment horizontal="left" vertical="center" wrapText="1"/>
    </xf>
    <xf numFmtId="0" fontId="10" fillId="5" borderId="7" xfId="0" applyFont="1" applyFill="1" applyBorder="1" applyAlignment="1">
      <alignment horizontal="left" vertical="center" wrapText="1"/>
    </xf>
    <xf numFmtId="0" fontId="10" fillId="5" borderId="8" xfId="0" applyFont="1" applyFill="1" applyBorder="1" applyAlignment="1">
      <alignment horizontal="left" vertical="center" wrapText="1"/>
    </xf>
    <xf numFmtId="0" fontId="6" fillId="0" borderId="11" xfId="0" applyFont="1" applyBorder="1" applyAlignment="1">
      <alignment horizontal="left" vertical="center" wrapText="1"/>
    </xf>
    <xf numFmtId="0" fontId="6" fillId="0" borderId="12" xfId="0" applyFont="1" applyBorder="1" applyAlignment="1">
      <alignment horizontal="left" vertical="center" wrapText="1"/>
    </xf>
    <xf numFmtId="0" fontId="9" fillId="0" borderId="6" xfId="0" applyFont="1" applyBorder="1" applyAlignment="1">
      <alignment horizontal="left" vertical="center"/>
    </xf>
    <xf numFmtId="0" fontId="9" fillId="0" borderId="7" xfId="0" applyFont="1" applyBorder="1" applyAlignment="1">
      <alignment horizontal="left" vertical="center"/>
    </xf>
    <xf numFmtId="0" fontId="9" fillId="0" borderId="8" xfId="0" applyFont="1" applyBorder="1" applyAlignment="1">
      <alignment horizontal="left" vertical="center"/>
    </xf>
    <xf numFmtId="0" fontId="9" fillId="0" borderId="3" xfId="0" applyFont="1" applyBorder="1" applyAlignment="1">
      <alignment horizontal="center" vertical="center"/>
    </xf>
    <xf numFmtId="0" fontId="9" fillId="0" borderId="4" xfId="0" applyFont="1" applyBorder="1" applyAlignment="1">
      <alignment horizontal="center" vertical="center"/>
    </xf>
    <xf numFmtId="0" fontId="9" fillId="0" borderId="5" xfId="0" applyFont="1" applyBorder="1" applyAlignment="1">
      <alignment horizontal="center" vertical="center"/>
    </xf>
    <xf numFmtId="0" fontId="9" fillId="0" borderId="6" xfId="0" applyFont="1" applyBorder="1" applyAlignment="1">
      <alignment horizontal="left" vertical="center" wrapText="1"/>
    </xf>
    <xf numFmtId="0" fontId="9" fillId="0" borderId="8" xfId="0" applyFont="1" applyBorder="1" applyAlignment="1">
      <alignment horizontal="left" vertical="center" wrapText="1"/>
    </xf>
    <xf numFmtId="0" fontId="9" fillId="0" borderId="9" xfId="0" applyFont="1" applyBorder="1" applyAlignment="1">
      <alignment horizontal="left" vertical="center" wrapText="1"/>
    </xf>
    <xf numFmtId="0" fontId="9" fillId="0" borderId="10" xfId="0" applyFont="1" applyBorder="1" applyAlignment="1">
      <alignment horizontal="left" vertical="center" wrapText="1"/>
    </xf>
    <xf numFmtId="0" fontId="17" fillId="0" borderId="3" xfId="0" applyFont="1" applyBorder="1" applyAlignment="1">
      <alignment horizontal="center" vertical="center" wrapText="1"/>
    </xf>
    <xf numFmtId="0" fontId="17" fillId="0" borderId="4" xfId="0" applyFont="1" applyBorder="1" applyAlignment="1">
      <alignment horizontal="center" vertical="center" wrapText="1"/>
    </xf>
    <xf numFmtId="0" fontId="17" fillId="0" borderId="5" xfId="0" applyFont="1" applyBorder="1" applyAlignment="1">
      <alignment horizontal="center" vertical="center" wrapText="1"/>
    </xf>
    <xf numFmtId="0" fontId="9" fillId="0" borderId="6" xfId="0" applyFont="1" applyBorder="1" applyAlignment="1">
      <alignment horizontal="center" vertical="center" wrapText="1"/>
    </xf>
    <xf numFmtId="0" fontId="9" fillId="0" borderId="8" xfId="0" applyFont="1" applyBorder="1" applyAlignment="1">
      <alignment horizontal="center" vertical="center" wrapText="1"/>
    </xf>
    <xf numFmtId="0" fontId="9" fillId="0" borderId="9" xfId="0" applyFont="1" applyBorder="1" applyAlignment="1">
      <alignment horizontal="center" vertical="center" wrapText="1"/>
    </xf>
    <xf numFmtId="0" fontId="9" fillId="0" borderId="10" xfId="0" applyFont="1" applyBorder="1" applyAlignment="1">
      <alignment horizontal="center" vertical="center" wrapText="1"/>
    </xf>
    <xf numFmtId="0" fontId="9" fillId="0" borderId="1" xfId="0" applyFont="1" applyBorder="1" applyAlignment="1">
      <alignment horizontal="center" vertical="center" wrapText="1"/>
    </xf>
    <xf numFmtId="0" fontId="9" fillId="0" borderId="15" xfId="0" applyFont="1" applyBorder="1" applyAlignment="1">
      <alignment horizontal="center" vertical="center" wrapText="1"/>
    </xf>
    <xf numFmtId="0" fontId="22" fillId="0" borderId="0" xfId="0" applyFont="1" applyAlignment="1">
      <alignment horizontal="left" vertical="top" wrapText="1"/>
    </xf>
    <xf numFmtId="0" fontId="11" fillId="0" borderId="6" xfId="0" applyFont="1" applyBorder="1" applyAlignment="1">
      <alignment horizontal="right" vertical="top" wrapText="1"/>
    </xf>
    <xf numFmtId="0" fontId="11" fillId="0" borderId="7" xfId="0" applyFont="1" applyBorder="1" applyAlignment="1">
      <alignment horizontal="right" vertical="top" wrapText="1"/>
    </xf>
    <xf numFmtId="0" fontId="11" fillId="0" borderId="8" xfId="0" applyFont="1" applyBorder="1" applyAlignment="1">
      <alignment horizontal="right" vertical="top" wrapText="1"/>
    </xf>
    <xf numFmtId="0" fontId="5" fillId="2" borderId="14" xfId="0" applyFont="1" applyFill="1" applyBorder="1" applyAlignment="1">
      <alignment horizontal="left" vertical="top"/>
    </xf>
    <xf numFmtId="0" fontId="9" fillId="0" borderId="2" xfId="0" applyFont="1" applyBorder="1" applyAlignment="1">
      <alignment horizontal="left" vertical="center" wrapText="1"/>
    </xf>
    <xf numFmtId="0" fontId="9" fillId="0" borderId="14" xfId="0" applyFont="1" applyBorder="1" applyAlignment="1">
      <alignment horizontal="center" vertical="center" wrapText="1"/>
    </xf>
    <xf numFmtId="0" fontId="9" fillId="0" borderId="5" xfId="0" applyFont="1" applyBorder="1" applyAlignment="1">
      <alignment horizontal="center" vertical="center" wrapText="1"/>
    </xf>
    <xf numFmtId="0" fontId="5" fillId="0" borderId="0" xfId="0" applyFont="1" applyAlignment="1">
      <alignment horizontal="left" wrapText="1"/>
    </xf>
    <xf numFmtId="0" fontId="5" fillId="0" borderId="2" xfId="0" applyFont="1" applyBorder="1" applyAlignment="1">
      <alignment horizontal="center" vertical="center"/>
    </xf>
    <xf numFmtId="0" fontId="6" fillId="0" borderId="12" xfId="0" applyFont="1" applyBorder="1" applyAlignment="1">
      <alignment horizontal="center"/>
    </xf>
    <xf numFmtId="0" fontId="6" fillId="0" borderId="2" xfId="0" applyFont="1" applyBorder="1" applyAlignment="1">
      <alignment horizontal="center"/>
    </xf>
    <xf numFmtId="0" fontId="5" fillId="2" borderId="6" xfId="0" applyFont="1" applyFill="1" applyBorder="1" applyAlignment="1">
      <alignment horizontal="left" vertical="top"/>
    </xf>
    <xf numFmtId="0" fontId="5" fillId="2" borderId="7" xfId="0" applyFont="1" applyFill="1" applyBorder="1" applyAlignment="1">
      <alignment horizontal="left" vertical="top"/>
    </xf>
    <xf numFmtId="0" fontId="5" fillId="2" borderId="8" xfId="0" applyFont="1" applyFill="1" applyBorder="1" applyAlignment="1">
      <alignment horizontal="left" vertical="top"/>
    </xf>
    <xf numFmtId="0" fontId="5" fillId="2" borderId="9" xfId="0" applyFont="1" applyFill="1" applyBorder="1" applyAlignment="1">
      <alignment horizontal="left" vertical="top"/>
    </xf>
    <xf numFmtId="0" fontId="5" fillId="2" borderId="0" xfId="0" applyFont="1" applyFill="1" applyAlignment="1">
      <alignment horizontal="left" vertical="top"/>
    </xf>
    <xf numFmtId="0" fontId="5" fillId="2" borderId="10" xfId="0" applyFont="1" applyFill="1" applyBorder="1" applyAlignment="1">
      <alignment horizontal="left" vertical="top"/>
    </xf>
    <xf numFmtId="0" fontId="5" fillId="2" borderId="11" xfId="0" applyFont="1" applyFill="1" applyBorder="1" applyAlignment="1">
      <alignment horizontal="left" vertical="top"/>
    </xf>
    <xf numFmtId="0" fontId="5" fillId="2" borderId="12" xfId="0" applyFont="1" applyFill="1" applyBorder="1" applyAlignment="1">
      <alignment horizontal="left" vertical="top"/>
    </xf>
    <xf numFmtId="0" fontId="5" fillId="2" borderId="13" xfId="0" applyFont="1" applyFill="1" applyBorder="1" applyAlignment="1">
      <alignment horizontal="left" vertical="top"/>
    </xf>
    <xf numFmtId="0" fontId="6" fillId="0" borderId="3" xfId="0" applyFont="1" applyBorder="1" applyAlignment="1">
      <alignment horizontal="left" vertical="top" wrapText="1"/>
    </xf>
    <xf numFmtId="0" fontId="6" fillId="0" borderId="4" xfId="0" applyFont="1" applyBorder="1" applyAlignment="1">
      <alignment horizontal="left" vertical="top" wrapText="1"/>
    </xf>
    <xf numFmtId="0" fontId="6" fillId="0" borderId="5" xfId="0" applyFont="1" applyBorder="1" applyAlignment="1">
      <alignment horizontal="left" vertical="top" wrapText="1"/>
    </xf>
    <xf numFmtId="0" fontId="5" fillId="2" borderId="6" xfId="0" applyFont="1" applyFill="1" applyBorder="1" applyAlignment="1">
      <alignment horizontal="left" vertical="top" wrapText="1"/>
    </xf>
    <xf numFmtId="0" fontId="5" fillId="2" borderId="7" xfId="0" applyFont="1" applyFill="1" applyBorder="1" applyAlignment="1">
      <alignment horizontal="left" vertical="top" wrapText="1"/>
    </xf>
    <xf numFmtId="0" fontId="5" fillId="2" borderId="8" xfId="0" applyFont="1" applyFill="1" applyBorder="1" applyAlignment="1">
      <alignment horizontal="left" vertical="top" wrapText="1"/>
    </xf>
    <xf numFmtId="0" fontId="5" fillId="2" borderId="9" xfId="0" applyFont="1" applyFill="1" applyBorder="1" applyAlignment="1">
      <alignment horizontal="left" vertical="top" wrapText="1"/>
    </xf>
    <xf numFmtId="0" fontId="5" fillId="2" borderId="0" xfId="0" applyFont="1" applyFill="1" applyAlignment="1">
      <alignment horizontal="left" vertical="top" wrapText="1"/>
    </xf>
    <xf numFmtId="0" fontId="5" fillId="2" borderId="10" xfId="0" applyFont="1" applyFill="1" applyBorder="1" applyAlignment="1">
      <alignment horizontal="left" vertical="top" wrapText="1"/>
    </xf>
    <xf numFmtId="0" fontId="5" fillId="2" borderId="11" xfId="0" applyFont="1" applyFill="1" applyBorder="1" applyAlignment="1">
      <alignment horizontal="left" vertical="top" wrapText="1"/>
    </xf>
    <xf numFmtId="0" fontId="5" fillId="2" borderId="12" xfId="0" applyFont="1" applyFill="1" applyBorder="1" applyAlignment="1">
      <alignment horizontal="left" vertical="top" wrapText="1"/>
    </xf>
    <xf numFmtId="0" fontId="5" fillId="2" borderId="13" xfId="0" applyFont="1" applyFill="1" applyBorder="1" applyAlignment="1">
      <alignment horizontal="left" vertical="top"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4.5</c:v>
                </c:pt>
                <c:pt idx="1">
                  <c:v>7</c:v>
                </c:pt>
                <c:pt idx="2">
                  <c:v>7.5</c:v>
                </c:pt>
                <c:pt idx="3">
                  <c:v>6.5</c:v>
                </c:pt>
                <c:pt idx="4">
                  <c:v>6.5</c:v>
                </c:pt>
                <c:pt idx="5">
                  <c:v>5.5</c:v>
                </c:pt>
                <c:pt idx="6">
                  <c:v>6.5</c:v>
                </c:pt>
                <c:pt idx="7">
                  <c:v>6.5</c:v>
                </c:pt>
                <c:pt idx="8">
                  <c:v>5</c:v>
                </c:pt>
                <c:pt idx="9">
                  <c:v>7</c:v>
                </c:pt>
                <c:pt idx="10">
                  <c:v>2</c:v>
                </c:pt>
                <c:pt idx="11">
                  <c:v>2.5</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28</c:v>
                </c:pt>
                <c:pt idx="1">
                  <c:v>36</c:v>
                </c:pt>
                <c:pt idx="2">
                  <c:v>27</c:v>
                </c:pt>
                <c:pt idx="3">
                  <c:v>13</c:v>
                </c:pt>
                <c:pt idx="4">
                  <c:v>11</c:v>
                </c:pt>
                <c:pt idx="5">
                  <c:v>10</c:v>
                </c:pt>
                <c:pt idx="6">
                  <c:v>12</c:v>
                </c:pt>
                <c:pt idx="7">
                  <c:v>16</c:v>
                </c:pt>
                <c:pt idx="8">
                  <c:v>12</c:v>
                </c:pt>
                <c:pt idx="9">
                  <c:v>12</c:v>
                </c:pt>
                <c:pt idx="10">
                  <c:v>5</c:v>
                </c:pt>
                <c:pt idx="11">
                  <c:v>17</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4.5</c:v>
                </c:pt>
                <c:pt idx="1">
                  <c:v>7</c:v>
                </c:pt>
                <c:pt idx="2">
                  <c:v>7.5</c:v>
                </c:pt>
                <c:pt idx="3">
                  <c:v>6.5</c:v>
                </c:pt>
                <c:pt idx="4">
                  <c:v>6.5</c:v>
                </c:pt>
                <c:pt idx="5">
                  <c:v>5.5</c:v>
                </c:pt>
                <c:pt idx="6">
                  <c:v>6.5</c:v>
                </c:pt>
                <c:pt idx="7">
                  <c:v>6.5</c:v>
                </c:pt>
                <c:pt idx="8">
                  <c:v>5</c:v>
                </c:pt>
                <c:pt idx="9">
                  <c:v>7</c:v>
                </c:pt>
                <c:pt idx="10">
                  <c:v>2</c:v>
                </c:pt>
                <c:pt idx="11">
                  <c:v>2.5</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8</c:v>
                </c:pt>
                <c:pt idx="1">
                  <c:v>8</c:v>
                </c:pt>
                <c:pt idx="2">
                  <c:v>9</c:v>
                </c:pt>
                <c:pt idx="3">
                  <c:v>9</c:v>
                </c:pt>
                <c:pt idx="4">
                  <c:v>9</c:v>
                </c:pt>
                <c:pt idx="5">
                  <c:v>8</c:v>
                </c:pt>
                <c:pt idx="6">
                  <c:v>9</c:v>
                </c:pt>
                <c:pt idx="7">
                  <c:v>9</c:v>
                </c:pt>
                <c:pt idx="8">
                  <c:v>9</c:v>
                </c:pt>
                <c:pt idx="9">
                  <c:v>9</c:v>
                </c:pt>
                <c:pt idx="10">
                  <c:v>3</c:v>
                </c:pt>
                <c:pt idx="11">
                  <c:v>5</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4607760"/>
        <c:axId val="304608152"/>
      </c:lineChart>
      <c:catAx>
        <c:axId val="304607760"/>
        <c:scaling>
          <c:orientation val="minMax"/>
        </c:scaling>
        <c:delete val="0"/>
        <c:axPos val="b"/>
        <c:numFmt formatCode="General" sourceLinked="1"/>
        <c:majorTickMark val="out"/>
        <c:minorTickMark val="none"/>
        <c:tickLblPos val="nextTo"/>
        <c:crossAx val="304608152"/>
        <c:crosses val="autoZero"/>
        <c:auto val="1"/>
        <c:lblAlgn val="ctr"/>
        <c:lblOffset val="100"/>
        <c:noMultiLvlLbl val="0"/>
      </c:catAx>
      <c:valAx>
        <c:axId val="30460815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460776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23.5</c:v>
                </c:pt>
                <c:pt idx="1">
                  <c:v>29</c:v>
                </c:pt>
                <c:pt idx="2">
                  <c:v>27</c:v>
                </c:pt>
                <c:pt idx="3">
                  <c:v>23.5</c:v>
                </c:pt>
                <c:pt idx="4">
                  <c:v>29</c:v>
                </c:pt>
                <c:pt idx="5">
                  <c:v>27.5</c:v>
                </c:pt>
                <c:pt idx="6">
                  <c:v>27</c:v>
                </c:pt>
                <c:pt idx="7">
                  <c:v>26</c:v>
                </c:pt>
                <c:pt idx="8">
                  <c:v>20</c:v>
                </c:pt>
                <c:pt idx="9">
                  <c:v>22</c:v>
                </c:pt>
                <c:pt idx="10">
                  <c:v>32</c:v>
                </c:pt>
                <c:pt idx="11">
                  <c:v>32</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70</c:v>
                </c:pt>
                <c:pt idx="1">
                  <c:v>155</c:v>
                </c:pt>
                <c:pt idx="2">
                  <c:v>142</c:v>
                </c:pt>
                <c:pt idx="3">
                  <c:v>52</c:v>
                </c:pt>
                <c:pt idx="4">
                  <c:v>60</c:v>
                </c:pt>
                <c:pt idx="5">
                  <c:v>86</c:v>
                </c:pt>
                <c:pt idx="6">
                  <c:v>85</c:v>
                </c:pt>
                <c:pt idx="7">
                  <c:v>159</c:v>
                </c:pt>
                <c:pt idx="8">
                  <c:v>46</c:v>
                </c:pt>
                <c:pt idx="9">
                  <c:v>62</c:v>
                </c:pt>
                <c:pt idx="10">
                  <c:v>84</c:v>
                </c:pt>
                <c:pt idx="11">
                  <c:v>59</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23.5</c:v>
                </c:pt>
                <c:pt idx="1">
                  <c:v>29</c:v>
                </c:pt>
                <c:pt idx="2">
                  <c:v>27</c:v>
                </c:pt>
                <c:pt idx="3">
                  <c:v>23.5</c:v>
                </c:pt>
                <c:pt idx="4">
                  <c:v>29</c:v>
                </c:pt>
                <c:pt idx="5">
                  <c:v>27.5</c:v>
                </c:pt>
                <c:pt idx="6">
                  <c:v>27</c:v>
                </c:pt>
                <c:pt idx="7">
                  <c:v>26</c:v>
                </c:pt>
                <c:pt idx="8">
                  <c:v>20</c:v>
                </c:pt>
                <c:pt idx="9">
                  <c:v>22</c:v>
                </c:pt>
                <c:pt idx="10">
                  <c:v>32</c:v>
                </c:pt>
                <c:pt idx="11">
                  <c:v>32</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34</c:v>
                </c:pt>
                <c:pt idx="1">
                  <c:v>34</c:v>
                </c:pt>
                <c:pt idx="2">
                  <c:v>39</c:v>
                </c:pt>
                <c:pt idx="3">
                  <c:v>33</c:v>
                </c:pt>
                <c:pt idx="4">
                  <c:v>43</c:v>
                </c:pt>
                <c:pt idx="5">
                  <c:v>44</c:v>
                </c:pt>
                <c:pt idx="6">
                  <c:v>39</c:v>
                </c:pt>
                <c:pt idx="7">
                  <c:v>37</c:v>
                </c:pt>
                <c:pt idx="8">
                  <c:v>29</c:v>
                </c:pt>
                <c:pt idx="9">
                  <c:v>35</c:v>
                </c:pt>
                <c:pt idx="10">
                  <c:v>43</c:v>
                </c:pt>
                <c:pt idx="11">
                  <c:v>42</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04609328"/>
        <c:axId val="304609720"/>
      </c:lineChart>
      <c:catAx>
        <c:axId val="304609328"/>
        <c:scaling>
          <c:orientation val="minMax"/>
        </c:scaling>
        <c:delete val="0"/>
        <c:axPos val="b"/>
        <c:numFmt formatCode="General" sourceLinked="1"/>
        <c:majorTickMark val="out"/>
        <c:minorTickMark val="none"/>
        <c:tickLblPos val="nextTo"/>
        <c:crossAx val="304609720"/>
        <c:crosses val="autoZero"/>
        <c:auto val="1"/>
        <c:lblAlgn val="ctr"/>
        <c:lblOffset val="100"/>
        <c:noMultiLvlLbl val="0"/>
      </c:catAx>
      <c:valAx>
        <c:axId val="30460972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460932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171</c:v>
                </c:pt>
                <c:pt idx="1">
                  <c:v>171</c:v>
                </c:pt>
                <c:pt idx="2">
                  <c:v>171.5</c:v>
                </c:pt>
                <c:pt idx="3">
                  <c:v>174</c:v>
                </c:pt>
                <c:pt idx="4">
                  <c:v>173</c:v>
                </c:pt>
                <c:pt idx="5">
                  <c:v>169</c:v>
                </c:pt>
                <c:pt idx="6">
                  <c:v>173.5</c:v>
                </c:pt>
                <c:pt idx="7">
                  <c:v>167.5</c:v>
                </c:pt>
                <c:pt idx="8">
                  <c:v>167</c:v>
                </c:pt>
                <c:pt idx="9">
                  <c:v>165</c:v>
                </c:pt>
                <c:pt idx="10">
                  <c:v>154</c:v>
                </c:pt>
                <c:pt idx="11">
                  <c:v>159.5</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294</c:v>
                </c:pt>
                <c:pt idx="1">
                  <c:v>253</c:v>
                </c:pt>
                <c:pt idx="2">
                  <c:v>202</c:v>
                </c:pt>
                <c:pt idx="3">
                  <c:v>323</c:v>
                </c:pt>
                <c:pt idx="4">
                  <c:v>274</c:v>
                </c:pt>
                <c:pt idx="5">
                  <c:v>258</c:v>
                </c:pt>
                <c:pt idx="6">
                  <c:v>276</c:v>
                </c:pt>
                <c:pt idx="7">
                  <c:v>239</c:v>
                </c:pt>
                <c:pt idx="8">
                  <c:v>265</c:v>
                </c:pt>
                <c:pt idx="9">
                  <c:v>204</c:v>
                </c:pt>
                <c:pt idx="10">
                  <c:v>192</c:v>
                </c:pt>
                <c:pt idx="11">
                  <c:v>395</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171</c:v>
                </c:pt>
                <c:pt idx="1">
                  <c:v>171</c:v>
                </c:pt>
                <c:pt idx="2">
                  <c:v>171.5</c:v>
                </c:pt>
                <c:pt idx="3">
                  <c:v>174</c:v>
                </c:pt>
                <c:pt idx="4">
                  <c:v>173</c:v>
                </c:pt>
                <c:pt idx="5">
                  <c:v>169</c:v>
                </c:pt>
                <c:pt idx="6">
                  <c:v>173.5</c:v>
                </c:pt>
                <c:pt idx="7">
                  <c:v>167.5</c:v>
                </c:pt>
                <c:pt idx="8">
                  <c:v>167</c:v>
                </c:pt>
                <c:pt idx="9">
                  <c:v>165</c:v>
                </c:pt>
                <c:pt idx="10">
                  <c:v>154</c:v>
                </c:pt>
                <c:pt idx="11">
                  <c:v>159.5</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177</c:v>
                </c:pt>
                <c:pt idx="1">
                  <c:v>175</c:v>
                </c:pt>
                <c:pt idx="2">
                  <c:v>176</c:v>
                </c:pt>
                <c:pt idx="3">
                  <c:v>191</c:v>
                </c:pt>
                <c:pt idx="4">
                  <c:v>189</c:v>
                </c:pt>
                <c:pt idx="5">
                  <c:v>178</c:v>
                </c:pt>
                <c:pt idx="6">
                  <c:v>194</c:v>
                </c:pt>
                <c:pt idx="7">
                  <c:v>188</c:v>
                </c:pt>
                <c:pt idx="8">
                  <c:v>174</c:v>
                </c:pt>
                <c:pt idx="9">
                  <c:v>166</c:v>
                </c:pt>
                <c:pt idx="10">
                  <c:v>158</c:v>
                </c:pt>
                <c:pt idx="11">
                  <c:v>177</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04610896"/>
        <c:axId val="304611288"/>
      </c:lineChart>
      <c:catAx>
        <c:axId val="304610896"/>
        <c:scaling>
          <c:orientation val="minMax"/>
        </c:scaling>
        <c:delete val="0"/>
        <c:axPos val="b"/>
        <c:numFmt formatCode="General" sourceLinked="1"/>
        <c:majorTickMark val="out"/>
        <c:minorTickMark val="none"/>
        <c:tickLblPos val="nextTo"/>
        <c:crossAx val="304611288"/>
        <c:crosses val="autoZero"/>
        <c:auto val="1"/>
        <c:lblAlgn val="ctr"/>
        <c:lblOffset val="100"/>
        <c:noMultiLvlLbl val="0"/>
      </c:catAx>
      <c:valAx>
        <c:axId val="30461128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461089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0.55000000000000004</c:v>
                </c:pt>
                <c:pt idx="1">
                  <c:v>0.5</c:v>
                </c:pt>
                <c:pt idx="2">
                  <c:v>0.5</c:v>
                </c:pt>
                <c:pt idx="3">
                  <c:v>0.5</c:v>
                </c:pt>
                <c:pt idx="4">
                  <c:v>0.55000000000000004</c:v>
                </c:pt>
                <c:pt idx="5">
                  <c:v>0.55000000000000004</c:v>
                </c:pt>
                <c:pt idx="6">
                  <c:v>0.75</c:v>
                </c:pt>
                <c:pt idx="7">
                  <c:v>0.55000000000000004</c:v>
                </c:pt>
                <c:pt idx="8">
                  <c:v>0.5</c:v>
                </c:pt>
                <c:pt idx="9">
                  <c:v>0.5</c:v>
                </c:pt>
                <c:pt idx="10">
                  <c:v>0.6</c:v>
                </c:pt>
                <c:pt idx="11">
                  <c:v>0.25</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97</c:v>
                </c:pt>
                <c:pt idx="1">
                  <c:v>1.6</c:v>
                </c:pt>
                <c:pt idx="2">
                  <c:v>1.4</c:v>
                </c:pt>
                <c:pt idx="3">
                  <c:v>2.4</c:v>
                </c:pt>
                <c:pt idx="4">
                  <c:v>6.7</c:v>
                </c:pt>
                <c:pt idx="5">
                  <c:v>4.5</c:v>
                </c:pt>
                <c:pt idx="6">
                  <c:v>6.8</c:v>
                </c:pt>
                <c:pt idx="7">
                  <c:v>3.4</c:v>
                </c:pt>
                <c:pt idx="8">
                  <c:v>2.2999999999999998</c:v>
                </c:pt>
                <c:pt idx="9">
                  <c:v>1.7</c:v>
                </c:pt>
                <c:pt idx="10">
                  <c:v>1.3</c:v>
                </c:pt>
                <c:pt idx="11">
                  <c:v>1.5</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0.55000000000000004</c:v>
                </c:pt>
                <c:pt idx="1">
                  <c:v>0.5</c:v>
                </c:pt>
                <c:pt idx="2">
                  <c:v>0.5</c:v>
                </c:pt>
                <c:pt idx="3">
                  <c:v>0.5</c:v>
                </c:pt>
                <c:pt idx="4">
                  <c:v>0.55000000000000004</c:v>
                </c:pt>
                <c:pt idx="5">
                  <c:v>0.55000000000000004</c:v>
                </c:pt>
                <c:pt idx="6">
                  <c:v>0.75</c:v>
                </c:pt>
                <c:pt idx="7">
                  <c:v>0.55000000000000004</c:v>
                </c:pt>
                <c:pt idx="8">
                  <c:v>0.5</c:v>
                </c:pt>
                <c:pt idx="9">
                  <c:v>0.5</c:v>
                </c:pt>
                <c:pt idx="10">
                  <c:v>0.6</c:v>
                </c:pt>
                <c:pt idx="11">
                  <c:v>0.25</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2.5</c:v>
                </c:pt>
                <c:pt idx="1">
                  <c:v>0.6</c:v>
                </c:pt>
                <c:pt idx="2">
                  <c:v>0.6</c:v>
                </c:pt>
                <c:pt idx="3">
                  <c:v>0.6</c:v>
                </c:pt>
                <c:pt idx="4">
                  <c:v>1</c:v>
                </c:pt>
                <c:pt idx="5">
                  <c:v>0.7</c:v>
                </c:pt>
                <c:pt idx="6">
                  <c:v>3.9</c:v>
                </c:pt>
                <c:pt idx="7">
                  <c:v>1</c:v>
                </c:pt>
                <c:pt idx="8">
                  <c:v>0.5</c:v>
                </c:pt>
                <c:pt idx="9">
                  <c:v>0.5</c:v>
                </c:pt>
                <c:pt idx="10">
                  <c:v>0.6</c:v>
                </c:pt>
                <c:pt idx="11">
                  <c:v>0.8</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05815480"/>
        <c:axId val="305815872"/>
      </c:lineChart>
      <c:catAx>
        <c:axId val="305815480"/>
        <c:scaling>
          <c:orientation val="minMax"/>
        </c:scaling>
        <c:delete val="0"/>
        <c:axPos val="b"/>
        <c:numFmt formatCode="General" sourceLinked="1"/>
        <c:majorTickMark val="out"/>
        <c:minorTickMark val="none"/>
        <c:tickLblPos val="nextTo"/>
        <c:crossAx val="305815872"/>
        <c:crosses val="autoZero"/>
        <c:auto val="1"/>
        <c:lblAlgn val="ctr"/>
        <c:lblOffset val="100"/>
        <c:noMultiLvlLbl val="0"/>
      </c:catAx>
      <c:valAx>
        <c:axId val="30581587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581548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0.4</c:v>
                </c:pt>
                <c:pt idx="1">
                  <c:v>0.4</c:v>
                </c:pt>
                <c:pt idx="2">
                  <c:v>0.4</c:v>
                </c:pt>
                <c:pt idx="3">
                  <c:v>0.45</c:v>
                </c:pt>
                <c:pt idx="4">
                  <c:v>0.45</c:v>
                </c:pt>
                <c:pt idx="5">
                  <c:v>0.4</c:v>
                </c:pt>
                <c:pt idx="6">
                  <c:v>0.45</c:v>
                </c:pt>
                <c:pt idx="7">
                  <c:v>0.45</c:v>
                </c:pt>
                <c:pt idx="8">
                  <c:v>0.4</c:v>
                </c:pt>
                <c:pt idx="9">
                  <c:v>0.4</c:v>
                </c:pt>
                <c:pt idx="10">
                  <c:v>0.6</c:v>
                </c:pt>
                <c:pt idx="11">
                  <c:v>0.89999999999999991</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1.7</c:v>
                </c:pt>
                <c:pt idx="1">
                  <c:v>0.6</c:v>
                </c:pt>
                <c:pt idx="2">
                  <c:v>0.6</c:v>
                </c:pt>
                <c:pt idx="3">
                  <c:v>6.2</c:v>
                </c:pt>
                <c:pt idx="4">
                  <c:v>1.1000000000000001</c:v>
                </c:pt>
                <c:pt idx="5">
                  <c:v>0.8</c:v>
                </c:pt>
                <c:pt idx="6">
                  <c:v>0.7</c:v>
                </c:pt>
                <c:pt idx="7">
                  <c:v>4.8</c:v>
                </c:pt>
                <c:pt idx="8">
                  <c:v>0.7</c:v>
                </c:pt>
                <c:pt idx="9">
                  <c:v>0.6</c:v>
                </c:pt>
                <c:pt idx="10">
                  <c:v>4.9000000000000004</c:v>
                </c:pt>
                <c:pt idx="11">
                  <c:v>4.7</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0.4</c:v>
                </c:pt>
                <c:pt idx="1">
                  <c:v>0.4</c:v>
                </c:pt>
                <c:pt idx="2">
                  <c:v>0.4</c:v>
                </c:pt>
                <c:pt idx="3">
                  <c:v>0.45</c:v>
                </c:pt>
                <c:pt idx="4">
                  <c:v>0.45</c:v>
                </c:pt>
                <c:pt idx="5">
                  <c:v>0.4</c:v>
                </c:pt>
                <c:pt idx="6">
                  <c:v>0.45</c:v>
                </c:pt>
                <c:pt idx="7">
                  <c:v>0.45</c:v>
                </c:pt>
                <c:pt idx="8">
                  <c:v>0.4</c:v>
                </c:pt>
                <c:pt idx="9">
                  <c:v>0.4</c:v>
                </c:pt>
                <c:pt idx="10">
                  <c:v>0.6</c:v>
                </c:pt>
                <c:pt idx="11">
                  <c:v>0.89999999999999991</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0.5</c:v>
                </c:pt>
                <c:pt idx="1">
                  <c:v>0.5</c:v>
                </c:pt>
                <c:pt idx="2">
                  <c:v>0.5</c:v>
                </c:pt>
                <c:pt idx="3">
                  <c:v>0.5</c:v>
                </c:pt>
                <c:pt idx="4">
                  <c:v>0.5</c:v>
                </c:pt>
                <c:pt idx="5">
                  <c:v>0.5</c:v>
                </c:pt>
                <c:pt idx="6">
                  <c:v>0.6</c:v>
                </c:pt>
                <c:pt idx="7">
                  <c:v>0.6</c:v>
                </c:pt>
                <c:pt idx="8">
                  <c:v>0.4</c:v>
                </c:pt>
                <c:pt idx="9">
                  <c:v>0.4</c:v>
                </c:pt>
                <c:pt idx="10">
                  <c:v>1.1000000000000001</c:v>
                </c:pt>
                <c:pt idx="11">
                  <c:v>1.7</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05815088"/>
        <c:axId val="305817048"/>
      </c:lineChart>
      <c:catAx>
        <c:axId val="305815088"/>
        <c:scaling>
          <c:orientation val="minMax"/>
        </c:scaling>
        <c:delete val="0"/>
        <c:axPos val="b"/>
        <c:numFmt formatCode="General" sourceLinked="1"/>
        <c:majorTickMark val="out"/>
        <c:minorTickMark val="none"/>
        <c:tickLblPos val="nextTo"/>
        <c:crossAx val="305817048"/>
        <c:crosses val="autoZero"/>
        <c:auto val="1"/>
        <c:lblAlgn val="ctr"/>
        <c:lblOffset val="100"/>
        <c:noMultiLvlLbl val="0"/>
      </c:catAx>
      <c:valAx>
        <c:axId val="30581704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581508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8</c:v>
                </c:pt>
                <c:pt idx="1">
                  <c:v>11</c:v>
                </c:pt>
                <c:pt idx="2">
                  <c:v>12</c:v>
                </c:pt>
                <c:pt idx="3">
                  <c:v>13</c:v>
                </c:pt>
                <c:pt idx="4">
                  <c:v>9</c:v>
                </c:pt>
                <c:pt idx="5">
                  <c:v>14</c:v>
                </c:pt>
                <c:pt idx="6">
                  <c:v>9</c:v>
                </c:pt>
                <c:pt idx="7">
                  <c:v>15</c:v>
                </c:pt>
                <c:pt idx="8">
                  <c:v>5</c:v>
                </c:pt>
                <c:pt idx="9">
                  <c:v>5</c:v>
                </c:pt>
                <c:pt idx="10">
                  <c:v>11</c:v>
                </c:pt>
                <c:pt idx="11">
                  <c:v>28</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1600</c:v>
                </c:pt>
                <c:pt idx="1">
                  <c:v>208</c:v>
                </c:pt>
                <c:pt idx="2">
                  <c:v>167</c:v>
                </c:pt>
                <c:pt idx="3">
                  <c:v>105</c:v>
                </c:pt>
                <c:pt idx="4">
                  <c:v>166</c:v>
                </c:pt>
                <c:pt idx="5">
                  <c:v>157</c:v>
                </c:pt>
                <c:pt idx="6">
                  <c:v>993</c:v>
                </c:pt>
                <c:pt idx="7">
                  <c:v>2903</c:v>
                </c:pt>
                <c:pt idx="8">
                  <c:v>285</c:v>
                </c:pt>
                <c:pt idx="9">
                  <c:v>200</c:v>
                </c:pt>
                <c:pt idx="10">
                  <c:v>390</c:v>
                </c:pt>
                <c:pt idx="11">
                  <c:v>350</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7.5</c:v>
                </c:pt>
                <c:pt idx="1">
                  <c:v>7</c:v>
                </c:pt>
                <c:pt idx="2">
                  <c:v>6.5</c:v>
                </c:pt>
                <c:pt idx="3">
                  <c:v>7</c:v>
                </c:pt>
                <c:pt idx="4">
                  <c:v>7</c:v>
                </c:pt>
                <c:pt idx="5">
                  <c:v>7</c:v>
                </c:pt>
                <c:pt idx="6">
                  <c:v>7</c:v>
                </c:pt>
                <c:pt idx="7">
                  <c:v>10</c:v>
                </c:pt>
                <c:pt idx="8">
                  <c:v>5</c:v>
                </c:pt>
                <c:pt idx="9">
                  <c:v>5</c:v>
                </c:pt>
                <c:pt idx="10">
                  <c:v>11</c:v>
                </c:pt>
                <c:pt idx="11">
                  <c:v>7</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42</c:v>
                </c:pt>
                <c:pt idx="1">
                  <c:v>10</c:v>
                </c:pt>
                <c:pt idx="2">
                  <c:v>9</c:v>
                </c:pt>
                <c:pt idx="3">
                  <c:v>10</c:v>
                </c:pt>
                <c:pt idx="4">
                  <c:v>11</c:v>
                </c:pt>
                <c:pt idx="5">
                  <c:v>11</c:v>
                </c:pt>
                <c:pt idx="6">
                  <c:v>18</c:v>
                </c:pt>
                <c:pt idx="7">
                  <c:v>14</c:v>
                </c:pt>
                <c:pt idx="8">
                  <c:v>7</c:v>
                </c:pt>
                <c:pt idx="9">
                  <c:v>7</c:v>
                </c:pt>
                <c:pt idx="10">
                  <c:v>12</c:v>
                </c:pt>
                <c:pt idx="11">
                  <c:v>14</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05819792"/>
        <c:axId val="305820184"/>
      </c:lineChart>
      <c:catAx>
        <c:axId val="305819792"/>
        <c:scaling>
          <c:orientation val="minMax"/>
        </c:scaling>
        <c:delete val="0"/>
        <c:axPos val="b"/>
        <c:numFmt formatCode="General" sourceLinked="1"/>
        <c:majorTickMark val="out"/>
        <c:minorTickMark val="none"/>
        <c:tickLblPos val="nextTo"/>
        <c:crossAx val="305820184"/>
        <c:crosses val="autoZero"/>
        <c:auto val="1"/>
        <c:lblAlgn val="ctr"/>
        <c:lblOffset val="100"/>
        <c:noMultiLvlLbl val="0"/>
      </c:catAx>
      <c:valAx>
        <c:axId val="3058201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581979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0</c:v>
                </c:pt>
                <c:pt idx="1">
                  <c:v>0.5</c:v>
                </c:pt>
                <c:pt idx="2">
                  <c:v>0</c:v>
                </c:pt>
                <c:pt idx="3">
                  <c:v>0</c:v>
                </c:pt>
                <c:pt idx="4">
                  <c:v>0.5</c:v>
                </c:pt>
                <c:pt idx="5">
                  <c:v>0</c:v>
                </c:pt>
                <c:pt idx="6">
                  <c:v>0.5</c:v>
                </c:pt>
                <c:pt idx="7">
                  <c:v>0.5</c:v>
                </c:pt>
                <c:pt idx="8">
                  <c:v>0</c:v>
                </c:pt>
                <c:pt idx="9">
                  <c:v>0</c:v>
                </c:pt>
                <c:pt idx="10">
                  <c:v>1</c:v>
                </c:pt>
                <c:pt idx="11">
                  <c:v>1</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23</c:v>
                </c:pt>
                <c:pt idx="1">
                  <c:v>3</c:v>
                </c:pt>
                <c:pt idx="2">
                  <c:v>4</c:v>
                </c:pt>
                <c:pt idx="3">
                  <c:v>15</c:v>
                </c:pt>
                <c:pt idx="4">
                  <c:v>8</c:v>
                </c:pt>
                <c:pt idx="5">
                  <c:v>9</c:v>
                </c:pt>
                <c:pt idx="6">
                  <c:v>6</c:v>
                </c:pt>
                <c:pt idx="7">
                  <c:v>7</c:v>
                </c:pt>
                <c:pt idx="8">
                  <c:v>6</c:v>
                </c:pt>
                <c:pt idx="9">
                  <c:v>5</c:v>
                </c:pt>
                <c:pt idx="10">
                  <c:v>5</c:v>
                </c:pt>
                <c:pt idx="11">
                  <c:v>17</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0</c:v>
                </c:pt>
                <c:pt idx="1">
                  <c:v>0.5</c:v>
                </c:pt>
                <c:pt idx="2">
                  <c:v>0</c:v>
                </c:pt>
                <c:pt idx="3">
                  <c:v>0</c:v>
                </c:pt>
                <c:pt idx="4">
                  <c:v>0.5</c:v>
                </c:pt>
                <c:pt idx="5">
                  <c:v>0</c:v>
                </c:pt>
                <c:pt idx="6">
                  <c:v>0.5</c:v>
                </c:pt>
                <c:pt idx="7">
                  <c:v>0.5</c:v>
                </c:pt>
                <c:pt idx="8">
                  <c:v>0</c:v>
                </c:pt>
                <c:pt idx="9">
                  <c:v>0</c:v>
                </c:pt>
                <c:pt idx="10">
                  <c:v>1</c:v>
                </c:pt>
                <c:pt idx="11">
                  <c:v>1</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1</c:v>
                </c:pt>
                <c:pt idx="1">
                  <c:v>1</c:v>
                </c:pt>
                <c:pt idx="2">
                  <c:v>1</c:v>
                </c:pt>
                <c:pt idx="3">
                  <c:v>1</c:v>
                </c:pt>
                <c:pt idx="4">
                  <c:v>1</c:v>
                </c:pt>
                <c:pt idx="5">
                  <c:v>1</c:v>
                </c:pt>
                <c:pt idx="6">
                  <c:v>2</c:v>
                </c:pt>
                <c:pt idx="7">
                  <c:v>3</c:v>
                </c:pt>
                <c:pt idx="8">
                  <c:v>1</c:v>
                </c:pt>
                <c:pt idx="9">
                  <c:v>0</c:v>
                </c:pt>
                <c:pt idx="10">
                  <c:v>3</c:v>
                </c:pt>
                <c:pt idx="11">
                  <c:v>5</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05821360"/>
        <c:axId val="305821752"/>
      </c:lineChart>
      <c:catAx>
        <c:axId val="305821360"/>
        <c:scaling>
          <c:orientation val="minMax"/>
        </c:scaling>
        <c:delete val="0"/>
        <c:axPos val="b"/>
        <c:numFmt formatCode="General" sourceLinked="1"/>
        <c:majorTickMark val="out"/>
        <c:minorTickMark val="none"/>
        <c:tickLblPos val="nextTo"/>
        <c:crossAx val="305821752"/>
        <c:crosses val="autoZero"/>
        <c:auto val="1"/>
        <c:lblAlgn val="ctr"/>
        <c:lblOffset val="100"/>
        <c:noMultiLvlLbl val="0"/>
      </c:catAx>
      <c:valAx>
        <c:axId val="30582175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582136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12</xdr:col>
      <xdr:colOff>438150</xdr:colOff>
      <xdr:row>8</xdr:row>
      <xdr:rowOff>114300</xdr:rowOff>
    </xdr:from>
    <xdr:to>
      <xdr:col>15</xdr:col>
      <xdr:colOff>285750</xdr:colOff>
      <xdr:row>11</xdr:row>
      <xdr:rowOff>19050</xdr:rowOff>
    </xdr:to>
    <xdr:sp macro="" textlink="">
      <xdr:nvSpPr>
        <xdr:cNvPr id="9217" name="Button 1" hidden="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xdr:twoCellAnchor>
    <xdr:from>
      <xdr:col>12</xdr:col>
      <xdr:colOff>447675</xdr:colOff>
      <xdr:row>5</xdr:row>
      <xdr:rowOff>104775</xdr:rowOff>
    </xdr:from>
    <xdr:to>
      <xdr:col>15</xdr:col>
      <xdr:colOff>295275</xdr:colOff>
      <xdr:row>8</xdr:row>
      <xdr:rowOff>0</xdr:rowOff>
    </xdr:to>
    <xdr:sp macro="" textlink="">
      <xdr:nvSpPr>
        <xdr:cNvPr id="9218" name="Button 2" hidden="1">
          <a:extLst>
            <a:ext uri="{63B3BB69-23CF-44E3-9099-C40C66FF867C}">
              <a14:compatExt xmlns:a14="http://schemas.microsoft.com/office/drawing/2010/main"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xdr:twoCellAnchor editAs="oneCell">
    <xdr:from>
      <xdr:col>3</xdr:col>
      <xdr:colOff>0</xdr:colOff>
      <xdr:row>0</xdr:row>
      <xdr:rowOff>0</xdr:rowOff>
    </xdr:from>
    <xdr:to>
      <xdr:col>7</xdr:col>
      <xdr:colOff>28575</xdr:colOff>
      <xdr:row>6</xdr:row>
      <xdr:rowOff>9525</xdr:rowOff>
    </xdr:to>
    <xdr:pic>
      <xdr:nvPicPr>
        <xdr:cNvPr id="4" name="Picture 3">
          <a:extLst>
            <a:ext uri="{FF2B5EF4-FFF2-40B4-BE49-F238E27FC236}">
              <a16:creationId xmlns:a16="http://schemas.microsoft.com/office/drawing/2014/main" id="{00000000-0008-0000-00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2209800" y="0"/>
          <a:ext cx="2505075" cy="1152525"/>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1</xdr:col>
      <xdr:colOff>0</xdr:colOff>
      <xdr:row>7</xdr:row>
      <xdr:rowOff>0</xdr:rowOff>
    </xdr:from>
    <xdr:to>
      <xdr:col>9</xdr:col>
      <xdr:colOff>9525</xdr:colOff>
      <xdr:row>24</xdr:row>
      <xdr:rowOff>9525</xdr:rowOff>
    </xdr:to>
    <xdr:pic>
      <xdr:nvPicPr>
        <xdr:cNvPr id="5" name="Picture 4">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19125" y="1333500"/>
          <a:ext cx="5314950" cy="3257550"/>
        </a:xfrm>
        <a:prstGeom prst="rect">
          <a:avLst/>
        </a:prstGeom>
        <a:ln>
          <a:noFill/>
        </a:ln>
        <a:effectLst>
          <a:softEdge rad="112500"/>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xdr:colOff>
          <xdr:row>1</xdr:row>
          <xdr:rowOff>38100</xdr:rowOff>
        </xdr:from>
        <xdr:to>
          <xdr:col>7</xdr:col>
          <xdr:colOff>533400</xdr:colOff>
          <xdr:row>7</xdr:row>
          <xdr:rowOff>0</xdr:rowOff>
        </xdr:to>
        <xdr:sp macro="" textlink="">
          <xdr:nvSpPr>
            <xdr:cNvPr id="22529" name="Object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ocal_sintonp\INetCache\Content.Outlook\A689E5QJ\EfW%20Annual%20Performance%20Report%20template%202022%20v2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Contents"/>
      <sheetName val="Facility Info"/>
      <sheetName val="Operational Data"/>
      <sheetName val="Operational Summary"/>
      <sheetName val="Perf. Form 1"/>
      <sheetName val="Energy Form 1"/>
      <sheetName val="Permit Compliance"/>
      <sheetName val="Improvements"/>
      <sheetName val="Public Liasion"/>
      <sheetName val="CO2 N2O"/>
      <sheetName val="Residue Quality "/>
      <sheetName val="Water"/>
      <sheetName val="Air (periodic)"/>
      <sheetName val="Air (CEMS)"/>
      <sheetName val="HCl"/>
      <sheetName val="SO2"/>
      <sheetName val="NOx"/>
      <sheetName val="TOC"/>
      <sheetName val="Particulates"/>
      <sheetName val="CO 0.5hourly"/>
      <sheetName val="CO 95% 10 min"/>
      <sheetName val="NH3"/>
    </sheetNames>
    <sheetDataSet>
      <sheetData sheetId="0">
        <row r="33">
          <cell r="B33" t="str">
            <v>Name of Facility as per Permit</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paula.bakes@suez.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showGridLines="0" tabSelected="1" topLeftCell="A16" zoomScaleNormal="100" workbookViewId="0">
      <selection activeCell="B31" sqref="B31:I31"/>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4" width="9.28515625" style="2"/>
    <col min="15" max="15" width="9.28515625" style="2" customWidth="1"/>
    <col min="16" max="16384" width="9.28515625" style="2"/>
  </cols>
  <sheetData>
    <row r="1" spans="2:16">
      <c r="B1" s="128"/>
      <c r="C1" s="128"/>
      <c r="D1" s="176" t="s">
        <v>0</v>
      </c>
      <c r="E1" s="176"/>
      <c r="F1" s="176"/>
      <c r="G1" s="176"/>
      <c r="H1" s="128"/>
      <c r="I1" s="128"/>
      <c r="J1" s="128"/>
      <c r="K1" s="128"/>
      <c r="L1" s="128"/>
      <c r="M1" s="128"/>
      <c r="N1" s="128"/>
      <c r="O1" s="128"/>
      <c r="P1" s="128"/>
    </row>
    <row r="2" spans="2:16">
      <c r="B2" s="128"/>
      <c r="C2" s="128"/>
      <c r="D2" s="176"/>
      <c r="E2" s="176"/>
      <c r="F2" s="176"/>
      <c r="G2" s="176"/>
      <c r="H2" s="128"/>
      <c r="I2" s="128"/>
      <c r="J2" s="128"/>
      <c r="K2" s="128"/>
      <c r="L2" s="128"/>
      <c r="M2" s="128"/>
      <c r="N2" s="128" t="s">
        <v>1</v>
      </c>
      <c r="O2" s="128"/>
      <c r="P2" s="148"/>
    </row>
    <row r="3" spans="2:16">
      <c r="B3" s="128"/>
      <c r="C3" s="128"/>
      <c r="D3" s="176"/>
      <c r="E3" s="176"/>
      <c r="F3" s="176"/>
      <c r="G3" s="176"/>
      <c r="H3" s="128"/>
      <c r="I3" s="128"/>
      <c r="J3" s="128"/>
      <c r="K3" s="128"/>
      <c r="L3" s="128"/>
      <c r="M3" s="128"/>
      <c r="N3" s="148"/>
      <c r="O3" s="128"/>
      <c r="P3" s="128"/>
    </row>
    <row r="4" spans="2:16">
      <c r="B4" s="128"/>
      <c r="C4" s="128"/>
      <c r="D4" s="176"/>
      <c r="E4" s="176"/>
      <c r="F4" s="176"/>
      <c r="G4" s="176"/>
      <c r="H4" s="128"/>
      <c r="I4" s="128"/>
      <c r="J4" s="128"/>
      <c r="K4" s="128"/>
      <c r="L4" s="128"/>
      <c r="M4" s="128"/>
      <c r="N4" s="128"/>
      <c r="O4" s="128"/>
      <c r="P4" s="128"/>
    </row>
    <row r="5" spans="2:16">
      <c r="B5" s="128"/>
      <c r="C5" s="128"/>
      <c r="D5" s="176"/>
      <c r="E5" s="176"/>
      <c r="F5" s="176"/>
      <c r="G5" s="176"/>
      <c r="H5" s="128"/>
      <c r="I5" s="128"/>
      <c r="J5" s="128"/>
      <c r="K5" s="128"/>
      <c r="L5" s="128"/>
      <c r="M5" s="128"/>
      <c r="N5" s="128"/>
      <c r="O5" s="128"/>
      <c r="P5" s="128"/>
    </row>
    <row r="6" spans="2:16">
      <c r="B6" s="128"/>
      <c r="C6" s="128"/>
      <c r="D6" s="176"/>
      <c r="E6" s="176"/>
      <c r="F6" s="176"/>
      <c r="G6" s="176"/>
      <c r="H6" s="128"/>
      <c r="I6" s="128"/>
      <c r="J6" s="128"/>
      <c r="K6" s="128"/>
      <c r="L6" s="128"/>
      <c r="M6" s="128"/>
      <c r="N6" s="128"/>
      <c r="O6" s="128"/>
      <c r="P6" s="128"/>
    </row>
    <row r="8" spans="2:16" ht="15.75" customHeight="1">
      <c r="B8" s="176" t="s">
        <v>2</v>
      </c>
      <c r="C8" s="176"/>
      <c r="D8" s="176"/>
      <c r="E8" s="176"/>
      <c r="F8" s="176"/>
      <c r="G8" s="176"/>
      <c r="H8" s="176"/>
      <c r="I8" s="176"/>
      <c r="J8" s="128"/>
      <c r="K8" s="128"/>
      <c r="L8" s="128"/>
      <c r="M8" s="128"/>
      <c r="N8" s="107"/>
      <c r="O8" s="128"/>
      <c r="P8" s="128"/>
    </row>
    <row r="9" spans="2:16">
      <c r="B9" s="176"/>
      <c r="C9" s="176"/>
      <c r="D9" s="176"/>
      <c r="E9" s="176"/>
      <c r="F9" s="176"/>
      <c r="G9" s="176"/>
      <c r="H9" s="176"/>
      <c r="I9" s="176"/>
      <c r="J9" s="128"/>
      <c r="K9" s="128"/>
      <c r="L9" s="128"/>
      <c r="M9" s="128"/>
      <c r="N9" s="128"/>
      <c r="O9" s="128"/>
      <c r="P9" s="128"/>
    </row>
    <row r="10" spans="2:16">
      <c r="B10" s="176"/>
      <c r="C10" s="176"/>
      <c r="D10" s="176"/>
      <c r="E10" s="176"/>
      <c r="F10" s="176"/>
      <c r="G10" s="176"/>
      <c r="H10" s="176"/>
      <c r="I10" s="176"/>
      <c r="J10" s="128"/>
      <c r="K10" s="128"/>
      <c r="L10" s="128"/>
      <c r="M10" s="128"/>
      <c r="N10" s="128"/>
      <c r="O10" s="128"/>
      <c r="P10" s="128"/>
    </row>
    <row r="11" spans="2:16">
      <c r="B11" s="176"/>
      <c r="C11" s="176"/>
      <c r="D11" s="176"/>
      <c r="E11" s="176"/>
      <c r="F11" s="176"/>
      <c r="G11" s="176"/>
      <c r="H11" s="176"/>
      <c r="I11" s="176"/>
      <c r="J11" s="128"/>
      <c r="K11" s="128"/>
      <c r="L11" s="128"/>
      <c r="M11" s="128"/>
      <c r="N11" s="128"/>
      <c r="O11" s="128"/>
      <c r="P11" s="128"/>
    </row>
    <row r="12" spans="2:16">
      <c r="B12" s="176"/>
      <c r="C12" s="176"/>
      <c r="D12" s="176"/>
      <c r="E12" s="176"/>
      <c r="F12" s="176"/>
      <c r="G12" s="176"/>
      <c r="H12" s="176"/>
      <c r="I12" s="176"/>
      <c r="J12" s="128"/>
      <c r="K12" s="128"/>
      <c r="L12" s="128"/>
      <c r="M12" s="128"/>
      <c r="N12" s="128"/>
      <c r="O12" s="128"/>
      <c r="P12" s="128"/>
    </row>
    <row r="13" spans="2:16" ht="15.6">
      <c r="B13" s="176"/>
      <c r="C13" s="176"/>
      <c r="D13" s="176"/>
      <c r="E13" s="176"/>
      <c r="F13" s="176"/>
      <c r="G13" s="176"/>
      <c r="H13" s="176"/>
      <c r="I13" s="176"/>
      <c r="J13" s="128"/>
      <c r="K13" s="128"/>
      <c r="L13" s="128"/>
      <c r="M13" s="128"/>
      <c r="N13" s="113" t="s">
        <v>3</v>
      </c>
      <c r="O13" s="111"/>
      <c r="P13" s="111"/>
    </row>
    <row r="14" spans="2:16" ht="15.6" customHeight="1">
      <c r="B14" s="176"/>
      <c r="C14" s="176"/>
      <c r="D14" s="176"/>
      <c r="E14" s="176"/>
      <c r="F14" s="176"/>
      <c r="G14" s="176"/>
      <c r="H14" s="176"/>
      <c r="I14" s="176"/>
      <c r="J14" s="128"/>
      <c r="K14" s="128"/>
      <c r="L14" s="128"/>
      <c r="M14" s="128"/>
      <c r="N14" s="175" t="s">
        <v>4</v>
      </c>
      <c r="O14" s="175"/>
      <c r="P14" s="175"/>
    </row>
    <row r="15" spans="2:16">
      <c r="B15" s="176"/>
      <c r="C15" s="176"/>
      <c r="D15" s="176"/>
      <c r="E15" s="176"/>
      <c r="F15" s="176"/>
      <c r="G15" s="176"/>
      <c r="H15" s="176"/>
      <c r="I15" s="176"/>
      <c r="J15" s="128"/>
      <c r="K15" s="128"/>
      <c r="L15" s="128"/>
      <c r="M15" s="128"/>
      <c r="N15" s="175"/>
      <c r="O15" s="175"/>
      <c r="P15" s="175"/>
    </row>
    <row r="16" spans="2:16">
      <c r="B16" s="176"/>
      <c r="C16" s="176"/>
      <c r="D16" s="176"/>
      <c r="E16" s="176"/>
      <c r="F16" s="176"/>
      <c r="G16" s="176"/>
      <c r="H16" s="176"/>
      <c r="I16" s="176"/>
      <c r="J16" s="128"/>
      <c r="K16" s="128"/>
      <c r="L16" s="128"/>
      <c r="M16" s="128"/>
      <c r="N16" s="175"/>
      <c r="O16" s="175"/>
      <c r="P16" s="175"/>
    </row>
    <row r="17" spans="2:16">
      <c r="B17" s="176"/>
      <c r="C17" s="176"/>
      <c r="D17" s="176"/>
      <c r="E17" s="176"/>
      <c r="F17" s="176"/>
      <c r="G17" s="176"/>
      <c r="H17" s="176"/>
      <c r="I17" s="176"/>
      <c r="J17" s="128"/>
      <c r="K17" s="128"/>
      <c r="L17" s="128"/>
      <c r="M17" s="128"/>
      <c r="N17" s="175"/>
      <c r="O17" s="175"/>
      <c r="P17" s="175"/>
    </row>
    <row r="18" spans="2:16">
      <c r="B18" s="176"/>
      <c r="C18" s="176"/>
      <c r="D18" s="176"/>
      <c r="E18" s="176"/>
      <c r="F18" s="176"/>
      <c r="G18" s="176"/>
      <c r="H18" s="176"/>
      <c r="I18" s="176"/>
      <c r="J18" s="128"/>
      <c r="K18" s="128"/>
      <c r="L18" s="128"/>
      <c r="M18" s="128"/>
      <c r="N18" s="175"/>
      <c r="O18" s="175"/>
      <c r="P18" s="175"/>
    </row>
    <row r="19" spans="2:16">
      <c r="B19" s="176"/>
      <c r="C19" s="176"/>
      <c r="D19" s="176"/>
      <c r="E19" s="176"/>
      <c r="F19" s="176"/>
      <c r="G19" s="176"/>
      <c r="H19" s="176"/>
      <c r="I19" s="176"/>
      <c r="J19" s="128"/>
      <c r="K19" s="128"/>
      <c r="L19" s="128"/>
      <c r="M19" s="128"/>
      <c r="N19" s="175"/>
      <c r="O19" s="175"/>
      <c r="P19" s="175"/>
    </row>
    <row r="20" spans="2:16">
      <c r="B20" s="176"/>
      <c r="C20" s="176"/>
      <c r="D20" s="176"/>
      <c r="E20" s="176"/>
      <c r="F20" s="176"/>
      <c r="G20" s="176"/>
      <c r="H20" s="176"/>
      <c r="I20" s="176"/>
      <c r="J20" s="128"/>
      <c r="K20" s="128"/>
      <c r="L20" s="128"/>
      <c r="M20" s="128"/>
      <c r="N20" s="128"/>
      <c r="O20" s="128"/>
      <c r="P20" s="128"/>
    </row>
    <row r="21" spans="2:16">
      <c r="B21" s="176"/>
      <c r="C21" s="176"/>
      <c r="D21" s="176"/>
      <c r="E21" s="176"/>
      <c r="F21" s="176"/>
      <c r="G21" s="176"/>
      <c r="H21" s="176"/>
      <c r="I21" s="176"/>
      <c r="J21" s="128"/>
      <c r="K21" s="128"/>
      <c r="L21" s="128"/>
      <c r="M21" s="128"/>
      <c r="N21" s="128"/>
      <c r="O21" s="128"/>
      <c r="P21" s="128"/>
    </row>
    <row r="22" spans="2:16">
      <c r="B22" s="176"/>
      <c r="C22" s="176"/>
      <c r="D22" s="176"/>
      <c r="E22" s="176"/>
      <c r="F22" s="176"/>
      <c r="G22" s="176"/>
      <c r="H22" s="176"/>
      <c r="I22" s="176"/>
      <c r="J22" s="128"/>
      <c r="K22" s="128"/>
      <c r="L22" s="128"/>
      <c r="M22" s="128"/>
      <c r="N22" s="128"/>
      <c r="O22" s="128"/>
      <c r="P22" s="128"/>
    </row>
    <row r="23" spans="2:16">
      <c r="B23" s="176"/>
      <c r="C23" s="176"/>
      <c r="D23" s="176"/>
      <c r="E23" s="176"/>
      <c r="F23" s="176"/>
      <c r="G23" s="176"/>
      <c r="H23" s="176"/>
      <c r="I23" s="176"/>
      <c r="J23" s="128"/>
      <c r="K23" s="128"/>
      <c r="L23" s="128"/>
      <c r="M23" s="128"/>
      <c r="N23" s="128"/>
      <c r="O23" s="128"/>
      <c r="P23" s="128"/>
    </row>
    <row r="24" spans="2:16">
      <c r="B24" s="176"/>
      <c r="C24" s="176"/>
      <c r="D24" s="176"/>
      <c r="E24" s="176"/>
      <c r="F24" s="176"/>
      <c r="G24" s="176"/>
      <c r="H24" s="176"/>
      <c r="I24" s="176"/>
      <c r="J24" s="128"/>
      <c r="K24" s="128"/>
      <c r="L24" s="128"/>
      <c r="M24" s="128"/>
      <c r="N24" s="128"/>
      <c r="O24" s="128"/>
      <c r="P24" s="128"/>
    </row>
    <row r="29" spans="2:16" ht="17.45">
      <c r="B29" s="173" t="s">
        <v>5</v>
      </c>
      <c r="C29" s="173"/>
      <c r="D29" s="173"/>
      <c r="E29" s="173"/>
      <c r="F29" s="173"/>
      <c r="G29" s="173"/>
      <c r="H29" s="173"/>
      <c r="I29" s="173"/>
      <c r="J29" s="128"/>
      <c r="K29" s="128"/>
      <c r="L29" s="128"/>
      <c r="M29" s="128"/>
      <c r="N29" s="128"/>
      <c r="O29" s="128"/>
      <c r="P29" s="128"/>
    </row>
    <row r="30" spans="2:16" ht="17.45">
      <c r="B30" s="128"/>
      <c r="C30" s="6"/>
      <c r="D30" s="7"/>
      <c r="E30" s="7"/>
      <c r="F30" s="7"/>
      <c r="G30" s="7"/>
      <c r="H30" s="7"/>
      <c r="I30" s="7"/>
      <c r="J30" s="128"/>
      <c r="K30" s="128"/>
      <c r="L30" s="128"/>
      <c r="M30" s="128"/>
      <c r="N30" s="128"/>
      <c r="O30" s="128"/>
      <c r="P30" s="128"/>
    </row>
    <row r="31" spans="2:16" ht="17.45">
      <c r="B31" s="173" t="s">
        <v>6</v>
      </c>
      <c r="C31" s="173"/>
      <c r="D31" s="173"/>
      <c r="E31" s="173"/>
      <c r="F31" s="173"/>
      <c r="G31" s="173"/>
      <c r="H31" s="173"/>
      <c r="I31" s="173"/>
      <c r="J31" s="128"/>
      <c r="K31" s="128"/>
      <c r="L31" s="128"/>
      <c r="M31" s="128"/>
      <c r="N31" s="128"/>
      <c r="O31" s="128"/>
      <c r="P31" s="128"/>
    </row>
    <row r="32" spans="2:16" ht="17.45">
      <c r="B32" s="128"/>
      <c r="C32" s="6"/>
      <c r="D32" s="7"/>
      <c r="E32" s="7"/>
      <c r="F32" s="7"/>
      <c r="G32" s="7"/>
      <c r="H32" s="7"/>
      <c r="I32" s="7"/>
      <c r="J32" s="128"/>
      <c r="K32" s="128"/>
      <c r="L32" s="128"/>
      <c r="M32" s="128"/>
      <c r="N32" s="128"/>
      <c r="O32" s="128"/>
      <c r="P32" s="128"/>
    </row>
    <row r="33" spans="2:9" ht="17.45">
      <c r="B33" s="173" t="s">
        <v>7</v>
      </c>
      <c r="C33" s="173"/>
      <c r="D33" s="173"/>
      <c r="E33" s="173"/>
      <c r="F33" s="173"/>
      <c r="G33" s="173"/>
      <c r="H33" s="173"/>
      <c r="I33" s="173"/>
    </row>
    <row r="34" spans="2:9" ht="17.45">
      <c r="B34" s="128"/>
      <c r="C34" s="6"/>
      <c r="D34" s="7"/>
      <c r="E34" s="7"/>
      <c r="F34" s="7"/>
      <c r="G34" s="7"/>
      <c r="H34" s="7"/>
      <c r="I34" s="7"/>
    </row>
    <row r="35" spans="2:9" ht="17.45">
      <c r="B35" s="173" t="s">
        <v>8</v>
      </c>
      <c r="C35" s="173"/>
      <c r="D35" s="173"/>
      <c r="E35" s="173"/>
      <c r="F35" s="173"/>
      <c r="G35" s="173"/>
      <c r="H35" s="173"/>
      <c r="I35" s="173"/>
    </row>
    <row r="37" spans="2:9" ht="17.45">
      <c r="B37" s="173" t="s">
        <v>9</v>
      </c>
      <c r="C37" s="173"/>
      <c r="D37" s="173"/>
      <c r="E37" s="173"/>
      <c r="F37" s="173"/>
      <c r="G37" s="173"/>
      <c r="H37" s="173"/>
      <c r="I37" s="173"/>
    </row>
    <row r="39" spans="2:9">
      <c r="B39" s="128" t="s">
        <v>10</v>
      </c>
      <c r="C39" s="149">
        <v>2022</v>
      </c>
      <c r="D39" s="128"/>
      <c r="E39" s="128"/>
      <c r="F39" s="128"/>
      <c r="G39" s="128"/>
      <c r="H39" s="128"/>
      <c r="I39" s="128"/>
    </row>
    <row r="40" spans="2:9" ht="14.25" customHeight="1">
      <c r="B40" s="128"/>
      <c r="C40" s="128"/>
      <c r="D40" s="128"/>
      <c r="E40" s="128"/>
      <c r="F40" s="128"/>
      <c r="G40" s="128"/>
      <c r="H40" s="128"/>
      <c r="I40" s="128"/>
    </row>
    <row r="41" spans="2:9">
      <c r="B41" s="150" t="s">
        <v>11</v>
      </c>
      <c r="C41" s="171" t="s">
        <v>12</v>
      </c>
      <c r="D41" s="171"/>
      <c r="E41" s="171"/>
      <c r="F41" s="171"/>
      <c r="G41" s="171"/>
      <c r="H41" s="171"/>
      <c r="I41" s="171"/>
    </row>
    <row r="42" spans="2:9">
      <c r="B42" s="150"/>
      <c r="C42" s="128"/>
      <c r="D42" s="128"/>
      <c r="E42" s="128"/>
      <c r="F42" s="128"/>
      <c r="G42" s="128"/>
      <c r="H42" s="128"/>
      <c r="I42" s="128"/>
    </row>
    <row r="43" spans="2:9">
      <c r="B43" s="150" t="s">
        <v>13</v>
      </c>
      <c r="C43" s="171" t="s">
        <v>14</v>
      </c>
      <c r="D43" s="171"/>
      <c r="E43" s="171"/>
      <c r="F43" s="128"/>
      <c r="G43" s="128"/>
      <c r="H43" s="128"/>
      <c r="I43" s="128"/>
    </row>
    <row r="44" spans="2:9">
      <c r="B44" s="150"/>
      <c r="C44" s="128"/>
      <c r="D44" s="128"/>
      <c r="E44" s="128"/>
      <c r="F44" s="128"/>
      <c r="G44" s="128"/>
      <c r="H44" s="128"/>
      <c r="I44" s="128"/>
    </row>
    <row r="45" spans="2:9" ht="15.6">
      <c r="B45" s="150" t="s">
        <v>15</v>
      </c>
      <c r="C45" s="174" t="s">
        <v>16</v>
      </c>
      <c r="D45" s="171"/>
      <c r="E45" s="171"/>
      <c r="F45" s="128"/>
      <c r="G45" s="128"/>
      <c r="H45" s="128"/>
      <c r="I45" s="128"/>
    </row>
    <row r="46" spans="2:9">
      <c r="B46" s="150"/>
      <c r="C46" s="128"/>
      <c r="D46" s="128"/>
      <c r="E46" s="128"/>
      <c r="F46" s="128"/>
      <c r="G46" s="128"/>
      <c r="H46" s="128"/>
      <c r="I46" s="128"/>
    </row>
    <row r="47" spans="2:9">
      <c r="B47" s="150" t="s">
        <v>17</v>
      </c>
      <c r="C47" s="171" t="s">
        <v>18</v>
      </c>
      <c r="D47" s="171"/>
      <c r="E47" s="128"/>
      <c r="F47" s="128" t="s">
        <v>19</v>
      </c>
      <c r="G47" s="171" t="s">
        <v>20</v>
      </c>
      <c r="H47" s="171"/>
      <c r="I47" s="171"/>
    </row>
    <row r="48" spans="2:9">
      <c r="B48" s="150"/>
      <c r="C48" s="128"/>
      <c r="D48" s="128"/>
      <c r="E48" s="128"/>
      <c r="F48" s="128"/>
      <c r="G48" s="128"/>
      <c r="H48" s="128"/>
      <c r="I48" s="128"/>
    </row>
    <row r="49" spans="2:9">
      <c r="B49" s="150" t="s">
        <v>21</v>
      </c>
      <c r="C49" s="171" t="s">
        <v>22</v>
      </c>
      <c r="D49" s="171"/>
      <c r="E49" s="128"/>
      <c r="F49" s="128" t="s">
        <v>19</v>
      </c>
      <c r="G49" s="171" t="s">
        <v>23</v>
      </c>
      <c r="H49" s="171"/>
      <c r="I49" s="171"/>
    </row>
    <row r="50" spans="2:9">
      <c r="B50" s="150"/>
      <c r="C50" s="128"/>
      <c r="D50" s="128"/>
      <c r="E50" s="128"/>
      <c r="F50" s="128"/>
      <c r="G50" s="128"/>
      <c r="H50" s="128"/>
      <c r="I50" s="128"/>
    </row>
    <row r="51" spans="2:9">
      <c r="B51" s="150" t="s">
        <v>24</v>
      </c>
      <c r="C51" s="149">
        <v>1</v>
      </c>
      <c r="D51" s="128"/>
      <c r="E51" s="128"/>
      <c r="F51" s="128"/>
      <c r="G51" s="128"/>
      <c r="H51" s="128"/>
      <c r="I51" s="128"/>
    </row>
    <row r="52" spans="2:9">
      <c r="B52" s="150"/>
      <c r="C52" s="128"/>
      <c r="D52" s="128"/>
      <c r="E52" s="128"/>
      <c r="F52" s="128"/>
      <c r="G52" s="128"/>
      <c r="H52" s="128"/>
      <c r="I52" s="128"/>
    </row>
    <row r="53" spans="2:9">
      <c r="B53" s="150" t="s">
        <v>25</v>
      </c>
      <c r="C53" s="172">
        <v>44573</v>
      </c>
      <c r="D53" s="171"/>
      <c r="E53" s="128"/>
      <c r="F53" s="128"/>
      <c r="G53" s="128"/>
      <c r="H53" s="128"/>
      <c r="I53" s="128"/>
    </row>
  </sheetData>
  <mergeCells count="16">
    <mergeCell ref="N14:P19"/>
    <mergeCell ref="B35:I35"/>
    <mergeCell ref="D1:G6"/>
    <mergeCell ref="B8:I24"/>
    <mergeCell ref="B29:I29"/>
    <mergeCell ref="B31:I31"/>
    <mergeCell ref="B33:I33"/>
    <mergeCell ref="C49:D49"/>
    <mergeCell ref="G49:I49"/>
    <mergeCell ref="C53:D53"/>
    <mergeCell ref="B37:I37"/>
    <mergeCell ref="C41:I41"/>
    <mergeCell ref="C43:E43"/>
    <mergeCell ref="C45:E45"/>
    <mergeCell ref="C47:D47"/>
    <mergeCell ref="G47:I47"/>
  </mergeCells>
  <hyperlinks>
    <hyperlink ref="C45" r:id="rId1" xr:uid="{EA38AEF9-AD14-4B3C-87BA-7EFD4C015CAB}"/>
  </hyperlinks>
  <pageMargins left="1.0899999999999999" right="0.7" top="0.75" bottom="0.75" header="0.3" footer="0.3"/>
  <pageSetup scale="80" orientation="portrait" r:id="rId2"/>
  <headerFooter differentFirst="1"/>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showGridLines="0" zoomScaleNormal="100" workbookViewId="0">
      <selection activeCell="B14" sqref="B14:G14"/>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5">
      <c r="A1" s="128" t="str">
        <f>+'Cover Page'!$B$29</f>
        <v>Annual Performance Report 2022</v>
      </c>
      <c r="B1" s="128"/>
      <c r="C1" s="128"/>
      <c r="D1" s="128"/>
      <c r="E1" s="128" t="str">
        <f>+'Cover Page'!$B$33</f>
        <v>SUEZ R&amp;R Wilton 11 EfW</v>
      </c>
      <c r="F1" s="128"/>
      <c r="G1" s="128"/>
      <c r="H1" s="128"/>
      <c r="I1" s="128"/>
      <c r="J1" s="128"/>
      <c r="K1" s="128"/>
      <c r="L1" s="128"/>
      <c r="M1" s="128"/>
      <c r="N1" s="128"/>
      <c r="O1" s="128"/>
    </row>
    <row r="3" spans="1:15" ht="15.6">
      <c r="A3" s="87" t="s">
        <v>26</v>
      </c>
      <c r="B3" s="151"/>
      <c r="C3" s="151"/>
      <c r="D3" s="151"/>
      <c r="E3" s="151"/>
      <c r="F3" s="151"/>
      <c r="G3" s="151"/>
      <c r="H3" s="152"/>
      <c r="I3" s="128"/>
      <c r="J3" s="128"/>
      <c r="K3" s="113" t="s">
        <v>3</v>
      </c>
      <c r="L3" s="128"/>
      <c r="M3" s="128"/>
      <c r="N3" s="128"/>
      <c r="O3" s="128"/>
    </row>
    <row r="4" spans="1:15" ht="15.6">
      <c r="A4" s="147" t="s">
        <v>27</v>
      </c>
      <c r="B4" s="195" t="s">
        <v>28</v>
      </c>
      <c r="C4" s="195"/>
      <c r="D4" s="195"/>
      <c r="E4" s="195"/>
      <c r="F4" s="195"/>
      <c r="G4" s="195"/>
      <c r="H4" s="5" t="s">
        <v>29</v>
      </c>
      <c r="I4" s="128"/>
      <c r="J4" s="128"/>
      <c r="K4" s="111" t="s">
        <v>30</v>
      </c>
      <c r="L4" s="128"/>
      <c r="M4" s="128"/>
      <c r="N4" s="128"/>
      <c r="O4" s="128"/>
    </row>
    <row r="5" spans="1:15" ht="15.6" customHeight="1">
      <c r="A5" s="4"/>
      <c r="B5" s="194" t="s">
        <v>31</v>
      </c>
      <c r="C5" s="194"/>
      <c r="D5" s="194"/>
      <c r="E5" s="194"/>
      <c r="F5" s="194"/>
      <c r="G5" s="194"/>
      <c r="H5" s="4"/>
      <c r="I5" s="128"/>
      <c r="J5" s="128"/>
      <c r="K5" s="175" t="s">
        <v>32</v>
      </c>
      <c r="L5" s="175"/>
      <c r="M5" s="175"/>
      <c r="N5" s="175"/>
      <c r="O5" s="175"/>
    </row>
    <row r="6" spans="1:15">
      <c r="A6" s="4"/>
      <c r="B6" s="194" t="s">
        <v>33</v>
      </c>
      <c r="C6" s="194"/>
      <c r="D6" s="194"/>
      <c r="E6" s="194"/>
      <c r="F6" s="194"/>
      <c r="G6" s="194"/>
      <c r="H6" s="4"/>
      <c r="I6" s="128"/>
      <c r="J6" s="128"/>
      <c r="K6" s="175"/>
      <c r="L6" s="175"/>
      <c r="M6" s="175"/>
      <c r="N6" s="175"/>
      <c r="O6" s="175"/>
    </row>
    <row r="7" spans="1:15" ht="15.75" customHeight="1">
      <c r="A7" s="4"/>
      <c r="B7" s="194" t="s">
        <v>34</v>
      </c>
      <c r="C7" s="194"/>
      <c r="D7" s="194"/>
      <c r="E7" s="194"/>
      <c r="F7" s="194"/>
      <c r="G7" s="194"/>
      <c r="H7" s="4"/>
      <c r="I7" s="128"/>
      <c r="J7" s="128"/>
      <c r="K7" s="175"/>
      <c r="L7" s="175"/>
      <c r="M7" s="175"/>
      <c r="N7" s="175"/>
      <c r="O7" s="175"/>
    </row>
    <row r="8" spans="1:15">
      <c r="A8" s="4"/>
      <c r="B8" s="194" t="s">
        <v>35</v>
      </c>
      <c r="C8" s="194"/>
      <c r="D8" s="194"/>
      <c r="E8" s="194"/>
      <c r="F8" s="194"/>
      <c r="G8" s="194"/>
      <c r="H8" s="4"/>
      <c r="I8" s="128"/>
      <c r="J8" s="128"/>
      <c r="K8" s="175"/>
      <c r="L8" s="175"/>
      <c r="M8" s="175"/>
      <c r="N8" s="175"/>
      <c r="O8" s="175"/>
    </row>
    <row r="9" spans="1:15">
      <c r="A9" s="4"/>
      <c r="B9" s="194" t="s">
        <v>36</v>
      </c>
      <c r="C9" s="194"/>
      <c r="D9" s="194"/>
      <c r="E9" s="194"/>
      <c r="F9" s="194"/>
      <c r="G9" s="194"/>
      <c r="H9" s="4"/>
      <c r="I9" s="128"/>
      <c r="J9" s="128"/>
      <c r="K9" s="128"/>
      <c r="L9" s="128"/>
      <c r="M9" s="128"/>
      <c r="N9" s="128"/>
      <c r="O9" s="128"/>
    </row>
    <row r="10" spans="1:15">
      <c r="A10" s="4"/>
      <c r="B10" s="194" t="s">
        <v>37</v>
      </c>
      <c r="C10" s="194"/>
      <c r="D10" s="194"/>
      <c r="E10" s="194"/>
      <c r="F10" s="194"/>
      <c r="G10" s="194"/>
      <c r="H10" s="4"/>
      <c r="I10" s="128"/>
      <c r="J10" s="128"/>
      <c r="K10" s="128"/>
      <c r="L10" s="128"/>
      <c r="M10" s="128"/>
      <c r="N10" s="128"/>
      <c r="O10" s="128"/>
    </row>
    <row r="11" spans="1:15">
      <c r="A11" s="4"/>
      <c r="B11" s="194" t="s">
        <v>38</v>
      </c>
      <c r="C11" s="194"/>
      <c r="D11" s="194"/>
      <c r="E11" s="194"/>
      <c r="F11" s="194"/>
      <c r="G11" s="194"/>
      <c r="H11" s="4"/>
      <c r="I11" s="128"/>
      <c r="J11" s="128"/>
      <c r="K11" s="128"/>
      <c r="L11" s="128"/>
      <c r="M11" s="128"/>
      <c r="N11" s="128"/>
      <c r="O11" s="128"/>
    </row>
    <row r="12" spans="1:15">
      <c r="A12" s="4"/>
      <c r="B12" s="194" t="s">
        <v>39</v>
      </c>
      <c r="C12" s="194"/>
      <c r="D12" s="194"/>
      <c r="E12" s="194"/>
      <c r="F12" s="194"/>
      <c r="G12" s="194"/>
      <c r="H12" s="4"/>
      <c r="I12" s="128"/>
      <c r="J12" s="128"/>
      <c r="K12" s="128"/>
      <c r="L12" s="128"/>
      <c r="M12" s="128"/>
      <c r="N12" s="128"/>
      <c r="O12" s="128"/>
    </row>
    <row r="13" spans="1:15">
      <c r="A13" s="4"/>
      <c r="B13" s="187" t="s">
        <v>40</v>
      </c>
      <c r="C13" s="188"/>
      <c r="D13" s="188"/>
      <c r="E13" s="188"/>
      <c r="F13" s="188"/>
      <c r="G13" s="189"/>
      <c r="H13" s="4"/>
      <c r="I13" s="128"/>
      <c r="J13" s="128"/>
      <c r="K13" s="128"/>
      <c r="L13" s="128"/>
      <c r="M13" s="128"/>
      <c r="N13" s="128"/>
      <c r="O13" s="128"/>
    </row>
    <row r="14" spans="1:15">
      <c r="A14" s="4"/>
      <c r="B14" s="194" t="s">
        <v>41</v>
      </c>
      <c r="C14" s="194"/>
      <c r="D14" s="194"/>
      <c r="E14" s="194"/>
      <c r="F14" s="194"/>
      <c r="G14" s="194"/>
      <c r="H14" s="4"/>
      <c r="I14" s="128"/>
      <c r="J14" s="128"/>
      <c r="K14" s="128"/>
      <c r="L14" s="128"/>
      <c r="M14" s="128"/>
      <c r="N14" s="128"/>
      <c r="O14" s="128"/>
    </row>
    <row r="15" spans="1:15">
      <c r="A15" s="4"/>
      <c r="B15" s="194" t="s">
        <v>42</v>
      </c>
      <c r="C15" s="194"/>
      <c r="D15" s="194"/>
      <c r="E15" s="194"/>
      <c r="F15" s="194"/>
      <c r="G15" s="194"/>
      <c r="H15" s="4"/>
      <c r="I15" s="128"/>
      <c r="J15" s="128"/>
      <c r="K15" s="128"/>
      <c r="L15" s="128"/>
      <c r="M15" s="128"/>
      <c r="N15" s="128"/>
      <c r="O15" s="128"/>
    </row>
    <row r="16" spans="1:15">
      <c r="A16" s="4"/>
      <c r="B16" s="194" t="s">
        <v>43</v>
      </c>
      <c r="C16" s="194"/>
      <c r="D16" s="194"/>
      <c r="E16" s="194"/>
      <c r="F16" s="194"/>
      <c r="G16" s="194"/>
      <c r="H16" s="4"/>
      <c r="I16" s="128"/>
      <c r="J16" s="128"/>
      <c r="K16" s="128"/>
      <c r="L16" s="128"/>
      <c r="M16" s="128"/>
      <c r="N16" s="128"/>
      <c r="O16" s="128"/>
    </row>
    <row r="17" spans="1:15">
      <c r="A17" s="4"/>
      <c r="B17" s="194" t="s">
        <v>44</v>
      </c>
      <c r="C17" s="194"/>
      <c r="D17" s="194"/>
      <c r="E17" s="194"/>
      <c r="F17" s="194"/>
      <c r="G17" s="194"/>
      <c r="H17" s="4"/>
      <c r="I17" s="128"/>
      <c r="J17" s="128"/>
      <c r="K17" s="128"/>
      <c r="L17" s="128"/>
      <c r="M17" s="128"/>
      <c r="N17" s="128"/>
      <c r="O17" s="128"/>
    </row>
    <row r="18" spans="1:15">
      <c r="A18" s="4"/>
      <c r="B18" s="194" t="s">
        <v>45</v>
      </c>
      <c r="C18" s="194"/>
      <c r="D18" s="194"/>
      <c r="E18" s="194"/>
      <c r="F18" s="194"/>
      <c r="G18" s="194"/>
      <c r="H18" s="4"/>
      <c r="I18" s="128"/>
      <c r="J18" s="128"/>
      <c r="K18" s="128"/>
      <c r="L18" s="128"/>
      <c r="M18" s="128"/>
      <c r="N18" s="128"/>
      <c r="O18" s="128"/>
    </row>
    <row r="19" spans="1:15">
      <c r="A19" s="4"/>
      <c r="B19" s="194" t="s">
        <v>46</v>
      </c>
      <c r="C19" s="194"/>
      <c r="D19" s="194"/>
      <c r="E19" s="194"/>
      <c r="F19" s="194"/>
      <c r="G19" s="194"/>
      <c r="H19" s="4"/>
      <c r="I19" s="128"/>
      <c r="J19" s="128"/>
      <c r="K19" s="128"/>
      <c r="L19" s="128"/>
      <c r="M19" s="128"/>
      <c r="N19" s="128"/>
      <c r="O19" s="128"/>
    </row>
    <row r="20" spans="1:15">
      <c r="A20" s="4"/>
      <c r="B20" s="194" t="s">
        <v>47</v>
      </c>
      <c r="C20" s="194"/>
      <c r="D20" s="194"/>
      <c r="E20" s="194"/>
      <c r="F20" s="194"/>
      <c r="G20" s="194"/>
      <c r="H20" s="4"/>
      <c r="I20" s="128"/>
      <c r="J20" s="128"/>
      <c r="K20" s="128"/>
      <c r="L20" s="128"/>
      <c r="M20" s="128"/>
      <c r="N20" s="128"/>
      <c r="O20" s="128"/>
    </row>
    <row r="21" spans="1:15">
      <c r="A21" s="4"/>
      <c r="B21" s="194" t="s">
        <v>48</v>
      </c>
      <c r="C21" s="194"/>
      <c r="D21" s="194"/>
      <c r="E21" s="194"/>
      <c r="F21" s="194"/>
      <c r="G21" s="194"/>
      <c r="H21" s="4"/>
      <c r="I21" s="128"/>
      <c r="J21" s="128"/>
      <c r="K21" s="128"/>
      <c r="L21" s="128"/>
      <c r="M21" s="128"/>
      <c r="N21" s="128"/>
      <c r="O21" s="128"/>
    </row>
    <row r="22" spans="1:15">
      <c r="A22" s="4"/>
      <c r="B22" s="194" t="s">
        <v>49</v>
      </c>
      <c r="C22" s="194"/>
      <c r="D22" s="194"/>
      <c r="E22" s="194"/>
      <c r="F22" s="194"/>
      <c r="G22" s="194"/>
      <c r="H22" s="4"/>
      <c r="I22" s="128"/>
      <c r="J22" s="128"/>
      <c r="K22" s="128"/>
      <c r="L22" s="128"/>
      <c r="M22" s="128"/>
      <c r="N22" s="128"/>
      <c r="O22" s="128"/>
    </row>
    <row r="23" spans="1:15">
      <c r="A23" s="4"/>
      <c r="B23" s="187" t="s">
        <v>50</v>
      </c>
      <c r="C23" s="188"/>
      <c r="D23" s="188"/>
      <c r="E23" s="188"/>
      <c r="F23" s="188"/>
      <c r="G23" s="189"/>
      <c r="H23" s="4"/>
      <c r="I23" s="128"/>
      <c r="J23" s="128"/>
      <c r="K23" s="128"/>
      <c r="L23" s="128"/>
      <c r="M23" s="128"/>
      <c r="N23" s="128"/>
      <c r="O23" s="128"/>
    </row>
    <row r="24" spans="1:15">
      <c r="A24" s="4"/>
      <c r="B24" s="187" t="s">
        <v>51</v>
      </c>
      <c r="C24" s="188"/>
      <c r="D24" s="188"/>
      <c r="E24" s="188"/>
      <c r="F24" s="188"/>
      <c r="G24" s="189"/>
      <c r="H24" s="4"/>
      <c r="I24" s="128"/>
      <c r="J24" s="128"/>
      <c r="K24" s="128"/>
      <c r="L24" s="128"/>
      <c r="M24" s="128"/>
      <c r="N24" s="128"/>
      <c r="O24" s="128"/>
    </row>
    <row r="25" spans="1:15">
      <c r="A25" s="4"/>
      <c r="B25" s="190"/>
      <c r="C25" s="190"/>
      <c r="D25" s="190"/>
      <c r="E25" s="190"/>
      <c r="F25" s="190"/>
      <c r="G25" s="190"/>
      <c r="H25" s="4"/>
      <c r="I25" s="128"/>
      <c r="J25" s="128"/>
      <c r="K25" s="128"/>
      <c r="L25" s="128"/>
      <c r="M25" s="128"/>
      <c r="N25" s="128"/>
      <c r="O25" s="128"/>
    </row>
    <row r="27" spans="1:15">
      <c r="A27" s="86" t="s">
        <v>52</v>
      </c>
      <c r="B27" s="151"/>
      <c r="C27" s="151"/>
      <c r="D27" s="151"/>
      <c r="E27" s="151"/>
      <c r="F27" s="151"/>
      <c r="G27" s="151"/>
      <c r="H27" s="152"/>
      <c r="I27" s="128"/>
      <c r="J27" s="128"/>
      <c r="K27" s="128"/>
      <c r="L27" s="128"/>
      <c r="M27" s="128"/>
      <c r="N27" s="128"/>
      <c r="O27" s="128"/>
    </row>
    <row r="28" spans="1:15">
      <c r="A28" s="9" t="s">
        <v>27</v>
      </c>
      <c r="B28" s="191" t="s">
        <v>53</v>
      </c>
      <c r="C28" s="191"/>
      <c r="D28" s="191"/>
      <c r="E28" s="191"/>
      <c r="F28" s="191"/>
      <c r="G28" s="191"/>
      <c r="H28" s="10" t="s">
        <v>54</v>
      </c>
      <c r="I28" s="128"/>
      <c r="J28" s="128"/>
      <c r="K28" s="128"/>
      <c r="L28" s="128"/>
      <c r="M28" s="128"/>
      <c r="N28" s="128"/>
      <c r="O28" s="128"/>
    </row>
    <row r="29" spans="1:15">
      <c r="A29" s="11"/>
      <c r="B29" s="192"/>
      <c r="C29" s="192"/>
      <c r="D29" s="192"/>
      <c r="E29" s="192"/>
      <c r="F29" s="192"/>
      <c r="G29" s="192"/>
      <c r="H29" s="11"/>
      <c r="I29" s="128"/>
      <c r="J29" s="128"/>
      <c r="K29" s="128"/>
      <c r="L29" s="128"/>
      <c r="M29" s="128"/>
      <c r="N29" s="128"/>
      <c r="O29" s="128"/>
    </row>
    <row r="30" spans="1:15">
      <c r="A30" s="11"/>
      <c r="B30" s="192"/>
      <c r="C30" s="192"/>
      <c r="D30" s="192"/>
      <c r="E30" s="192"/>
      <c r="F30" s="192"/>
      <c r="G30" s="192"/>
      <c r="H30" s="11"/>
      <c r="I30" s="128"/>
      <c r="J30" s="128"/>
      <c r="K30" s="128"/>
      <c r="L30" s="128"/>
      <c r="M30" s="128"/>
      <c r="N30" s="128"/>
      <c r="O30" s="128"/>
    </row>
    <row r="31" spans="1:15">
      <c r="A31" s="11"/>
      <c r="B31" s="192"/>
      <c r="C31" s="192"/>
      <c r="D31" s="192"/>
      <c r="E31" s="192"/>
      <c r="F31" s="192"/>
      <c r="G31" s="192"/>
      <c r="H31" s="11"/>
      <c r="I31" s="128"/>
      <c r="J31" s="128"/>
      <c r="K31" s="128"/>
      <c r="L31" s="128"/>
      <c r="M31" s="128"/>
      <c r="N31" s="128"/>
      <c r="O31" s="128"/>
    </row>
    <row r="32" spans="1:15">
      <c r="A32" s="11"/>
      <c r="B32" s="192"/>
      <c r="C32" s="192"/>
      <c r="D32" s="192"/>
      <c r="E32" s="192"/>
      <c r="F32" s="192"/>
      <c r="G32" s="192"/>
      <c r="H32" s="11"/>
      <c r="I32" s="128"/>
      <c r="J32" s="128"/>
      <c r="K32" s="128"/>
      <c r="L32" s="128"/>
      <c r="M32" s="128"/>
      <c r="N32" s="128"/>
      <c r="O32" s="128"/>
    </row>
    <row r="33" spans="1:10">
      <c r="A33" s="11"/>
      <c r="B33" s="192"/>
      <c r="C33" s="192"/>
      <c r="D33" s="192"/>
      <c r="E33" s="192"/>
      <c r="F33" s="192"/>
      <c r="G33" s="192"/>
      <c r="H33" s="11"/>
      <c r="I33" s="128"/>
      <c r="J33" s="128"/>
    </row>
    <row r="35" spans="1:10" ht="14.25" customHeight="1">
      <c r="A35" s="86" t="s">
        <v>55</v>
      </c>
      <c r="B35" s="151"/>
      <c r="C35" s="151"/>
      <c r="D35" s="151"/>
      <c r="E35" s="151"/>
      <c r="F35" s="151"/>
      <c r="G35" s="151"/>
      <c r="H35" s="152"/>
      <c r="I35" s="128"/>
      <c r="J35" s="128"/>
    </row>
    <row r="36" spans="1:10">
      <c r="A36" s="13" t="s">
        <v>56</v>
      </c>
      <c r="B36" s="193" t="s">
        <v>57</v>
      </c>
      <c r="C36" s="193"/>
      <c r="D36" s="193"/>
      <c r="E36" s="193"/>
      <c r="F36" s="193"/>
      <c r="G36" s="193"/>
      <c r="H36" s="14" t="s">
        <v>58</v>
      </c>
      <c r="I36" s="128"/>
      <c r="J36" s="128"/>
    </row>
    <row r="37" spans="1:10">
      <c r="A37" s="15"/>
      <c r="B37" s="186"/>
      <c r="C37" s="186"/>
      <c r="D37" s="186"/>
      <c r="E37" s="186"/>
      <c r="F37" s="186"/>
      <c r="G37" s="186"/>
      <c r="H37" s="15"/>
      <c r="I37" s="128"/>
      <c r="J37" s="128"/>
    </row>
    <row r="38" spans="1:10">
      <c r="A38" s="15"/>
      <c r="B38" s="186"/>
      <c r="C38" s="186"/>
      <c r="D38" s="186"/>
      <c r="E38" s="186"/>
      <c r="F38" s="186"/>
      <c r="G38" s="186"/>
      <c r="H38" s="15"/>
      <c r="I38" s="128"/>
      <c r="J38" s="128"/>
    </row>
    <row r="39" spans="1:10">
      <c r="A39" s="15"/>
      <c r="B39" s="186"/>
      <c r="C39" s="186"/>
      <c r="D39" s="186"/>
      <c r="E39" s="186"/>
      <c r="F39" s="186"/>
      <c r="G39" s="186"/>
      <c r="H39" s="15"/>
      <c r="I39" s="128"/>
      <c r="J39" s="128"/>
    </row>
    <row r="40" spans="1:10">
      <c r="A40" s="15"/>
      <c r="B40" s="186"/>
      <c r="C40" s="186"/>
      <c r="D40" s="186"/>
      <c r="E40" s="186"/>
      <c r="F40" s="186"/>
      <c r="G40" s="186"/>
      <c r="H40" s="15"/>
      <c r="I40" s="128"/>
      <c r="J40" s="128"/>
    </row>
    <row r="41" spans="1:10">
      <c r="A41" s="15"/>
      <c r="B41" s="186"/>
      <c r="C41" s="186"/>
      <c r="D41" s="186"/>
      <c r="E41" s="186"/>
      <c r="F41" s="186"/>
      <c r="G41" s="186"/>
      <c r="H41" s="15"/>
      <c r="I41" s="128"/>
      <c r="J41" s="128"/>
    </row>
    <row r="42" spans="1:10">
      <c r="A42" s="15"/>
      <c r="B42" s="186"/>
      <c r="C42" s="186"/>
      <c r="D42" s="186"/>
      <c r="E42" s="186"/>
      <c r="F42" s="186"/>
      <c r="G42" s="186"/>
      <c r="H42" s="15"/>
      <c r="I42" s="128"/>
      <c r="J42" s="128"/>
    </row>
    <row r="43" spans="1:10">
      <c r="A43" s="15"/>
      <c r="B43" s="186"/>
      <c r="C43" s="186"/>
      <c r="D43" s="186"/>
      <c r="E43" s="186"/>
      <c r="F43" s="186"/>
      <c r="G43" s="186"/>
      <c r="H43" s="15"/>
      <c r="I43" s="128"/>
      <c r="J43" s="128"/>
    </row>
    <row r="45" spans="1:10">
      <c r="A45" s="177" t="s">
        <v>59</v>
      </c>
      <c r="B45" s="178"/>
      <c r="C45" s="178"/>
      <c r="D45" s="178"/>
      <c r="E45" s="178"/>
      <c r="F45" s="178"/>
      <c r="G45" s="178"/>
      <c r="H45" s="178"/>
      <c r="I45" s="178"/>
      <c r="J45" s="179"/>
    </row>
    <row r="46" spans="1:10">
      <c r="A46" s="180"/>
      <c r="B46" s="181"/>
      <c r="C46" s="181"/>
      <c r="D46" s="181"/>
      <c r="E46" s="181"/>
      <c r="F46" s="181"/>
      <c r="G46" s="181"/>
      <c r="H46" s="181"/>
      <c r="I46" s="181"/>
      <c r="J46" s="182"/>
    </row>
    <row r="47" spans="1:10">
      <c r="A47" s="180"/>
      <c r="B47" s="181"/>
      <c r="C47" s="181"/>
      <c r="D47" s="181"/>
      <c r="E47" s="181"/>
      <c r="F47" s="181"/>
      <c r="G47" s="181"/>
      <c r="H47" s="181"/>
      <c r="I47" s="181"/>
      <c r="J47" s="182"/>
    </row>
    <row r="48" spans="1:10">
      <c r="A48" s="183"/>
      <c r="B48" s="184"/>
      <c r="C48" s="184"/>
      <c r="D48" s="184"/>
      <c r="E48" s="184"/>
      <c r="F48" s="184"/>
      <c r="G48" s="184"/>
      <c r="H48" s="184"/>
      <c r="I48" s="184"/>
      <c r="J48" s="185"/>
    </row>
    <row r="66" spans="6:6">
      <c r="F66" s="3"/>
    </row>
  </sheetData>
  <mergeCells count="38">
    <mergeCell ref="K5:O8"/>
    <mergeCell ref="B9:G9"/>
    <mergeCell ref="B4:G4"/>
    <mergeCell ref="B5:G5"/>
    <mergeCell ref="B6:G6"/>
    <mergeCell ref="B7:G7"/>
    <mergeCell ref="B8:G8"/>
    <mergeCell ref="B22:G22"/>
    <mergeCell ref="B10:G10"/>
    <mergeCell ref="B11:G11"/>
    <mergeCell ref="B12:G12"/>
    <mergeCell ref="B14:G14"/>
    <mergeCell ref="B15:G15"/>
    <mergeCell ref="B16:G16"/>
    <mergeCell ref="B17:G17"/>
    <mergeCell ref="B18:G18"/>
    <mergeCell ref="B19:G19"/>
    <mergeCell ref="B20:G20"/>
    <mergeCell ref="B21:G21"/>
    <mergeCell ref="B13:G13"/>
    <mergeCell ref="B37:G37"/>
    <mergeCell ref="B23:G23"/>
    <mergeCell ref="B24:G24"/>
    <mergeCell ref="B25:G25"/>
    <mergeCell ref="B28:G28"/>
    <mergeCell ref="B29:G29"/>
    <mergeCell ref="B30:G30"/>
    <mergeCell ref="B31:G31"/>
    <mergeCell ref="B32:G32"/>
    <mergeCell ref="B33:G33"/>
    <mergeCell ref="B36:G36"/>
    <mergeCell ref="A45:J48"/>
    <mergeCell ref="B38:G38"/>
    <mergeCell ref="B39:G39"/>
    <mergeCell ref="B40:G40"/>
    <mergeCell ref="B41:G41"/>
    <mergeCell ref="B42:G42"/>
    <mergeCell ref="B43:G43"/>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showGridLines="0" zoomScaleNormal="100" workbookViewId="0">
      <selection activeCell="A22" sqref="A22:I54"/>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128" t="str">
        <f>+'Cover Page'!$B$29</f>
        <v>Annual Performance Report 2022</v>
      </c>
      <c r="B1" s="128"/>
      <c r="C1" s="128"/>
      <c r="D1" s="128"/>
      <c r="E1" s="128" t="str">
        <f>+'Cover Page'!$B$33</f>
        <v>SUEZ R&amp;R Wilton 11 EfW</v>
      </c>
      <c r="F1" s="128"/>
      <c r="G1" s="128"/>
      <c r="H1" s="128"/>
      <c r="I1" s="128"/>
      <c r="J1" s="128"/>
      <c r="K1" s="128"/>
      <c r="L1" s="128"/>
      <c r="M1" s="128"/>
      <c r="N1" s="128"/>
    </row>
    <row r="3" spans="1:14" ht="15.6">
      <c r="A3" s="85" t="s">
        <v>60</v>
      </c>
      <c r="B3" s="153"/>
      <c r="C3" s="153"/>
      <c r="D3" s="153"/>
      <c r="E3" s="153"/>
      <c r="F3" s="153"/>
      <c r="G3" s="153"/>
      <c r="H3" s="153"/>
      <c r="I3" s="154"/>
      <c r="J3" s="128"/>
      <c r="K3" s="120" t="s">
        <v>3</v>
      </c>
      <c r="L3" s="128"/>
      <c r="M3" s="128"/>
      <c r="N3" s="128"/>
    </row>
    <row r="4" spans="1:14">
      <c r="A4" s="155"/>
      <c r="B4" s="156"/>
      <c r="C4" s="156"/>
      <c r="D4" s="156"/>
      <c r="E4" s="156"/>
      <c r="F4" s="156"/>
      <c r="G4" s="156"/>
      <c r="H4" s="156"/>
      <c r="I4" s="157"/>
      <c r="J4" s="128"/>
      <c r="K4" s="128"/>
      <c r="L4" s="128"/>
      <c r="M4" s="128"/>
      <c r="N4" s="128"/>
    </row>
    <row r="5" spans="1:14" ht="15.75" customHeight="1">
      <c r="A5" s="196" t="s">
        <v>61</v>
      </c>
      <c r="B5" s="197"/>
      <c r="C5" s="197"/>
      <c r="D5" s="197"/>
      <c r="E5" s="197"/>
      <c r="F5" s="197"/>
      <c r="G5" s="197"/>
      <c r="H5" s="197"/>
      <c r="I5" s="198"/>
      <c r="J5" s="128"/>
      <c r="K5" s="213" t="s">
        <v>62</v>
      </c>
      <c r="L5" s="213"/>
      <c r="M5" s="213"/>
      <c r="N5" s="213"/>
    </row>
    <row r="6" spans="1:14">
      <c r="A6" s="199"/>
      <c r="B6" s="200"/>
      <c r="C6" s="200"/>
      <c r="D6" s="200"/>
      <c r="E6" s="200"/>
      <c r="F6" s="200"/>
      <c r="G6" s="200"/>
      <c r="H6" s="200"/>
      <c r="I6" s="201"/>
      <c r="J6" s="128"/>
      <c r="K6" s="213"/>
      <c r="L6" s="213"/>
      <c r="M6" s="213"/>
      <c r="N6" s="213"/>
    </row>
    <row r="7" spans="1:14">
      <c r="A7" s="199"/>
      <c r="B7" s="200"/>
      <c r="C7" s="200"/>
      <c r="D7" s="200"/>
      <c r="E7" s="200"/>
      <c r="F7" s="200"/>
      <c r="G7" s="200"/>
      <c r="H7" s="200"/>
      <c r="I7" s="201"/>
      <c r="J7" s="128"/>
      <c r="K7" s="213"/>
      <c r="L7" s="213"/>
      <c r="M7" s="213"/>
      <c r="N7" s="213"/>
    </row>
    <row r="8" spans="1:14" ht="15.75" customHeight="1">
      <c r="A8" s="199"/>
      <c r="B8" s="200"/>
      <c r="C8" s="200"/>
      <c r="D8" s="200"/>
      <c r="E8" s="200"/>
      <c r="F8" s="200"/>
      <c r="G8" s="200"/>
      <c r="H8" s="200"/>
      <c r="I8" s="201"/>
      <c r="J8" s="128"/>
      <c r="K8" s="213"/>
      <c r="L8" s="213"/>
      <c r="M8" s="213"/>
      <c r="N8" s="213"/>
    </row>
    <row r="9" spans="1:14">
      <c r="A9" s="199"/>
      <c r="B9" s="200"/>
      <c r="C9" s="200"/>
      <c r="D9" s="200"/>
      <c r="E9" s="200"/>
      <c r="F9" s="200"/>
      <c r="G9" s="200"/>
      <c r="H9" s="200"/>
      <c r="I9" s="201"/>
      <c r="J9" s="128"/>
      <c r="K9" s="213"/>
      <c r="L9" s="213"/>
      <c r="M9" s="213"/>
      <c r="N9" s="213"/>
    </row>
    <row r="10" spans="1:14">
      <c r="A10" s="199"/>
      <c r="B10" s="200"/>
      <c r="C10" s="200"/>
      <c r="D10" s="200"/>
      <c r="E10" s="200"/>
      <c r="F10" s="200"/>
      <c r="G10" s="200"/>
      <c r="H10" s="200"/>
      <c r="I10" s="201"/>
      <c r="J10" s="128"/>
      <c r="K10" s="213"/>
      <c r="L10" s="213"/>
      <c r="M10" s="213"/>
      <c r="N10" s="213"/>
    </row>
    <row r="11" spans="1:14">
      <c r="A11" s="199"/>
      <c r="B11" s="200"/>
      <c r="C11" s="200"/>
      <c r="D11" s="200"/>
      <c r="E11" s="200"/>
      <c r="F11" s="200"/>
      <c r="G11" s="200"/>
      <c r="H11" s="200"/>
      <c r="I11" s="201"/>
      <c r="J11" s="128"/>
      <c r="K11" s="213"/>
      <c r="L11" s="213"/>
      <c r="M11" s="213"/>
      <c r="N11" s="213"/>
    </row>
    <row r="12" spans="1:14">
      <c r="A12" s="199"/>
      <c r="B12" s="200"/>
      <c r="C12" s="200"/>
      <c r="D12" s="200"/>
      <c r="E12" s="200"/>
      <c r="F12" s="200"/>
      <c r="G12" s="200"/>
      <c r="H12" s="200"/>
      <c r="I12" s="201"/>
      <c r="J12" s="128"/>
      <c r="K12" s="213"/>
      <c r="L12" s="213"/>
      <c r="M12" s="213"/>
      <c r="N12" s="213"/>
    </row>
    <row r="13" spans="1:14">
      <c r="A13" s="199"/>
      <c r="B13" s="200"/>
      <c r="C13" s="200"/>
      <c r="D13" s="200"/>
      <c r="E13" s="200"/>
      <c r="F13" s="200"/>
      <c r="G13" s="200"/>
      <c r="H13" s="200"/>
      <c r="I13" s="201"/>
      <c r="J13" s="128"/>
      <c r="K13" s="213"/>
      <c r="L13" s="213"/>
      <c r="M13" s="213"/>
      <c r="N13" s="213"/>
    </row>
    <row r="14" spans="1:14">
      <c r="A14" s="199"/>
      <c r="B14" s="200"/>
      <c r="C14" s="200"/>
      <c r="D14" s="200"/>
      <c r="E14" s="200"/>
      <c r="F14" s="200"/>
      <c r="G14" s="200"/>
      <c r="H14" s="200"/>
      <c r="I14" s="201"/>
      <c r="J14" s="128"/>
      <c r="K14" s="213"/>
      <c r="L14" s="213"/>
      <c r="M14" s="213"/>
      <c r="N14" s="213"/>
    </row>
    <row r="15" spans="1:14">
      <c r="A15" s="199"/>
      <c r="B15" s="200"/>
      <c r="C15" s="200"/>
      <c r="D15" s="200"/>
      <c r="E15" s="200"/>
      <c r="F15" s="200"/>
      <c r="G15" s="200"/>
      <c r="H15" s="200"/>
      <c r="I15" s="201"/>
      <c r="J15" s="128"/>
      <c r="K15" s="128"/>
      <c r="L15" s="128"/>
      <c r="M15" s="128"/>
      <c r="N15" s="128"/>
    </row>
    <row r="16" spans="1:14">
      <c r="A16" s="199"/>
      <c r="B16" s="200"/>
      <c r="C16" s="200"/>
      <c r="D16" s="200"/>
      <c r="E16" s="200"/>
      <c r="F16" s="200"/>
      <c r="G16" s="200"/>
      <c r="H16" s="200"/>
      <c r="I16" s="201"/>
      <c r="J16" s="128"/>
      <c r="K16" s="128"/>
      <c r="L16" s="128"/>
      <c r="M16" s="128"/>
      <c r="N16" s="128"/>
    </row>
    <row r="17" spans="1:14">
      <c r="A17" s="199"/>
      <c r="B17" s="200"/>
      <c r="C17" s="200"/>
      <c r="D17" s="200"/>
      <c r="E17" s="200"/>
      <c r="F17" s="200"/>
      <c r="G17" s="200"/>
      <c r="H17" s="200"/>
      <c r="I17" s="201"/>
      <c r="J17" s="128"/>
      <c r="K17" s="128"/>
      <c r="L17" s="128"/>
      <c r="M17" s="128"/>
      <c r="N17" s="128"/>
    </row>
    <row r="18" spans="1:14">
      <c r="A18" s="202"/>
      <c r="B18" s="203"/>
      <c r="C18" s="203"/>
      <c r="D18" s="203"/>
      <c r="E18" s="203"/>
      <c r="F18" s="203"/>
      <c r="G18" s="203"/>
      <c r="H18" s="203"/>
      <c r="I18" s="204"/>
      <c r="J18" s="128"/>
      <c r="K18" s="128"/>
      <c r="L18" s="128"/>
      <c r="M18" s="128"/>
      <c r="N18" s="128"/>
    </row>
    <row r="20" spans="1:14">
      <c r="A20" s="85" t="s">
        <v>63</v>
      </c>
      <c r="B20" s="153"/>
      <c r="C20" s="153"/>
      <c r="D20" s="153"/>
      <c r="E20" s="153"/>
      <c r="F20" s="153"/>
      <c r="G20" s="153"/>
      <c r="H20" s="153"/>
      <c r="I20" s="154"/>
      <c r="J20" s="128"/>
      <c r="K20" s="128"/>
      <c r="L20" s="128"/>
      <c r="M20" s="128"/>
      <c r="N20" s="128"/>
    </row>
    <row r="21" spans="1:14">
      <c r="A21" s="155"/>
      <c r="B21" s="156"/>
      <c r="C21" s="156"/>
      <c r="D21" s="156"/>
      <c r="E21" s="156"/>
      <c r="F21" s="156"/>
      <c r="G21" s="156"/>
      <c r="H21" s="156"/>
      <c r="I21" s="157"/>
      <c r="J21" s="128"/>
      <c r="K21" s="128"/>
      <c r="L21" s="128"/>
      <c r="M21" s="128"/>
      <c r="N21" s="128"/>
    </row>
    <row r="22" spans="1:14">
      <c r="A22" s="196" t="s">
        <v>64</v>
      </c>
      <c r="B22" s="205"/>
      <c r="C22" s="205"/>
      <c r="D22" s="205"/>
      <c r="E22" s="205"/>
      <c r="F22" s="205"/>
      <c r="G22" s="205"/>
      <c r="H22" s="205"/>
      <c r="I22" s="206"/>
      <c r="J22" s="128"/>
      <c r="K22" s="213" t="s">
        <v>65</v>
      </c>
      <c r="L22" s="213"/>
      <c r="M22" s="213"/>
      <c r="N22" s="213"/>
    </row>
    <row r="23" spans="1:14">
      <c r="A23" s="207"/>
      <c r="B23" s="208"/>
      <c r="C23" s="208"/>
      <c r="D23" s="208"/>
      <c r="E23" s="208"/>
      <c r="F23" s="208"/>
      <c r="G23" s="208"/>
      <c r="H23" s="208"/>
      <c r="I23" s="209"/>
      <c r="J23" s="128"/>
      <c r="K23" s="213"/>
      <c r="L23" s="213"/>
      <c r="M23" s="213"/>
      <c r="N23" s="213"/>
    </row>
    <row r="24" spans="1:14">
      <c r="A24" s="207"/>
      <c r="B24" s="208"/>
      <c r="C24" s="208"/>
      <c r="D24" s="208"/>
      <c r="E24" s="208"/>
      <c r="F24" s="208"/>
      <c r="G24" s="208"/>
      <c r="H24" s="208"/>
      <c r="I24" s="209"/>
      <c r="J24" s="128"/>
      <c r="K24" s="213"/>
      <c r="L24" s="213"/>
      <c r="M24" s="213"/>
      <c r="N24" s="213"/>
    </row>
    <row r="25" spans="1:14">
      <c r="A25" s="207"/>
      <c r="B25" s="208"/>
      <c r="C25" s="208"/>
      <c r="D25" s="208"/>
      <c r="E25" s="208"/>
      <c r="F25" s="208"/>
      <c r="G25" s="208"/>
      <c r="H25" s="208"/>
      <c r="I25" s="209"/>
      <c r="J25" s="128"/>
      <c r="K25" s="213"/>
      <c r="L25" s="213"/>
      <c r="M25" s="213"/>
      <c r="N25" s="213"/>
    </row>
    <row r="26" spans="1:14">
      <c r="A26" s="207"/>
      <c r="B26" s="208"/>
      <c r="C26" s="208"/>
      <c r="D26" s="208"/>
      <c r="E26" s="208"/>
      <c r="F26" s="208"/>
      <c r="G26" s="208"/>
      <c r="H26" s="208"/>
      <c r="I26" s="209"/>
      <c r="J26" s="128"/>
      <c r="K26" s="213"/>
      <c r="L26" s="213"/>
      <c r="M26" s="213"/>
      <c r="N26" s="213"/>
    </row>
    <row r="27" spans="1:14">
      <c r="A27" s="207"/>
      <c r="B27" s="208"/>
      <c r="C27" s="208"/>
      <c r="D27" s="208"/>
      <c r="E27" s="208"/>
      <c r="F27" s="208"/>
      <c r="G27" s="208"/>
      <c r="H27" s="208"/>
      <c r="I27" s="209"/>
      <c r="J27" s="128"/>
      <c r="K27" s="213"/>
      <c r="L27" s="213"/>
      <c r="M27" s="213"/>
      <c r="N27" s="213"/>
    </row>
    <row r="28" spans="1:14">
      <c r="A28" s="207"/>
      <c r="B28" s="208"/>
      <c r="C28" s="208"/>
      <c r="D28" s="208"/>
      <c r="E28" s="208"/>
      <c r="F28" s="208"/>
      <c r="G28" s="208"/>
      <c r="H28" s="208"/>
      <c r="I28" s="209"/>
      <c r="J28" s="128"/>
      <c r="K28" s="213"/>
      <c r="L28" s="213"/>
      <c r="M28" s="213"/>
      <c r="N28" s="213"/>
    </row>
    <row r="29" spans="1:14">
      <c r="A29" s="207"/>
      <c r="B29" s="208"/>
      <c r="C29" s="208"/>
      <c r="D29" s="208"/>
      <c r="E29" s="208"/>
      <c r="F29" s="208"/>
      <c r="G29" s="208"/>
      <c r="H29" s="208"/>
      <c r="I29" s="209"/>
      <c r="J29" s="128"/>
      <c r="K29" s="213"/>
      <c r="L29" s="213"/>
      <c r="M29" s="213"/>
      <c r="N29" s="213"/>
    </row>
    <row r="30" spans="1:14">
      <c r="A30" s="207"/>
      <c r="B30" s="208"/>
      <c r="C30" s="208"/>
      <c r="D30" s="208"/>
      <c r="E30" s="208"/>
      <c r="F30" s="208"/>
      <c r="G30" s="208"/>
      <c r="H30" s="208"/>
      <c r="I30" s="209"/>
      <c r="J30" s="128"/>
      <c r="K30" s="213"/>
      <c r="L30" s="213"/>
      <c r="M30" s="213"/>
      <c r="N30" s="213"/>
    </row>
    <row r="31" spans="1:14">
      <c r="A31" s="207"/>
      <c r="B31" s="208"/>
      <c r="C31" s="208"/>
      <c r="D31" s="208"/>
      <c r="E31" s="208"/>
      <c r="F31" s="208"/>
      <c r="G31" s="208"/>
      <c r="H31" s="208"/>
      <c r="I31" s="209"/>
      <c r="J31" s="128"/>
      <c r="K31" s="213"/>
      <c r="L31" s="213"/>
      <c r="M31" s="213"/>
      <c r="N31" s="213"/>
    </row>
    <row r="32" spans="1:14">
      <c r="A32" s="207"/>
      <c r="B32" s="208"/>
      <c r="C32" s="208"/>
      <c r="D32" s="208"/>
      <c r="E32" s="208"/>
      <c r="F32" s="208"/>
      <c r="G32" s="208"/>
      <c r="H32" s="208"/>
      <c r="I32" s="209"/>
      <c r="J32" s="128"/>
      <c r="K32" s="128"/>
      <c r="L32" s="128"/>
      <c r="M32" s="128"/>
      <c r="N32" s="128"/>
    </row>
    <row r="33" spans="1:9">
      <c r="A33" s="207"/>
      <c r="B33" s="208"/>
      <c r="C33" s="208"/>
      <c r="D33" s="208"/>
      <c r="E33" s="208"/>
      <c r="F33" s="208"/>
      <c r="G33" s="208"/>
      <c r="H33" s="208"/>
      <c r="I33" s="209"/>
    </row>
    <row r="34" spans="1:9">
      <c r="A34" s="207"/>
      <c r="B34" s="208"/>
      <c r="C34" s="208"/>
      <c r="D34" s="208"/>
      <c r="E34" s="208"/>
      <c r="F34" s="208"/>
      <c r="G34" s="208"/>
      <c r="H34" s="208"/>
      <c r="I34" s="209"/>
    </row>
    <row r="35" spans="1:9">
      <c r="A35" s="207"/>
      <c r="B35" s="208"/>
      <c r="C35" s="208"/>
      <c r="D35" s="208"/>
      <c r="E35" s="208"/>
      <c r="F35" s="208"/>
      <c r="G35" s="208"/>
      <c r="H35" s="208"/>
      <c r="I35" s="209"/>
    </row>
    <row r="36" spans="1:9">
      <c r="A36" s="207"/>
      <c r="B36" s="208"/>
      <c r="C36" s="208"/>
      <c r="D36" s="208"/>
      <c r="E36" s="208"/>
      <c r="F36" s="208"/>
      <c r="G36" s="208"/>
      <c r="H36" s="208"/>
      <c r="I36" s="209"/>
    </row>
    <row r="37" spans="1:9">
      <c r="A37" s="207"/>
      <c r="B37" s="208"/>
      <c r="C37" s="208"/>
      <c r="D37" s="208"/>
      <c r="E37" s="208"/>
      <c r="F37" s="208"/>
      <c r="G37" s="208"/>
      <c r="H37" s="208"/>
      <c r="I37" s="209"/>
    </row>
    <row r="38" spans="1:9">
      <c r="A38" s="207"/>
      <c r="B38" s="208"/>
      <c r="C38" s="208"/>
      <c r="D38" s="208"/>
      <c r="E38" s="208"/>
      <c r="F38" s="208"/>
      <c r="G38" s="208"/>
      <c r="H38" s="208"/>
      <c r="I38" s="209"/>
    </row>
    <row r="39" spans="1:9">
      <c r="A39" s="207"/>
      <c r="B39" s="208"/>
      <c r="C39" s="208"/>
      <c r="D39" s="208"/>
      <c r="E39" s="208"/>
      <c r="F39" s="208"/>
      <c r="G39" s="208"/>
      <c r="H39" s="208"/>
      <c r="I39" s="209"/>
    </row>
    <row r="40" spans="1:9" ht="14.25" customHeight="1">
      <c r="A40" s="207"/>
      <c r="B40" s="208"/>
      <c r="C40" s="208"/>
      <c r="D40" s="208"/>
      <c r="E40" s="208"/>
      <c r="F40" s="208"/>
      <c r="G40" s="208"/>
      <c r="H40" s="208"/>
      <c r="I40" s="209"/>
    </row>
    <row r="41" spans="1:9">
      <c r="A41" s="207"/>
      <c r="B41" s="208"/>
      <c r="C41" s="208"/>
      <c r="D41" s="208"/>
      <c r="E41" s="208"/>
      <c r="F41" s="208"/>
      <c r="G41" s="208"/>
      <c r="H41" s="208"/>
      <c r="I41" s="209"/>
    </row>
    <row r="42" spans="1:9">
      <c r="A42" s="207"/>
      <c r="B42" s="208"/>
      <c r="C42" s="208"/>
      <c r="D42" s="208"/>
      <c r="E42" s="208"/>
      <c r="F42" s="208"/>
      <c r="G42" s="208"/>
      <c r="H42" s="208"/>
      <c r="I42" s="209"/>
    </row>
    <row r="43" spans="1:9">
      <c r="A43" s="207"/>
      <c r="B43" s="208"/>
      <c r="C43" s="208"/>
      <c r="D43" s="208"/>
      <c r="E43" s="208"/>
      <c r="F43" s="208"/>
      <c r="G43" s="208"/>
      <c r="H43" s="208"/>
      <c r="I43" s="209"/>
    </row>
    <row r="44" spans="1:9">
      <c r="A44" s="207"/>
      <c r="B44" s="208"/>
      <c r="C44" s="208"/>
      <c r="D44" s="208"/>
      <c r="E44" s="208"/>
      <c r="F44" s="208"/>
      <c r="G44" s="208"/>
      <c r="H44" s="208"/>
      <c r="I44" s="209"/>
    </row>
    <row r="45" spans="1:9">
      <c r="A45" s="207"/>
      <c r="B45" s="208"/>
      <c r="C45" s="208"/>
      <c r="D45" s="208"/>
      <c r="E45" s="208"/>
      <c r="F45" s="208"/>
      <c r="G45" s="208"/>
      <c r="H45" s="208"/>
      <c r="I45" s="209"/>
    </row>
    <row r="46" spans="1:9">
      <c r="A46" s="207"/>
      <c r="B46" s="208"/>
      <c r="C46" s="208"/>
      <c r="D46" s="208"/>
      <c r="E46" s="208"/>
      <c r="F46" s="208"/>
      <c r="G46" s="208"/>
      <c r="H46" s="208"/>
      <c r="I46" s="209"/>
    </row>
    <row r="47" spans="1:9">
      <c r="A47" s="207"/>
      <c r="B47" s="208"/>
      <c r="C47" s="208"/>
      <c r="D47" s="208"/>
      <c r="E47" s="208"/>
      <c r="F47" s="208"/>
      <c r="G47" s="208"/>
      <c r="H47" s="208"/>
      <c r="I47" s="209"/>
    </row>
    <row r="48" spans="1:9">
      <c r="A48" s="207"/>
      <c r="B48" s="208"/>
      <c r="C48" s="208"/>
      <c r="D48" s="208"/>
      <c r="E48" s="208"/>
      <c r="F48" s="208"/>
      <c r="G48" s="208"/>
      <c r="H48" s="208"/>
      <c r="I48" s="209"/>
    </row>
    <row r="49" spans="1:9">
      <c r="A49" s="207"/>
      <c r="B49" s="208"/>
      <c r="C49" s="208"/>
      <c r="D49" s="208"/>
      <c r="E49" s="208"/>
      <c r="F49" s="208"/>
      <c r="G49" s="208"/>
      <c r="H49" s="208"/>
      <c r="I49" s="209"/>
    </row>
    <row r="50" spans="1:9">
      <c r="A50" s="207"/>
      <c r="B50" s="208"/>
      <c r="C50" s="208"/>
      <c r="D50" s="208"/>
      <c r="E50" s="208"/>
      <c r="F50" s="208"/>
      <c r="G50" s="208"/>
      <c r="H50" s="208"/>
      <c r="I50" s="209"/>
    </row>
    <row r="51" spans="1:9">
      <c r="A51" s="207"/>
      <c r="B51" s="208"/>
      <c r="C51" s="208"/>
      <c r="D51" s="208"/>
      <c r="E51" s="208"/>
      <c r="F51" s="208"/>
      <c r="G51" s="208"/>
      <c r="H51" s="208"/>
      <c r="I51" s="209"/>
    </row>
    <row r="52" spans="1:9">
      <c r="A52" s="207"/>
      <c r="B52" s="208"/>
      <c r="C52" s="208"/>
      <c r="D52" s="208"/>
      <c r="E52" s="208"/>
      <c r="F52" s="208"/>
      <c r="G52" s="208"/>
      <c r="H52" s="208"/>
      <c r="I52" s="209"/>
    </row>
    <row r="53" spans="1:9">
      <c r="A53" s="207"/>
      <c r="B53" s="208"/>
      <c r="C53" s="208"/>
      <c r="D53" s="208"/>
      <c r="E53" s="208"/>
      <c r="F53" s="208"/>
      <c r="G53" s="208"/>
      <c r="H53" s="208"/>
      <c r="I53" s="209"/>
    </row>
    <row r="54" spans="1:9" ht="273" customHeight="1">
      <c r="A54" s="210"/>
      <c r="B54" s="211"/>
      <c r="C54" s="211"/>
      <c r="D54" s="211"/>
      <c r="E54" s="211"/>
      <c r="F54" s="211"/>
      <c r="G54" s="211"/>
      <c r="H54" s="211"/>
      <c r="I54" s="212"/>
    </row>
    <row r="66" spans="6:6">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6"/>
  <sheetViews>
    <sheetView showGridLines="0" topLeftCell="A40" zoomScaleNormal="100" workbookViewId="0">
      <selection activeCell="K54" sqref="K54"/>
    </sheetView>
  </sheetViews>
  <sheetFormatPr defaultColWidth="9.28515625" defaultRowHeight="15"/>
  <cols>
    <col min="1" max="1" width="28.5703125" style="2" customWidth="1"/>
    <col min="2" max="2" width="8.28515625" style="12" customWidth="1"/>
    <col min="3" max="3" width="10.42578125" style="12" customWidth="1"/>
    <col min="4" max="4" width="10" style="12" customWidth="1"/>
    <col min="5" max="5" width="9.7109375" style="12" customWidth="1"/>
    <col min="6" max="6" width="10.5703125" style="12" customWidth="1"/>
    <col min="7" max="7" width="11.85546875" style="16" customWidth="1"/>
    <col min="8" max="8" width="11.5703125" style="17" customWidth="1"/>
    <col min="9" max="16384" width="9.28515625" style="2"/>
  </cols>
  <sheetData>
    <row r="1" spans="1:11">
      <c r="A1" s="128" t="str">
        <f>+'Cover Page'!$B$29</f>
        <v>Annual Performance Report 2022</v>
      </c>
      <c r="B1" s="128"/>
      <c r="C1" s="128"/>
      <c r="D1" s="128"/>
      <c r="E1" s="128" t="str">
        <f>+'Cover Page'!$B$33</f>
        <v>SUEZ R&amp;R Wilton 11 EfW</v>
      </c>
      <c r="F1" s="128"/>
      <c r="G1" s="128"/>
      <c r="H1" s="128"/>
      <c r="I1" s="128"/>
      <c r="J1" s="128"/>
      <c r="K1" s="128"/>
    </row>
    <row r="3" spans="1:11" ht="15.6">
      <c r="A3" s="1" t="s">
        <v>34</v>
      </c>
      <c r="I3" s="128"/>
      <c r="J3" s="128"/>
      <c r="K3" s="18"/>
    </row>
    <row r="4" spans="1:11">
      <c r="A4" s="19" t="s">
        <v>66</v>
      </c>
      <c r="B4" s="220">
        <v>500000</v>
      </c>
      <c r="C4" s="220"/>
      <c r="D4" s="20" t="s">
        <v>67</v>
      </c>
      <c r="E4" s="137">
        <v>170</v>
      </c>
      <c r="F4" s="20" t="s">
        <v>68</v>
      </c>
      <c r="G4" s="137">
        <v>49</v>
      </c>
      <c r="H4" s="106" t="s">
        <v>69</v>
      </c>
      <c r="I4" s="128"/>
      <c r="J4" s="128"/>
      <c r="K4" s="18"/>
    </row>
    <row r="5" spans="1:11">
      <c r="A5" s="21" t="s">
        <v>70</v>
      </c>
      <c r="B5" s="22">
        <v>2</v>
      </c>
      <c r="C5" s="23"/>
      <c r="D5" s="23" t="s">
        <v>71</v>
      </c>
      <c r="E5" s="23"/>
      <c r="F5" s="24">
        <v>1</v>
      </c>
      <c r="G5" s="25"/>
      <c r="H5" s="26"/>
      <c r="I5" s="128"/>
      <c r="J5" s="128"/>
      <c r="K5" s="18"/>
    </row>
    <row r="6" spans="1:11">
      <c r="A6" s="3"/>
      <c r="I6" s="128"/>
      <c r="J6" s="128"/>
      <c r="K6" s="128"/>
    </row>
    <row r="7" spans="1:11">
      <c r="A7" s="8" t="s">
        <v>72</v>
      </c>
      <c r="B7" s="27" t="s">
        <v>73</v>
      </c>
      <c r="C7" s="28" t="s">
        <v>74</v>
      </c>
      <c r="D7" s="28" t="s">
        <v>75</v>
      </c>
      <c r="E7" s="28" t="s">
        <v>76</v>
      </c>
      <c r="F7" s="28" t="s">
        <v>77</v>
      </c>
      <c r="G7" s="29" t="s">
        <v>78</v>
      </c>
      <c r="H7" s="30" t="s">
        <v>79</v>
      </c>
      <c r="I7" s="128"/>
      <c r="J7" s="128"/>
      <c r="K7" s="128"/>
    </row>
    <row r="8" spans="1:11" ht="15.75" customHeight="1">
      <c r="A8" s="31" t="s">
        <v>80</v>
      </c>
      <c r="B8" s="214" t="s">
        <v>81</v>
      </c>
      <c r="C8" s="32">
        <v>123564</v>
      </c>
      <c r="D8" s="32">
        <v>100109</v>
      </c>
      <c r="E8" s="32">
        <v>78652</v>
      </c>
      <c r="F8" s="32">
        <v>49553</v>
      </c>
      <c r="G8" s="129">
        <f>SUM(C8:F8)</f>
        <v>351878</v>
      </c>
      <c r="H8" s="56">
        <f t="shared" ref="H8:H16" si="0">IF(G8&gt;0,G8/$G$18,"-")</f>
        <v>0.98789132796729839</v>
      </c>
      <c r="I8" s="128"/>
      <c r="J8" s="128"/>
      <c r="K8" s="128"/>
    </row>
    <row r="9" spans="1:11">
      <c r="A9" s="35" t="s">
        <v>82</v>
      </c>
      <c r="B9" s="215"/>
      <c r="C9" s="36">
        <v>3088</v>
      </c>
      <c r="D9" s="36" t="s">
        <v>83</v>
      </c>
      <c r="E9" s="36" t="s">
        <v>83</v>
      </c>
      <c r="F9" s="36" t="s">
        <v>83</v>
      </c>
      <c r="G9" s="37">
        <f t="shared" ref="G9:G16" si="1">SUM(C9:F9)</f>
        <v>3088</v>
      </c>
      <c r="H9" s="34">
        <f t="shared" si="0"/>
        <v>8.669505967304059E-3</v>
      </c>
      <c r="I9" s="128"/>
      <c r="J9" s="128"/>
      <c r="K9" s="128"/>
    </row>
    <row r="10" spans="1:11">
      <c r="A10" s="35" t="s">
        <v>84</v>
      </c>
      <c r="B10" s="215"/>
      <c r="C10" s="36" t="s">
        <v>83</v>
      </c>
      <c r="D10" s="36" t="s">
        <v>83</v>
      </c>
      <c r="E10" s="36" t="s">
        <v>83</v>
      </c>
      <c r="F10" s="36" t="s">
        <v>83</v>
      </c>
      <c r="G10" s="37">
        <f t="shared" si="1"/>
        <v>0</v>
      </c>
      <c r="H10" s="34" t="str">
        <f t="shared" si="0"/>
        <v>-</v>
      </c>
      <c r="I10" s="128"/>
      <c r="J10" s="128"/>
      <c r="K10" s="128"/>
    </row>
    <row r="11" spans="1:11">
      <c r="A11" s="35" t="s">
        <v>85</v>
      </c>
      <c r="B11" s="215"/>
      <c r="C11" s="36" t="s">
        <v>83</v>
      </c>
      <c r="D11" s="36" t="s">
        <v>83</v>
      </c>
      <c r="E11" s="36" t="s">
        <v>83</v>
      </c>
      <c r="F11" s="36" t="s">
        <v>83</v>
      </c>
      <c r="G11" s="37">
        <f t="shared" si="1"/>
        <v>0</v>
      </c>
      <c r="H11" s="34" t="str">
        <f t="shared" si="0"/>
        <v>-</v>
      </c>
      <c r="I11" s="128"/>
      <c r="J11" s="128"/>
      <c r="K11" s="128"/>
    </row>
    <row r="12" spans="1:11">
      <c r="A12" s="35" t="s">
        <v>86</v>
      </c>
      <c r="B12" s="215"/>
      <c r="C12" s="36" t="s">
        <v>83</v>
      </c>
      <c r="D12" s="36" t="s">
        <v>83</v>
      </c>
      <c r="E12" s="36" t="s">
        <v>83</v>
      </c>
      <c r="F12" s="36" t="s">
        <v>83</v>
      </c>
      <c r="G12" s="37">
        <f t="shared" si="1"/>
        <v>0</v>
      </c>
      <c r="H12" s="34" t="str">
        <f t="shared" si="0"/>
        <v>-</v>
      </c>
      <c r="I12" s="128"/>
      <c r="J12" s="128"/>
      <c r="K12" s="128"/>
    </row>
    <row r="13" spans="1:11">
      <c r="A13" s="35" t="s">
        <v>87</v>
      </c>
      <c r="B13" s="215"/>
      <c r="C13" s="36">
        <v>129</v>
      </c>
      <c r="D13" s="36" t="s">
        <v>83</v>
      </c>
      <c r="E13" s="36" t="s">
        <v>83</v>
      </c>
      <c r="F13" s="36" t="s">
        <v>83</v>
      </c>
      <c r="G13" s="37">
        <f t="shared" si="1"/>
        <v>129</v>
      </c>
      <c r="H13" s="34">
        <f t="shared" si="0"/>
        <v>3.6216524280512422E-4</v>
      </c>
      <c r="I13" s="128"/>
      <c r="J13" s="128"/>
      <c r="K13" s="128"/>
    </row>
    <row r="14" spans="1:11">
      <c r="A14" s="35" t="s">
        <v>88</v>
      </c>
      <c r="B14" s="215"/>
      <c r="C14" s="36">
        <v>1096</v>
      </c>
      <c r="D14" s="36" t="s">
        <v>83</v>
      </c>
      <c r="E14" s="36" t="s">
        <v>83</v>
      </c>
      <c r="F14" s="36" t="s">
        <v>83</v>
      </c>
      <c r="G14" s="37">
        <f t="shared" si="1"/>
        <v>1096</v>
      </c>
      <c r="H14" s="34">
        <f t="shared" si="0"/>
        <v>3.077000822592373E-3</v>
      </c>
      <c r="I14" s="128"/>
      <c r="J14" s="128"/>
      <c r="K14" s="128"/>
    </row>
    <row r="15" spans="1:11">
      <c r="A15" s="109" t="s">
        <v>89</v>
      </c>
      <c r="B15" s="215"/>
      <c r="C15" s="36"/>
      <c r="D15" s="36"/>
      <c r="E15" s="36"/>
      <c r="F15" s="36"/>
      <c r="G15" s="37">
        <f t="shared" si="1"/>
        <v>0</v>
      </c>
      <c r="H15" s="34" t="str">
        <f t="shared" si="0"/>
        <v>-</v>
      </c>
      <c r="I15" s="128"/>
      <c r="J15" s="128"/>
      <c r="K15" s="128"/>
    </row>
    <row r="16" spans="1:11">
      <c r="A16" s="109" t="s">
        <v>90</v>
      </c>
      <c r="B16" s="215"/>
      <c r="C16" s="161"/>
      <c r="D16" s="36"/>
      <c r="E16" s="36"/>
      <c r="F16" s="36"/>
      <c r="G16" s="37">
        <f t="shared" si="1"/>
        <v>0</v>
      </c>
      <c r="H16" s="34" t="str">
        <f t="shared" si="0"/>
        <v>-</v>
      </c>
      <c r="I16" s="128"/>
      <c r="J16" s="128"/>
      <c r="K16" s="128"/>
    </row>
    <row r="17" spans="1:12">
      <c r="A17" s="109" t="s">
        <v>90</v>
      </c>
      <c r="B17" s="215"/>
      <c r="C17" s="36"/>
      <c r="D17" s="36"/>
      <c r="E17" s="36"/>
      <c r="F17" s="36"/>
      <c r="G17" s="37"/>
      <c r="H17" s="34"/>
      <c r="I17" s="128"/>
      <c r="J17" s="128"/>
      <c r="K17" s="128"/>
      <c r="L17" s="128"/>
    </row>
    <row r="18" spans="1:12">
      <c r="A18" s="38" t="s">
        <v>91</v>
      </c>
      <c r="B18" s="215"/>
      <c r="C18" s="37">
        <f>SUM(C8:C17)</f>
        <v>127877</v>
      </c>
      <c r="D18" s="37">
        <f>SUM(D8:D17)</f>
        <v>100109</v>
      </c>
      <c r="E18" s="37">
        <f>SUM(E8:E17)</f>
        <v>78652</v>
      </c>
      <c r="F18" s="37">
        <f>SUM(F8:F17)</f>
        <v>49553</v>
      </c>
      <c r="G18" s="130">
        <f>SUM(G8:G17)</f>
        <v>356191</v>
      </c>
      <c r="H18" s="134">
        <v>1</v>
      </c>
      <c r="I18" s="128"/>
      <c r="J18" s="128"/>
      <c r="K18" s="128"/>
      <c r="L18" s="128"/>
    </row>
    <row r="19" spans="1:12">
      <c r="A19" s="35" t="s">
        <v>92</v>
      </c>
      <c r="B19" s="215"/>
      <c r="C19" s="36">
        <v>0</v>
      </c>
      <c r="D19" s="36">
        <v>0</v>
      </c>
      <c r="E19" s="36">
        <v>0</v>
      </c>
      <c r="F19" s="36">
        <v>0</v>
      </c>
      <c r="G19" s="37">
        <f t="shared" ref="G19" si="2">SUM(C19:F19)</f>
        <v>0</v>
      </c>
      <c r="H19" s="34" t="str">
        <f t="shared" ref="H19" si="3">IF(G19&gt;0,G19/$G$18,"-")</f>
        <v>-</v>
      </c>
      <c r="I19" s="128"/>
      <c r="J19" s="128"/>
      <c r="K19" s="128"/>
      <c r="L19" s="128"/>
    </row>
    <row r="20" spans="1:12">
      <c r="A20" s="39" t="s">
        <v>93</v>
      </c>
      <c r="B20" s="216"/>
      <c r="C20" s="40">
        <v>0</v>
      </c>
      <c r="D20" s="40">
        <v>2</v>
      </c>
      <c r="E20" s="40">
        <v>55</v>
      </c>
      <c r="F20" s="40">
        <v>77</v>
      </c>
      <c r="G20" s="41">
        <f t="shared" ref="G20" si="4">SUM(C20:F20)</f>
        <v>134</v>
      </c>
      <c r="H20" s="34">
        <f>IF(G20&gt;0,G20/$G$18,"-")</f>
        <v>3.7620265531695073E-4</v>
      </c>
      <c r="I20" s="128"/>
      <c r="J20" s="128"/>
      <c r="K20" s="128"/>
      <c r="L20" s="128"/>
    </row>
    <row r="21" spans="1:12">
      <c r="A21" s="135" t="s">
        <v>94</v>
      </c>
      <c r="C21" s="136">
        <f>C18-SUM(C19:C20)</f>
        <v>127877</v>
      </c>
      <c r="D21" s="136">
        <f t="shared" ref="D21:F21" si="5">D18-SUM(D19:D20)</f>
        <v>100107</v>
      </c>
      <c r="E21" s="136">
        <f t="shared" si="5"/>
        <v>78597</v>
      </c>
      <c r="F21" s="136">
        <f t="shared" si="5"/>
        <v>49476</v>
      </c>
      <c r="G21" s="41">
        <f>SUM(C21:F21)</f>
        <v>356057</v>
      </c>
      <c r="H21" s="59">
        <f>IF(G21&gt;0,G21/$G$18,"-")</f>
        <v>0.9996237973446831</v>
      </c>
      <c r="I21" s="128"/>
      <c r="J21" s="128"/>
      <c r="K21" s="128"/>
      <c r="L21" s="128"/>
    </row>
    <row r="22" spans="1:12">
      <c r="A22" s="8" t="s">
        <v>95</v>
      </c>
      <c r="B22" s="27" t="s">
        <v>73</v>
      </c>
      <c r="C22" s="43" t="s">
        <v>74</v>
      </c>
      <c r="D22" s="43" t="s">
        <v>75</v>
      </c>
      <c r="E22" s="43" t="s">
        <v>76</v>
      </c>
      <c r="F22" s="43" t="s">
        <v>77</v>
      </c>
      <c r="G22" s="44" t="s">
        <v>78</v>
      </c>
      <c r="H22" s="45" t="s">
        <v>96</v>
      </c>
      <c r="I22" s="128"/>
      <c r="J22" s="128"/>
      <c r="K22" s="128"/>
      <c r="L22" s="128"/>
    </row>
    <row r="23" spans="1:12" ht="15" customHeight="1">
      <c r="A23" s="46" t="s">
        <v>97</v>
      </c>
      <c r="B23" s="214" t="s">
        <v>98</v>
      </c>
      <c r="C23" s="32">
        <v>46239</v>
      </c>
      <c r="D23" s="32">
        <v>43533</v>
      </c>
      <c r="E23" s="32">
        <v>36934</v>
      </c>
      <c r="F23" s="32">
        <v>18216</v>
      </c>
      <c r="G23" s="33">
        <f t="shared" ref="G23:G26" si="6">SUM(C23:F23)</f>
        <v>144922</v>
      </c>
      <c r="H23" s="47">
        <f>IF(G23&gt;0,G23*1000/$G$21,"-")</f>
        <v>407.0191008742982</v>
      </c>
      <c r="I23" s="128"/>
      <c r="J23" s="128"/>
      <c r="K23" s="128"/>
      <c r="L23" s="128"/>
    </row>
    <row r="24" spans="1:12">
      <c r="A24" s="48" t="s">
        <v>99</v>
      </c>
      <c r="B24" s="215"/>
      <c r="C24" s="36">
        <v>36917</v>
      </c>
      <c r="D24" s="36">
        <v>34490</v>
      </c>
      <c r="E24" s="36">
        <v>29045</v>
      </c>
      <c r="F24" s="36">
        <v>13414</v>
      </c>
      <c r="G24" s="37">
        <f>SUM(C24:F24)</f>
        <v>113866</v>
      </c>
      <c r="H24" s="49">
        <f>IF(G24&gt;0,G24*1000/$G$21,"-")</f>
        <v>319.79711113670004</v>
      </c>
      <c r="I24" s="128"/>
      <c r="J24" s="128"/>
      <c r="K24" s="128"/>
      <c r="L24" s="128"/>
    </row>
    <row r="25" spans="1:12">
      <c r="A25" s="48" t="s">
        <v>100</v>
      </c>
      <c r="B25" s="215"/>
      <c r="C25" s="36">
        <v>9323</v>
      </c>
      <c r="D25" s="36">
        <v>9043</v>
      </c>
      <c r="E25" s="36">
        <v>7889</v>
      </c>
      <c r="F25" s="36">
        <v>4802</v>
      </c>
      <c r="G25" s="37">
        <f>SUM(C25:F25)</f>
        <v>31057</v>
      </c>
      <c r="H25" s="49">
        <f>IF(G25&gt;0,G25*1000/$G$21,"-")</f>
        <v>87.224798276680417</v>
      </c>
      <c r="I25" s="128"/>
      <c r="J25" s="128"/>
      <c r="K25" s="128"/>
      <c r="L25" s="128"/>
    </row>
    <row r="26" spans="1:12">
      <c r="A26" s="48" t="s">
        <v>101</v>
      </c>
      <c r="B26" s="215"/>
      <c r="C26" s="36">
        <v>48</v>
      </c>
      <c r="D26" s="36">
        <v>205</v>
      </c>
      <c r="E26" s="36">
        <v>163</v>
      </c>
      <c r="F26" s="36">
        <v>1168</v>
      </c>
      <c r="G26" s="37">
        <f t="shared" si="6"/>
        <v>1584</v>
      </c>
      <c r="H26" s="49">
        <f>IF(G26&gt;0,G26*1000/$G$21,"-")</f>
        <v>4.4487259062453486</v>
      </c>
      <c r="I26" s="128"/>
      <c r="J26" s="128"/>
      <c r="K26" s="128"/>
      <c r="L26" s="128"/>
    </row>
    <row r="27" spans="1:12">
      <c r="A27" s="48" t="s">
        <v>102</v>
      </c>
      <c r="B27" s="50" t="s">
        <v>79</v>
      </c>
      <c r="C27" s="51">
        <v>0.20200000000000001</v>
      </c>
      <c r="D27" s="51">
        <v>0.21099999999999999</v>
      </c>
      <c r="E27" s="51">
        <v>0.217</v>
      </c>
      <c r="F27" s="51">
        <v>0.308</v>
      </c>
      <c r="G27" s="51">
        <f t="shared" ref="G27" si="7">IF(G23&gt;0,1-G24/(G23+G26),"-")</f>
        <v>0.22278951032722205</v>
      </c>
      <c r="H27" s="49"/>
      <c r="I27" s="128"/>
      <c r="J27" s="128"/>
      <c r="K27" s="128"/>
      <c r="L27" s="128"/>
    </row>
    <row r="28" spans="1:12">
      <c r="A28" s="48" t="s">
        <v>103</v>
      </c>
      <c r="B28" s="221" t="s">
        <v>98</v>
      </c>
      <c r="C28" s="36"/>
      <c r="D28" s="36"/>
      <c r="E28" s="36"/>
      <c r="F28" s="36"/>
      <c r="G28" s="37">
        <f t="shared" ref="G28:G29" si="8">SUM(C28:F28)</f>
        <v>0</v>
      </c>
      <c r="H28" s="49" t="str">
        <f>IF(G28&gt;0,G28*1000/$G$21,"-")</f>
        <v>-</v>
      </c>
      <c r="I28" s="128"/>
      <c r="J28" s="128"/>
      <c r="K28" s="128"/>
      <c r="L28" s="128"/>
    </row>
    <row r="29" spans="1:12">
      <c r="A29" s="48" t="s">
        <v>104</v>
      </c>
      <c r="B29" s="221"/>
      <c r="C29" s="36"/>
      <c r="D29" s="36"/>
      <c r="E29" s="36"/>
      <c r="F29" s="36"/>
      <c r="G29" s="37">
        <f t="shared" si="8"/>
        <v>0</v>
      </c>
      <c r="H29" s="49" t="str">
        <f>IF(G29&gt;0,G29*1000/$G$21,"-")</f>
        <v>-</v>
      </c>
      <c r="I29" s="128"/>
      <c r="J29" s="128"/>
      <c r="K29" s="18"/>
      <c r="L29" s="18"/>
    </row>
    <row r="30" spans="1:12">
      <c r="A30" s="52" t="s">
        <v>105</v>
      </c>
      <c r="B30" s="53"/>
      <c r="C30" s="217">
        <v>0.83</v>
      </c>
      <c r="D30" s="217"/>
      <c r="E30" s="217"/>
      <c r="F30" s="217"/>
      <c r="G30" s="218" t="s">
        <v>106</v>
      </c>
      <c r="H30" s="219"/>
      <c r="I30" s="128"/>
      <c r="J30" s="128"/>
      <c r="K30" s="128"/>
      <c r="L30" s="18"/>
    </row>
    <row r="31" spans="1:12">
      <c r="A31" s="3"/>
      <c r="C31" s="17"/>
      <c r="D31" s="17"/>
      <c r="E31" s="17"/>
      <c r="F31" s="17"/>
      <c r="G31" s="42"/>
      <c r="I31" s="128"/>
      <c r="J31" s="128"/>
      <c r="K31" s="128"/>
      <c r="L31" s="18"/>
    </row>
    <row r="32" spans="1:12">
      <c r="A32" s="8" t="s">
        <v>107</v>
      </c>
      <c r="B32" s="54" t="s">
        <v>73</v>
      </c>
      <c r="C32" s="43" t="s">
        <v>74</v>
      </c>
      <c r="D32" s="43" t="s">
        <v>75</v>
      </c>
      <c r="E32" s="43" t="s">
        <v>76</v>
      </c>
      <c r="F32" s="43" t="s">
        <v>77</v>
      </c>
      <c r="G32" s="44" t="s">
        <v>78</v>
      </c>
      <c r="H32" s="55" t="s">
        <v>108</v>
      </c>
      <c r="I32" s="128"/>
      <c r="J32" s="128"/>
      <c r="K32" s="128"/>
      <c r="L32" s="18"/>
    </row>
    <row r="33" spans="1:12" ht="15" customHeight="1">
      <c r="A33" s="46" t="s">
        <v>109</v>
      </c>
      <c r="B33" s="214" t="s">
        <v>81</v>
      </c>
      <c r="C33" s="32">
        <v>2332</v>
      </c>
      <c r="D33" s="32">
        <v>1881</v>
      </c>
      <c r="E33" s="32">
        <v>1614</v>
      </c>
      <c r="F33" s="32">
        <v>1047</v>
      </c>
      <c r="G33" s="33">
        <f t="shared" ref="G33:G34" si="9">SUM(C33:F33)</f>
        <v>6874</v>
      </c>
      <c r="H33" s="56">
        <f>IF(G33&gt;0,G33/$G$21,"-")</f>
        <v>1.9305897651218765E-2</v>
      </c>
      <c r="I33" s="128"/>
      <c r="J33" s="128"/>
      <c r="K33" s="18"/>
      <c r="L33" s="18"/>
    </row>
    <row r="34" spans="1:12" ht="15" customHeight="1">
      <c r="A34" s="48" t="s">
        <v>110</v>
      </c>
      <c r="B34" s="215"/>
      <c r="C34" s="36">
        <v>29694</v>
      </c>
      <c r="D34" s="36">
        <v>22365</v>
      </c>
      <c r="E34" s="108">
        <v>19197</v>
      </c>
      <c r="F34" s="108">
        <v>11114</v>
      </c>
      <c r="G34" s="37">
        <f t="shared" si="9"/>
        <v>82370</v>
      </c>
      <c r="H34" s="34">
        <f t="shared" ref="H34:H38" si="10">IF(G34&gt;0,G34/$G$21,"-")</f>
        <v>0.23133936420292256</v>
      </c>
      <c r="I34" s="128"/>
      <c r="J34" s="128"/>
      <c r="K34" s="18"/>
      <c r="L34" s="18"/>
    </row>
    <row r="35" spans="1:12" ht="15" customHeight="1">
      <c r="A35" s="48" t="s">
        <v>111</v>
      </c>
      <c r="B35" s="215"/>
      <c r="C35" s="36">
        <v>5055</v>
      </c>
      <c r="D35" s="36">
        <v>3582</v>
      </c>
      <c r="E35" s="36">
        <v>3480</v>
      </c>
      <c r="F35" s="36">
        <v>1322</v>
      </c>
      <c r="G35" s="130">
        <f t="shared" ref="G35:G38" si="11">SUM(C35:F35)</f>
        <v>13439</v>
      </c>
      <c r="H35" s="34">
        <f t="shared" si="10"/>
        <v>3.7743956726029822E-2</v>
      </c>
      <c r="I35" s="128"/>
      <c r="J35" s="128"/>
      <c r="K35" s="128"/>
      <c r="L35" s="128"/>
    </row>
    <row r="36" spans="1:12">
      <c r="A36" s="57" t="s">
        <v>112</v>
      </c>
      <c r="B36" s="215"/>
      <c r="C36" s="36">
        <v>3203</v>
      </c>
      <c r="D36" s="36">
        <v>2051</v>
      </c>
      <c r="E36" s="36">
        <v>2085</v>
      </c>
      <c r="F36" s="36">
        <v>672</v>
      </c>
      <c r="G36" s="37">
        <f t="shared" ref="G36" si="12">SUM(C36:F36)</f>
        <v>8011</v>
      </c>
      <c r="H36" s="34">
        <f t="shared" si="10"/>
        <v>2.2499206587709271E-2</v>
      </c>
      <c r="I36" s="128"/>
      <c r="J36" s="128"/>
      <c r="K36" s="128"/>
      <c r="L36" s="128"/>
    </row>
    <row r="37" spans="1:12">
      <c r="A37" s="57" t="s">
        <v>113</v>
      </c>
      <c r="B37" s="215"/>
      <c r="C37" s="36">
        <v>1852</v>
      </c>
      <c r="D37" s="36">
        <v>1529</v>
      </c>
      <c r="E37" s="36">
        <v>1379</v>
      </c>
      <c r="F37" s="36">
        <v>611</v>
      </c>
      <c r="G37" s="37">
        <f t="shared" si="11"/>
        <v>5371</v>
      </c>
      <c r="H37" s="34">
        <f t="shared" si="10"/>
        <v>1.508466341063369E-2</v>
      </c>
      <c r="I37" s="128"/>
      <c r="J37" s="128"/>
      <c r="K37" s="128"/>
      <c r="L37" s="128"/>
    </row>
    <row r="38" spans="1:12">
      <c r="A38" s="58" t="s">
        <v>114</v>
      </c>
      <c r="B38" s="216"/>
      <c r="C38" s="40" t="s">
        <v>83</v>
      </c>
      <c r="D38" s="40">
        <v>3</v>
      </c>
      <c r="E38" s="40">
        <v>16</v>
      </c>
      <c r="F38" s="40">
        <v>39</v>
      </c>
      <c r="G38" s="41">
        <f t="shared" si="11"/>
        <v>58</v>
      </c>
      <c r="H38" s="59">
        <f t="shared" si="10"/>
        <v>1.6289526676908472E-4</v>
      </c>
      <c r="I38" s="128"/>
      <c r="J38" s="128"/>
      <c r="K38" s="128"/>
      <c r="L38" s="128"/>
    </row>
    <row r="39" spans="1:12">
      <c r="A39" s="12"/>
      <c r="C39" s="17"/>
      <c r="D39" s="17"/>
      <c r="E39" s="17"/>
      <c r="F39" s="17"/>
      <c r="G39" s="42"/>
      <c r="I39" s="128"/>
      <c r="J39" s="128"/>
      <c r="K39" s="128"/>
      <c r="L39" s="128"/>
    </row>
    <row r="40" spans="1:12">
      <c r="A40" s="8" t="s">
        <v>115</v>
      </c>
      <c r="B40" s="60" t="s">
        <v>73</v>
      </c>
      <c r="C40" s="28" t="s">
        <v>74</v>
      </c>
      <c r="D40" s="28" t="s">
        <v>75</v>
      </c>
      <c r="E40" s="28" t="s">
        <v>76</v>
      </c>
      <c r="F40" s="28" t="s">
        <v>77</v>
      </c>
      <c r="G40" s="29" t="s">
        <v>78</v>
      </c>
      <c r="H40" s="45" t="s">
        <v>116</v>
      </c>
      <c r="I40" s="128"/>
      <c r="J40" s="128"/>
      <c r="K40" s="128"/>
      <c r="L40" s="128"/>
    </row>
    <row r="41" spans="1:12" ht="15.6" customHeight="1">
      <c r="A41" s="46" t="s">
        <v>117</v>
      </c>
      <c r="B41" s="114" t="s">
        <v>118</v>
      </c>
      <c r="C41" s="32">
        <v>0</v>
      </c>
      <c r="D41" s="32">
        <v>0</v>
      </c>
      <c r="E41" s="32">
        <v>0</v>
      </c>
      <c r="F41" s="32">
        <v>0</v>
      </c>
      <c r="G41" s="33">
        <f t="shared" ref="G41:G48" si="13">SUM(C41:F41)</f>
        <v>0</v>
      </c>
      <c r="H41" s="61" t="str">
        <f>IF(G41&gt;0,G41/$G$21,"-")</f>
        <v>-</v>
      </c>
      <c r="I41" s="128"/>
      <c r="J41" s="128"/>
      <c r="K41" s="128"/>
      <c r="L41" s="128"/>
    </row>
    <row r="42" spans="1:12" ht="15.6">
      <c r="A42" s="48" t="s">
        <v>119</v>
      </c>
      <c r="B42" s="50" t="s">
        <v>118</v>
      </c>
      <c r="C42" s="36">
        <v>0</v>
      </c>
      <c r="D42" s="36">
        <v>0</v>
      </c>
      <c r="E42" s="36">
        <v>0</v>
      </c>
      <c r="F42" s="160">
        <v>0</v>
      </c>
      <c r="G42" s="37">
        <f t="shared" si="13"/>
        <v>0</v>
      </c>
      <c r="H42" s="61" t="str">
        <f t="shared" ref="H42:H48" si="14">IF(G42&gt;0,G42/$G$21,"-")</f>
        <v>-</v>
      </c>
      <c r="I42" s="128"/>
      <c r="J42" s="128"/>
      <c r="K42" s="128"/>
      <c r="L42" s="128"/>
    </row>
    <row r="43" spans="1:12" ht="15.6" customHeight="1">
      <c r="A43" s="48" t="s">
        <v>120</v>
      </c>
      <c r="B43" s="50" t="s">
        <v>121</v>
      </c>
      <c r="C43" s="36">
        <v>509300</v>
      </c>
      <c r="D43" s="36">
        <v>428500</v>
      </c>
      <c r="E43" s="36">
        <v>350500</v>
      </c>
      <c r="F43" s="36">
        <v>170000</v>
      </c>
      <c r="G43" s="37">
        <f t="shared" si="13"/>
        <v>1458300</v>
      </c>
      <c r="H43" s="61">
        <f t="shared" si="14"/>
        <v>4.0956925436095908</v>
      </c>
      <c r="I43" s="128"/>
      <c r="J43" s="128"/>
      <c r="K43" s="128"/>
      <c r="L43" s="128"/>
    </row>
    <row r="44" spans="1:12">
      <c r="A44" s="48" t="s">
        <v>122</v>
      </c>
      <c r="B44" s="50" t="s">
        <v>121</v>
      </c>
      <c r="C44" s="36">
        <v>26220</v>
      </c>
      <c r="D44" s="36">
        <v>18360</v>
      </c>
      <c r="E44" s="36">
        <v>15300</v>
      </c>
      <c r="F44" s="36">
        <v>10400</v>
      </c>
      <c r="G44" s="37">
        <f t="shared" si="13"/>
        <v>70280</v>
      </c>
      <c r="H44" s="61">
        <f t="shared" si="14"/>
        <v>0.19738412669881508</v>
      </c>
      <c r="I44" s="128"/>
      <c r="J44" s="128"/>
      <c r="K44" s="128"/>
      <c r="L44" s="128"/>
    </row>
    <row r="45" spans="1:12">
      <c r="A45" s="48" t="s">
        <v>123</v>
      </c>
      <c r="B45" s="50" t="s">
        <v>121</v>
      </c>
      <c r="C45" s="36">
        <v>1032400</v>
      </c>
      <c r="D45" s="36">
        <v>871200</v>
      </c>
      <c r="E45" s="36">
        <v>734840</v>
      </c>
      <c r="F45" s="36">
        <v>433340</v>
      </c>
      <c r="G45" s="37">
        <f t="shared" si="13"/>
        <v>3071780</v>
      </c>
      <c r="H45" s="61">
        <f t="shared" si="14"/>
        <v>8.6272141819989496</v>
      </c>
      <c r="I45" s="128"/>
      <c r="J45" s="128"/>
      <c r="K45" s="128"/>
      <c r="L45" s="128"/>
    </row>
    <row r="46" spans="1:12">
      <c r="A46" s="48" t="s">
        <v>124</v>
      </c>
      <c r="B46" s="50" t="s">
        <v>125</v>
      </c>
      <c r="C46" s="36">
        <v>879</v>
      </c>
      <c r="D46" s="36">
        <v>1033</v>
      </c>
      <c r="E46" s="161">
        <v>7032</v>
      </c>
      <c r="F46" s="36">
        <v>16833</v>
      </c>
      <c r="G46" s="37">
        <f t="shared" si="13"/>
        <v>25777</v>
      </c>
      <c r="H46" s="61">
        <f t="shared" si="14"/>
        <v>7.2395711922529263E-2</v>
      </c>
      <c r="I46" s="128"/>
      <c r="J46" s="128"/>
      <c r="K46" s="128"/>
      <c r="L46" s="128"/>
    </row>
    <row r="47" spans="1:12">
      <c r="A47" s="48" t="s">
        <v>126</v>
      </c>
      <c r="B47" s="50" t="s">
        <v>98</v>
      </c>
      <c r="C47" s="36">
        <v>1304</v>
      </c>
      <c r="D47" s="36">
        <v>2549</v>
      </c>
      <c r="E47" s="36">
        <v>2576</v>
      </c>
      <c r="F47" s="36">
        <v>3987</v>
      </c>
      <c r="G47" s="37">
        <f t="shared" si="13"/>
        <v>10416</v>
      </c>
      <c r="H47" s="61">
        <f t="shared" si="14"/>
        <v>2.9253743080461837E-2</v>
      </c>
      <c r="I47" s="128"/>
      <c r="J47" s="128"/>
      <c r="K47" s="128"/>
      <c r="L47" s="128"/>
    </row>
    <row r="48" spans="1:12">
      <c r="A48" s="52" t="s">
        <v>127</v>
      </c>
      <c r="B48" s="62"/>
      <c r="C48" s="40">
        <v>0</v>
      </c>
      <c r="D48" s="40">
        <v>0</v>
      </c>
      <c r="E48" s="40">
        <v>0</v>
      </c>
      <c r="F48" s="40">
        <v>0</v>
      </c>
      <c r="G48" s="41">
        <f t="shared" si="13"/>
        <v>0</v>
      </c>
      <c r="H48" s="61" t="str">
        <f t="shared" si="14"/>
        <v>-</v>
      </c>
      <c r="I48" s="128"/>
      <c r="J48" s="128"/>
      <c r="K48" s="128"/>
      <c r="L48" s="128"/>
    </row>
    <row r="49" spans="1:8">
      <c r="A49" s="12"/>
      <c r="C49" s="17"/>
      <c r="D49" s="17"/>
      <c r="E49" s="17"/>
      <c r="F49" s="17"/>
      <c r="G49" s="42"/>
    </row>
    <row r="50" spans="1:8">
      <c r="A50" s="8" t="s">
        <v>128</v>
      </c>
      <c r="B50" s="63" t="s">
        <v>129</v>
      </c>
      <c r="C50" s="43" t="s">
        <v>74</v>
      </c>
      <c r="D50" s="43" t="s">
        <v>75</v>
      </c>
      <c r="E50" s="43" t="s">
        <v>76</v>
      </c>
      <c r="F50" s="43" t="s">
        <v>77</v>
      </c>
      <c r="G50" s="44" t="s">
        <v>78</v>
      </c>
      <c r="H50" s="45"/>
    </row>
    <row r="51" spans="1:8" ht="14.25" customHeight="1">
      <c r="A51" s="46" t="s">
        <v>130</v>
      </c>
      <c r="B51" s="43">
        <v>1</v>
      </c>
      <c r="C51" s="32">
        <v>2159</v>
      </c>
      <c r="D51" s="32">
        <v>1559.7</v>
      </c>
      <c r="E51" s="32">
        <v>1303.7</v>
      </c>
      <c r="F51" s="32">
        <v>1122.7</v>
      </c>
      <c r="G51" s="33">
        <f t="shared" ref="G51:G63" si="15">SUM(C51:F51)</f>
        <v>6145.0999999999995</v>
      </c>
      <c r="H51" s="64">
        <f>+(G51)/8760</f>
        <v>0.70149543378995427</v>
      </c>
    </row>
    <row r="52" spans="1:8" ht="14.25" customHeight="1">
      <c r="A52" s="48" t="s">
        <v>130</v>
      </c>
      <c r="B52" s="17">
        <v>2</v>
      </c>
      <c r="C52" s="108">
        <v>2070.8000000000002</v>
      </c>
      <c r="D52" s="108">
        <v>1684.8</v>
      </c>
      <c r="E52" s="108">
        <v>1721</v>
      </c>
      <c r="F52" s="108">
        <v>633.79999999999995</v>
      </c>
      <c r="G52" s="37">
        <f t="shared" si="15"/>
        <v>6110.4000000000005</v>
      </c>
      <c r="H52" s="64">
        <f>+(G52)/8760</f>
        <v>0.69753424657534258</v>
      </c>
    </row>
    <row r="53" spans="1:8" ht="14.25" customHeight="1">
      <c r="A53" s="48" t="s">
        <v>130</v>
      </c>
      <c r="B53" s="17">
        <v>3</v>
      </c>
      <c r="C53" s="108"/>
      <c r="D53" s="108"/>
      <c r="E53" s="108"/>
      <c r="F53" s="108"/>
      <c r="G53" s="37">
        <f t="shared" si="15"/>
        <v>0</v>
      </c>
      <c r="H53" s="34" t="s">
        <v>131</v>
      </c>
    </row>
    <row r="54" spans="1:8" ht="14.25" customHeight="1">
      <c r="A54" s="48" t="s">
        <v>130</v>
      </c>
      <c r="B54" s="17">
        <v>4</v>
      </c>
      <c r="C54" s="108"/>
      <c r="D54" s="108"/>
      <c r="E54" s="108"/>
      <c r="F54" s="108"/>
      <c r="G54" s="37">
        <f t="shared" si="15"/>
        <v>0</v>
      </c>
      <c r="H54" s="34" t="s">
        <v>131</v>
      </c>
    </row>
    <row r="55" spans="1:8" ht="14.25" customHeight="1">
      <c r="A55" s="48" t="s">
        <v>130</v>
      </c>
      <c r="B55" s="17">
        <v>5</v>
      </c>
      <c r="C55" s="108"/>
      <c r="D55" s="108"/>
      <c r="E55" s="108"/>
      <c r="F55" s="108"/>
      <c r="G55" s="37">
        <f t="shared" ref="G55" si="16">SUM(C55:F55)</f>
        <v>0</v>
      </c>
      <c r="H55" s="34" t="s">
        <v>131</v>
      </c>
    </row>
    <row r="56" spans="1:8" ht="27" customHeight="1">
      <c r="A56" s="132" t="s">
        <v>132</v>
      </c>
      <c r="B56" s="17"/>
      <c r="C56" s="108"/>
      <c r="D56" s="108"/>
      <c r="E56" s="108"/>
      <c r="F56" s="108"/>
      <c r="G56" s="37">
        <f>AVERAGE(G51:G52)</f>
        <v>6127.75</v>
      </c>
      <c r="H56" s="64">
        <f>+(G56)/8760</f>
        <v>0.69951484018264842</v>
      </c>
    </row>
    <row r="57" spans="1:8" ht="14.25" customHeight="1">
      <c r="A57" s="48" t="s">
        <v>133</v>
      </c>
      <c r="B57" s="17">
        <v>1</v>
      </c>
      <c r="C57" s="108">
        <v>1956</v>
      </c>
      <c r="D57" s="108">
        <v>2077</v>
      </c>
      <c r="E57" s="108">
        <v>1811</v>
      </c>
      <c r="F57" s="108">
        <v>1432</v>
      </c>
      <c r="G57" s="37">
        <f t="shared" si="15"/>
        <v>7276</v>
      </c>
      <c r="H57" s="34" t="s">
        <v>131</v>
      </c>
    </row>
    <row r="58" spans="1:8">
      <c r="A58" s="48" t="s">
        <v>133</v>
      </c>
      <c r="B58" s="17">
        <v>2</v>
      </c>
      <c r="C58" s="108"/>
      <c r="D58" s="108"/>
      <c r="E58" s="108"/>
      <c r="F58" s="108"/>
      <c r="G58" s="37">
        <f t="shared" si="15"/>
        <v>0</v>
      </c>
      <c r="H58" s="34" t="s">
        <v>131</v>
      </c>
    </row>
    <row r="59" spans="1:8">
      <c r="A59" s="48" t="s">
        <v>134</v>
      </c>
      <c r="B59" s="17"/>
      <c r="C59" s="108">
        <v>44981</v>
      </c>
      <c r="D59" s="108">
        <v>22013</v>
      </c>
      <c r="E59" s="108">
        <v>16698</v>
      </c>
      <c r="F59" s="108">
        <v>8702</v>
      </c>
      <c r="G59" s="37">
        <f t="shared" si="15"/>
        <v>92394</v>
      </c>
      <c r="H59" s="34" t="str">
        <f>IF(B59&gt;0,G58/8760,"n/a")</f>
        <v>n/a</v>
      </c>
    </row>
    <row r="60" spans="1:8">
      <c r="A60" s="48" t="s">
        <v>135</v>
      </c>
      <c r="B60" s="17" t="s">
        <v>136</v>
      </c>
      <c r="C60" s="133"/>
      <c r="D60" s="133"/>
      <c r="E60" s="133"/>
      <c r="F60" s="133"/>
      <c r="G60" s="37">
        <f t="shared" si="15"/>
        <v>0</v>
      </c>
      <c r="H60" s="34"/>
    </row>
    <row r="61" spans="1:8">
      <c r="A61" s="48" t="s">
        <v>137</v>
      </c>
      <c r="B61" s="17" t="s">
        <v>138</v>
      </c>
      <c r="C61" s="108" t="s">
        <v>139</v>
      </c>
      <c r="D61" s="108">
        <v>0</v>
      </c>
      <c r="E61" s="108">
        <v>0</v>
      </c>
      <c r="F61" s="108">
        <v>0</v>
      </c>
      <c r="G61" s="37">
        <f t="shared" si="15"/>
        <v>0</v>
      </c>
      <c r="H61" s="49" t="str">
        <f>IF(G61&gt;0,"yes","no")</f>
        <v>no</v>
      </c>
    </row>
    <row r="62" spans="1:8">
      <c r="A62" s="48" t="s">
        <v>140</v>
      </c>
      <c r="B62" s="17" t="s">
        <v>141</v>
      </c>
      <c r="C62" s="36" t="s">
        <v>139</v>
      </c>
      <c r="D62" s="36">
        <v>0</v>
      </c>
      <c r="E62" s="36">
        <v>0</v>
      </c>
      <c r="F62" s="36">
        <v>0</v>
      </c>
      <c r="G62" s="37">
        <f t="shared" si="15"/>
        <v>0</v>
      </c>
      <c r="H62" s="64">
        <f>+(G62)/8760</f>
        <v>0</v>
      </c>
    </row>
    <row r="63" spans="1:8">
      <c r="A63" s="52" t="s">
        <v>142</v>
      </c>
      <c r="B63" s="65" t="s">
        <v>138</v>
      </c>
      <c r="C63" s="40">
        <v>1</v>
      </c>
      <c r="D63" s="40">
        <v>0</v>
      </c>
      <c r="E63" s="40">
        <v>0</v>
      </c>
      <c r="F63" s="40">
        <v>0</v>
      </c>
      <c r="G63" s="41">
        <f t="shared" si="15"/>
        <v>1</v>
      </c>
      <c r="H63" s="66" t="str">
        <f>IF(G63&gt;0,"yes","no")</f>
        <v>yes</v>
      </c>
    </row>
    <row r="76" spans="6:6">
      <c r="F76" s="3"/>
    </row>
  </sheetData>
  <mergeCells count="7">
    <mergeCell ref="B33:B38"/>
    <mergeCell ref="C30:F30"/>
    <mergeCell ref="G30:H30"/>
    <mergeCell ref="B4:C4"/>
    <mergeCell ref="B8:B20"/>
    <mergeCell ref="B23:B26"/>
    <mergeCell ref="B28:B29"/>
  </mergeCells>
  <phoneticPr fontId="24" type="noConversion"/>
  <pageMargins left="0.7" right="0.7" top="0.75" bottom="0.75" header="0.3" footer="0.3"/>
  <pageSetup paperSize="9" scale="87" orientation="portrait" r:id="rId1"/>
  <headerFooter scaleWithDoc="0">
    <oddFooter>&amp;C&amp;"Arial,Regular"Page &amp;P</oddFooter>
  </headerFooter>
  <ignoredErrors>
    <ignoredError sqref="G57:G58 G52:G54"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showGridLines="0" zoomScaleNormal="100" workbookViewId="0">
      <selection activeCell="A5" sqref="A5:I27"/>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128" t="str">
        <f>+'Cover Page'!$B$29</f>
        <v>Annual Performance Report 2022</v>
      </c>
      <c r="B1" s="128"/>
      <c r="C1" s="128"/>
      <c r="D1" s="128"/>
      <c r="E1" s="128" t="str">
        <f>+'Cover Page'!$B$33</f>
        <v>SUEZ R&amp;R Wilton 11 EfW</v>
      </c>
      <c r="F1" s="128"/>
      <c r="G1" s="128"/>
      <c r="H1" s="128"/>
      <c r="I1" s="128"/>
      <c r="J1" s="128"/>
      <c r="K1" s="128"/>
      <c r="L1" s="128"/>
      <c r="M1" s="128"/>
      <c r="N1" s="128"/>
    </row>
    <row r="3" spans="1:14" ht="15.6">
      <c r="A3" s="85" t="s">
        <v>143</v>
      </c>
      <c r="B3" s="153"/>
      <c r="C3" s="153"/>
      <c r="D3" s="153"/>
      <c r="E3" s="153"/>
      <c r="F3" s="153"/>
      <c r="G3" s="153"/>
      <c r="H3" s="153"/>
      <c r="I3" s="154"/>
      <c r="J3" s="128"/>
      <c r="K3" s="120" t="s">
        <v>3</v>
      </c>
      <c r="L3" s="128"/>
      <c r="M3" s="128"/>
      <c r="N3" s="128"/>
    </row>
    <row r="4" spans="1:14">
      <c r="A4" s="155"/>
      <c r="B4" s="156"/>
      <c r="C4" s="156"/>
      <c r="D4" s="156"/>
      <c r="E4" s="156"/>
      <c r="F4" s="156"/>
      <c r="G4" s="156"/>
      <c r="H4" s="156"/>
      <c r="I4" s="157"/>
      <c r="J4" s="128"/>
      <c r="K4" s="128"/>
      <c r="L4" s="128"/>
      <c r="M4" s="128"/>
      <c r="N4" s="128"/>
    </row>
    <row r="5" spans="1:14" ht="15.75" customHeight="1">
      <c r="A5" s="222" t="s">
        <v>144</v>
      </c>
      <c r="B5" s="223"/>
      <c r="C5" s="223"/>
      <c r="D5" s="223"/>
      <c r="E5" s="223"/>
      <c r="F5" s="223"/>
      <c r="G5" s="223"/>
      <c r="H5" s="223"/>
      <c r="I5" s="224"/>
      <c r="J5" s="128"/>
      <c r="K5" s="213" t="s">
        <v>145</v>
      </c>
      <c r="L5" s="213"/>
      <c r="M5" s="213"/>
      <c r="N5" s="213"/>
    </row>
    <row r="6" spans="1:14">
      <c r="A6" s="225"/>
      <c r="B6" s="226"/>
      <c r="C6" s="226"/>
      <c r="D6" s="226"/>
      <c r="E6" s="226"/>
      <c r="F6" s="226"/>
      <c r="G6" s="226"/>
      <c r="H6" s="226"/>
      <c r="I6" s="227"/>
      <c r="J6" s="128"/>
      <c r="K6" s="213"/>
      <c r="L6" s="213"/>
      <c r="M6" s="213"/>
      <c r="N6" s="213"/>
    </row>
    <row r="7" spans="1:14">
      <c r="A7" s="225"/>
      <c r="B7" s="226"/>
      <c r="C7" s="226"/>
      <c r="D7" s="226"/>
      <c r="E7" s="226"/>
      <c r="F7" s="226"/>
      <c r="G7" s="226"/>
      <c r="H7" s="226"/>
      <c r="I7" s="227"/>
      <c r="J7" s="128"/>
      <c r="K7" s="213"/>
      <c r="L7" s="213"/>
      <c r="M7" s="213"/>
      <c r="N7" s="213"/>
    </row>
    <row r="8" spans="1:14" ht="15.75" customHeight="1">
      <c r="A8" s="225"/>
      <c r="B8" s="226"/>
      <c r="C8" s="226"/>
      <c r="D8" s="226"/>
      <c r="E8" s="226"/>
      <c r="F8" s="226"/>
      <c r="G8" s="226"/>
      <c r="H8" s="226"/>
      <c r="I8" s="227"/>
      <c r="J8" s="128"/>
      <c r="K8" s="213"/>
      <c r="L8" s="213"/>
      <c r="M8" s="213"/>
      <c r="N8" s="213"/>
    </row>
    <row r="9" spans="1:14" ht="15.75" customHeight="1">
      <c r="A9" s="225"/>
      <c r="B9" s="226"/>
      <c r="C9" s="226"/>
      <c r="D9" s="226"/>
      <c r="E9" s="226"/>
      <c r="F9" s="226"/>
      <c r="G9" s="226"/>
      <c r="H9" s="226"/>
      <c r="I9" s="227"/>
      <c r="J9" s="128"/>
      <c r="K9" s="213"/>
      <c r="L9" s="213"/>
      <c r="M9" s="213"/>
      <c r="N9" s="213"/>
    </row>
    <row r="10" spans="1:14" ht="15.75" customHeight="1">
      <c r="A10" s="225"/>
      <c r="B10" s="226"/>
      <c r="C10" s="226"/>
      <c r="D10" s="226"/>
      <c r="E10" s="226"/>
      <c r="F10" s="226"/>
      <c r="G10" s="226"/>
      <c r="H10" s="226"/>
      <c r="I10" s="227"/>
      <c r="J10" s="128"/>
      <c r="K10" s="213"/>
      <c r="L10" s="213"/>
      <c r="M10" s="213"/>
      <c r="N10" s="213"/>
    </row>
    <row r="11" spans="1:14" ht="15.75" customHeight="1">
      <c r="A11" s="225"/>
      <c r="B11" s="226"/>
      <c r="C11" s="226"/>
      <c r="D11" s="226"/>
      <c r="E11" s="226"/>
      <c r="F11" s="226"/>
      <c r="G11" s="226"/>
      <c r="H11" s="226"/>
      <c r="I11" s="227"/>
      <c r="J11" s="128"/>
      <c r="K11" s="213"/>
      <c r="L11" s="213"/>
      <c r="M11" s="213"/>
      <c r="N11" s="213"/>
    </row>
    <row r="12" spans="1:14" ht="15.75" customHeight="1">
      <c r="A12" s="225"/>
      <c r="B12" s="226"/>
      <c r="C12" s="226"/>
      <c r="D12" s="226"/>
      <c r="E12" s="226"/>
      <c r="F12" s="226"/>
      <c r="G12" s="226"/>
      <c r="H12" s="226"/>
      <c r="I12" s="227"/>
      <c r="J12" s="128"/>
      <c r="K12" s="213"/>
      <c r="L12" s="213"/>
      <c r="M12" s="213"/>
      <c r="N12" s="213"/>
    </row>
    <row r="13" spans="1:14" ht="15.75" customHeight="1">
      <c r="A13" s="225"/>
      <c r="B13" s="226"/>
      <c r="C13" s="226"/>
      <c r="D13" s="226"/>
      <c r="E13" s="226"/>
      <c r="F13" s="226"/>
      <c r="G13" s="226"/>
      <c r="H13" s="226"/>
      <c r="I13" s="227"/>
      <c r="J13" s="128"/>
      <c r="K13" s="213"/>
      <c r="L13" s="213"/>
      <c r="M13" s="213"/>
      <c r="N13" s="213"/>
    </row>
    <row r="14" spans="1:14" ht="15.75" customHeight="1">
      <c r="A14" s="225"/>
      <c r="B14" s="226"/>
      <c r="C14" s="226"/>
      <c r="D14" s="226"/>
      <c r="E14" s="226"/>
      <c r="F14" s="226"/>
      <c r="G14" s="226"/>
      <c r="H14" s="226"/>
      <c r="I14" s="227"/>
      <c r="J14" s="128"/>
      <c r="K14" s="213"/>
      <c r="L14" s="213"/>
      <c r="M14" s="213"/>
      <c r="N14" s="213"/>
    </row>
    <row r="15" spans="1:14" ht="15.75" customHeight="1">
      <c r="A15" s="225"/>
      <c r="B15" s="226"/>
      <c r="C15" s="226"/>
      <c r="D15" s="226"/>
      <c r="E15" s="226"/>
      <c r="F15" s="226"/>
      <c r="G15" s="226"/>
      <c r="H15" s="226"/>
      <c r="I15" s="227"/>
      <c r="J15" s="128"/>
      <c r="K15" s="128"/>
      <c r="L15" s="128"/>
      <c r="M15" s="128"/>
      <c r="N15" s="128"/>
    </row>
    <row r="16" spans="1:14" ht="15.75" customHeight="1">
      <c r="A16" s="225"/>
      <c r="B16" s="226"/>
      <c r="C16" s="226"/>
      <c r="D16" s="226"/>
      <c r="E16" s="226"/>
      <c r="F16" s="226"/>
      <c r="G16" s="226"/>
      <c r="H16" s="226"/>
      <c r="I16" s="227"/>
      <c r="J16" s="128"/>
      <c r="K16" s="128"/>
      <c r="L16" s="128"/>
      <c r="M16" s="128"/>
      <c r="N16" s="128"/>
    </row>
    <row r="17" spans="1:14" ht="15.75" customHeight="1">
      <c r="A17" s="225"/>
      <c r="B17" s="226"/>
      <c r="C17" s="226"/>
      <c r="D17" s="226"/>
      <c r="E17" s="226"/>
      <c r="F17" s="226"/>
      <c r="G17" s="226"/>
      <c r="H17" s="226"/>
      <c r="I17" s="227"/>
      <c r="J17" s="128"/>
      <c r="K17" s="128"/>
      <c r="L17" s="128"/>
      <c r="M17" s="128"/>
      <c r="N17" s="128"/>
    </row>
    <row r="18" spans="1:14">
      <c r="A18" s="225"/>
      <c r="B18" s="226"/>
      <c r="C18" s="226"/>
      <c r="D18" s="226"/>
      <c r="E18" s="226"/>
      <c r="F18" s="226"/>
      <c r="G18" s="226"/>
      <c r="H18" s="226"/>
      <c r="I18" s="227"/>
      <c r="J18" s="128"/>
      <c r="K18" s="128"/>
      <c r="L18" s="128"/>
      <c r="M18" s="128"/>
      <c r="N18" s="128"/>
    </row>
    <row r="19" spans="1:14">
      <c r="A19" s="225"/>
      <c r="B19" s="226"/>
      <c r="C19" s="226"/>
      <c r="D19" s="226"/>
      <c r="E19" s="226"/>
      <c r="F19" s="226"/>
      <c r="G19" s="226"/>
      <c r="H19" s="226"/>
      <c r="I19" s="227"/>
      <c r="J19" s="128"/>
      <c r="K19" s="128"/>
      <c r="L19" s="128"/>
      <c r="M19" s="128"/>
      <c r="N19" s="128"/>
    </row>
    <row r="20" spans="1:14">
      <c r="A20" s="225"/>
      <c r="B20" s="226"/>
      <c r="C20" s="226"/>
      <c r="D20" s="226"/>
      <c r="E20" s="226"/>
      <c r="F20" s="226"/>
      <c r="G20" s="226"/>
      <c r="H20" s="226"/>
      <c r="I20" s="227"/>
      <c r="J20" s="128"/>
      <c r="K20" s="128"/>
      <c r="L20" s="128"/>
      <c r="M20" s="128"/>
      <c r="N20" s="128"/>
    </row>
    <row r="21" spans="1:14">
      <c r="A21" s="225"/>
      <c r="B21" s="226"/>
      <c r="C21" s="226"/>
      <c r="D21" s="226"/>
      <c r="E21" s="226"/>
      <c r="F21" s="226"/>
      <c r="G21" s="226"/>
      <c r="H21" s="226"/>
      <c r="I21" s="227"/>
      <c r="J21" s="128"/>
      <c r="K21" s="128"/>
      <c r="L21" s="128"/>
      <c r="M21" s="128"/>
      <c r="N21" s="128"/>
    </row>
    <row r="22" spans="1:14" ht="15.4" customHeight="1">
      <c r="A22" s="225"/>
      <c r="B22" s="226"/>
      <c r="C22" s="226"/>
      <c r="D22" s="226"/>
      <c r="E22" s="226"/>
      <c r="F22" s="226"/>
      <c r="G22" s="226"/>
      <c r="H22" s="226"/>
      <c r="I22" s="227"/>
      <c r="J22" s="128"/>
      <c r="K22" s="158"/>
      <c r="L22" s="158"/>
      <c r="M22" s="158"/>
      <c r="N22" s="158"/>
    </row>
    <row r="23" spans="1:14">
      <c r="A23" s="225"/>
      <c r="B23" s="226"/>
      <c r="C23" s="226"/>
      <c r="D23" s="226"/>
      <c r="E23" s="226"/>
      <c r="F23" s="226"/>
      <c r="G23" s="226"/>
      <c r="H23" s="226"/>
      <c r="I23" s="227"/>
      <c r="J23" s="128"/>
      <c r="K23" s="158"/>
      <c r="L23" s="158"/>
      <c r="M23" s="158"/>
      <c r="N23" s="158"/>
    </row>
    <row r="24" spans="1:14">
      <c r="A24" s="225"/>
      <c r="B24" s="226"/>
      <c r="C24" s="226"/>
      <c r="D24" s="226"/>
      <c r="E24" s="226"/>
      <c r="F24" s="226"/>
      <c r="G24" s="226"/>
      <c r="H24" s="226"/>
      <c r="I24" s="227"/>
      <c r="J24" s="128"/>
      <c r="K24" s="158"/>
      <c r="L24" s="158"/>
      <c r="M24" s="158"/>
      <c r="N24" s="158"/>
    </row>
    <row r="25" spans="1:14">
      <c r="A25" s="225"/>
      <c r="B25" s="226"/>
      <c r="C25" s="226"/>
      <c r="D25" s="226"/>
      <c r="E25" s="226"/>
      <c r="F25" s="226"/>
      <c r="G25" s="226"/>
      <c r="H25" s="226"/>
      <c r="I25" s="227"/>
      <c r="J25" s="128"/>
      <c r="K25" s="158"/>
      <c r="L25" s="158"/>
      <c r="M25" s="158"/>
      <c r="N25" s="158"/>
    </row>
    <row r="26" spans="1:14">
      <c r="A26" s="225"/>
      <c r="B26" s="226"/>
      <c r="C26" s="226"/>
      <c r="D26" s="226"/>
      <c r="E26" s="226"/>
      <c r="F26" s="226"/>
      <c r="G26" s="226"/>
      <c r="H26" s="226"/>
      <c r="I26" s="227"/>
      <c r="J26" s="128"/>
      <c r="K26" s="158"/>
      <c r="L26" s="158"/>
      <c r="M26" s="158"/>
      <c r="N26" s="158"/>
    </row>
    <row r="27" spans="1:14">
      <c r="A27" s="228"/>
      <c r="B27" s="229"/>
      <c r="C27" s="229"/>
      <c r="D27" s="229"/>
      <c r="E27" s="229"/>
      <c r="F27" s="229"/>
      <c r="G27" s="229"/>
      <c r="H27" s="229"/>
      <c r="I27" s="230"/>
      <c r="J27" s="128"/>
      <c r="K27" s="158"/>
      <c r="L27" s="158"/>
      <c r="M27" s="158"/>
      <c r="N27" s="158"/>
    </row>
    <row r="28" spans="1:14">
      <c r="A28" s="128"/>
      <c r="B28" s="128"/>
      <c r="C28" s="128"/>
      <c r="D28" s="128"/>
      <c r="E28" s="128"/>
      <c r="F28" s="128"/>
      <c r="G28" s="128"/>
      <c r="H28" s="128"/>
      <c r="I28" s="128"/>
      <c r="J28" s="128"/>
      <c r="K28" s="158"/>
      <c r="L28" s="158"/>
      <c r="M28" s="158"/>
      <c r="N28" s="158"/>
    </row>
    <row r="29" spans="1:14">
      <c r="A29" s="85" t="s">
        <v>146</v>
      </c>
      <c r="B29" s="153"/>
      <c r="C29" s="153"/>
      <c r="D29" s="153"/>
      <c r="E29" s="153"/>
      <c r="F29" s="153"/>
      <c r="G29" s="153"/>
      <c r="H29" s="153"/>
      <c r="I29" s="154"/>
      <c r="J29" s="128"/>
      <c r="K29" s="158"/>
      <c r="L29" s="158"/>
      <c r="M29" s="158"/>
      <c r="N29" s="158"/>
    </row>
    <row r="30" spans="1:14">
      <c r="A30" s="155"/>
      <c r="B30" s="156"/>
      <c r="C30" s="156"/>
      <c r="D30" s="156"/>
      <c r="E30" s="156"/>
      <c r="F30" s="156"/>
      <c r="G30" s="156"/>
      <c r="H30" s="156"/>
      <c r="I30" s="157"/>
      <c r="J30" s="128"/>
      <c r="K30" s="158"/>
      <c r="L30" s="158"/>
      <c r="M30" s="158"/>
      <c r="N30" s="158"/>
    </row>
    <row r="31" spans="1:14" ht="15" customHeight="1">
      <c r="A31" s="222" t="s">
        <v>147</v>
      </c>
      <c r="B31" s="231"/>
      <c r="C31" s="231"/>
      <c r="D31" s="231"/>
      <c r="E31" s="231"/>
      <c r="F31" s="231"/>
      <c r="G31" s="231"/>
      <c r="H31" s="231"/>
      <c r="I31" s="232"/>
      <c r="J31" s="128"/>
      <c r="K31" s="213" t="s">
        <v>148</v>
      </c>
      <c r="L31" s="213"/>
      <c r="M31" s="213"/>
      <c r="N31" s="213"/>
    </row>
    <row r="32" spans="1:14">
      <c r="A32" s="233"/>
      <c r="B32" s="234"/>
      <c r="C32" s="234"/>
      <c r="D32" s="234"/>
      <c r="E32" s="234"/>
      <c r="F32" s="234"/>
      <c r="G32" s="234"/>
      <c r="H32" s="234"/>
      <c r="I32" s="235"/>
      <c r="J32" s="128"/>
      <c r="K32" s="213"/>
      <c r="L32" s="213"/>
      <c r="M32" s="213"/>
      <c r="N32" s="213"/>
    </row>
    <row r="33" spans="1:14">
      <c r="A33" s="233"/>
      <c r="B33" s="234"/>
      <c r="C33" s="234"/>
      <c r="D33" s="234"/>
      <c r="E33" s="234"/>
      <c r="F33" s="234"/>
      <c r="G33" s="234"/>
      <c r="H33" s="234"/>
      <c r="I33" s="235"/>
      <c r="J33" s="128"/>
      <c r="K33" s="213"/>
      <c r="L33" s="213"/>
      <c r="M33" s="213"/>
      <c r="N33" s="213"/>
    </row>
    <row r="34" spans="1:14">
      <c r="A34" s="233"/>
      <c r="B34" s="234"/>
      <c r="C34" s="234"/>
      <c r="D34" s="234"/>
      <c r="E34" s="234"/>
      <c r="F34" s="234"/>
      <c r="G34" s="234"/>
      <c r="H34" s="234"/>
      <c r="I34" s="235"/>
      <c r="J34" s="128"/>
      <c r="K34" s="213"/>
      <c r="L34" s="213"/>
      <c r="M34" s="213"/>
      <c r="N34" s="213"/>
    </row>
    <row r="35" spans="1:14">
      <c r="A35" s="233"/>
      <c r="B35" s="234"/>
      <c r="C35" s="234"/>
      <c r="D35" s="234"/>
      <c r="E35" s="234"/>
      <c r="F35" s="234"/>
      <c r="G35" s="234"/>
      <c r="H35" s="234"/>
      <c r="I35" s="235"/>
      <c r="J35" s="128"/>
      <c r="K35" s="213"/>
      <c r="L35" s="213"/>
      <c r="M35" s="213"/>
      <c r="N35" s="213"/>
    </row>
    <row r="36" spans="1:14">
      <c r="A36" s="233"/>
      <c r="B36" s="234"/>
      <c r="C36" s="234"/>
      <c r="D36" s="234"/>
      <c r="E36" s="234"/>
      <c r="F36" s="234"/>
      <c r="G36" s="234"/>
      <c r="H36" s="234"/>
      <c r="I36" s="235"/>
      <c r="J36" s="128"/>
      <c r="K36" s="213"/>
      <c r="L36" s="213"/>
      <c r="M36" s="213"/>
      <c r="N36" s="213"/>
    </row>
    <row r="37" spans="1:14">
      <c r="A37" s="233"/>
      <c r="B37" s="234"/>
      <c r="C37" s="234"/>
      <c r="D37" s="234"/>
      <c r="E37" s="234"/>
      <c r="F37" s="234"/>
      <c r="G37" s="234"/>
      <c r="H37" s="234"/>
      <c r="I37" s="235"/>
      <c r="J37" s="128"/>
      <c r="K37" s="213"/>
      <c r="L37" s="213"/>
      <c r="M37" s="213"/>
      <c r="N37" s="213"/>
    </row>
    <row r="38" spans="1:14" ht="14.25" customHeight="1">
      <c r="A38" s="233"/>
      <c r="B38" s="234"/>
      <c r="C38" s="234"/>
      <c r="D38" s="234"/>
      <c r="E38" s="234"/>
      <c r="F38" s="234"/>
      <c r="G38" s="234"/>
      <c r="H38" s="234"/>
      <c r="I38" s="235"/>
      <c r="J38" s="128"/>
      <c r="K38" s="213"/>
      <c r="L38" s="213"/>
      <c r="M38" s="213"/>
      <c r="N38" s="213"/>
    </row>
    <row r="39" spans="1:14">
      <c r="A39" s="233"/>
      <c r="B39" s="234"/>
      <c r="C39" s="234"/>
      <c r="D39" s="234"/>
      <c r="E39" s="234"/>
      <c r="F39" s="234"/>
      <c r="G39" s="234"/>
      <c r="H39" s="234"/>
      <c r="I39" s="235"/>
      <c r="J39" s="128"/>
      <c r="K39" s="213"/>
      <c r="L39" s="213"/>
      <c r="M39" s="213"/>
      <c r="N39" s="213"/>
    </row>
    <row r="40" spans="1:14">
      <c r="A40" s="233"/>
      <c r="B40" s="234"/>
      <c r="C40" s="234"/>
      <c r="D40" s="234"/>
      <c r="E40" s="234"/>
      <c r="F40" s="234"/>
      <c r="G40" s="234"/>
      <c r="H40" s="234"/>
      <c r="I40" s="235"/>
      <c r="J40" s="128"/>
      <c r="K40" s="213"/>
      <c r="L40" s="213"/>
      <c r="M40" s="213"/>
      <c r="N40" s="213"/>
    </row>
    <row r="41" spans="1:14">
      <c r="A41" s="233"/>
      <c r="B41" s="234"/>
      <c r="C41" s="234"/>
      <c r="D41" s="234"/>
      <c r="E41" s="234"/>
      <c r="F41" s="234"/>
      <c r="G41" s="234"/>
      <c r="H41" s="234"/>
      <c r="I41" s="235"/>
      <c r="J41" s="128"/>
      <c r="K41" s="128"/>
      <c r="L41" s="128"/>
      <c r="M41" s="128"/>
      <c r="N41" s="128"/>
    </row>
    <row r="42" spans="1:14">
      <c r="A42" s="233"/>
      <c r="B42" s="234"/>
      <c r="C42" s="234"/>
      <c r="D42" s="234"/>
      <c r="E42" s="234"/>
      <c r="F42" s="234"/>
      <c r="G42" s="234"/>
      <c r="H42" s="234"/>
      <c r="I42" s="235"/>
      <c r="J42" s="128"/>
      <c r="K42" s="128"/>
      <c r="L42" s="128"/>
      <c r="M42" s="128"/>
      <c r="N42" s="128"/>
    </row>
    <row r="43" spans="1:14">
      <c r="A43" s="233"/>
      <c r="B43" s="234"/>
      <c r="C43" s="234"/>
      <c r="D43" s="234"/>
      <c r="E43" s="234"/>
      <c r="F43" s="234"/>
      <c r="G43" s="234"/>
      <c r="H43" s="234"/>
      <c r="I43" s="235"/>
      <c r="J43" s="128"/>
      <c r="K43" s="128"/>
      <c r="L43" s="128"/>
      <c r="M43" s="128"/>
      <c r="N43" s="128"/>
    </row>
    <row r="44" spans="1:14">
      <c r="A44" s="233"/>
      <c r="B44" s="234"/>
      <c r="C44" s="234"/>
      <c r="D44" s="234"/>
      <c r="E44" s="234"/>
      <c r="F44" s="234"/>
      <c r="G44" s="234"/>
      <c r="H44" s="234"/>
      <c r="I44" s="235"/>
      <c r="J44" s="128"/>
      <c r="K44" s="128"/>
      <c r="L44" s="128"/>
      <c r="M44" s="128"/>
      <c r="N44" s="128"/>
    </row>
    <row r="45" spans="1:14">
      <c r="A45" s="233"/>
      <c r="B45" s="234"/>
      <c r="C45" s="234"/>
      <c r="D45" s="234"/>
      <c r="E45" s="234"/>
      <c r="F45" s="234"/>
      <c r="G45" s="234"/>
      <c r="H45" s="234"/>
      <c r="I45" s="235"/>
      <c r="J45" s="128"/>
      <c r="K45" s="128"/>
      <c r="L45" s="128"/>
      <c r="M45" s="128"/>
      <c r="N45" s="128"/>
    </row>
    <row r="46" spans="1:14">
      <c r="A46" s="233"/>
      <c r="B46" s="234"/>
      <c r="C46" s="234"/>
      <c r="D46" s="234"/>
      <c r="E46" s="234"/>
      <c r="F46" s="234"/>
      <c r="G46" s="234"/>
      <c r="H46" s="234"/>
      <c r="I46" s="235"/>
      <c r="J46" s="128"/>
      <c r="K46" s="128"/>
      <c r="L46" s="128"/>
      <c r="M46" s="128"/>
      <c r="N46" s="128"/>
    </row>
    <row r="47" spans="1:14">
      <c r="A47" s="233"/>
      <c r="B47" s="234"/>
      <c r="C47" s="234"/>
      <c r="D47" s="234"/>
      <c r="E47" s="234"/>
      <c r="F47" s="234"/>
      <c r="G47" s="234"/>
      <c r="H47" s="234"/>
      <c r="I47" s="235"/>
      <c r="J47" s="128"/>
      <c r="K47" s="128"/>
      <c r="L47" s="128"/>
      <c r="M47" s="128"/>
      <c r="N47" s="128"/>
    </row>
    <row r="48" spans="1:14">
      <c r="A48" s="233"/>
      <c r="B48" s="234"/>
      <c r="C48" s="234"/>
      <c r="D48" s="234"/>
      <c r="E48" s="234"/>
      <c r="F48" s="234"/>
      <c r="G48" s="234"/>
      <c r="H48" s="234"/>
      <c r="I48" s="235"/>
      <c r="J48" s="128"/>
      <c r="K48" s="128"/>
      <c r="L48" s="128"/>
      <c r="M48" s="128"/>
      <c r="N48" s="128"/>
    </row>
    <row r="49" spans="1:9">
      <c r="A49" s="233"/>
      <c r="B49" s="234"/>
      <c r="C49" s="234"/>
      <c r="D49" s="234"/>
      <c r="E49" s="234"/>
      <c r="F49" s="234"/>
      <c r="G49" s="234"/>
      <c r="H49" s="234"/>
      <c r="I49" s="235"/>
    </row>
    <row r="50" spans="1:9">
      <c r="A50" s="233"/>
      <c r="B50" s="234"/>
      <c r="C50" s="234"/>
      <c r="D50" s="234"/>
      <c r="E50" s="234"/>
      <c r="F50" s="234"/>
      <c r="G50" s="234"/>
      <c r="H50" s="234"/>
      <c r="I50" s="235"/>
    </row>
    <row r="51" spans="1:9">
      <c r="A51" s="233"/>
      <c r="B51" s="234"/>
      <c r="C51" s="234"/>
      <c r="D51" s="234"/>
      <c r="E51" s="234"/>
      <c r="F51" s="234"/>
      <c r="G51" s="234"/>
      <c r="H51" s="234"/>
      <c r="I51" s="235"/>
    </row>
    <row r="52" spans="1:9">
      <c r="A52" s="236"/>
      <c r="B52" s="237"/>
      <c r="C52" s="237"/>
      <c r="D52" s="237"/>
      <c r="E52" s="237"/>
      <c r="F52" s="237"/>
      <c r="G52" s="237"/>
      <c r="H52" s="237"/>
      <c r="I52" s="238"/>
    </row>
    <row r="66" spans="6:6">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showGridLines="0" topLeftCell="A31" zoomScaleNormal="100" workbookViewId="0">
      <selection activeCell="E11" sqref="E11:F11"/>
    </sheetView>
  </sheetViews>
  <sheetFormatPr defaultColWidth="9.28515625" defaultRowHeight="15"/>
  <cols>
    <col min="1" max="16384" width="9.28515625" style="2"/>
  </cols>
  <sheetData>
    <row r="1" spans="1:10" ht="15.6">
      <c r="A1" s="67">
        <f>+'Cover Page'!C39</f>
        <v>2022</v>
      </c>
      <c r="B1" s="68" t="s">
        <v>149</v>
      </c>
      <c r="C1" s="68"/>
      <c r="D1" s="68"/>
      <c r="E1" s="68"/>
      <c r="F1" s="68"/>
      <c r="G1" s="68"/>
      <c r="H1" s="68"/>
      <c r="I1" s="68"/>
      <c r="J1" s="68"/>
    </row>
    <row r="2" spans="1:10" ht="8.25" customHeight="1">
      <c r="A2" s="128"/>
      <c r="B2" s="128"/>
      <c r="C2" s="128"/>
      <c r="D2" s="128"/>
      <c r="E2" s="128"/>
      <c r="F2" s="128"/>
      <c r="G2" s="128"/>
      <c r="H2" s="128"/>
      <c r="I2" s="128"/>
      <c r="J2" s="128"/>
    </row>
    <row r="3" spans="1:10" s="3" customFormat="1" ht="13.9">
      <c r="A3" s="275" t="str">
        <f>+'Cover Page'!B31</f>
        <v>Permit EPR/XP3436WB/V002</v>
      </c>
      <c r="B3" s="275"/>
      <c r="C3" s="275"/>
      <c r="D3" s="275"/>
      <c r="E3" s="275"/>
      <c r="F3" s="3" t="s">
        <v>150</v>
      </c>
      <c r="G3" s="276">
        <f>+'Cover Page'!B37:I37</f>
        <v>0</v>
      </c>
      <c r="H3" s="276"/>
      <c r="I3" s="276"/>
    </row>
    <row r="4" spans="1:10" s="3" customFormat="1" ht="13.9">
      <c r="A4" s="3" t="s">
        <v>151</v>
      </c>
      <c r="B4" s="275" t="str">
        <f>+'Cover Page'!B33:I33</f>
        <v>SUEZ R&amp;R Wilton 11 EfW</v>
      </c>
      <c r="C4" s="275"/>
      <c r="D4" s="275"/>
      <c r="E4" s="275"/>
      <c r="F4" s="3" t="s">
        <v>152</v>
      </c>
      <c r="G4" s="3" t="s">
        <v>153</v>
      </c>
    </row>
    <row r="5" spans="1:10" s="3" customFormat="1" ht="6.75" customHeight="1"/>
    <row r="6" spans="1:10" s="3" customFormat="1" ht="15.75" customHeight="1">
      <c r="A6" s="3" t="s">
        <v>154</v>
      </c>
      <c r="D6" s="277" t="s">
        <v>155</v>
      </c>
      <c r="E6" s="277"/>
      <c r="F6" s="69" t="s">
        <v>156</v>
      </c>
      <c r="G6" s="277" t="s">
        <v>157</v>
      </c>
      <c r="H6" s="277"/>
    </row>
    <row r="7" spans="1:10" s="3" customFormat="1" ht="7.5" customHeight="1"/>
    <row r="8" spans="1:10" s="3" customFormat="1" ht="15.6">
      <c r="A8" s="8">
        <f>+A1</f>
        <v>2022</v>
      </c>
      <c r="B8" s="68" t="s">
        <v>158</v>
      </c>
      <c r="C8"/>
      <c r="D8"/>
      <c r="E8"/>
      <c r="F8"/>
      <c r="G8"/>
    </row>
    <row r="9" spans="1:10" s="3" customFormat="1" ht="28.5" customHeight="1">
      <c r="A9" s="278" t="s">
        <v>159</v>
      </c>
      <c r="B9" s="278"/>
      <c r="C9" s="278" t="s">
        <v>160</v>
      </c>
      <c r="D9" s="278"/>
      <c r="E9" s="278" t="s">
        <v>161</v>
      </c>
      <c r="F9" s="278"/>
      <c r="G9" s="278" t="s">
        <v>162</v>
      </c>
      <c r="H9" s="278"/>
      <c r="I9" s="278" t="s">
        <v>163</v>
      </c>
      <c r="J9" s="278"/>
    </row>
    <row r="10" spans="1:10" s="3" customFormat="1" ht="14.25" customHeight="1">
      <c r="A10" s="239" t="s">
        <v>164</v>
      </c>
      <c r="B10" s="239"/>
      <c r="C10" s="239"/>
      <c r="D10" s="239"/>
      <c r="E10" s="239"/>
      <c r="F10" s="239"/>
      <c r="G10" s="239"/>
      <c r="H10" s="239"/>
      <c r="I10" s="239"/>
      <c r="J10" s="239"/>
    </row>
    <row r="11" spans="1:10" s="3" customFormat="1" ht="14.25" customHeight="1">
      <c r="A11" s="239" t="s">
        <v>165</v>
      </c>
      <c r="B11" s="239"/>
      <c r="C11" s="266" t="s">
        <v>166</v>
      </c>
      <c r="D11" s="266"/>
      <c r="E11" s="267">
        <f>'Operational Data'!G33</f>
        <v>6874</v>
      </c>
      <c r="F11" s="267"/>
      <c r="G11" s="267">
        <v>0</v>
      </c>
      <c r="H11" s="267"/>
      <c r="I11" s="264">
        <f>IF((E11+G11)&gt;0,(E11+G11)/'Operational Data'!$G$21, "-")</f>
        <v>1.9305897651218765E-2</v>
      </c>
      <c r="J11" s="264"/>
    </row>
    <row r="12" spans="1:10" s="3" customFormat="1" ht="14.25" customHeight="1">
      <c r="A12" s="239" t="s">
        <v>167</v>
      </c>
      <c r="B12" s="239"/>
      <c r="C12" s="266"/>
      <c r="D12" s="266"/>
      <c r="E12" s="267"/>
      <c r="F12" s="267"/>
      <c r="G12" s="267"/>
      <c r="H12" s="267"/>
      <c r="I12" s="264" t="str">
        <f>IF((E12+G12)&gt;0,(E12+G12)/'Operational Data'!$G$21, "-")</f>
        <v>-</v>
      </c>
      <c r="J12" s="264"/>
    </row>
    <row r="13" spans="1:10" s="3" customFormat="1" ht="14.25" customHeight="1">
      <c r="A13" s="273"/>
      <c r="B13" s="273"/>
      <c r="C13" s="266"/>
      <c r="D13" s="266"/>
      <c r="E13" s="267"/>
      <c r="F13" s="267"/>
      <c r="G13" s="267"/>
      <c r="H13" s="267"/>
      <c r="I13" s="264" t="str">
        <f>IF((E13+G13)&gt;0,(E13+G13)/'Operational Data'!$G$21, "-")</f>
        <v>-</v>
      </c>
      <c r="J13" s="264"/>
    </row>
    <row r="14" spans="1:10" s="3" customFormat="1" ht="14.25" customHeight="1">
      <c r="A14" s="273"/>
      <c r="B14" s="273"/>
      <c r="C14" s="266"/>
      <c r="D14" s="266"/>
      <c r="E14" s="267"/>
      <c r="F14" s="267"/>
      <c r="G14" s="267"/>
      <c r="H14" s="267"/>
      <c r="I14" s="264" t="str">
        <f>IF((E14+G14)&gt;0,(E14+G14)/'Operational Data'!$G$21, "-")</f>
        <v>-</v>
      </c>
      <c r="J14" s="264"/>
    </row>
    <row r="15" spans="1:10" s="3" customFormat="1" ht="14.25" customHeight="1">
      <c r="A15" s="274" t="s">
        <v>168</v>
      </c>
      <c r="B15" s="274"/>
      <c r="C15" s="274"/>
      <c r="D15" s="274"/>
      <c r="E15" s="269">
        <f>SUM(E11:F14)</f>
        <v>6874</v>
      </c>
      <c r="F15" s="269"/>
      <c r="G15" s="269">
        <f>SUM(G11:H14)</f>
        <v>0</v>
      </c>
      <c r="H15" s="269"/>
      <c r="I15" s="264">
        <f>IF((E15+G15)&gt;0,(E15+G15)/'Operational Data'!$G$21, "-")</f>
        <v>1.9305897651218765E-2</v>
      </c>
      <c r="J15" s="264"/>
    </row>
    <row r="16" spans="1:10" s="3" customFormat="1" ht="14.25" customHeight="1">
      <c r="A16" s="243"/>
      <c r="B16" s="244"/>
      <c r="C16" s="244"/>
      <c r="D16" s="244"/>
      <c r="E16" s="270"/>
      <c r="F16" s="270"/>
      <c r="G16" s="270"/>
      <c r="H16" s="270"/>
      <c r="I16" s="271"/>
      <c r="J16" s="247"/>
    </row>
    <row r="17" spans="1:10" s="3" customFormat="1" ht="14.25" customHeight="1">
      <c r="A17" s="272" t="s">
        <v>169</v>
      </c>
      <c r="B17" s="272"/>
      <c r="C17" s="272"/>
      <c r="D17" s="272"/>
      <c r="E17" s="272"/>
      <c r="F17" s="272"/>
      <c r="G17" s="272"/>
      <c r="H17" s="272"/>
      <c r="I17" s="272"/>
      <c r="J17" s="272"/>
    </row>
    <row r="18" spans="1:10" ht="14.25" customHeight="1">
      <c r="A18" s="239" t="s">
        <v>167</v>
      </c>
      <c r="B18" s="239"/>
      <c r="C18" s="266" t="s">
        <v>170</v>
      </c>
      <c r="D18" s="266"/>
      <c r="E18" s="267">
        <f>'Operational Data'!G34</f>
        <v>82370</v>
      </c>
      <c r="F18" s="267"/>
      <c r="G18" s="267"/>
      <c r="H18" s="267"/>
      <c r="I18" s="264">
        <f>IF((E18+G18)&gt;0,(E18+G18)/'Operational Data'!$G$21, "-")</f>
        <v>0.23133936420292256</v>
      </c>
      <c r="J18" s="264"/>
    </row>
    <row r="19" spans="1:10" s="3" customFormat="1" ht="14.25" customHeight="1">
      <c r="A19" s="239" t="s">
        <v>171</v>
      </c>
      <c r="B19" s="239"/>
      <c r="C19" s="266" t="s">
        <v>170</v>
      </c>
      <c r="D19" s="266"/>
      <c r="E19" s="267">
        <f>'Operational Data'!G35</f>
        <v>13439</v>
      </c>
      <c r="F19" s="267"/>
      <c r="G19" s="267"/>
      <c r="H19" s="267"/>
      <c r="I19" s="264">
        <f>IF((E19+G19)&gt;0,(E19+G19)/'Operational Data'!$G$21, "-")</f>
        <v>3.7743956726029822E-2</v>
      </c>
      <c r="J19" s="264"/>
    </row>
    <row r="20" spans="1:10" s="3" customFormat="1" ht="14.25" customHeight="1">
      <c r="A20" s="239" t="s">
        <v>172</v>
      </c>
      <c r="B20" s="239"/>
      <c r="C20" s="266"/>
      <c r="D20" s="266"/>
      <c r="E20" s="267"/>
      <c r="F20" s="267"/>
      <c r="G20" s="267"/>
      <c r="H20" s="267"/>
      <c r="I20" s="264" t="str">
        <f>IF((E20+G20)&gt;0,(E20+G20)/'Operational Data'!$G$21, "-")</f>
        <v>-</v>
      </c>
      <c r="J20" s="264"/>
    </row>
    <row r="21" spans="1:10" s="3" customFormat="1" ht="14.25" customHeight="1">
      <c r="A21" s="265"/>
      <c r="B21" s="265"/>
      <c r="C21" s="266"/>
      <c r="D21" s="266"/>
      <c r="E21" s="267"/>
      <c r="F21" s="267"/>
      <c r="G21" s="267"/>
      <c r="H21" s="267"/>
      <c r="I21" s="264" t="str">
        <f>IF((E21+G21)&gt;0,(E21+G21)/'Operational Data'!$G$21, "-")</f>
        <v>-</v>
      </c>
      <c r="J21" s="264"/>
    </row>
    <row r="22" spans="1:10" s="3" customFormat="1" ht="14.25" customHeight="1">
      <c r="A22" s="265"/>
      <c r="B22" s="265"/>
      <c r="C22" s="266"/>
      <c r="D22" s="266"/>
      <c r="E22" s="267"/>
      <c r="F22" s="267"/>
      <c r="G22" s="267"/>
      <c r="H22" s="267"/>
      <c r="I22" s="264" t="str">
        <f>IF((E22+G22)&gt;0,(E22+G22)/'Operational Data'!$G$21, "-")</f>
        <v>-</v>
      </c>
      <c r="J22" s="264"/>
    </row>
    <row r="23" spans="1:10" s="3" customFormat="1" ht="14.25" customHeight="1">
      <c r="A23" s="268" t="s">
        <v>173</v>
      </c>
      <c r="B23" s="268"/>
      <c r="C23" s="268"/>
      <c r="D23" s="268"/>
      <c r="E23" s="269">
        <f>SUM(E18:F22)</f>
        <v>95809</v>
      </c>
      <c r="F23" s="269"/>
      <c r="G23" s="269">
        <f>SUM(G18:H22)</f>
        <v>0</v>
      </c>
      <c r="H23" s="269"/>
      <c r="I23" s="264">
        <f>IF((E23+G23)&gt;0,(E23+G23)/'Operational Data'!$G$21, "-")</f>
        <v>0.26908332092895237</v>
      </c>
      <c r="J23" s="264"/>
    </row>
    <row r="24" spans="1:10" s="3" customFormat="1" ht="14.25" customHeight="1">
      <c r="A24" s="262" t="s">
        <v>174</v>
      </c>
      <c r="B24" s="262"/>
      <c r="C24" s="262"/>
      <c r="D24" s="262"/>
      <c r="E24" s="263">
        <f>+E23+E15</f>
        <v>102683</v>
      </c>
      <c r="F24" s="263"/>
      <c r="G24" s="263">
        <f>+G23+G15</f>
        <v>0</v>
      </c>
      <c r="H24" s="263"/>
      <c r="I24" s="264">
        <f>IF((E24+G24)&gt;0,(E24+G24)/'Operational Data'!$G$21, "-")</f>
        <v>0.28838921858017114</v>
      </c>
      <c r="J24" s="264"/>
    </row>
    <row r="25" spans="1:10" s="3" customFormat="1" ht="8.25" customHeight="1">
      <c r="A25" s="70"/>
      <c r="B25"/>
      <c r="C25"/>
      <c r="D25"/>
      <c r="E25"/>
      <c r="F25"/>
      <c r="G25"/>
    </row>
    <row r="26" spans="1:10" s="3" customFormat="1" ht="14.25" customHeight="1">
      <c r="A26" s="240" t="s">
        <v>175</v>
      </c>
      <c r="B26" s="240"/>
      <c r="C26" s="240"/>
      <c r="D26" s="240"/>
      <c r="E26" s="240"/>
      <c r="F26" s="240"/>
      <c r="G26" s="240"/>
      <c r="H26" s="240"/>
      <c r="I26" s="240"/>
      <c r="J26" s="240"/>
    </row>
    <row r="27" spans="1:10" s="3" customFormat="1" ht="14.25" customHeight="1">
      <c r="A27" s="241"/>
      <c r="B27" s="241"/>
      <c r="C27" s="241"/>
      <c r="D27" s="241"/>
      <c r="E27" s="241"/>
      <c r="F27" s="241"/>
      <c r="G27" s="241"/>
      <c r="H27" s="241"/>
      <c r="I27" s="241"/>
      <c r="J27" s="241"/>
    </row>
    <row r="28" spans="1:10" s="3" customFormat="1" ht="14.25" customHeight="1">
      <c r="A28" s="241"/>
      <c r="B28" s="241"/>
      <c r="C28" s="241"/>
      <c r="D28" s="241"/>
      <c r="E28" s="241"/>
      <c r="F28" s="241"/>
      <c r="G28" s="241"/>
      <c r="H28" s="241"/>
      <c r="I28" s="241"/>
      <c r="J28" s="241"/>
    </row>
    <row r="29" spans="1:10" s="3" customFormat="1" ht="14.25" customHeight="1">
      <c r="A29" s="241"/>
      <c r="B29" s="241"/>
      <c r="C29" s="241"/>
      <c r="D29" s="241"/>
      <c r="E29" s="241"/>
      <c r="F29" s="241"/>
      <c r="G29" s="241"/>
      <c r="H29" s="241"/>
      <c r="I29" s="241"/>
      <c r="J29" s="241"/>
    </row>
    <row r="30" spans="1:10" s="3" customFormat="1" ht="14.25" customHeight="1">
      <c r="A30" s="70"/>
      <c r="B30"/>
      <c r="C30"/>
      <c r="D30"/>
      <c r="E30"/>
      <c r="F30"/>
      <c r="G30"/>
    </row>
    <row r="31" spans="1:10" s="3" customFormat="1" ht="14.25" customHeight="1">
      <c r="A31" s="1">
        <f>+A1</f>
        <v>2022</v>
      </c>
      <c r="B31" s="68" t="s">
        <v>176</v>
      </c>
      <c r="C31" s="68"/>
      <c r="D31" s="68"/>
      <c r="E31" s="68"/>
      <c r="F31" s="68"/>
    </row>
    <row r="32" spans="1:10" s="3" customFormat="1" ht="24.75" customHeight="1">
      <c r="A32" s="257" t="s">
        <v>177</v>
      </c>
      <c r="B32" s="258"/>
      <c r="C32" s="258"/>
      <c r="D32" s="259"/>
      <c r="E32" s="71" t="s">
        <v>178</v>
      </c>
      <c r="F32" s="72"/>
      <c r="G32" s="73" t="s">
        <v>73</v>
      </c>
      <c r="H32" s="260" t="s">
        <v>179</v>
      </c>
      <c r="I32" s="261"/>
      <c r="J32" s="74" t="s">
        <v>73</v>
      </c>
    </row>
    <row r="33" spans="1:10" s="3" customFormat="1" ht="14.25" customHeight="1">
      <c r="A33" s="243" t="s">
        <v>117</v>
      </c>
      <c r="B33" s="244"/>
      <c r="C33" s="244"/>
      <c r="D33" s="245"/>
      <c r="E33" s="246">
        <f>+'Operational Data'!G41</f>
        <v>0</v>
      </c>
      <c r="F33" s="247"/>
      <c r="G33" s="75" t="s">
        <v>118</v>
      </c>
      <c r="H33" s="248" t="str">
        <f>IF(E33&gt;0,E33/'Operational Data'!$G$21,"-")</f>
        <v>-</v>
      </c>
      <c r="I33" s="249"/>
      <c r="J33" s="75" t="s">
        <v>180</v>
      </c>
    </row>
    <row r="34" spans="1:10" s="3" customFormat="1" ht="14.25" customHeight="1">
      <c r="A34" s="243" t="s">
        <v>181</v>
      </c>
      <c r="B34" s="244"/>
      <c r="C34" s="244"/>
      <c r="D34" s="245"/>
      <c r="E34" s="246">
        <f>+'Operational Data'!G42+'Operational Data'!G41</f>
        <v>0</v>
      </c>
      <c r="F34" s="247"/>
      <c r="G34" s="75" t="s">
        <v>118</v>
      </c>
      <c r="H34" s="248" t="str">
        <f>IF(E34&gt;0,E34/'Operational Data'!$G$21,"-")</f>
        <v>-</v>
      </c>
      <c r="I34" s="249"/>
      <c r="J34" s="75" t="s">
        <v>180</v>
      </c>
    </row>
    <row r="35" spans="1:10" s="3" customFormat="1" ht="14.25" customHeight="1">
      <c r="A35" s="243" t="s">
        <v>182</v>
      </c>
      <c r="B35" s="244"/>
      <c r="C35" s="244"/>
      <c r="D35" s="245"/>
      <c r="E35" s="246">
        <f>+'Operational Data'!G43</f>
        <v>1458300</v>
      </c>
      <c r="F35" s="247"/>
      <c r="G35" s="75" t="s">
        <v>183</v>
      </c>
      <c r="H35" s="248">
        <f>IF(E35&gt;0,E35/'Operational Data'!$G$21,"-")</f>
        <v>4.0956925436095908</v>
      </c>
      <c r="I35" s="249"/>
      <c r="J35" s="75" t="s">
        <v>184</v>
      </c>
    </row>
    <row r="36" spans="1:10" s="3" customFormat="1" ht="14.25" customHeight="1">
      <c r="A36" s="243" t="s">
        <v>122</v>
      </c>
      <c r="B36" s="244"/>
      <c r="C36" s="244"/>
      <c r="D36" s="245"/>
      <c r="E36" s="246">
        <f>+'Operational Data'!G44</f>
        <v>70280</v>
      </c>
      <c r="F36" s="247"/>
      <c r="G36" s="75" t="s">
        <v>183</v>
      </c>
      <c r="H36" s="248">
        <f>IF(E36&gt;0,E36/'Operational Data'!$G$21,"-")</f>
        <v>0.19738412669881508</v>
      </c>
      <c r="I36" s="249"/>
      <c r="J36" s="75" t="s">
        <v>184</v>
      </c>
    </row>
    <row r="37" spans="1:10" s="3" customFormat="1" ht="14.25" customHeight="1">
      <c r="A37" s="243" t="s">
        <v>185</v>
      </c>
      <c r="B37" s="244"/>
      <c r="C37" s="244"/>
      <c r="D37" s="245"/>
      <c r="E37" s="246">
        <f>+'Operational Data'!G45</f>
        <v>3071780</v>
      </c>
      <c r="F37" s="247"/>
      <c r="G37" s="75" t="s">
        <v>183</v>
      </c>
      <c r="H37" s="248">
        <f>IF(E37&gt;0,E37/'Operational Data'!$G$21,"-")</f>
        <v>8.6272141819989496</v>
      </c>
      <c r="I37" s="249"/>
      <c r="J37" s="75" t="s">
        <v>184</v>
      </c>
    </row>
    <row r="38" spans="1:10" s="3" customFormat="1" ht="14.25" customHeight="1">
      <c r="A38" s="250"/>
      <c r="B38" s="251"/>
      <c r="C38" s="251"/>
      <c r="D38" s="252"/>
      <c r="E38" s="253"/>
      <c r="F38" s="254"/>
      <c r="G38" s="76"/>
      <c r="H38" s="255"/>
      <c r="I38" s="256"/>
      <c r="J38" s="76"/>
    </row>
    <row r="39" spans="1:10" s="3" customFormat="1" ht="14.25" customHeight="1">
      <c r="A39" s="240" t="s">
        <v>175</v>
      </c>
      <c r="B39" s="240"/>
      <c r="C39" s="240"/>
      <c r="D39" s="240"/>
      <c r="E39" s="240"/>
      <c r="F39" s="240"/>
      <c r="G39" s="240"/>
      <c r="H39" s="240"/>
      <c r="I39" s="240"/>
      <c r="J39" s="240"/>
    </row>
    <row r="40" spans="1:10" s="3" customFormat="1" ht="14.25" customHeight="1">
      <c r="A40" s="241"/>
      <c r="B40" s="241"/>
      <c r="C40" s="241"/>
      <c r="D40" s="241"/>
      <c r="E40" s="241"/>
      <c r="F40" s="241"/>
      <c r="G40" s="241"/>
      <c r="H40" s="241"/>
      <c r="I40" s="241"/>
      <c r="J40" s="241"/>
    </row>
    <row r="41" spans="1:10" s="3" customFormat="1" ht="14.25" customHeight="1">
      <c r="A41" s="241"/>
      <c r="B41" s="241"/>
      <c r="C41" s="241"/>
      <c r="D41" s="241"/>
      <c r="E41" s="241"/>
      <c r="F41" s="241"/>
      <c r="G41" s="241"/>
      <c r="H41" s="241"/>
      <c r="I41" s="241"/>
      <c r="J41" s="241"/>
    </row>
    <row r="42" spans="1:10" s="3" customFormat="1" ht="14.25" customHeight="1">
      <c r="A42" s="77"/>
      <c r="B42" s="77"/>
      <c r="C42" s="77"/>
      <c r="D42" s="77"/>
      <c r="E42" s="77"/>
      <c r="F42" s="77"/>
      <c r="G42" s="77"/>
      <c r="H42" s="77"/>
      <c r="I42" s="77"/>
      <c r="J42" s="77"/>
    </row>
    <row r="43" spans="1:10" s="3" customFormat="1" ht="14.25" customHeight="1">
      <c r="A43" s="68">
        <f>+A31</f>
        <v>2022</v>
      </c>
      <c r="B43" s="68" t="s">
        <v>186</v>
      </c>
      <c r="C43" s="68"/>
      <c r="D43" s="68"/>
      <c r="E43" s="68"/>
      <c r="F43" s="68"/>
      <c r="G43" s="128"/>
    </row>
    <row r="44" spans="1:10" ht="14.25" customHeight="1">
      <c r="A44" s="242" t="s">
        <v>187</v>
      </c>
      <c r="B44" s="242"/>
      <c r="C44" s="242" t="s">
        <v>188</v>
      </c>
      <c r="D44" s="242"/>
      <c r="E44" s="242"/>
      <c r="F44" s="242"/>
      <c r="G44" s="242"/>
      <c r="H44" s="242"/>
      <c r="I44" s="242"/>
      <c r="J44" s="242"/>
    </row>
    <row r="45" spans="1:10" ht="14.25" customHeight="1">
      <c r="A45" s="78"/>
      <c r="B45" s="78"/>
      <c r="C45" s="141" t="s">
        <v>189</v>
      </c>
      <c r="D45" s="141" t="s">
        <v>190</v>
      </c>
      <c r="E45" s="141" t="s">
        <v>191</v>
      </c>
      <c r="F45" s="141" t="s">
        <v>192</v>
      </c>
      <c r="G45" s="141" t="s">
        <v>193</v>
      </c>
      <c r="H45" s="141"/>
      <c r="I45" s="141" t="s">
        <v>194</v>
      </c>
      <c r="J45" s="141" t="s">
        <v>195</v>
      </c>
    </row>
    <row r="46" spans="1:10" ht="31.5" customHeight="1">
      <c r="A46" s="239" t="s">
        <v>196</v>
      </c>
      <c r="B46" s="239"/>
      <c r="C46" s="142">
        <f>'Operational Data'!G51</f>
        <v>6145.0999999999995</v>
      </c>
      <c r="D46" s="142">
        <f>'Operational Data'!G52</f>
        <v>6110.4000000000005</v>
      </c>
      <c r="E46" s="142"/>
      <c r="F46" s="159"/>
      <c r="G46" s="159"/>
      <c r="H46" s="159"/>
      <c r="I46" s="159"/>
      <c r="J46" s="159"/>
    </row>
    <row r="47" spans="1:10" ht="43.5" customHeight="1">
      <c r="A47" s="239" t="s">
        <v>197</v>
      </c>
      <c r="B47" s="239"/>
      <c r="C47" s="142">
        <v>0</v>
      </c>
      <c r="D47" s="142">
        <v>0</v>
      </c>
      <c r="E47" s="142"/>
      <c r="F47" s="159"/>
      <c r="G47" s="159"/>
      <c r="H47" s="159"/>
      <c r="I47" s="159"/>
      <c r="J47" s="159"/>
    </row>
    <row r="48" spans="1:10" ht="42.75" customHeight="1">
      <c r="A48" s="239" t="s">
        <v>198</v>
      </c>
      <c r="B48" s="239"/>
      <c r="C48" s="142">
        <v>0</v>
      </c>
      <c r="D48" s="142">
        <v>0</v>
      </c>
      <c r="E48" s="142"/>
      <c r="F48" s="159"/>
      <c r="G48" s="159"/>
      <c r="H48" s="159"/>
      <c r="I48" s="159"/>
      <c r="J48" s="159"/>
    </row>
    <row r="49" spans="1:10" ht="8.25" customHeight="1">
      <c r="A49" s="128"/>
      <c r="B49" s="128"/>
      <c r="C49" s="128"/>
      <c r="D49" s="128"/>
      <c r="E49" s="128"/>
      <c r="F49" s="128"/>
      <c r="G49" s="128"/>
      <c r="H49" s="128"/>
      <c r="I49" s="128"/>
      <c r="J49" s="128"/>
    </row>
    <row r="50" spans="1:10">
      <c r="A50" s="240" t="s">
        <v>175</v>
      </c>
      <c r="B50" s="240"/>
      <c r="C50" s="240"/>
      <c r="D50" s="240"/>
      <c r="E50" s="240"/>
      <c r="F50" s="240"/>
      <c r="G50" s="240"/>
      <c r="H50" s="240"/>
      <c r="I50" s="240"/>
      <c r="J50" s="240"/>
    </row>
    <row r="51" spans="1:10">
      <c r="A51" s="241"/>
      <c r="B51" s="241"/>
      <c r="C51" s="241"/>
      <c r="D51" s="241"/>
      <c r="E51" s="241"/>
      <c r="F51" s="241"/>
      <c r="G51" s="241"/>
      <c r="H51" s="241"/>
      <c r="I51" s="241"/>
      <c r="J51" s="241"/>
    </row>
    <row r="52" spans="1:10">
      <c r="A52" s="241"/>
      <c r="B52" s="241"/>
      <c r="C52" s="241"/>
      <c r="D52" s="241"/>
      <c r="E52" s="241"/>
      <c r="F52" s="241"/>
      <c r="G52" s="241"/>
      <c r="H52" s="241"/>
      <c r="I52" s="241"/>
      <c r="J52" s="241"/>
    </row>
    <row r="54" spans="1:10">
      <c r="A54" s="3" t="s">
        <v>199</v>
      </c>
      <c r="B54" s="79"/>
      <c r="C54" s="79"/>
      <c r="D54" s="79"/>
      <c r="E54" s="79"/>
      <c r="F54" s="3"/>
      <c r="G54" s="3" t="s">
        <v>200</v>
      </c>
      <c r="H54" s="79"/>
      <c r="I54" s="79"/>
      <c r="J54" s="128"/>
    </row>
    <row r="62" spans="1:10">
      <c r="A62" s="128"/>
      <c r="B62" s="128"/>
      <c r="C62" s="128"/>
      <c r="D62" s="128"/>
      <c r="E62" s="128"/>
      <c r="F62" s="3"/>
      <c r="G62" s="128"/>
      <c r="H62" s="128"/>
      <c r="I62" s="128"/>
      <c r="J62" s="128"/>
    </row>
  </sheetData>
  <mergeCells count="105">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7" right="0.7"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showGridLines="0" topLeftCell="A10" zoomScaleNormal="100" workbookViewId="0">
      <selection activeCell="G13" sqref="G13:I13"/>
    </sheetView>
  </sheetViews>
  <sheetFormatPr defaultColWidth="9.28515625" defaultRowHeight="15"/>
  <cols>
    <col min="1" max="1" width="9.42578125" style="2" bestFit="1" customWidth="1"/>
    <col min="2" max="16384" width="9.28515625" style="2"/>
  </cols>
  <sheetData>
    <row r="1" spans="1:10" ht="15.6">
      <c r="A1" s="67">
        <f>+'Cover Page'!C39</f>
        <v>2022</v>
      </c>
      <c r="B1" s="68" t="s">
        <v>201</v>
      </c>
      <c r="C1" s="68"/>
      <c r="D1" s="68"/>
      <c r="E1" s="68"/>
      <c r="F1" s="68"/>
      <c r="G1" s="68"/>
      <c r="H1" s="68"/>
      <c r="I1" s="68"/>
      <c r="J1" s="68"/>
    </row>
    <row r="3" spans="1:10" s="3" customFormat="1" ht="15" customHeight="1">
      <c r="A3" s="3" t="str">
        <f>+'Cover Page'!B31</f>
        <v>Permit EPR/XP3436WB/V002</v>
      </c>
      <c r="F3" s="3" t="s">
        <v>150</v>
      </c>
      <c r="G3" s="286">
        <f>+'Cover Page'!B37:I37</f>
        <v>0</v>
      </c>
      <c r="H3" s="286"/>
      <c r="I3" s="286"/>
    </row>
    <row r="4" spans="1:10" s="3" customFormat="1" ht="13.9"/>
    <row r="5" spans="1:10" s="3" customFormat="1" ht="13.9">
      <c r="A5" s="3" t="s">
        <v>151</v>
      </c>
      <c r="B5" s="275" t="str">
        <f>+'Cover Page'!B33:I33</f>
        <v>SUEZ R&amp;R Wilton 11 EfW</v>
      </c>
      <c r="C5" s="275"/>
      <c r="D5" s="275"/>
      <c r="E5" s="275"/>
      <c r="F5" s="3" t="s">
        <v>152</v>
      </c>
      <c r="G5" s="3" t="s">
        <v>202</v>
      </c>
    </row>
    <row r="6" spans="1:10" s="3" customFormat="1" ht="13.9"/>
    <row r="7" spans="1:10" s="3" customFormat="1" ht="15.75" customHeight="1">
      <c r="A7" s="3" t="s">
        <v>154</v>
      </c>
      <c r="D7" s="287" t="str">
        <f>+'Perf. Form 1'!D6:E6</f>
        <v>January</v>
      </c>
      <c r="E7" s="287"/>
      <c r="F7" s="69" t="s">
        <v>156</v>
      </c>
      <c r="G7" s="287" t="str">
        <f>+'Perf. Form 1'!G6:H6</f>
        <v>December</v>
      </c>
      <c r="H7" s="287"/>
    </row>
    <row r="8" spans="1:10" s="3" customFormat="1" ht="14.45">
      <c r="B8"/>
      <c r="C8"/>
      <c r="D8"/>
    </row>
    <row r="9" spans="1:10" s="3" customFormat="1" ht="37.5" customHeight="1">
      <c r="A9" s="242" t="s">
        <v>203</v>
      </c>
      <c r="B9" s="242"/>
      <c r="C9" s="242"/>
      <c r="D9" s="278" t="s">
        <v>204</v>
      </c>
      <c r="E9" s="278"/>
      <c r="F9" s="141" t="s">
        <v>73</v>
      </c>
      <c r="G9" s="242" t="s">
        <v>205</v>
      </c>
      <c r="H9" s="242"/>
      <c r="I9" s="242"/>
    </row>
    <row r="10" spans="1:10" s="3" customFormat="1" ht="24.75" customHeight="1">
      <c r="A10" s="239" t="s">
        <v>206</v>
      </c>
      <c r="B10" s="239"/>
      <c r="C10" s="239"/>
      <c r="D10" s="280">
        <f>+'Operational Data'!G23</f>
        <v>144922</v>
      </c>
      <c r="E10" s="280"/>
      <c r="F10" s="144" t="s">
        <v>98</v>
      </c>
      <c r="G10" s="281">
        <f>+'Operational Data'!H23</f>
        <v>407.0191008742982</v>
      </c>
      <c r="H10" s="281"/>
      <c r="I10" s="281"/>
    </row>
    <row r="11" spans="1:10" s="3" customFormat="1" ht="24.75" customHeight="1">
      <c r="A11" s="239" t="s">
        <v>207</v>
      </c>
      <c r="B11" s="239"/>
      <c r="C11" s="239"/>
      <c r="D11" s="282">
        <f>+'Operational Data'!G26</f>
        <v>1584</v>
      </c>
      <c r="E11" s="282"/>
      <c r="F11" s="144" t="s">
        <v>98</v>
      </c>
      <c r="G11" s="281">
        <f>+'Operational Data'!H26</f>
        <v>4.4487259062453486</v>
      </c>
      <c r="H11" s="281"/>
      <c r="I11" s="281"/>
    </row>
    <row r="12" spans="1:10" s="3" customFormat="1" ht="24.75" customHeight="1">
      <c r="A12" s="239" t="s">
        <v>208</v>
      </c>
      <c r="B12" s="239"/>
      <c r="C12" s="239"/>
      <c r="D12" s="280">
        <f>+'Operational Data'!G24</f>
        <v>113866</v>
      </c>
      <c r="E12" s="280"/>
      <c r="F12" s="144" t="s">
        <v>98</v>
      </c>
      <c r="G12" s="281">
        <f>+'Operational Data'!H24</f>
        <v>319.79711113670004</v>
      </c>
      <c r="H12" s="281"/>
      <c r="I12" s="281"/>
    </row>
    <row r="13" spans="1:10" s="3" customFormat="1" ht="24.75" customHeight="1">
      <c r="A13" s="239" t="s">
        <v>126</v>
      </c>
      <c r="B13" s="239"/>
      <c r="C13" s="239"/>
      <c r="D13" s="282">
        <f>'Operational Data'!G47</f>
        <v>10416</v>
      </c>
      <c r="E13" s="282"/>
      <c r="F13" s="144" t="s">
        <v>81</v>
      </c>
      <c r="G13" s="283">
        <f>'Operational Data'!H47</f>
        <v>2.9253743080461837E-2</v>
      </c>
      <c r="H13" s="284"/>
      <c r="I13" s="285"/>
    </row>
    <row r="14" spans="1:10" s="3" customFormat="1" ht="24.75" customHeight="1">
      <c r="A14" s="239" t="s">
        <v>209</v>
      </c>
      <c r="B14" s="239"/>
      <c r="C14" s="239"/>
      <c r="D14" s="280">
        <f>+'Operational Data'!G29</f>
        <v>0</v>
      </c>
      <c r="E14" s="280"/>
      <c r="F14" s="144" t="s">
        <v>210</v>
      </c>
      <c r="G14" s="281" t="str">
        <f>+'Operational Data'!H29</f>
        <v>-</v>
      </c>
      <c r="H14" s="281"/>
      <c r="I14" s="281"/>
    </row>
    <row r="15" spans="1:10" s="3" customFormat="1" ht="24.75" customHeight="1">
      <c r="A15" s="273"/>
      <c r="B15" s="273"/>
      <c r="C15" s="273"/>
      <c r="D15" s="273"/>
      <c r="E15" s="273"/>
      <c r="F15" s="140"/>
      <c r="G15" s="192"/>
      <c r="H15" s="192"/>
      <c r="I15" s="192"/>
    </row>
    <row r="16" spans="1:10" s="3" customFormat="1" ht="24.75" customHeight="1">
      <c r="A16" s="273"/>
      <c r="B16" s="273"/>
      <c r="C16" s="273"/>
      <c r="D16" s="273"/>
      <c r="E16" s="273"/>
      <c r="F16" s="140"/>
      <c r="G16" s="192"/>
      <c r="H16" s="192"/>
      <c r="I16" s="192"/>
    </row>
    <row r="17" spans="1:9" s="3" customFormat="1" ht="14.45">
      <c r="A17" s="80"/>
      <c r="B17"/>
      <c r="C17"/>
      <c r="D17"/>
    </row>
    <row r="18" spans="1:9" s="3" customFormat="1" ht="24" customHeight="1">
      <c r="A18" s="240" t="s">
        <v>175</v>
      </c>
      <c r="B18" s="240"/>
      <c r="C18" s="240"/>
      <c r="D18" s="240"/>
      <c r="E18" s="240"/>
      <c r="F18" s="240"/>
      <c r="G18" s="240"/>
      <c r="H18" s="240"/>
      <c r="I18" s="240"/>
    </row>
    <row r="19" spans="1:9" s="3" customFormat="1" ht="13.9">
      <c r="A19" s="279"/>
      <c r="B19" s="279"/>
      <c r="C19" s="279"/>
      <c r="D19" s="279"/>
      <c r="E19" s="279"/>
      <c r="F19" s="279"/>
      <c r="G19" s="279"/>
      <c r="H19" s="279"/>
      <c r="I19" s="279"/>
    </row>
    <row r="20" spans="1:9" s="3" customFormat="1" ht="13.9">
      <c r="A20" s="279"/>
      <c r="B20" s="279"/>
      <c r="C20" s="279"/>
      <c r="D20" s="279"/>
      <c r="E20" s="279"/>
      <c r="F20" s="279"/>
      <c r="G20" s="279"/>
      <c r="H20" s="279"/>
      <c r="I20" s="279"/>
    </row>
    <row r="21" spans="1:9" s="3" customFormat="1" ht="13.9">
      <c r="A21" s="279"/>
      <c r="B21" s="279"/>
      <c r="C21" s="279"/>
      <c r="D21" s="279"/>
      <c r="E21" s="279"/>
      <c r="F21" s="279"/>
      <c r="G21" s="279"/>
      <c r="H21" s="279"/>
      <c r="I21" s="279"/>
    </row>
    <row r="22" spans="1:9" s="3" customFormat="1" ht="13.9">
      <c r="A22" s="279"/>
      <c r="B22" s="279"/>
      <c r="C22" s="279"/>
      <c r="D22" s="279"/>
      <c r="E22" s="279"/>
      <c r="F22" s="279"/>
      <c r="G22" s="279"/>
      <c r="H22" s="279"/>
      <c r="I22" s="279"/>
    </row>
    <row r="23" spans="1:9" s="3" customFormat="1" ht="13.9">
      <c r="A23" s="279"/>
      <c r="B23" s="279"/>
      <c r="C23" s="279"/>
      <c r="D23" s="279"/>
      <c r="E23" s="279"/>
      <c r="F23" s="279"/>
      <c r="G23" s="279"/>
      <c r="H23" s="279"/>
      <c r="I23" s="279"/>
    </row>
    <row r="24" spans="1:9" s="3" customFormat="1" ht="13.9">
      <c r="A24" s="279"/>
      <c r="B24" s="279"/>
      <c r="C24" s="279"/>
      <c r="D24" s="279"/>
      <c r="E24" s="279"/>
      <c r="F24" s="279"/>
      <c r="G24" s="279"/>
      <c r="H24" s="279"/>
      <c r="I24" s="279"/>
    </row>
    <row r="25" spans="1:9" s="3" customFormat="1" ht="13.9">
      <c r="A25" s="279"/>
      <c r="B25" s="279"/>
      <c r="C25" s="279"/>
      <c r="D25" s="279"/>
      <c r="E25" s="279"/>
      <c r="F25" s="279"/>
      <c r="G25" s="279"/>
      <c r="H25" s="279"/>
      <c r="I25" s="279"/>
    </row>
    <row r="26" spans="1:9" s="3" customFormat="1" ht="13.9">
      <c r="A26" s="77"/>
      <c r="B26" s="77"/>
      <c r="C26" s="77"/>
      <c r="D26" s="77"/>
      <c r="E26" s="77"/>
      <c r="F26" s="77"/>
      <c r="G26" s="77"/>
      <c r="H26" s="77"/>
      <c r="I26" s="77"/>
    </row>
    <row r="27" spans="1:9" s="3" customFormat="1" ht="13.9"/>
    <row r="28" spans="1:9" s="3" customFormat="1" ht="13.9"/>
    <row r="29" spans="1:9" s="3" customFormat="1" ht="13.9">
      <c r="A29" s="3" t="s">
        <v>199</v>
      </c>
      <c r="B29" s="79"/>
      <c r="C29" s="79"/>
      <c r="D29" s="79"/>
      <c r="E29" s="79"/>
      <c r="G29" s="3" t="s">
        <v>200</v>
      </c>
      <c r="H29" s="79"/>
      <c r="I29" s="79"/>
    </row>
    <row r="30" spans="1:9" s="3" customFormat="1" ht="13.9"/>
    <row r="31" spans="1:9" ht="14.25" customHeight="1">
      <c r="A31" s="3"/>
      <c r="B31" s="3"/>
      <c r="C31" s="3"/>
      <c r="D31" s="3"/>
      <c r="E31" s="3"/>
      <c r="F31" s="3"/>
      <c r="G31" s="3"/>
      <c r="H31" s="3"/>
      <c r="I31" s="3"/>
    </row>
    <row r="32" spans="1:9" s="3" customFormat="1" ht="13.9"/>
    <row r="33" spans="1:9" s="3" customFormat="1" ht="13.9"/>
    <row r="34" spans="1:9" s="3" customFormat="1">
      <c r="A34" s="128"/>
      <c r="B34" s="128"/>
      <c r="C34" s="128"/>
      <c r="D34" s="128"/>
      <c r="E34" s="128"/>
      <c r="F34" s="128"/>
      <c r="G34" s="128"/>
      <c r="H34" s="128"/>
      <c r="I34" s="128"/>
    </row>
    <row r="35" spans="1:9" s="3" customFormat="1" ht="13.9"/>
    <row r="36" spans="1:9" s="3" customFormat="1" ht="13.9"/>
    <row r="37" spans="1:9" s="3" customFormat="1" ht="13.9"/>
    <row r="38" spans="1:9" s="3" customFormat="1" ht="13.9"/>
    <row r="39" spans="1:9" s="3" customFormat="1" ht="13.9"/>
    <row r="40" spans="1:9" s="3" customFormat="1" ht="13.9"/>
    <row r="41" spans="1:9" s="3" customFormat="1" ht="13.9"/>
    <row r="42" spans="1:9" s="3" customFormat="1" ht="13.9"/>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K67"/>
  <sheetViews>
    <sheetView showGridLines="0" topLeftCell="A16" zoomScale="90" zoomScaleNormal="90" workbookViewId="0">
      <selection activeCell="C15" sqref="C15:E15"/>
    </sheetView>
  </sheetViews>
  <sheetFormatPr defaultColWidth="9.28515625" defaultRowHeight="15"/>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6" width="9.28515625" style="2"/>
    <col min="7" max="7" width="29.140625" style="2" customWidth="1"/>
    <col min="8" max="8" width="9.28515625" style="2"/>
    <col min="9" max="9" width="8.7109375" style="2" customWidth="1"/>
    <col min="10" max="10" width="9.28515625" style="2" hidden="1" customWidth="1"/>
    <col min="11" max="11" width="10.7109375" style="2" bestFit="1" customWidth="1"/>
    <col min="12" max="16384" width="9.28515625" style="2"/>
  </cols>
  <sheetData>
    <row r="1" spans="1:9">
      <c r="A1" s="128" t="str">
        <f>+'Cover Page'!$B$29</f>
        <v>Annual Performance Report 2022</v>
      </c>
      <c r="B1" s="128"/>
      <c r="C1" s="128"/>
      <c r="D1" s="128"/>
      <c r="E1" s="128" t="str">
        <f>+'Cover Page'!$B$33</f>
        <v>SUEZ R&amp;R Wilton 11 EfW</v>
      </c>
      <c r="F1" s="128"/>
      <c r="G1" s="128"/>
      <c r="H1" s="128"/>
      <c r="I1" s="128"/>
    </row>
    <row r="3" spans="1:9" ht="15.6">
      <c r="A3" s="1" t="s">
        <v>211</v>
      </c>
      <c r="B3" s="128"/>
      <c r="C3" s="128"/>
      <c r="D3" s="128"/>
      <c r="E3" s="128"/>
      <c r="F3" s="128"/>
      <c r="G3" s="128"/>
      <c r="H3" s="128"/>
      <c r="I3" s="128"/>
    </row>
    <row r="4" spans="1:9" ht="15.6">
      <c r="A4" s="1"/>
      <c r="B4" s="128"/>
      <c r="C4" s="128"/>
      <c r="D4" s="128"/>
      <c r="E4" s="128"/>
      <c r="F4" s="128"/>
      <c r="G4" s="128"/>
      <c r="H4" s="128"/>
      <c r="I4" s="128"/>
    </row>
    <row r="5" spans="1:9">
      <c r="A5" s="8" t="s">
        <v>212</v>
      </c>
      <c r="B5" s="128"/>
      <c r="C5" s="128"/>
      <c r="D5" s="128"/>
      <c r="E5" s="128"/>
      <c r="F5" s="128"/>
      <c r="G5" s="128"/>
      <c r="H5" s="128"/>
      <c r="I5" s="128"/>
    </row>
    <row r="6" spans="1:9">
      <c r="A6" s="8"/>
      <c r="B6" s="128"/>
      <c r="C6" s="128"/>
      <c r="D6" s="128"/>
      <c r="E6" s="128"/>
      <c r="F6" s="128"/>
      <c r="G6" s="128"/>
      <c r="H6" s="128"/>
      <c r="I6" s="128"/>
    </row>
    <row r="7" spans="1:9">
      <c r="A7" s="12" t="s">
        <v>213</v>
      </c>
      <c r="B7" s="128"/>
      <c r="C7" s="128"/>
      <c r="D7" s="128"/>
      <c r="E7" s="128"/>
      <c r="F7" s="128"/>
      <c r="G7" s="128"/>
      <c r="H7" s="128"/>
      <c r="I7" s="128"/>
    </row>
    <row r="8" spans="1:9" s="3" customFormat="1" ht="25.5" customHeight="1">
      <c r="A8" s="306" t="s">
        <v>214</v>
      </c>
      <c r="B8" s="307"/>
      <c r="C8" s="306" t="s">
        <v>215</v>
      </c>
      <c r="D8" s="308"/>
      <c r="E8" s="308"/>
      <c r="F8" s="308"/>
      <c r="G8" s="308"/>
      <c r="H8" s="308"/>
      <c r="I8" s="307"/>
    </row>
    <row r="9" spans="1:9" s="3" customFormat="1" ht="22.5" customHeight="1">
      <c r="A9" s="309"/>
      <c r="B9" s="310"/>
      <c r="C9" s="311" t="s">
        <v>216</v>
      </c>
      <c r="D9" s="311"/>
      <c r="E9" s="311"/>
      <c r="F9" s="311" t="s">
        <v>217</v>
      </c>
      <c r="G9" s="311"/>
      <c r="H9" s="311"/>
      <c r="I9" s="311"/>
    </row>
    <row r="10" spans="1:9" s="3" customFormat="1" ht="22.5" customHeight="1">
      <c r="A10" s="300" t="s">
        <v>218</v>
      </c>
      <c r="B10" s="300"/>
      <c r="C10" s="301">
        <v>1</v>
      </c>
      <c r="D10" s="302"/>
      <c r="E10" s="302"/>
      <c r="F10" s="301">
        <v>1</v>
      </c>
      <c r="G10" s="302"/>
      <c r="H10" s="302"/>
      <c r="I10" s="302"/>
    </row>
    <row r="11" spans="1:9" s="3" customFormat="1" ht="22.5" customHeight="1">
      <c r="A11" s="300" t="s">
        <v>219</v>
      </c>
      <c r="B11" s="300"/>
      <c r="C11" s="301">
        <v>1</v>
      </c>
      <c r="D11" s="302"/>
      <c r="E11" s="302"/>
      <c r="F11" s="301">
        <v>1</v>
      </c>
      <c r="G11" s="302"/>
      <c r="H11" s="302"/>
      <c r="I11" s="302"/>
    </row>
    <row r="12" spans="1:9" s="3" customFormat="1" ht="22.5" customHeight="1">
      <c r="A12" s="300" t="s">
        <v>220</v>
      </c>
      <c r="B12" s="300"/>
      <c r="C12" s="301">
        <v>1</v>
      </c>
      <c r="D12" s="302"/>
      <c r="E12" s="302"/>
      <c r="F12" s="301">
        <v>1</v>
      </c>
      <c r="G12" s="302"/>
      <c r="H12" s="302"/>
      <c r="I12" s="302"/>
    </row>
    <row r="13" spans="1:9" s="3" customFormat="1" ht="22.5" customHeight="1">
      <c r="A13" s="300" t="s">
        <v>221</v>
      </c>
      <c r="B13" s="300"/>
      <c r="C13" s="266" t="s">
        <v>222</v>
      </c>
      <c r="D13" s="302"/>
      <c r="E13" s="302"/>
      <c r="F13" s="301">
        <v>1</v>
      </c>
      <c r="G13" s="302"/>
      <c r="H13" s="302"/>
      <c r="I13" s="302"/>
    </row>
    <row r="14" spans="1:9" s="3" customFormat="1" ht="22.5" customHeight="1">
      <c r="A14" s="300" t="s">
        <v>223</v>
      </c>
      <c r="B14" s="300"/>
      <c r="C14" s="301">
        <v>0.99995000000000001</v>
      </c>
      <c r="D14" s="302"/>
      <c r="E14" s="302"/>
      <c r="F14" s="301">
        <v>1</v>
      </c>
      <c r="G14" s="302"/>
      <c r="H14" s="302"/>
      <c r="I14" s="302"/>
    </row>
    <row r="15" spans="1:9" s="3" customFormat="1" ht="22.5" customHeight="1">
      <c r="A15" s="300" t="s">
        <v>224</v>
      </c>
      <c r="B15" s="300"/>
      <c r="C15" s="301">
        <v>1</v>
      </c>
      <c r="D15" s="302"/>
      <c r="E15" s="302"/>
      <c r="F15" s="301">
        <v>1</v>
      </c>
      <c r="G15" s="302"/>
      <c r="H15" s="302"/>
      <c r="I15" s="302"/>
    </row>
    <row r="16" spans="1:9" s="3" customFormat="1" ht="22.5" customHeight="1">
      <c r="A16" s="300" t="s">
        <v>225</v>
      </c>
      <c r="B16" s="300"/>
      <c r="C16" s="302" t="s">
        <v>226</v>
      </c>
      <c r="D16" s="302"/>
      <c r="E16" s="302"/>
      <c r="F16" s="302" t="s">
        <v>226</v>
      </c>
      <c r="G16" s="302"/>
      <c r="H16" s="302"/>
      <c r="I16" s="302"/>
    </row>
    <row r="17" spans="1:11" s="3" customFormat="1" ht="22.5" customHeight="1">
      <c r="A17" s="303"/>
      <c r="B17" s="304"/>
      <c r="C17" s="302"/>
      <c r="D17" s="302"/>
      <c r="E17" s="302"/>
      <c r="F17" s="302"/>
      <c r="G17" s="302"/>
      <c r="H17" s="302"/>
      <c r="I17" s="302"/>
    </row>
    <row r="18" spans="1:11" s="3" customFormat="1" ht="13.9"/>
    <row r="19" spans="1:11" s="80" customFormat="1" ht="21.75" customHeight="1">
      <c r="A19" s="288" t="s">
        <v>227</v>
      </c>
      <c r="B19" s="289"/>
      <c r="C19" s="289"/>
      <c r="D19" s="289"/>
      <c r="E19" s="289"/>
      <c r="F19" s="289"/>
      <c r="G19" s="289"/>
      <c r="H19" s="289"/>
      <c r="I19" s="289"/>
      <c r="J19" s="289"/>
      <c r="K19" s="290"/>
    </row>
    <row r="20" spans="1:11" s="3" customFormat="1" ht="38.25" customHeight="1">
      <c r="A20" s="145" t="s">
        <v>54</v>
      </c>
      <c r="B20" s="292" t="s">
        <v>228</v>
      </c>
      <c r="C20" s="292"/>
      <c r="D20" s="292"/>
      <c r="E20" s="292" t="s">
        <v>229</v>
      </c>
      <c r="F20" s="292"/>
      <c r="G20" s="292"/>
      <c r="H20" s="292" t="s">
        <v>230</v>
      </c>
      <c r="I20" s="292"/>
      <c r="J20" s="293"/>
      <c r="K20" s="110"/>
    </row>
    <row r="21" spans="1:11" s="3" customFormat="1" ht="176.25" customHeight="1">
      <c r="A21" s="131">
        <v>44568</v>
      </c>
      <c r="B21" s="186" t="s">
        <v>231</v>
      </c>
      <c r="C21" s="186"/>
      <c r="D21" s="186"/>
      <c r="E21" s="279" t="s">
        <v>232</v>
      </c>
      <c r="F21" s="186"/>
      <c r="G21" s="186"/>
      <c r="H21" s="279" t="s">
        <v>233</v>
      </c>
      <c r="I21" s="186"/>
      <c r="J21" s="297"/>
      <c r="K21" s="110"/>
    </row>
    <row r="22" spans="1:11" s="3" customFormat="1" ht="13.9">
      <c r="A22" s="138"/>
      <c r="B22" s="192"/>
      <c r="C22" s="192"/>
      <c r="D22" s="192"/>
      <c r="E22" s="192"/>
      <c r="F22" s="192"/>
      <c r="G22" s="192"/>
      <c r="H22" s="192"/>
      <c r="I22" s="192"/>
      <c r="J22" s="291"/>
      <c r="K22" s="110"/>
    </row>
    <row r="23" spans="1:11" s="3" customFormat="1" ht="13.9">
      <c r="A23" s="138"/>
      <c r="B23" s="192"/>
      <c r="C23" s="192"/>
      <c r="D23" s="192"/>
      <c r="E23" s="192"/>
      <c r="F23" s="192"/>
      <c r="G23" s="192"/>
      <c r="H23" s="192"/>
      <c r="I23" s="192"/>
      <c r="J23" s="291"/>
      <c r="K23" s="110"/>
    </row>
    <row r="24" spans="1:11" s="3" customFormat="1" ht="13.9">
      <c r="A24" s="138"/>
      <c r="B24" s="192"/>
      <c r="C24" s="192"/>
      <c r="D24" s="192"/>
      <c r="E24" s="192"/>
      <c r="F24" s="192"/>
      <c r="G24" s="192"/>
      <c r="H24" s="192"/>
      <c r="I24" s="192"/>
      <c r="J24" s="291"/>
      <c r="K24" s="110"/>
    </row>
    <row r="25" spans="1:11" s="3" customFormat="1" ht="13.9">
      <c r="A25" s="138"/>
      <c r="B25" s="192"/>
      <c r="C25" s="192"/>
      <c r="D25" s="192"/>
      <c r="E25" s="192"/>
      <c r="F25" s="192"/>
      <c r="G25" s="192"/>
      <c r="H25" s="192"/>
      <c r="I25" s="192"/>
      <c r="J25" s="291"/>
      <c r="K25" s="110"/>
    </row>
    <row r="26" spans="1:11" s="3" customFormat="1" ht="13.9"/>
    <row r="27" spans="1:11" s="80" customFormat="1" ht="22.5" customHeight="1">
      <c r="A27" s="288" t="s">
        <v>234</v>
      </c>
      <c r="B27" s="289"/>
      <c r="C27" s="289"/>
      <c r="D27" s="289"/>
      <c r="E27" s="289"/>
      <c r="F27" s="289"/>
      <c r="G27" s="289"/>
      <c r="H27" s="289"/>
      <c r="I27" s="289"/>
      <c r="J27" s="289"/>
      <c r="K27" s="290"/>
    </row>
    <row r="28" spans="1:11" s="3" customFormat="1" ht="39" customHeight="1">
      <c r="A28" s="145" t="s">
        <v>54</v>
      </c>
      <c r="B28" s="292" t="s">
        <v>235</v>
      </c>
      <c r="C28" s="292"/>
      <c r="D28" s="292"/>
      <c r="E28" s="292" t="s">
        <v>236</v>
      </c>
      <c r="F28" s="292"/>
      <c r="G28" s="292"/>
      <c r="H28" s="292" t="s">
        <v>230</v>
      </c>
      <c r="I28" s="292"/>
      <c r="J28" s="293"/>
      <c r="K28" s="110"/>
    </row>
    <row r="29" spans="1:11" s="3" customFormat="1" ht="52.5" customHeight="1">
      <c r="A29" s="131"/>
      <c r="B29" s="186"/>
      <c r="C29" s="186"/>
      <c r="D29" s="186"/>
      <c r="E29" s="294"/>
      <c r="F29" s="295"/>
      <c r="G29" s="296"/>
      <c r="H29" s="279"/>
      <c r="I29" s="279"/>
      <c r="J29" s="294"/>
      <c r="K29" s="110"/>
    </row>
    <row r="30" spans="1:11" s="3" customFormat="1" ht="63.75" customHeight="1">
      <c r="A30" s="131"/>
      <c r="B30" s="186"/>
      <c r="C30" s="186"/>
      <c r="D30" s="186"/>
      <c r="E30" s="297"/>
      <c r="F30" s="298"/>
      <c r="G30" s="299"/>
      <c r="H30" s="279"/>
      <c r="I30" s="279"/>
      <c r="J30" s="294"/>
      <c r="K30" s="110"/>
    </row>
    <row r="31" spans="1:11" ht="14.25" customHeight="1">
      <c r="A31" s="138"/>
      <c r="B31" s="192"/>
      <c r="C31" s="192"/>
      <c r="D31" s="192"/>
      <c r="E31" s="192"/>
      <c r="F31" s="192"/>
      <c r="G31" s="192"/>
      <c r="H31" s="192"/>
      <c r="I31" s="192"/>
      <c r="J31" s="291"/>
      <c r="K31" s="110"/>
    </row>
    <row r="32" spans="1:11" s="3" customFormat="1" ht="13.9">
      <c r="A32" s="138"/>
      <c r="B32" s="192"/>
      <c r="C32" s="192"/>
      <c r="D32" s="192"/>
      <c r="E32" s="192"/>
      <c r="F32" s="192"/>
      <c r="G32" s="192"/>
      <c r="H32" s="192"/>
      <c r="I32" s="192"/>
      <c r="J32" s="291"/>
      <c r="K32" s="110"/>
    </row>
    <row r="33" spans="1:11" s="3" customFormat="1" ht="13.9">
      <c r="A33" s="138"/>
      <c r="B33" s="192"/>
      <c r="C33" s="192"/>
      <c r="D33" s="192"/>
      <c r="E33" s="192"/>
      <c r="F33" s="192"/>
      <c r="G33" s="192"/>
      <c r="H33" s="192"/>
      <c r="I33" s="192"/>
      <c r="J33" s="291"/>
      <c r="K33" s="110"/>
    </row>
    <row r="34" spans="1:11" s="3" customFormat="1" ht="29.25" customHeight="1">
      <c r="A34" s="12"/>
      <c r="E34" s="305" t="s">
        <v>237</v>
      </c>
      <c r="F34" s="305"/>
      <c r="G34" s="305"/>
      <c r="H34" s="305"/>
      <c r="I34" s="305"/>
      <c r="J34" s="12"/>
    </row>
    <row r="67" spans="6:6">
      <c r="F67" s="3"/>
    </row>
  </sheetData>
  <mergeCells count="68">
    <mergeCell ref="E34:I34"/>
    <mergeCell ref="A10:B10"/>
    <mergeCell ref="C10:E10"/>
    <mergeCell ref="F10:I10"/>
    <mergeCell ref="A8:B8"/>
    <mergeCell ref="C8:I8"/>
    <mergeCell ref="A9:B9"/>
    <mergeCell ref="C9:E9"/>
    <mergeCell ref="F9:I9"/>
    <mergeCell ref="A11:B11"/>
    <mergeCell ref="C11:E11"/>
    <mergeCell ref="F11:I11"/>
    <mergeCell ref="A12:B12"/>
    <mergeCell ref="C12:E12"/>
    <mergeCell ref="F12:I12"/>
    <mergeCell ref="A13:B13"/>
    <mergeCell ref="C13:E13"/>
    <mergeCell ref="F13:I13"/>
    <mergeCell ref="A14:B14"/>
    <mergeCell ref="C14:E14"/>
    <mergeCell ref="F14:I14"/>
    <mergeCell ref="A15:B15"/>
    <mergeCell ref="C15:E15"/>
    <mergeCell ref="F15:I15"/>
    <mergeCell ref="A16:B16"/>
    <mergeCell ref="C17:E17"/>
    <mergeCell ref="F17:I17"/>
    <mergeCell ref="C16:E16"/>
    <mergeCell ref="F16:I16"/>
    <mergeCell ref="A17:B17"/>
    <mergeCell ref="B20:D20"/>
    <mergeCell ref="E20:G20"/>
    <mergeCell ref="H20:J20"/>
    <mergeCell ref="B21:D21"/>
    <mergeCell ref="E21:G21"/>
    <mergeCell ref="H21:J21"/>
    <mergeCell ref="H25:J25"/>
    <mergeCell ref="B22:D22"/>
    <mergeCell ref="E22:G22"/>
    <mergeCell ref="H22:J22"/>
    <mergeCell ref="B23:D23"/>
    <mergeCell ref="E23:G23"/>
    <mergeCell ref="H23:J23"/>
    <mergeCell ref="B33:D33"/>
    <mergeCell ref="E33:G33"/>
    <mergeCell ref="H33:J33"/>
    <mergeCell ref="B30:D30"/>
    <mergeCell ref="E30:G30"/>
    <mergeCell ref="H30:J30"/>
    <mergeCell ref="B31:D31"/>
    <mergeCell ref="E31:G31"/>
    <mergeCell ref="H31:J31"/>
    <mergeCell ref="A27:K27"/>
    <mergeCell ref="A19:K19"/>
    <mergeCell ref="B32:D32"/>
    <mergeCell ref="E32:G32"/>
    <mergeCell ref="H32:J32"/>
    <mergeCell ref="B28:D28"/>
    <mergeCell ref="E28:G28"/>
    <mergeCell ref="H28:J28"/>
    <mergeCell ref="B29:D29"/>
    <mergeCell ref="E29:G29"/>
    <mergeCell ref="H29:J29"/>
    <mergeCell ref="B24:D24"/>
    <mergeCell ref="E24:G24"/>
    <mergeCell ref="H24:J24"/>
    <mergeCell ref="B25:D25"/>
    <mergeCell ref="E25:G25"/>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66"/>
  <sheetViews>
    <sheetView showGridLines="0" zoomScaleNormal="100" workbookViewId="0">
      <selection activeCell="A39" sqref="A39:J48"/>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0">
      <c r="A1" s="128" t="str">
        <f>+'Cover Page'!$B$29</f>
        <v>Annual Performance Report 2022</v>
      </c>
      <c r="B1" s="128"/>
      <c r="C1" s="128"/>
      <c r="D1" s="128"/>
      <c r="E1" s="128" t="str">
        <f>+'Cover Page'!$B$33</f>
        <v>SUEZ R&amp;R Wilton 11 EfW</v>
      </c>
      <c r="F1" s="128"/>
      <c r="G1" s="128"/>
      <c r="H1" s="128"/>
      <c r="I1" s="128"/>
      <c r="J1" s="128"/>
    </row>
    <row r="3" spans="1:10" ht="15.6">
      <c r="A3" s="1" t="s">
        <v>238</v>
      </c>
      <c r="B3" s="128"/>
      <c r="C3" s="128"/>
      <c r="D3" s="128"/>
      <c r="E3" s="128"/>
      <c r="F3" s="128"/>
      <c r="G3" s="128"/>
      <c r="H3" s="128"/>
      <c r="I3" s="128"/>
      <c r="J3" s="128"/>
    </row>
    <row r="4" spans="1:10" ht="15.6">
      <c r="A4" s="1"/>
      <c r="B4" s="128"/>
      <c r="C4" s="128"/>
      <c r="D4" s="128"/>
      <c r="E4" s="128"/>
      <c r="F4" s="128"/>
      <c r="G4" s="128"/>
      <c r="H4" s="128"/>
      <c r="I4" s="128"/>
      <c r="J4" s="128"/>
    </row>
    <row r="5" spans="1:10" s="3" customFormat="1" ht="13.9">
      <c r="A5" s="324" t="s">
        <v>239</v>
      </c>
      <c r="B5" s="325"/>
      <c r="C5" s="325"/>
      <c r="D5" s="325"/>
      <c r="E5" s="325"/>
      <c r="F5" s="325"/>
      <c r="G5" s="325"/>
      <c r="H5" s="325"/>
      <c r="I5" s="325"/>
      <c r="J5" s="326"/>
    </row>
    <row r="6" spans="1:10" s="3" customFormat="1" ht="15.75" customHeight="1">
      <c r="A6" s="315" t="s">
        <v>240</v>
      </c>
      <c r="B6" s="316"/>
      <c r="C6" s="316"/>
      <c r="D6" s="316"/>
      <c r="E6" s="316"/>
      <c r="F6" s="316"/>
      <c r="G6" s="316"/>
      <c r="H6" s="316"/>
      <c r="I6" s="316"/>
      <c r="J6" s="317"/>
    </row>
    <row r="7" spans="1:10" s="3" customFormat="1" ht="15.75" customHeight="1">
      <c r="A7" s="318"/>
      <c r="B7" s="319"/>
      <c r="C7" s="319"/>
      <c r="D7" s="319"/>
      <c r="E7" s="319"/>
      <c r="F7" s="319"/>
      <c r="G7" s="319"/>
      <c r="H7" s="319"/>
      <c r="I7" s="319"/>
      <c r="J7" s="320"/>
    </row>
    <row r="8" spans="1:10" s="3" customFormat="1" ht="15.75" customHeight="1">
      <c r="A8" s="318"/>
      <c r="B8" s="319"/>
      <c r="C8" s="319"/>
      <c r="D8" s="319"/>
      <c r="E8" s="319"/>
      <c r="F8" s="319"/>
      <c r="G8" s="319"/>
      <c r="H8" s="319"/>
      <c r="I8" s="319"/>
      <c r="J8" s="320"/>
    </row>
    <row r="9" spans="1:10" s="3" customFormat="1" ht="15.75" customHeight="1">
      <c r="A9" s="318"/>
      <c r="B9" s="319"/>
      <c r="C9" s="319"/>
      <c r="D9" s="319"/>
      <c r="E9" s="319"/>
      <c r="F9" s="319"/>
      <c r="G9" s="319"/>
      <c r="H9" s="319"/>
      <c r="I9" s="319"/>
      <c r="J9" s="320"/>
    </row>
    <row r="10" spans="1:10" s="3" customFormat="1" ht="15.75" customHeight="1">
      <c r="A10" s="318"/>
      <c r="B10" s="319"/>
      <c r="C10" s="319"/>
      <c r="D10" s="319"/>
      <c r="E10" s="319"/>
      <c r="F10" s="319"/>
      <c r="G10" s="319"/>
      <c r="H10" s="319"/>
      <c r="I10" s="319"/>
      <c r="J10" s="320"/>
    </row>
    <row r="11" spans="1:10" s="3" customFormat="1" ht="15.75" customHeight="1">
      <c r="A11" s="318"/>
      <c r="B11" s="319"/>
      <c r="C11" s="319"/>
      <c r="D11" s="319"/>
      <c r="E11" s="319"/>
      <c r="F11" s="319"/>
      <c r="G11" s="319"/>
      <c r="H11" s="319"/>
      <c r="I11" s="319"/>
      <c r="J11" s="320"/>
    </row>
    <row r="12" spans="1:10" s="3" customFormat="1" ht="15.75" customHeight="1">
      <c r="A12" s="318"/>
      <c r="B12" s="319"/>
      <c r="C12" s="319"/>
      <c r="D12" s="319"/>
      <c r="E12" s="319"/>
      <c r="F12" s="319"/>
      <c r="G12" s="319"/>
      <c r="H12" s="319"/>
      <c r="I12" s="319"/>
      <c r="J12" s="320"/>
    </row>
    <row r="13" spans="1:10" s="3" customFormat="1" ht="15.75" customHeight="1">
      <c r="A13" s="318"/>
      <c r="B13" s="319"/>
      <c r="C13" s="319"/>
      <c r="D13" s="319"/>
      <c r="E13" s="319"/>
      <c r="F13" s="319"/>
      <c r="G13" s="319"/>
      <c r="H13" s="319"/>
      <c r="I13" s="319"/>
      <c r="J13" s="320"/>
    </row>
    <row r="14" spans="1:10" s="3" customFormat="1" ht="261.75" customHeight="1">
      <c r="A14" s="321"/>
      <c r="B14" s="322"/>
      <c r="C14" s="322"/>
      <c r="D14" s="322"/>
      <c r="E14" s="322"/>
      <c r="F14" s="322"/>
      <c r="G14" s="322"/>
      <c r="H14" s="322"/>
      <c r="I14" s="322"/>
      <c r="J14" s="323"/>
    </row>
    <row r="15" spans="1:10" s="3" customFormat="1" ht="13.9"/>
    <row r="16" spans="1:10" s="81" customFormat="1" ht="33.75" customHeight="1">
      <c r="A16" s="312" t="s">
        <v>241</v>
      </c>
      <c r="B16" s="313"/>
      <c r="C16" s="313"/>
      <c r="D16" s="313"/>
      <c r="E16" s="313"/>
      <c r="F16" s="313"/>
      <c r="G16" s="313"/>
      <c r="H16" s="313"/>
      <c r="I16" s="313"/>
      <c r="J16" s="314"/>
    </row>
    <row r="17" spans="1:10" ht="15.75" customHeight="1">
      <c r="A17" s="327" t="s">
        <v>242</v>
      </c>
      <c r="B17" s="328"/>
      <c r="C17" s="328"/>
      <c r="D17" s="328"/>
      <c r="E17" s="328"/>
      <c r="F17" s="328"/>
      <c r="G17" s="328"/>
      <c r="H17" s="328"/>
      <c r="I17" s="328"/>
      <c r="J17" s="329"/>
    </row>
    <row r="18" spans="1:10" ht="15.75" customHeight="1">
      <c r="A18" s="330"/>
      <c r="B18" s="331"/>
      <c r="C18" s="331"/>
      <c r="D18" s="331"/>
      <c r="E18" s="331"/>
      <c r="F18" s="331"/>
      <c r="G18" s="331"/>
      <c r="H18" s="331"/>
      <c r="I18" s="331"/>
      <c r="J18" s="332"/>
    </row>
    <row r="19" spans="1:10" ht="12" customHeight="1">
      <c r="A19" s="330"/>
      <c r="B19" s="331"/>
      <c r="C19" s="331"/>
      <c r="D19" s="331"/>
      <c r="E19" s="331"/>
      <c r="F19" s="331"/>
      <c r="G19" s="331"/>
      <c r="H19" s="331"/>
      <c r="I19" s="331"/>
      <c r="J19" s="332"/>
    </row>
    <row r="20" spans="1:10" ht="15.75" hidden="1" customHeight="1">
      <c r="A20" s="330"/>
      <c r="B20" s="331"/>
      <c r="C20" s="331"/>
      <c r="D20" s="331"/>
      <c r="E20" s="331"/>
      <c r="F20" s="331"/>
      <c r="G20" s="331"/>
      <c r="H20" s="331"/>
      <c r="I20" s="331"/>
      <c r="J20" s="332"/>
    </row>
    <row r="21" spans="1:10" ht="15.75" hidden="1" customHeight="1">
      <c r="A21" s="330"/>
      <c r="B21" s="331"/>
      <c r="C21" s="331"/>
      <c r="D21" s="331"/>
      <c r="E21" s="331"/>
      <c r="F21" s="331"/>
      <c r="G21" s="331"/>
      <c r="H21" s="331"/>
      <c r="I21" s="331"/>
      <c r="J21" s="332"/>
    </row>
    <row r="22" spans="1:10" ht="15.75" hidden="1" customHeight="1">
      <c r="A22" s="330"/>
      <c r="B22" s="331"/>
      <c r="C22" s="331"/>
      <c r="D22" s="331"/>
      <c r="E22" s="331"/>
      <c r="F22" s="331"/>
      <c r="G22" s="331"/>
      <c r="H22" s="331"/>
      <c r="I22" s="331"/>
      <c r="J22" s="332"/>
    </row>
    <row r="23" spans="1:10" ht="15.75" hidden="1" customHeight="1">
      <c r="A23" s="330"/>
      <c r="B23" s="331"/>
      <c r="C23" s="331"/>
      <c r="D23" s="331"/>
      <c r="E23" s="331"/>
      <c r="F23" s="331"/>
      <c r="G23" s="331"/>
      <c r="H23" s="331"/>
      <c r="I23" s="331"/>
      <c r="J23" s="332"/>
    </row>
    <row r="24" spans="1:10" ht="15.75" hidden="1" customHeight="1">
      <c r="A24" s="330"/>
      <c r="B24" s="331"/>
      <c r="C24" s="331"/>
      <c r="D24" s="331"/>
      <c r="E24" s="331"/>
      <c r="F24" s="331"/>
      <c r="G24" s="331"/>
      <c r="H24" s="331"/>
      <c r="I24" s="331"/>
      <c r="J24" s="332"/>
    </row>
    <row r="25" spans="1:10" ht="15.75" hidden="1" customHeight="1">
      <c r="A25" s="333"/>
      <c r="B25" s="334"/>
      <c r="C25" s="334"/>
      <c r="D25" s="334"/>
      <c r="E25" s="334"/>
      <c r="F25" s="334"/>
      <c r="G25" s="334"/>
      <c r="H25" s="334"/>
      <c r="I25" s="334"/>
      <c r="J25" s="335"/>
    </row>
    <row r="26" spans="1:10" ht="15.6">
      <c r="A26" s="1"/>
      <c r="B26" s="128"/>
      <c r="C26" s="128"/>
      <c r="D26" s="128"/>
      <c r="E26" s="128"/>
      <c r="F26" s="128"/>
      <c r="G26" s="128"/>
      <c r="H26" s="128"/>
      <c r="I26" s="128"/>
      <c r="J26" s="128"/>
    </row>
    <row r="27" spans="1:10" ht="36.75" customHeight="1">
      <c r="A27" s="312" t="s">
        <v>243</v>
      </c>
      <c r="B27" s="313"/>
      <c r="C27" s="313"/>
      <c r="D27" s="313"/>
      <c r="E27" s="313"/>
      <c r="F27" s="313"/>
      <c r="G27" s="313"/>
      <c r="H27" s="313"/>
      <c r="I27" s="313"/>
      <c r="J27" s="314"/>
    </row>
    <row r="28" spans="1:10" ht="15.75" customHeight="1">
      <c r="A28" s="336" t="s">
        <v>244</v>
      </c>
      <c r="B28" s="337"/>
      <c r="C28" s="337"/>
      <c r="D28" s="337"/>
      <c r="E28" s="337"/>
      <c r="F28" s="337"/>
      <c r="G28" s="337"/>
      <c r="H28" s="337"/>
      <c r="I28" s="337"/>
      <c r="J28" s="338"/>
    </row>
    <row r="29" spans="1:10" ht="15" customHeight="1">
      <c r="A29" s="339"/>
      <c r="B29" s="340"/>
      <c r="C29" s="340"/>
      <c r="D29" s="340"/>
      <c r="E29" s="340"/>
      <c r="F29" s="340"/>
      <c r="G29" s="340"/>
      <c r="H29" s="340"/>
      <c r="I29" s="340"/>
      <c r="J29" s="341"/>
    </row>
    <row r="30" spans="1:10" ht="15.75" hidden="1" customHeight="1">
      <c r="A30" s="339"/>
      <c r="B30" s="340"/>
      <c r="C30" s="340"/>
      <c r="D30" s="340"/>
      <c r="E30" s="340"/>
      <c r="F30" s="340"/>
      <c r="G30" s="340"/>
      <c r="H30" s="340"/>
      <c r="I30" s="340"/>
      <c r="J30" s="341"/>
    </row>
    <row r="31" spans="1:10" ht="15.75" hidden="1" customHeight="1">
      <c r="A31" s="339"/>
      <c r="B31" s="340"/>
      <c r="C31" s="340"/>
      <c r="D31" s="340"/>
      <c r="E31" s="340"/>
      <c r="F31" s="340"/>
      <c r="G31" s="340"/>
      <c r="H31" s="340"/>
      <c r="I31" s="340"/>
      <c r="J31" s="341"/>
    </row>
    <row r="32" spans="1:10" ht="15.75" hidden="1" customHeight="1">
      <c r="A32" s="339"/>
      <c r="B32" s="340"/>
      <c r="C32" s="340"/>
      <c r="D32" s="340"/>
      <c r="E32" s="340"/>
      <c r="F32" s="340"/>
      <c r="G32" s="340"/>
      <c r="H32" s="340"/>
      <c r="I32" s="340"/>
      <c r="J32" s="341"/>
    </row>
    <row r="33" spans="1:10" ht="15.75" hidden="1" customHeight="1">
      <c r="A33" s="339"/>
      <c r="B33" s="340"/>
      <c r="C33" s="340"/>
      <c r="D33" s="340"/>
      <c r="E33" s="340"/>
      <c r="F33" s="340"/>
      <c r="G33" s="340"/>
      <c r="H33" s="340"/>
      <c r="I33" s="340"/>
      <c r="J33" s="341"/>
    </row>
    <row r="34" spans="1:10" ht="15.75" hidden="1" customHeight="1">
      <c r="A34" s="339"/>
      <c r="B34" s="340"/>
      <c r="C34" s="340"/>
      <c r="D34" s="340"/>
      <c r="E34" s="340"/>
      <c r="F34" s="340"/>
      <c r="G34" s="340"/>
      <c r="H34" s="340"/>
      <c r="I34" s="340"/>
      <c r="J34" s="341"/>
    </row>
    <row r="35" spans="1:10" ht="15.75" hidden="1" customHeight="1">
      <c r="A35" s="339"/>
      <c r="B35" s="340"/>
      <c r="C35" s="340"/>
      <c r="D35" s="340"/>
      <c r="E35" s="340"/>
      <c r="F35" s="340"/>
      <c r="G35" s="340"/>
      <c r="H35" s="340"/>
      <c r="I35" s="340"/>
      <c r="J35" s="341"/>
    </row>
    <row r="36" spans="1:10" ht="15.75" hidden="1" customHeight="1">
      <c r="A36" s="342"/>
      <c r="B36" s="343"/>
      <c r="C36" s="343"/>
      <c r="D36" s="343"/>
      <c r="E36" s="343"/>
      <c r="F36" s="343"/>
      <c r="G36" s="343"/>
      <c r="H36" s="343"/>
      <c r="I36" s="343"/>
      <c r="J36" s="344"/>
    </row>
    <row r="38" spans="1:10" ht="33" customHeight="1">
      <c r="A38" s="312" t="s">
        <v>245</v>
      </c>
      <c r="B38" s="313"/>
      <c r="C38" s="313"/>
      <c r="D38" s="313"/>
      <c r="E38" s="313"/>
      <c r="F38" s="313"/>
      <c r="G38" s="313"/>
      <c r="H38" s="313"/>
      <c r="I38" s="313"/>
      <c r="J38" s="314"/>
    </row>
    <row r="39" spans="1:10" ht="15.75" customHeight="1">
      <c r="A39" s="315" t="s">
        <v>246</v>
      </c>
      <c r="B39" s="316"/>
      <c r="C39" s="316"/>
      <c r="D39" s="316"/>
      <c r="E39" s="316"/>
      <c r="F39" s="316"/>
      <c r="G39" s="316"/>
      <c r="H39" s="316"/>
      <c r="I39" s="316"/>
      <c r="J39" s="317"/>
    </row>
    <row r="40" spans="1:10" ht="15.75" customHeight="1">
      <c r="A40" s="318"/>
      <c r="B40" s="319"/>
      <c r="C40" s="319"/>
      <c r="D40" s="319"/>
      <c r="E40" s="319"/>
      <c r="F40" s="319"/>
      <c r="G40" s="319"/>
      <c r="H40" s="319"/>
      <c r="I40" s="319"/>
      <c r="J40" s="320"/>
    </row>
    <row r="41" spans="1:10" ht="15.75" customHeight="1">
      <c r="A41" s="318"/>
      <c r="B41" s="319"/>
      <c r="C41" s="319"/>
      <c r="D41" s="319"/>
      <c r="E41" s="319"/>
      <c r="F41" s="319"/>
      <c r="G41" s="319"/>
      <c r="H41" s="319"/>
      <c r="I41" s="319"/>
      <c r="J41" s="320"/>
    </row>
    <row r="42" spans="1:10" ht="15.75" customHeight="1">
      <c r="A42" s="318"/>
      <c r="B42" s="319"/>
      <c r="C42" s="319"/>
      <c r="D42" s="319"/>
      <c r="E42" s="319"/>
      <c r="F42" s="319"/>
      <c r="G42" s="319"/>
      <c r="H42" s="319"/>
      <c r="I42" s="319"/>
      <c r="J42" s="320"/>
    </row>
    <row r="43" spans="1:10" ht="14.25" customHeight="1">
      <c r="A43" s="318"/>
      <c r="B43" s="319"/>
      <c r="C43" s="319"/>
      <c r="D43" s="319"/>
      <c r="E43" s="319"/>
      <c r="F43" s="319"/>
      <c r="G43" s="319"/>
      <c r="H43" s="319"/>
      <c r="I43" s="319"/>
      <c r="J43" s="320"/>
    </row>
    <row r="44" spans="1:10" ht="15.75" hidden="1" customHeight="1">
      <c r="A44" s="318"/>
      <c r="B44" s="319"/>
      <c r="C44" s="319"/>
      <c r="D44" s="319"/>
      <c r="E44" s="319"/>
      <c r="F44" s="319"/>
      <c r="G44" s="319"/>
      <c r="H44" s="319"/>
      <c r="I44" s="319"/>
      <c r="J44" s="320"/>
    </row>
    <row r="45" spans="1:10" ht="15.75" hidden="1" customHeight="1">
      <c r="A45" s="318"/>
      <c r="B45" s="319"/>
      <c r="C45" s="319"/>
      <c r="D45" s="319"/>
      <c r="E45" s="319"/>
      <c r="F45" s="319"/>
      <c r="G45" s="319"/>
      <c r="H45" s="319"/>
      <c r="I45" s="319"/>
      <c r="J45" s="320"/>
    </row>
    <row r="46" spans="1:10" ht="15.75" hidden="1" customHeight="1">
      <c r="A46" s="318"/>
      <c r="B46" s="319"/>
      <c r="C46" s="319"/>
      <c r="D46" s="319"/>
      <c r="E46" s="319"/>
      <c r="F46" s="319"/>
      <c r="G46" s="319"/>
      <c r="H46" s="319"/>
      <c r="I46" s="319"/>
      <c r="J46" s="320"/>
    </row>
    <row r="47" spans="1:10" ht="15.75" hidden="1" customHeight="1">
      <c r="A47" s="318"/>
      <c r="B47" s="319"/>
      <c r="C47" s="319"/>
      <c r="D47" s="319"/>
      <c r="E47" s="319"/>
      <c r="F47" s="319"/>
      <c r="G47" s="319"/>
      <c r="H47" s="319"/>
      <c r="I47" s="319"/>
      <c r="J47" s="320"/>
    </row>
    <row r="48" spans="1:10" ht="15.75" hidden="1" customHeight="1">
      <c r="A48" s="321"/>
      <c r="B48" s="322"/>
      <c r="C48" s="322"/>
      <c r="D48" s="322"/>
      <c r="E48" s="322"/>
      <c r="F48" s="322"/>
      <c r="G48" s="322"/>
      <c r="H48" s="322"/>
      <c r="I48" s="322"/>
      <c r="J48" s="323"/>
    </row>
    <row r="66" spans="6:6">
      <c r="F66" s="3"/>
    </row>
  </sheetData>
  <mergeCells count="8">
    <mergeCell ref="A38:J38"/>
    <mergeCell ref="A39:J48"/>
    <mergeCell ref="A5:J5"/>
    <mergeCell ref="A6:J14"/>
    <mergeCell ref="A16:J16"/>
    <mergeCell ref="A17:J25"/>
    <mergeCell ref="A27:J27"/>
    <mergeCell ref="A28:J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69"/>
  <sheetViews>
    <sheetView showGridLines="0" topLeftCell="A4" zoomScaleNormal="100" workbookViewId="0">
      <selection activeCell="N16" sqref="N16"/>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0">
      <c r="A1" s="128" t="str">
        <f>+'Cover Page'!$B$29</f>
        <v>Annual Performance Report 2022</v>
      </c>
      <c r="B1" s="128"/>
      <c r="C1" s="128"/>
      <c r="D1" s="128"/>
      <c r="E1" s="128" t="str">
        <f>+'Cover Page'!$B$33</f>
        <v>SUEZ R&amp;R Wilton 11 EfW</v>
      </c>
      <c r="F1" s="128"/>
      <c r="G1" s="128"/>
      <c r="H1" s="128"/>
      <c r="I1" s="128"/>
      <c r="J1" s="128"/>
    </row>
    <row r="3" spans="1:10" ht="15.6">
      <c r="A3" s="1" t="s">
        <v>247</v>
      </c>
      <c r="B3" s="128"/>
      <c r="C3" s="128"/>
      <c r="D3" s="128"/>
      <c r="E3" s="128"/>
      <c r="F3" s="128"/>
      <c r="G3" s="128"/>
      <c r="H3" s="128"/>
      <c r="I3" s="128"/>
      <c r="J3" s="128"/>
    </row>
    <row r="4" spans="1:10" ht="15.6">
      <c r="A4" s="1"/>
      <c r="B4" s="128"/>
      <c r="C4" s="128"/>
      <c r="D4" s="128"/>
      <c r="E4" s="128"/>
      <c r="F4" s="128"/>
      <c r="G4" s="128"/>
      <c r="H4" s="128"/>
      <c r="I4" s="128"/>
      <c r="J4" s="128"/>
    </row>
    <row r="5" spans="1:10" s="3" customFormat="1" ht="28.5" customHeight="1">
      <c r="A5" s="82" t="s">
        <v>248</v>
      </c>
      <c r="B5" s="83"/>
      <c r="C5" s="83"/>
      <c r="D5" s="83"/>
      <c r="E5" s="83"/>
      <c r="F5" s="83"/>
      <c r="G5" s="83"/>
      <c r="H5" s="83"/>
      <c r="I5" s="83"/>
      <c r="J5" s="84"/>
    </row>
    <row r="6" spans="1:10" s="3" customFormat="1" ht="15.75" customHeight="1">
      <c r="A6" s="324" t="s">
        <v>54</v>
      </c>
      <c r="B6" s="326"/>
      <c r="C6" s="324" t="s">
        <v>249</v>
      </c>
      <c r="D6" s="325"/>
      <c r="E6" s="325"/>
      <c r="F6" s="325"/>
      <c r="G6" s="325"/>
      <c r="H6" s="325"/>
      <c r="I6" s="325"/>
      <c r="J6" s="326"/>
    </row>
    <row r="7" spans="1:10" s="3" customFormat="1" ht="15.75" customHeight="1">
      <c r="A7" s="346">
        <v>44673</v>
      </c>
      <c r="B7" s="232"/>
      <c r="C7" s="347" t="s">
        <v>250</v>
      </c>
      <c r="D7" s="231"/>
      <c r="E7" s="231"/>
      <c r="F7" s="231"/>
      <c r="G7" s="231"/>
      <c r="H7" s="231"/>
      <c r="I7" s="231"/>
      <c r="J7" s="232"/>
    </row>
    <row r="8" spans="1:10" s="3" customFormat="1" ht="15.75" customHeight="1">
      <c r="A8" s="236"/>
      <c r="B8" s="238"/>
      <c r="C8" s="236"/>
      <c r="D8" s="237"/>
      <c r="E8" s="237"/>
      <c r="F8" s="237"/>
      <c r="G8" s="237"/>
      <c r="H8" s="237"/>
      <c r="I8" s="237"/>
      <c r="J8" s="238"/>
    </row>
    <row r="9" spans="1:10" s="3" customFormat="1" ht="15.75" customHeight="1">
      <c r="A9" s="346">
        <v>44721</v>
      </c>
      <c r="B9" s="232"/>
      <c r="C9" s="347" t="s">
        <v>251</v>
      </c>
      <c r="D9" s="231"/>
      <c r="E9" s="231"/>
      <c r="F9" s="231"/>
      <c r="G9" s="231"/>
      <c r="H9" s="231"/>
      <c r="I9" s="231"/>
      <c r="J9" s="232"/>
    </row>
    <row r="10" spans="1:10" s="3" customFormat="1" ht="15.75" customHeight="1">
      <c r="A10" s="236"/>
      <c r="B10" s="238"/>
      <c r="C10" s="236"/>
      <c r="D10" s="237"/>
      <c r="E10" s="237"/>
      <c r="F10" s="237"/>
      <c r="G10" s="237"/>
      <c r="H10" s="237"/>
      <c r="I10" s="237"/>
      <c r="J10" s="238"/>
    </row>
    <row r="11" spans="1:10" s="3" customFormat="1" ht="15.75" customHeight="1">
      <c r="A11" s="346">
        <v>44721</v>
      </c>
      <c r="B11" s="350"/>
      <c r="C11" s="347" t="s">
        <v>252</v>
      </c>
      <c r="D11" s="231"/>
      <c r="E11" s="231"/>
      <c r="F11" s="231"/>
      <c r="G11" s="231"/>
      <c r="H11" s="231"/>
      <c r="I11" s="231"/>
      <c r="J11" s="232"/>
    </row>
    <row r="12" spans="1:10" s="3" customFormat="1" ht="15.75" customHeight="1">
      <c r="A12" s="351"/>
      <c r="B12" s="352"/>
      <c r="C12" s="233"/>
      <c r="D12" s="234"/>
      <c r="E12" s="234"/>
      <c r="F12" s="234"/>
      <c r="G12" s="234"/>
      <c r="H12" s="234"/>
      <c r="I12" s="234"/>
      <c r="J12" s="235"/>
    </row>
    <row r="13" spans="1:10" s="3" customFormat="1" ht="15.75" customHeight="1">
      <c r="A13" s="346">
        <v>44883</v>
      </c>
      <c r="B13" s="232"/>
      <c r="C13" s="347" t="s">
        <v>253</v>
      </c>
      <c r="D13" s="231"/>
      <c r="E13" s="231"/>
      <c r="F13" s="231"/>
      <c r="G13" s="231"/>
      <c r="H13" s="231"/>
      <c r="I13" s="231"/>
      <c r="J13" s="232"/>
    </row>
    <row r="14" spans="1:10" s="3" customFormat="1" ht="15.75" customHeight="1">
      <c r="A14" s="236"/>
      <c r="B14" s="238"/>
      <c r="C14" s="236"/>
      <c r="D14" s="237"/>
      <c r="E14" s="237"/>
      <c r="F14" s="237"/>
      <c r="G14" s="237"/>
      <c r="H14" s="237"/>
      <c r="I14" s="237"/>
      <c r="J14" s="238"/>
    </row>
    <row r="15" spans="1:10" s="3" customFormat="1" ht="15.75" customHeight="1">
      <c r="A15" s="348"/>
      <c r="B15" s="232"/>
      <c r="C15" s="349"/>
      <c r="D15" s="349"/>
      <c r="E15" s="349"/>
      <c r="F15" s="349"/>
      <c r="G15" s="349"/>
      <c r="H15" s="349"/>
      <c r="I15" s="349"/>
      <c r="J15" s="349"/>
    </row>
    <row r="16" spans="1:10" s="3" customFormat="1" ht="15.75" customHeight="1">
      <c r="A16" s="234"/>
      <c r="B16" s="235"/>
      <c r="C16" s="349"/>
      <c r="D16" s="349"/>
      <c r="E16" s="349"/>
      <c r="F16" s="349"/>
      <c r="G16" s="349"/>
      <c r="H16" s="349"/>
      <c r="I16" s="349"/>
      <c r="J16" s="349"/>
    </row>
    <row r="17" spans="1:10" s="3" customFormat="1" ht="15.75" customHeight="1">
      <c r="A17" s="348"/>
      <c r="B17" s="232"/>
      <c r="C17" s="349"/>
      <c r="D17" s="349"/>
      <c r="E17" s="349"/>
      <c r="F17" s="349"/>
      <c r="G17" s="349"/>
      <c r="H17" s="349"/>
      <c r="I17" s="349"/>
      <c r="J17" s="349"/>
    </row>
    <row r="18" spans="1:10" s="3" customFormat="1" ht="13.9">
      <c r="A18" s="234"/>
      <c r="B18" s="235"/>
      <c r="C18" s="349"/>
      <c r="D18" s="349"/>
      <c r="E18" s="349"/>
      <c r="F18" s="349"/>
      <c r="G18" s="349"/>
      <c r="H18" s="349"/>
      <c r="I18" s="349"/>
      <c r="J18" s="349"/>
    </row>
    <row r="19" spans="1:10" s="81" customFormat="1" ht="33.75" customHeight="1">
      <c r="A19" s="312" t="s">
        <v>254</v>
      </c>
      <c r="B19" s="313"/>
      <c r="C19" s="313"/>
      <c r="D19" s="313"/>
      <c r="E19" s="313"/>
      <c r="F19" s="313"/>
      <c r="G19" s="313"/>
      <c r="H19" s="313"/>
      <c r="I19" s="313"/>
      <c r="J19" s="314"/>
    </row>
    <row r="20" spans="1:10" ht="15.75" customHeight="1">
      <c r="A20" s="324" t="s">
        <v>54</v>
      </c>
      <c r="B20" s="326"/>
      <c r="C20" s="324" t="s">
        <v>249</v>
      </c>
      <c r="D20" s="325"/>
      <c r="E20" s="325"/>
      <c r="F20" s="325"/>
      <c r="G20" s="325"/>
      <c r="H20" s="325"/>
      <c r="I20" s="325"/>
      <c r="J20" s="325"/>
    </row>
    <row r="21" spans="1:10" ht="15.75" customHeight="1">
      <c r="A21" s="345"/>
      <c r="B21" s="206"/>
      <c r="C21" s="345"/>
      <c r="D21" s="205"/>
      <c r="E21" s="205"/>
      <c r="F21" s="205"/>
      <c r="G21" s="205"/>
      <c r="H21" s="205"/>
      <c r="I21" s="205"/>
      <c r="J21" s="206"/>
    </row>
    <row r="22" spans="1:10" ht="15.75" customHeight="1">
      <c r="A22" s="210"/>
      <c r="B22" s="212"/>
      <c r="C22" s="210"/>
      <c r="D22" s="211"/>
      <c r="E22" s="211"/>
      <c r="F22" s="211"/>
      <c r="G22" s="211"/>
      <c r="H22" s="211"/>
      <c r="I22" s="211"/>
      <c r="J22" s="212"/>
    </row>
    <row r="23" spans="1:10" ht="15.75" customHeight="1">
      <c r="A23" s="345"/>
      <c r="B23" s="206"/>
      <c r="C23" s="345"/>
      <c r="D23" s="205"/>
      <c r="E23" s="205"/>
      <c r="F23" s="205"/>
      <c r="G23" s="205"/>
      <c r="H23" s="205"/>
      <c r="I23" s="205"/>
      <c r="J23" s="206"/>
    </row>
    <row r="24" spans="1:10" ht="15.75" customHeight="1">
      <c r="A24" s="210"/>
      <c r="B24" s="212"/>
      <c r="C24" s="210"/>
      <c r="D24" s="211"/>
      <c r="E24" s="211"/>
      <c r="F24" s="211"/>
      <c r="G24" s="211"/>
      <c r="H24" s="211"/>
      <c r="I24" s="211"/>
      <c r="J24" s="212"/>
    </row>
    <row r="25" spans="1:10" ht="15.75" customHeight="1">
      <c r="A25" s="345"/>
      <c r="B25" s="206"/>
      <c r="C25" s="345"/>
      <c r="D25" s="205"/>
      <c r="E25" s="205"/>
      <c r="F25" s="205"/>
      <c r="G25" s="205"/>
      <c r="H25" s="205"/>
      <c r="I25" s="205"/>
      <c r="J25" s="206"/>
    </row>
    <row r="26" spans="1:10" ht="15.75" customHeight="1">
      <c r="A26" s="210"/>
      <c r="B26" s="212"/>
      <c r="C26" s="210"/>
      <c r="D26" s="211"/>
      <c r="E26" s="211"/>
      <c r="F26" s="211"/>
      <c r="G26" s="211"/>
      <c r="H26" s="211"/>
      <c r="I26" s="211"/>
      <c r="J26" s="212"/>
    </row>
    <row r="27" spans="1:10" ht="15.75" customHeight="1">
      <c r="A27" s="345"/>
      <c r="B27" s="206"/>
      <c r="C27" s="345"/>
      <c r="D27" s="205"/>
      <c r="E27" s="205"/>
      <c r="F27" s="205"/>
      <c r="G27" s="205"/>
      <c r="H27" s="205"/>
      <c r="I27" s="205"/>
      <c r="J27" s="206"/>
    </row>
    <row r="28" spans="1:10" ht="15.75" customHeight="1">
      <c r="A28" s="210"/>
      <c r="B28" s="212"/>
      <c r="C28" s="210"/>
      <c r="D28" s="211"/>
      <c r="E28" s="211"/>
      <c r="F28" s="211"/>
      <c r="G28" s="211"/>
      <c r="H28" s="211"/>
      <c r="I28" s="211"/>
      <c r="J28" s="212"/>
    </row>
    <row r="29" spans="1:10" ht="15.75" customHeight="1">
      <c r="A29" s="345"/>
      <c r="B29" s="206"/>
      <c r="C29" s="345"/>
      <c r="D29" s="205"/>
      <c r="E29" s="205"/>
      <c r="F29" s="205"/>
      <c r="G29" s="205"/>
      <c r="H29" s="205"/>
      <c r="I29" s="205"/>
      <c r="J29" s="206"/>
    </row>
    <row r="30" spans="1:10" ht="15.75" customHeight="1">
      <c r="A30" s="210"/>
      <c r="B30" s="212"/>
      <c r="C30" s="210"/>
      <c r="D30" s="211"/>
      <c r="E30" s="211"/>
      <c r="F30" s="211"/>
      <c r="G30" s="211"/>
      <c r="H30" s="211"/>
      <c r="I30" s="211"/>
      <c r="J30" s="212"/>
    </row>
    <row r="31" spans="1:10" ht="15.6">
      <c r="A31" s="1"/>
      <c r="B31" s="128"/>
      <c r="C31" s="128"/>
      <c r="D31" s="128"/>
      <c r="E31" s="128"/>
      <c r="F31" s="128"/>
      <c r="G31" s="128"/>
      <c r="H31" s="128"/>
      <c r="I31" s="128"/>
      <c r="J31" s="128"/>
    </row>
    <row r="32" spans="1:10" ht="36.75" customHeight="1">
      <c r="A32" s="312" t="s">
        <v>255</v>
      </c>
      <c r="B32" s="313"/>
      <c r="C32" s="313"/>
      <c r="D32" s="313"/>
      <c r="E32" s="313"/>
      <c r="F32" s="313"/>
      <c r="G32" s="313"/>
      <c r="H32" s="313"/>
      <c r="I32" s="313"/>
      <c r="J32" s="314"/>
    </row>
    <row r="69" spans="6:6">
      <c r="F69" s="3"/>
    </row>
  </sheetData>
  <mergeCells count="28">
    <mergeCell ref="A7:B8"/>
    <mergeCell ref="C7:J8"/>
    <mergeCell ref="A19:J19"/>
    <mergeCell ref="A6:B6"/>
    <mergeCell ref="C6:J6"/>
    <mergeCell ref="A17:B18"/>
    <mergeCell ref="C17:J18"/>
    <mergeCell ref="A11:B12"/>
    <mergeCell ref="C11:J12"/>
    <mergeCell ref="A15:B16"/>
    <mergeCell ref="C15:J16"/>
    <mergeCell ref="A13:B14"/>
    <mergeCell ref="C13:J14"/>
    <mergeCell ref="A9:B10"/>
    <mergeCell ref="C9:J10"/>
    <mergeCell ref="A20:B20"/>
    <mergeCell ref="C20:J20"/>
    <mergeCell ref="A29:B30"/>
    <mergeCell ref="C29:J30"/>
    <mergeCell ref="A32:J32"/>
    <mergeCell ref="A21:B22"/>
    <mergeCell ref="C21:J22"/>
    <mergeCell ref="A23:B24"/>
    <mergeCell ref="C23:J24"/>
    <mergeCell ref="A25:B26"/>
    <mergeCell ref="C25:J26"/>
    <mergeCell ref="A27:B28"/>
    <mergeCell ref="C27:J28"/>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8F2F6-E4C3-4949-BF01-E899C6AD8441}">
  <sheetPr>
    <tabColor rgb="FF00B0F0"/>
  </sheetPr>
  <dimension ref="A1:O24"/>
  <sheetViews>
    <sheetView topLeftCell="A13" workbookViewId="0">
      <selection activeCell="B20" sqref="B20:C20"/>
    </sheetView>
  </sheetViews>
  <sheetFormatPr defaultColWidth="8.85546875" defaultRowHeight="15"/>
  <cols>
    <col min="1" max="1" width="36.7109375" style="128" customWidth="1"/>
    <col min="2" max="2" width="17.7109375" style="128" customWidth="1"/>
    <col min="3" max="3" width="37.28515625" style="128" customWidth="1"/>
    <col min="4" max="14" width="8.85546875" style="128"/>
    <col min="15" max="15" width="9" style="128" customWidth="1"/>
    <col min="16" max="16384" width="8.85546875" style="128"/>
  </cols>
  <sheetData>
    <row r="1" spans="1:15">
      <c r="A1" s="128" t="str">
        <f>+'Cover Page'!$B$29</f>
        <v>Annual Performance Report 2022</v>
      </c>
      <c r="C1" s="128" t="str">
        <f>+'[1]Cover Page'!$B$33</f>
        <v>Name of Facility as per Permit</v>
      </c>
    </row>
    <row r="2" spans="1:15" ht="10.15" customHeight="1"/>
    <row r="3" spans="1:15" ht="15.6">
      <c r="A3" s="1" t="s">
        <v>256</v>
      </c>
      <c r="E3" s="120" t="s">
        <v>3</v>
      </c>
    </row>
    <row r="4" spans="1:15" ht="9.4" customHeight="1"/>
    <row r="5" spans="1:15">
      <c r="A5" s="353" t="s">
        <v>257</v>
      </c>
      <c r="B5" s="354"/>
      <c r="C5" s="354"/>
    </row>
    <row r="6" spans="1:15" ht="30">
      <c r="A6" s="163" t="s">
        <v>258</v>
      </c>
      <c r="B6" s="167" t="s">
        <v>259</v>
      </c>
      <c r="C6" s="165"/>
    </row>
    <row r="7" spans="1:15" ht="30">
      <c r="A7" s="163" t="s">
        <v>260</v>
      </c>
      <c r="B7" s="164" t="s">
        <v>261</v>
      </c>
      <c r="C7" s="165"/>
    </row>
    <row r="8" spans="1:15" ht="45">
      <c r="A8" s="163" t="s">
        <v>262</v>
      </c>
      <c r="B8" s="164" t="s">
        <v>263</v>
      </c>
      <c r="C8" s="165"/>
    </row>
    <row r="9" spans="1:15" ht="45">
      <c r="A9" s="163" t="s">
        <v>264</v>
      </c>
      <c r="B9" s="355" t="s">
        <v>265</v>
      </c>
      <c r="C9" s="356"/>
      <c r="E9" s="357" t="s">
        <v>266</v>
      </c>
      <c r="F9" s="358"/>
      <c r="G9" s="358"/>
      <c r="H9" s="358"/>
      <c r="I9" s="358"/>
      <c r="J9" s="358"/>
      <c r="K9" s="358"/>
      <c r="L9" s="358"/>
      <c r="M9" s="358"/>
      <c r="N9" s="358"/>
      <c r="O9" s="358"/>
    </row>
    <row r="10" spans="1:15" ht="8.65" customHeight="1">
      <c r="A10" s="158"/>
      <c r="B10" s="166"/>
      <c r="C10" s="166"/>
    </row>
    <row r="11" spans="1:15">
      <c r="A11" s="359" t="s">
        <v>267</v>
      </c>
      <c r="B11" s="354"/>
      <c r="C11" s="354"/>
    </row>
    <row r="12" spans="1:15" ht="30">
      <c r="A12" s="163" t="s">
        <v>268</v>
      </c>
      <c r="B12" s="164" t="s">
        <v>269</v>
      </c>
      <c r="C12" s="165"/>
    </row>
    <row r="13" spans="1:15" ht="45">
      <c r="A13" s="163" t="s">
        <v>270</v>
      </c>
      <c r="B13" s="360" t="s">
        <v>271</v>
      </c>
      <c r="C13" s="361"/>
      <c r="E13" s="213" t="s">
        <v>272</v>
      </c>
      <c r="F13" s="358"/>
      <c r="G13" s="358"/>
      <c r="H13" s="358"/>
      <c r="I13" s="358"/>
      <c r="J13" s="358"/>
      <c r="K13" s="358"/>
      <c r="L13" s="358"/>
      <c r="M13" s="358"/>
      <c r="N13" s="358"/>
      <c r="O13" s="358"/>
    </row>
    <row r="14" spans="1:15" ht="58.15">
      <c r="A14" s="163" t="s">
        <v>273</v>
      </c>
      <c r="B14" s="167" t="s">
        <v>274</v>
      </c>
      <c r="C14" s="165"/>
    </row>
    <row r="15" spans="1:15" ht="6.4" customHeight="1">
      <c r="A15" s="158"/>
      <c r="B15" s="166"/>
      <c r="C15" s="166"/>
    </row>
    <row r="16" spans="1:15" ht="39" customHeight="1">
      <c r="A16" s="353" t="s">
        <v>275</v>
      </c>
      <c r="B16" s="354"/>
      <c r="C16" s="354"/>
    </row>
    <row r="17" spans="1:15" ht="45">
      <c r="A17" s="163" t="s">
        <v>276</v>
      </c>
      <c r="B17" s="170">
        <v>0.5</v>
      </c>
      <c r="C17" s="165"/>
    </row>
    <row r="18" spans="1:15" ht="45">
      <c r="A18" s="163" t="s">
        <v>277</v>
      </c>
      <c r="B18" s="360" t="s">
        <v>278</v>
      </c>
      <c r="C18" s="362"/>
      <c r="E18" s="213" t="s">
        <v>279</v>
      </c>
      <c r="F18" s="358"/>
      <c r="G18" s="358"/>
      <c r="H18" s="358"/>
      <c r="I18" s="358"/>
      <c r="J18" s="358"/>
      <c r="K18" s="358"/>
      <c r="L18" s="358"/>
      <c r="M18" s="358"/>
      <c r="N18" s="358"/>
      <c r="O18" s="358"/>
    </row>
    <row r="19" spans="1:15" ht="45">
      <c r="A19" s="163" t="s">
        <v>280</v>
      </c>
      <c r="B19" s="170">
        <v>0.5</v>
      </c>
      <c r="C19" s="165"/>
    </row>
    <row r="20" spans="1:15" ht="45" customHeight="1">
      <c r="A20" s="163" t="s">
        <v>281</v>
      </c>
      <c r="B20" s="360" t="s">
        <v>278</v>
      </c>
      <c r="C20" s="362"/>
      <c r="E20" s="213" t="s">
        <v>282</v>
      </c>
      <c r="F20" s="358"/>
      <c r="G20" s="358"/>
      <c r="H20" s="358"/>
      <c r="I20" s="358"/>
      <c r="J20" s="358"/>
      <c r="K20" s="358"/>
      <c r="L20" s="358"/>
      <c r="M20" s="358"/>
      <c r="N20" s="358"/>
      <c r="O20" s="358"/>
    </row>
    <row r="21" spans="1:15" ht="10.15" customHeight="1"/>
    <row r="22" spans="1:15">
      <c r="A22" s="128" t="s">
        <v>283</v>
      </c>
    </row>
    <row r="23" spans="1:15">
      <c r="A23" s="279"/>
      <c r="B23" s="279"/>
      <c r="C23" s="279"/>
    </row>
    <row r="24" spans="1:15" ht="64.900000000000006" customHeight="1">
      <c r="A24" s="279"/>
      <c r="B24" s="279"/>
      <c r="C24" s="279"/>
    </row>
  </sheetData>
  <mergeCells count="12">
    <mergeCell ref="A23:C24"/>
    <mergeCell ref="A5:C5"/>
    <mergeCell ref="B9:C9"/>
    <mergeCell ref="E9:O9"/>
    <mergeCell ref="A11:C11"/>
    <mergeCell ref="B13:C13"/>
    <mergeCell ref="E13:O13"/>
    <mergeCell ref="A16:C16"/>
    <mergeCell ref="B18:C18"/>
    <mergeCell ref="E18:O18"/>
    <mergeCell ref="B20:C20"/>
    <mergeCell ref="E20:O20"/>
  </mergeCells>
  <pageMargins left="0.7" right="0.7" top="0.75" bottom="0.75" header="0.3" footer="0.3"/>
  <pageSetup paperSize="9" orientation="portrait" verticalDpi="0" r:id="rId1"/>
  <drawing r:id="rId2"/>
  <legacyDrawing r:id="rId3"/>
  <oleObjects>
    <mc:AlternateContent xmlns:mc="http://schemas.openxmlformats.org/markup-compatibility/2006">
      <mc:Choice Requires="x14">
        <oleObject progId="Acrobat Document" dvAspect="DVASPECT_ICON" shapeId="22529" r:id="rId4">
          <objectPr defaultSize="0" autoPict="0" r:id="rId5">
            <anchor moveWithCells="1">
              <from>
                <xdr:col>6</xdr:col>
                <xdr:colOff>60960</xdr:colOff>
                <xdr:row>1</xdr:row>
                <xdr:rowOff>38100</xdr:rowOff>
              </from>
              <to>
                <xdr:col>7</xdr:col>
                <xdr:colOff>533400</xdr:colOff>
                <xdr:row>7</xdr:row>
                <xdr:rowOff>0</xdr:rowOff>
              </to>
            </anchor>
          </objectPr>
        </oleObject>
      </mc:Choice>
      <mc:Fallback>
        <oleObject progId="Acrobat Document" dvAspect="DVASPECT_ICON" shapeId="22529"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showGridLines="0" zoomScaleNormal="100" workbookViewId="0">
      <selection activeCell="K35" sqref="K35"/>
    </sheetView>
  </sheetViews>
  <sheetFormatPr defaultColWidth="9.28515625" defaultRowHeight="15"/>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c r="A1" s="128" t="str">
        <f>+'Cover Page'!$B$29</f>
        <v>Annual Performance Report 2022</v>
      </c>
      <c r="B1" s="128"/>
      <c r="C1" s="128"/>
      <c r="D1" s="128"/>
      <c r="E1" s="128" t="str">
        <f>+'Cover Page'!$B$33</f>
        <v>SUEZ R&amp;R Wilton 11 EfW</v>
      </c>
      <c r="F1" s="128"/>
      <c r="G1" s="128"/>
    </row>
    <row r="3" spans="1:7" ht="15.6">
      <c r="A3" s="1" t="s">
        <v>284</v>
      </c>
      <c r="B3" s="128"/>
      <c r="C3" s="128"/>
      <c r="D3" s="128"/>
      <c r="E3" s="128"/>
      <c r="F3" s="128"/>
      <c r="G3" s="128"/>
    </row>
    <row r="4" spans="1:7" ht="15.6">
      <c r="A4" s="1"/>
      <c r="B4" s="128"/>
      <c r="C4" s="128"/>
      <c r="D4" s="128"/>
      <c r="E4" s="128"/>
      <c r="F4" s="128"/>
      <c r="G4" s="128"/>
    </row>
    <row r="5" spans="1:7" s="3" customFormat="1" ht="21.75" customHeight="1">
      <c r="A5" s="82" t="s">
        <v>285</v>
      </c>
      <c r="B5" s="83"/>
      <c r="C5" s="83"/>
      <c r="D5" s="83"/>
      <c r="E5" s="83"/>
      <c r="F5" s="83"/>
      <c r="G5" s="84"/>
    </row>
    <row r="6" spans="1:7" s="3" customFormat="1" ht="15.75" customHeight="1">
      <c r="A6" s="345" t="s">
        <v>286</v>
      </c>
      <c r="B6" s="205"/>
      <c r="C6" s="205"/>
      <c r="D6" s="205"/>
      <c r="E6" s="205"/>
      <c r="F6" s="205"/>
      <c r="G6" s="206"/>
    </row>
    <row r="7" spans="1:7" s="3" customFormat="1" ht="15.75" customHeight="1">
      <c r="A7" s="210"/>
      <c r="B7" s="211"/>
      <c r="C7" s="211"/>
      <c r="D7" s="211"/>
      <c r="E7" s="211"/>
      <c r="F7" s="211"/>
      <c r="G7" s="212"/>
    </row>
    <row r="8" spans="1:7" s="3" customFormat="1" ht="15.75" customHeight="1">
      <c r="A8" s="196" t="s">
        <v>287</v>
      </c>
      <c r="B8" s="197"/>
      <c r="C8" s="197"/>
      <c r="D8" s="197"/>
      <c r="E8" s="197"/>
      <c r="F8" s="197"/>
      <c r="G8" s="198"/>
    </row>
    <row r="9" spans="1:7" s="3" customFormat="1" ht="15.75" customHeight="1">
      <c r="A9" s="202"/>
      <c r="B9" s="203"/>
      <c r="C9" s="203"/>
      <c r="D9" s="203"/>
      <c r="E9" s="203"/>
      <c r="F9" s="203"/>
      <c r="G9" s="204"/>
    </row>
    <row r="10" spans="1:7" s="3" customFormat="1" ht="15.75" customHeight="1">
      <c r="A10" s="196"/>
      <c r="B10" s="197"/>
      <c r="C10" s="197"/>
      <c r="D10" s="197"/>
      <c r="E10" s="197"/>
      <c r="F10" s="197"/>
      <c r="G10" s="198"/>
    </row>
    <row r="11" spans="1:7" s="3" customFormat="1" ht="15.75" customHeight="1">
      <c r="A11" s="202"/>
      <c r="B11" s="203"/>
      <c r="C11" s="203"/>
      <c r="D11" s="203"/>
      <c r="E11" s="203"/>
      <c r="F11" s="203"/>
      <c r="G11" s="204"/>
    </row>
    <row r="12" spans="1:7" s="3" customFormat="1" ht="13.9"/>
    <row r="13" spans="1:7" s="81" customFormat="1" ht="33.75" customHeight="1">
      <c r="A13" s="312" t="s">
        <v>288</v>
      </c>
      <c r="B13" s="313"/>
      <c r="C13" s="313"/>
      <c r="D13" s="313"/>
      <c r="E13" s="313"/>
      <c r="F13" s="313"/>
      <c r="G13" s="314"/>
    </row>
    <row r="14" spans="1:7" ht="15.75" customHeight="1">
      <c r="A14" s="324" t="s">
        <v>289</v>
      </c>
      <c r="B14" s="326"/>
      <c r="C14" s="324" t="s">
        <v>249</v>
      </c>
      <c r="D14" s="325"/>
      <c r="E14" s="325"/>
      <c r="F14" s="325"/>
      <c r="G14" s="325"/>
    </row>
    <row r="15" spans="1:7" ht="15.75" customHeight="1">
      <c r="A15" s="196"/>
      <c r="B15" s="198"/>
      <c r="C15" s="345"/>
      <c r="D15" s="205"/>
      <c r="E15" s="205"/>
      <c r="F15" s="205"/>
      <c r="G15" s="206"/>
    </row>
    <row r="16" spans="1:7" ht="15.75" customHeight="1">
      <c r="A16" s="202"/>
      <c r="B16" s="204"/>
      <c r="C16" s="210"/>
      <c r="D16" s="211"/>
      <c r="E16" s="211"/>
      <c r="F16" s="211"/>
      <c r="G16" s="212"/>
    </row>
    <row r="17" spans="1:11" ht="15.75" customHeight="1">
      <c r="A17" s="345"/>
      <c r="B17" s="206"/>
      <c r="C17" s="345"/>
      <c r="D17" s="205"/>
      <c r="E17" s="205"/>
      <c r="F17" s="205"/>
      <c r="G17" s="206"/>
      <c r="H17" s="128"/>
      <c r="I17" s="128"/>
      <c r="J17" s="128"/>
      <c r="K17" s="128"/>
    </row>
    <row r="18" spans="1:11" ht="15.75" customHeight="1">
      <c r="A18" s="210"/>
      <c r="B18" s="212"/>
      <c r="C18" s="210"/>
      <c r="D18" s="211"/>
      <c r="E18" s="211"/>
      <c r="F18" s="211"/>
      <c r="G18" s="212"/>
      <c r="H18" s="128"/>
      <c r="I18" s="128"/>
      <c r="J18" s="128"/>
      <c r="K18" s="128"/>
    </row>
    <row r="19" spans="1:11" ht="15.75" customHeight="1">
      <c r="A19" s="345"/>
      <c r="B19" s="206"/>
      <c r="C19" s="345"/>
      <c r="D19" s="205"/>
      <c r="E19" s="205"/>
      <c r="F19" s="205"/>
      <c r="G19" s="206"/>
      <c r="H19" s="128"/>
      <c r="I19" s="128"/>
      <c r="J19" s="128"/>
      <c r="K19" s="128"/>
    </row>
    <row r="20" spans="1:11" ht="15.75" customHeight="1">
      <c r="A20" s="210"/>
      <c r="B20" s="212"/>
      <c r="C20" s="210"/>
      <c r="D20" s="211"/>
      <c r="E20" s="211"/>
      <c r="F20" s="211"/>
      <c r="G20" s="212"/>
      <c r="H20" s="128"/>
      <c r="I20" s="128"/>
      <c r="J20" s="128"/>
      <c r="K20" s="128"/>
    </row>
    <row r="21" spans="1:11" ht="15.75" customHeight="1">
      <c r="A21" s="345"/>
      <c r="B21" s="206"/>
      <c r="C21" s="345"/>
      <c r="D21" s="205"/>
      <c r="E21" s="205"/>
      <c r="F21" s="205"/>
      <c r="G21" s="206"/>
      <c r="H21" s="128"/>
      <c r="I21" s="128"/>
      <c r="J21" s="128"/>
      <c r="K21" s="128"/>
    </row>
    <row r="22" spans="1:11" ht="15.75" customHeight="1">
      <c r="A22" s="210"/>
      <c r="B22" s="212"/>
      <c r="C22" s="210"/>
      <c r="D22" s="211"/>
      <c r="E22" s="211"/>
      <c r="F22" s="211"/>
      <c r="G22" s="212"/>
      <c r="H22" s="128"/>
      <c r="I22" s="128"/>
      <c r="J22" s="128"/>
      <c r="K22" s="128"/>
    </row>
    <row r="23" spans="1:11" ht="15.75" customHeight="1">
      <c r="A23" s="345"/>
      <c r="B23" s="206"/>
      <c r="C23" s="345"/>
      <c r="D23" s="205"/>
      <c r="E23" s="205"/>
      <c r="F23" s="205"/>
      <c r="G23" s="206"/>
      <c r="H23" s="128"/>
      <c r="I23" s="128"/>
      <c r="J23" s="128"/>
      <c r="K23" s="128"/>
    </row>
    <row r="24" spans="1:11" ht="15.75" customHeight="1">
      <c r="A24" s="210"/>
      <c r="B24" s="212"/>
      <c r="C24" s="210"/>
      <c r="D24" s="211"/>
      <c r="E24" s="211"/>
      <c r="F24" s="211"/>
      <c r="G24" s="212"/>
      <c r="H24" s="128"/>
      <c r="I24" s="128"/>
      <c r="J24" s="128"/>
      <c r="K24" s="128"/>
    </row>
    <row r="26" spans="1:11">
      <c r="A26" s="12"/>
      <c r="B26" s="12"/>
      <c r="C26" s="12"/>
      <c r="D26" s="12"/>
      <c r="E26" s="12"/>
      <c r="F26" s="12"/>
      <c r="G26" s="12"/>
      <c r="H26" s="128"/>
      <c r="I26" s="128"/>
      <c r="J26" s="128"/>
      <c r="K26" s="128"/>
    </row>
    <row r="27" spans="1:11" s="91" customFormat="1" ht="16.5" customHeight="1">
      <c r="A27" s="371" t="s">
        <v>290</v>
      </c>
      <c r="B27" s="371"/>
      <c r="C27" s="371"/>
      <c r="D27" s="371"/>
      <c r="E27" s="371"/>
      <c r="F27" s="371"/>
      <c r="G27" s="371"/>
    </row>
    <row r="28" spans="1:11" s="12" customFormat="1" ht="17.25" customHeight="1">
      <c r="A28" s="365" t="s">
        <v>291</v>
      </c>
      <c r="B28" s="365"/>
      <c r="C28" s="292" t="s">
        <v>292</v>
      </c>
      <c r="D28" s="292" t="s">
        <v>293</v>
      </c>
      <c r="E28" s="292"/>
      <c r="F28" s="292"/>
      <c r="G28" s="292"/>
    </row>
    <row r="29" spans="1:11" s="12" customFormat="1" ht="17.25" customHeight="1">
      <c r="A29" s="365"/>
      <c r="B29" s="365"/>
      <c r="C29" s="292"/>
      <c r="D29" s="292" t="s">
        <v>294</v>
      </c>
      <c r="E29" s="292"/>
      <c r="F29" s="292" t="s">
        <v>165</v>
      </c>
      <c r="G29" s="292"/>
    </row>
    <row r="30" spans="1:11" s="70" customFormat="1" ht="38.1" customHeight="1">
      <c r="A30" s="239" t="s">
        <v>295</v>
      </c>
      <c r="B30" s="239"/>
      <c r="C30" s="92" t="s">
        <v>296</v>
      </c>
      <c r="D30" s="364" t="s">
        <v>139</v>
      </c>
      <c r="E30" s="364"/>
      <c r="F30" s="367"/>
      <c r="G30" s="368"/>
      <c r="J30" s="12"/>
      <c r="K30" s="12"/>
    </row>
    <row r="31" spans="1:11" s="70" customFormat="1" ht="38.1" customHeight="1">
      <c r="A31" s="239" t="s">
        <v>297</v>
      </c>
      <c r="B31" s="239"/>
      <c r="C31" s="144" t="s">
        <v>298</v>
      </c>
      <c r="D31" s="366">
        <v>8.8999999999999999E-3</v>
      </c>
      <c r="E31" s="364"/>
      <c r="F31" s="367"/>
      <c r="G31" s="368"/>
      <c r="J31" s="12"/>
      <c r="K31" s="12"/>
    </row>
    <row r="32" spans="1:11" s="70" customFormat="1" ht="38.1" customHeight="1">
      <c r="A32" s="239" t="s">
        <v>299</v>
      </c>
      <c r="B32" s="239"/>
      <c r="C32" s="144" t="s">
        <v>300</v>
      </c>
      <c r="D32" s="364" t="s">
        <v>301</v>
      </c>
      <c r="E32" s="364"/>
      <c r="F32" s="369"/>
      <c r="G32" s="370"/>
      <c r="J32" s="12"/>
      <c r="K32" s="12"/>
    </row>
    <row r="33" spans="1:7" s="70" customFormat="1" ht="38.1" customHeight="1">
      <c r="A33" s="239" t="s">
        <v>302</v>
      </c>
      <c r="B33" s="239"/>
      <c r="C33" s="144" t="s">
        <v>300</v>
      </c>
      <c r="D33" s="364" t="s">
        <v>303</v>
      </c>
      <c r="E33" s="364"/>
      <c r="F33" s="367"/>
      <c r="G33" s="368"/>
    </row>
    <row r="35" spans="1:7">
      <c r="A35" s="240" t="s">
        <v>304</v>
      </c>
      <c r="B35" s="240"/>
      <c r="C35" s="240"/>
      <c r="D35" s="240"/>
      <c r="E35" s="240"/>
      <c r="F35" s="240"/>
      <c r="G35" s="240"/>
    </row>
    <row r="36" spans="1:7">
      <c r="A36" s="363"/>
      <c r="B36" s="363"/>
      <c r="C36" s="363"/>
      <c r="D36" s="363"/>
      <c r="E36" s="363"/>
      <c r="F36" s="363"/>
      <c r="G36" s="363"/>
    </row>
    <row r="37" spans="1:7">
      <c r="A37" s="363"/>
      <c r="B37" s="363"/>
      <c r="C37" s="363"/>
      <c r="D37" s="363"/>
      <c r="E37" s="363"/>
      <c r="F37" s="363"/>
      <c r="G37" s="363"/>
    </row>
    <row r="38" spans="1:7">
      <c r="A38" s="363"/>
      <c r="B38" s="363"/>
      <c r="C38" s="363"/>
      <c r="D38" s="363"/>
      <c r="E38" s="363"/>
      <c r="F38" s="363"/>
      <c r="G38" s="363"/>
    </row>
    <row r="39" spans="1:7">
      <c r="A39" s="363"/>
      <c r="B39" s="363"/>
      <c r="C39" s="363"/>
      <c r="D39" s="363"/>
      <c r="E39" s="363"/>
      <c r="F39" s="363"/>
      <c r="G39" s="363"/>
    </row>
    <row r="40" spans="1:7">
      <c r="A40" s="363"/>
      <c r="B40" s="363"/>
      <c r="C40" s="363"/>
      <c r="D40" s="363"/>
      <c r="E40" s="363"/>
      <c r="F40" s="363"/>
      <c r="G40" s="363"/>
    </row>
    <row r="41" spans="1:7">
      <c r="A41" s="363"/>
      <c r="B41" s="363"/>
      <c r="C41" s="363"/>
      <c r="D41" s="363"/>
      <c r="E41" s="363"/>
      <c r="F41" s="363"/>
      <c r="G41" s="363"/>
    </row>
    <row r="56" spans="6:6">
      <c r="F56" s="3"/>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J66"/>
  <sheetViews>
    <sheetView showGridLines="0" zoomScaleNormal="100" workbookViewId="0">
      <selection activeCell="E49" sqref="E49"/>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0">
      <c r="A1" s="128" t="str">
        <f>+'Cover Page'!$B$29</f>
        <v>Annual Performance Report 2022</v>
      </c>
      <c r="B1" s="128"/>
      <c r="C1" s="128"/>
      <c r="D1" s="128"/>
      <c r="E1" s="128" t="str">
        <f>+'Cover Page'!$B$33</f>
        <v>SUEZ R&amp;R Wilton 11 EfW</v>
      </c>
      <c r="F1" s="128"/>
      <c r="G1" s="128"/>
      <c r="H1" s="128"/>
      <c r="I1" s="128"/>
      <c r="J1" s="128"/>
    </row>
    <row r="3" spans="1:10" ht="15.6">
      <c r="A3" s="1" t="s">
        <v>42</v>
      </c>
      <c r="B3" s="128"/>
      <c r="C3" s="128"/>
      <c r="D3" s="128"/>
      <c r="E3" s="128"/>
      <c r="F3" s="128"/>
      <c r="G3" s="128"/>
      <c r="H3" s="128"/>
      <c r="I3" s="128"/>
      <c r="J3" s="128"/>
    </row>
    <row r="4" spans="1:10" ht="15.6">
      <c r="A4" s="1"/>
      <c r="B4" s="128"/>
      <c r="C4" s="128"/>
      <c r="D4" s="128"/>
      <c r="E4" s="128"/>
      <c r="F4" s="128"/>
      <c r="G4" s="128"/>
      <c r="H4" s="128"/>
      <c r="I4" s="128"/>
      <c r="J4" s="128"/>
    </row>
    <row r="5" spans="1:10" s="3" customFormat="1" ht="21.75" customHeight="1">
      <c r="A5" s="82" t="s">
        <v>285</v>
      </c>
      <c r="B5" s="83"/>
      <c r="C5" s="83"/>
      <c r="D5" s="83"/>
      <c r="E5" s="83"/>
      <c r="F5" s="83"/>
      <c r="G5" s="83"/>
      <c r="H5" s="83"/>
      <c r="I5" s="83"/>
      <c r="J5" s="84"/>
    </row>
    <row r="6" spans="1:10" s="3" customFormat="1" ht="15.75" customHeight="1">
      <c r="A6" s="345" t="s">
        <v>305</v>
      </c>
      <c r="B6" s="205"/>
      <c r="C6" s="205"/>
      <c r="D6" s="205"/>
      <c r="E6" s="205"/>
      <c r="F6" s="205"/>
      <c r="G6" s="205"/>
      <c r="H6" s="205"/>
      <c r="I6" s="205"/>
      <c r="J6" s="206"/>
    </row>
    <row r="7" spans="1:10" s="3" customFormat="1" ht="15.75" customHeight="1">
      <c r="A7" s="210"/>
      <c r="B7" s="211"/>
      <c r="C7" s="211"/>
      <c r="D7" s="211"/>
      <c r="E7" s="211"/>
      <c r="F7" s="211"/>
      <c r="G7" s="211"/>
      <c r="H7" s="211"/>
      <c r="I7" s="211"/>
      <c r="J7" s="212"/>
    </row>
    <row r="8" spans="1:10" s="3" customFormat="1" ht="15.75" customHeight="1">
      <c r="A8" s="196"/>
      <c r="B8" s="197"/>
      <c r="C8" s="197"/>
      <c r="D8" s="197"/>
      <c r="E8" s="197"/>
      <c r="F8" s="197"/>
      <c r="G8" s="197"/>
      <c r="H8" s="197"/>
      <c r="I8" s="197"/>
      <c r="J8" s="198"/>
    </row>
    <row r="9" spans="1:10" s="3" customFormat="1" ht="15.75" customHeight="1">
      <c r="A9" s="202"/>
      <c r="B9" s="203"/>
      <c r="C9" s="203"/>
      <c r="D9" s="203"/>
      <c r="E9" s="203"/>
      <c r="F9" s="203"/>
      <c r="G9" s="203"/>
      <c r="H9" s="203"/>
      <c r="I9" s="203"/>
      <c r="J9" s="204"/>
    </row>
    <row r="10" spans="1:10" s="3" customFormat="1" ht="15.75" customHeight="1">
      <c r="A10" s="196"/>
      <c r="B10" s="197"/>
      <c r="C10" s="197"/>
      <c r="D10" s="197"/>
      <c r="E10" s="197"/>
      <c r="F10" s="197"/>
      <c r="G10" s="197"/>
      <c r="H10" s="197"/>
      <c r="I10" s="197"/>
      <c r="J10" s="198"/>
    </row>
    <row r="11" spans="1:10" s="3" customFormat="1" ht="15.75" customHeight="1">
      <c r="A11" s="202"/>
      <c r="B11" s="203"/>
      <c r="C11" s="203"/>
      <c r="D11" s="203"/>
      <c r="E11" s="203"/>
      <c r="F11" s="203"/>
      <c r="G11" s="203"/>
      <c r="H11" s="203"/>
      <c r="I11" s="203"/>
      <c r="J11" s="204"/>
    </row>
    <row r="12" spans="1:10" s="3" customFormat="1" ht="13.9"/>
    <row r="13" spans="1:10" s="81" customFormat="1" ht="33.75" customHeight="1">
      <c r="A13" s="312" t="s">
        <v>288</v>
      </c>
      <c r="B13" s="313"/>
      <c r="C13" s="313"/>
      <c r="D13" s="313"/>
      <c r="E13" s="313"/>
      <c r="F13" s="313"/>
      <c r="G13" s="313"/>
      <c r="H13" s="313"/>
      <c r="I13" s="313"/>
      <c r="J13" s="314"/>
    </row>
    <row r="14" spans="1:10" ht="15.75" customHeight="1">
      <c r="A14" s="324" t="s">
        <v>289</v>
      </c>
      <c r="B14" s="326"/>
      <c r="C14" s="324" t="s">
        <v>249</v>
      </c>
      <c r="D14" s="325"/>
      <c r="E14" s="325"/>
      <c r="F14" s="325"/>
      <c r="G14" s="325"/>
      <c r="H14" s="325"/>
      <c r="I14" s="325"/>
      <c r="J14" s="325"/>
    </row>
    <row r="15" spans="1:10" ht="15.75" customHeight="1">
      <c r="A15" s="196"/>
      <c r="B15" s="198"/>
      <c r="C15" s="345"/>
      <c r="D15" s="205"/>
      <c r="E15" s="205"/>
      <c r="F15" s="205"/>
      <c r="G15" s="205"/>
      <c r="H15" s="205"/>
      <c r="I15" s="205"/>
      <c r="J15" s="206"/>
    </row>
    <row r="16" spans="1:10" ht="15.75" customHeight="1">
      <c r="A16" s="202"/>
      <c r="B16" s="204"/>
      <c r="C16" s="210"/>
      <c r="D16" s="211"/>
      <c r="E16" s="211"/>
      <c r="F16" s="211"/>
      <c r="G16" s="211"/>
      <c r="H16" s="211"/>
      <c r="I16" s="211"/>
      <c r="J16" s="212"/>
    </row>
    <row r="17" spans="1:10" ht="15.75" customHeight="1">
      <c r="A17" s="345"/>
      <c r="B17" s="206"/>
      <c r="C17" s="345"/>
      <c r="D17" s="205"/>
      <c r="E17" s="205"/>
      <c r="F17" s="205"/>
      <c r="G17" s="205"/>
      <c r="H17" s="205"/>
      <c r="I17" s="205"/>
      <c r="J17" s="206"/>
    </row>
    <row r="18" spans="1:10" ht="15.75" customHeight="1">
      <c r="A18" s="210"/>
      <c r="B18" s="212"/>
      <c r="C18" s="210"/>
      <c r="D18" s="211"/>
      <c r="E18" s="211"/>
      <c r="F18" s="211"/>
      <c r="G18" s="211"/>
      <c r="H18" s="211"/>
      <c r="I18" s="211"/>
      <c r="J18" s="212"/>
    </row>
    <row r="19" spans="1:10" ht="15.75" customHeight="1">
      <c r="A19" s="345"/>
      <c r="B19" s="206"/>
      <c r="C19" s="345"/>
      <c r="D19" s="205"/>
      <c r="E19" s="205"/>
      <c r="F19" s="205"/>
      <c r="G19" s="205"/>
      <c r="H19" s="205"/>
      <c r="I19" s="205"/>
      <c r="J19" s="206"/>
    </row>
    <row r="20" spans="1:10" ht="15.75" customHeight="1">
      <c r="A20" s="210"/>
      <c r="B20" s="212"/>
      <c r="C20" s="210"/>
      <c r="D20" s="211"/>
      <c r="E20" s="211"/>
      <c r="F20" s="211"/>
      <c r="G20" s="211"/>
      <c r="H20" s="211"/>
      <c r="I20" s="211"/>
      <c r="J20" s="212"/>
    </row>
    <row r="22" spans="1:10" ht="22.5" customHeight="1">
      <c r="A22" s="379" t="s">
        <v>306</v>
      </c>
      <c r="B22" s="380"/>
      <c r="C22" s="380"/>
      <c r="D22" s="380"/>
      <c r="E22" s="380"/>
      <c r="F22" s="380"/>
      <c r="G22" s="380"/>
      <c r="H22" s="380"/>
      <c r="I22" s="380"/>
      <c r="J22" s="380"/>
    </row>
    <row r="23" spans="1:10" ht="19.5" customHeight="1">
      <c r="A23" s="381" t="s">
        <v>187</v>
      </c>
      <c r="B23" s="382"/>
      <c r="C23" s="383"/>
      <c r="D23" s="384" t="s">
        <v>307</v>
      </c>
      <c r="E23" s="385"/>
      <c r="F23" s="386"/>
      <c r="G23" s="89" t="s">
        <v>292</v>
      </c>
      <c r="H23" s="89" t="s">
        <v>308</v>
      </c>
      <c r="I23" s="89" t="s">
        <v>309</v>
      </c>
      <c r="J23" s="89" t="s">
        <v>310</v>
      </c>
    </row>
    <row r="24" spans="1:10">
      <c r="A24" s="376"/>
      <c r="B24" s="377"/>
      <c r="C24" s="378"/>
      <c r="D24" s="373"/>
      <c r="E24" s="374"/>
      <c r="F24" s="375"/>
      <c r="G24" s="146"/>
      <c r="H24" s="146"/>
      <c r="I24" s="146"/>
      <c r="J24" s="146"/>
    </row>
    <row r="25" spans="1:10">
      <c r="A25" s="376"/>
      <c r="B25" s="377"/>
      <c r="C25" s="378"/>
      <c r="D25" s="373"/>
      <c r="E25" s="374"/>
      <c r="F25" s="375"/>
      <c r="G25" s="146"/>
      <c r="H25" s="146"/>
      <c r="I25" s="146"/>
      <c r="J25" s="146"/>
    </row>
    <row r="26" spans="1:10">
      <c r="A26" s="376"/>
      <c r="B26" s="377"/>
      <c r="C26" s="378"/>
      <c r="D26" s="373"/>
      <c r="E26" s="374"/>
      <c r="F26" s="375"/>
      <c r="G26" s="146"/>
      <c r="H26" s="146"/>
      <c r="I26" s="146"/>
      <c r="J26" s="146"/>
    </row>
    <row r="27" spans="1:10">
      <c r="A27" s="376"/>
      <c r="B27" s="377"/>
      <c r="C27" s="378"/>
      <c r="D27" s="373"/>
      <c r="E27" s="374"/>
      <c r="F27" s="375"/>
      <c r="G27" s="146"/>
      <c r="H27" s="146"/>
      <c r="I27" s="146"/>
      <c r="J27" s="146"/>
    </row>
    <row r="28" spans="1:10">
      <c r="A28" s="376"/>
      <c r="B28" s="377"/>
      <c r="C28" s="378"/>
      <c r="D28" s="373"/>
      <c r="E28" s="374"/>
      <c r="F28" s="375"/>
      <c r="G28" s="146"/>
      <c r="H28" s="146"/>
      <c r="I28" s="146"/>
      <c r="J28" s="146"/>
    </row>
    <row r="29" spans="1:10">
      <c r="A29" s="376"/>
      <c r="B29" s="377"/>
      <c r="C29" s="378"/>
      <c r="D29" s="373"/>
      <c r="E29" s="374"/>
      <c r="F29" s="375"/>
      <c r="G29" s="146"/>
      <c r="H29" s="146"/>
      <c r="I29" s="146"/>
      <c r="J29" s="146"/>
    </row>
    <row r="30" spans="1:10">
      <c r="A30" s="372"/>
      <c r="B30" s="372"/>
      <c r="C30" s="372"/>
      <c r="D30" s="373"/>
      <c r="E30" s="374"/>
      <c r="F30" s="375"/>
      <c r="G30" s="146"/>
      <c r="H30" s="146"/>
      <c r="I30" s="146"/>
      <c r="J30" s="146"/>
    </row>
    <row r="31" spans="1:10">
      <c r="A31" s="12"/>
      <c r="B31" s="12"/>
      <c r="C31" s="12"/>
      <c r="D31" s="12"/>
      <c r="E31" s="12"/>
      <c r="F31" s="12"/>
      <c r="G31" s="12"/>
      <c r="H31" s="12"/>
      <c r="I31" s="12"/>
      <c r="J31" s="12"/>
    </row>
    <row r="32" spans="1:10">
      <c r="A32" s="12"/>
      <c r="B32" s="12"/>
      <c r="C32" s="12"/>
      <c r="D32" s="12"/>
      <c r="E32" s="12"/>
      <c r="F32" s="12"/>
      <c r="G32" s="12"/>
      <c r="H32" s="12"/>
      <c r="I32" s="12"/>
      <c r="J32" s="12"/>
    </row>
    <row r="33" spans="1:10">
      <c r="A33" s="12"/>
      <c r="B33" s="12"/>
      <c r="C33" s="12"/>
      <c r="D33" s="12"/>
      <c r="E33" s="12"/>
      <c r="F33" s="12"/>
      <c r="G33" s="12"/>
      <c r="H33" s="12"/>
      <c r="I33" s="12"/>
      <c r="J33" s="12"/>
    </row>
    <row r="66" spans="6:6">
      <c r="F66" s="3"/>
    </row>
  </sheetData>
  <mergeCells count="29">
    <mergeCell ref="A6:J7"/>
    <mergeCell ref="A8:J9"/>
    <mergeCell ref="A10:J11"/>
    <mergeCell ref="A13:J13"/>
    <mergeCell ref="A14:B14"/>
    <mergeCell ref="C14:J14"/>
    <mergeCell ref="A22:J22"/>
    <mergeCell ref="A23:C23"/>
    <mergeCell ref="D23:F23"/>
    <mergeCell ref="A15:B16"/>
    <mergeCell ref="C15:J16"/>
    <mergeCell ref="A17:B18"/>
    <mergeCell ref="C17:J18"/>
    <mergeCell ref="A19:B20"/>
    <mergeCell ref="C19:J20"/>
    <mergeCell ref="A24:C24"/>
    <mergeCell ref="D24:F24"/>
    <mergeCell ref="A25:C25"/>
    <mergeCell ref="D25:F25"/>
    <mergeCell ref="A26:C26"/>
    <mergeCell ref="D26:F26"/>
    <mergeCell ref="A30:C30"/>
    <mergeCell ref="D30:F30"/>
    <mergeCell ref="A27:C27"/>
    <mergeCell ref="D27:F27"/>
    <mergeCell ref="A28:C28"/>
    <mergeCell ref="D28:F28"/>
    <mergeCell ref="A29:C29"/>
    <mergeCell ref="D29:F29"/>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showGridLines="0" zoomScaleNormal="100" workbookViewId="0">
      <selection activeCell="M31" sqref="M31"/>
    </sheetView>
  </sheetViews>
  <sheetFormatPr defaultColWidth="9.28515625" defaultRowHeight="15"/>
  <cols>
    <col min="1" max="1" width="9.28515625" style="2" customWidth="1"/>
    <col min="2" max="2" width="14.5703125" style="2" bestFit="1" customWidth="1"/>
    <col min="3" max="5" width="9.28515625" style="2"/>
    <col min="6" max="7" width="9.5703125" style="2" bestFit="1" customWidth="1"/>
    <col min="8" max="9" width="9.28515625" style="2"/>
    <col min="10" max="10" width="10.42578125" style="2" customWidth="1"/>
    <col min="11" max="16384" width="9.28515625" style="2"/>
  </cols>
  <sheetData>
    <row r="1" spans="1:16">
      <c r="A1" s="128" t="str">
        <f>+'Cover Page'!$B$29</f>
        <v>Annual Performance Report 2022</v>
      </c>
      <c r="B1" s="128"/>
      <c r="C1" s="128"/>
      <c r="D1" s="128"/>
      <c r="E1" s="128" t="str">
        <f>+'Cover Page'!$B$33</f>
        <v>SUEZ R&amp;R Wilton 11 EfW</v>
      </c>
      <c r="F1" s="128"/>
      <c r="G1" s="128"/>
      <c r="H1" s="128"/>
      <c r="I1" s="128"/>
      <c r="J1" s="128"/>
      <c r="K1" s="128"/>
      <c r="L1" s="128"/>
      <c r="M1" s="128"/>
      <c r="N1" s="128"/>
      <c r="O1" s="128"/>
      <c r="P1" s="128"/>
    </row>
    <row r="2" spans="1:16" ht="7.5" customHeight="1">
      <c r="A2" s="128"/>
      <c r="B2" s="128"/>
      <c r="C2" s="128"/>
      <c r="D2" s="128"/>
      <c r="E2" s="128"/>
      <c r="F2" s="128"/>
      <c r="G2" s="128"/>
      <c r="H2" s="128"/>
      <c r="I2" s="128"/>
      <c r="J2" s="128"/>
      <c r="K2" s="128"/>
      <c r="L2" s="128"/>
      <c r="M2" s="128"/>
      <c r="N2" s="128"/>
      <c r="O2" s="128"/>
      <c r="P2" s="128"/>
    </row>
    <row r="3" spans="1:16" ht="15.6">
      <c r="A3" s="1" t="s">
        <v>43</v>
      </c>
      <c r="B3" s="128"/>
      <c r="C3" s="128"/>
      <c r="D3" s="128"/>
      <c r="E3" s="128"/>
      <c r="F3" s="128"/>
      <c r="G3" s="128"/>
      <c r="H3" s="128"/>
      <c r="I3" s="128"/>
      <c r="J3" s="128"/>
      <c r="K3" s="128"/>
      <c r="L3" s="128"/>
      <c r="M3" s="128"/>
      <c r="N3" s="128"/>
      <c r="O3" s="128"/>
      <c r="P3" s="128"/>
    </row>
    <row r="4" spans="1:16" ht="9.75" customHeight="1">
      <c r="A4" s="1"/>
      <c r="B4" s="128"/>
      <c r="C4" s="128"/>
      <c r="D4" s="128"/>
      <c r="E4" s="128"/>
      <c r="F4" s="128"/>
      <c r="G4" s="128"/>
      <c r="H4" s="128"/>
      <c r="I4" s="128"/>
      <c r="J4" s="128"/>
      <c r="K4" s="128"/>
      <c r="L4" s="128"/>
      <c r="M4" s="128"/>
      <c r="N4" s="128"/>
      <c r="O4" s="128"/>
      <c r="P4" s="128"/>
    </row>
    <row r="5" spans="1:16" s="3" customFormat="1" ht="21.75" customHeight="1">
      <c r="A5" s="82" t="s">
        <v>311</v>
      </c>
      <c r="B5" s="83"/>
      <c r="C5" s="83"/>
      <c r="D5" s="83"/>
      <c r="E5" s="83"/>
      <c r="F5" s="83"/>
      <c r="G5" s="83"/>
      <c r="H5" s="83"/>
      <c r="I5" s="83"/>
      <c r="J5" s="84"/>
      <c r="M5" s="121" t="s">
        <v>3</v>
      </c>
    </row>
    <row r="6" spans="1:16" s="3" customFormat="1" ht="15.75" customHeight="1">
      <c r="A6" s="345" t="s">
        <v>312</v>
      </c>
      <c r="B6" s="205"/>
      <c r="C6" s="205"/>
      <c r="D6" s="205"/>
      <c r="E6" s="205"/>
      <c r="F6" s="205"/>
      <c r="G6" s="205"/>
      <c r="H6" s="205"/>
      <c r="I6" s="205"/>
      <c r="J6" s="206"/>
      <c r="M6" s="400" t="s">
        <v>313</v>
      </c>
      <c r="N6" s="400"/>
      <c r="O6" s="400"/>
      <c r="P6" s="400"/>
    </row>
    <row r="7" spans="1:16" s="3" customFormat="1" ht="15.75" customHeight="1">
      <c r="A7" s="210"/>
      <c r="B7" s="211"/>
      <c r="C7" s="211"/>
      <c r="D7" s="211"/>
      <c r="E7" s="211"/>
      <c r="F7" s="211"/>
      <c r="G7" s="211"/>
      <c r="H7" s="211"/>
      <c r="I7" s="211"/>
      <c r="J7" s="212"/>
      <c r="M7" s="400"/>
      <c r="N7" s="400"/>
      <c r="O7" s="400"/>
      <c r="P7" s="400"/>
    </row>
    <row r="8" spans="1:16" s="3" customFormat="1" ht="13.9">
      <c r="M8" s="400"/>
      <c r="N8" s="400"/>
      <c r="O8" s="400"/>
      <c r="P8" s="400"/>
    </row>
    <row r="9" spans="1:16" s="91" customFormat="1" ht="16.5" customHeight="1">
      <c r="A9" s="371" t="s">
        <v>314</v>
      </c>
      <c r="B9" s="371"/>
      <c r="C9" s="371"/>
      <c r="D9" s="371"/>
      <c r="E9" s="371"/>
      <c r="F9" s="371"/>
      <c r="G9" s="371"/>
      <c r="H9" s="371"/>
      <c r="I9" s="371"/>
      <c r="J9" s="371"/>
      <c r="M9" s="400"/>
      <c r="N9" s="400"/>
      <c r="O9" s="400"/>
      <c r="P9" s="400"/>
    </row>
    <row r="10" spans="1:16" s="91" customFormat="1" ht="16.5" customHeight="1">
      <c r="A10" s="387" t="s">
        <v>214</v>
      </c>
      <c r="B10" s="388"/>
      <c r="C10" s="398" t="s">
        <v>315</v>
      </c>
      <c r="D10" s="394" t="s">
        <v>316</v>
      </c>
      <c r="E10" s="395"/>
      <c r="F10" s="391" t="s">
        <v>310</v>
      </c>
      <c r="G10" s="392"/>
      <c r="H10" s="392"/>
      <c r="I10" s="392"/>
      <c r="J10" s="393"/>
      <c r="M10" s="400" t="s">
        <v>317</v>
      </c>
      <c r="N10" s="400"/>
      <c r="O10" s="400"/>
      <c r="P10" s="400"/>
    </row>
    <row r="11" spans="1:16" s="12" customFormat="1" ht="17.25" customHeight="1">
      <c r="A11" s="389"/>
      <c r="B11" s="390"/>
      <c r="C11" s="399"/>
      <c r="D11" s="396"/>
      <c r="E11" s="397"/>
      <c r="F11" s="145" t="s">
        <v>189</v>
      </c>
      <c r="G11" s="145" t="s">
        <v>190</v>
      </c>
      <c r="H11" s="145" t="s">
        <v>191</v>
      </c>
      <c r="I11" s="145" t="s">
        <v>192</v>
      </c>
      <c r="J11" s="145" t="s">
        <v>193</v>
      </c>
      <c r="M11" s="400"/>
      <c r="N11" s="400"/>
      <c r="O11" s="400"/>
      <c r="P11" s="400"/>
    </row>
    <row r="12" spans="1:16" s="12" customFormat="1" ht="23.25" customHeight="1">
      <c r="A12" s="239" t="s">
        <v>225</v>
      </c>
      <c r="B12" s="239"/>
      <c r="C12" s="88" t="s">
        <v>318</v>
      </c>
      <c r="D12" s="282" t="s">
        <v>319</v>
      </c>
      <c r="E12" s="282"/>
      <c r="F12" s="144">
        <v>2.9000000000000001E-2</v>
      </c>
      <c r="G12" s="144">
        <v>2.8500000000000001E-3</v>
      </c>
      <c r="H12" s="146"/>
      <c r="I12" s="146"/>
      <c r="J12" s="146"/>
      <c r="M12" s="400"/>
      <c r="N12" s="400"/>
      <c r="O12" s="400"/>
      <c r="P12" s="400"/>
    </row>
    <row r="13" spans="1:16" s="12" customFormat="1" ht="23.25" customHeight="1">
      <c r="A13" s="239" t="s">
        <v>320</v>
      </c>
      <c r="B13" s="239"/>
      <c r="C13" s="88" t="s">
        <v>321</v>
      </c>
      <c r="D13" s="282" t="s">
        <v>322</v>
      </c>
      <c r="E13" s="282"/>
      <c r="F13" s="144">
        <v>4.57E-4</v>
      </c>
      <c r="G13" s="144">
        <v>8.4000000000000003E-4</v>
      </c>
      <c r="H13" s="146"/>
      <c r="I13" s="146"/>
      <c r="J13" s="146"/>
    </row>
    <row r="14" spans="1:16" s="12" customFormat="1" ht="23.25" customHeight="1">
      <c r="A14" s="239" t="s">
        <v>323</v>
      </c>
      <c r="B14" s="239"/>
      <c r="C14" s="88" t="s">
        <v>321</v>
      </c>
      <c r="D14" s="282" t="s">
        <v>322</v>
      </c>
      <c r="E14" s="282"/>
      <c r="F14" s="144">
        <v>3.3E-3</v>
      </c>
      <c r="G14" s="144">
        <v>9.7999999999999997E-4</v>
      </c>
      <c r="H14" s="146"/>
      <c r="I14" s="146"/>
      <c r="J14" s="146"/>
    </row>
    <row r="15" spans="1:16" s="12" customFormat="1" ht="23.25" customHeight="1">
      <c r="A15" s="239" t="s">
        <v>324</v>
      </c>
      <c r="B15" s="239"/>
      <c r="C15" s="88" t="s">
        <v>321</v>
      </c>
      <c r="D15" s="282" t="s">
        <v>325</v>
      </c>
      <c r="E15" s="282"/>
      <c r="F15" s="144">
        <v>1.3299999999999999E-2</v>
      </c>
      <c r="G15" s="144">
        <v>1.9199999999999998E-2</v>
      </c>
      <c r="H15" s="146"/>
      <c r="I15" s="146"/>
      <c r="J15" s="146"/>
    </row>
    <row r="16" spans="1:16" s="12" customFormat="1" ht="23.25" customHeight="1">
      <c r="A16" s="239" t="s">
        <v>326</v>
      </c>
      <c r="B16" s="239"/>
      <c r="C16" s="88" t="s">
        <v>321</v>
      </c>
      <c r="D16" s="282" t="s">
        <v>327</v>
      </c>
      <c r="E16" s="282"/>
      <c r="F16" s="144">
        <v>1.7600000000000001E-2</v>
      </c>
      <c r="G16" s="144">
        <v>5.8500000000000002E-3</v>
      </c>
      <c r="H16" s="146"/>
      <c r="I16" s="146"/>
      <c r="J16" s="146"/>
    </row>
    <row r="17" spans="1:10" s="12" customFormat="1" ht="23.25" customHeight="1">
      <c r="A17" s="239" t="s">
        <v>328</v>
      </c>
      <c r="B17" s="239"/>
      <c r="C17" s="88" t="s">
        <v>321</v>
      </c>
      <c r="D17" s="282" t="s">
        <v>329</v>
      </c>
      <c r="E17" s="282"/>
      <c r="F17" s="144">
        <v>2.3E-3</v>
      </c>
      <c r="G17" s="144">
        <v>5.1999999999999995E-4</v>
      </c>
      <c r="H17" s="146"/>
      <c r="I17" s="146"/>
      <c r="J17" s="146"/>
    </row>
    <row r="18" spans="1:10" s="12" customFormat="1" ht="23.25" customHeight="1">
      <c r="A18" s="239" t="s">
        <v>330</v>
      </c>
      <c r="B18" s="239"/>
      <c r="C18" s="88" t="s">
        <v>321</v>
      </c>
      <c r="D18" s="282" t="s">
        <v>329</v>
      </c>
      <c r="E18" s="282"/>
      <c r="F18" s="144">
        <v>2.5000000000000001E-4</v>
      </c>
      <c r="G18" s="144">
        <v>3.4E-5</v>
      </c>
      <c r="H18" s="146"/>
      <c r="I18" s="146"/>
      <c r="J18" s="146"/>
    </row>
    <row r="19" spans="1:10" s="12" customFormat="1" ht="23.25" customHeight="1">
      <c r="A19" s="239" t="s">
        <v>331</v>
      </c>
      <c r="B19" s="239"/>
      <c r="C19" s="88" t="s">
        <v>321</v>
      </c>
      <c r="D19" s="282" t="s">
        <v>329</v>
      </c>
      <c r="E19" s="282"/>
      <c r="F19" s="144">
        <v>1.5049999999999999E-2</v>
      </c>
      <c r="G19" s="144">
        <v>5.8999999999999999E-3</v>
      </c>
      <c r="H19" s="146"/>
      <c r="I19" s="146"/>
      <c r="J19" s="146"/>
    </row>
    <row r="20" spans="1:10" s="12" customFormat="1" ht="23.25" customHeight="1">
      <c r="A20" s="239" t="s">
        <v>332</v>
      </c>
      <c r="B20" s="239"/>
      <c r="C20" s="88" t="s">
        <v>321</v>
      </c>
      <c r="D20" s="282" t="s">
        <v>329</v>
      </c>
      <c r="E20" s="282"/>
      <c r="F20" s="144">
        <v>1.865E-2</v>
      </c>
      <c r="G20" s="144">
        <v>5.8500000000000002E-3</v>
      </c>
      <c r="H20" s="146"/>
      <c r="I20" s="146"/>
      <c r="J20" s="146"/>
    </row>
    <row r="21" spans="1:10" s="12" customFormat="1" ht="23.25" customHeight="1">
      <c r="A21" s="239" t="s">
        <v>333</v>
      </c>
      <c r="B21" s="239"/>
      <c r="C21" s="88" t="s">
        <v>321</v>
      </c>
      <c r="D21" s="282" t="s">
        <v>329</v>
      </c>
      <c r="E21" s="282"/>
      <c r="F21" s="144">
        <v>1.9400000000000001E-2</v>
      </c>
      <c r="G21" s="144">
        <v>6.0000000000000001E-3</v>
      </c>
      <c r="H21" s="146"/>
      <c r="I21" s="146"/>
      <c r="J21" s="146"/>
    </row>
    <row r="22" spans="1:10" s="12" customFormat="1" ht="23.25" customHeight="1">
      <c r="A22" s="239" t="s">
        <v>334</v>
      </c>
      <c r="B22" s="239"/>
      <c r="C22" s="88" t="s">
        <v>321</v>
      </c>
      <c r="D22" s="282" t="s">
        <v>329</v>
      </c>
      <c r="E22" s="282"/>
      <c r="F22" s="144">
        <v>3.4000000000000002E-2</v>
      </c>
      <c r="G22" s="144">
        <v>9.1500000000000001E-3</v>
      </c>
      <c r="H22" s="146"/>
      <c r="I22" s="146"/>
      <c r="J22" s="146"/>
    </row>
    <row r="23" spans="1:10" s="12" customFormat="1" ht="23.25" customHeight="1">
      <c r="A23" s="239" t="s">
        <v>335</v>
      </c>
      <c r="B23" s="239"/>
      <c r="C23" s="88" t="s">
        <v>321</v>
      </c>
      <c r="D23" s="282" t="s">
        <v>336</v>
      </c>
      <c r="E23" s="282"/>
      <c r="F23" s="144">
        <v>1.4E-3</v>
      </c>
      <c r="G23" s="144">
        <v>1.4E-3</v>
      </c>
      <c r="H23" s="146"/>
      <c r="I23" s="146"/>
      <c r="J23" s="146"/>
    </row>
    <row r="24" spans="1:10" s="12" customFormat="1" ht="23.25" customHeight="1">
      <c r="A24" s="239" t="s">
        <v>337</v>
      </c>
      <c r="B24" s="239"/>
      <c r="C24" s="88" t="s">
        <v>321</v>
      </c>
      <c r="D24" s="282" t="s">
        <v>336</v>
      </c>
      <c r="E24" s="282"/>
      <c r="F24" s="144">
        <v>3.3500000000000001E-3</v>
      </c>
      <c r="G24" s="144">
        <v>1.4E-3</v>
      </c>
      <c r="H24" s="146"/>
      <c r="I24" s="146"/>
      <c r="J24" s="146"/>
    </row>
    <row r="25" spans="1:10" s="12" customFormat="1" ht="23.25" customHeight="1">
      <c r="A25" s="239" t="s">
        <v>338</v>
      </c>
      <c r="B25" s="239"/>
      <c r="C25" s="88" t="s">
        <v>321</v>
      </c>
      <c r="D25" s="282" t="s">
        <v>336</v>
      </c>
      <c r="E25" s="282"/>
      <c r="F25" s="144">
        <v>1.6000000000000001E-3</v>
      </c>
      <c r="G25" s="144">
        <v>1.4E-3</v>
      </c>
      <c r="H25" s="146"/>
      <c r="I25" s="146"/>
      <c r="J25" s="146"/>
    </row>
    <row r="26" spans="1:10" s="12" customFormat="1" ht="23.25" customHeight="1">
      <c r="A26" s="239" t="s">
        <v>339</v>
      </c>
      <c r="B26" s="239"/>
      <c r="C26" s="88" t="s">
        <v>321</v>
      </c>
      <c r="D26" s="282" t="s">
        <v>336</v>
      </c>
      <c r="E26" s="282"/>
      <c r="F26" s="144">
        <v>2.5500000000000002E-3</v>
      </c>
      <c r="G26" s="144">
        <v>1.4E-3</v>
      </c>
      <c r="H26" s="146"/>
      <c r="I26" s="146"/>
      <c r="J26" s="146"/>
    </row>
    <row r="27" spans="1:10" s="12" customFormat="1" ht="23.25" customHeight="1">
      <c r="A27" s="239" t="s">
        <v>340</v>
      </c>
      <c r="B27" s="239"/>
      <c r="C27" s="88" t="s">
        <v>321</v>
      </c>
      <c r="D27" s="282" t="s">
        <v>336</v>
      </c>
      <c r="E27" s="282"/>
      <c r="F27" s="144">
        <v>1.4E-3</v>
      </c>
      <c r="G27" s="144">
        <v>1.4E-3</v>
      </c>
      <c r="H27" s="146"/>
      <c r="I27" s="146"/>
      <c r="J27" s="146"/>
    </row>
    <row r="28" spans="1:10" s="12" customFormat="1" ht="23.25" customHeight="1">
      <c r="A28" s="239" t="s">
        <v>341</v>
      </c>
      <c r="B28" s="239"/>
      <c r="C28" s="88" t="s">
        <v>321</v>
      </c>
      <c r="D28" s="282" t="s">
        <v>336</v>
      </c>
      <c r="E28" s="282"/>
      <c r="F28" s="144">
        <v>1.5499999999999999E-3</v>
      </c>
      <c r="G28" s="144">
        <v>1.4E-3</v>
      </c>
      <c r="H28" s="146"/>
      <c r="I28" s="146"/>
      <c r="J28" s="146"/>
    </row>
    <row r="29" spans="1:10" s="12" customFormat="1" ht="23.25" customHeight="1">
      <c r="A29" s="239" t="s">
        <v>342</v>
      </c>
      <c r="B29" s="239"/>
      <c r="C29" s="88" t="s">
        <v>321</v>
      </c>
      <c r="D29" s="282" t="s">
        <v>336</v>
      </c>
      <c r="E29" s="282"/>
      <c r="F29" s="144">
        <v>2.2499999999999998E-3</v>
      </c>
      <c r="G29" s="144">
        <v>1.4E-3</v>
      </c>
      <c r="H29" s="146"/>
      <c r="I29" s="146"/>
      <c r="J29" s="146"/>
    </row>
    <row r="30" spans="1:10" s="12" customFormat="1" ht="23.25" customHeight="1">
      <c r="A30" s="239" t="s">
        <v>343</v>
      </c>
      <c r="B30" s="239"/>
      <c r="C30" s="88" t="s">
        <v>321</v>
      </c>
      <c r="D30" s="282" t="s">
        <v>336</v>
      </c>
      <c r="E30" s="282"/>
      <c r="F30" s="144">
        <v>1.5E-3</v>
      </c>
      <c r="G30" s="144">
        <v>1.4E-3</v>
      </c>
      <c r="H30" s="146"/>
      <c r="I30" s="146"/>
      <c r="J30" s="146"/>
    </row>
    <row r="31" spans="1:10" s="12" customFormat="1" ht="23.25" customHeight="1">
      <c r="A31" s="239" t="s">
        <v>344</v>
      </c>
      <c r="B31" s="239"/>
      <c r="C31" s="88" t="s">
        <v>321</v>
      </c>
      <c r="D31" s="282" t="s">
        <v>336</v>
      </c>
      <c r="E31" s="282"/>
      <c r="F31" s="144">
        <v>1.4E-3</v>
      </c>
      <c r="G31" s="144">
        <v>1.4E-3</v>
      </c>
      <c r="H31" s="146"/>
      <c r="I31" s="146"/>
      <c r="J31" s="146"/>
    </row>
    <row r="32" spans="1:10" s="12" customFormat="1" ht="23.25" customHeight="1">
      <c r="A32" s="239" t="s">
        <v>345</v>
      </c>
      <c r="B32" s="239"/>
      <c r="C32" s="88" t="s">
        <v>321</v>
      </c>
      <c r="D32" s="282" t="s">
        <v>336</v>
      </c>
      <c r="E32" s="282"/>
      <c r="F32" s="144">
        <v>4.4999999999999997E-3</v>
      </c>
      <c r="G32" s="144">
        <v>1.75E-3</v>
      </c>
      <c r="H32" s="146"/>
      <c r="I32" s="146"/>
      <c r="J32" s="146"/>
    </row>
    <row r="33" spans="1:10" s="12" customFormat="1" ht="23.25" customHeight="1">
      <c r="A33" s="239" t="s">
        <v>346</v>
      </c>
      <c r="B33" s="239"/>
      <c r="C33" s="88" t="s">
        <v>321</v>
      </c>
      <c r="D33" s="282" t="s">
        <v>336</v>
      </c>
      <c r="E33" s="282"/>
      <c r="F33" s="144">
        <v>1.9E-3</v>
      </c>
      <c r="G33" s="144">
        <v>1.4E-3</v>
      </c>
      <c r="H33" s="146"/>
      <c r="I33" s="146"/>
      <c r="J33" s="146"/>
    </row>
    <row r="34" spans="1:10" s="12" customFormat="1" ht="23.25" customHeight="1">
      <c r="A34" s="239" t="s">
        <v>347</v>
      </c>
      <c r="B34" s="239"/>
      <c r="C34" s="88" t="s">
        <v>321</v>
      </c>
      <c r="D34" s="282" t="s">
        <v>336</v>
      </c>
      <c r="E34" s="282"/>
      <c r="F34" s="144">
        <v>1.4E-3</v>
      </c>
      <c r="G34" s="144">
        <v>1.4E-3</v>
      </c>
      <c r="H34" s="146"/>
      <c r="I34" s="146"/>
      <c r="J34" s="146"/>
    </row>
    <row r="35" spans="1:10" s="12" customFormat="1" ht="23.25" customHeight="1">
      <c r="A35" s="239" t="s">
        <v>348</v>
      </c>
      <c r="B35" s="239"/>
      <c r="C35" s="88" t="s">
        <v>321</v>
      </c>
      <c r="D35" s="282" t="s">
        <v>336</v>
      </c>
      <c r="E35" s="282"/>
      <c r="F35" s="144">
        <v>1.4E-3</v>
      </c>
      <c r="G35" s="144">
        <v>1.4E-3</v>
      </c>
      <c r="H35" s="146"/>
      <c r="I35" s="146"/>
      <c r="J35" s="146"/>
    </row>
    <row r="36" spans="1:10" s="12" customFormat="1" ht="23.25" customHeight="1">
      <c r="A36" s="239" t="s">
        <v>349</v>
      </c>
      <c r="B36" s="239"/>
      <c r="C36" s="88" t="s">
        <v>321</v>
      </c>
      <c r="D36" s="282" t="s">
        <v>336</v>
      </c>
      <c r="E36" s="282"/>
      <c r="F36" s="144">
        <v>1.8350000000000002E-2</v>
      </c>
      <c r="G36" s="144">
        <v>9.9500000000000005E-3</v>
      </c>
      <c r="H36" s="146"/>
      <c r="I36" s="146"/>
      <c r="J36" s="146"/>
    </row>
    <row r="37" spans="1:10" s="12" customFormat="1" ht="23.25" customHeight="1">
      <c r="A37" s="239" t="s">
        <v>350</v>
      </c>
      <c r="B37" s="239"/>
      <c r="C37" s="88" t="s">
        <v>321</v>
      </c>
      <c r="D37" s="282" t="s">
        <v>336</v>
      </c>
      <c r="E37" s="282"/>
      <c r="F37" s="144">
        <v>2.5000000000000001E-3</v>
      </c>
      <c r="G37" s="144">
        <v>1.4E-3</v>
      </c>
      <c r="H37" s="146"/>
      <c r="I37" s="146"/>
      <c r="J37" s="146"/>
    </row>
    <row r="38" spans="1:10" s="12" customFormat="1" ht="23.25" customHeight="1">
      <c r="A38" s="239" t="s">
        <v>351</v>
      </c>
      <c r="B38" s="239"/>
      <c r="C38" s="88" t="s">
        <v>321</v>
      </c>
      <c r="D38" s="282" t="s">
        <v>336</v>
      </c>
      <c r="E38" s="282"/>
      <c r="F38" s="144">
        <v>0.125</v>
      </c>
      <c r="G38" s="144">
        <v>8.6499999999999994E-2</v>
      </c>
      <c r="H38" s="146"/>
      <c r="I38" s="146"/>
      <c r="J38" s="146"/>
    </row>
    <row r="39" spans="1:10">
      <c r="A39" s="240" t="s">
        <v>304</v>
      </c>
      <c r="B39" s="240"/>
      <c r="C39" s="240"/>
      <c r="D39" s="240"/>
      <c r="E39" s="240"/>
      <c r="F39" s="240"/>
      <c r="G39" s="240"/>
      <c r="H39" s="240"/>
      <c r="I39" s="240"/>
      <c r="J39" s="240"/>
    </row>
    <row r="40" spans="1:10">
      <c r="A40" s="363"/>
      <c r="B40" s="363"/>
      <c r="C40" s="363"/>
      <c r="D40" s="363"/>
      <c r="E40" s="363"/>
      <c r="F40" s="363"/>
      <c r="G40" s="363"/>
      <c r="H40" s="363"/>
      <c r="I40" s="363"/>
      <c r="J40" s="363"/>
    </row>
    <row r="41" spans="1:10">
      <c r="A41" s="363"/>
      <c r="B41" s="363"/>
      <c r="C41" s="363"/>
      <c r="D41" s="363"/>
      <c r="E41" s="363"/>
      <c r="F41" s="363"/>
      <c r="G41" s="363"/>
      <c r="H41" s="363"/>
      <c r="I41" s="363"/>
      <c r="J41" s="363"/>
    </row>
    <row r="64" spans="6:6">
      <c r="F64" s="3"/>
    </row>
  </sheetData>
  <mergeCells count="64">
    <mergeCell ref="M6:P9"/>
    <mergeCell ref="M10:P12"/>
    <mergeCell ref="A9:J9"/>
    <mergeCell ref="A6:J7"/>
    <mergeCell ref="A12:B12"/>
    <mergeCell ref="A13:B13"/>
    <mergeCell ref="D12:E12"/>
    <mergeCell ref="D13:E13"/>
    <mergeCell ref="A10:B11"/>
    <mergeCell ref="F10:J10"/>
    <mergeCell ref="D10:E11"/>
    <mergeCell ref="C10:C11"/>
    <mergeCell ref="A17:B17"/>
    <mergeCell ref="A18:B18"/>
    <mergeCell ref="A19:B19"/>
    <mergeCell ref="A14:B14"/>
    <mergeCell ref="A15:B15"/>
    <mergeCell ref="A16:B16"/>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J39"/>
    <mergeCell ref="A20:B20"/>
    <mergeCell ref="A21:B21"/>
    <mergeCell ref="A22:B22"/>
    <mergeCell ref="D35:E35"/>
    <mergeCell ref="D36:E36"/>
    <mergeCell ref="A34:B34"/>
    <mergeCell ref="A35:B35"/>
    <mergeCell ref="A36:B36"/>
    <mergeCell ref="A37:B37"/>
    <mergeCell ref="A25:B25"/>
    <mergeCell ref="D33:E33"/>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showGridLines="0" topLeftCell="A19" zoomScaleNormal="100" workbookViewId="0">
      <selection activeCell="E49" sqref="E49"/>
    </sheetView>
  </sheetViews>
  <sheetFormatPr defaultColWidth="9.28515625" defaultRowHeight="15"/>
  <cols>
    <col min="1" max="1" width="21.28515625" style="2" customWidth="1"/>
    <col min="2" max="2" width="13.7109375" style="2" customWidth="1"/>
    <col min="3" max="3" width="16.28515625" style="2" customWidth="1"/>
    <col min="4" max="12" width="9.28515625" style="2"/>
    <col min="13" max="13" width="10.42578125" style="2" customWidth="1"/>
    <col min="14" max="16384" width="9.28515625" style="2"/>
  </cols>
  <sheetData>
    <row r="1" spans="1:16">
      <c r="A1" s="128" t="str">
        <f>+'Cover Page'!$B$29</f>
        <v>Annual Performance Report 2022</v>
      </c>
      <c r="B1" s="128"/>
      <c r="C1" s="128"/>
      <c r="D1" s="128"/>
      <c r="E1" s="128"/>
      <c r="F1" s="128"/>
      <c r="G1" s="128"/>
      <c r="H1" s="128"/>
      <c r="I1" s="128" t="str">
        <f>+'Cover Page'!$B$33</f>
        <v>SUEZ R&amp;R Wilton 11 EfW</v>
      </c>
      <c r="J1" s="128"/>
      <c r="K1" s="128"/>
      <c r="L1" s="128"/>
      <c r="M1" s="128"/>
      <c r="N1" s="128"/>
      <c r="O1" s="128"/>
      <c r="P1" s="128"/>
    </row>
    <row r="3" spans="1:16" ht="15.6">
      <c r="A3" s="1" t="s">
        <v>352</v>
      </c>
      <c r="B3" s="128"/>
      <c r="C3" s="128"/>
      <c r="D3" s="128"/>
      <c r="E3" s="128"/>
      <c r="F3" s="128"/>
      <c r="G3" s="128"/>
      <c r="H3" s="128"/>
      <c r="I3" s="128"/>
      <c r="J3" s="128"/>
      <c r="K3" s="128"/>
      <c r="L3" s="128"/>
      <c r="M3" s="128"/>
      <c r="N3" s="128"/>
      <c r="O3" s="128"/>
      <c r="P3" s="128"/>
    </row>
    <row r="4" spans="1:16" ht="15.6">
      <c r="A4" s="1"/>
      <c r="B4" s="128"/>
      <c r="C4" s="128"/>
      <c r="D4" s="128"/>
      <c r="E4" s="128"/>
      <c r="F4" s="128"/>
      <c r="G4" s="128"/>
      <c r="H4" s="128"/>
      <c r="I4" s="128"/>
      <c r="J4" s="128"/>
      <c r="K4" s="128"/>
      <c r="L4" s="128"/>
      <c r="M4" s="128"/>
      <c r="N4" s="128"/>
      <c r="O4" s="128"/>
      <c r="P4" s="111" t="s">
        <v>3</v>
      </c>
    </row>
    <row r="5" spans="1:16" s="3" customFormat="1" ht="21.75" customHeight="1">
      <c r="A5" s="82" t="s">
        <v>311</v>
      </c>
      <c r="B5" s="83"/>
      <c r="C5" s="83"/>
      <c r="D5" s="83"/>
      <c r="E5" s="83"/>
      <c r="F5" s="83"/>
      <c r="G5" s="83"/>
      <c r="H5" s="83"/>
      <c r="I5" s="83"/>
      <c r="J5" s="83"/>
      <c r="K5" s="83"/>
      <c r="L5" s="83"/>
      <c r="M5" s="84"/>
      <c r="P5" s="112" t="s">
        <v>353</v>
      </c>
    </row>
    <row r="6" spans="1:16" s="3" customFormat="1" ht="15.75" customHeight="1">
      <c r="A6" s="345"/>
      <c r="B6" s="205"/>
      <c r="C6" s="205"/>
      <c r="D6" s="205"/>
      <c r="E6" s="205"/>
      <c r="F6" s="205"/>
      <c r="G6" s="205"/>
      <c r="H6" s="205"/>
      <c r="I6" s="205"/>
      <c r="J6" s="205"/>
      <c r="K6" s="205"/>
      <c r="L6" s="205"/>
      <c r="M6" s="206"/>
    </row>
    <row r="7" spans="1:16" s="3" customFormat="1" ht="15.75" customHeight="1">
      <c r="A7" s="210"/>
      <c r="B7" s="211"/>
      <c r="C7" s="211"/>
      <c r="D7" s="211"/>
      <c r="E7" s="211"/>
      <c r="F7" s="211"/>
      <c r="G7" s="211"/>
      <c r="H7" s="211"/>
      <c r="I7" s="211"/>
      <c r="J7" s="211"/>
      <c r="K7" s="211"/>
      <c r="L7" s="211"/>
      <c r="M7" s="212"/>
    </row>
    <row r="8" spans="1:16" s="3" customFormat="1" ht="15.75" customHeight="1">
      <c r="A8" s="196"/>
      <c r="B8" s="197"/>
      <c r="C8" s="197"/>
      <c r="D8" s="197"/>
      <c r="E8" s="197"/>
      <c r="F8" s="197"/>
      <c r="G8" s="197"/>
      <c r="H8" s="197"/>
      <c r="I8" s="197"/>
      <c r="J8" s="197"/>
      <c r="K8" s="197"/>
      <c r="L8" s="197"/>
      <c r="M8" s="198"/>
    </row>
    <row r="9" spans="1:16" s="3" customFormat="1" ht="15.75" customHeight="1">
      <c r="A9" s="202"/>
      <c r="B9" s="203"/>
      <c r="C9" s="203"/>
      <c r="D9" s="203"/>
      <c r="E9" s="203"/>
      <c r="F9" s="203"/>
      <c r="G9" s="203"/>
      <c r="H9" s="203"/>
      <c r="I9" s="203"/>
      <c r="J9" s="203"/>
      <c r="K9" s="203"/>
      <c r="L9" s="203"/>
      <c r="M9" s="204"/>
    </row>
    <row r="10" spans="1:16" s="3" customFormat="1" ht="13.9"/>
    <row r="11" spans="1:16" s="91" customFormat="1" ht="16.5" customHeight="1">
      <c r="A11" s="371" t="s">
        <v>354</v>
      </c>
      <c r="B11" s="371"/>
      <c r="C11" s="371"/>
      <c r="D11" s="371"/>
      <c r="E11" s="371"/>
      <c r="F11" s="371"/>
      <c r="G11" s="371"/>
      <c r="H11" s="371"/>
      <c r="I11" s="371"/>
      <c r="J11" s="371"/>
      <c r="K11" s="371"/>
      <c r="L11" s="371"/>
      <c r="M11" s="371"/>
    </row>
    <row r="12" spans="1:16" s="91" customFormat="1" ht="16.5" customHeight="1">
      <c r="A12" s="405" t="s">
        <v>214</v>
      </c>
      <c r="B12" s="398" t="s">
        <v>355</v>
      </c>
      <c r="C12" s="292" t="s">
        <v>316</v>
      </c>
      <c r="D12" s="293" t="s">
        <v>189</v>
      </c>
      <c r="E12" s="407"/>
      <c r="F12" s="293" t="s">
        <v>190</v>
      </c>
      <c r="G12" s="407"/>
      <c r="H12" s="293" t="s">
        <v>191</v>
      </c>
      <c r="I12" s="407"/>
      <c r="J12" s="293" t="s">
        <v>192</v>
      </c>
      <c r="K12" s="407"/>
      <c r="L12" s="293" t="s">
        <v>193</v>
      </c>
      <c r="M12" s="407"/>
    </row>
    <row r="13" spans="1:16" s="12" customFormat="1" ht="17.25" customHeight="1">
      <c r="A13" s="405"/>
      <c r="B13" s="406"/>
      <c r="C13" s="292"/>
      <c r="D13" s="145" t="s">
        <v>309</v>
      </c>
      <c r="E13" s="93" t="s">
        <v>356</v>
      </c>
      <c r="F13" s="145" t="s">
        <v>309</v>
      </c>
      <c r="G13" s="93" t="s">
        <v>356</v>
      </c>
      <c r="H13" s="145" t="s">
        <v>309</v>
      </c>
      <c r="I13" s="93" t="s">
        <v>356</v>
      </c>
      <c r="J13" s="145" t="s">
        <v>309</v>
      </c>
      <c r="K13" s="93" t="s">
        <v>356</v>
      </c>
      <c r="L13" s="145" t="s">
        <v>309</v>
      </c>
      <c r="M13" s="93" t="s">
        <v>356</v>
      </c>
    </row>
    <row r="14" spans="1:16" s="12" customFormat="1" ht="23.25" customHeight="1">
      <c r="A14" s="239" t="s">
        <v>219</v>
      </c>
      <c r="B14" s="144" t="s">
        <v>357</v>
      </c>
      <c r="C14" s="144" t="s">
        <v>358</v>
      </c>
      <c r="D14" s="146">
        <f>NOx!$O$19</f>
        <v>194</v>
      </c>
      <c r="E14" s="146">
        <f>NOx!$N$19</f>
        <v>165.7</v>
      </c>
      <c r="F14" s="146">
        <f>NOx!$O$34</f>
        <v>191</v>
      </c>
      <c r="G14" s="146">
        <f>NOx!$N$34</f>
        <v>171.72727272727272</v>
      </c>
      <c r="H14" s="146"/>
      <c r="I14" s="146"/>
      <c r="J14" s="146"/>
      <c r="K14" s="146"/>
      <c r="L14" s="146"/>
      <c r="M14" s="146"/>
    </row>
    <row r="15" spans="1:16" s="12" customFormat="1" ht="23.25" customHeight="1">
      <c r="A15" s="239"/>
      <c r="B15" s="144" t="s">
        <v>359</v>
      </c>
      <c r="C15" s="144" t="s">
        <v>360</v>
      </c>
      <c r="D15" s="146">
        <f>NOx!$M$19</f>
        <v>395</v>
      </c>
      <c r="E15" s="146">
        <f>NOx!$L$19</f>
        <v>165.7</v>
      </c>
      <c r="F15" s="146">
        <f>NOx!$M$34</f>
        <v>323</v>
      </c>
      <c r="G15" s="146">
        <f>NOx!$L$34</f>
        <v>171.72727272727272</v>
      </c>
      <c r="H15" s="146"/>
      <c r="I15" s="146"/>
      <c r="J15" s="146"/>
      <c r="K15" s="146"/>
      <c r="L15" s="146"/>
      <c r="M15" s="146"/>
    </row>
    <row r="16" spans="1:16" s="12" customFormat="1" ht="23.25" customHeight="1">
      <c r="A16" s="139" t="s">
        <v>218</v>
      </c>
      <c r="B16" s="143" t="s">
        <v>357</v>
      </c>
      <c r="C16" s="144" t="s">
        <v>361</v>
      </c>
      <c r="D16" s="146">
        <f>Particulates!$O$19</f>
        <v>1.7</v>
      </c>
      <c r="E16" s="146">
        <f>Particulates!$N$19</f>
        <v>0.55999999999999994</v>
      </c>
      <c r="F16" s="146">
        <f>Particulates!$O$34</f>
        <v>0.5</v>
      </c>
      <c r="G16" s="146">
        <f>Particulates!$N$34</f>
        <v>0.39999999999999997</v>
      </c>
      <c r="H16" s="146"/>
      <c r="I16" s="146"/>
      <c r="J16" s="146"/>
      <c r="K16" s="146"/>
      <c r="L16" s="146"/>
      <c r="M16" s="146"/>
    </row>
    <row r="17" spans="1:13" s="12" customFormat="1" ht="23.25" customHeight="1">
      <c r="A17" s="139"/>
      <c r="B17" s="144" t="s">
        <v>359</v>
      </c>
      <c r="C17" s="144" t="s">
        <v>362</v>
      </c>
      <c r="D17" s="146">
        <f>Particulates!$M$19</f>
        <v>6.2</v>
      </c>
      <c r="E17" s="146">
        <f>Particulates!$L$19</f>
        <v>0.55999999999999994</v>
      </c>
      <c r="F17" s="146">
        <f>Particulates!$M$34</f>
        <v>4.0999999999999996</v>
      </c>
      <c r="G17" s="146">
        <f>Particulates!$L$34</f>
        <v>0.39999999999999997</v>
      </c>
      <c r="H17" s="146"/>
      <c r="I17" s="146"/>
      <c r="J17" s="146"/>
      <c r="K17" s="146"/>
      <c r="L17" s="146"/>
      <c r="M17" s="146"/>
    </row>
    <row r="18" spans="1:13" s="12" customFormat="1" ht="23.25" customHeight="1">
      <c r="A18" s="139" t="s">
        <v>363</v>
      </c>
      <c r="B18" s="144" t="s">
        <v>357</v>
      </c>
      <c r="C18" s="144" t="s">
        <v>364</v>
      </c>
      <c r="D18" s="146">
        <f>TOC!$O$19</f>
        <v>1</v>
      </c>
      <c r="E18" s="146">
        <f>TOC!$N$19</f>
        <v>0.54999999999999993</v>
      </c>
      <c r="F18" s="146">
        <f>TOC!$O$34</f>
        <v>3.9</v>
      </c>
      <c r="G18" s="146">
        <f>TOC!$N$34</f>
        <v>0.5</v>
      </c>
      <c r="H18" s="146"/>
      <c r="I18" s="146"/>
      <c r="J18" s="146"/>
      <c r="K18" s="146"/>
      <c r="L18" s="146"/>
      <c r="M18" s="146"/>
    </row>
    <row r="19" spans="1:13" s="12" customFormat="1" ht="23.25" customHeight="1">
      <c r="A19" s="139"/>
      <c r="B19" s="144" t="s">
        <v>359</v>
      </c>
      <c r="C19" s="144" t="s">
        <v>365</v>
      </c>
      <c r="D19" s="146">
        <f>TOC!$M$19</f>
        <v>6.7</v>
      </c>
      <c r="E19" s="146">
        <f>TOC!$L$19</f>
        <v>0.54999999999999993</v>
      </c>
      <c r="F19" s="146">
        <f>TOC!$M$34</f>
        <v>97</v>
      </c>
      <c r="G19" s="146">
        <f>TOC!$L$34</f>
        <v>0.5</v>
      </c>
      <c r="H19" s="146"/>
      <c r="I19" s="146"/>
      <c r="J19" s="146"/>
      <c r="K19" s="146"/>
      <c r="L19" s="146"/>
      <c r="M19" s="146"/>
    </row>
    <row r="20" spans="1:13" s="12" customFormat="1" ht="23.25" customHeight="1">
      <c r="A20" s="139" t="s">
        <v>366</v>
      </c>
      <c r="B20" s="144" t="s">
        <v>357</v>
      </c>
      <c r="C20" s="144" t="s">
        <v>364</v>
      </c>
      <c r="D20" s="146">
        <f>HCl!$O$19</f>
        <v>8</v>
      </c>
      <c r="E20" s="146">
        <f>HCl!$N$19</f>
        <v>5.0999999999999996</v>
      </c>
      <c r="F20" s="146">
        <f>HCl!$O$34</f>
        <v>9</v>
      </c>
      <c r="G20" s="146">
        <f>HCl!$N$34</f>
        <v>6.2727272727272725</v>
      </c>
      <c r="H20" s="146"/>
      <c r="I20" s="146"/>
      <c r="J20" s="146"/>
      <c r="K20" s="146"/>
      <c r="L20" s="146"/>
      <c r="M20" s="146"/>
    </row>
    <row r="21" spans="1:13" s="12" customFormat="1" ht="23.25" customHeight="1">
      <c r="A21" s="139"/>
      <c r="B21" s="144" t="s">
        <v>359</v>
      </c>
      <c r="C21" s="144" t="s">
        <v>367</v>
      </c>
      <c r="D21" s="146">
        <f>HCl!$M$19</f>
        <v>27</v>
      </c>
      <c r="E21" s="146">
        <f>HCl!$L$19</f>
        <v>5.0999999999999996</v>
      </c>
      <c r="F21" s="146">
        <f>HCl!$M$34</f>
        <v>36</v>
      </c>
      <c r="G21" s="146">
        <f>HCl!$L$34</f>
        <v>6.2727272727272725</v>
      </c>
      <c r="H21" s="146"/>
      <c r="I21" s="146"/>
      <c r="J21" s="146"/>
      <c r="K21" s="146"/>
      <c r="L21" s="146"/>
      <c r="M21" s="146"/>
    </row>
    <row r="22" spans="1:13" s="12" customFormat="1" ht="23.25" customHeight="1">
      <c r="A22" s="139" t="s">
        <v>220</v>
      </c>
      <c r="B22" s="144" t="s">
        <v>357</v>
      </c>
      <c r="C22" s="144" t="s">
        <v>368</v>
      </c>
      <c r="D22" s="146">
        <f>'SO2'!$O$19</f>
        <v>44</v>
      </c>
      <c r="E22" s="146">
        <f>'SO2'!$N$19</f>
        <v>26.4</v>
      </c>
      <c r="F22" s="146">
        <f>'SO2'!$O$34</f>
        <v>43</v>
      </c>
      <c r="G22" s="146">
        <f>'SO2'!$N$34</f>
        <v>27.181818181818183</v>
      </c>
      <c r="H22" s="146"/>
      <c r="I22" s="146"/>
      <c r="J22" s="146"/>
      <c r="K22" s="146"/>
      <c r="L22" s="146"/>
      <c r="M22" s="146"/>
    </row>
    <row r="23" spans="1:13" s="12" customFormat="1" ht="23.25" customHeight="1">
      <c r="A23" s="139"/>
      <c r="B23" s="144" t="s">
        <v>359</v>
      </c>
      <c r="C23" s="144" t="s">
        <v>358</v>
      </c>
      <c r="D23" s="146">
        <f>'SO2'!$M$19</f>
        <v>159</v>
      </c>
      <c r="E23" s="146">
        <f>'SO2'!$L$19</f>
        <v>26.4</v>
      </c>
      <c r="F23" s="146">
        <f>'SO2'!$M$34</f>
        <v>155</v>
      </c>
      <c r="G23" s="146">
        <f>'SO2'!$L$34</f>
        <v>27.181818181818183</v>
      </c>
      <c r="H23" s="146"/>
      <c r="I23" s="146"/>
      <c r="J23" s="146"/>
      <c r="K23" s="146"/>
      <c r="L23" s="146"/>
      <c r="M23" s="146"/>
    </row>
    <row r="24" spans="1:13" s="12" customFormat="1" ht="23.25" customHeight="1">
      <c r="A24" s="139" t="s">
        <v>369</v>
      </c>
      <c r="B24" s="144" t="s">
        <v>357</v>
      </c>
      <c r="C24" s="144" t="s">
        <v>368</v>
      </c>
      <c r="D24" s="146">
        <f>'CO 95% 10 min'!Q19</f>
        <v>18</v>
      </c>
      <c r="E24" s="146">
        <f>'CO 95% 10 min'!P19</f>
        <v>8.9</v>
      </c>
      <c r="F24" s="146">
        <f>'CO 95% 10 min'!Q34</f>
        <v>42</v>
      </c>
      <c r="G24" s="146">
        <f>'CO 95% 10 min'!P34</f>
        <v>5.8181818181818183</v>
      </c>
      <c r="H24" s="146"/>
      <c r="I24" s="146"/>
      <c r="J24" s="146"/>
      <c r="K24" s="146"/>
      <c r="L24" s="146"/>
      <c r="M24" s="146"/>
    </row>
    <row r="25" spans="1:13" s="12" customFormat="1" ht="23.25" customHeight="1">
      <c r="A25" s="139"/>
      <c r="B25" s="146" t="s">
        <v>370</v>
      </c>
      <c r="C25" s="146" t="s">
        <v>371</v>
      </c>
      <c r="D25" s="146"/>
      <c r="E25" s="146"/>
      <c r="F25" s="146"/>
      <c r="G25" s="146"/>
      <c r="H25" s="146"/>
      <c r="I25" s="146"/>
      <c r="J25" s="146"/>
      <c r="K25" s="146"/>
      <c r="L25" s="146"/>
      <c r="M25" s="146"/>
    </row>
    <row r="26" spans="1:13" s="12" customFormat="1" ht="23.25" customHeight="1">
      <c r="A26" s="139"/>
      <c r="B26" s="146" t="s">
        <v>372</v>
      </c>
      <c r="C26" s="146" t="s">
        <v>373</v>
      </c>
      <c r="D26" s="146">
        <f>'CO 95% 10 min'!M19</f>
        <v>12</v>
      </c>
      <c r="E26" s="146"/>
      <c r="F26" s="146">
        <f>'CO 95% 10 min'!M34</f>
        <v>7.2727272727272725</v>
      </c>
      <c r="G26" s="146"/>
      <c r="H26" s="146"/>
      <c r="I26" s="146"/>
      <c r="J26" s="146"/>
      <c r="K26" s="146"/>
      <c r="L26" s="146"/>
      <c r="M26" s="146"/>
    </row>
    <row r="27" spans="1:13" s="12" customFormat="1" ht="23.25" customHeight="1">
      <c r="A27" s="122" t="s">
        <v>374</v>
      </c>
      <c r="B27" s="123" t="s">
        <v>357</v>
      </c>
      <c r="C27" s="123" t="s">
        <v>375</v>
      </c>
      <c r="D27" s="124">
        <f>'NH3'!$O$19</f>
        <v>5</v>
      </c>
      <c r="E27" s="124">
        <f>'NH3'!$N$19</f>
        <v>0.3</v>
      </c>
      <c r="F27" s="124">
        <f>'NH3'!$O$34</f>
        <v>2</v>
      </c>
      <c r="G27" s="124">
        <f>'NH3'!$N$34</f>
        <v>0.36363636363636365</v>
      </c>
      <c r="H27" s="124"/>
      <c r="I27" s="124"/>
      <c r="J27" s="124"/>
      <c r="K27" s="124"/>
      <c r="L27" s="124"/>
      <c r="M27" s="124"/>
    </row>
    <row r="28" spans="1:13">
      <c r="A28" s="401" t="s">
        <v>376</v>
      </c>
      <c r="B28" s="402"/>
      <c r="C28" s="402"/>
      <c r="D28" s="402"/>
      <c r="E28" s="402"/>
      <c r="F28" s="402"/>
      <c r="G28" s="402"/>
      <c r="H28" s="402"/>
      <c r="I28" s="402"/>
      <c r="J28" s="402"/>
      <c r="K28" s="402"/>
      <c r="L28" s="402"/>
      <c r="M28" s="403"/>
    </row>
    <row r="29" spans="1:13">
      <c r="A29" s="125" t="s">
        <v>304</v>
      </c>
      <c r="B29" s="126"/>
      <c r="C29" s="126"/>
      <c r="D29" s="126"/>
      <c r="E29" s="126"/>
      <c r="F29" s="126"/>
      <c r="G29" s="126"/>
      <c r="H29" s="126"/>
      <c r="I29" s="126"/>
      <c r="J29" s="126"/>
      <c r="K29" s="126"/>
      <c r="L29" s="126"/>
      <c r="M29" s="127"/>
    </row>
    <row r="30" spans="1:13">
      <c r="A30" s="404"/>
      <c r="B30" s="404"/>
      <c r="C30" s="404"/>
      <c r="D30" s="404"/>
      <c r="E30" s="404"/>
      <c r="F30" s="404"/>
      <c r="G30" s="404"/>
      <c r="H30" s="404"/>
      <c r="I30" s="404"/>
      <c r="J30" s="404"/>
      <c r="K30" s="404"/>
      <c r="L30" s="404"/>
      <c r="M30" s="404"/>
    </row>
    <row r="31" spans="1:13">
      <c r="A31" s="363"/>
      <c r="B31" s="363"/>
      <c r="C31" s="363"/>
      <c r="D31" s="363"/>
      <c r="E31" s="363"/>
      <c r="F31" s="363"/>
      <c r="G31" s="363"/>
      <c r="H31" s="363"/>
      <c r="I31" s="363"/>
      <c r="J31" s="363"/>
      <c r="K31" s="363"/>
      <c r="L31" s="363"/>
      <c r="M31" s="363"/>
    </row>
    <row r="68" spans="6:6">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showGridLines="0" topLeftCell="E16" zoomScaleNormal="100" workbookViewId="0">
      <selection activeCell="O29" sqref="O29"/>
    </sheetView>
  </sheetViews>
  <sheetFormatPr defaultRowHeight="13.9"/>
  <cols>
    <col min="1" max="1" width="14" style="3" customWidth="1"/>
    <col min="2" max="7" width="17" style="69"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128" t="str">
        <f>+'Cover Page'!$B$29</f>
        <v>Annual Performance Report 2022</v>
      </c>
      <c r="B1" s="128"/>
      <c r="C1" s="128"/>
      <c r="D1" s="128"/>
      <c r="E1" s="128" t="str">
        <f>+'Cover Page'!$B$33</f>
        <v>SUEZ R&amp;R Wilton 11 EfW</v>
      </c>
      <c r="F1" s="128"/>
      <c r="G1" s="128"/>
    </row>
    <row r="3" spans="1:19" ht="14.45">
      <c r="A3" s="96" t="s">
        <v>377</v>
      </c>
      <c r="D3" s="115" t="s">
        <v>378</v>
      </c>
      <c r="G3" s="119" t="s">
        <v>379</v>
      </c>
      <c r="J3" s="8" t="str">
        <f>+A3</f>
        <v>Monitoring of Hydrogen Chloride emissions</v>
      </c>
      <c r="L3" s="8"/>
      <c r="N3" s="8" t="s">
        <v>380</v>
      </c>
      <c r="Q3" s="118" t="s">
        <v>3</v>
      </c>
      <c r="R3" s="112"/>
      <c r="S3" s="112"/>
    </row>
    <row r="4" spans="1:19" ht="13.9" customHeight="1">
      <c r="Q4" s="400" t="s">
        <v>381</v>
      </c>
      <c r="R4" s="400"/>
      <c r="S4" s="400"/>
    </row>
    <row r="5" spans="1:19" ht="16.149999999999999">
      <c r="A5" s="104" t="s">
        <v>382</v>
      </c>
      <c r="B5" s="411" t="s">
        <v>383</v>
      </c>
      <c r="C5" s="411"/>
      <c r="D5" s="411"/>
      <c r="E5" s="411" t="s">
        <v>384</v>
      </c>
      <c r="F5" s="411"/>
      <c r="G5" s="411"/>
      <c r="J5" s="410"/>
      <c r="K5" s="410"/>
      <c r="L5" s="410"/>
      <c r="M5" s="410"/>
      <c r="N5" s="410"/>
      <c r="O5" s="410"/>
      <c r="Q5" s="400"/>
      <c r="R5" s="400"/>
      <c r="S5" s="400"/>
    </row>
    <row r="6" spans="1:19" s="94" customFormat="1" ht="37.5" customHeight="1">
      <c r="A6" s="101">
        <f>+'Cover Page'!C39</f>
        <v>2022</v>
      </c>
      <c r="B6" s="90" t="s">
        <v>385</v>
      </c>
      <c r="C6" s="90" t="s">
        <v>386</v>
      </c>
      <c r="D6" s="90" t="s">
        <v>387</v>
      </c>
      <c r="E6" s="90" t="s">
        <v>388</v>
      </c>
      <c r="F6" s="90" t="s">
        <v>389</v>
      </c>
      <c r="G6" s="90" t="s">
        <v>390</v>
      </c>
      <c r="H6" s="95"/>
      <c r="J6" s="97">
        <f>+A6</f>
        <v>2022</v>
      </c>
      <c r="K6" s="97" t="s">
        <v>391</v>
      </c>
      <c r="L6" s="103" t="s">
        <v>386</v>
      </c>
      <c r="M6" s="103" t="s">
        <v>392</v>
      </c>
      <c r="N6" s="103" t="s">
        <v>389</v>
      </c>
      <c r="O6" s="103" t="s">
        <v>393</v>
      </c>
      <c r="Q6" s="400"/>
      <c r="R6" s="400"/>
      <c r="S6" s="400"/>
    </row>
    <row r="7" spans="1:19" ht="13.9" customHeight="1">
      <c r="A7" s="102" t="s">
        <v>394</v>
      </c>
      <c r="B7" s="99">
        <v>60</v>
      </c>
      <c r="C7" s="100">
        <f>AVERAGE(L7,L22)</f>
        <v>4.5</v>
      </c>
      <c r="D7" s="100">
        <f>MAX(M7,M22)</f>
        <v>28</v>
      </c>
      <c r="E7" s="99">
        <v>10</v>
      </c>
      <c r="F7" s="100">
        <f>AVERAGE(N7,N22)</f>
        <v>4.5</v>
      </c>
      <c r="G7" s="100">
        <f>MAX(O7,O22)</f>
        <v>8</v>
      </c>
      <c r="J7" s="409" t="s">
        <v>189</v>
      </c>
      <c r="K7" s="102" t="s">
        <v>394</v>
      </c>
      <c r="L7" s="100">
        <v>4</v>
      </c>
      <c r="M7" s="100">
        <v>14</v>
      </c>
      <c r="N7" s="100">
        <v>4</v>
      </c>
      <c r="O7" s="100">
        <v>8</v>
      </c>
      <c r="Q7" s="400"/>
      <c r="R7" s="400"/>
      <c r="S7" s="400"/>
    </row>
    <row r="8" spans="1:19">
      <c r="A8" s="102" t="s">
        <v>395</v>
      </c>
      <c r="B8" s="99">
        <v>60</v>
      </c>
      <c r="C8" s="100">
        <f t="shared" ref="C8:C18" si="0">AVERAGE(L8,L23)</f>
        <v>7</v>
      </c>
      <c r="D8" s="100">
        <f t="shared" ref="D8:D18" si="1">MAX(M8,M23)</f>
        <v>36</v>
      </c>
      <c r="E8" s="99">
        <v>10</v>
      </c>
      <c r="F8" s="100">
        <f t="shared" ref="F8:F18" si="2">AVERAGE(N8,N23)</f>
        <v>7</v>
      </c>
      <c r="G8" s="100">
        <f t="shared" ref="G8:G18" si="3">MAX(O8,O23)</f>
        <v>8</v>
      </c>
      <c r="J8" s="409"/>
      <c r="K8" s="102" t="s">
        <v>395</v>
      </c>
      <c r="L8" s="100">
        <v>7</v>
      </c>
      <c r="M8" s="100">
        <v>11</v>
      </c>
      <c r="N8" s="100">
        <v>7</v>
      </c>
      <c r="O8" s="100">
        <v>8</v>
      </c>
      <c r="Q8" s="400"/>
      <c r="R8" s="400"/>
      <c r="S8" s="400"/>
    </row>
    <row r="9" spans="1:19">
      <c r="A9" s="102" t="s">
        <v>396</v>
      </c>
      <c r="B9" s="99">
        <v>60</v>
      </c>
      <c r="C9" s="100">
        <f t="shared" si="0"/>
        <v>7.5</v>
      </c>
      <c r="D9" s="100">
        <f t="shared" si="1"/>
        <v>27</v>
      </c>
      <c r="E9" s="99">
        <v>10</v>
      </c>
      <c r="F9" s="100">
        <f t="shared" si="2"/>
        <v>7.5</v>
      </c>
      <c r="G9" s="100">
        <f t="shared" si="3"/>
        <v>9</v>
      </c>
      <c r="J9" s="409"/>
      <c r="K9" s="102" t="s">
        <v>396</v>
      </c>
      <c r="L9" s="100">
        <v>8</v>
      </c>
      <c r="M9" s="100">
        <v>27</v>
      </c>
      <c r="N9" s="100">
        <v>8</v>
      </c>
      <c r="O9" s="100">
        <v>8</v>
      </c>
      <c r="Q9" s="117" t="s">
        <v>397</v>
      </c>
    </row>
    <row r="10" spans="1:19" ht="13.9" customHeight="1">
      <c r="A10" s="102" t="s">
        <v>398</v>
      </c>
      <c r="B10" s="99">
        <v>60</v>
      </c>
      <c r="C10" s="100">
        <f t="shared" si="0"/>
        <v>6.5</v>
      </c>
      <c r="D10" s="100">
        <f t="shared" si="1"/>
        <v>13</v>
      </c>
      <c r="E10" s="99">
        <v>10</v>
      </c>
      <c r="F10" s="100">
        <f t="shared" si="2"/>
        <v>6.5</v>
      </c>
      <c r="G10" s="100">
        <f t="shared" si="3"/>
        <v>9</v>
      </c>
      <c r="J10" s="409"/>
      <c r="K10" s="102" t="s">
        <v>398</v>
      </c>
      <c r="L10" s="100">
        <v>5</v>
      </c>
      <c r="M10" s="100">
        <v>11</v>
      </c>
      <c r="N10" s="100">
        <v>5</v>
      </c>
      <c r="O10" s="100">
        <v>8</v>
      </c>
      <c r="Q10" s="408" t="s">
        <v>399</v>
      </c>
      <c r="R10" s="408"/>
      <c r="S10" s="408"/>
    </row>
    <row r="11" spans="1:19">
      <c r="A11" s="102" t="s">
        <v>400</v>
      </c>
      <c r="B11" s="99">
        <v>60</v>
      </c>
      <c r="C11" s="100">
        <f t="shared" si="0"/>
        <v>6.5</v>
      </c>
      <c r="D11" s="100">
        <f t="shared" si="1"/>
        <v>11</v>
      </c>
      <c r="E11" s="99">
        <v>10</v>
      </c>
      <c r="F11" s="100">
        <f t="shared" si="2"/>
        <v>6.5</v>
      </c>
      <c r="G11" s="100">
        <f t="shared" si="3"/>
        <v>9</v>
      </c>
      <c r="J11" s="409"/>
      <c r="K11" s="102" t="s">
        <v>400</v>
      </c>
      <c r="L11" s="100">
        <v>6</v>
      </c>
      <c r="M11" s="100">
        <v>11</v>
      </c>
      <c r="N11" s="100">
        <v>6</v>
      </c>
      <c r="O11" s="100">
        <v>8</v>
      </c>
      <c r="Q11" s="408"/>
      <c r="R11" s="408"/>
      <c r="S11" s="408"/>
    </row>
    <row r="12" spans="1:19">
      <c r="A12" s="102" t="s">
        <v>401</v>
      </c>
      <c r="B12" s="99">
        <v>60</v>
      </c>
      <c r="C12" s="100">
        <f t="shared" si="0"/>
        <v>5.5</v>
      </c>
      <c r="D12" s="100">
        <f t="shared" si="1"/>
        <v>10</v>
      </c>
      <c r="E12" s="99">
        <v>10</v>
      </c>
      <c r="F12" s="100">
        <f t="shared" si="2"/>
        <v>5.5</v>
      </c>
      <c r="G12" s="100">
        <f t="shared" si="3"/>
        <v>8</v>
      </c>
      <c r="J12" s="409"/>
      <c r="K12" s="102" t="s">
        <v>401</v>
      </c>
      <c r="L12" s="162">
        <v>5</v>
      </c>
      <c r="M12" s="162">
        <v>9</v>
      </c>
      <c r="N12" s="162">
        <v>5</v>
      </c>
      <c r="O12" s="162">
        <v>7</v>
      </c>
      <c r="Q12" s="408"/>
      <c r="R12" s="408"/>
      <c r="S12" s="408"/>
    </row>
    <row r="13" spans="1:19" ht="13.9" customHeight="1">
      <c r="A13" s="102" t="s">
        <v>402</v>
      </c>
      <c r="B13" s="99">
        <v>60</v>
      </c>
      <c r="C13" s="100">
        <f t="shared" si="0"/>
        <v>6.5</v>
      </c>
      <c r="D13" s="100">
        <f t="shared" si="1"/>
        <v>12</v>
      </c>
      <c r="E13" s="99">
        <v>10</v>
      </c>
      <c r="F13" s="100">
        <f t="shared" si="2"/>
        <v>6.5</v>
      </c>
      <c r="G13" s="100">
        <f t="shared" si="3"/>
        <v>9</v>
      </c>
      <c r="J13" s="409"/>
      <c r="K13" s="102" t="s">
        <v>402</v>
      </c>
      <c r="L13" s="162">
        <v>6</v>
      </c>
      <c r="M13" s="162">
        <v>10</v>
      </c>
      <c r="N13" s="162">
        <v>6</v>
      </c>
      <c r="O13" s="162">
        <v>8</v>
      </c>
      <c r="Q13" s="408" t="s">
        <v>403</v>
      </c>
      <c r="R13" s="408"/>
      <c r="S13" s="408"/>
    </row>
    <row r="14" spans="1:19">
      <c r="A14" s="102" t="s">
        <v>404</v>
      </c>
      <c r="B14" s="99">
        <v>60</v>
      </c>
      <c r="C14" s="100">
        <f t="shared" si="0"/>
        <v>6.5</v>
      </c>
      <c r="D14" s="100">
        <f t="shared" si="1"/>
        <v>16</v>
      </c>
      <c r="E14" s="99">
        <v>10</v>
      </c>
      <c r="F14" s="100">
        <f t="shared" si="2"/>
        <v>6.5</v>
      </c>
      <c r="G14" s="100">
        <f t="shared" si="3"/>
        <v>9</v>
      </c>
      <c r="J14" s="409"/>
      <c r="K14" s="102" t="s">
        <v>404</v>
      </c>
      <c r="L14" s="168">
        <v>5</v>
      </c>
      <c r="M14" s="168">
        <v>9</v>
      </c>
      <c r="N14" s="168">
        <v>5</v>
      </c>
      <c r="O14" s="168">
        <v>8</v>
      </c>
      <c r="Q14" s="408"/>
      <c r="R14" s="408"/>
      <c r="S14" s="408"/>
    </row>
    <row r="15" spans="1:19">
      <c r="A15" s="102" t="s">
        <v>405</v>
      </c>
      <c r="B15" s="99">
        <v>60</v>
      </c>
      <c r="C15" s="100">
        <f t="shared" si="0"/>
        <v>5</v>
      </c>
      <c r="D15" s="100">
        <f t="shared" si="1"/>
        <v>12</v>
      </c>
      <c r="E15" s="99">
        <v>10</v>
      </c>
      <c r="F15" s="100">
        <f t="shared" si="2"/>
        <v>5</v>
      </c>
      <c r="G15" s="100">
        <f t="shared" si="3"/>
        <v>9</v>
      </c>
      <c r="J15" s="409"/>
      <c r="K15" s="102" t="s">
        <v>405</v>
      </c>
      <c r="L15" s="168"/>
      <c r="M15" s="168"/>
      <c r="N15" s="168"/>
      <c r="O15" s="168"/>
      <c r="Q15" s="408"/>
      <c r="R15" s="408"/>
      <c r="S15" s="408"/>
    </row>
    <row r="16" spans="1:19">
      <c r="A16" s="102" t="s">
        <v>406</v>
      </c>
      <c r="B16" s="99">
        <v>60</v>
      </c>
      <c r="C16" s="100">
        <f t="shared" si="0"/>
        <v>7</v>
      </c>
      <c r="D16" s="100">
        <f t="shared" si="1"/>
        <v>12</v>
      </c>
      <c r="E16" s="99">
        <v>10</v>
      </c>
      <c r="F16" s="100">
        <f t="shared" si="2"/>
        <v>7</v>
      </c>
      <c r="G16" s="100">
        <f t="shared" si="3"/>
        <v>9</v>
      </c>
      <c r="J16" s="409"/>
      <c r="K16" s="102" t="s">
        <v>406</v>
      </c>
      <c r="L16" s="168"/>
      <c r="M16" s="168"/>
      <c r="N16" s="168"/>
      <c r="O16" s="168"/>
      <c r="Q16" s="408"/>
      <c r="R16" s="408"/>
      <c r="S16" s="408"/>
    </row>
    <row r="17" spans="1:15">
      <c r="A17" s="102" t="s">
        <v>407</v>
      </c>
      <c r="B17" s="99">
        <v>60</v>
      </c>
      <c r="C17" s="100">
        <f t="shared" si="0"/>
        <v>2</v>
      </c>
      <c r="D17" s="100">
        <f t="shared" si="1"/>
        <v>5</v>
      </c>
      <c r="E17" s="99">
        <v>10</v>
      </c>
      <c r="F17" s="100">
        <f t="shared" si="2"/>
        <v>2</v>
      </c>
      <c r="G17" s="100">
        <f t="shared" si="3"/>
        <v>3</v>
      </c>
      <c r="J17" s="409"/>
      <c r="K17" s="102" t="s">
        <v>407</v>
      </c>
      <c r="L17" s="168">
        <v>2</v>
      </c>
      <c r="M17" s="168">
        <v>5</v>
      </c>
      <c r="N17" s="168">
        <v>2</v>
      </c>
      <c r="O17" s="168">
        <v>3</v>
      </c>
    </row>
    <row r="18" spans="1:15">
      <c r="A18" s="102" t="s">
        <v>408</v>
      </c>
      <c r="B18" s="99">
        <v>60</v>
      </c>
      <c r="C18" s="100">
        <f t="shared" si="0"/>
        <v>2.5</v>
      </c>
      <c r="D18" s="100">
        <f t="shared" si="1"/>
        <v>17</v>
      </c>
      <c r="E18" s="99">
        <v>10</v>
      </c>
      <c r="F18" s="100">
        <f t="shared" si="2"/>
        <v>2.5</v>
      </c>
      <c r="G18" s="100">
        <f t="shared" si="3"/>
        <v>5</v>
      </c>
      <c r="J18" s="409"/>
      <c r="K18" s="102" t="s">
        <v>408</v>
      </c>
      <c r="L18" s="100">
        <v>3</v>
      </c>
      <c r="M18" s="100">
        <v>17</v>
      </c>
      <c r="N18" s="100">
        <v>3</v>
      </c>
      <c r="O18" s="100">
        <v>5</v>
      </c>
    </row>
    <row r="19" spans="1:15">
      <c r="J19" s="409"/>
      <c r="K19" s="98" t="s">
        <v>409</v>
      </c>
      <c r="L19" s="98">
        <f>AVERAGE(L7:L18)</f>
        <v>5.0999999999999996</v>
      </c>
      <c r="M19" s="98">
        <f>MAX(M7:M18)</f>
        <v>27</v>
      </c>
      <c r="N19" s="98">
        <f>AVERAGE(N7:N18)</f>
        <v>5.0999999999999996</v>
      </c>
      <c r="O19" s="98">
        <f>MAX(O7:O18)</f>
        <v>8</v>
      </c>
    </row>
    <row r="21" spans="1:15" ht="41.45">
      <c r="J21" s="97">
        <f>+A6</f>
        <v>2022</v>
      </c>
      <c r="K21" s="97" t="s">
        <v>391</v>
      </c>
      <c r="L21" s="103" t="s">
        <v>386</v>
      </c>
      <c r="M21" s="103" t="s">
        <v>392</v>
      </c>
      <c r="N21" s="103" t="s">
        <v>389</v>
      </c>
      <c r="O21" s="103" t="s">
        <v>393</v>
      </c>
    </row>
    <row r="22" spans="1:15">
      <c r="J22" s="409" t="s">
        <v>190</v>
      </c>
      <c r="K22" s="102" t="s">
        <v>394</v>
      </c>
      <c r="L22" s="100">
        <v>5</v>
      </c>
      <c r="M22" s="100">
        <v>28</v>
      </c>
      <c r="N22" s="100">
        <v>5</v>
      </c>
      <c r="O22" s="100">
        <v>8</v>
      </c>
    </row>
    <row r="23" spans="1:15">
      <c r="J23" s="409"/>
      <c r="K23" s="102" t="s">
        <v>395</v>
      </c>
      <c r="L23" s="100">
        <v>7</v>
      </c>
      <c r="M23" s="100">
        <v>36</v>
      </c>
      <c r="N23" s="100">
        <v>7</v>
      </c>
      <c r="O23" s="100">
        <v>8</v>
      </c>
    </row>
    <row r="24" spans="1:15">
      <c r="J24" s="409"/>
      <c r="K24" s="102" t="s">
        <v>396</v>
      </c>
      <c r="L24" s="100">
        <v>7</v>
      </c>
      <c r="M24" s="100">
        <v>14</v>
      </c>
      <c r="N24" s="100">
        <v>7</v>
      </c>
      <c r="O24" s="100">
        <v>9</v>
      </c>
    </row>
    <row r="25" spans="1:15">
      <c r="J25" s="409"/>
      <c r="K25" s="102" t="s">
        <v>398</v>
      </c>
      <c r="L25" s="100">
        <v>8</v>
      </c>
      <c r="M25" s="100">
        <v>13</v>
      </c>
      <c r="N25" s="100">
        <v>8</v>
      </c>
      <c r="O25" s="100">
        <v>9</v>
      </c>
    </row>
    <row r="26" spans="1:15">
      <c r="J26" s="409"/>
      <c r="K26" s="102" t="s">
        <v>400</v>
      </c>
      <c r="L26" s="100">
        <v>7</v>
      </c>
      <c r="M26" s="100">
        <v>11</v>
      </c>
      <c r="N26" s="100">
        <v>7</v>
      </c>
      <c r="O26" s="100">
        <v>9</v>
      </c>
    </row>
    <row r="27" spans="1:15">
      <c r="J27" s="409"/>
      <c r="K27" s="102" t="s">
        <v>401</v>
      </c>
      <c r="L27" s="162">
        <v>6</v>
      </c>
      <c r="M27" s="162">
        <v>10</v>
      </c>
      <c r="N27" s="162">
        <v>6</v>
      </c>
      <c r="O27" s="162">
        <v>8</v>
      </c>
    </row>
    <row r="28" spans="1:15">
      <c r="J28" s="409"/>
      <c r="K28" s="102" t="s">
        <v>402</v>
      </c>
      <c r="L28" s="162">
        <v>7</v>
      </c>
      <c r="M28" s="162">
        <v>12</v>
      </c>
      <c r="N28" s="162">
        <v>7</v>
      </c>
      <c r="O28" s="162">
        <v>9</v>
      </c>
    </row>
    <row r="29" spans="1:15">
      <c r="J29" s="409"/>
      <c r="K29" s="102" t="s">
        <v>404</v>
      </c>
      <c r="L29" s="162">
        <v>8</v>
      </c>
      <c r="M29" s="162">
        <v>16</v>
      </c>
      <c r="N29" s="162">
        <v>8</v>
      </c>
      <c r="O29" s="162">
        <v>9</v>
      </c>
    </row>
    <row r="30" spans="1:15">
      <c r="J30" s="409"/>
      <c r="K30" s="102" t="s">
        <v>405</v>
      </c>
      <c r="L30" s="168">
        <v>5</v>
      </c>
      <c r="M30" s="168">
        <v>12</v>
      </c>
      <c r="N30" s="168">
        <v>5</v>
      </c>
      <c r="O30" s="168">
        <v>9</v>
      </c>
    </row>
    <row r="31" spans="1:15">
      <c r="J31" s="409"/>
      <c r="K31" s="102" t="s">
        <v>406</v>
      </c>
      <c r="L31" s="168">
        <v>7</v>
      </c>
      <c r="M31" s="168">
        <v>12</v>
      </c>
      <c r="N31" s="168">
        <v>7</v>
      </c>
      <c r="O31" s="168">
        <v>9</v>
      </c>
    </row>
    <row r="32" spans="1:15">
      <c r="J32" s="409"/>
      <c r="K32" s="102" t="s">
        <v>407</v>
      </c>
      <c r="L32" s="168"/>
      <c r="M32" s="168"/>
      <c r="N32" s="168"/>
      <c r="O32" s="168"/>
    </row>
    <row r="33" spans="1:15">
      <c r="J33" s="409"/>
      <c r="K33" s="102" t="s">
        <v>408</v>
      </c>
      <c r="L33" s="100">
        <v>2</v>
      </c>
      <c r="M33" s="100">
        <v>5</v>
      </c>
      <c r="N33" s="100">
        <v>2</v>
      </c>
      <c r="O33" s="100">
        <v>5</v>
      </c>
    </row>
    <row r="34" spans="1:15">
      <c r="J34" s="409"/>
      <c r="K34" s="98" t="s">
        <v>409</v>
      </c>
      <c r="L34" s="98">
        <f>AVERAGE(L22:L33)</f>
        <v>6.2727272727272725</v>
      </c>
      <c r="M34" s="98">
        <f>MAX(M22:M33)</f>
        <v>36</v>
      </c>
      <c r="N34" s="98">
        <f>AVERAGE(N22:N33)</f>
        <v>6.2727272727272725</v>
      </c>
      <c r="O34" s="98">
        <f>MAX(O22:O33)</f>
        <v>9</v>
      </c>
    </row>
    <row r="36" spans="1:15" ht="41.45">
      <c r="J36" s="97">
        <f>+A6</f>
        <v>2022</v>
      </c>
      <c r="K36" s="97" t="s">
        <v>391</v>
      </c>
      <c r="L36" s="103" t="s">
        <v>386</v>
      </c>
      <c r="M36" s="103" t="s">
        <v>392</v>
      </c>
      <c r="N36" s="103" t="s">
        <v>389</v>
      </c>
      <c r="O36" s="103" t="s">
        <v>393</v>
      </c>
    </row>
    <row r="37" spans="1:15">
      <c r="J37" s="409" t="s">
        <v>191</v>
      </c>
      <c r="K37" s="102" t="s">
        <v>394</v>
      </c>
      <c r="L37" s="100"/>
      <c r="M37" s="100"/>
      <c r="N37" s="100"/>
      <c r="O37" s="100"/>
    </row>
    <row r="38" spans="1:15">
      <c r="J38" s="409"/>
      <c r="K38" s="102" t="s">
        <v>395</v>
      </c>
      <c r="L38" s="100"/>
      <c r="M38" s="100"/>
      <c r="N38" s="100"/>
      <c r="O38" s="100"/>
    </row>
    <row r="39" spans="1:15">
      <c r="J39" s="409"/>
      <c r="K39" s="102" t="s">
        <v>396</v>
      </c>
      <c r="L39" s="100"/>
      <c r="M39" s="100"/>
      <c r="N39" s="100"/>
      <c r="O39" s="100"/>
    </row>
    <row r="40" spans="1:15">
      <c r="J40" s="409"/>
      <c r="K40" s="102" t="s">
        <v>398</v>
      </c>
      <c r="L40" s="100"/>
      <c r="M40" s="100"/>
      <c r="N40" s="100"/>
      <c r="O40" s="100"/>
    </row>
    <row r="41" spans="1:15">
      <c r="J41" s="409"/>
      <c r="K41" s="102" t="s">
        <v>400</v>
      </c>
      <c r="L41" s="100"/>
      <c r="M41" s="100"/>
      <c r="N41" s="100"/>
      <c r="O41" s="100"/>
    </row>
    <row r="42" spans="1:15">
      <c r="J42" s="409"/>
      <c r="K42" s="102" t="s">
        <v>401</v>
      </c>
      <c r="L42" s="100"/>
      <c r="M42" s="100"/>
      <c r="N42" s="100"/>
      <c r="O42" s="100"/>
    </row>
    <row r="43" spans="1:15">
      <c r="J43" s="409"/>
      <c r="K43" s="102" t="s">
        <v>402</v>
      </c>
      <c r="L43" s="100"/>
      <c r="M43" s="100"/>
      <c r="N43" s="100"/>
      <c r="O43" s="100"/>
    </row>
    <row r="44" spans="1:15">
      <c r="J44" s="409"/>
      <c r="K44" s="102" t="s">
        <v>404</v>
      </c>
      <c r="L44" s="100"/>
      <c r="M44" s="100"/>
      <c r="N44" s="100"/>
      <c r="O44" s="100"/>
    </row>
    <row r="45" spans="1:15">
      <c r="J45" s="409"/>
      <c r="K45" s="102" t="s">
        <v>405</v>
      </c>
      <c r="L45" s="100"/>
      <c r="M45" s="100"/>
      <c r="N45" s="100"/>
      <c r="O45" s="100"/>
    </row>
    <row r="46" spans="1:15">
      <c r="J46" s="409"/>
      <c r="K46" s="102" t="s">
        <v>406</v>
      </c>
      <c r="L46" s="100"/>
      <c r="M46" s="100"/>
      <c r="N46" s="100"/>
      <c r="O46" s="100"/>
    </row>
    <row r="47" spans="1:15">
      <c r="J47" s="409"/>
      <c r="K47" s="102" t="s">
        <v>407</v>
      </c>
      <c r="L47" s="100"/>
      <c r="M47" s="100"/>
      <c r="N47" s="100"/>
      <c r="O47" s="100"/>
    </row>
    <row r="48" spans="1:15">
      <c r="A48" s="421" t="s">
        <v>304</v>
      </c>
      <c r="B48" s="422"/>
      <c r="C48" s="422"/>
      <c r="D48" s="422"/>
      <c r="E48" s="422"/>
      <c r="F48" s="422"/>
      <c r="G48" s="423"/>
      <c r="J48" s="409"/>
      <c r="K48" s="102" t="s">
        <v>408</v>
      </c>
      <c r="L48" s="100"/>
      <c r="M48" s="100"/>
      <c r="N48" s="100"/>
      <c r="O48" s="100"/>
    </row>
    <row r="49" spans="1:15">
      <c r="A49" s="412"/>
      <c r="B49" s="413"/>
      <c r="C49" s="413"/>
      <c r="D49" s="413"/>
      <c r="E49" s="413"/>
      <c r="F49" s="413"/>
      <c r="G49" s="414"/>
      <c r="J49" s="409"/>
      <c r="K49" s="98" t="s">
        <v>409</v>
      </c>
      <c r="L49" s="98" t="e">
        <f>AVERAGE(L37:L48)</f>
        <v>#DIV/0!</v>
      </c>
      <c r="M49" s="98">
        <f>MAX(M37:M48)</f>
        <v>0</v>
      </c>
      <c r="N49" s="98" t="e">
        <f>AVERAGE(N37:N48)</f>
        <v>#DIV/0!</v>
      </c>
      <c r="O49" s="98">
        <f>MAX(O37:O48)</f>
        <v>0</v>
      </c>
    </row>
    <row r="50" spans="1:15">
      <c r="A50" s="415"/>
      <c r="B50" s="416"/>
      <c r="C50" s="416"/>
      <c r="D50" s="416"/>
      <c r="E50" s="416"/>
      <c r="F50" s="416"/>
      <c r="G50" s="417"/>
    </row>
    <row r="51" spans="1:15" ht="41.45">
      <c r="A51" s="415"/>
      <c r="B51" s="416"/>
      <c r="C51" s="416"/>
      <c r="D51" s="416"/>
      <c r="E51" s="416"/>
      <c r="F51" s="416"/>
      <c r="G51" s="417"/>
      <c r="J51" s="97">
        <f>+A6</f>
        <v>2022</v>
      </c>
      <c r="K51" s="97" t="s">
        <v>391</v>
      </c>
      <c r="L51" s="103" t="s">
        <v>386</v>
      </c>
      <c r="M51" s="103" t="s">
        <v>392</v>
      </c>
      <c r="N51" s="103" t="s">
        <v>389</v>
      </c>
      <c r="O51" s="103" t="s">
        <v>393</v>
      </c>
    </row>
    <row r="52" spans="1:15">
      <c r="A52" s="418"/>
      <c r="B52" s="419"/>
      <c r="C52" s="419"/>
      <c r="D52" s="419"/>
      <c r="E52" s="419"/>
      <c r="F52" s="419"/>
      <c r="G52" s="420"/>
      <c r="J52" s="409" t="s">
        <v>192</v>
      </c>
      <c r="K52" s="102" t="s">
        <v>394</v>
      </c>
      <c r="L52" s="100"/>
      <c r="M52" s="100"/>
      <c r="N52" s="100"/>
      <c r="O52" s="100"/>
    </row>
    <row r="53" spans="1:15">
      <c r="J53" s="409"/>
      <c r="K53" s="102" t="s">
        <v>395</v>
      </c>
      <c r="L53" s="100"/>
      <c r="M53" s="100"/>
      <c r="N53" s="100"/>
      <c r="O53" s="100"/>
    </row>
    <row r="54" spans="1:15">
      <c r="J54" s="409"/>
      <c r="K54" s="102" t="s">
        <v>396</v>
      </c>
      <c r="L54" s="100"/>
      <c r="M54" s="100"/>
      <c r="N54" s="100"/>
      <c r="O54" s="100"/>
    </row>
    <row r="55" spans="1:15">
      <c r="J55" s="409"/>
      <c r="K55" s="102" t="s">
        <v>398</v>
      </c>
      <c r="L55" s="100"/>
      <c r="M55" s="100"/>
      <c r="N55" s="100"/>
      <c r="O55" s="100"/>
    </row>
    <row r="56" spans="1:15">
      <c r="J56" s="409"/>
      <c r="K56" s="102" t="s">
        <v>400</v>
      </c>
      <c r="L56" s="100"/>
      <c r="M56" s="100"/>
      <c r="N56" s="100"/>
      <c r="O56" s="100"/>
    </row>
    <row r="57" spans="1:15">
      <c r="J57" s="409"/>
      <c r="K57" s="102" t="s">
        <v>401</v>
      </c>
      <c r="L57" s="100"/>
      <c r="M57" s="100"/>
      <c r="N57" s="100"/>
      <c r="O57" s="100"/>
    </row>
    <row r="58" spans="1:15">
      <c r="J58" s="409"/>
      <c r="K58" s="102" t="s">
        <v>402</v>
      </c>
      <c r="L58" s="100"/>
      <c r="M58" s="100"/>
      <c r="N58" s="100"/>
      <c r="O58" s="100"/>
    </row>
    <row r="59" spans="1:15">
      <c r="J59" s="409"/>
      <c r="K59" s="102" t="s">
        <v>404</v>
      </c>
      <c r="L59" s="100"/>
      <c r="M59" s="100"/>
      <c r="N59" s="100"/>
      <c r="O59" s="100"/>
    </row>
    <row r="60" spans="1:15">
      <c r="J60" s="409"/>
      <c r="K60" s="102" t="s">
        <v>405</v>
      </c>
      <c r="L60" s="100"/>
      <c r="M60" s="100"/>
      <c r="N60" s="100"/>
      <c r="O60" s="100"/>
    </row>
    <row r="61" spans="1:15">
      <c r="J61" s="409"/>
      <c r="K61" s="102" t="s">
        <v>406</v>
      </c>
      <c r="L61" s="100"/>
      <c r="M61" s="100"/>
      <c r="N61" s="100"/>
      <c r="O61" s="100"/>
    </row>
    <row r="62" spans="1:15">
      <c r="J62" s="409"/>
      <c r="K62" s="102" t="s">
        <v>407</v>
      </c>
      <c r="L62" s="100"/>
      <c r="M62" s="100"/>
      <c r="N62" s="100"/>
      <c r="O62" s="100"/>
    </row>
    <row r="63" spans="1:15">
      <c r="J63" s="409"/>
      <c r="K63" s="102" t="s">
        <v>408</v>
      </c>
      <c r="L63" s="100"/>
      <c r="M63" s="100"/>
      <c r="N63" s="100"/>
      <c r="O63" s="100"/>
    </row>
    <row r="64" spans="1:15">
      <c r="J64" s="409"/>
      <c r="K64" s="98" t="s">
        <v>409</v>
      </c>
      <c r="L64" s="98" t="e">
        <f>AVERAGE(L52:L63)</f>
        <v>#DIV/0!</v>
      </c>
      <c r="M64" s="98">
        <f>MAX(M52:M63)</f>
        <v>0</v>
      </c>
      <c r="N64" s="98" t="e">
        <f>AVERAGE(N52:N63)</f>
        <v>#DIV/0!</v>
      </c>
      <c r="O64" s="98">
        <f>MAX(O52:O63)</f>
        <v>0</v>
      </c>
    </row>
    <row r="66" spans="10:15" ht="41.45">
      <c r="J66" s="97">
        <f>+A6</f>
        <v>2022</v>
      </c>
      <c r="K66" s="97" t="s">
        <v>391</v>
      </c>
      <c r="L66" s="103" t="s">
        <v>386</v>
      </c>
      <c r="M66" s="103" t="s">
        <v>392</v>
      </c>
      <c r="N66" s="103" t="s">
        <v>389</v>
      </c>
      <c r="O66" s="103" t="s">
        <v>393</v>
      </c>
    </row>
    <row r="67" spans="10:15">
      <c r="J67" s="409" t="s">
        <v>193</v>
      </c>
      <c r="K67" s="102" t="s">
        <v>394</v>
      </c>
      <c r="L67" s="100"/>
      <c r="M67" s="100"/>
      <c r="N67" s="100"/>
      <c r="O67" s="100"/>
    </row>
    <row r="68" spans="10:15">
      <c r="J68" s="409"/>
      <c r="K68" s="102" t="s">
        <v>395</v>
      </c>
      <c r="L68" s="100"/>
      <c r="M68" s="100"/>
      <c r="N68" s="100"/>
      <c r="O68" s="100"/>
    </row>
    <row r="69" spans="10:15">
      <c r="J69" s="409"/>
      <c r="K69" s="102" t="s">
        <v>396</v>
      </c>
      <c r="L69" s="100"/>
      <c r="M69" s="100"/>
      <c r="N69" s="100"/>
      <c r="O69" s="100"/>
    </row>
    <row r="70" spans="10:15">
      <c r="J70" s="409"/>
      <c r="K70" s="102" t="s">
        <v>398</v>
      </c>
      <c r="L70" s="100"/>
      <c r="M70" s="100"/>
      <c r="N70" s="100"/>
      <c r="O70" s="100"/>
    </row>
    <row r="71" spans="10:15">
      <c r="J71" s="409"/>
      <c r="K71" s="102" t="s">
        <v>400</v>
      </c>
      <c r="L71" s="100"/>
      <c r="M71" s="100"/>
      <c r="N71" s="100"/>
      <c r="O71" s="100"/>
    </row>
    <row r="72" spans="10:15">
      <c r="J72" s="409"/>
      <c r="K72" s="102" t="s">
        <v>401</v>
      </c>
      <c r="L72" s="100"/>
      <c r="M72" s="100"/>
      <c r="N72" s="100"/>
      <c r="O72" s="100"/>
    </row>
    <row r="73" spans="10:15">
      <c r="J73" s="409"/>
      <c r="K73" s="102" t="s">
        <v>402</v>
      </c>
      <c r="L73" s="100"/>
      <c r="M73" s="100"/>
      <c r="N73" s="100"/>
      <c r="O73" s="100"/>
    </row>
    <row r="74" spans="10:15">
      <c r="J74" s="409"/>
      <c r="K74" s="102" t="s">
        <v>404</v>
      </c>
      <c r="L74" s="100"/>
      <c r="M74" s="100"/>
      <c r="N74" s="100"/>
      <c r="O74" s="100"/>
    </row>
    <row r="75" spans="10:15">
      <c r="J75" s="409"/>
      <c r="K75" s="102" t="s">
        <v>405</v>
      </c>
      <c r="L75" s="100"/>
      <c r="M75" s="100"/>
      <c r="N75" s="100"/>
      <c r="O75" s="100"/>
    </row>
    <row r="76" spans="10:15">
      <c r="J76" s="409"/>
      <c r="K76" s="102" t="s">
        <v>406</v>
      </c>
      <c r="L76" s="100"/>
      <c r="M76" s="100"/>
      <c r="N76" s="100"/>
      <c r="O76" s="100"/>
    </row>
    <row r="77" spans="10:15">
      <c r="J77" s="409"/>
      <c r="K77" s="102" t="s">
        <v>407</v>
      </c>
      <c r="L77" s="100"/>
      <c r="M77" s="100"/>
      <c r="N77" s="100"/>
      <c r="O77" s="100"/>
    </row>
    <row r="78" spans="10:15">
      <c r="J78" s="409"/>
      <c r="K78" s="102" t="s">
        <v>408</v>
      </c>
      <c r="L78" s="100"/>
      <c r="M78" s="100"/>
      <c r="N78" s="100"/>
      <c r="O78" s="100"/>
    </row>
    <row r="79" spans="10:15">
      <c r="J79" s="409"/>
      <c r="K79" s="98" t="s">
        <v>409</v>
      </c>
      <c r="L79" s="98" t="e">
        <f>AVERAGE(L67:L78)</f>
        <v>#DIV/0!</v>
      </c>
      <c r="M79" s="98">
        <f>MAX(M67:M78)</f>
        <v>0</v>
      </c>
      <c r="N79" s="98" t="e">
        <f>AVERAGE(N67:N78)</f>
        <v>#DIV/0!</v>
      </c>
      <c r="O79" s="98">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showGridLines="0" topLeftCell="C13" zoomScaleNormal="100" workbookViewId="0">
      <selection activeCell="L18" sqref="L18:O18"/>
    </sheetView>
  </sheetViews>
  <sheetFormatPr defaultRowHeight="13.9"/>
  <cols>
    <col min="1" max="1" width="14" style="3" customWidth="1"/>
    <col min="2" max="4" width="17" style="69" customWidth="1"/>
    <col min="5" max="5" width="14.7109375" style="69" customWidth="1"/>
    <col min="6" max="7" width="17" style="69"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128" t="str">
        <f>+'Cover Page'!$B$29</f>
        <v>Annual Performance Report 2022</v>
      </c>
      <c r="B1" s="128"/>
      <c r="C1" s="128"/>
      <c r="D1" s="128"/>
      <c r="E1" s="128" t="str">
        <f>+'Cover Page'!$B$33</f>
        <v>SUEZ R&amp;R Wilton 11 EfW</v>
      </c>
      <c r="F1" s="128"/>
      <c r="G1" s="128"/>
    </row>
    <row r="3" spans="1:19" ht="14.45">
      <c r="A3" s="96" t="s">
        <v>410</v>
      </c>
      <c r="D3" s="115" t="s">
        <v>378</v>
      </c>
      <c r="G3" s="119" t="s">
        <v>379</v>
      </c>
      <c r="J3" s="8" t="str">
        <f>+A3</f>
        <v>Monitoring of Sulphur dioxide emissions</v>
      </c>
      <c r="L3" s="8"/>
      <c r="N3" s="8" t="s">
        <v>380</v>
      </c>
      <c r="Q3" s="118" t="s">
        <v>3</v>
      </c>
      <c r="R3" s="112"/>
      <c r="S3" s="112"/>
    </row>
    <row r="4" spans="1:19" ht="13.9" customHeight="1">
      <c r="Q4" s="400" t="s">
        <v>381</v>
      </c>
      <c r="R4" s="400"/>
      <c r="S4" s="400"/>
    </row>
    <row r="5" spans="1:19" ht="16.149999999999999">
      <c r="A5" s="104" t="s">
        <v>382</v>
      </c>
      <c r="B5" s="411" t="s">
        <v>383</v>
      </c>
      <c r="C5" s="411"/>
      <c r="D5" s="411"/>
      <c r="E5" s="411" t="s">
        <v>384</v>
      </c>
      <c r="F5" s="411"/>
      <c r="G5" s="411"/>
      <c r="J5" s="410"/>
      <c r="K5" s="410"/>
      <c r="L5" s="410"/>
      <c r="M5" s="410"/>
      <c r="N5" s="410"/>
      <c r="O5" s="410"/>
      <c r="Q5" s="400"/>
      <c r="R5" s="400"/>
      <c r="S5" s="400"/>
    </row>
    <row r="6" spans="1:19" s="94" customFormat="1" ht="37.5" customHeight="1">
      <c r="A6" s="101">
        <f>+'Cover Page'!C39</f>
        <v>2022</v>
      </c>
      <c r="B6" s="90" t="s">
        <v>411</v>
      </c>
      <c r="C6" s="90" t="s">
        <v>386</v>
      </c>
      <c r="D6" s="90" t="s">
        <v>387</v>
      </c>
      <c r="E6" s="90" t="s">
        <v>412</v>
      </c>
      <c r="F6" s="90" t="s">
        <v>389</v>
      </c>
      <c r="G6" s="90" t="s">
        <v>390</v>
      </c>
      <c r="H6" s="95"/>
      <c r="J6" s="97">
        <f>+A6</f>
        <v>2022</v>
      </c>
      <c r="K6" s="97" t="s">
        <v>391</v>
      </c>
      <c r="L6" s="103" t="s">
        <v>386</v>
      </c>
      <c r="M6" s="103" t="s">
        <v>392</v>
      </c>
      <c r="N6" s="103" t="s">
        <v>389</v>
      </c>
      <c r="O6" s="103" t="s">
        <v>393</v>
      </c>
      <c r="Q6" s="400"/>
      <c r="R6" s="400"/>
      <c r="S6" s="400"/>
    </row>
    <row r="7" spans="1:19">
      <c r="A7" s="102" t="s">
        <v>394</v>
      </c>
      <c r="B7" s="99">
        <v>200</v>
      </c>
      <c r="C7" s="100">
        <f>AVERAGE(L7,L22)</f>
        <v>23.5</v>
      </c>
      <c r="D7" s="100">
        <f>MAX(M7,M22)</f>
        <v>70</v>
      </c>
      <c r="E7" s="99">
        <v>50</v>
      </c>
      <c r="F7" s="100">
        <f>AVERAGE(N7,N22)</f>
        <v>23.5</v>
      </c>
      <c r="G7" s="100">
        <f>MAX(O7,O22)</f>
        <v>34</v>
      </c>
      <c r="J7" s="409" t="s">
        <v>189</v>
      </c>
      <c r="K7" s="102" t="s">
        <v>394</v>
      </c>
      <c r="L7" s="100">
        <v>21</v>
      </c>
      <c r="M7" s="100">
        <v>70</v>
      </c>
      <c r="N7" s="100">
        <v>21</v>
      </c>
      <c r="O7" s="100">
        <v>34</v>
      </c>
      <c r="Q7" s="400"/>
      <c r="R7" s="400"/>
      <c r="S7" s="400"/>
    </row>
    <row r="8" spans="1:19">
      <c r="A8" s="102" t="s">
        <v>395</v>
      </c>
      <c r="B8" s="99">
        <v>200</v>
      </c>
      <c r="C8" s="100">
        <f t="shared" ref="C8:C18" si="0">AVERAGE(L8,L23)</f>
        <v>29</v>
      </c>
      <c r="D8" s="100">
        <f t="shared" ref="D8:D18" si="1">MAX(M8,M23)</f>
        <v>155</v>
      </c>
      <c r="E8" s="99">
        <v>50</v>
      </c>
      <c r="F8" s="100">
        <f t="shared" ref="F8:F18" si="2">AVERAGE(N8,N23)</f>
        <v>29</v>
      </c>
      <c r="G8" s="100">
        <f t="shared" ref="G8:G18" si="3">MAX(O8,O23)</f>
        <v>34</v>
      </c>
      <c r="J8" s="409"/>
      <c r="K8" s="102" t="s">
        <v>395</v>
      </c>
      <c r="L8" s="100">
        <v>27</v>
      </c>
      <c r="M8" s="100">
        <v>48</v>
      </c>
      <c r="N8" s="100">
        <v>27</v>
      </c>
      <c r="O8" s="100">
        <v>33</v>
      </c>
      <c r="Q8" s="400"/>
      <c r="R8" s="400"/>
      <c r="S8" s="400"/>
    </row>
    <row r="9" spans="1:19">
      <c r="A9" s="102" t="s">
        <v>396</v>
      </c>
      <c r="B9" s="99">
        <v>200</v>
      </c>
      <c r="C9" s="100">
        <f t="shared" si="0"/>
        <v>27</v>
      </c>
      <c r="D9" s="100">
        <f t="shared" si="1"/>
        <v>142</v>
      </c>
      <c r="E9" s="99">
        <v>50</v>
      </c>
      <c r="F9" s="100">
        <f t="shared" si="2"/>
        <v>27</v>
      </c>
      <c r="G9" s="100">
        <f t="shared" si="3"/>
        <v>39</v>
      </c>
      <c r="J9" s="409"/>
      <c r="K9" s="102" t="s">
        <v>396</v>
      </c>
      <c r="L9" s="100">
        <v>25</v>
      </c>
      <c r="M9" s="100">
        <v>55</v>
      </c>
      <c r="N9" s="100">
        <v>25</v>
      </c>
      <c r="O9" s="100">
        <v>35</v>
      </c>
      <c r="Q9" s="117" t="s">
        <v>397</v>
      </c>
    </row>
    <row r="10" spans="1:19" ht="14.25" customHeight="1">
      <c r="A10" s="102" t="s">
        <v>398</v>
      </c>
      <c r="B10" s="99">
        <v>200</v>
      </c>
      <c r="C10" s="100">
        <f t="shared" si="0"/>
        <v>23.5</v>
      </c>
      <c r="D10" s="100">
        <f t="shared" si="1"/>
        <v>52</v>
      </c>
      <c r="E10" s="99">
        <v>50</v>
      </c>
      <c r="F10" s="100">
        <f t="shared" si="2"/>
        <v>23.5</v>
      </c>
      <c r="G10" s="100">
        <f t="shared" si="3"/>
        <v>33</v>
      </c>
      <c r="J10" s="409"/>
      <c r="K10" s="102" t="s">
        <v>398</v>
      </c>
      <c r="L10" s="100">
        <v>19</v>
      </c>
      <c r="M10" s="100">
        <v>52</v>
      </c>
      <c r="N10" s="100">
        <v>19</v>
      </c>
      <c r="O10" s="100">
        <v>27</v>
      </c>
      <c r="Q10" s="408" t="s">
        <v>399</v>
      </c>
      <c r="R10" s="408"/>
      <c r="S10" s="408"/>
    </row>
    <row r="11" spans="1:19">
      <c r="A11" s="102" t="s">
        <v>400</v>
      </c>
      <c r="B11" s="99">
        <v>200</v>
      </c>
      <c r="C11" s="100">
        <f t="shared" si="0"/>
        <v>29</v>
      </c>
      <c r="D11" s="100">
        <f t="shared" si="1"/>
        <v>60</v>
      </c>
      <c r="E11" s="99">
        <v>50</v>
      </c>
      <c r="F11" s="100">
        <f t="shared" si="2"/>
        <v>29</v>
      </c>
      <c r="G11" s="100">
        <f t="shared" si="3"/>
        <v>43</v>
      </c>
      <c r="J11" s="409"/>
      <c r="K11" s="102" t="s">
        <v>400</v>
      </c>
      <c r="L11" s="100">
        <v>26</v>
      </c>
      <c r="M11" s="100">
        <v>60</v>
      </c>
      <c r="N11" s="100">
        <v>26</v>
      </c>
      <c r="O11" s="100">
        <v>40</v>
      </c>
      <c r="Q11" s="408"/>
      <c r="R11" s="408"/>
      <c r="S11" s="408"/>
    </row>
    <row r="12" spans="1:19">
      <c r="A12" s="102" t="s">
        <v>401</v>
      </c>
      <c r="B12" s="99">
        <v>200</v>
      </c>
      <c r="C12" s="100">
        <f t="shared" si="0"/>
        <v>27.5</v>
      </c>
      <c r="D12" s="100">
        <f t="shared" si="1"/>
        <v>86</v>
      </c>
      <c r="E12" s="99">
        <v>50</v>
      </c>
      <c r="F12" s="100">
        <f t="shared" si="2"/>
        <v>27.5</v>
      </c>
      <c r="G12" s="100">
        <f t="shared" si="3"/>
        <v>44</v>
      </c>
      <c r="J12" s="409"/>
      <c r="K12" s="102" t="s">
        <v>401</v>
      </c>
      <c r="L12" s="162">
        <v>27</v>
      </c>
      <c r="M12" s="162">
        <v>71</v>
      </c>
      <c r="N12" s="162">
        <v>27</v>
      </c>
      <c r="O12" s="162">
        <v>44</v>
      </c>
      <c r="Q12" s="408"/>
      <c r="R12" s="408"/>
      <c r="S12" s="408"/>
    </row>
    <row r="13" spans="1:19" ht="14.25" customHeight="1">
      <c r="A13" s="102" t="s">
        <v>402</v>
      </c>
      <c r="B13" s="99">
        <v>200</v>
      </c>
      <c r="C13" s="100">
        <f t="shared" si="0"/>
        <v>27</v>
      </c>
      <c r="D13" s="100">
        <f t="shared" si="1"/>
        <v>85</v>
      </c>
      <c r="E13" s="99">
        <v>50</v>
      </c>
      <c r="F13" s="100">
        <f t="shared" si="2"/>
        <v>27</v>
      </c>
      <c r="G13" s="100">
        <f t="shared" si="3"/>
        <v>39</v>
      </c>
      <c r="J13" s="409"/>
      <c r="K13" s="102" t="s">
        <v>402</v>
      </c>
      <c r="L13" s="162">
        <v>27</v>
      </c>
      <c r="M13" s="162">
        <v>60</v>
      </c>
      <c r="N13" s="162">
        <v>27</v>
      </c>
      <c r="O13" s="162">
        <v>39</v>
      </c>
      <c r="Q13" s="408" t="s">
        <v>403</v>
      </c>
      <c r="R13" s="408"/>
      <c r="S13" s="408"/>
    </row>
    <row r="14" spans="1:19">
      <c r="A14" s="102" t="s">
        <v>404</v>
      </c>
      <c r="B14" s="99">
        <v>200</v>
      </c>
      <c r="C14" s="100">
        <f t="shared" si="0"/>
        <v>26</v>
      </c>
      <c r="D14" s="100">
        <f t="shared" si="1"/>
        <v>159</v>
      </c>
      <c r="E14" s="99">
        <v>50</v>
      </c>
      <c r="F14" s="100">
        <f t="shared" si="2"/>
        <v>26</v>
      </c>
      <c r="G14" s="100">
        <f t="shared" si="3"/>
        <v>37</v>
      </c>
      <c r="J14" s="409"/>
      <c r="K14" s="102" t="s">
        <v>404</v>
      </c>
      <c r="L14" s="162">
        <v>25</v>
      </c>
      <c r="M14" s="162">
        <v>159</v>
      </c>
      <c r="N14" s="162">
        <v>25</v>
      </c>
      <c r="O14" s="162">
        <v>37</v>
      </c>
      <c r="Q14" s="408"/>
      <c r="R14" s="408"/>
      <c r="S14" s="408"/>
    </row>
    <row r="15" spans="1:19">
      <c r="A15" s="102" t="s">
        <v>405</v>
      </c>
      <c r="B15" s="99">
        <v>200</v>
      </c>
      <c r="C15" s="100">
        <f t="shared" si="0"/>
        <v>20</v>
      </c>
      <c r="D15" s="100">
        <f t="shared" si="1"/>
        <v>46</v>
      </c>
      <c r="E15" s="99">
        <v>50</v>
      </c>
      <c r="F15" s="100">
        <f t="shared" si="2"/>
        <v>20</v>
      </c>
      <c r="G15" s="100">
        <f t="shared" si="3"/>
        <v>29</v>
      </c>
      <c r="J15" s="409"/>
      <c r="K15" s="102" t="s">
        <v>405</v>
      </c>
      <c r="L15" s="168"/>
      <c r="M15" s="168"/>
      <c r="N15" s="168"/>
      <c r="O15" s="168"/>
      <c r="Q15" s="408"/>
      <c r="R15" s="408"/>
      <c r="S15" s="408"/>
    </row>
    <row r="16" spans="1:19">
      <c r="A16" s="102" t="s">
        <v>406</v>
      </c>
      <c r="B16" s="99">
        <v>200</v>
      </c>
      <c r="C16" s="100">
        <f t="shared" si="0"/>
        <v>22</v>
      </c>
      <c r="D16" s="100">
        <f t="shared" si="1"/>
        <v>62</v>
      </c>
      <c r="E16" s="99">
        <v>50</v>
      </c>
      <c r="F16" s="100">
        <f t="shared" si="2"/>
        <v>22</v>
      </c>
      <c r="G16" s="100">
        <f t="shared" si="3"/>
        <v>35</v>
      </c>
      <c r="J16" s="409"/>
      <c r="K16" s="102" t="s">
        <v>406</v>
      </c>
      <c r="L16" s="168"/>
      <c r="M16" s="168"/>
      <c r="N16" s="168"/>
      <c r="O16" s="168"/>
      <c r="Q16" s="408"/>
      <c r="R16" s="408"/>
      <c r="S16" s="408"/>
    </row>
    <row r="17" spans="1:15">
      <c r="A17" s="102" t="s">
        <v>407</v>
      </c>
      <c r="B17" s="99">
        <v>200</v>
      </c>
      <c r="C17" s="100">
        <f t="shared" si="0"/>
        <v>32</v>
      </c>
      <c r="D17" s="100">
        <f t="shared" si="1"/>
        <v>84</v>
      </c>
      <c r="E17" s="99">
        <v>50</v>
      </c>
      <c r="F17" s="100">
        <f t="shared" si="2"/>
        <v>32</v>
      </c>
      <c r="G17" s="100">
        <f t="shared" si="3"/>
        <v>43</v>
      </c>
      <c r="J17" s="409"/>
      <c r="K17" s="102" t="s">
        <v>407</v>
      </c>
      <c r="L17" s="168">
        <v>32</v>
      </c>
      <c r="M17" s="168">
        <v>84</v>
      </c>
      <c r="N17" s="168">
        <v>32</v>
      </c>
      <c r="O17" s="168">
        <v>43</v>
      </c>
    </row>
    <row r="18" spans="1:15">
      <c r="A18" s="102" t="s">
        <v>408</v>
      </c>
      <c r="B18" s="99">
        <v>200</v>
      </c>
      <c r="C18" s="100">
        <f t="shared" si="0"/>
        <v>32</v>
      </c>
      <c r="D18" s="100">
        <f t="shared" si="1"/>
        <v>59</v>
      </c>
      <c r="E18" s="99">
        <v>50</v>
      </c>
      <c r="F18" s="100">
        <f t="shared" si="2"/>
        <v>32</v>
      </c>
      <c r="G18" s="100">
        <f t="shared" si="3"/>
        <v>42</v>
      </c>
      <c r="J18" s="409"/>
      <c r="K18" s="102" t="s">
        <v>408</v>
      </c>
      <c r="L18" s="100">
        <v>35</v>
      </c>
      <c r="M18" s="100">
        <v>55</v>
      </c>
      <c r="N18" s="100">
        <v>35</v>
      </c>
      <c r="O18" s="100">
        <v>42</v>
      </c>
    </row>
    <row r="19" spans="1:15">
      <c r="J19" s="409"/>
      <c r="K19" s="98" t="s">
        <v>409</v>
      </c>
      <c r="L19" s="98">
        <f>AVERAGE(L7:L18)</f>
        <v>26.4</v>
      </c>
      <c r="M19" s="98">
        <f>MAX(M7:M18)</f>
        <v>159</v>
      </c>
      <c r="N19" s="98">
        <f>AVERAGE(N7:N18)</f>
        <v>26.4</v>
      </c>
      <c r="O19" s="98">
        <f>MAX(O7:O18)</f>
        <v>44</v>
      </c>
    </row>
    <row r="21" spans="1:15" ht="41.45">
      <c r="J21" s="97">
        <f>+A6</f>
        <v>2022</v>
      </c>
      <c r="K21" s="97" t="s">
        <v>391</v>
      </c>
      <c r="L21" s="103" t="s">
        <v>386</v>
      </c>
      <c r="M21" s="103" t="s">
        <v>392</v>
      </c>
      <c r="N21" s="103" t="s">
        <v>389</v>
      </c>
      <c r="O21" s="103" t="s">
        <v>393</v>
      </c>
    </row>
    <row r="22" spans="1:15">
      <c r="J22" s="409" t="s">
        <v>190</v>
      </c>
      <c r="K22" s="102" t="s">
        <v>394</v>
      </c>
      <c r="L22" s="100">
        <v>26</v>
      </c>
      <c r="M22" s="100">
        <v>56</v>
      </c>
      <c r="N22" s="100">
        <v>26</v>
      </c>
      <c r="O22" s="100">
        <v>33</v>
      </c>
    </row>
    <row r="23" spans="1:15">
      <c r="J23" s="409"/>
      <c r="K23" s="102" t="s">
        <v>395</v>
      </c>
      <c r="L23" s="100">
        <v>31</v>
      </c>
      <c r="M23" s="100">
        <v>155</v>
      </c>
      <c r="N23" s="100">
        <v>31</v>
      </c>
      <c r="O23" s="100">
        <v>34</v>
      </c>
    </row>
    <row r="24" spans="1:15">
      <c r="J24" s="409"/>
      <c r="K24" s="102" t="s">
        <v>396</v>
      </c>
      <c r="L24" s="100">
        <v>29</v>
      </c>
      <c r="M24" s="100">
        <v>142</v>
      </c>
      <c r="N24" s="100">
        <v>29</v>
      </c>
      <c r="O24" s="100">
        <v>39</v>
      </c>
    </row>
    <row r="25" spans="1:15">
      <c r="J25" s="409"/>
      <c r="K25" s="102" t="s">
        <v>398</v>
      </c>
      <c r="L25" s="100">
        <v>28</v>
      </c>
      <c r="M25" s="100">
        <v>46</v>
      </c>
      <c r="N25" s="100">
        <v>28</v>
      </c>
      <c r="O25" s="100">
        <v>33</v>
      </c>
    </row>
    <row r="26" spans="1:15">
      <c r="J26" s="409"/>
      <c r="K26" s="102" t="s">
        <v>400</v>
      </c>
      <c r="L26" s="100">
        <v>32</v>
      </c>
      <c r="M26" s="100">
        <v>58</v>
      </c>
      <c r="N26" s="100">
        <v>32</v>
      </c>
      <c r="O26" s="100">
        <v>43</v>
      </c>
    </row>
    <row r="27" spans="1:15">
      <c r="J27" s="409"/>
      <c r="K27" s="102" t="s">
        <v>401</v>
      </c>
      <c r="L27" s="162">
        <v>28</v>
      </c>
      <c r="M27" s="162">
        <v>86</v>
      </c>
      <c r="N27" s="162">
        <v>28</v>
      </c>
      <c r="O27" s="162">
        <v>40</v>
      </c>
    </row>
    <row r="28" spans="1:15">
      <c r="J28" s="409"/>
      <c r="K28" s="102" t="s">
        <v>402</v>
      </c>
      <c r="L28" s="162">
        <v>27</v>
      </c>
      <c r="M28" s="162">
        <v>85</v>
      </c>
      <c r="N28" s="162">
        <v>27</v>
      </c>
      <c r="O28" s="162">
        <v>34</v>
      </c>
    </row>
    <row r="29" spans="1:15">
      <c r="J29" s="409"/>
      <c r="K29" s="102" t="s">
        <v>404</v>
      </c>
      <c r="L29" s="162">
        <v>27</v>
      </c>
      <c r="M29" s="162">
        <v>89</v>
      </c>
      <c r="N29" s="162">
        <v>27</v>
      </c>
      <c r="O29" s="162">
        <v>36</v>
      </c>
    </row>
    <row r="30" spans="1:15">
      <c r="J30" s="409"/>
      <c r="K30" s="102" t="s">
        <v>405</v>
      </c>
      <c r="L30" s="168">
        <v>20</v>
      </c>
      <c r="M30" s="168">
        <v>46</v>
      </c>
      <c r="N30" s="168">
        <v>20</v>
      </c>
      <c r="O30" s="168">
        <v>29</v>
      </c>
    </row>
    <row r="31" spans="1:15">
      <c r="J31" s="409"/>
      <c r="K31" s="102" t="s">
        <v>406</v>
      </c>
      <c r="L31" s="168">
        <v>22</v>
      </c>
      <c r="M31" s="168">
        <v>62</v>
      </c>
      <c r="N31" s="168">
        <v>22</v>
      </c>
      <c r="O31" s="168">
        <v>35</v>
      </c>
    </row>
    <row r="32" spans="1:15">
      <c r="J32" s="409"/>
      <c r="K32" s="102" t="s">
        <v>407</v>
      </c>
      <c r="L32" s="100"/>
      <c r="M32" s="100"/>
      <c r="N32" s="100"/>
      <c r="O32" s="100"/>
    </row>
    <row r="33" spans="1:15">
      <c r="J33" s="409"/>
      <c r="K33" s="102" t="s">
        <v>408</v>
      </c>
      <c r="L33" s="100">
        <v>29</v>
      </c>
      <c r="M33" s="100">
        <v>59</v>
      </c>
      <c r="N33" s="100">
        <v>29</v>
      </c>
      <c r="O33" s="100">
        <v>39</v>
      </c>
    </row>
    <row r="34" spans="1:15">
      <c r="J34" s="409"/>
      <c r="K34" s="98" t="s">
        <v>409</v>
      </c>
      <c r="L34" s="98">
        <f>AVERAGE(L22:L33)</f>
        <v>27.181818181818183</v>
      </c>
      <c r="M34" s="98">
        <f>MAX(M22:M33)</f>
        <v>155</v>
      </c>
      <c r="N34" s="98">
        <f>AVERAGE(N22:N33)</f>
        <v>27.181818181818183</v>
      </c>
      <c r="O34" s="98">
        <f>MAX(O22:O33)</f>
        <v>43</v>
      </c>
    </row>
    <row r="36" spans="1:15" ht="41.45">
      <c r="J36" s="97">
        <f>+A6</f>
        <v>2022</v>
      </c>
      <c r="K36" s="97" t="s">
        <v>391</v>
      </c>
      <c r="L36" s="103" t="s">
        <v>386</v>
      </c>
      <c r="M36" s="103" t="s">
        <v>392</v>
      </c>
      <c r="N36" s="103" t="s">
        <v>389</v>
      </c>
      <c r="O36" s="103" t="s">
        <v>393</v>
      </c>
    </row>
    <row r="37" spans="1:15">
      <c r="J37" s="409" t="s">
        <v>191</v>
      </c>
      <c r="K37" s="102" t="s">
        <v>394</v>
      </c>
      <c r="L37" s="100"/>
      <c r="M37" s="100"/>
      <c r="N37" s="100"/>
      <c r="O37" s="100"/>
    </row>
    <row r="38" spans="1:15">
      <c r="J38" s="409"/>
      <c r="K38" s="102" t="s">
        <v>395</v>
      </c>
      <c r="L38" s="100"/>
      <c r="M38" s="100"/>
      <c r="N38" s="100"/>
      <c r="O38" s="100"/>
    </row>
    <row r="39" spans="1:15">
      <c r="J39" s="409"/>
      <c r="K39" s="102" t="s">
        <v>396</v>
      </c>
      <c r="L39" s="100"/>
      <c r="M39" s="100"/>
      <c r="N39" s="100"/>
      <c r="O39" s="100"/>
    </row>
    <row r="40" spans="1:15">
      <c r="J40" s="409"/>
      <c r="K40" s="102" t="s">
        <v>398</v>
      </c>
      <c r="L40" s="100"/>
      <c r="M40" s="100"/>
      <c r="N40" s="100"/>
      <c r="O40" s="100"/>
    </row>
    <row r="41" spans="1:15">
      <c r="J41" s="409"/>
      <c r="K41" s="102" t="s">
        <v>400</v>
      </c>
      <c r="L41" s="100"/>
      <c r="M41" s="100"/>
      <c r="N41" s="100"/>
      <c r="O41" s="100"/>
    </row>
    <row r="42" spans="1:15">
      <c r="J42" s="409"/>
      <c r="K42" s="102" t="s">
        <v>401</v>
      </c>
      <c r="L42" s="100"/>
      <c r="M42" s="100"/>
      <c r="N42" s="100"/>
      <c r="O42" s="100"/>
    </row>
    <row r="43" spans="1:15">
      <c r="J43" s="409"/>
      <c r="K43" s="102" t="s">
        <v>402</v>
      </c>
      <c r="L43" s="100"/>
      <c r="M43" s="100"/>
      <c r="N43" s="100"/>
      <c r="O43" s="100"/>
    </row>
    <row r="44" spans="1:15">
      <c r="J44" s="409"/>
      <c r="K44" s="102" t="s">
        <v>404</v>
      </c>
      <c r="L44" s="100"/>
      <c r="M44" s="100"/>
      <c r="N44" s="100"/>
      <c r="O44" s="100"/>
    </row>
    <row r="45" spans="1:15">
      <c r="J45" s="409"/>
      <c r="K45" s="102" t="s">
        <v>405</v>
      </c>
      <c r="L45" s="100"/>
      <c r="M45" s="100"/>
      <c r="N45" s="100"/>
      <c r="O45" s="100"/>
    </row>
    <row r="46" spans="1:15">
      <c r="J46" s="409"/>
      <c r="K46" s="102" t="s">
        <v>406</v>
      </c>
      <c r="L46" s="100"/>
      <c r="M46" s="100"/>
      <c r="N46" s="100"/>
      <c r="O46" s="100"/>
    </row>
    <row r="47" spans="1:15">
      <c r="J47" s="409"/>
      <c r="K47" s="102" t="s">
        <v>407</v>
      </c>
      <c r="L47" s="100"/>
      <c r="M47" s="100"/>
      <c r="N47" s="100"/>
      <c r="O47" s="100"/>
    </row>
    <row r="48" spans="1:15">
      <c r="A48" s="421" t="s">
        <v>304</v>
      </c>
      <c r="B48" s="422"/>
      <c r="C48" s="422"/>
      <c r="D48" s="422"/>
      <c r="E48" s="422"/>
      <c r="F48" s="422"/>
      <c r="G48" s="423"/>
      <c r="J48" s="409"/>
      <c r="K48" s="102" t="s">
        <v>408</v>
      </c>
      <c r="L48" s="100"/>
      <c r="M48" s="100"/>
      <c r="N48" s="100"/>
      <c r="O48" s="100"/>
    </row>
    <row r="49" spans="1:15">
      <c r="A49" s="412"/>
      <c r="B49" s="413"/>
      <c r="C49" s="413"/>
      <c r="D49" s="413"/>
      <c r="E49" s="413"/>
      <c r="F49" s="413"/>
      <c r="G49" s="414"/>
      <c r="J49" s="409"/>
      <c r="K49" s="98" t="s">
        <v>409</v>
      </c>
      <c r="L49" s="98" t="e">
        <f>AVERAGE(L37:L48)</f>
        <v>#DIV/0!</v>
      </c>
      <c r="M49" s="98">
        <f>MAX(M37:M48)</f>
        <v>0</v>
      </c>
      <c r="N49" s="98" t="e">
        <f>AVERAGE(N37:N48)</f>
        <v>#DIV/0!</v>
      </c>
      <c r="O49" s="98">
        <f>MAX(O37:O48)</f>
        <v>0</v>
      </c>
    </row>
    <row r="50" spans="1:15">
      <c r="A50" s="415"/>
      <c r="B50" s="416"/>
      <c r="C50" s="416"/>
      <c r="D50" s="416"/>
      <c r="E50" s="416"/>
      <c r="F50" s="416"/>
      <c r="G50" s="417"/>
    </row>
    <row r="51" spans="1:15" ht="41.45">
      <c r="A51" s="415"/>
      <c r="B51" s="416"/>
      <c r="C51" s="416"/>
      <c r="D51" s="416"/>
      <c r="E51" s="416"/>
      <c r="F51" s="416"/>
      <c r="G51" s="417"/>
      <c r="J51" s="97">
        <f>+A6</f>
        <v>2022</v>
      </c>
      <c r="K51" s="97" t="s">
        <v>391</v>
      </c>
      <c r="L51" s="103" t="s">
        <v>386</v>
      </c>
      <c r="M51" s="103" t="s">
        <v>392</v>
      </c>
      <c r="N51" s="103" t="s">
        <v>389</v>
      </c>
      <c r="O51" s="103" t="s">
        <v>393</v>
      </c>
    </row>
    <row r="52" spans="1:15">
      <c r="A52" s="418"/>
      <c r="B52" s="419"/>
      <c r="C52" s="419"/>
      <c r="D52" s="419"/>
      <c r="E52" s="419"/>
      <c r="F52" s="419"/>
      <c r="G52" s="420"/>
      <c r="J52" s="409" t="s">
        <v>192</v>
      </c>
      <c r="K52" s="102" t="s">
        <v>394</v>
      </c>
      <c r="L52" s="100"/>
      <c r="M52" s="100"/>
      <c r="N52" s="100"/>
      <c r="O52" s="100"/>
    </row>
    <row r="53" spans="1:15">
      <c r="J53" s="409"/>
      <c r="K53" s="102" t="s">
        <v>395</v>
      </c>
      <c r="L53" s="100"/>
      <c r="M53" s="100"/>
      <c r="N53" s="100"/>
      <c r="O53" s="100"/>
    </row>
    <row r="54" spans="1:15">
      <c r="J54" s="409"/>
      <c r="K54" s="102" t="s">
        <v>396</v>
      </c>
      <c r="L54" s="100"/>
      <c r="M54" s="100"/>
      <c r="N54" s="100"/>
      <c r="O54" s="100"/>
    </row>
    <row r="55" spans="1:15">
      <c r="J55" s="409"/>
      <c r="K55" s="102" t="s">
        <v>398</v>
      </c>
      <c r="L55" s="100"/>
      <c r="M55" s="100"/>
      <c r="N55" s="100"/>
      <c r="O55" s="100"/>
    </row>
    <row r="56" spans="1:15">
      <c r="J56" s="409"/>
      <c r="K56" s="102" t="s">
        <v>400</v>
      </c>
      <c r="L56" s="100"/>
      <c r="M56" s="100"/>
      <c r="N56" s="100"/>
      <c r="O56" s="100"/>
    </row>
    <row r="57" spans="1:15">
      <c r="J57" s="409"/>
      <c r="K57" s="102" t="s">
        <v>401</v>
      </c>
      <c r="L57" s="100"/>
      <c r="M57" s="100"/>
      <c r="N57" s="100"/>
      <c r="O57" s="100"/>
    </row>
    <row r="58" spans="1:15">
      <c r="J58" s="409"/>
      <c r="K58" s="102" t="s">
        <v>402</v>
      </c>
      <c r="L58" s="100"/>
      <c r="M58" s="100"/>
      <c r="N58" s="100"/>
      <c r="O58" s="100"/>
    </row>
    <row r="59" spans="1:15">
      <c r="J59" s="409"/>
      <c r="K59" s="102" t="s">
        <v>404</v>
      </c>
      <c r="L59" s="100"/>
      <c r="M59" s="100"/>
      <c r="N59" s="100"/>
      <c r="O59" s="100"/>
    </row>
    <row r="60" spans="1:15">
      <c r="J60" s="409"/>
      <c r="K60" s="102" t="s">
        <v>405</v>
      </c>
      <c r="L60" s="100"/>
      <c r="M60" s="100"/>
      <c r="N60" s="100"/>
      <c r="O60" s="100"/>
    </row>
    <row r="61" spans="1:15">
      <c r="J61" s="409"/>
      <c r="K61" s="102" t="s">
        <v>406</v>
      </c>
      <c r="L61" s="100"/>
      <c r="M61" s="100"/>
      <c r="N61" s="100"/>
      <c r="O61" s="100"/>
    </row>
    <row r="62" spans="1:15">
      <c r="J62" s="409"/>
      <c r="K62" s="102" t="s">
        <v>407</v>
      </c>
      <c r="L62" s="100"/>
      <c r="M62" s="100"/>
      <c r="N62" s="100"/>
      <c r="O62" s="100"/>
    </row>
    <row r="63" spans="1:15">
      <c r="J63" s="409"/>
      <c r="K63" s="102" t="s">
        <v>408</v>
      </c>
      <c r="L63" s="100"/>
      <c r="M63" s="100"/>
      <c r="N63" s="100"/>
      <c r="O63" s="100"/>
    </row>
    <row r="64" spans="1:15">
      <c r="J64" s="409"/>
      <c r="K64" s="98" t="s">
        <v>409</v>
      </c>
      <c r="L64" s="98" t="e">
        <f>AVERAGE(L52:L63)</f>
        <v>#DIV/0!</v>
      </c>
      <c r="M64" s="98">
        <f>MAX(M52:M63)</f>
        <v>0</v>
      </c>
      <c r="N64" s="98" t="e">
        <f>AVERAGE(N52:N63)</f>
        <v>#DIV/0!</v>
      </c>
      <c r="O64" s="98">
        <f>MAX(O52:O63)</f>
        <v>0</v>
      </c>
    </row>
    <row r="66" spans="10:15" ht="41.45">
      <c r="J66" s="97">
        <f>+A6</f>
        <v>2022</v>
      </c>
      <c r="K66" s="97" t="s">
        <v>391</v>
      </c>
      <c r="L66" s="103" t="s">
        <v>386</v>
      </c>
      <c r="M66" s="103" t="s">
        <v>392</v>
      </c>
      <c r="N66" s="103" t="s">
        <v>389</v>
      </c>
      <c r="O66" s="103" t="s">
        <v>393</v>
      </c>
    </row>
    <row r="67" spans="10:15">
      <c r="J67" s="409" t="s">
        <v>193</v>
      </c>
      <c r="K67" s="102" t="s">
        <v>394</v>
      </c>
      <c r="L67" s="100"/>
      <c r="M67" s="100"/>
      <c r="N67" s="100"/>
      <c r="O67" s="100"/>
    </row>
    <row r="68" spans="10:15">
      <c r="J68" s="409"/>
      <c r="K68" s="102" t="s">
        <v>395</v>
      </c>
      <c r="L68" s="100"/>
      <c r="M68" s="100"/>
      <c r="N68" s="100"/>
      <c r="O68" s="100"/>
    </row>
    <row r="69" spans="10:15">
      <c r="J69" s="409"/>
      <c r="K69" s="102" t="s">
        <v>396</v>
      </c>
      <c r="L69" s="100"/>
      <c r="M69" s="100"/>
      <c r="N69" s="100"/>
      <c r="O69" s="100"/>
    </row>
    <row r="70" spans="10:15">
      <c r="J70" s="409"/>
      <c r="K70" s="102" t="s">
        <v>398</v>
      </c>
      <c r="L70" s="100"/>
      <c r="M70" s="100"/>
      <c r="N70" s="100"/>
      <c r="O70" s="100"/>
    </row>
    <row r="71" spans="10:15">
      <c r="J71" s="409"/>
      <c r="K71" s="102" t="s">
        <v>400</v>
      </c>
      <c r="L71" s="100"/>
      <c r="M71" s="100"/>
      <c r="N71" s="100"/>
      <c r="O71" s="100"/>
    </row>
    <row r="72" spans="10:15">
      <c r="J72" s="409"/>
      <c r="K72" s="102" t="s">
        <v>401</v>
      </c>
      <c r="L72" s="100"/>
      <c r="M72" s="100"/>
      <c r="N72" s="100"/>
      <c r="O72" s="100"/>
    </row>
    <row r="73" spans="10:15">
      <c r="J73" s="409"/>
      <c r="K73" s="102" t="s">
        <v>402</v>
      </c>
      <c r="L73" s="100"/>
      <c r="M73" s="100"/>
      <c r="N73" s="100"/>
      <c r="O73" s="100"/>
    </row>
    <row r="74" spans="10:15">
      <c r="J74" s="409"/>
      <c r="K74" s="102" t="s">
        <v>404</v>
      </c>
      <c r="L74" s="100"/>
      <c r="M74" s="100"/>
      <c r="N74" s="100"/>
      <c r="O74" s="100"/>
    </row>
    <row r="75" spans="10:15">
      <c r="J75" s="409"/>
      <c r="K75" s="102" t="s">
        <v>405</v>
      </c>
      <c r="L75" s="100"/>
      <c r="M75" s="100"/>
      <c r="N75" s="100"/>
      <c r="O75" s="100"/>
    </row>
    <row r="76" spans="10:15">
      <c r="J76" s="409"/>
      <c r="K76" s="102" t="s">
        <v>406</v>
      </c>
      <c r="L76" s="100"/>
      <c r="M76" s="100"/>
      <c r="N76" s="100"/>
      <c r="O76" s="100"/>
    </row>
    <row r="77" spans="10:15">
      <c r="J77" s="409"/>
      <c r="K77" s="102" t="s">
        <v>407</v>
      </c>
      <c r="L77" s="100"/>
      <c r="M77" s="100"/>
      <c r="N77" s="100"/>
      <c r="O77" s="100"/>
    </row>
    <row r="78" spans="10:15">
      <c r="J78" s="409"/>
      <c r="K78" s="102" t="s">
        <v>408</v>
      </c>
      <c r="L78" s="100"/>
      <c r="M78" s="100"/>
      <c r="N78" s="100"/>
      <c r="O78" s="100"/>
    </row>
    <row r="79" spans="10:15">
      <c r="J79" s="409"/>
      <c r="K79" s="98" t="s">
        <v>409</v>
      </c>
      <c r="L79" s="98" t="e">
        <f>AVERAGE(L67:L78)</f>
        <v>#DIV/0!</v>
      </c>
      <c r="M79" s="98">
        <f>MAX(M67:M78)</f>
        <v>0</v>
      </c>
      <c r="N79" s="98" t="e">
        <f>AVERAGE(N67:N78)</f>
        <v>#DIV/0!</v>
      </c>
      <c r="O79" s="9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showGridLines="0" topLeftCell="E13" zoomScaleNormal="100" workbookViewId="0">
      <selection activeCell="L33" sqref="L33:O33"/>
    </sheetView>
  </sheetViews>
  <sheetFormatPr defaultRowHeight="13.9"/>
  <cols>
    <col min="1" max="1" width="14" style="3" customWidth="1"/>
    <col min="2" max="4" width="17" style="69" customWidth="1"/>
    <col min="5" max="5" width="14.7109375" style="69" customWidth="1"/>
    <col min="6" max="7" width="17" style="69"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128" t="str">
        <f>+'Cover Page'!$B$29</f>
        <v>Annual Performance Report 2022</v>
      </c>
      <c r="B1" s="128"/>
      <c r="C1" s="128"/>
      <c r="D1" s="128"/>
      <c r="E1" s="128" t="str">
        <f>+'Cover Page'!$B$33</f>
        <v>SUEZ R&amp;R Wilton 11 EfW</v>
      </c>
      <c r="F1" s="128"/>
    </row>
    <row r="3" spans="1:19" ht="14.45">
      <c r="A3" s="96" t="s">
        <v>413</v>
      </c>
      <c r="D3" s="115" t="s">
        <v>378</v>
      </c>
      <c r="G3" s="119" t="s">
        <v>379</v>
      </c>
      <c r="J3" s="8" t="str">
        <f>+A3</f>
        <v>Monitoring of Oxides of Nitrogen emissions</v>
      </c>
      <c r="L3" s="8"/>
      <c r="N3" s="8" t="s">
        <v>380</v>
      </c>
      <c r="Q3" s="118" t="s">
        <v>3</v>
      </c>
      <c r="R3" s="112"/>
      <c r="S3" s="112"/>
    </row>
    <row r="4" spans="1:19" ht="13.9" customHeight="1">
      <c r="Q4" s="400" t="s">
        <v>381</v>
      </c>
      <c r="R4" s="400"/>
      <c r="S4" s="400"/>
    </row>
    <row r="5" spans="1:19" ht="16.149999999999999">
      <c r="A5" s="104" t="s">
        <v>382</v>
      </c>
      <c r="B5" s="411" t="s">
        <v>383</v>
      </c>
      <c r="C5" s="411"/>
      <c r="D5" s="411"/>
      <c r="E5" s="411" t="s">
        <v>384</v>
      </c>
      <c r="F5" s="411"/>
      <c r="G5" s="411"/>
      <c r="J5" s="410"/>
      <c r="K5" s="410"/>
      <c r="L5" s="410"/>
      <c r="M5" s="410"/>
      <c r="N5" s="410"/>
      <c r="O5" s="410"/>
      <c r="Q5" s="400"/>
      <c r="R5" s="400"/>
      <c r="S5" s="400"/>
    </row>
    <row r="6" spans="1:19" s="94" customFormat="1" ht="37.5" customHeight="1">
      <c r="A6" s="101">
        <f>+'Cover Page'!C39</f>
        <v>2022</v>
      </c>
      <c r="B6" s="90" t="s">
        <v>414</v>
      </c>
      <c r="C6" s="90" t="s">
        <v>386</v>
      </c>
      <c r="D6" s="90" t="s">
        <v>387</v>
      </c>
      <c r="E6" s="90" t="s">
        <v>415</v>
      </c>
      <c r="F6" s="90" t="s">
        <v>389</v>
      </c>
      <c r="G6" s="90" t="s">
        <v>390</v>
      </c>
      <c r="H6" s="95"/>
      <c r="J6" s="97">
        <f>+A6</f>
        <v>2022</v>
      </c>
      <c r="K6" s="97" t="s">
        <v>391</v>
      </c>
      <c r="L6" s="103" t="s">
        <v>386</v>
      </c>
      <c r="M6" s="103" t="s">
        <v>392</v>
      </c>
      <c r="N6" s="103" t="s">
        <v>389</v>
      </c>
      <c r="O6" s="103" t="s">
        <v>393</v>
      </c>
      <c r="Q6" s="400"/>
      <c r="R6" s="400"/>
      <c r="S6" s="400"/>
    </row>
    <row r="7" spans="1:19">
      <c r="A7" s="102" t="s">
        <v>394</v>
      </c>
      <c r="B7" s="99">
        <v>400</v>
      </c>
      <c r="C7" s="100">
        <f>AVERAGE(L7,L22)</f>
        <v>171</v>
      </c>
      <c r="D7" s="100">
        <f>MAX(M7,M22)</f>
        <v>294</v>
      </c>
      <c r="E7" s="99">
        <v>200</v>
      </c>
      <c r="F7" s="100">
        <f>AVERAGE(N7,N22)</f>
        <v>171</v>
      </c>
      <c r="G7" s="100">
        <f>MAX(O7,O22)</f>
        <v>177</v>
      </c>
      <c r="J7" s="409" t="s">
        <v>189</v>
      </c>
      <c r="K7" s="102" t="s">
        <v>394</v>
      </c>
      <c r="L7" s="100">
        <v>168</v>
      </c>
      <c r="M7" s="100">
        <v>203</v>
      </c>
      <c r="N7" s="100">
        <v>168</v>
      </c>
      <c r="O7" s="100">
        <v>170</v>
      </c>
      <c r="Q7" s="400"/>
      <c r="R7" s="400"/>
      <c r="S7" s="400"/>
    </row>
    <row r="8" spans="1:19">
      <c r="A8" s="102" t="s">
        <v>395</v>
      </c>
      <c r="B8" s="99">
        <v>400</v>
      </c>
      <c r="C8" s="100">
        <f t="shared" ref="C8:C18" si="0">AVERAGE(L8,L23)</f>
        <v>171</v>
      </c>
      <c r="D8" s="100">
        <f t="shared" ref="D8:D18" si="1">MAX(M8,M23)</f>
        <v>253</v>
      </c>
      <c r="E8" s="99">
        <v>200</v>
      </c>
      <c r="F8" s="100">
        <f t="shared" ref="F8:F18" si="2">AVERAGE(N8,N23)</f>
        <v>171</v>
      </c>
      <c r="G8" s="100">
        <f t="shared" ref="G8:G18" si="3">MAX(O8,O23)</f>
        <v>175</v>
      </c>
      <c r="J8" s="409"/>
      <c r="K8" s="102" t="s">
        <v>395</v>
      </c>
      <c r="L8" s="100">
        <v>169</v>
      </c>
      <c r="M8" s="100">
        <v>253</v>
      </c>
      <c r="N8" s="100">
        <v>169</v>
      </c>
      <c r="O8" s="100">
        <v>175</v>
      </c>
      <c r="Q8" s="400"/>
      <c r="R8" s="400"/>
      <c r="S8" s="400"/>
    </row>
    <row r="9" spans="1:19">
      <c r="A9" s="102" t="s">
        <v>396</v>
      </c>
      <c r="B9" s="99">
        <v>400</v>
      </c>
      <c r="C9" s="100">
        <f t="shared" si="0"/>
        <v>171.5</v>
      </c>
      <c r="D9" s="100">
        <f t="shared" si="1"/>
        <v>202</v>
      </c>
      <c r="E9" s="99">
        <v>200</v>
      </c>
      <c r="F9" s="100">
        <f t="shared" si="2"/>
        <v>171.5</v>
      </c>
      <c r="G9" s="100">
        <f t="shared" si="3"/>
        <v>176</v>
      </c>
      <c r="J9" s="409"/>
      <c r="K9" s="102" t="s">
        <v>396</v>
      </c>
      <c r="L9" s="100">
        <v>170</v>
      </c>
      <c r="M9" s="100">
        <v>200</v>
      </c>
      <c r="N9" s="100">
        <v>170</v>
      </c>
      <c r="O9" s="100">
        <v>171</v>
      </c>
      <c r="Q9" s="117"/>
    </row>
    <row r="10" spans="1:19" ht="14.25" customHeight="1">
      <c r="A10" s="102" t="s">
        <v>398</v>
      </c>
      <c r="B10" s="99">
        <v>400</v>
      </c>
      <c r="C10" s="100">
        <f t="shared" si="0"/>
        <v>174</v>
      </c>
      <c r="D10" s="100">
        <f t="shared" si="1"/>
        <v>323</v>
      </c>
      <c r="E10" s="99">
        <v>200</v>
      </c>
      <c r="F10" s="100">
        <f t="shared" si="2"/>
        <v>174</v>
      </c>
      <c r="G10" s="100">
        <f t="shared" si="3"/>
        <v>191</v>
      </c>
      <c r="J10" s="409"/>
      <c r="K10" s="102" t="s">
        <v>398</v>
      </c>
      <c r="L10" s="100">
        <v>172</v>
      </c>
      <c r="M10" s="100">
        <v>249</v>
      </c>
      <c r="N10" s="100">
        <v>172</v>
      </c>
      <c r="O10" s="100">
        <v>188</v>
      </c>
      <c r="Q10" s="408" t="s">
        <v>399</v>
      </c>
      <c r="R10" s="408"/>
      <c r="S10" s="408"/>
    </row>
    <row r="11" spans="1:19">
      <c r="A11" s="102" t="s">
        <v>400</v>
      </c>
      <c r="B11" s="99">
        <v>400</v>
      </c>
      <c r="C11" s="100">
        <f t="shared" si="0"/>
        <v>173</v>
      </c>
      <c r="D11" s="100">
        <f t="shared" si="1"/>
        <v>274</v>
      </c>
      <c r="E11" s="99">
        <v>200</v>
      </c>
      <c r="F11" s="100">
        <f t="shared" si="2"/>
        <v>173</v>
      </c>
      <c r="G11" s="100">
        <f t="shared" si="3"/>
        <v>189</v>
      </c>
      <c r="J11" s="409"/>
      <c r="K11" s="102" t="s">
        <v>400</v>
      </c>
      <c r="L11" s="100">
        <v>169</v>
      </c>
      <c r="M11" s="100">
        <v>206</v>
      </c>
      <c r="N11" s="100">
        <v>169</v>
      </c>
      <c r="O11" s="100">
        <v>173</v>
      </c>
      <c r="Q11" s="408"/>
      <c r="R11" s="408"/>
      <c r="S11" s="408"/>
    </row>
    <row r="12" spans="1:19">
      <c r="A12" s="102" t="s">
        <v>401</v>
      </c>
      <c r="B12" s="99">
        <v>400</v>
      </c>
      <c r="C12" s="100">
        <f t="shared" si="0"/>
        <v>169</v>
      </c>
      <c r="D12" s="100">
        <f t="shared" si="1"/>
        <v>258</v>
      </c>
      <c r="E12" s="99">
        <v>200</v>
      </c>
      <c r="F12" s="100">
        <f t="shared" si="2"/>
        <v>169</v>
      </c>
      <c r="G12" s="100">
        <f t="shared" si="3"/>
        <v>178</v>
      </c>
      <c r="J12" s="409"/>
      <c r="K12" s="102" t="s">
        <v>401</v>
      </c>
      <c r="L12" s="162">
        <v>164</v>
      </c>
      <c r="M12" s="162">
        <v>258</v>
      </c>
      <c r="N12" s="162">
        <v>164</v>
      </c>
      <c r="O12" s="162">
        <v>172</v>
      </c>
      <c r="Q12" s="408"/>
      <c r="R12" s="408"/>
      <c r="S12" s="408"/>
    </row>
    <row r="13" spans="1:19" ht="14.25" customHeight="1">
      <c r="A13" s="102" t="s">
        <v>402</v>
      </c>
      <c r="B13" s="99">
        <v>400</v>
      </c>
      <c r="C13" s="100">
        <f t="shared" si="0"/>
        <v>173.5</v>
      </c>
      <c r="D13" s="100">
        <f t="shared" si="1"/>
        <v>276</v>
      </c>
      <c r="E13" s="99">
        <v>200</v>
      </c>
      <c r="F13" s="100">
        <f t="shared" si="2"/>
        <v>173.5</v>
      </c>
      <c r="G13" s="100">
        <f t="shared" si="3"/>
        <v>194</v>
      </c>
      <c r="J13" s="409"/>
      <c r="K13" s="102" t="s">
        <v>402</v>
      </c>
      <c r="L13" s="162">
        <v>174</v>
      </c>
      <c r="M13" s="162">
        <v>276</v>
      </c>
      <c r="N13" s="162">
        <v>174</v>
      </c>
      <c r="O13" s="162">
        <v>194</v>
      </c>
      <c r="Q13" s="408" t="s">
        <v>403</v>
      </c>
      <c r="R13" s="408"/>
      <c r="S13" s="408"/>
    </row>
    <row r="14" spans="1:19">
      <c r="A14" s="102" t="s">
        <v>404</v>
      </c>
      <c r="B14" s="99">
        <v>400</v>
      </c>
      <c r="C14" s="100">
        <f t="shared" si="0"/>
        <v>167.5</v>
      </c>
      <c r="D14" s="100">
        <f t="shared" si="1"/>
        <v>239</v>
      </c>
      <c r="E14" s="99">
        <v>200</v>
      </c>
      <c r="F14" s="100">
        <f t="shared" si="2"/>
        <v>167.5</v>
      </c>
      <c r="G14" s="100">
        <f t="shared" si="3"/>
        <v>188</v>
      </c>
      <c r="J14" s="409"/>
      <c r="K14" s="102" t="s">
        <v>404</v>
      </c>
      <c r="L14" s="162">
        <v>162</v>
      </c>
      <c r="M14" s="162">
        <v>239</v>
      </c>
      <c r="N14" s="162">
        <v>162</v>
      </c>
      <c r="O14" s="162">
        <v>188</v>
      </c>
      <c r="Q14" s="408"/>
      <c r="R14" s="408"/>
      <c r="S14" s="408"/>
    </row>
    <row r="15" spans="1:19">
      <c r="A15" s="102" t="s">
        <v>405</v>
      </c>
      <c r="B15" s="99">
        <v>400</v>
      </c>
      <c r="C15" s="100">
        <f t="shared" si="0"/>
        <v>167</v>
      </c>
      <c r="D15" s="100">
        <f t="shared" si="1"/>
        <v>265</v>
      </c>
      <c r="E15" s="99">
        <v>200</v>
      </c>
      <c r="F15" s="100">
        <f t="shared" si="2"/>
        <v>167</v>
      </c>
      <c r="G15" s="100">
        <f t="shared" si="3"/>
        <v>174</v>
      </c>
      <c r="J15" s="409"/>
      <c r="K15" s="102" t="s">
        <v>405</v>
      </c>
      <c r="L15" s="169"/>
      <c r="M15" s="169"/>
      <c r="N15" s="169"/>
      <c r="O15" s="169"/>
      <c r="Q15" s="408"/>
      <c r="R15" s="408"/>
      <c r="S15" s="408"/>
    </row>
    <row r="16" spans="1:19">
      <c r="A16" s="102" t="s">
        <v>406</v>
      </c>
      <c r="B16" s="99">
        <v>400</v>
      </c>
      <c r="C16" s="100">
        <f t="shared" si="0"/>
        <v>165</v>
      </c>
      <c r="D16" s="100">
        <f t="shared" si="1"/>
        <v>204</v>
      </c>
      <c r="E16" s="99">
        <v>200</v>
      </c>
      <c r="F16" s="100">
        <f t="shared" si="2"/>
        <v>165</v>
      </c>
      <c r="G16" s="100">
        <f t="shared" si="3"/>
        <v>166</v>
      </c>
      <c r="J16" s="409"/>
      <c r="K16" s="102" t="s">
        <v>406</v>
      </c>
      <c r="L16" s="169"/>
      <c r="M16" s="169"/>
      <c r="N16" s="169"/>
      <c r="O16" s="169"/>
      <c r="Q16" s="408"/>
      <c r="R16" s="408"/>
      <c r="S16" s="408"/>
    </row>
    <row r="17" spans="1:15">
      <c r="A17" s="102" t="s">
        <v>407</v>
      </c>
      <c r="B17" s="99">
        <v>400</v>
      </c>
      <c r="C17" s="100">
        <f t="shared" si="0"/>
        <v>154</v>
      </c>
      <c r="D17" s="100">
        <f t="shared" si="1"/>
        <v>192</v>
      </c>
      <c r="E17" s="99">
        <v>200</v>
      </c>
      <c r="F17" s="100">
        <f t="shared" si="2"/>
        <v>154</v>
      </c>
      <c r="G17" s="100">
        <f t="shared" si="3"/>
        <v>158</v>
      </c>
      <c r="J17" s="409"/>
      <c r="K17" s="102" t="s">
        <v>407</v>
      </c>
      <c r="L17" s="169">
        <v>154</v>
      </c>
      <c r="M17" s="169">
        <v>192</v>
      </c>
      <c r="N17" s="169">
        <v>154</v>
      </c>
      <c r="O17" s="169">
        <v>158</v>
      </c>
    </row>
    <row r="18" spans="1:15">
      <c r="A18" s="102" t="s">
        <v>408</v>
      </c>
      <c r="B18" s="99">
        <v>400</v>
      </c>
      <c r="C18" s="100">
        <f t="shared" si="0"/>
        <v>159.5</v>
      </c>
      <c r="D18" s="100">
        <f t="shared" si="1"/>
        <v>395</v>
      </c>
      <c r="E18" s="99">
        <v>200</v>
      </c>
      <c r="F18" s="100">
        <f t="shared" si="2"/>
        <v>159.5</v>
      </c>
      <c r="G18" s="100">
        <f t="shared" si="3"/>
        <v>177</v>
      </c>
      <c r="J18" s="409"/>
      <c r="K18" s="102" t="s">
        <v>408</v>
      </c>
      <c r="L18" s="100">
        <v>155</v>
      </c>
      <c r="M18" s="100">
        <v>395</v>
      </c>
      <c r="N18" s="100">
        <v>155</v>
      </c>
      <c r="O18" s="100">
        <v>177</v>
      </c>
    </row>
    <row r="19" spans="1:15">
      <c r="J19" s="409"/>
      <c r="K19" s="98" t="s">
        <v>409</v>
      </c>
      <c r="L19" s="98">
        <f>AVERAGE(L7:L18)</f>
        <v>165.7</v>
      </c>
      <c r="M19" s="98">
        <f>MAX(M7:M18)</f>
        <v>395</v>
      </c>
      <c r="N19" s="98">
        <f>AVERAGE(N7:N18)</f>
        <v>165.7</v>
      </c>
      <c r="O19" s="98">
        <f>MAX(O7:O18)</f>
        <v>194</v>
      </c>
    </row>
    <row r="21" spans="1:15" ht="41.45">
      <c r="J21" s="97">
        <f>+A6</f>
        <v>2022</v>
      </c>
      <c r="K21" s="97" t="s">
        <v>391</v>
      </c>
      <c r="L21" s="103" t="s">
        <v>386</v>
      </c>
      <c r="M21" s="103" t="s">
        <v>392</v>
      </c>
      <c r="N21" s="103" t="s">
        <v>389</v>
      </c>
      <c r="O21" s="103" t="s">
        <v>393</v>
      </c>
    </row>
    <row r="22" spans="1:15">
      <c r="J22" s="409" t="s">
        <v>190</v>
      </c>
      <c r="K22" s="102" t="s">
        <v>394</v>
      </c>
      <c r="L22" s="100">
        <v>174</v>
      </c>
      <c r="M22" s="100">
        <v>294</v>
      </c>
      <c r="N22" s="100">
        <v>174</v>
      </c>
      <c r="O22" s="100">
        <v>177</v>
      </c>
    </row>
    <row r="23" spans="1:15">
      <c r="J23" s="409"/>
      <c r="K23" s="102" t="s">
        <v>395</v>
      </c>
      <c r="L23" s="100">
        <v>173</v>
      </c>
      <c r="M23" s="100">
        <v>223</v>
      </c>
      <c r="N23" s="100">
        <v>173</v>
      </c>
      <c r="O23" s="100">
        <v>175</v>
      </c>
    </row>
    <row r="24" spans="1:15">
      <c r="J24" s="409"/>
      <c r="K24" s="102" t="s">
        <v>396</v>
      </c>
      <c r="L24" s="100">
        <v>173</v>
      </c>
      <c r="M24" s="100">
        <v>202</v>
      </c>
      <c r="N24" s="100">
        <v>173</v>
      </c>
      <c r="O24" s="100">
        <v>176</v>
      </c>
    </row>
    <row r="25" spans="1:15">
      <c r="J25" s="409"/>
      <c r="K25" s="102" t="s">
        <v>398</v>
      </c>
      <c r="L25" s="100">
        <v>176</v>
      </c>
      <c r="M25" s="100">
        <v>323</v>
      </c>
      <c r="N25" s="100">
        <v>176</v>
      </c>
      <c r="O25" s="100">
        <v>191</v>
      </c>
    </row>
    <row r="26" spans="1:15">
      <c r="J26" s="409"/>
      <c r="K26" s="102" t="s">
        <v>400</v>
      </c>
      <c r="L26" s="100">
        <v>177</v>
      </c>
      <c r="M26" s="100">
        <v>274</v>
      </c>
      <c r="N26" s="100">
        <v>177</v>
      </c>
      <c r="O26" s="100">
        <v>189</v>
      </c>
    </row>
    <row r="27" spans="1:15">
      <c r="J27" s="409"/>
      <c r="K27" s="102" t="s">
        <v>401</v>
      </c>
      <c r="L27" s="162">
        <v>174</v>
      </c>
      <c r="M27" s="162">
        <v>224</v>
      </c>
      <c r="N27" s="162">
        <v>174</v>
      </c>
      <c r="O27" s="162">
        <v>178</v>
      </c>
    </row>
    <row r="28" spans="1:15">
      <c r="J28" s="409"/>
      <c r="K28" s="102" t="s">
        <v>402</v>
      </c>
      <c r="L28" s="162">
        <v>173</v>
      </c>
      <c r="M28" s="162">
        <v>203</v>
      </c>
      <c r="N28" s="162">
        <v>173</v>
      </c>
      <c r="O28" s="162">
        <v>174</v>
      </c>
    </row>
    <row r="29" spans="1:15">
      <c r="J29" s="409"/>
      <c r="K29" s="102" t="s">
        <v>404</v>
      </c>
      <c r="L29" s="162">
        <v>173</v>
      </c>
      <c r="M29" s="162">
        <v>230</v>
      </c>
      <c r="N29" s="162">
        <v>173</v>
      </c>
      <c r="O29" s="162">
        <v>181</v>
      </c>
    </row>
    <row r="30" spans="1:15">
      <c r="J30" s="409"/>
      <c r="K30" s="102" t="s">
        <v>405</v>
      </c>
      <c r="L30" s="168">
        <v>167</v>
      </c>
      <c r="M30" s="168">
        <v>265</v>
      </c>
      <c r="N30" s="168">
        <v>167</v>
      </c>
      <c r="O30" s="168">
        <v>174</v>
      </c>
    </row>
    <row r="31" spans="1:15">
      <c r="J31" s="409"/>
      <c r="K31" s="102" t="s">
        <v>406</v>
      </c>
      <c r="L31" s="168">
        <v>165</v>
      </c>
      <c r="M31" s="168">
        <v>204</v>
      </c>
      <c r="N31" s="168">
        <v>165</v>
      </c>
      <c r="O31" s="168">
        <v>166</v>
      </c>
    </row>
    <row r="32" spans="1:15">
      <c r="J32" s="409"/>
      <c r="K32" s="102" t="s">
        <v>407</v>
      </c>
      <c r="L32" s="168"/>
      <c r="M32" s="168"/>
      <c r="N32" s="168"/>
      <c r="O32" s="168"/>
    </row>
    <row r="33" spans="1:15">
      <c r="J33" s="409"/>
      <c r="K33" s="102" t="s">
        <v>408</v>
      </c>
      <c r="L33" s="100">
        <v>164</v>
      </c>
      <c r="M33" s="100">
        <v>197</v>
      </c>
      <c r="N33" s="100">
        <v>164</v>
      </c>
      <c r="O33" s="100">
        <v>165</v>
      </c>
    </row>
    <row r="34" spans="1:15">
      <c r="J34" s="409"/>
      <c r="K34" s="98" t="s">
        <v>409</v>
      </c>
      <c r="L34" s="98">
        <f>AVERAGE(L22:L33)</f>
        <v>171.72727272727272</v>
      </c>
      <c r="M34" s="98">
        <f>MAX(M22:M33)</f>
        <v>323</v>
      </c>
      <c r="N34" s="98">
        <f>AVERAGE(N22:N33)</f>
        <v>171.72727272727272</v>
      </c>
      <c r="O34" s="98">
        <f>MAX(O22:O33)</f>
        <v>191</v>
      </c>
    </row>
    <row r="36" spans="1:15" ht="41.45">
      <c r="J36" s="97">
        <f>+A6</f>
        <v>2022</v>
      </c>
      <c r="K36" s="97" t="s">
        <v>391</v>
      </c>
      <c r="L36" s="103" t="s">
        <v>386</v>
      </c>
      <c r="M36" s="103" t="s">
        <v>392</v>
      </c>
      <c r="N36" s="103" t="s">
        <v>389</v>
      </c>
      <c r="O36" s="103" t="s">
        <v>393</v>
      </c>
    </row>
    <row r="37" spans="1:15">
      <c r="J37" s="409" t="s">
        <v>191</v>
      </c>
      <c r="K37" s="102" t="s">
        <v>394</v>
      </c>
      <c r="L37" s="100"/>
      <c r="M37" s="100"/>
      <c r="N37" s="100"/>
      <c r="O37" s="100"/>
    </row>
    <row r="38" spans="1:15">
      <c r="J38" s="409"/>
      <c r="K38" s="102" t="s">
        <v>395</v>
      </c>
      <c r="L38" s="100"/>
      <c r="M38" s="100"/>
      <c r="N38" s="100"/>
      <c r="O38" s="100"/>
    </row>
    <row r="39" spans="1:15">
      <c r="J39" s="409"/>
      <c r="K39" s="102" t="s">
        <v>396</v>
      </c>
      <c r="L39" s="100"/>
      <c r="M39" s="100"/>
      <c r="N39" s="100"/>
      <c r="O39" s="100"/>
    </row>
    <row r="40" spans="1:15">
      <c r="J40" s="409"/>
      <c r="K40" s="102" t="s">
        <v>398</v>
      </c>
      <c r="L40" s="100"/>
      <c r="M40" s="100"/>
      <c r="N40" s="100"/>
      <c r="O40" s="100"/>
    </row>
    <row r="41" spans="1:15">
      <c r="J41" s="409"/>
      <c r="K41" s="102" t="s">
        <v>400</v>
      </c>
      <c r="L41" s="100"/>
      <c r="M41" s="100"/>
      <c r="N41" s="100"/>
      <c r="O41" s="100"/>
    </row>
    <row r="42" spans="1:15">
      <c r="J42" s="409"/>
      <c r="K42" s="102" t="s">
        <v>401</v>
      </c>
      <c r="L42" s="100"/>
      <c r="M42" s="100"/>
      <c r="N42" s="100"/>
      <c r="O42" s="100"/>
    </row>
    <row r="43" spans="1:15">
      <c r="J43" s="409"/>
      <c r="K43" s="102" t="s">
        <v>402</v>
      </c>
      <c r="L43" s="100"/>
      <c r="M43" s="100"/>
      <c r="N43" s="100"/>
      <c r="O43" s="100"/>
    </row>
    <row r="44" spans="1:15">
      <c r="J44" s="409"/>
      <c r="K44" s="102" t="s">
        <v>404</v>
      </c>
      <c r="L44" s="100"/>
      <c r="M44" s="100"/>
      <c r="N44" s="100"/>
      <c r="O44" s="100"/>
    </row>
    <row r="45" spans="1:15">
      <c r="J45" s="409"/>
      <c r="K45" s="102" t="s">
        <v>405</v>
      </c>
      <c r="L45" s="100"/>
      <c r="M45" s="100"/>
      <c r="N45" s="100"/>
      <c r="O45" s="100"/>
    </row>
    <row r="46" spans="1:15">
      <c r="J46" s="409"/>
      <c r="K46" s="102" t="s">
        <v>406</v>
      </c>
      <c r="L46" s="100"/>
      <c r="M46" s="100"/>
      <c r="N46" s="100"/>
      <c r="O46" s="100"/>
    </row>
    <row r="47" spans="1:15">
      <c r="J47" s="409"/>
      <c r="K47" s="102" t="s">
        <v>407</v>
      </c>
      <c r="L47" s="100"/>
      <c r="M47" s="100"/>
      <c r="N47" s="100"/>
      <c r="O47" s="100"/>
    </row>
    <row r="48" spans="1:15">
      <c r="A48" s="421" t="s">
        <v>304</v>
      </c>
      <c r="B48" s="422"/>
      <c r="C48" s="422"/>
      <c r="D48" s="422"/>
      <c r="E48" s="422"/>
      <c r="F48" s="422"/>
      <c r="G48" s="423"/>
      <c r="J48" s="409"/>
      <c r="K48" s="102" t="s">
        <v>408</v>
      </c>
      <c r="L48" s="100"/>
      <c r="M48" s="100"/>
      <c r="N48" s="100"/>
      <c r="O48" s="100"/>
    </row>
    <row r="49" spans="1:15">
      <c r="A49" s="412"/>
      <c r="B49" s="413"/>
      <c r="C49" s="413"/>
      <c r="D49" s="413"/>
      <c r="E49" s="413"/>
      <c r="F49" s="413"/>
      <c r="G49" s="414"/>
      <c r="J49" s="409"/>
      <c r="K49" s="98" t="s">
        <v>409</v>
      </c>
      <c r="L49" s="98" t="e">
        <f>AVERAGE(L37:L48)</f>
        <v>#DIV/0!</v>
      </c>
      <c r="M49" s="98">
        <f>MAX(M37:M48)</f>
        <v>0</v>
      </c>
      <c r="N49" s="98" t="e">
        <f>AVERAGE(N37:N48)</f>
        <v>#DIV/0!</v>
      </c>
      <c r="O49" s="98">
        <f>MAX(O37:O48)</f>
        <v>0</v>
      </c>
    </row>
    <row r="50" spans="1:15">
      <c r="A50" s="415"/>
      <c r="B50" s="416"/>
      <c r="C50" s="416"/>
      <c r="D50" s="416"/>
      <c r="E50" s="416"/>
      <c r="F50" s="416"/>
      <c r="G50" s="417"/>
    </row>
    <row r="51" spans="1:15" ht="41.45">
      <c r="A51" s="415"/>
      <c r="B51" s="416"/>
      <c r="C51" s="416"/>
      <c r="D51" s="416"/>
      <c r="E51" s="416"/>
      <c r="F51" s="416"/>
      <c r="G51" s="417"/>
      <c r="J51" s="97">
        <f>+A6</f>
        <v>2022</v>
      </c>
      <c r="K51" s="97" t="s">
        <v>391</v>
      </c>
      <c r="L51" s="103" t="s">
        <v>386</v>
      </c>
      <c r="M51" s="103" t="s">
        <v>392</v>
      </c>
      <c r="N51" s="103" t="s">
        <v>389</v>
      </c>
      <c r="O51" s="103" t="s">
        <v>393</v>
      </c>
    </row>
    <row r="52" spans="1:15">
      <c r="A52" s="418"/>
      <c r="B52" s="419"/>
      <c r="C52" s="419"/>
      <c r="D52" s="419"/>
      <c r="E52" s="419"/>
      <c r="F52" s="419"/>
      <c r="G52" s="420"/>
      <c r="J52" s="409" t="s">
        <v>192</v>
      </c>
      <c r="K52" s="102" t="s">
        <v>394</v>
      </c>
      <c r="L52" s="100"/>
      <c r="M52" s="100"/>
      <c r="N52" s="100"/>
      <c r="O52" s="100"/>
    </row>
    <row r="53" spans="1:15">
      <c r="J53" s="409"/>
      <c r="K53" s="102" t="s">
        <v>395</v>
      </c>
      <c r="L53" s="100"/>
      <c r="M53" s="100"/>
      <c r="N53" s="100"/>
      <c r="O53" s="100"/>
    </row>
    <row r="54" spans="1:15">
      <c r="J54" s="409"/>
      <c r="K54" s="102" t="s">
        <v>396</v>
      </c>
      <c r="L54" s="100"/>
      <c r="M54" s="100"/>
      <c r="N54" s="100"/>
      <c r="O54" s="100"/>
    </row>
    <row r="55" spans="1:15">
      <c r="J55" s="409"/>
      <c r="K55" s="102" t="s">
        <v>398</v>
      </c>
      <c r="L55" s="100"/>
      <c r="M55" s="100"/>
      <c r="N55" s="100"/>
      <c r="O55" s="100"/>
    </row>
    <row r="56" spans="1:15">
      <c r="J56" s="409"/>
      <c r="K56" s="102" t="s">
        <v>400</v>
      </c>
      <c r="L56" s="100"/>
      <c r="M56" s="100"/>
      <c r="N56" s="100"/>
      <c r="O56" s="100"/>
    </row>
    <row r="57" spans="1:15">
      <c r="J57" s="409"/>
      <c r="K57" s="102" t="s">
        <v>401</v>
      </c>
      <c r="L57" s="100"/>
      <c r="M57" s="100"/>
      <c r="N57" s="100"/>
      <c r="O57" s="100"/>
    </row>
    <row r="58" spans="1:15">
      <c r="J58" s="409"/>
      <c r="K58" s="102" t="s">
        <v>402</v>
      </c>
      <c r="L58" s="100"/>
      <c r="M58" s="100"/>
      <c r="N58" s="100"/>
      <c r="O58" s="100"/>
    </row>
    <row r="59" spans="1:15">
      <c r="J59" s="409"/>
      <c r="K59" s="102" t="s">
        <v>404</v>
      </c>
      <c r="L59" s="100"/>
      <c r="M59" s="100"/>
      <c r="N59" s="100"/>
      <c r="O59" s="100"/>
    </row>
    <row r="60" spans="1:15">
      <c r="J60" s="409"/>
      <c r="K60" s="102" t="s">
        <v>405</v>
      </c>
      <c r="L60" s="100"/>
      <c r="M60" s="100"/>
      <c r="N60" s="100"/>
      <c r="O60" s="100"/>
    </row>
    <row r="61" spans="1:15">
      <c r="J61" s="409"/>
      <c r="K61" s="102" t="s">
        <v>406</v>
      </c>
      <c r="L61" s="100"/>
      <c r="M61" s="100"/>
      <c r="N61" s="100"/>
      <c r="O61" s="100"/>
    </row>
    <row r="62" spans="1:15">
      <c r="J62" s="409"/>
      <c r="K62" s="102" t="s">
        <v>407</v>
      </c>
      <c r="L62" s="100"/>
      <c r="M62" s="100"/>
      <c r="N62" s="100"/>
      <c r="O62" s="100"/>
    </row>
    <row r="63" spans="1:15">
      <c r="J63" s="409"/>
      <c r="K63" s="102" t="s">
        <v>408</v>
      </c>
      <c r="L63" s="100"/>
      <c r="M63" s="100"/>
      <c r="N63" s="100"/>
      <c r="O63" s="100"/>
    </row>
    <row r="64" spans="1:15">
      <c r="J64" s="409"/>
      <c r="K64" s="98" t="s">
        <v>409</v>
      </c>
      <c r="L64" s="98" t="e">
        <f>AVERAGE(L52:L63)</f>
        <v>#DIV/0!</v>
      </c>
      <c r="M64" s="98">
        <f>MAX(M52:M63)</f>
        <v>0</v>
      </c>
      <c r="N64" s="98" t="e">
        <f>AVERAGE(N52:N63)</f>
        <v>#DIV/0!</v>
      </c>
      <c r="O64" s="98">
        <f>MAX(O52:O63)</f>
        <v>0</v>
      </c>
    </row>
    <row r="66" spans="10:15" ht="41.45">
      <c r="J66" s="97">
        <f>+A6</f>
        <v>2022</v>
      </c>
      <c r="K66" s="97" t="s">
        <v>391</v>
      </c>
      <c r="L66" s="103" t="s">
        <v>386</v>
      </c>
      <c r="M66" s="103" t="s">
        <v>392</v>
      </c>
      <c r="N66" s="103" t="s">
        <v>389</v>
      </c>
      <c r="O66" s="103" t="s">
        <v>393</v>
      </c>
    </row>
    <row r="67" spans="10:15">
      <c r="J67" s="409" t="s">
        <v>193</v>
      </c>
      <c r="K67" s="102" t="s">
        <v>394</v>
      </c>
      <c r="L67" s="100"/>
      <c r="M67" s="100"/>
      <c r="N67" s="100"/>
      <c r="O67" s="100"/>
    </row>
    <row r="68" spans="10:15">
      <c r="J68" s="409"/>
      <c r="K68" s="102" t="s">
        <v>395</v>
      </c>
      <c r="L68" s="100"/>
      <c r="M68" s="100"/>
      <c r="N68" s="100"/>
      <c r="O68" s="100"/>
    </row>
    <row r="69" spans="10:15">
      <c r="J69" s="409"/>
      <c r="K69" s="102" t="s">
        <v>396</v>
      </c>
      <c r="L69" s="100"/>
      <c r="M69" s="100"/>
      <c r="N69" s="100"/>
      <c r="O69" s="100"/>
    </row>
    <row r="70" spans="10:15">
      <c r="J70" s="409"/>
      <c r="K70" s="102" t="s">
        <v>398</v>
      </c>
      <c r="L70" s="100"/>
      <c r="M70" s="100"/>
      <c r="N70" s="100"/>
      <c r="O70" s="100"/>
    </row>
    <row r="71" spans="10:15">
      <c r="J71" s="409"/>
      <c r="K71" s="102" t="s">
        <v>400</v>
      </c>
      <c r="L71" s="100"/>
      <c r="M71" s="100"/>
      <c r="N71" s="100"/>
      <c r="O71" s="100"/>
    </row>
    <row r="72" spans="10:15">
      <c r="J72" s="409"/>
      <c r="K72" s="102" t="s">
        <v>401</v>
      </c>
      <c r="L72" s="100"/>
      <c r="M72" s="100"/>
      <c r="N72" s="100"/>
      <c r="O72" s="100"/>
    </row>
    <row r="73" spans="10:15">
      <c r="J73" s="409"/>
      <c r="K73" s="102" t="s">
        <v>402</v>
      </c>
      <c r="L73" s="100"/>
      <c r="M73" s="100"/>
      <c r="N73" s="100"/>
      <c r="O73" s="100"/>
    </row>
    <row r="74" spans="10:15">
      <c r="J74" s="409"/>
      <c r="K74" s="102" t="s">
        <v>404</v>
      </c>
      <c r="L74" s="100"/>
      <c r="M74" s="100"/>
      <c r="N74" s="100"/>
      <c r="O74" s="100"/>
    </row>
    <row r="75" spans="10:15">
      <c r="J75" s="409"/>
      <c r="K75" s="102" t="s">
        <v>405</v>
      </c>
      <c r="L75" s="100"/>
      <c r="M75" s="100"/>
      <c r="N75" s="100"/>
      <c r="O75" s="100"/>
    </row>
    <row r="76" spans="10:15">
      <c r="J76" s="409"/>
      <c r="K76" s="102" t="s">
        <v>406</v>
      </c>
      <c r="L76" s="100"/>
      <c r="M76" s="100"/>
      <c r="N76" s="100"/>
      <c r="O76" s="100"/>
    </row>
    <row r="77" spans="10:15">
      <c r="J77" s="409"/>
      <c r="K77" s="102" t="s">
        <v>407</v>
      </c>
      <c r="L77" s="100"/>
      <c r="M77" s="100"/>
      <c r="N77" s="100"/>
      <c r="O77" s="100"/>
    </row>
    <row r="78" spans="10:15">
      <c r="J78" s="409"/>
      <c r="K78" s="102" t="s">
        <v>408</v>
      </c>
      <c r="L78" s="100"/>
      <c r="M78" s="100"/>
      <c r="N78" s="100"/>
      <c r="O78" s="100"/>
    </row>
    <row r="79" spans="10:15">
      <c r="J79" s="409"/>
      <c r="K79" s="98" t="s">
        <v>409</v>
      </c>
      <c r="L79" s="98" t="e">
        <f>AVERAGE(L67:L78)</f>
        <v>#DIV/0!</v>
      </c>
      <c r="M79" s="98">
        <f>MAX(M67:M78)</f>
        <v>0</v>
      </c>
      <c r="N79" s="98" t="e">
        <f>AVERAGE(N67:N78)</f>
        <v>#DIV/0!</v>
      </c>
      <c r="O79" s="9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showGridLines="0" topLeftCell="F16" zoomScaleNormal="100" workbookViewId="0">
      <selection activeCell="L18" sqref="L18:O18"/>
    </sheetView>
  </sheetViews>
  <sheetFormatPr defaultRowHeight="13.9"/>
  <cols>
    <col min="1" max="1" width="14" style="3" customWidth="1"/>
    <col min="2" max="4" width="17" style="69" customWidth="1"/>
    <col min="5" max="5" width="14.7109375" style="69" customWidth="1"/>
    <col min="6" max="7" width="17" style="69"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128" t="str">
        <f>+'Cover Page'!$B$29</f>
        <v>Annual Performance Report 2022</v>
      </c>
      <c r="B1" s="128"/>
      <c r="C1" s="128"/>
      <c r="D1" s="128"/>
      <c r="E1" s="128" t="str">
        <f>+'Cover Page'!$B$33</f>
        <v>SUEZ R&amp;R Wilton 11 EfW</v>
      </c>
    </row>
    <row r="3" spans="1:19" ht="14.45">
      <c r="A3" s="96" t="s">
        <v>416</v>
      </c>
      <c r="D3" s="115" t="s">
        <v>378</v>
      </c>
      <c r="G3" s="119" t="s">
        <v>379</v>
      </c>
      <c r="J3" s="8" t="str">
        <f>+A3</f>
        <v>Monitoring of Total organic carbon emissions</v>
      </c>
      <c r="L3" s="8"/>
      <c r="N3" s="8" t="s">
        <v>380</v>
      </c>
      <c r="Q3" s="118" t="s">
        <v>3</v>
      </c>
      <c r="R3" s="112"/>
      <c r="S3" s="112"/>
    </row>
    <row r="4" spans="1:19" ht="13.9" customHeight="1">
      <c r="Q4" s="400" t="s">
        <v>381</v>
      </c>
      <c r="R4" s="400"/>
      <c r="S4" s="400"/>
    </row>
    <row r="5" spans="1:19" ht="16.149999999999999">
      <c r="A5" s="104" t="s">
        <v>382</v>
      </c>
      <c r="B5" s="411" t="s">
        <v>383</v>
      </c>
      <c r="C5" s="411"/>
      <c r="D5" s="411"/>
      <c r="E5" s="411" t="s">
        <v>384</v>
      </c>
      <c r="F5" s="411"/>
      <c r="G5" s="411"/>
      <c r="J5" s="410"/>
      <c r="K5" s="410"/>
      <c r="L5" s="410"/>
      <c r="M5" s="410"/>
      <c r="N5" s="410"/>
      <c r="O5" s="410"/>
      <c r="Q5" s="400"/>
      <c r="R5" s="400"/>
      <c r="S5" s="400"/>
    </row>
    <row r="6" spans="1:19" s="94" customFormat="1" ht="37.5" customHeight="1">
      <c r="A6" s="101">
        <f>+'Cover Page'!C39</f>
        <v>2022</v>
      </c>
      <c r="B6" s="90" t="s">
        <v>417</v>
      </c>
      <c r="C6" s="90" t="s">
        <v>386</v>
      </c>
      <c r="D6" s="90" t="s">
        <v>387</v>
      </c>
      <c r="E6" s="90" t="s">
        <v>418</v>
      </c>
      <c r="F6" s="90" t="s">
        <v>389</v>
      </c>
      <c r="G6" s="90" t="s">
        <v>390</v>
      </c>
      <c r="H6" s="95"/>
      <c r="J6" s="97">
        <f>+A6</f>
        <v>2022</v>
      </c>
      <c r="K6" s="97" t="s">
        <v>391</v>
      </c>
      <c r="L6" s="103" t="s">
        <v>386</v>
      </c>
      <c r="M6" s="103" t="s">
        <v>392</v>
      </c>
      <c r="N6" s="103" t="s">
        <v>389</v>
      </c>
      <c r="O6" s="103" t="s">
        <v>393</v>
      </c>
      <c r="Q6" s="400"/>
      <c r="R6" s="400"/>
      <c r="S6" s="400"/>
    </row>
    <row r="7" spans="1:19">
      <c r="A7" s="102" t="s">
        <v>394</v>
      </c>
      <c r="B7" s="99">
        <v>20</v>
      </c>
      <c r="C7" s="100">
        <f>AVERAGE(L7,L22)</f>
        <v>0.55000000000000004</v>
      </c>
      <c r="D7" s="100">
        <f>MAX(M7,M22)</f>
        <v>97</v>
      </c>
      <c r="E7" s="99">
        <v>10</v>
      </c>
      <c r="F7" s="100">
        <f>AVERAGE(N7,N22)</f>
        <v>0.55000000000000004</v>
      </c>
      <c r="G7" s="100">
        <f>MAX(O7,O22)</f>
        <v>2.5</v>
      </c>
      <c r="J7" s="409" t="s">
        <v>189</v>
      </c>
      <c r="K7" s="102" t="s">
        <v>394</v>
      </c>
      <c r="L7" s="100">
        <v>0.6</v>
      </c>
      <c r="M7" s="100">
        <v>2.1</v>
      </c>
      <c r="N7" s="100">
        <v>0.6</v>
      </c>
      <c r="O7" s="100">
        <v>0.6</v>
      </c>
      <c r="Q7" s="400"/>
      <c r="R7" s="400"/>
      <c r="S7" s="400"/>
    </row>
    <row r="8" spans="1:19">
      <c r="A8" s="102" t="s">
        <v>395</v>
      </c>
      <c r="B8" s="99">
        <v>20</v>
      </c>
      <c r="C8" s="100">
        <f t="shared" ref="C8:C18" si="0">AVERAGE(L8,L23)</f>
        <v>0.5</v>
      </c>
      <c r="D8" s="100">
        <f t="shared" ref="D8:D18" si="1">MAX(M8,M23)</f>
        <v>1.6</v>
      </c>
      <c r="E8" s="99">
        <v>10</v>
      </c>
      <c r="F8" s="100">
        <f t="shared" ref="F8:F18" si="2">AVERAGE(N8,N23)</f>
        <v>0.5</v>
      </c>
      <c r="G8" s="100">
        <f t="shared" ref="G8:G18" si="3">MAX(O8,O23)</f>
        <v>0.6</v>
      </c>
      <c r="J8" s="409"/>
      <c r="K8" s="102" t="s">
        <v>395</v>
      </c>
      <c r="L8" s="100">
        <v>0.6</v>
      </c>
      <c r="M8" s="100">
        <v>1.6</v>
      </c>
      <c r="N8" s="100">
        <v>0.6</v>
      </c>
      <c r="O8" s="100">
        <v>0.6</v>
      </c>
      <c r="Q8" s="400"/>
      <c r="R8" s="400"/>
      <c r="S8" s="400"/>
    </row>
    <row r="9" spans="1:19">
      <c r="A9" s="102" t="s">
        <v>396</v>
      </c>
      <c r="B9" s="99">
        <v>20</v>
      </c>
      <c r="C9" s="100">
        <f t="shared" si="0"/>
        <v>0.5</v>
      </c>
      <c r="D9" s="100">
        <f t="shared" si="1"/>
        <v>1.4</v>
      </c>
      <c r="E9" s="99">
        <v>10</v>
      </c>
      <c r="F9" s="100">
        <f t="shared" si="2"/>
        <v>0.5</v>
      </c>
      <c r="G9" s="100">
        <f t="shared" si="3"/>
        <v>0.6</v>
      </c>
      <c r="J9" s="409"/>
      <c r="K9" s="102" t="s">
        <v>396</v>
      </c>
      <c r="L9" s="100">
        <v>0.6</v>
      </c>
      <c r="M9" s="100">
        <v>1.2</v>
      </c>
      <c r="N9" s="100">
        <v>0.6</v>
      </c>
      <c r="O9" s="100">
        <v>0.6</v>
      </c>
      <c r="Q9" s="117" t="s">
        <v>397</v>
      </c>
    </row>
    <row r="10" spans="1:19" ht="14.25" customHeight="1">
      <c r="A10" s="102" t="s">
        <v>398</v>
      </c>
      <c r="B10" s="99">
        <v>20</v>
      </c>
      <c r="C10" s="100">
        <f t="shared" si="0"/>
        <v>0.5</v>
      </c>
      <c r="D10" s="100">
        <f t="shared" si="1"/>
        <v>2.4</v>
      </c>
      <c r="E10" s="99">
        <v>10</v>
      </c>
      <c r="F10" s="100">
        <f t="shared" si="2"/>
        <v>0.5</v>
      </c>
      <c r="G10" s="100">
        <f t="shared" si="3"/>
        <v>0.6</v>
      </c>
      <c r="J10" s="409"/>
      <c r="K10" s="102" t="s">
        <v>398</v>
      </c>
      <c r="L10" s="100">
        <v>0.6</v>
      </c>
      <c r="M10" s="100">
        <v>2.4</v>
      </c>
      <c r="N10" s="100">
        <v>0.6</v>
      </c>
      <c r="O10" s="100">
        <v>0.6</v>
      </c>
      <c r="Q10" s="408" t="s">
        <v>399</v>
      </c>
      <c r="R10" s="408"/>
      <c r="S10" s="408"/>
    </row>
    <row r="11" spans="1:19">
      <c r="A11" s="102" t="s">
        <v>400</v>
      </c>
      <c r="B11" s="99">
        <v>20</v>
      </c>
      <c r="C11" s="100">
        <f t="shared" si="0"/>
        <v>0.55000000000000004</v>
      </c>
      <c r="D11" s="100">
        <f t="shared" si="1"/>
        <v>6.7</v>
      </c>
      <c r="E11" s="99">
        <v>10</v>
      </c>
      <c r="F11" s="100">
        <f t="shared" si="2"/>
        <v>0.55000000000000004</v>
      </c>
      <c r="G11" s="100">
        <f t="shared" si="3"/>
        <v>1</v>
      </c>
      <c r="J11" s="409"/>
      <c r="K11" s="102" t="s">
        <v>400</v>
      </c>
      <c r="L11" s="100">
        <v>0.7</v>
      </c>
      <c r="M11" s="100">
        <v>6.7</v>
      </c>
      <c r="N11" s="100">
        <v>0.7</v>
      </c>
      <c r="O11" s="100">
        <v>1</v>
      </c>
      <c r="Q11" s="408"/>
      <c r="R11" s="408"/>
      <c r="S11" s="408"/>
    </row>
    <row r="12" spans="1:19">
      <c r="A12" s="102" t="s">
        <v>401</v>
      </c>
      <c r="B12" s="99">
        <v>20</v>
      </c>
      <c r="C12" s="100">
        <f t="shared" si="0"/>
        <v>0.55000000000000004</v>
      </c>
      <c r="D12" s="100">
        <f t="shared" si="1"/>
        <v>4.5</v>
      </c>
      <c r="E12" s="99">
        <v>10</v>
      </c>
      <c r="F12" s="100">
        <f t="shared" si="2"/>
        <v>0.55000000000000004</v>
      </c>
      <c r="G12" s="100">
        <f t="shared" si="3"/>
        <v>0.7</v>
      </c>
      <c r="J12" s="409"/>
      <c r="K12" s="102" t="s">
        <v>401</v>
      </c>
      <c r="L12" s="162">
        <v>0.6</v>
      </c>
      <c r="M12" s="162">
        <v>4.5</v>
      </c>
      <c r="N12" s="162">
        <v>0.6</v>
      </c>
      <c r="O12" s="162">
        <v>0.7</v>
      </c>
      <c r="Q12" s="408"/>
      <c r="R12" s="408"/>
      <c r="S12" s="408"/>
    </row>
    <row r="13" spans="1:19" ht="14.25" customHeight="1">
      <c r="A13" s="102" t="s">
        <v>402</v>
      </c>
      <c r="B13" s="99">
        <v>20</v>
      </c>
      <c r="C13" s="100">
        <f t="shared" si="0"/>
        <v>0.75</v>
      </c>
      <c r="D13" s="100">
        <f t="shared" si="1"/>
        <v>6.8</v>
      </c>
      <c r="E13" s="99">
        <v>10</v>
      </c>
      <c r="F13" s="100">
        <f t="shared" si="2"/>
        <v>0.75</v>
      </c>
      <c r="G13" s="100">
        <f t="shared" si="3"/>
        <v>3.9</v>
      </c>
      <c r="J13" s="409"/>
      <c r="K13" s="102" t="s">
        <v>402</v>
      </c>
      <c r="L13" s="162">
        <v>0.6</v>
      </c>
      <c r="M13" s="162">
        <v>2.1</v>
      </c>
      <c r="N13" s="162">
        <v>0.6</v>
      </c>
      <c r="O13" s="162">
        <v>0.7</v>
      </c>
      <c r="Q13" s="408" t="s">
        <v>403</v>
      </c>
      <c r="R13" s="408"/>
      <c r="S13" s="408"/>
    </row>
    <row r="14" spans="1:19">
      <c r="A14" s="102" t="s">
        <v>404</v>
      </c>
      <c r="B14" s="99">
        <v>20</v>
      </c>
      <c r="C14" s="100">
        <f t="shared" si="0"/>
        <v>0.55000000000000004</v>
      </c>
      <c r="D14" s="100">
        <f t="shared" si="1"/>
        <v>3.4</v>
      </c>
      <c r="E14" s="99">
        <v>10</v>
      </c>
      <c r="F14" s="100">
        <f t="shared" si="2"/>
        <v>0.55000000000000004</v>
      </c>
      <c r="G14" s="100">
        <f t="shared" si="3"/>
        <v>1</v>
      </c>
      <c r="J14" s="409"/>
      <c r="K14" s="102" t="s">
        <v>404</v>
      </c>
      <c r="L14" s="162">
        <v>0.6</v>
      </c>
      <c r="M14" s="162">
        <v>3.4</v>
      </c>
      <c r="N14" s="162">
        <v>0.6</v>
      </c>
      <c r="O14" s="162">
        <v>0.9</v>
      </c>
      <c r="Q14" s="408"/>
      <c r="R14" s="408"/>
      <c r="S14" s="408"/>
    </row>
    <row r="15" spans="1:19">
      <c r="A15" s="102" t="s">
        <v>405</v>
      </c>
      <c r="B15" s="99">
        <v>20</v>
      </c>
      <c r="C15" s="100">
        <f t="shared" si="0"/>
        <v>0.5</v>
      </c>
      <c r="D15" s="100">
        <f t="shared" si="1"/>
        <v>2.2999999999999998</v>
      </c>
      <c r="E15" s="99">
        <v>10</v>
      </c>
      <c r="F15" s="100">
        <f t="shared" si="2"/>
        <v>0.5</v>
      </c>
      <c r="G15" s="100">
        <f t="shared" si="3"/>
        <v>0.5</v>
      </c>
      <c r="J15" s="409"/>
      <c r="K15" s="102" t="s">
        <v>405</v>
      </c>
      <c r="L15" s="169"/>
      <c r="M15" s="169"/>
      <c r="N15" s="169"/>
      <c r="O15" s="169"/>
      <c r="Q15" s="408"/>
      <c r="R15" s="408"/>
      <c r="S15" s="408"/>
    </row>
    <row r="16" spans="1:19">
      <c r="A16" s="102" t="s">
        <v>406</v>
      </c>
      <c r="B16" s="99">
        <v>20</v>
      </c>
      <c r="C16" s="100">
        <f t="shared" si="0"/>
        <v>0.5</v>
      </c>
      <c r="D16" s="100">
        <f t="shared" si="1"/>
        <v>1.7</v>
      </c>
      <c r="E16" s="99">
        <v>10</v>
      </c>
      <c r="F16" s="100">
        <f t="shared" si="2"/>
        <v>0.5</v>
      </c>
      <c r="G16" s="100">
        <f t="shared" si="3"/>
        <v>0.5</v>
      </c>
      <c r="J16" s="409"/>
      <c r="K16" s="102" t="s">
        <v>406</v>
      </c>
      <c r="L16" s="169"/>
      <c r="M16" s="169"/>
      <c r="N16" s="169"/>
      <c r="O16" s="169"/>
      <c r="Q16" s="408"/>
      <c r="R16" s="408"/>
      <c r="S16" s="408"/>
    </row>
    <row r="17" spans="1:15">
      <c r="A17" s="102" t="s">
        <v>407</v>
      </c>
      <c r="B17" s="99">
        <v>20</v>
      </c>
      <c r="C17" s="100">
        <f t="shared" si="0"/>
        <v>0.6</v>
      </c>
      <c r="D17" s="100">
        <f t="shared" si="1"/>
        <v>1.3</v>
      </c>
      <c r="E17" s="99">
        <v>10</v>
      </c>
      <c r="F17" s="100">
        <f t="shared" si="2"/>
        <v>0.6</v>
      </c>
      <c r="G17" s="100">
        <f t="shared" si="3"/>
        <v>0.6</v>
      </c>
      <c r="J17" s="409"/>
      <c r="K17" s="102" t="s">
        <v>407</v>
      </c>
      <c r="L17" s="169">
        <v>0.6</v>
      </c>
      <c r="M17" s="169">
        <v>1.3</v>
      </c>
      <c r="N17" s="169">
        <v>0.6</v>
      </c>
      <c r="O17" s="169">
        <v>0.6</v>
      </c>
    </row>
    <row r="18" spans="1:15">
      <c r="A18" s="102" t="s">
        <v>408</v>
      </c>
      <c r="B18" s="99">
        <v>20</v>
      </c>
      <c r="C18" s="100">
        <f t="shared" si="0"/>
        <v>0.25</v>
      </c>
      <c r="D18" s="100">
        <f t="shared" si="1"/>
        <v>1.5</v>
      </c>
      <c r="E18" s="99">
        <v>10</v>
      </c>
      <c r="F18" s="100">
        <f t="shared" si="2"/>
        <v>0.25</v>
      </c>
      <c r="G18" s="100">
        <f t="shared" si="3"/>
        <v>0.8</v>
      </c>
      <c r="J18" s="409"/>
      <c r="K18" s="102" t="s">
        <v>408</v>
      </c>
      <c r="L18" s="100">
        <v>0</v>
      </c>
      <c r="M18" s="100">
        <v>1.5</v>
      </c>
      <c r="N18" s="100">
        <v>0</v>
      </c>
      <c r="O18" s="100">
        <v>0.8</v>
      </c>
    </row>
    <row r="19" spans="1:15">
      <c r="J19" s="409"/>
      <c r="K19" s="98" t="s">
        <v>409</v>
      </c>
      <c r="L19" s="98">
        <f>AVERAGE(L7:L18)</f>
        <v>0.54999999999999993</v>
      </c>
      <c r="M19" s="98">
        <f>MAX(M7:M18)</f>
        <v>6.7</v>
      </c>
      <c r="N19" s="98">
        <f>AVERAGE(N7:N18)</f>
        <v>0.54999999999999993</v>
      </c>
      <c r="O19" s="98">
        <f>MAX(O7:O18)</f>
        <v>1</v>
      </c>
    </row>
    <row r="21" spans="1:15" ht="41.45">
      <c r="J21" s="97">
        <f>+A6</f>
        <v>2022</v>
      </c>
      <c r="K21" s="97" t="s">
        <v>391</v>
      </c>
      <c r="L21" s="103" t="s">
        <v>386</v>
      </c>
      <c r="M21" s="103" t="s">
        <v>392</v>
      </c>
      <c r="N21" s="103" t="s">
        <v>389</v>
      </c>
      <c r="O21" s="103" t="s">
        <v>393</v>
      </c>
    </row>
    <row r="22" spans="1:15">
      <c r="J22" s="409" t="s">
        <v>190</v>
      </c>
      <c r="K22" s="102" t="s">
        <v>394</v>
      </c>
      <c r="L22" s="100">
        <v>0.5</v>
      </c>
      <c r="M22" s="100">
        <v>97</v>
      </c>
      <c r="N22" s="100">
        <v>0.5</v>
      </c>
      <c r="O22" s="100">
        <v>2.5</v>
      </c>
    </row>
    <row r="23" spans="1:15">
      <c r="J23" s="409"/>
      <c r="K23" s="102" t="s">
        <v>395</v>
      </c>
      <c r="L23" s="100">
        <v>0.4</v>
      </c>
      <c r="M23" s="100">
        <v>1.5</v>
      </c>
      <c r="N23" s="100">
        <v>0.4</v>
      </c>
      <c r="O23" s="100">
        <v>0.5</v>
      </c>
    </row>
    <row r="24" spans="1:15">
      <c r="J24" s="409"/>
      <c r="K24" s="102" t="s">
        <v>396</v>
      </c>
      <c r="L24" s="100">
        <v>0.4</v>
      </c>
      <c r="M24" s="100">
        <v>1.4</v>
      </c>
      <c r="N24" s="100">
        <v>0.4</v>
      </c>
      <c r="O24" s="100">
        <v>0.5</v>
      </c>
    </row>
    <row r="25" spans="1:15">
      <c r="J25" s="409"/>
      <c r="K25" s="102" t="s">
        <v>398</v>
      </c>
      <c r="L25" s="100">
        <v>0.4</v>
      </c>
      <c r="M25" s="100">
        <v>1.5</v>
      </c>
      <c r="N25" s="100">
        <v>0.4</v>
      </c>
      <c r="O25" s="100">
        <v>0.5</v>
      </c>
    </row>
    <row r="26" spans="1:15">
      <c r="J26" s="409"/>
      <c r="K26" s="102" t="s">
        <v>400</v>
      </c>
      <c r="L26" s="100">
        <v>0.4</v>
      </c>
      <c r="M26" s="100">
        <v>3.5</v>
      </c>
      <c r="N26" s="100">
        <v>0.4</v>
      </c>
      <c r="O26" s="100">
        <v>0.5</v>
      </c>
    </row>
    <row r="27" spans="1:15">
      <c r="J27" s="409"/>
      <c r="K27" s="102" t="s">
        <v>401</v>
      </c>
      <c r="L27" s="162">
        <v>0.5</v>
      </c>
      <c r="M27" s="162">
        <v>1.5</v>
      </c>
      <c r="N27" s="162">
        <v>0.5</v>
      </c>
      <c r="O27" s="162">
        <v>0.7</v>
      </c>
    </row>
    <row r="28" spans="1:15">
      <c r="J28" s="409"/>
      <c r="K28" s="102" t="s">
        <v>402</v>
      </c>
      <c r="L28" s="162">
        <v>0.9</v>
      </c>
      <c r="M28" s="162">
        <v>6.8</v>
      </c>
      <c r="N28" s="162">
        <v>0.9</v>
      </c>
      <c r="O28" s="162">
        <v>3.9</v>
      </c>
    </row>
    <row r="29" spans="1:15">
      <c r="J29" s="409"/>
      <c r="K29" s="102" t="s">
        <v>404</v>
      </c>
      <c r="L29" s="162">
        <v>0.5</v>
      </c>
      <c r="M29" s="162">
        <v>2.8</v>
      </c>
      <c r="N29" s="162">
        <v>0.5</v>
      </c>
      <c r="O29" s="162">
        <v>1</v>
      </c>
    </row>
    <row r="30" spans="1:15">
      <c r="J30" s="409"/>
      <c r="K30" s="102" t="s">
        <v>405</v>
      </c>
      <c r="L30" s="168">
        <v>0.5</v>
      </c>
      <c r="M30" s="168">
        <v>2.2999999999999998</v>
      </c>
      <c r="N30" s="168">
        <v>0.5</v>
      </c>
      <c r="O30" s="168">
        <v>0.5</v>
      </c>
    </row>
    <row r="31" spans="1:15">
      <c r="J31" s="409"/>
      <c r="K31" s="102" t="s">
        <v>406</v>
      </c>
      <c r="L31" s="168">
        <v>0.5</v>
      </c>
      <c r="M31" s="168">
        <v>1.7</v>
      </c>
      <c r="N31" s="168">
        <v>0.5</v>
      </c>
      <c r="O31" s="168">
        <v>0.5</v>
      </c>
    </row>
    <row r="32" spans="1:15">
      <c r="J32" s="409"/>
      <c r="K32" s="102" t="s">
        <v>407</v>
      </c>
      <c r="L32" s="168"/>
      <c r="M32" s="168"/>
      <c r="N32" s="168"/>
      <c r="O32" s="168"/>
    </row>
    <row r="33" spans="1:15">
      <c r="J33" s="409"/>
      <c r="K33" s="102" t="s">
        <v>408</v>
      </c>
      <c r="L33" s="100">
        <v>0.5</v>
      </c>
      <c r="M33" s="100">
        <v>1.1000000000000001</v>
      </c>
      <c r="N33" s="100">
        <v>0.5</v>
      </c>
      <c r="O33" s="100">
        <v>0.5</v>
      </c>
    </row>
    <row r="34" spans="1:15">
      <c r="J34" s="409"/>
      <c r="K34" s="98" t="s">
        <v>409</v>
      </c>
      <c r="L34" s="98">
        <f>AVERAGE(L22:L33)</f>
        <v>0.5</v>
      </c>
      <c r="M34" s="98">
        <f>MAX(M22:M33)</f>
        <v>97</v>
      </c>
      <c r="N34" s="98">
        <f>AVERAGE(N22:N33)</f>
        <v>0.5</v>
      </c>
      <c r="O34" s="98">
        <f>MAX(O22:O33)</f>
        <v>3.9</v>
      </c>
    </row>
    <row r="36" spans="1:15" ht="41.45">
      <c r="J36" s="97">
        <f>+A6</f>
        <v>2022</v>
      </c>
      <c r="K36" s="97" t="s">
        <v>391</v>
      </c>
      <c r="L36" s="103" t="s">
        <v>386</v>
      </c>
      <c r="M36" s="103" t="s">
        <v>392</v>
      </c>
      <c r="N36" s="103" t="s">
        <v>389</v>
      </c>
      <c r="O36" s="103" t="s">
        <v>393</v>
      </c>
    </row>
    <row r="37" spans="1:15">
      <c r="J37" s="409" t="s">
        <v>191</v>
      </c>
      <c r="K37" s="102" t="s">
        <v>394</v>
      </c>
      <c r="L37" s="100"/>
      <c r="M37" s="100"/>
      <c r="N37" s="100"/>
      <c r="O37" s="100"/>
    </row>
    <row r="38" spans="1:15">
      <c r="J38" s="409"/>
      <c r="K38" s="102" t="s">
        <v>395</v>
      </c>
      <c r="L38" s="100"/>
      <c r="M38" s="100"/>
      <c r="N38" s="100"/>
      <c r="O38" s="100"/>
    </row>
    <row r="39" spans="1:15">
      <c r="J39" s="409"/>
      <c r="K39" s="102" t="s">
        <v>396</v>
      </c>
      <c r="L39" s="100"/>
      <c r="M39" s="100"/>
      <c r="N39" s="100"/>
      <c r="O39" s="100"/>
    </row>
    <row r="40" spans="1:15">
      <c r="J40" s="409"/>
      <c r="K40" s="102" t="s">
        <v>398</v>
      </c>
      <c r="L40" s="100"/>
      <c r="M40" s="100"/>
      <c r="N40" s="100"/>
      <c r="O40" s="100"/>
    </row>
    <row r="41" spans="1:15">
      <c r="J41" s="409"/>
      <c r="K41" s="102" t="s">
        <v>400</v>
      </c>
      <c r="L41" s="100"/>
      <c r="M41" s="100"/>
      <c r="N41" s="100"/>
      <c r="O41" s="100"/>
    </row>
    <row r="42" spans="1:15">
      <c r="J42" s="409"/>
      <c r="K42" s="102" t="s">
        <v>401</v>
      </c>
      <c r="L42" s="100"/>
      <c r="M42" s="100"/>
      <c r="N42" s="100"/>
      <c r="O42" s="100"/>
    </row>
    <row r="43" spans="1:15">
      <c r="J43" s="409"/>
      <c r="K43" s="102" t="s">
        <v>402</v>
      </c>
      <c r="L43" s="100"/>
      <c r="M43" s="100"/>
      <c r="N43" s="100"/>
      <c r="O43" s="100"/>
    </row>
    <row r="44" spans="1:15">
      <c r="J44" s="409"/>
      <c r="K44" s="102" t="s">
        <v>404</v>
      </c>
      <c r="L44" s="100"/>
      <c r="M44" s="100"/>
      <c r="N44" s="100"/>
      <c r="O44" s="100"/>
    </row>
    <row r="45" spans="1:15">
      <c r="J45" s="409"/>
      <c r="K45" s="102" t="s">
        <v>405</v>
      </c>
      <c r="L45" s="100"/>
      <c r="M45" s="100"/>
      <c r="N45" s="100"/>
      <c r="O45" s="100"/>
    </row>
    <row r="46" spans="1:15">
      <c r="J46" s="409"/>
      <c r="K46" s="102" t="s">
        <v>406</v>
      </c>
      <c r="L46" s="100"/>
      <c r="M46" s="100"/>
      <c r="N46" s="100"/>
      <c r="O46" s="100"/>
    </row>
    <row r="47" spans="1:15">
      <c r="J47" s="409"/>
      <c r="K47" s="102" t="s">
        <v>407</v>
      </c>
      <c r="L47" s="100"/>
      <c r="M47" s="100"/>
      <c r="N47" s="100"/>
      <c r="O47" s="100"/>
    </row>
    <row r="48" spans="1:15">
      <c r="A48" s="421" t="s">
        <v>304</v>
      </c>
      <c r="B48" s="422"/>
      <c r="C48" s="422"/>
      <c r="D48" s="422"/>
      <c r="E48" s="422"/>
      <c r="F48" s="422"/>
      <c r="G48" s="423"/>
      <c r="J48" s="409"/>
      <c r="K48" s="102" t="s">
        <v>408</v>
      </c>
      <c r="L48" s="100"/>
      <c r="M48" s="100"/>
      <c r="N48" s="100"/>
      <c r="O48" s="100"/>
    </row>
    <row r="49" spans="1:15">
      <c r="A49" s="412"/>
      <c r="B49" s="413"/>
      <c r="C49" s="413"/>
      <c r="D49" s="413"/>
      <c r="E49" s="413"/>
      <c r="F49" s="413"/>
      <c r="G49" s="414"/>
      <c r="J49" s="409"/>
      <c r="K49" s="98" t="s">
        <v>409</v>
      </c>
      <c r="L49" s="98" t="e">
        <f>AVERAGE(L37:L48)</f>
        <v>#DIV/0!</v>
      </c>
      <c r="M49" s="98">
        <f>MAX(M37:M48)</f>
        <v>0</v>
      </c>
      <c r="N49" s="98" t="e">
        <f>AVERAGE(N37:N48)</f>
        <v>#DIV/0!</v>
      </c>
      <c r="O49" s="98">
        <f>MAX(O37:O48)</f>
        <v>0</v>
      </c>
    </row>
    <row r="50" spans="1:15">
      <c r="A50" s="415"/>
      <c r="B50" s="416"/>
      <c r="C50" s="416"/>
      <c r="D50" s="416"/>
      <c r="E50" s="416"/>
      <c r="F50" s="416"/>
      <c r="G50" s="417"/>
    </row>
    <row r="51" spans="1:15" ht="41.45">
      <c r="A51" s="415"/>
      <c r="B51" s="416"/>
      <c r="C51" s="416"/>
      <c r="D51" s="416"/>
      <c r="E51" s="416"/>
      <c r="F51" s="416"/>
      <c r="G51" s="417"/>
      <c r="J51" s="97">
        <f>+A6</f>
        <v>2022</v>
      </c>
      <c r="K51" s="97" t="s">
        <v>391</v>
      </c>
      <c r="L51" s="103" t="s">
        <v>386</v>
      </c>
      <c r="M51" s="103" t="s">
        <v>392</v>
      </c>
      <c r="N51" s="103" t="s">
        <v>389</v>
      </c>
      <c r="O51" s="103" t="s">
        <v>393</v>
      </c>
    </row>
    <row r="52" spans="1:15">
      <c r="A52" s="418"/>
      <c r="B52" s="419"/>
      <c r="C52" s="419"/>
      <c r="D52" s="419"/>
      <c r="E52" s="419"/>
      <c r="F52" s="419"/>
      <c r="G52" s="420"/>
      <c r="J52" s="409" t="s">
        <v>192</v>
      </c>
      <c r="K52" s="102" t="s">
        <v>394</v>
      </c>
      <c r="L52" s="100"/>
      <c r="M52" s="100"/>
      <c r="N52" s="100"/>
      <c r="O52" s="100"/>
    </row>
    <row r="53" spans="1:15">
      <c r="J53" s="409"/>
      <c r="K53" s="102" t="s">
        <v>395</v>
      </c>
      <c r="L53" s="100"/>
      <c r="M53" s="100"/>
      <c r="N53" s="100"/>
      <c r="O53" s="100"/>
    </row>
    <row r="54" spans="1:15">
      <c r="J54" s="409"/>
      <c r="K54" s="102" t="s">
        <v>396</v>
      </c>
      <c r="L54" s="100"/>
      <c r="M54" s="100"/>
      <c r="N54" s="100"/>
      <c r="O54" s="100"/>
    </row>
    <row r="55" spans="1:15">
      <c r="J55" s="409"/>
      <c r="K55" s="102" t="s">
        <v>398</v>
      </c>
      <c r="L55" s="100"/>
      <c r="M55" s="100"/>
      <c r="N55" s="100"/>
      <c r="O55" s="100"/>
    </row>
    <row r="56" spans="1:15">
      <c r="J56" s="409"/>
      <c r="K56" s="102" t="s">
        <v>400</v>
      </c>
      <c r="L56" s="100"/>
      <c r="M56" s="100"/>
      <c r="N56" s="100"/>
      <c r="O56" s="100"/>
    </row>
    <row r="57" spans="1:15">
      <c r="J57" s="409"/>
      <c r="K57" s="102" t="s">
        <v>401</v>
      </c>
      <c r="L57" s="100"/>
      <c r="M57" s="100"/>
      <c r="N57" s="100"/>
      <c r="O57" s="100"/>
    </row>
    <row r="58" spans="1:15">
      <c r="J58" s="409"/>
      <c r="K58" s="102" t="s">
        <v>402</v>
      </c>
      <c r="L58" s="100"/>
      <c r="M58" s="100"/>
      <c r="N58" s="100"/>
      <c r="O58" s="100"/>
    </row>
    <row r="59" spans="1:15">
      <c r="J59" s="409"/>
      <c r="K59" s="102" t="s">
        <v>404</v>
      </c>
      <c r="L59" s="100"/>
      <c r="M59" s="100"/>
      <c r="N59" s="100"/>
      <c r="O59" s="100"/>
    </row>
    <row r="60" spans="1:15">
      <c r="J60" s="409"/>
      <c r="K60" s="102" t="s">
        <v>405</v>
      </c>
      <c r="L60" s="100"/>
      <c r="M60" s="100"/>
      <c r="N60" s="100"/>
      <c r="O60" s="100"/>
    </row>
    <row r="61" spans="1:15">
      <c r="J61" s="409"/>
      <c r="K61" s="102" t="s">
        <v>406</v>
      </c>
      <c r="L61" s="100"/>
      <c r="M61" s="100"/>
      <c r="N61" s="100"/>
      <c r="O61" s="100"/>
    </row>
    <row r="62" spans="1:15">
      <c r="J62" s="409"/>
      <c r="K62" s="102" t="s">
        <v>407</v>
      </c>
      <c r="L62" s="100"/>
      <c r="M62" s="100"/>
      <c r="N62" s="100"/>
      <c r="O62" s="100"/>
    </row>
    <row r="63" spans="1:15">
      <c r="J63" s="409"/>
      <c r="K63" s="102" t="s">
        <v>408</v>
      </c>
      <c r="L63" s="100"/>
      <c r="M63" s="100"/>
      <c r="N63" s="100"/>
      <c r="O63" s="100"/>
    </row>
    <row r="64" spans="1:15">
      <c r="J64" s="409"/>
      <c r="K64" s="98" t="s">
        <v>409</v>
      </c>
      <c r="L64" s="98" t="e">
        <f>AVERAGE(L52:L63)</f>
        <v>#DIV/0!</v>
      </c>
      <c r="M64" s="98">
        <f>MAX(M52:M63)</f>
        <v>0</v>
      </c>
      <c r="N64" s="98" t="e">
        <f>AVERAGE(N52:N63)</f>
        <v>#DIV/0!</v>
      </c>
      <c r="O64" s="98">
        <f>MAX(O52:O63)</f>
        <v>0</v>
      </c>
    </row>
    <row r="66" spans="10:15" ht="41.45">
      <c r="J66" s="97">
        <f>+A6</f>
        <v>2022</v>
      </c>
      <c r="K66" s="97" t="s">
        <v>391</v>
      </c>
      <c r="L66" s="103" t="s">
        <v>386</v>
      </c>
      <c r="M66" s="103" t="s">
        <v>392</v>
      </c>
      <c r="N66" s="103" t="s">
        <v>389</v>
      </c>
      <c r="O66" s="103" t="s">
        <v>393</v>
      </c>
    </row>
    <row r="67" spans="10:15">
      <c r="J67" s="409" t="s">
        <v>193</v>
      </c>
      <c r="K67" s="102" t="s">
        <v>394</v>
      </c>
      <c r="L67" s="100"/>
      <c r="M67" s="100"/>
      <c r="N67" s="100"/>
      <c r="O67" s="100"/>
    </row>
    <row r="68" spans="10:15">
      <c r="J68" s="409"/>
      <c r="K68" s="102" t="s">
        <v>395</v>
      </c>
      <c r="L68" s="100"/>
      <c r="M68" s="100"/>
      <c r="N68" s="100"/>
      <c r="O68" s="100"/>
    </row>
    <row r="69" spans="10:15">
      <c r="J69" s="409"/>
      <c r="K69" s="102" t="s">
        <v>396</v>
      </c>
      <c r="L69" s="100"/>
      <c r="M69" s="100"/>
      <c r="N69" s="100"/>
      <c r="O69" s="100"/>
    </row>
    <row r="70" spans="10:15">
      <c r="J70" s="409"/>
      <c r="K70" s="102" t="s">
        <v>398</v>
      </c>
      <c r="L70" s="100"/>
      <c r="M70" s="100"/>
      <c r="N70" s="100"/>
      <c r="O70" s="100"/>
    </row>
    <row r="71" spans="10:15">
      <c r="J71" s="409"/>
      <c r="K71" s="102" t="s">
        <v>400</v>
      </c>
      <c r="L71" s="100"/>
      <c r="M71" s="100"/>
      <c r="N71" s="100"/>
      <c r="O71" s="100"/>
    </row>
    <row r="72" spans="10:15">
      <c r="J72" s="409"/>
      <c r="K72" s="102" t="s">
        <v>401</v>
      </c>
      <c r="L72" s="100"/>
      <c r="M72" s="100"/>
      <c r="N72" s="100"/>
      <c r="O72" s="100"/>
    </row>
    <row r="73" spans="10:15">
      <c r="J73" s="409"/>
      <c r="K73" s="102" t="s">
        <v>402</v>
      </c>
      <c r="L73" s="100"/>
      <c r="M73" s="100"/>
      <c r="N73" s="100"/>
      <c r="O73" s="100"/>
    </row>
    <row r="74" spans="10:15">
      <c r="J74" s="409"/>
      <c r="K74" s="102" t="s">
        <v>404</v>
      </c>
      <c r="L74" s="100"/>
      <c r="M74" s="100"/>
      <c r="N74" s="100"/>
      <c r="O74" s="100"/>
    </row>
    <row r="75" spans="10:15">
      <c r="J75" s="409"/>
      <c r="K75" s="102" t="s">
        <v>405</v>
      </c>
      <c r="L75" s="100"/>
      <c r="M75" s="100"/>
      <c r="N75" s="100"/>
      <c r="O75" s="100"/>
    </row>
    <row r="76" spans="10:15">
      <c r="J76" s="409"/>
      <c r="K76" s="102" t="s">
        <v>406</v>
      </c>
      <c r="L76" s="100"/>
      <c r="M76" s="100"/>
      <c r="N76" s="100"/>
      <c r="O76" s="100"/>
    </row>
    <row r="77" spans="10:15">
      <c r="J77" s="409"/>
      <c r="K77" s="102" t="s">
        <v>407</v>
      </c>
      <c r="L77" s="100"/>
      <c r="M77" s="100"/>
      <c r="N77" s="100"/>
      <c r="O77" s="100"/>
    </row>
    <row r="78" spans="10:15">
      <c r="J78" s="409"/>
      <c r="K78" s="102" t="s">
        <v>408</v>
      </c>
      <c r="L78" s="100"/>
      <c r="M78" s="100"/>
      <c r="N78" s="100"/>
      <c r="O78" s="100"/>
    </row>
    <row r="79" spans="10:15">
      <c r="J79" s="409"/>
      <c r="K79" s="98" t="s">
        <v>409</v>
      </c>
      <c r="L79" s="98" t="e">
        <f>AVERAGE(L67:L78)</f>
        <v>#DIV/0!</v>
      </c>
      <c r="M79" s="98">
        <f>MAX(M67:M78)</f>
        <v>0</v>
      </c>
      <c r="N79" s="98" t="e">
        <f>AVERAGE(N67:N78)</f>
        <v>#DIV/0!</v>
      </c>
      <c r="O79" s="9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showGridLines="0" topLeftCell="G16" zoomScaleNormal="100" workbookViewId="0">
      <selection activeCell="N28" sqref="N28"/>
    </sheetView>
  </sheetViews>
  <sheetFormatPr defaultRowHeight="13.9"/>
  <cols>
    <col min="1" max="1" width="14" style="3" customWidth="1"/>
    <col min="2" max="4" width="17" style="69" customWidth="1"/>
    <col min="5" max="5" width="14.7109375" style="69" customWidth="1"/>
    <col min="6" max="7" width="17" style="69"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128" t="str">
        <f>+'Cover Page'!$B$29</f>
        <v>Annual Performance Report 2022</v>
      </c>
      <c r="B1" s="128"/>
      <c r="C1" s="128"/>
      <c r="D1" s="128"/>
      <c r="E1" s="128" t="str">
        <f>+'Cover Page'!$B$33</f>
        <v>SUEZ R&amp;R Wilton 11 EfW</v>
      </c>
    </row>
    <row r="3" spans="1:19" ht="14.45">
      <c r="A3" s="96" t="s">
        <v>419</v>
      </c>
      <c r="D3" s="115" t="s">
        <v>378</v>
      </c>
      <c r="G3" s="119" t="s">
        <v>379</v>
      </c>
      <c r="J3" s="8" t="str">
        <f>+A3</f>
        <v>Monitoring of Particulate matter emissions</v>
      </c>
      <c r="L3" s="8"/>
      <c r="N3" s="8" t="s">
        <v>380</v>
      </c>
      <c r="Q3" s="118" t="s">
        <v>3</v>
      </c>
      <c r="R3" s="112"/>
      <c r="S3" s="112"/>
    </row>
    <row r="4" spans="1:19" ht="13.9" customHeight="1">
      <c r="Q4" s="400" t="s">
        <v>381</v>
      </c>
      <c r="R4" s="400"/>
      <c r="S4" s="400"/>
    </row>
    <row r="5" spans="1:19" ht="16.149999999999999">
      <c r="A5" s="104" t="s">
        <v>382</v>
      </c>
      <c r="B5" s="411" t="s">
        <v>383</v>
      </c>
      <c r="C5" s="411"/>
      <c r="D5" s="411"/>
      <c r="E5" s="411" t="s">
        <v>384</v>
      </c>
      <c r="F5" s="411"/>
      <c r="G5" s="411"/>
      <c r="J5" s="410"/>
      <c r="K5" s="410"/>
      <c r="L5" s="410"/>
      <c r="M5" s="410"/>
      <c r="N5" s="410"/>
      <c r="O5" s="410"/>
      <c r="Q5" s="400"/>
      <c r="R5" s="400"/>
      <c r="S5" s="400"/>
    </row>
    <row r="6" spans="1:19" s="94" customFormat="1" ht="37.5" customHeight="1">
      <c r="A6" s="101">
        <f>+'Cover Page'!C39</f>
        <v>2022</v>
      </c>
      <c r="B6" s="90" t="s">
        <v>420</v>
      </c>
      <c r="C6" s="90" t="s">
        <v>386</v>
      </c>
      <c r="D6" s="90" t="s">
        <v>387</v>
      </c>
      <c r="E6" s="90" t="s">
        <v>421</v>
      </c>
      <c r="F6" s="90" t="s">
        <v>389</v>
      </c>
      <c r="G6" s="90" t="s">
        <v>390</v>
      </c>
      <c r="H6" s="95"/>
      <c r="J6" s="97">
        <f>+A6</f>
        <v>2022</v>
      </c>
      <c r="K6" s="97" t="s">
        <v>391</v>
      </c>
      <c r="L6" s="103" t="s">
        <v>386</v>
      </c>
      <c r="M6" s="103" t="s">
        <v>392</v>
      </c>
      <c r="N6" s="103" t="s">
        <v>389</v>
      </c>
      <c r="O6" s="103" t="s">
        <v>393</v>
      </c>
      <c r="Q6" s="400"/>
      <c r="R6" s="400"/>
      <c r="S6" s="400"/>
    </row>
    <row r="7" spans="1:19">
      <c r="A7" s="102" t="s">
        <v>394</v>
      </c>
      <c r="B7" s="99">
        <v>30</v>
      </c>
      <c r="C7" s="100">
        <f>AVERAGE(L7,L22)</f>
        <v>0.4</v>
      </c>
      <c r="D7" s="100">
        <f>MAX(M7,M22)</f>
        <v>1.7</v>
      </c>
      <c r="E7" s="99">
        <v>10</v>
      </c>
      <c r="F7" s="100">
        <f>AVERAGE(N7,N22)</f>
        <v>0.4</v>
      </c>
      <c r="G7" s="100">
        <f>MAX(O7,O22)</f>
        <v>0.5</v>
      </c>
      <c r="J7" s="409" t="s">
        <v>189</v>
      </c>
      <c r="K7" s="102" t="s">
        <v>394</v>
      </c>
      <c r="L7" s="100">
        <v>0.4</v>
      </c>
      <c r="M7" s="100">
        <v>0.6</v>
      </c>
      <c r="N7" s="100">
        <v>0.4</v>
      </c>
      <c r="O7" s="100">
        <v>0.5</v>
      </c>
      <c r="Q7" s="400"/>
      <c r="R7" s="400"/>
      <c r="S7" s="400"/>
    </row>
    <row r="8" spans="1:19">
      <c r="A8" s="102" t="s">
        <v>395</v>
      </c>
      <c r="B8" s="99">
        <v>30</v>
      </c>
      <c r="C8" s="100">
        <f t="shared" ref="C8:C18" si="0">AVERAGE(L8,L23)</f>
        <v>0.4</v>
      </c>
      <c r="D8" s="100">
        <f t="shared" ref="D8:D18" si="1">MAX(M8,M23)</f>
        <v>0.6</v>
      </c>
      <c r="E8" s="99">
        <v>10</v>
      </c>
      <c r="F8" s="100">
        <f t="shared" ref="F8:F18" si="2">AVERAGE(N8,N23)</f>
        <v>0.4</v>
      </c>
      <c r="G8" s="100">
        <f t="shared" ref="G8:G18" si="3">MAX(O8,O23)</f>
        <v>0.5</v>
      </c>
      <c r="J8" s="409"/>
      <c r="K8" s="102" t="s">
        <v>395</v>
      </c>
      <c r="L8" s="100">
        <v>0.4</v>
      </c>
      <c r="M8" s="100">
        <v>0.5</v>
      </c>
      <c r="N8" s="100">
        <v>0.4</v>
      </c>
      <c r="O8" s="100">
        <v>0.5</v>
      </c>
      <c r="Q8" s="400"/>
      <c r="R8" s="400"/>
      <c r="S8" s="400"/>
    </row>
    <row r="9" spans="1:19">
      <c r="A9" s="102" t="s">
        <v>396</v>
      </c>
      <c r="B9" s="99">
        <v>30</v>
      </c>
      <c r="C9" s="100">
        <f t="shared" si="0"/>
        <v>0.4</v>
      </c>
      <c r="D9" s="100">
        <f t="shared" si="1"/>
        <v>0.6</v>
      </c>
      <c r="E9" s="99">
        <v>10</v>
      </c>
      <c r="F9" s="100">
        <f t="shared" si="2"/>
        <v>0.4</v>
      </c>
      <c r="G9" s="100">
        <f t="shared" si="3"/>
        <v>0.5</v>
      </c>
      <c r="J9" s="409"/>
      <c r="K9" s="102" t="s">
        <v>396</v>
      </c>
      <c r="L9" s="100">
        <v>0.4</v>
      </c>
      <c r="M9" s="100">
        <v>0.6</v>
      </c>
      <c r="N9" s="100">
        <v>0.4</v>
      </c>
      <c r="O9" s="100">
        <v>0.5</v>
      </c>
      <c r="Q9" s="117" t="s">
        <v>397</v>
      </c>
    </row>
    <row r="10" spans="1:19" ht="14.25" customHeight="1">
      <c r="A10" s="102" t="s">
        <v>398</v>
      </c>
      <c r="B10" s="99">
        <v>30</v>
      </c>
      <c r="C10" s="100">
        <f t="shared" si="0"/>
        <v>0.45</v>
      </c>
      <c r="D10" s="100">
        <f t="shared" si="1"/>
        <v>6.2</v>
      </c>
      <c r="E10" s="99">
        <v>10</v>
      </c>
      <c r="F10" s="100">
        <f t="shared" si="2"/>
        <v>0.45</v>
      </c>
      <c r="G10" s="100">
        <f t="shared" si="3"/>
        <v>0.5</v>
      </c>
      <c r="J10" s="409"/>
      <c r="K10" s="102" t="s">
        <v>398</v>
      </c>
      <c r="L10" s="100">
        <v>0.5</v>
      </c>
      <c r="M10" s="100">
        <v>6.2</v>
      </c>
      <c r="N10" s="100">
        <v>0.5</v>
      </c>
      <c r="O10" s="100">
        <v>0.5</v>
      </c>
      <c r="Q10" s="408" t="s">
        <v>399</v>
      </c>
      <c r="R10" s="408"/>
      <c r="S10" s="408"/>
    </row>
    <row r="11" spans="1:19">
      <c r="A11" s="102" t="s">
        <v>400</v>
      </c>
      <c r="B11" s="99">
        <v>30</v>
      </c>
      <c r="C11" s="100">
        <f t="shared" si="0"/>
        <v>0.45</v>
      </c>
      <c r="D11" s="100">
        <f t="shared" si="1"/>
        <v>1.1000000000000001</v>
      </c>
      <c r="E11" s="99">
        <v>10</v>
      </c>
      <c r="F11" s="100">
        <f t="shared" si="2"/>
        <v>0.45</v>
      </c>
      <c r="G11" s="100">
        <f t="shared" si="3"/>
        <v>0.5</v>
      </c>
      <c r="J11" s="409"/>
      <c r="K11" s="102" t="s">
        <v>400</v>
      </c>
      <c r="L11" s="100">
        <v>0.5</v>
      </c>
      <c r="M11" s="100">
        <v>1.1000000000000001</v>
      </c>
      <c r="N11" s="100">
        <v>0.5</v>
      </c>
      <c r="O11" s="100">
        <v>0.5</v>
      </c>
      <c r="Q11" s="408"/>
      <c r="R11" s="408"/>
      <c r="S11" s="408"/>
    </row>
    <row r="12" spans="1:19">
      <c r="A12" s="102" t="s">
        <v>401</v>
      </c>
      <c r="B12" s="99">
        <v>30</v>
      </c>
      <c r="C12" s="100">
        <f t="shared" si="0"/>
        <v>0.4</v>
      </c>
      <c r="D12" s="100">
        <f t="shared" si="1"/>
        <v>0.8</v>
      </c>
      <c r="E12" s="99">
        <v>10</v>
      </c>
      <c r="F12" s="100">
        <f t="shared" si="2"/>
        <v>0.4</v>
      </c>
      <c r="G12" s="100">
        <f t="shared" si="3"/>
        <v>0.5</v>
      </c>
      <c r="J12" s="409"/>
      <c r="K12" s="102" t="s">
        <v>401</v>
      </c>
      <c r="L12" s="162">
        <v>0.4</v>
      </c>
      <c r="M12" s="162">
        <v>0.8</v>
      </c>
      <c r="N12" s="162">
        <v>0.4</v>
      </c>
      <c r="O12" s="162">
        <v>0.5</v>
      </c>
      <c r="Q12" s="408"/>
      <c r="R12" s="408"/>
      <c r="S12" s="408"/>
    </row>
    <row r="13" spans="1:19" ht="14.25" customHeight="1">
      <c r="A13" s="102" t="s">
        <v>402</v>
      </c>
      <c r="B13" s="99">
        <v>30</v>
      </c>
      <c r="C13" s="100">
        <f t="shared" si="0"/>
        <v>0.45</v>
      </c>
      <c r="D13" s="100">
        <f t="shared" si="1"/>
        <v>0.7</v>
      </c>
      <c r="E13" s="99">
        <v>10</v>
      </c>
      <c r="F13" s="100">
        <f t="shared" si="2"/>
        <v>0.45</v>
      </c>
      <c r="G13" s="100">
        <f t="shared" si="3"/>
        <v>0.6</v>
      </c>
      <c r="J13" s="409"/>
      <c r="K13" s="102" t="s">
        <v>402</v>
      </c>
      <c r="L13" s="162">
        <v>0.5</v>
      </c>
      <c r="M13" s="162">
        <v>0.7</v>
      </c>
      <c r="N13" s="162">
        <v>0.5</v>
      </c>
      <c r="O13" s="162">
        <v>0.6</v>
      </c>
      <c r="Q13" s="408" t="s">
        <v>403</v>
      </c>
      <c r="R13" s="408"/>
      <c r="S13" s="408"/>
    </row>
    <row r="14" spans="1:19">
      <c r="A14" s="102" t="s">
        <v>404</v>
      </c>
      <c r="B14" s="99">
        <v>30</v>
      </c>
      <c r="C14" s="100">
        <f t="shared" si="0"/>
        <v>0.45</v>
      </c>
      <c r="D14" s="100">
        <f t="shared" si="1"/>
        <v>4.8</v>
      </c>
      <c r="E14" s="99">
        <v>10</v>
      </c>
      <c r="F14" s="100">
        <f t="shared" si="2"/>
        <v>0.45</v>
      </c>
      <c r="G14" s="100">
        <f t="shared" si="3"/>
        <v>0.6</v>
      </c>
      <c r="J14" s="409"/>
      <c r="K14" s="102" t="s">
        <v>404</v>
      </c>
      <c r="L14" s="162">
        <v>0.5</v>
      </c>
      <c r="M14" s="162">
        <v>4.8</v>
      </c>
      <c r="N14" s="162">
        <v>0.5</v>
      </c>
      <c r="O14" s="162">
        <v>0.6</v>
      </c>
      <c r="Q14" s="408"/>
      <c r="R14" s="408"/>
      <c r="S14" s="408"/>
    </row>
    <row r="15" spans="1:19">
      <c r="A15" s="102" t="s">
        <v>405</v>
      </c>
      <c r="B15" s="99">
        <v>30</v>
      </c>
      <c r="C15" s="100">
        <f t="shared" si="0"/>
        <v>0.4</v>
      </c>
      <c r="D15" s="100">
        <f t="shared" si="1"/>
        <v>0.7</v>
      </c>
      <c r="E15" s="99">
        <v>10</v>
      </c>
      <c r="F15" s="100">
        <f t="shared" si="2"/>
        <v>0.4</v>
      </c>
      <c r="G15" s="100">
        <f t="shared" si="3"/>
        <v>0.4</v>
      </c>
      <c r="J15" s="409"/>
      <c r="K15" s="102" t="s">
        <v>405</v>
      </c>
      <c r="L15" s="168"/>
      <c r="M15" s="168"/>
      <c r="N15" s="168"/>
      <c r="O15" s="168"/>
      <c r="Q15" s="408"/>
      <c r="R15" s="408"/>
      <c r="S15" s="408"/>
    </row>
    <row r="16" spans="1:19">
      <c r="A16" s="102" t="s">
        <v>406</v>
      </c>
      <c r="B16" s="99">
        <v>30</v>
      </c>
      <c r="C16" s="100">
        <f t="shared" si="0"/>
        <v>0.4</v>
      </c>
      <c r="D16" s="100">
        <f t="shared" si="1"/>
        <v>0.6</v>
      </c>
      <c r="E16" s="99">
        <v>10</v>
      </c>
      <c r="F16" s="100">
        <f t="shared" si="2"/>
        <v>0.4</v>
      </c>
      <c r="G16" s="100">
        <f t="shared" si="3"/>
        <v>0.4</v>
      </c>
      <c r="J16" s="409"/>
      <c r="K16" s="102" t="s">
        <v>406</v>
      </c>
      <c r="L16" s="168"/>
      <c r="M16" s="168"/>
      <c r="N16" s="168"/>
      <c r="O16" s="168"/>
      <c r="Q16" s="408"/>
      <c r="R16" s="408"/>
      <c r="S16" s="408"/>
    </row>
    <row r="17" spans="1:15">
      <c r="A17" s="102" t="s">
        <v>407</v>
      </c>
      <c r="B17" s="99">
        <v>30</v>
      </c>
      <c r="C17" s="100">
        <f t="shared" si="0"/>
        <v>0.6</v>
      </c>
      <c r="D17" s="100">
        <f t="shared" si="1"/>
        <v>4.9000000000000004</v>
      </c>
      <c r="E17" s="99">
        <v>10</v>
      </c>
      <c r="F17" s="100">
        <f t="shared" si="2"/>
        <v>0.6</v>
      </c>
      <c r="G17" s="100">
        <f t="shared" si="3"/>
        <v>1.1000000000000001</v>
      </c>
      <c r="J17" s="409"/>
      <c r="K17" s="102" t="s">
        <v>407</v>
      </c>
      <c r="L17" s="168">
        <v>0.6</v>
      </c>
      <c r="M17" s="168">
        <v>4.9000000000000004</v>
      </c>
      <c r="N17" s="168">
        <v>0.6</v>
      </c>
      <c r="O17" s="168">
        <v>1.1000000000000001</v>
      </c>
    </row>
    <row r="18" spans="1:15">
      <c r="A18" s="102" t="s">
        <v>408</v>
      </c>
      <c r="B18" s="99">
        <v>30</v>
      </c>
      <c r="C18" s="100">
        <f t="shared" si="0"/>
        <v>0.89999999999999991</v>
      </c>
      <c r="D18" s="100">
        <f t="shared" si="1"/>
        <v>4.7</v>
      </c>
      <c r="E18" s="99">
        <v>10</v>
      </c>
      <c r="F18" s="100">
        <f t="shared" si="2"/>
        <v>0.89999999999999991</v>
      </c>
      <c r="G18" s="100">
        <f t="shared" si="3"/>
        <v>1.7</v>
      </c>
      <c r="J18" s="409"/>
      <c r="K18" s="102" t="s">
        <v>408</v>
      </c>
      <c r="L18" s="100">
        <v>1.4</v>
      </c>
      <c r="M18" s="100">
        <v>4.7</v>
      </c>
      <c r="N18" s="100">
        <v>1.4</v>
      </c>
      <c r="O18" s="100">
        <v>1.7</v>
      </c>
    </row>
    <row r="19" spans="1:15">
      <c r="J19" s="409"/>
      <c r="K19" s="98" t="s">
        <v>409</v>
      </c>
      <c r="L19" s="98">
        <f>AVERAGE(L7:L18)</f>
        <v>0.55999999999999994</v>
      </c>
      <c r="M19" s="98">
        <f>MAX(M7:M18)</f>
        <v>6.2</v>
      </c>
      <c r="N19" s="98">
        <f>AVERAGE(N7:N18)</f>
        <v>0.55999999999999994</v>
      </c>
      <c r="O19" s="98">
        <f>MAX(O7:O18)</f>
        <v>1.7</v>
      </c>
    </row>
    <row r="21" spans="1:15" ht="41.45">
      <c r="J21" s="97">
        <f>+A6</f>
        <v>2022</v>
      </c>
      <c r="K21" s="97" t="s">
        <v>391</v>
      </c>
      <c r="L21" s="103" t="s">
        <v>386</v>
      </c>
      <c r="M21" s="103" t="s">
        <v>392</v>
      </c>
      <c r="N21" s="103" t="s">
        <v>389</v>
      </c>
      <c r="O21" s="103" t="s">
        <v>393</v>
      </c>
    </row>
    <row r="22" spans="1:15">
      <c r="J22" s="409" t="s">
        <v>190</v>
      </c>
      <c r="K22" s="102" t="s">
        <v>394</v>
      </c>
      <c r="L22" s="100">
        <v>0.4</v>
      </c>
      <c r="M22" s="100">
        <v>1.7</v>
      </c>
      <c r="N22" s="100">
        <v>0.4</v>
      </c>
      <c r="O22" s="100">
        <v>0.5</v>
      </c>
    </row>
    <row r="23" spans="1:15">
      <c r="J23" s="409"/>
      <c r="K23" s="102" t="s">
        <v>395</v>
      </c>
      <c r="L23" s="100">
        <v>0.4</v>
      </c>
      <c r="M23" s="100">
        <v>0.6</v>
      </c>
      <c r="N23" s="100">
        <v>0.4</v>
      </c>
      <c r="O23" s="100">
        <v>0.4</v>
      </c>
    </row>
    <row r="24" spans="1:15">
      <c r="J24" s="409"/>
      <c r="K24" s="102" t="s">
        <v>396</v>
      </c>
      <c r="L24" s="100">
        <v>0.4</v>
      </c>
      <c r="M24" s="100">
        <v>0.6</v>
      </c>
      <c r="N24" s="100">
        <v>0.4</v>
      </c>
      <c r="O24" s="100">
        <v>0.4</v>
      </c>
    </row>
    <row r="25" spans="1:15">
      <c r="J25" s="409"/>
      <c r="K25" s="102" t="s">
        <v>398</v>
      </c>
      <c r="L25" s="100">
        <v>0.4</v>
      </c>
      <c r="M25" s="100">
        <v>4.0999999999999996</v>
      </c>
      <c r="N25" s="100">
        <v>0.4</v>
      </c>
      <c r="O25" s="100">
        <v>0.4</v>
      </c>
    </row>
    <row r="26" spans="1:15">
      <c r="J26" s="409"/>
      <c r="K26" s="102" t="s">
        <v>400</v>
      </c>
      <c r="L26" s="100">
        <v>0.4</v>
      </c>
      <c r="M26" s="100">
        <v>0.6</v>
      </c>
      <c r="N26" s="100">
        <v>0.4</v>
      </c>
      <c r="O26" s="100">
        <v>0.4</v>
      </c>
    </row>
    <row r="27" spans="1:15">
      <c r="J27" s="409"/>
      <c r="K27" s="102" t="s">
        <v>401</v>
      </c>
      <c r="L27" s="162">
        <v>0.4</v>
      </c>
      <c r="M27" s="162">
        <v>0.5</v>
      </c>
      <c r="N27" s="162">
        <v>0.4</v>
      </c>
      <c r="O27" s="162">
        <v>0.4</v>
      </c>
    </row>
    <row r="28" spans="1:15">
      <c r="J28" s="409"/>
      <c r="K28" s="102" t="s">
        <v>402</v>
      </c>
      <c r="L28" s="162">
        <v>0.4</v>
      </c>
      <c r="M28" s="162">
        <v>0.6</v>
      </c>
      <c r="N28" s="162">
        <v>0.4</v>
      </c>
      <c r="O28" s="162">
        <v>0.4</v>
      </c>
    </row>
    <row r="29" spans="1:15">
      <c r="J29" s="409"/>
      <c r="K29" s="102" t="s">
        <v>404</v>
      </c>
      <c r="L29" s="162">
        <v>0.4</v>
      </c>
      <c r="M29" s="162">
        <v>0.7</v>
      </c>
      <c r="N29" s="162">
        <v>0.4</v>
      </c>
      <c r="O29" s="162">
        <v>0.4</v>
      </c>
    </row>
    <row r="30" spans="1:15">
      <c r="J30" s="409"/>
      <c r="K30" s="102" t="s">
        <v>405</v>
      </c>
      <c r="L30" s="168">
        <v>0.4</v>
      </c>
      <c r="M30" s="168">
        <v>0.7</v>
      </c>
      <c r="N30" s="168">
        <v>0.4</v>
      </c>
      <c r="O30" s="168">
        <v>0.4</v>
      </c>
    </row>
    <row r="31" spans="1:15">
      <c r="J31" s="409"/>
      <c r="K31" s="102" t="s">
        <v>406</v>
      </c>
      <c r="L31" s="168">
        <v>0.4</v>
      </c>
      <c r="M31" s="168">
        <v>0.6</v>
      </c>
      <c r="N31" s="168">
        <v>0.4</v>
      </c>
      <c r="O31" s="168">
        <v>0.4</v>
      </c>
    </row>
    <row r="32" spans="1:15">
      <c r="J32" s="409"/>
      <c r="K32" s="102" t="s">
        <v>407</v>
      </c>
      <c r="L32" s="100"/>
      <c r="M32" s="100"/>
      <c r="N32" s="100"/>
      <c r="O32" s="100"/>
    </row>
    <row r="33" spans="1:15">
      <c r="J33" s="409"/>
      <c r="K33" s="102" t="s">
        <v>408</v>
      </c>
      <c r="L33" s="100">
        <v>0.4</v>
      </c>
      <c r="M33" s="100">
        <v>0.6</v>
      </c>
      <c r="N33" s="100">
        <v>0.4</v>
      </c>
      <c r="O33" s="100">
        <v>0.4</v>
      </c>
    </row>
    <row r="34" spans="1:15">
      <c r="J34" s="409"/>
      <c r="K34" s="98" t="s">
        <v>409</v>
      </c>
      <c r="L34" s="98">
        <f>AVERAGE(L22:L33)</f>
        <v>0.39999999999999997</v>
      </c>
      <c r="M34" s="98">
        <f>MAX(M22:M33)</f>
        <v>4.0999999999999996</v>
      </c>
      <c r="N34" s="98">
        <f>AVERAGE(N22:N33)</f>
        <v>0.39999999999999997</v>
      </c>
      <c r="O34" s="98">
        <f>MAX(O22:O33)</f>
        <v>0.5</v>
      </c>
    </row>
    <row r="36" spans="1:15" ht="41.45">
      <c r="J36" s="97">
        <f>+A6</f>
        <v>2022</v>
      </c>
      <c r="K36" s="97" t="s">
        <v>391</v>
      </c>
      <c r="L36" s="103" t="s">
        <v>386</v>
      </c>
      <c r="M36" s="103" t="s">
        <v>392</v>
      </c>
      <c r="N36" s="103" t="s">
        <v>389</v>
      </c>
      <c r="O36" s="103" t="s">
        <v>393</v>
      </c>
    </row>
    <row r="37" spans="1:15">
      <c r="J37" s="409" t="s">
        <v>191</v>
      </c>
      <c r="K37" s="102" t="s">
        <v>394</v>
      </c>
      <c r="L37" s="100"/>
      <c r="M37" s="100"/>
      <c r="N37" s="100"/>
      <c r="O37" s="100"/>
    </row>
    <row r="38" spans="1:15">
      <c r="J38" s="409"/>
      <c r="K38" s="102" t="s">
        <v>395</v>
      </c>
      <c r="L38" s="100"/>
      <c r="M38" s="100"/>
      <c r="N38" s="100"/>
      <c r="O38" s="100"/>
    </row>
    <row r="39" spans="1:15">
      <c r="J39" s="409"/>
      <c r="K39" s="102" t="s">
        <v>396</v>
      </c>
      <c r="L39" s="100"/>
      <c r="M39" s="100"/>
      <c r="N39" s="100"/>
      <c r="O39" s="100"/>
    </row>
    <row r="40" spans="1:15">
      <c r="J40" s="409"/>
      <c r="K40" s="102" t="s">
        <v>398</v>
      </c>
      <c r="L40" s="100"/>
      <c r="M40" s="100"/>
      <c r="N40" s="100"/>
      <c r="O40" s="100"/>
    </row>
    <row r="41" spans="1:15">
      <c r="J41" s="409"/>
      <c r="K41" s="102" t="s">
        <v>400</v>
      </c>
      <c r="L41" s="100"/>
      <c r="M41" s="100"/>
      <c r="N41" s="100"/>
      <c r="O41" s="100"/>
    </row>
    <row r="42" spans="1:15">
      <c r="J42" s="409"/>
      <c r="K42" s="102" t="s">
        <v>401</v>
      </c>
      <c r="L42" s="100"/>
      <c r="M42" s="100"/>
      <c r="N42" s="100"/>
      <c r="O42" s="100"/>
    </row>
    <row r="43" spans="1:15">
      <c r="J43" s="409"/>
      <c r="K43" s="102" t="s">
        <v>402</v>
      </c>
      <c r="L43" s="100"/>
      <c r="M43" s="100"/>
      <c r="N43" s="100"/>
      <c r="O43" s="100"/>
    </row>
    <row r="44" spans="1:15">
      <c r="J44" s="409"/>
      <c r="K44" s="102" t="s">
        <v>404</v>
      </c>
      <c r="L44" s="100"/>
      <c r="M44" s="100"/>
      <c r="N44" s="100"/>
      <c r="O44" s="100"/>
    </row>
    <row r="45" spans="1:15">
      <c r="J45" s="409"/>
      <c r="K45" s="102" t="s">
        <v>405</v>
      </c>
      <c r="L45" s="100"/>
      <c r="M45" s="100"/>
      <c r="N45" s="100"/>
      <c r="O45" s="100"/>
    </row>
    <row r="46" spans="1:15">
      <c r="J46" s="409"/>
      <c r="K46" s="102" t="s">
        <v>406</v>
      </c>
      <c r="L46" s="100"/>
      <c r="M46" s="100"/>
      <c r="N46" s="100"/>
      <c r="O46" s="100"/>
    </row>
    <row r="47" spans="1:15">
      <c r="J47" s="409"/>
      <c r="K47" s="102" t="s">
        <v>407</v>
      </c>
      <c r="L47" s="100"/>
      <c r="M47" s="100"/>
      <c r="N47" s="100"/>
      <c r="O47" s="100"/>
    </row>
    <row r="48" spans="1:15">
      <c r="A48" s="421" t="s">
        <v>304</v>
      </c>
      <c r="B48" s="422"/>
      <c r="C48" s="422"/>
      <c r="D48" s="422"/>
      <c r="E48" s="422"/>
      <c r="F48" s="422"/>
      <c r="G48" s="423"/>
      <c r="J48" s="409"/>
      <c r="K48" s="102" t="s">
        <v>408</v>
      </c>
      <c r="L48" s="100"/>
      <c r="M48" s="100"/>
      <c r="N48" s="100"/>
      <c r="O48" s="100"/>
    </row>
    <row r="49" spans="1:15">
      <c r="A49" s="412"/>
      <c r="B49" s="413"/>
      <c r="C49" s="413"/>
      <c r="D49" s="413"/>
      <c r="E49" s="413"/>
      <c r="F49" s="413"/>
      <c r="G49" s="414"/>
      <c r="J49" s="409"/>
      <c r="K49" s="98" t="s">
        <v>409</v>
      </c>
      <c r="L49" s="98" t="e">
        <f>AVERAGE(L37:L48)</f>
        <v>#DIV/0!</v>
      </c>
      <c r="M49" s="98">
        <f>MAX(M37:M48)</f>
        <v>0</v>
      </c>
      <c r="N49" s="98" t="e">
        <f>AVERAGE(N37:N48)</f>
        <v>#DIV/0!</v>
      </c>
      <c r="O49" s="98">
        <f>MAX(O37:O48)</f>
        <v>0</v>
      </c>
    </row>
    <row r="50" spans="1:15">
      <c r="A50" s="415"/>
      <c r="B50" s="416"/>
      <c r="C50" s="416"/>
      <c r="D50" s="416"/>
      <c r="E50" s="416"/>
      <c r="F50" s="416"/>
      <c r="G50" s="417"/>
    </row>
    <row r="51" spans="1:15" ht="41.45">
      <c r="A51" s="415"/>
      <c r="B51" s="416"/>
      <c r="C51" s="416"/>
      <c r="D51" s="416"/>
      <c r="E51" s="416"/>
      <c r="F51" s="416"/>
      <c r="G51" s="417"/>
      <c r="J51" s="97">
        <f>+A6</f>
        <v>2022</v>
      </c>
      <c r="K51" s="97" t="s">
        <v>391</v>
      </c>
      <c r="L51" s="103" t="s">
        <v>386</v>
      </c>
      <c r="M51" s="103" t="s">
        <v>392</v>
      </c>
      <c r="N51" s="103" t="s">
        <v>389</v>
      </c>
      <c r="O51" s="103" t="s">
        <v>393</v>
      </c>
    </row>
    <row r="52" spans="1:15">
      <c r="A52" s="418"/>
      <c r="B52" s="419"/>
      <c r="C52" s="419"/>
      <c r="D52" s="419"/>
      <c r="E52" s="419"/>
      <c r="F52" s="419"/>
      <c r="G52" s="420"/>
      <c r="J52" s="409" t="s">
        <v>192</v>
      </c>
      <c r="K52" s="102" t="s">
        <v>394</v>
      </c>
      <c r="L52" s="100"/>
      <c r="M52" s="100"/>
      <c r="N52" s="100"/>
      <c r="O52" s="100"/>
    </row>
    <row r="53" spans="1:15">
      <c r="J53" s="409"/>
      <c r="K53" s="102" t="s">
        <v>395</v>
      </c>
      <c r="L53" s="100"/>
      <c r="M53" s="100"/>
      <c r="N53" s="100"/>
      <c r="O53" s="100"/>
    </row>
    <row r="54" spans="1:15">
      <c r="J54" s="409"/>
      <c r="K54" s="102" t="s">
        <v>396</v>
      </c>
      <c r="L54" s="100"/>
      <c r="M54" s="100"/>
      <c r="N54" s="100"/>
      <c r="O54" s="100"/>
    </row>
    <row r="55" spans="1:15">
      <c r="J55" s="409"/>
      <c r="K55" s="102" t="s">
        <v>398</v>
      </c>
      <c r="L55" s="100"/>
      <c r="M55" s="100"/>
      <c r="N55" s="100"/>
      <c r="O55" s="100"/>
    </row>
    <row r="56" spans="1:15">
      <c r="J56" s="409"/>
      <c r="K56" s="102" t="s">
        <v>400</v>
      </c>
      <c r="L56" s="100"/>
      <c r="M56" s="100"/>
      <c r="N56" s="100"/>
      <c r="O56" s="100"/>
    </row>
    <row r="57" spans="1:15">
      <c r="J57" s="409"/>
      <c r="K57" s="102" t="s">
        <v>401</v>
      </c>
      <c r="L57" s="100"/>
      <c r="M57" s="100"/>
      <c r="N57" s="100"/>
      <c r="O57" s="100"/>
    </row>
    <row r="58" spans="1:15">
      <c r="J58" s="409"/>
      <c r="K58" s="102" t="s">
        <v>402</v>
      </c>
      <c r="L58" s="100"/>
      <c r="M58" s="100"/>
      <c r="N58" s="100"/>
      <c r="O58" s="100"/>
    </row>
    <row r="59" spans="1:15">
      <c r="J59" s="409"/>
      <c r="K59" s="102" t="s">
        <v>404</v>
      </c>
      <c r="L59" s="100"/>
      <c r="M59" s="100"/>
      <c r="N59" s="100"/>
      <c r="O59" s="100"/>
    </row>
    <row r="60" spans="1:15">
      <c r="J60" s="409"/>
      <c r="K60" s="102" t="s">
        <v>405</v>
      </c>
      <c r="L60" s="100"/>
      <c r="M60" s="100"/>
      <c r="N60" s="100"/>
      <c r="O60" s="100"/>
    </row>
    <row r="61" spans="1:15">
      <c r="J61" s="409"/>
      <c r="K61" s="102" t="s">
        <v>406</v>
      </c>
      <c r="L61" s="100"/>
      <c r="M61" s="100"/>
      <c r="N61" s="100"/>
      <c r="O61" s="100"/>
    </row>
    <row r="62" spans="1:15">
      <c r="J62" s="409"/>
      <c r="K62" s="102" t="s">
        <v>407</v>
      </c>
      <c r="L62" s="100"/>
      <c r="M62" s="100"/>
      <c r="N62" s="100"/>
      <c r="O62" s="100"/>
    </row>
    <row r="63" spans="1:15">
      <c r="J63" s="409"/>
      <c r="K63" s="102" t="s">
        <v>408</v>
      </c>
      <c r="L63" s="100"/>
      <c r="M63" s="100"/>
      <c r="N63" s="100"/>
      <c r="O63" s="100"/>
    </row>
    <row r="64" spans="1:15">
      <c r="J64" s="409"/>
      <c r="K64" s="98" t="s">
        <v>409</v>
      </c>
      <c r="L64" s="98" t="e">
        <f>AVERAGE(L52:L63)</f>
        <v>#DIV/0!</v>
      </c>
      <c r="M64" s="98">
        <f>MAX(M52:M63)</f>
        <v>0</v>
      </c>
      <c r="N64" s="98" t="e">
        <f>AVERAGE(N52:N63)</f>
        <v>#DIV/0!</v>
      </c>
      <c r="O64" s="98">
        <f>MAX(O52:O63)</f>
        <v>0</v>
      </c>
    </row>
    <row r="66" spans="10:15" ht="41.45">
      <c r="J66" s="97">
        <f>+A6</f>
        <v>2022</v>
      </c>
      <c r="K66" s="97" t="s">
        <v>391</v>
      </c>
      <c r="L66" s="103" t="s">
        <v>386</v>
      </c>
      <c r="M66" s="103" t="s">
        <v>392</v>
      </c>
      <c r="N66" s="103" t="s">
        <v>389</v>
      </c>
      <c r="O66" s="103" t="s">
        <v>393</v>
      </c>
    </row>
    <row r="67" spans="10:15">
      <c r="J67" s="409" t="s">
        <v>193</v>
      </c>
      <c r="K67" s="102" t="s">
        <v>394</v>
      </c>
      <c r="L67" s="100"/>
      <c r="M67" s="100"/>
      <c r="N67" s="100"/>
      <c r="O67" s="100"/>
    </row>
    <row r="68" spans="10:15">
      <c r="J68" s="409"/>
      <c r="K68" s="102" t="s">
        <v>395</v>
      </c>
      <c r="L68" s="100"/>
      <c r="M68" s="100"/>
      <c r="N68" s="100"/>
      <c r="O68" s="100"/>
    </row>
    <row r="69" spans="10:15">
      <c r="J69" s="409"/>
      <c r="K69" s="102" t="s">
        <v>396</v>
      </c>
      <c r="L69" s="100"/>
      <c r="M69" s="100"/>
      <c r="N69" s="100"/>
      <c r="O69" s="100"/>
    </row>
    <row r="70" spans="10:15">
      <c r="J70" s="409"/>
      <c r="K70" s="102" t="s">
        <v>398</v>
      </c>
      <c r="L70" s="100"/>
      <c r="M70" s="100"/>
      <c r="N70" s="100"/>
      <c r="O70" s="100"/>
    </row>
    <row r="71" spans="10:15">
      <c r="J71" s="409"/>
      <c r="K71" s="102" t="s">
        <v>400</v>
      </c>
      <c r="L71" s="100"/>
      <c r="M71" s="100"/>
      <c r="N71" s="100"/>
      <c r="O71" s="100"/>
    </row>
    <row r="72" spans="10:15">
      <c r="J72" s="409"/>
      <c r="K72" s="102" t="s">
        <v>401</v>
      </c>
      <c r="L72" s="100"/>
      <c r="M72" s="100"/>
      <c r="N72" s="100"/>
      <c r="O72" s="100"/>
    </row>
    <row r="73" spans="10:15">
      <c r="J73" s="409"/>
      <c r="K73" s="102" t="s">
        <v>402</v>
      </c>
      <c r="L73" s="100"/>
      <c r="M73" s="100"/>
      <c r="N73" s="100"/>
      <c r="O73" s="100"/>
    </row>
    <row r="74" spans="10:15">
      <c r="J74" s="409"/>
      <c r="K74" s="102" t="s">
        <v>404</v>
      </c>
      <c r="L74" s="100"/>
      <c r="M74" s="100"/>
      <c r="N74" s="100"/>
      <c r="O74" s="100"/>
    </row>
    <row r="75" spans="10:15">
      <c r="J75" s="409"/>
      <c r="K75" s="102" t="s">
        <v>405</v>
      </c>
      <c r="L75" s="100"/>
      <c r="M75" s="100"/>
      <c r="N75" s="100"/>
      <c r="O75" s="100"/>
    </row>
    <row r="76" spans="10:15">
      <c r="J76" s="409"/>
      <c r="K76" s="102" t="s">
        <v>406</v>
      </c>
      <c r="L76" s="100"/>
      <c r="M76" s="100"/>
      <c r="N76" s="100"/>
      <c r="O76" s="100"/>
    </row>
    <row r="77" spans="10:15">
      <c r="J77" s="409"/>
      <c r="K77" s="102" t="s">
        <v>407</v>
      </c>
      <c r="L77" s="100"/>
      <c r="M77" s="100"/>
      <c r="N77" s="100"/>
      <c r="O77" s="100"/>
    </row>
    <row r="78" spans="10:15">
      <c r="J78" s="409"/>
      <c r="K78" s="102" t="s">
        <v>408</v>
      </c>
      <c r="L78" s="100"/>
      <c r="M78" s="100"/>
      <c r="N78" s="100"/>
      <c r="O78" s="100"/>
    </row>
    <row r="79" spans="10:15">
      <c r="J79" s="409"/>
      <c r="K79" s="98" t="s">
        <v>409</v>
      </c>
      <c r="L79" s="98" t="e">
        <f>AVERAGE(L67:L78)</f>
        <v>#DIV/0!</v>
      </c>
      <c r="M79" s="98">
        <f>MAX(M67:M78)</f>
        <v>0</v>
      </c>
      <c r="N79" s="98" t="e">
        <f>AVERAGE(N67:N78)</f>
        <v>#DIV/0!</v>
      </c>
      <c r="O79" s="9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showGridLines="0" topLeftCell="F16" zoomScaleNormal="100" workbookViewId="0">
      <selection activeCell="M18" sqref="M18:Q18"/>
    </sheetView>
  </sheetViews>
  <sheetFormatPr defaultRowHeight="13.9"/>
  <cols>
    <col min="1" max="1" width="14" style="3" customWidth="1"/>
    <col min="2" max="2" width="12.7109375" style="69" customWidth="1"/>
    <col min="3" max="3" width="15.28515625" style="69" customWidth="1"/>
    <col min="4" max="4" width="17.7109375" style="69" customWidth="1"/>
    <col min="5" max="5" width="14.7109375" style="69" customWidth="1"/>
    <col min="6" max="6" width="11.5703125" style="69" customWidth="1"/>
    <col min="7" max="7" width="15" style="69" customWidth="1"/>
    <col min="8" max="8" width="14.7109375" style="69" customWidth="1"/>
    <col min="9"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
      <c r="A1" s="128" t="str">
        <f>+'Cover Page'!$B$29</f>
        <v>Annual Performance Report 2022</v>
      </c>
      <c r="B1" s="128"/>
      <c r="C1" s="128"/>
      <c r="D1" s="128"/>
      <c r="E1" s="128" t="str">
        <f>+'Cover Page'!$B$33</f>
        <v>SUEZ R&amp;R Wilton 11 EfW</v>
      </c>
    </row>
    <row r="3" spans="1:21" ht="14.45">
      <c r="A3" s="96" t="s">
        <v>422</v>
      </c>
      <c r="E3" s="115" t="s">
        <v>378</v>
      </c>
      <c r="H3" s="119" t="s">
        <v>423</v>
      </c>
      <c r="J3" s="8" t="str">
        <f>+A3</f>
        <v>Monitoring of Carbon Monoxide (10-minute avg)</v>
      </c>
      <c r="L3" s="8"/>
      <c r="O3" s="8" t="s">
        <v>380</v>
      </c>
      <c r="Q3" s="116" t="s">
        <v>3</v>
      </c>
      <c r="S3" s="118" t="s">
        <v>3</v>
      </c>
      <c r="T3" s="112"/>
      <c r="U3" s="112"/>
    </row>
    <row r="4" spans="1:21" ht="13.9" customHeight="1">
      <c r="S4" s="400" t="s">
        <v>424</v>
      </c>
      <c r="T4" s="400"/>
      <c r="U4" s="400"/>
    </row>
    <row r="5" spans="1:21" ht="16.149999999999999">
      <c r="A5" s="104" t="s">
        <v>382</v>
      </c>
      <c r="B5" s="411" t="s">
        <v>425</v>
      </c>
      <c r="C5" s="411"/>
      <c r="D5" s="411"/>
      <c r="E5" s="411"/>
      <c r="F5" s="411" t="s">
        <v>384</v>
      </c>
      <c r="G5" s="411"/>
      <c r="H5" s="411"/>
      <c r="K5" s="410"/>
      <c r="L5" s="410"/>
      <c r="M5" s="410"/>
      <c r="N5" s="410"/>
      <c r="O5" s="410"/>
      <c r="P5" s="410"/>
      <c r="Q5" s="410"/>
      <c r="S5" s="400"/>
      <c r="T5" s="400"/>
      <c r="U5" s="400"/>
    </row>
    <row r="6" spans="1:21" s="94" customFormat="1" ht="37.5" customHeight="1">
      <c r="A6" s="101">
        <f>+'Cover Page'!C39</f>
        <v>2022</v>
      </c>
      <c r="B6" s="90" t="s">
        <v>426</v>
      </c>
      <c r="C6" s="90" t="s">
        <v>427</v>
      </c>
      <c r="D6" s="90" t="s">
        <v>428</v>
      </c>
      <c r="E6" s="90" t="s">
        <v>429</v>
      </c>
      <c r="F6" s="90" t="s">
        <v>430</v>
      </c>
      <c r="G6" s="90" t="s">
        <v>389</v>
      </c>
      <c r="H6" s="90" t="s">
        <v>390</v>
      </c>
      <c r="I6" s="95"/>
      <c r="K6" s="97">
        <f>+A6</f>
        <v>2022</v>
      </c>
      <c r="L6" s="97" t="s">
        <v>391</v>
      </c>
      <c r="M6" s="90" t="s">
        <v>427</v>
      </c>
      <c r="N6" s="90" t="s">
        <v>428</v>
      </c>
      <c r="O6" s="90" t="s">
        <v>429</v>
      </c>
      <c r="P6" s="103" t="s">
        <v>389</v>
      </c>
      <c r="Q6" s="103" t="s">
        <v>393</v>
      </c>
      <c r="S6" s="400"/>
      <c r="T6" s="400"/>
      <c r="U6" s="400"/>
    </row>
    <row r="7" spans="1:21">
      <c r="A7" s="102" t="s">
        <v>394</v>
      </c>
      <c r="B7" s="105">
        <v>150</v>
      </c>
      <c r="C7" s="100">
        <f>MAX(M7,M22)</f>
        <v>8</v>
      </c>
      <c r="D7" s="100">
        <f>AVERAGE(N7,N22)</f>
        <v>7.5</v>
      </c>
      <c r="E7" s="100">
        <f>MAX(O7,O22)</f>
        <v>1600</v>
      </c>
      <c r="F7" s="105">
        <v>50</v>
      </c>
      <c r="G7" s="100">
        <f>AVERAGE(P7,P22)</f>
        <v>7.5</v>
      </c>
      <c r="H7" s="100">
        <f>MAX(Q7,Q22)</f>
        <v>42</v>
      </c>
      <c r="K7" s="409" t="s">
        <v>189</v>
      </c>
      <c r="L7" s="102" t="s">
        <v>394</v>
      </c>
      <c r="M7" s="100">
        <v>7</v>
      </c>
      <c r="N7" s="100">
        <v>8</v>
      </c>
      <c r="O7" s="100">
        <v>44</v>
      </c>
      <c r="P7" s="100">
        <v>8</v>
      </c>
      <c r="Q7" s="100">
        <v>9</v>
      </c>
      <c r="S7" s="400"/>
      <c r="T7" s="400"/>
      <c r="U7" s="400"/>
    </row>
    <row r="8" spans="1:21">
      <c r="A8" s="102" t="s">
        <v>395</v>
      </c>
      <c r="B8" s="99">
        <f>+B7</f>
        <v>150</v>
      </c>
      <c r="C8" s="100">
        <f t="shared" ref="C8:C18" si="0">MAX(M8,M23)</f>
        <v>11</v>
      </c>
      <c r="D8" s="100">
        <f t="shared" ref="D8:D18" si="1">AVERAGE(N8,N23)</f>
        <v>7</v>
      </c>
      <c r="E8" s="100">
        <f t="shared" ref="E8:E18" si="2">MAX(O8,O23)</f>
        <v>208</v>
      </c>
      <c r="F8" s="99">
        <f>+F7</f>
        <v>50</v>
      </c>
      <c r="G8" s="100">
        <f t="shared" ref="G8:G18" si="3">AVERAGE(P8,P23)</f>
        <v>7</v>
      </c>
      <c r="H8" s="100">
        <f t="shared" ref="H8:H18" si="4">MAX(Q8,Q23)</f>
        <v>10</v>
      </c>
      <c r="K8" s="409"/>
      <c r="L8" s="102" t="s">
        <v>395</v>
      </c>
      <c r="M8" s="100">
        <v>7</v>
      </c>
      <c r="N8" s="100">
        <v>6</v>
      </c>
      <c r="O8" s="100">
        <v>208</v>
      </c>
      <c r="P8" s="100">
        <v>6</v>
      </c>
      <c r="Q8" s="100">
        <v>7</v>
      </c>
      <c r="S8" s="400"/>
      <c r="T8" s="400"/>
      <c r="U8" s="400"/>
    </row>
    <row r="9" spans="1:21">
      <c r="A9" s="102" t="s">
        <v>396</v>
      </c>
      <c r="B9" s="99">
        <f t="shared" ref="B9:B18" si="5">+B8</f>
        <v>150</v>
      </c>
      <c r="C9" s="100">
        <f t="shared" si="0"/>
        <v>12</v>
      </c>
      <c r="D9" s="100">
        <f t="shared" si="1"/>
        <v>6.5</v>
      </c>
      <c r="E9" s="100">
        <f t="shared" si="2"/>
        <v>167</v>
      </c>
      <c r="F9" s="99">
        <f t="shared" ref="F9:F18" si="6">+F8</f>
        <v>50</v>
      </c>
      <c r="G9" s="100">
        <f t="shared" si="3"/>
        <v>6.5</v>
      </c>
      <c r="H9" s="100">
        <f t="shared" si="4"/>
        <v>9</v>
      </c>
      <c r="K9" s="409"/>
      <c r="L9" s="102" t="s">
        <v>396</v>
      </c>
      <c r="M9" s="100">
        <v>12</v>
      </c>
      <c r="N9" s="100">
        <v>8</v>
      </c>
      <c r="O9" s="100">
        <v>167</v>
      </c>
      <c r="P9" s="100">
        <v>8</v>
      </c>
      <c r="Q9" s="100">
        <v>9</v>
      </c>
      <c r="S9" s="117" t="s">
        <v>431</v>
      </c>
    </row>
    <row r="10" spans="1:21">
      <c r="A10" s="102" t="s">
        <v>398</v>
      </c>
      <c r="B10" s="99">
        <f t="shared" si="5"/>
        <v>150</v>
      </c>
      <c r="C10" s="100">
        <f t="shared" si="0"/>
        <v>13</v>
      </c>
      <c r="D10" s="100">
        <f t="shared" si="1"/>
        <v>7</v>
      </c>
      <c r="E10" s="100">
        <f t="shared" si="2"/>
        <v>105</v>
      </c>
      <c r="F10" s="99">
        <f t="shared" si="6"/>
        <v>50</v>
      </c>
      <c r="G10" s="100">
        <f t="shared" si="3"/>
        <v>7</v>
      </c>
      <c r="H10" s="100">
        <f t="shared" si="4"/>
        <v>10</v>
      </c>
      <c r="K10" s="409"/>
      <c r="L10" s="102" t="s">
        <v>398</v>
      </c>
      <c r="M10" s="100">
        <v>13</v>
      </c>
      <c r="N10" s="100">
        <v>9</v>
      </c>
      <c r="O10" s="100">
        <v>105</v>
      </c>
      <c r="P10" s="100">
        <v>9</v>
      </c>
      <c r="Q10" s="100">
        <v>10</v>
      </c>
      <c r="S10" s="408" t="s">
        <v>432</v>
      </c>
      <c r="T10" s="408"/>
      <c r="U10" s="408"/>
    </row>
    <row r="11" spans="1:21">
      <c r="A11" s="102" t="s">
        <v>400</v>
      </c>
      <c r="B11" s="99">
        <f t="shared" si="5"/>
        <v>150</v>
      </c>
      <c r="C11" s="100">
        <f t="shared" si="0"/>
        <v>9</v>
      </c>
      <c r="D11" s="100">
        <f t="shared" si="1"/>
        <v>7</v>
      </c>
      <c r="E11" s="100">
        <f t="shared" si="2"/>
        <v>166</v>
      </c>
      <c r="F11" s="99">
        <f t="shared" si="6"/>
        <v>50</v>
      </c>
      <c r="G11" s="100">
        <f t="shared" si="3"/>
        <v>7</v>
      </c>
      <c r="H11" s="100">
        <f t="shared" si="4"/>
        <v>11</v>
      </c>
      <c r="K11" s="409"/>
      <c r="L11" s="102" t="s">
        <v>400</v>
      </c>
      <c r="M11" s="100">
        <v>9</v>
      </c>
      <c r="N11" s="100">
        <v>9</v>
      </c>
      <c r="O11" s="100">
        <v>166</v>
      </c>
      <c r="P11" s="100">
        <v>9</v>
      </c>
      <c r="Q11" s="100">
        <v>11</v>
      </c>
      <c r="S11" s="408"/>
      <c r="T11" s="408"/>
      <c r="U11" s="408"/>
    </row>
    <row r="12" spans="1:21">
      <c r="A12" s="102" t="s">
        <v>401</v>
      </c>
      <c r="B12" s="99">
        <f t="shared" si="5"/>
        <v>150</v>
      </c>
      <c r="C12" s="100">
        <f t="shared" si="0"/>
        <v>14</v>
      </c>
      <c r="D12" s="100">
        <f t="shared" si="1"/>
        <v>7</v>
      </c>
      <c r="E12" s="100">
        <f t="shared" si="2"/>
        <v>157</v>
      </c>
      <c r="F12" s="99">
        <f t="shared" si="6"/>
        <v>50</v>
      </c>
      <c r="G12" s="100">
        <f t="shared" si="3"/>
        <v>7</v>
      </c>
      <c r="H12" s="100">
        <f t="shared" si="4"/>
        <v>11</v>
      </c>
      <c r="K12" s="409"/>
      <c r="L12" s="102" t="s">
        <v>401</v>
      </c>
      <c r="M12" s="162">
        <v>9</v>
      </c>
      <c r="N12" s="162">
        <v>5</v>
      </c>
      <c r="O12" s="162">
        <v>108</v>
      </c>
      <c r="P12" s="162">
        <v>5</v>
      </c>
      <c r="Q12" s="162">
        <v>6</v>
      </c>
      <c r="S12" s="408"/>
      <c r="T12" s="408"/>
      <c r="U12" s="408"/>
    </row>
    <row r="13" spans="1:21">
      <c r="A13" s="102" t="s">
        <v>402</v>
      </c>
      <c r="B13" s="99">
        <f t="shared" si="5"/>
        <v>150</v>
      </c>
      <c r="C13" s="100">
        <f t="shared" si="0"/>
        <v>9</v>
      </c>
      <c r="D13" s="100">
        <f t="shared" si="1"/>
        <v>7</v>
      </c>
      <c r="E13" s="100">
        <f t="shared" si="2"/>
        <v>993</v>
      </c>
      <c r="F13" s="99">
        <f t="shared" si="6"/>
        <v>50</v>
      </c>
      <c r="G13" s="100">
        <f t="shared" si="3"/>
        <v>7</v>
      </c>
      <c r="H13" s="100">
        <f t="shared" si="4"/>
        <v>18</v>
      </c>
      <c r="K13" s="409"/>
      <c r="L13" s="102" t="s">
        <v>402</v>
      </c>
      <c r="M13" s="162">
        <v>9</v>
      </c>
      <c r="N13" s="162">
        <v>9</v>
      </c>
      <c r="O13" s="162">
        <v>993</v>
      </c>
      <c r="P13" s="162">
        <v>9</v>
      </c>
      <c r="Q13" s="162">
        <v>18</v>
      </c>
      <c r="S13" s="408" t="s">
        <v>433</v>
      </c>
      <c r="T13" s="408"/>
      <c r="U13" s="408"/>
    </row>
    <row r="14" spans="1:21">
      <c r="A14" s="102" t="s">
        <v>404</v>
      </c>
      <c r="B14" s="99">
        <f t="shared" si="5"/>
        <v>150</v>
      </c>
      <c r="C14" s="100">
        <f t="shared" si="0"/>
        <v>15</v>
      </c>
      <c r="D14" s="100">
        <f t="shared" si="1"/>
        <v>10</v>
      </c>
      <c r="E14" s="100">
        <f t="shared" si="2"/>
        <v>2903</v>
      </c>
      <c r="F14" s="99">
        <f t="shared" si="6"/>
        <v>50</v>
      </c>
      <c r="G14" s="100">
        <f t="shared" si="3"/>
        <v>10</v>
      </c>
      <c r="H14" s="100">
        <f t="shared" si="4"/>
        <v>14</v>
      </c>
      <c r="K14" s="409"/>
      <c r="L14" s="102" t="s">
        <v>404</v>
      </c>
      <c r="M14" s="162">
        <v>15</v>
      </c>
      <c r="N14" s="162">
        <v>15</v>
      </c>
      <c r="O14" s="162">
        <v>2903</v>
      </c>
      <c r="P14" s="162">
        <v>15</v>
      </c>
      <c r="Q14" s="162">
        <v>14</v>
      </c>
      <c r="S14" s="408"/>
      <c r="T14" s="408"/>
      <c r="U14" s="408"/>
    </row>
    <row r="15" spans="1:21">
      <c r="A15" s="102" t="s">
        <v>405</v>
      </c>
      <c r="B15" s="99">
        <f t="shared" si="5"/>
        <v>150</v>
      </c>
      <c r="C15" s="100">
        <f t="shared" si="0"/>
        <v>5</v>
      </c>
      <c r="D15" s="100">
        <f t="shared" si="1"/>
        <v>5</v>
      </c>
      <c r="E15" s="100">
        <f t="shared" si="2"/>
        <v>285</v>
      </c>
      <c r="F15" s="99">
        <f t="shared" si="6"/>
        <v>50</v>
      </c>
      <c r="G15" s="100">
        <f t="shared" si="3"/>
        <v>5</v>
      </c>
      <c r="H15" s="100">
        <f t="shared" si="4"/>
        <v>7</v>
      </c>
      <c r="K15" s="409"/>
      <c r="L15" s="102" t="s">
        <v>405</v>
      </c>
      <c r="M15" s="168"/>
      <c r="N15" s="168"/>
      <c r="O15" s="168"/>
      <c r="P15" s="168"/>
      <c r="Q15" s="168"/>
      <c r="S15" s="408"/>
      <c r="T15" s="408"/>
      <c r="U15" s="408"/>
    </row>
    <row r="16" spans="1:21">
      <c r="A16" s="102" t="s">
        <v>406</v>
      </c>
      <c r="B16" s="99">
        <f t="shared" si="5"/>
        <v>150</v>
      </c>
      <c r="C16" s="100">
        <f t="shared" si="0"/>
        <v>5</v>
      </c>
      <c r="D16" s="100">
        <f t="shared" si="1"/>
        <v>5</v>
      </c>
      <c r="E16" s="100">
        <f t="shared" si="2"/>
        <v>200</v>
      </c>
      <c r="F16" s="99">
        <f t="shared" si="6"/>
        <v>50</v>
      </c>
      <c r="G16" s="100">
        <f t="shared" si="3"/>
        <v>5</v>
      </c>
      <c r="H16" s="100">
        <f t="shared" si="4"/>
        <v>7</v>
      </c>
      <c r="K16" s="409"/>
      <c r="L16" s="102" t="s">
        <v>406</v>
      </c>
      <c r="M16" s="168"/>
      <c r="N16" s="168"/>
      <c r="O16" s="168"/>
      <c r="P16" s="168"/>
      <c r="Q16" s="168"/>
      <c r="S16" s="408"/>
      <c r="T16" s="408"/>
      <c r="U16" s="408"/>
    </row>
    <row r="17" spans="1:17">
      <c r="A17" s="102" t="s">
        <v>407</v>
      </c>
      <c r="B17" s="99">
        <f t="shared" si="5"/>
        <v>150</v>
      </c>
      <c r="C17" s="100">
        <f t="shared" si="0"/>
        <v>11</v>
      </c>
      <c r="D17" s="100">
        <f t="shared" si="1"/>
        <v>11</v>
      </c>
      <c r="E17" s="100">
        <f t="shared" si="2"/>
        <v>390</v>
      </c>
      <c r="F17" s="99">
        <f t="shared" si="6"/>
        <v>50</v>
      </c>
      <c r="G17" s="100">
        <f t="shared" si="3"/>
        <v>11</v>
      </c>
      <c r="H17" s="100">
        <f t="shared" si="4"/>
        <v>12</v>
      </c>
      <c r="K17" s="409"/>
      <c r="L17" s="102" t="s">
        <v>407</v>
      </c>
      <c r="M17" s="168">
        <v>11</v>
      </c>
      <c r="N17" s="168">
        <v>11</v>
      </c>
      <c r="O17" s="168">
        <v>390</v>
      </c>
      <c r="P17" s="168">
        <v>11</v>
      </c>
      <c r="Q17" s="168">
        <v>12</v>
      </c>
    </row>
    <row r="18" spans="1:17">
      <c r="A18" s="102" t="s">
        <v>408</v>
      </c>
      <c r="B18" s="99">
        <f t="shared" si="5"/>
        <v>150</v>
      </c>
      <c r="C18" s="100">
        <f t="shared" si="0"/>
        <v>28</v>
      </c>
      <c r="D18" s="100">
        <f t="shared" si="1"/>
        <v>7</v>
      </c>
      <c r="E18" s="100">
        <f t="shared" si="2"/>
        <v>350</v>
      </c>
      <c r="F18" s="99">
        <f t="shared" si="6"/>
        <v>50</v>
      </c>
      <c r="G18" s="100">
        <f t="shared" si="3"/>
        <v>7</v>
      </c>
      <c r="H18" s="100">
        <f t="shared" si="4"/>
        <v>14</v>
      </c>
      <c r="K18" s="409"/>
      <c r="L18" s="102" t="s">
        <v>408</v>
      </c>
      <c r="M18" s="100">
        <v>28</v>
      </c>
      <c r="N18" s="100">
        <v>9</v>
      </c>
      <c r="O18" s="100">
        <v>350</v>
      </c>
      <c r="P18" s="100">
        <v>9</v>
      </c>
      <c r="Q18" s="100">
        <v>14</v>
      </c>
    </row>
    <row r="19" spans="1:17">
      <c r="K19" s="409"/>
      <c r="L19" s="98" t="s">
        <v>409</v>
      </c>
      <c r="M19" s="98">
        <f>AVERAGE(M7:M18)</f>
        <v>12</v>
      </c>
      <c r="N19" s="98"/>
      <c r="O19" s="98">
        <f>MAX(O7:O18)</f>
        <v>2903</v>
      </c>
      <c r="P19" s="98">
        <f>AVERAGE(P7:P18)</f>
        <v>8.9</v>
      </c>
      <c r="Q19" s="98">
        <f>MAX(Q7:Q18)</f>
        <v>18</v>
      </c>
    </row>
    <row r="21" spans="1:17" ht="27.6">
      <c r="K21" s="97">
        <f>+A6</f>
        <v>2022</v>
      </c>
      <c r="L21" s="97" t="s">
        <v>391</v>
      </c>
      <c r="M21" s="90" t="s">
        <v>427</v>
      </c>
      <c r="N21" s="90" t="s">
        <v>428</v>
      </c>
      <c r="O21" s="90" t="s">
        <v>429</v>
      </c>
      <c r="P21" s="103" t="s">
        <v>389</v>
      </c>
      <c r="Q21" s="103" t="s">
        <v>393</v>
      </c>
    </row>
    <row r="22" spans="1:17">
      <c r="K22" s="409" t="s">
        <v>190</v>
      </c>
      <c r="L22" s="102" t="s">
        <v>394</v>
      </c>
      <c r="M22" s="100">
        <v>8</v>
      </c>
      <c r="N22" s="100">
        <v>7</v>
      </c>
      <c r="O22" s="100">
        <v>1600</v>
      </c>
      <c r="P22" s="100">
        <v>7</v>
      </c>
      <c r="Q22" s="100">
        <v>42</v>
      </c>
    </row>
    <row r="23" spans="1:17">
      <c r="K23" s="409"/>
      <c r="L23" s="102" t="s">
        <v>395</v>
      </c>
      <c r="M23" s="100">
        <v>11</v>
      </c>
      <c r="N23" s="100">
        <v>8</v>
      </c>
      <c r="O23" s="100">
        <v>182</v>
      </c>
      <c r="P23" s="100">
        <v>8</v>
      </c>
      <c r="Q23" s="100">
        <v>10</v>
      </c>
    </row>
    <row r="24" spans="1:17">
      <c r="K24" s="409"/>
      <c r="L24" s="102" t="s">
        <v>396</v>
      </c>
      <c r="M24" s="100">
        <v>8</v>
      </c>
      <c r="N24" s="100">
        <v>5</v>
      </c>
      <c r="O24" s="100">
        <v>49</v>
      </c>
      <c r="P24" s="100">
        <v>5</v>
      </c>
      <c r="Q24" s="100">
        <v>6</v>
      </c>
    </row>
    <row r="25" spans="1:17">
      <c r="K25" s="409"/>
      <c r="L25" s="102" t="s">
        <v>398</v>
      </c>
      <c r="M25" s="100">
        <v>7</v>
      </c>
      <c r="N25" s="100">
        <v>5</v>
      </c>
      <c r="O25" s="100">
        <v>72</v>
      </c>
      <c r="P25" s="100">
        <v>5</v>
      </c>
      <c r="Q25" s="100">
        <v>5</v>
      </c>
    </row>
    <row r="26" spans="1:17">
      <c r="K26" s="409"/>
      <c r="L26" s="102" t="s">
        <v>400</v>
      </c>
      <c r="M26" s="100">
        <v>5</v>
      </c>
      <c r="N26" s="100">
        <v>5</v>
      </c>
      <c r="O26" s="100">
        <v>123</v>
      </c>
      <c r="P26" s="100">
        <v>5</v>
      </c>
      <c r="Q26" s="100">
        <v>6</v>
      </c>
    </row>
    <row r="27" spans="1:17">
      <c r="K27" s="409"/>
      <c r="L27" s="102" t="s">
        <v>401</v>
      </c>
      <c r="M27" s="162">
        <v>14</v>
      </c>
      <c r="N27" s="162">
        <v>9</v>
      </c>
      <c r="O27" s="162">
        <v>157</v>
      </c>
      <c r="P27" s="162">
        <v>9</v>
      </c>
      <c r="Q27" s="162">
        <v>11</v>
      </c>
    </row>
    <row r="28" spans="1:17">
      <c r="K28" s="409"/>
      <c r="L28" s="102" t="s">
        <v>402</v>
      </c>
      <c r="M28" s="162">
        <v>5</v>
      </c>
      <c r="N28" s="162">
        <v>5</v>
      </c>
      <c r="O28" s="162">
        <v>504</v>
      </c>
      <c r="P28" s="162">
        <v>5</v>
      </c>
      <c r="Q28" s="162">
        <v>9</v>
      </c>
    </row>
    <row r="29" spans="1:17">
      <c r="K29" s="409"/>
      <c r="L29" s="102" t="s">
        <v>404</v>
      </c>
      <c r="M29" s="162">
        <v>5</v>
      </c>
      <c r="N29" s="162">
        <v>5</v>
      </c>
      <c r="O29" s="162">
        <v>239</v>
      </c>
      <c r="P29" s="162">
        <v>5</v>
      </c>
      <c r="Q29" s="162">
        <v>6</v>
      </c>
    </row>
    <row r="30" spans="1:17">
      <c r="K30" s="409"/>
      <c r="L30" s="102" t="s">
        <v>405</v>
      </c>
      <c r="M30" s="168">
        <v>5</v>
      </c>
      <c r="N30" s="168">
        <v>5</v>
      </c>
      <c r="O30" s="168">
        <v>285</v>
      </c>
      <c r="P30" s="168">
        <v>5</v>
      </c>
      <c r="Q30" s="168">
        <v>7</v>
      </c>
    </row>
    <row r="31" spans="1:17">
      <c r="K31" s="409"/>
      <c r="L31" s="102" t="s">
        <v>406</v>
      </c>
      <c r="M31" s="168">
        <v>5</v>
      </c>
      <c r="N31" s="168">
        <v>5</v>
      </c>
      <c r="O31" s="168">
        <v>200</v>
      </c>
      <c r="P31" s="168">
        <v>5</v>
      </c>
      <c r="Q31" s="168">
        <v>7</v>
      </c>
    </row>
    <row r="32" spans="1:17">
      <c r="K32" s="409"/>
      <c r="L32" s="102" t="s">
        <v>407</v>
      </c>
      <c r="M32" s="168"/>
      <c r="N32" s="168"/>
      <c r="O32" s="168"/>
      <c r="P32" s="168"/>
      <c r="Q32" s="168"/>
    </row>
    <row r="33" spans="1:17">
      <c r="K33" s="409"/>
      <c r="L33" s="102" t="s">
        <v>408</v>
      </c>
      <c r="M33" s="100">
        <v>7</v>
      </c>
      <c r="N33" s="100">
        <v>5</v>
      </c>
      <c r="O33" s="100">
        <v>113</v>
      </c>
      <c r="P33" s="100">
        <v>5</v>
      </c>
      <c r="Q33" s="100">
        <v>7</v>
      </c>
    </row>
    <row r="34" spans="1:17">
      <c r="K34" s="409"/>
      <c r="L34" s="98" t="s">
        <v>409</v>
      </c>
      <c r="M34" s="98">
        <f>AVERAGE(M22:M33)</f>
        <v>7.2727272727272725</v>
      </c>
      <c r="N34" s="98"/>
      <c r="O34" s="98">
        <f>MAX(O22:O33)</f>
        <v>1600</v>
      </c>
      <c r="P34" s="98">
        <f>AVERAGE(P22:P33)</f>
        <v>5.8181818181818183</v>
      </c>
      <c r="Q34" s="98">
        <f>MAX(Q22:Q33)</f>
        <v>42</v>
      </c>
    </row>
    <row r="36" spans="1:17" ht="27.6">
      <c r="K36" s="97">
        <f>+A6</f>
        <v>2022</v>
      </c>
      <c r="L36" s="97" t="s">
        <v>391</v>
      </c>
      <c r="M36" s="90" t="s">
        <v>427</v>
      </c>
      <c r="N36" s="90" t="s">
        <v>428</v>
      </c>
      <c r="O36" s="90" t="s">
        <v>429</v>
      </c>
      <c r="P36" s="103" t="s">
        <v>389</v>
      </c>
      <c r="Q36" s="103" t="s">
        <v>393</v>
      </c>
    </row>
    <row r="37" spans="1:17">
      <c r="K37" s="409" t="s">
        <v>191</v>
      </c>
      <c r="L37" s="102" t="s">
        <v>394</v>
      </c>
      <c r="M37" s="100"/>
      <c r="N37" s="100"/>
      <c r="O37" s="100"/>
      <c r="P37" s="100"/>
      <c r="Q37" s="100"/>
    </row>
    <row r="38" spans="1:17">
      <c r="K38" s="409"/>
      <c r="L38" s="102" t="s">
        <v>395</v>
      </c>
      <c r="M38" s="100"/>
      <c r="N38" s="100"/>
      <c r="O38" s="100"/>
      <c r="P38" s="100"/>
      <c r="Q38" s="100"/>
    </row>
    <row r="39" spans="1:17">
      <c r="K39" s="409"/>
      <c r="L39" s="102" t="s">
        <v>396</v>
      </c>
      <c r="M39" s="100"/>
      <c r="N39" s="100"/>
      <c r="O39" s="100"/>
      <c r="P39" s="100"/>
      <c r="Q39" s="100"/>
    </row>
    <row r="40" spans="1:17">
      <c r="K40" s="409"/>
      <c r="L40" s="102" t="s">
        <v>398</v>
      </c>
      <c r="M40" s="100"/>
      <c r="N40" s="100"/>
      <c r="O40" s="100"/>
      <c r="P40" s="100"/>
      <c r="Q40" s="100"/>
    </row>
    <row r="41" spans="1:17">
      <c r="K41" s="409"/>
      <c r="L41" s="102" t="s">
        <v>400</v>
      </c>
      <c r="M41" s="100"/>
      <c r="N41" s="100"/>
      <c r="O41" s="100"/>
      <c r="P41" s="100"/>
      <c r="Q41" s="100"/>
    </row>
    <row r="42" spans="1:17">
      <c r="K42" s="409"/>
      <c r="L42" s="102" t="s">
        <v>401</v>
      </c>
      <c r="M42" s="100"/>
      <c r="N42" s="100"/>
      <c r="O42" s="100"/>
      <c r="P42" s="100"/>
      <c r="Q42" s="100"/>
    </row>
    <row r="43" spans="1:17">
      <c r="K43" s="409"/>
      <c r="L43" s="102" t="s">
        <v>402</v>
      </c>
      <c r="M43" s="100"/>
      <c r="N43" s="100"/>
      <c r="O43" s="100"/>
      <c r="P43" s="100"/>
      <c r="Q43" s="100"/>
    </row>
    <row r="44" spans="1:17">
      <c r="K44" s="409"/>
      <c r="L44" s="102" t="s">
        <v>404</v>
      </c>
      <c r="M44" s="100"/>
      <c r="N44" s="100"/>
      <c r="O44" s="100"/>
      <c r="P44" s="100"/>
      <c r="Q44" s="100"/>
    </row>
    <row r="45" spans="1:17">
      <c r="K45" s="409"/>
      <c r="L45" s="102" t="s">
        <v>405</v>
      </c>
      <c r="M45" s="100"/>
      <c r="N45" s="100"/>
      <c r="O45" s="100"/>
      <c r="P45" s="100"/>
      <c r="Q45" s="100"/>
    </row>
    <row r="46" spans="1:17">
      <c r="K46" s="409"/>
      <c r="L46" s="102" t="s">
        <v>406</v>
      </c>
      <c r="M46" s="100"/>
      <c r="N46" s="100"/>
      <c r="O46" s="100"/>
      <c r="P46" s="100"/>
      <c r="Q46" s="100"/>
    </row>
    <row r="47" spans="1:17">
      <c r="K47" s="409"/>
      <c r="L47" s="102" t="s">
        <v>407</v>
      </c>
      <c r="M47" s="100"/>
      <c r="N47" s="100"/>
      <c r="O47" s="100"/>
      <c r="P47" s="100"/>
      <c r="Q47" s="100"/>
    </row>
    <row r="48" spans="1:17">
      <c r="A48" s="421" t="s">
        <v>304</v>
      </c>
      <c r="B48" s="422"/>
      <c r="C48" s="422"/>
      <c r="D48" s="422"/>
      <c r="E48" s="422"/>
      <c r="F48" s="422"/>
      <c r="G48" s="422"/>
      <c r="H48" s="423"/>
      <c r="K48" s="409"/>
      <c r="L48" s="102" t="s">
        <v>408</v>
      </c>
      <c r="M48" s="100"/>
      <c r="N48" s="100"/>
      <c r="O48" s="100"/>
      <c r="P48" s="100"/>
      <c r="Q48" s="100"/>
    </row>
    <row r="49" spans="1:17">
      <c r="A49" s="424" t="s">
        <v>434</v>
      </c>
      <c r="B49" s="425"/>
      <c r="C49" s="425"/>
      <c r="D49" s="425"/>
      <c r="E49" s="425"/>
      <c r="F49" s="425"/>
      <c r="G49" s="425"/>
      <c r="H49" s="426"/>
      <c r="K49" s="409"/>
      <c r="L49" s="98" t="s">
        <v>409</v>
      </c>
      <c r="M49" s="98" t="e">
        <f>AVERAGE(M37:M48)</f>
        <v>#DIV/0!</v>
      </c>
      <c r="N49" s="98"/>
      <c r="O49" s="98">
        <f>MAX(O37:O48)</f>
        <v>0</v>
      </c>
      <c r="P49" s="98" t="e">
        <f>AVERAGE(P37:P48)</f>
        <v>#DIV/0!</v>
      </c>
      <c r="Q49" s="98">
        <f>MAX(Q37:Q48)</f>
        <v>0</v>
      </c>
    </row>
    <row r="50" spans="1:17">
      <c r="A50" s="427"/>
      <c r="B50" s="428"/>
      <c r="C50" s="428"/>
      <c r="D50" s="428"/>
      <c r="E50" s="428"/>
      <c r="F50" s="428"/>
      <c r="G50" s="428"/>
      <c r="H50" s="429"/>
    </row>
    <row r="51" spans="1:17" ht="27.6">
      <c r="A51" s="427"/>
      <c r="B51" s="428"/>
      <c r="C51" s="428"/>
      <c r="D51" s="428"/>
      <c r="E51" s="428"/>
      <c r="F51" s="428"/>
      <c r="G51" s="428"/>
      <c r="H51" s="429"/>
      <c r="K51" s="97">
        <f>+A6</f>
        <v>2022</v>
      </c>
      <c r="L51" s="97" t="s">
        <v>391</v>
      </c>
      <c r="M51" s="90" t="s">
        <v>427</v>
      </c>
      <c r="N51" s="90" t="s">
        <v>428</v>
      </c>
      <c r="O51" s="90" t="s">
        <v>429</v>
      </c>
      <c r="P51" s="103" t="s">
        <v>389</v>
      </c>
      <c r="Q51" s="103" t="s">
        <v>393</v>
      </c>
    </row>
    <row r="52" spans="1:17">
      <c r="A52" s="430"/>
      <c r="B52" s="431"/>
      <c r="C52" s="431"/>
      <c r="D52" s="431"/>
      <c r="E52" s="431"/>
      <c r="F52" s="431"/>
      <c r="G52" s="431"/>
      <c r="H52" s="432"/>
      <c r="K52" s="409" t="s">
        <v>192</v>
      </c>
      <c r="L52" s="102" t="s">
        <v>394</v>
      </c>
      <c r="M52" s="100"/>
      <c r="N52" s="100"/>
      <c r="O52" s="100"/>
      <c r="P52" s="100"/>
      <c r="Q52" s="100"/>
    </row>
    <row r="53" spans="1:17">
      <c r="K53" s="409"/>
      <c r="L53" s="102" t="s">
        <v>395</v>
      </c>
      <c r="M53" s="100"/>
      <c r="N53" s="100"/>
      <c r="O53" s="100"/>
      <c r="P53" s="100"/>
      <c r="Q53" s="100"/>
    </row>
    <row r="54" spans="1:17">
      <c r="K54" s="409"/>
      <c r="L54" s="102" t="s">
        <v>396</v>
      </c>
      <c r="M54" s="100"/>
      <c r="N54" s="100"/>
      <c r="O54" s="100"/>
      <c r="P54" s="100"/>
      <c r="Q54" s="100"/>
    </row>
    <row r="55" spans="1:17">
      <c r="K55" s="409"/>
      <c r="L55" s="102" t="s">
        <v>398</v>
      </c>
      <c r="M55" s="100"/>
      <c r="N55" s="100"/>
      <c r="O55" s="100"/>
      <c r="P55" s="100"/>
      <c r="Q55" s="100"/>
    </row>
    <row r="56" spans="1:17">
      <c r="K56" s="409"/>
      <c r="L56" s="102" t="s">
        <v>400</v>
      </c>
      <c r="M56" s="100"/>
      <c r="N56" s="100"/>
      <c r="O56" s="100"/>
      <c r="P56" s="100"/>
      <c r="Q56" s="100"/>
    </row>
    <row r="57" spans="1:17">
      <c r="K57" s="409"/>
      <c r="L57" s="102" t="s">
        <v>401</v>
      </c>
      <c r="M57" s="100"/>
      <c r="N57" s="100"/>
      <c r="O57" s="100"/>
      <c r="P57" s="100"/>
      <c r="Q57" s="100"/>
    </row>
    <row r="58" spans="1:17">
      <c r="K58" s="409"/>
      <c r="L58" s="102" t="s">
        <v>402</v>
      </c>
      <c r="M58" s="100"/>
      <c r="N58" s="100"/>
      <c r="O58" s="100"/>
      <c r="P58" s="100"/>
      <c r="Q58" s="100"/>
    </row>
    <row r="59" spans="1:17">
      <c r="K59" s="409"/>
      <c r="L59" s="102" t="s">
        <v>404</v>
      </c>
      <c r="M59" s="100"/>
      <c r="N59" s="100"/>
      <c r="O59" s="100"/>
      <c r="P59" s="100"/>
      <c r="Q59" s="100"/>
    </row>
    <row r="60" spans="1:17">
      <c r="K60" s="409"/>
      <c r="L60" s="102" t="s">
        <v>405</v>
      </c>
      <c r="M60" s="100"/>
      <c r="N60" s="100"/>
      <c r="O60" s="100"/>
      <c r="P60" s="100"/>
      <c r="Q60" s="100"/>
    </row>
    <row r="61" spans="1:17">
      <c r="K61" s="409"/>
      <c r="L61" s="102" t="s">
        <v>406</v>
      </c>
      <c r="M61" s="100"/>
      <c r="N61" s="100"/>
      <c r="O61" s="100"/>
      <c r="P61" s="100"/>
      <c r="Q61" s="100"/>
    </row>
    <row r="62" spans="1:17">
      <c r="K62" s="409"/>
      <c r="L62" s="102" t="s">
        <v>407</v>
      </c>
      <c r="M62" s="100"/>
      <c r="N62" s="100"/>
      <c r="O62" s="100"/>
      <c r="P62" s="100"/>
      <c r="Q62" s="100"/>
    </row>
    <row r="63" spans="1:17">
      <c r="K63" s="409"/>
      <c r="L63" s="102" t="s">
        <v>408</v>
      </c>
      <c r="M63" s="100"/>
      <c r="N63" s="100"/>
      <c r="O63" s="100"/>
      <c r="P63" s="100"/>
      <c r="Q63" s="100"/>
    </row>
    <row r="64" spans="1:17">
      <c r="K64" s="409"/>
      <c r="L64" s="98" t="s">
        <v>409</v>
      </c>
      <c r="M64" s="98" t="e">
        <f>AVERAGE(M52:M63)</f>
        <v>#DIV/0!</v>
      </c>
      <c r="N64" s="98"/>
      <c r="O64" s="98">
        <f>MAX(O52:O63)</f>
        <v>0</v>
      </c>
      <c r="P64" s="98" t="e">
        <f>AVERAGE(P52:P63)</f>
        <v>#DIV/0!</v>
      </c>
      <c r="Q64" s="98">
        <f>MAX(Q52:Q63)</f>
        <v>0</v>
      </c>
    </row>
    <row r="66" spans="11:17" ht="27.6">
      <c r="K66" s="97">
        <f>+A6</f>
        <v>2022</v>
      </c>
      <c r="L66" s="97" t="s">
        <v>391</v>
      </c>
      <c r="M66" s="90" t="s">
        <v>427</v>
      </c>
      <c r="N66" s="90" t="s">
        <v>428</v>
      </c>
      <c r="O66" s="90" t="s">
        <v>429</v>
      </c>
      <c r="P66" s="103" t="s">
        <v>389</v>
      </c>
      <c r="Q66" s="103" t="s">
        <v>393</v>
      </c>
    </row>
    <row r="67" spans="11:17">
      <c r="K67" s="409" t="s">
        <v>193</v>
      </c>
      <c r="L67" s="102" t="s">
        <v>394</v>
      </c>
      <c r="M67" s="100"/>
      <c r="N67" s="100"/>
      <c r="O67" s="100"/>
      <c r="P67" s="100"/>
      <c r="Q67" s="100"/>
    </row>
    <row r="68" spans="11:17">
      <c r="K68" s="409"/>
      <c r="L68" s="102" t="s">
        <v>395</v>
      </c>
      <c r="M68" s="100"/>
      <c r="N68" s="100"/>
      <c r="O68" s="100"/>
      <c r="P68" s="100"/>
      <c r="Q68" s="100"/>
    </row>
    <row r="69" spans="11:17">
      <c r="K69" s="409"/>
      <c r="L69" s="102" t="s">
        <v>396</v>
      </c>
      <c r="M69" s="100"/>
      <c r="N69" s="100"/>
      <c r="O69" s="100"/>
      <c r="P69" s="100"/>
      <c r="Q69" s="100"/>
    </row>
    <row r="70" spans="11:17">
      <c r="K70" s="409"/>
      <c r="L70" s="102" t="s">
        <v>398</v>
      </c>
      <c r="M70" s="100"/>
      <c r="N70" s="100"/>
      <c r="O70" s="100"/>
      <c r="P70" s="100"/>
      <c r="Q70" s="100"/>
    </row>
    <row r="71" spans="11:17">
      <c r="K71" s="409"/>
      <c r="L71" s="102" t="s">
        <v>400</v>
      </c>
      <c r="M71" s="100"/>
      <c r="N71" s="100"/>
      <c r="O71" s="100"/>
      <c r="P71" s="100"/>
      <c r="Q71" s="100"/>
    </row>
    <row r="72" spans="11:17">
      <c r="K72" s="409"/>
      <c r="L72" s="102" t="s">
        <v>401</v>
      </c>
      <c r="M72" s="100"/>
      <c r="N72" s="100"/>
      <c r="O72" s="100"/>
      <c r="P72" s="100"/>
      <c r="Q72" s="100"/>
    </row>
    <row r="73" spans="11:17">
      <c r="K73" s="409"/>
      <c r="L73" s="102" t="s">
        <v>402</v>
      </c>
      <c r="M73" s="100"/>
      <c r="N73" s="100"/>
      <c r="O73" s="100"/>
      <c r="P73" s="100"/>
      <c r="Q73" s="100"/>
    </row>
    <row r="74" spans="11:17">
      <c r="K74" s="409"/>
      <c r="L74" s="102" t="s">
        <v>404</v>
      </c>
      <c r="M74" s="100"/>
      <c r="N74" s="100"/>
      <c r="O74" s="100"/>
      <c r="P74" s="100"/>
      <c r="Q74" s="100"/>
    </row>
    <row r="75" spans="11:17">
      <c r="K75" s="409"/>
      <c r="L75" s="102" t="s">
        <v>405</v>
      </c>
      <c r="M75" s="100"/>
      <c r="N75" s="100"/>
      <c r="O75" s="100"/>
      <c r="P75" s="100"/>
      <c r="Q75" s="100"/>
    </row>
    <row r="76" spans="11:17">
      <c r="K76" s="409"/>
      <c r="L76" s="102" t="s">
        <v>406</v>
      </c>
      <c r="M76" s="100"/>
      <c r="N76" s="100"/>
      <c r="O76" s="100"/>
      <c r="P76" s="100"/>
      <c r="Q76" s="100"/>
    </row>
    <row r="77" spans="11:17">
      <c r="K77" s="409"/>
      <c r="L77" s="102" t="s">
        <v>407</v>
      </c>
      <c r="M77" s="100"/>
      <c r="N77" s="100"/>
      <c r="O77" s="100"/>
      <c r="P77" s="100"/>
      <c r="Q77" s="100"/>
    </row>
    <row r="78" spans="11:17">
      <c r="K78" s="409"/>
      <c r="L78" s="102" t="s">
        <v>408</v>
      </c>
      <c r="M78" s="100"/>
      <c r="N78" s="100"/>
      <c r="O78" s="100"/>
      <c r="P78" s="100"/>
      <c r="Q78" s="100"/>
    </row>
    <row r="79" spans="11:17">
      <c r="K79" s="409"/>
      <c r="L79" s="98" t="s">
        <v>409</v>
      </c>
      <c r="M79" s="98" t="e">
        <f>AVERAGE(M67:M78)</f>
        <v>#DIV/0!</v>
      </c>
      <c r="N79" s="98"/>
      <c r="O79" s="98">
        <f>MAX(O67:O78)</f>
        <v>0</v>
      </c>
      <c r="P79" s="98" t="e">
        <f>AVERAGE(P67:P78)</f>
        <v>#DIV/0!</v>
      </c>
      <c r="Q79" s="98">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showGridLines="0" topLeftCell="G13" zoomScaleNormal="100" workbookViewId="0">
      <selection activeCell="L33" sqref="L33:O33"/>
    </sheetView>
  </sheetViews>
  <sheetFormatPr defaultRowHeight="13.9"/>
  <cols>
    <col min="1" max="1" width="14" style="3" customWidth="1"/>
    <col min="2" max="4" width="17" style="69" customWidth="1"/>
    <col min="5" max="5" width="14.7109375" style="69" customWidth="1"/>
    <col min="6" max="7" width="17" style="69"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128" t="str">
        <f>+'Cover Page'!$B$29</f>
        <v>Annual Performance Report 2022</v>
      </c>
      <c r="B1" s="128"/>
      <c r="C1" s="128"/>
      <c r="D1" s="128"/>
      <c r="E1" s="128" t="str">
        <f>+'Cover Page'!$B$33</f>
        <v>SUEZ R&amp;R Wilton 11 EfW</v>
      </c>
    </row>
    <row r="3" spans="1:19" ht="14.45">
      <c r="A3" s="96" t="s">
        <v>435</v>
      </c>
      <c r="D3" s="115" t="s">
        <v>378</v>
      </c>
      <c r="G3" s="119" t="s">
        <v>379</v>
      </c>
      <c r="J3" s="8" t="str">
        <f>+A3</f>
        <v xml:space="preserve">Monitoring of Ammnonia emissions </v>
      </c>
      <c r="L3" s="8"/>
      <c r="N3" s="8" t="s">
        <v>380</v>
      </c>
      <c r="Q3" s="118" t="s">
        <v>3</v>
      </c>
      <c r="R3" s="112"/>
      <c r="S3" s="112"/>
    </row>
    <row r="4" spans="1:19" ht="13.9" customHeight="1">
      <c r="Q4" s="400" t="s">
        <v>381</v>
      </c>
      <c r="R4" s="400"/>
      <c r="S4" s="400"/>
    </row>
    <row r="5" spans="1:19" ht="16.149999999999999">
      <c r="A5" s="104" t="s">
        <v>382</v>
      </c>
      <c r="B5" s="411" t="s">
        <v>383</v>
      </c>
      <c r="C5" s="411"/>
      <c r="D5" s="411"/>
      <c r="E5" s="411" t="s">
        <v>384</v>
      </c>
      <c r="F5" s="411"/>
      <c r="G5" s="411"/>
      <c r="J5" s="410"/>
      <c r="K5" s="410"/>
      <c r="L5" s="410"/>
      <c r="M5" s="410"/>
      <c r="N5" s="410"/>
      <c r="O5" s="410"/>
      <c r="Q5" s="400"/>
      <c r="R5" s="400"/>
      <c r="S5" s="400"/>
    </row>
    <row r="6" spans="1:19" s="94" customFormat="1" ht="37.5" customHeight="1">
      <c r="A6" s="101">
        <f>+'Cover Page'!C39</f>
        <v>2022</v>
      </c>
      <c r="B6" s="90" t="s">
        <v>436</v>
      </c>
      <c r="C6" s="90" t="s">
        <v>386</v>
      </c>
      <c r="D6" s="90" t="s">
        <v>387</v>
      </c>
      <c r="E6" s="90" t="s">
        <v>437</v>
      </c>
      <c r="F6" s="90" t="s">
        <v>389</v>
      </c>
      <c r="G6" s="90" t="s">
        <v>390</v>
      </c>
      <c r="H6" s="95"/>
      <c r="J6" s="97">
        <f>+A6</f>
        <v>2022</v>
      </c>
      <c r="K6" s="97" t="s">
        <v>391</v>
      </c>
      <c r="L6" s="103" t="s">
        <v>386</v>
      </c>
      <c r="M6" s="103" t="s">
        <v>392</v>
      </c>
      <c r="N6" s="103" t="s">
        <v>389</v>
      </c>
      <c r="O6" s="103" t="s">
        <v>393</v>
      </c>
      <c r="Q6" s="400"/>
      <c r="R6" s="400"/>
      <c r="S6" s="400"/>
    </row>
    <row r="7" spans="1:19">
      <c r="A7" s="102" t="s">
        <v>394</v>
      </c>
      <c r="B7" s="105">
        <v>0</v>
      </c>
      <c r="C7" s="100">
        <f>AVERAGE(L7,L22)</f>
        <v>0</v>
      </c>
      <c r="D7" s="100">
        <f>MAX(M7,M22)</f>
        <v>23</v>
      </c>
      <c r="E7" s="105">
        <v>10</v>
      </c>
      <c r="F7" s="100">
        <f>AVERAGE(N7,N22)</f>
        <v>0</v>
      </c>
      <c r="G7" s="100">
        <f>MAX(O7,O22)</f>
        <v>1</v>
      </c>
      <c r="J7" s="409" t="s">
        <v>189</v>
      </c>
      <c r="K7" s="102" t="s">
        <v>394</v>
      </c>
      <c r="L7" s="100">
        <v>0</v>
      </c>
      <c r="M7" s="100">
        <v>3</v>
      </c>
      <c r="N7" s="100">
        <v>0</v>
      </c>
      <c r="O7" s="100">
        <v>1</v>
      </c>
      <c r="Q7" s="400"/>
      <c r="R7" s="400"/>
      <c r="S7" s="400"/>
    </row>
    <row r="8" spans="1:19">
      <c r="A8" s="102" t="s">
        <v>395</v>
      </c>
      <c r="B8" s="99">
        <f>+B7</f>
        <v>0</v>
      </c>
      <c r="C8" s="100">
        <f>AVERAGE(L8,L23)</f>
        <v>0.5</v>
      </c>
      <c r="D8" s="100">
        <f t="shared" ref="D8:D18" si="0">MAX(M8,M23)</f>
        <v>3</v>
      </c>
      <c r="E8" s="99">
        <f>+E7</f>
        <v>10</v>
      </c>
      <c r="F8" s="100">
        <f t="shared" ref="F8:F18" si="1">AVERAGE(N8,N23)</f>
        <v>0.5</v>
      </c>
      <c r="G8" s="100">
        <f t="shared" ref="G8:G18" si="2">MAX(O8,O23)</f>
        <v>1</v>
      </c>
      <c r="J8" s="409"/>
      <c r="K8" s="102" t="s">
        <v>395</v>
      </c>
      <c r="L8" s="100">
        <v>0</v>
      </c>
      <c r="M8" s="100">
        <v>2</v>
      </c>
      <c r="N8" s="100">
        <v>0</v>
      </c>
      <c r="O8" s="100">
        <v>1</v>
      </c>
      <c r="Q8" s="400"/>
      <c r="R8" s="400"/>
      <c r="S8" s="400"/>
    </row>
    <row r="9" spans="1:19">
      <c r="A9" s="102" t="s">
        <v>396</v>
      </c>
      <c r="B9" s="99">
        <f t="shared" ref="B9:B18" si="3">+B8</f>
        <v>0</v>
      </c>
      <c r="C9" s="100">
        <f t="shared" ref="C9" si="4">AVERAGE(L9,L24)</f>
        <v>0</v>
      </c>
      <c r="D9" s="100">
        <f t="shared" si="0"/>
        <v>4</v>
      </c>
      <c r="E9" s="99">
        <f t="shared" ref="E9:E18" si="5">+E8</f>
        <v>10</v>
      </c>
      <c r="F9" s="100">
        <f t="shared" si="1"/>
        <v>0</v>
      </c>
      <c r="G9" s="100">
        <f t="shared" si="2"/>
        <v>1</v>
      </c>
      <c r="J9" s="409"/>
      <c r="K9" s="102" t="s">
        <v>396</v>
      </c>
      <c r="L9" s="100">
        <v>0</v>
      </c>
      <c r="M9" s="100">
        <v>2</v>
      </c>
      <c r="N9" s="100">
        <v>0</v>
      </c>
      <c r="O9" s="100">
        <v>1</v>
      </c>
      <c r="Q9" s="117" t="s">
        <v>397</v>
      </c>
    </row>
    <row r="10" spans="1:19" ht="14.25" customHeight="1">
      <c r="A10" s="102" t="s">
        <v>398</v>
      </c>
      <c r="B10" s="99">
        <f t="shared" si="3"/>
        <v>0</v>
      </c>
      <c r="C10" s="100">
        <f t="shared" ref="C10" si="6">AVERAGE(L10,L25)</f>
        <v>0</v>
      </c>
      <c r="D10" s="100">
        <f t="shared" si="0"/>
        <v>15</v>
      </c>
      <c r="E10" s="99">
        <f t="shared" si="5"/>
        <v>10</v>
      </c>
      <c r="F10" s="100">
        <f t="shared" si="1"/>
        <v>0</v>
      </c>
      <c r="G10" s="100">
        <f t="shared" si="2"/>
        <v>1</v>
      </c>
      <c r="J10" s="409"/>
      <c r="K10" s="102" t="s">
        <v>398</v>
      </c>
      <c r="L10" s="100">
        <v>0</v>
      </c>
      <c r="M10" s="100">
        <v>13</v>
      </c>
      <c r="N10" s="100">
        <v>0</v>
      </c>
      <c r="O10" s="100">
        <v>0</v>
      </c>
      <c r="Q10" s="408" t="s">
        <v>399</v>
      </c>
      <c r="R10" s="408"/>
      <c r="S10" s="408"/>
    </row>
    <row r="11" spans="1:19">
      <c r="A11" s="102" t="s">
        <v>400</v>
      </c>
      <c r="B11" s="99">
        <f t="shared" si="3"/>
        <v>0</v>
      </c>
      <c r="C11" s="100">
        <f t="shared" ref="C11" si="7">AVERAGE(L11,L26)</f>
        <v>0.5</v>
      </c>
      <c r="D11" s="100">
        <f t="shared" si="0"/>
        <v>8</v>
      </c>
      <c r="E11" s="99">
        <f t="shared" si="5"/>
        <v>10</v>
      </c>
      <c r="F11" s="100">
        <f t="shared" si="1"/>
        <v>0.5</v>
      </c>
      <c r="G11" s="100">
        <f t="shared" si="2"/>
        <v>1</v>
      </c>
      <c r="J11" s="409"/>
      <c r="K11" s="102" t="s">
        <v>400</v>
      </c>
      <c r="L11" s="100">
        <v>0</v>
      </c>
      <c r="M11" s="100">
        <v>8</v>
      </c>
      <c r="N11" s="100">
        <v>0</v>
      </c>
      <c r="O11" s="100">
        <v>1</v>
      </c>
      <c r="Q11" s="408"/>
      <c r="R11" s="408"/>
      <c r="S11" s="408"/>
    </row>
    <row r="12" spans="1:19">
      <c r="A12" s="102" t="s">
        <v>401</v>
      </c>
      <c r="B12" s="99">
        <f t="shared" si="3"/>
        <v>0</v>
      </c>
      <c r="C12" s="100">
        <f t="shared" ref="C12" si="8">AVERAGE(L12,L27)</f>
        <v>0</v>
      </c>
      <c r="D12" s="100">
        <f t="shared" si="0"/>
        <v>9</v>
      </c>
      <c r="E12" s="99">
        <f t="shared" si="5"/>
        <v>10</v>
      </c>
      <c r="F12" s="100">
        <f t="shared" si="1"/>
        <v>0</v>
      </c>
      <c r="G12" s="100">
        <f t="shared" si="2"/>
        <v>1</v>
      </c>
      <c r="J12" s="409"/>
      <c r="K12" s="102" t="s">
        <v>401</v>
      </c>
      <c r="L12" s="162">
        <v>0</v>
      </c>
      <c r="M12" s="162">
        <v>9</v>
      </c>
      <c r="N12" s="162">
        <v>0</v>
      </c>
      <c r="O12" s="162">
        <v>0</v>
      </c>
      <c r="Q12" s="408"/>
      <c r="R12" s="408"/>
      <c r="S12" s="408"/>
    </row>
    <row r="13" spans="1:19" ht="14.25" customHeight="1">
      <c r="A13" s="102" t="s">
        <v>402</v>
      </c>
      <c r="B13" s="99">
        <f t="shared" si="3"/>
        <v>0</v>
      </c>
      <c r="C13" s="100">
        <f t="shared" ref="C13" si="9">AVERAGE(L13,L28)</f>
        <v>0.5</v>
      </c>
      <c r="D13" s="100">
        <f t="shared" si="0"/>
        <v>6</v>
      </c>
      <c r="E13" s="99">
        <f t="shared" si="5"/>
        <v>10</v>
      </c>
      <c r="F13" s="100">
        <f t="shared" si="1"/>
        <v>0.5</v>
      </c>
      <c r="G13" s="100">
        <f t="shared" si="2"/>
        <v>2</v>
      </c>
      <c r="J13" s="409"/>
      <c r="K13" s="102" t="s">
        <v>402</v>
      </c>
      <c r="L13" s="162">
        <v>0</v>
      </c>
      <c r="M13" s="162">
        <v>5</v>
      </c>
      <c r="N13" s="162">
        <v>0</v>
      </c>
      <c r="O13" s="162">
        <v>2</v>
      </c>
      <c r="Q13" s="408" t="s">
        <v>403</v>
      </c>
      <c r="R13" s="408"/>
      <c r="S13" s="408"/>
    </row>
    <row r="14" spans="1:19">
      <c r="A14" s="102" t="s">
        <v>404</v>
      </c>
      <c r="B14" s="99">
        <f t="shared" si="3"/>
        <v>0</v>
      </c>
      <c r="C14" s="100">
        <f t="shared" ref="C14" si="10">AVERAGE(L14,L29)</f>
        <v>0.5</v>
      </c>
      <c r="D14" s="100">
        <f t="shared" si="0"/>
        <v>7</v>
      </c>
      <c r="E14" s="99">
        <f t="shared" si="5"/>
        <v>10</v>
      </c>
      <c r="F14" s="100">
        <f t="shared" si="1"/>
        <v>0.5</v>
      </c>
      <c r="G14" s="100">
        <f t="shared" si="2"/>
        <v>3</v>
      </c>
      <c r="J14" s="409"/>
      <c r="K14" s="102" t="s">
        <v>404</v>
      </c>
      <c r="L14" s="162">
        <v>1</v>
      </c>
      <c r="M14" s="162">
        <v>7</v>
      </c>
      <c r="N14" s="162">
        <v>1</v>
      </c>
      <c r="O14" s="162">
        <v>3</v>
      </c>
      <c r="Q14" s="408"/>
      <c r="R14" s="408"/>
      <c r="S14" s="408"/>
    </row>
    <row r="15" spans="1:19">
      <c r="A15" s="102" t="s">
        <v>405</v>
      </c>
      <c r="B15" s="99">
        <f t="shared" si="3"/>
        <v>0</v>
      </c>
      <c r="C15" s="100">
        <f t="shared" ref="C15" si="11">AVERAGE(L15,L30)</f>
        <v>0</v>
      </c>
      <c r="D15" s="100">
        <f t="shared" si="0"/>
        <v>6</v>
      </c>
      <c r="E15" s="99">
        <f t="shared" si="5"/>
        <v>10</v>
      </c>
      <c r="F15" s="100">
        <f t="shared" si="1"/>
        <v>0</v>
      </c>
      <c r="G15" s="100">
        <f t="shared" si="2"/>
        <v>1</v>
      </c>
      <c r="J15" s="409"/>
      <c r="K15" s="102" t="s">
        <v>405</v>
      </c>
      <c r="L15" s="168"/>
      <c r="M15" s="168"/>
      <c r="N15" s="168"/>
      <c r="O15" s="168"/>
      <c r="Q15" s="408"/>
      <c r="R15" s="408"/>
      <c r="S15" s="408"/>
    </row>
    <row r="16" spans="1:19">
      <c r="A16" s="102" t="s">
        <v>406</v>
      </c>
      <c r="B16" s="99">
        <f t="shared" si="3"/>
        <v>0</v>
      </c>
      <c r="C16" s="100">
        <f t="shared" ref="C16" si="12">AVERAGE(L16,L31)</f>
        <v>0</v>
      </c>
      <c r="D16" s="100">
        <f t="shared" si="0"/>
        <v>5</v>
      </c>
      <c r="E16" s="99">
        <f t="shared" si="5"/>
        <v>10</v>
      </c>
      <c r="F16" s="100">
        <f t="shared" si="1"/>
        <v>0</v>
      </c>
      <c r="G16" s="100">
        <f t="shared" si="2"/>
        <v>0</v>
      </c>
      <c r="J16" s="409"/>
      <c r="K16" s="102" t="s">
        <v>406</v>
      </c>
      <c r="L16" s="168"/>
      <c r="M16" s="168"/>
      <c r="N16" s="168"/>
      <c r="O16" s="168"/>
      <c r="Q16" s="408"/>
      <c r="R16" s="408"/>
      <c r="S16" s="408"/>
    </row>
    <row r="17" spans="1:15">
      <c r="A17" s="102" t="s">
        <v>407</v>
      </c>
      <c r="B17" s="99">
        <f t="shared" si="3"/>
        <v>0</v>
      </c>
      <c r="C17" s="100">
        <f t="shared" ref="C17" si="13">AVERAGE(L17,L32)</f>
        <v>1</v>
      </c>
      <c r="D17" s="100">
        <f t="shared" si="0"/>
        <v>5</v>
      </c>
      <c r="E17" s="99">
        <f t="shared" si="5"/>
        <v>10</v>
      </c>
      <c r="F17" s="100">
        <f t="shared" si="1"/>
        <v>1</v>
      </c>
      <c r="G17" s="100">
        <f t="shared" si="2"/>
        <v>3</v>
      </c>
      <c r="J17" s="409"/>
      <c r="K17" s="102" t="s">
        <v>407</v>
      </c>
      <c r="L17" s="168">
        <v>1</v>
      </c>
      <c r="M17" s="168">
        <v>5</v>
      </c>
      <c r="N17" s="168">
        <v>1</v>
      </c>
      <c r="O17" s="168">
        <v>3</v>
      </c>
    </row>
    <row r="18" spans="1:15">
      <c r="A18" s="102" t="s">
        <v>408</v>
      </c>
      <c r="B18" s="99">
        <f t="shared" si="3"/>
        <v>0</v>
      </c>
      <c r="C18" s="100">
        <f t="shared" ref="C18" si="14">AVERAGE(L18,L33)</f>
        <v>1</v>
      </c>
      <c r="D18" s="100">
        <f t="shared" si="0"/>
        <v>17</v>
      </c>
      <c r="E18" s="99">
        <f t="shared" si="5"/>
        <v>10</v>
      </c>
      <c r="F18" s="100">
        <f t="shared" si="1"/>
        <v>1</v>
      </c>
      <c r="G18" s="100">
        <f t="shared" si="2"/>
        <v>5</v>
      </c>
      <c r="J18" s="409"/>
      <c r="K18" s="102" t="s">
        <v>408</v>
      </c>
      <c r="L18" s="100">
        <v>1</v>
      </c>
      <c r="M18" s="100">
        <v>17</v>
      </c>
      <c r="N18" s="100">
        <v>1</v>
      </c>
      <c r="O18" s="100">
        <v>5</v>
      </c>
    </row>
    <row r="19" spans="1:15">
      <c r="J19" s="409"/>
      <c r="K19" s="98" t="s">
        <v>409</v>
      </c>
      <c r="L19" s="98">
        <f>AVERAGE(L7:L18)</f>
        <v>0.3</v>
      </c>
      <c r="M19" s="98">
        <f>MAX(M7:M18)</f>
        <v>17</v>
      </c>
      <c r="N19" s="98">
        <f>AVERAGE(N7:N18)</f>
        <v>0.3</v>
      </c>
      <c r="O19" s="98">
        <f>MAX(O7:O18)</f>
        <v>5</v>
      </c>
    </row>
    <row r="21" spans="1:15" ht="41.45">
      <c r="J21" s="97">
        <f>+A6</f>
        <v>2022</v>
      </c>
      <c r="K21" s="97" t="s">
        <v>391</v>
      </c>
      <c r="L21" s="103" t="s">
        <v>386</v>
      </c>
      <c r="M21" s="103" t="s">
        <v>392</v>
      </c>
      <c r="N21" s="103" t="s">
        <v>389</v>
      </c>
      <c r="O21" s="103" t="s">
        <v>393</v>
      </c>
    </row>
    <row r="22" spans="1:15">
      <c r="J22" s="409" t="s">
        <v>190</v>
      </c>
      <c r="K22" s="102" t="s">
        <v>394</v>
      </c>
      <c r="L22" s="100">
        <v>0</v>
      </c>
      <c r="M22" s="100">
        <v>23</v>
      </c>
      <c r="N22" s="100">
        <v>0</v>
      </c>
      <c r="O22" s="100">
        <v>1</v>
      </c>
    </row>
    <row r="23" spans="1:15">
      <c r="J23" s="409"/>
      <c r="K23" s="102" t="s">
        <v>395</v>
      </c>
      <c r="L23" s="100">
        <v>1</v>
      </c>
      <c r="M23" s="100">
        <v>3</v>
      </c>
      <c r="N23" s="100">
        <v>1</v>
      </c>
      <c r="O23" s="100">
        <v>1</v>
      </c>
    </row>
    <row r="24" spans="1:15">
      <c r="J24" s="409"/>
      <c r="K24" s="102" t="s">
        <v>396</v>
      </c>
      <c r="L24" s="100">
        <v>0</v>
      </c>
      <c r="M24" s="100">
        <v>4</v>
      </c>
      <c r="N24" s="100">
        <v>0</v>
      </c>
      <c r="O24" s="100">
        <v>1</v>
      </c>
    </row>
    <row r="25" spans="1:15">
      <c r="J25" s="409"/>
      <c r="K25" s="102" t="s">
        <v>398</v>
      </c>
      <c r="L25" s="100">
        <v>0</v>
      </c>
      <c r="M25" s="100">
        <v>15</v>
      </c>
      <c r="N25" s="100">
        <v>0</v>
      </c>
      <c r="O25" s="100">
        <v>1</v>
      </c>
    </row>
    <row r="26" spans="1:15">
      <c r="J26" s="409"/>
      <c r="K26" s="102" t="s">
        <v>400</v>
      </c>
      <c r="L26" s="100">
        <v>1</v>
      </c>
      <c r="M26" s="100">
        <v>6</v>
      </c>
      <c r="N26" s="100">
        <v>1</v>
      </c>
      <c r="O26" s="100">
        <v>1</v>
      </c>
    </row>
    <row r="27" spans="1:15">
      <c r="J27" s="409"/>
      <c r="K27" s="102" t="s">
        <v>401</v>
      </c>
      <c r="L27" s="162">
        <v>0</v>
      </c>
      <c r="M27" s="162">
        <v>5</v>
      </c>
      <c r="N27" s="162">
        <v>0</v>
      </c>
      <c r="O27" s="162">
        <v>1</v>
      </c>
    </row>
    <row r="28" spans="1:15">
      <c r="J28" s="409"/>
      <c r="K28" s="102" t="s">
        <v>402</v>
      </c>
      <c r="L28" s="162">
        <v>1</v>
      </c>
      <c r="M28" s="162">
        <v>6</v>
      </c>
      <c r="N28" s="162">
        <v>1</v>
      </c>
      <c r="O28" s="162">
        <v>2</v>
      </c>
    </row>
    <row r="29" spans="1:15">
      <c r="J29" s="409"/>
      <c r="K29" s="102" t="s">
        <v>404</v>
      </c>
      <c r="L29" s="162">
        <v>0</v>
      </c>
      <c r="M29" s="162">
        <v>4</v>
      </c>
      <c r="N29" s="162">
        <v>0</v>
      </c>
      <c r="O29" s="162">
        <v>1</v>
      </c>
    </row>
    <row r="30" spans="1:15">
      <c r="J30" s="409"/>
      <c r="K30" s="102" t="s">
        <v>405</v>
      </c>
      <c r="L30" s="168">
        <v>0</v>
      </c>
      <c r="M30" s="168">
        <v>6</v>
      </c>
      <c r="N30" s="168">
        <v>0</v>
      </c>
      <c r="O30" s="168">
        <v>1</v>
      </c>
    </row>
    <row r="31" spans="1:15">
      <c r="J31" s="409"/>
      <c r="K31" s="102" t="s">
        <v>406</v>
      </c>
      <c r="L31" s="168">
        <v>0</v>
      </c>
      <c r="M31" s="168">
        <v>5</v>
      </c>
      <c r="N31" s="168">
        <v>0</v>
      </c>
      <c r="O31" s="168">
        <v>0</v>
      </c>
    </row>
    <row r="32" spans="1:15">
      <c r="J32" s="409"/>
      <c r="K32" s="102" t="s">
        <v>407</v>
      </c>
      <c r="L32" s="168"/>
      <c r="M32" s="168"/>
      <c r="N32" s="168"/>
      <c r="O32" s="168"/>
    </row>
    <row r="33" spans="1:15">
      <c r="J33" s="409"/>
      <c r="K33" s="102" t="s">
        <v>408</v>
      </c>
      <c r="L33" s="100">
        <v>1</v>
      </c>
      <c r="M33" s="100">
        <v>4</v>
      </c>
      <c r="N33" s="100">
        <v>1</v>
      </c>
      <c r="O33" s="100">
        <v>2</v>
      </c>
    </row>
    <row r="34" spans="1:15">
      <c r="J34" s="409"/>
      <c r="K34" s="98" t="s">
        <v>409</v>
      </c>
      <c r="L34" s="98">
        <f>AVERAGE(L22:L33)</f>
        <v>0.36363636363636365</v>
      </c>
      <c r="M34" s="98">
        <f>MAX(M22:M33)</f>
        <v>23</v>
      </c>
      <c r="N34" s="98">
        <f>AVERAGE(N22:N33)</f>
        <v>0.36363636363636365</v>
      </c>
      <c r="O34" s="98">
        <f>MAX(O22:O33)</f>
        <v>2</v>
      </c>
    </row>
    <row r="36" spans="1:15" ht="41.45">
      <c r="J36" s="97">
        <f>+A6</f>
        <v>2022</v>
      </c>
      <c r="K36" s="97" t="s">
        <v>391</v>
      </c>
      <c r="L36" s="103" t="s">
        <v>386</v>
      </c>
      <c r="M36" s="103" t="s">
        <v>392</v>
      </c>
      <c r="N36" s="103" t="s">
        <v>389</v>
      </c>
      <c r="O36" s="103" t="s">
        <v>393</v>
      </c>
    </row>
    <row r="37" spans="1:15">
      <c r="J37" s="409" t="s">
        <v>191</v>
      </c>
      <c r="K37" s="102" t="s">
        <v>394</v>
      </c>
      <c r="L37" s="100"/>
      <c r="M37" s="100"/>
      <c r="N37" s="100"/>
      <c r="O37" s="100"/>
    </row>
    <row r="38" spans="1:15">
      <c r="J38" s="409"/>
      <c r="K38" s="102" t="s">
        <v>395</v>
      </c>
      <c r="L38" s="100"/>
      <c r="M38" s="100"/>
      <c r="N38" s="100"/>
      <c r="O38" s="100"/>
    </row>
    <row r="39" spans="1:15">
      <c r="J39" s="409"/>
      <c r="K39" s="102" t="s">
        <v>396</v>
      </c>
      <c r="L39" s="100"/>
      <c r="M39" s="100"/>
      <c r="N39" s="100"/>
      <c r="O39" s="100"/>
    </row>
    <row r="40" spans="1:15">
      <c r="J40" s="409"/>
      <c r="K40" s="102" t="s">
        <v>398</v>
      </c>
      <c r="L40" s="100"/>
      <c r="M40" s="100"/>
      <c r="N40" s="100"/>
      <c r="O40" s="100"/>
    </row>
    <row r="41" spans="1:15">
      <c r="J41" s="409"/>
      <c r="K41" s="102" t="s">
        <v>400</v>
      </c>
      <c r="L41" s="100"/>
      <c r="M41" s="100"/>
      <c r="N41" s="100"/>
      <c r="O41" s="100"/>
    </row>
    <row r="42" spans="1:15">
      <c r="J42" s="409"/>
      <c r="K42" s="102" t="s">
        <v>401</v>
      </c>
      <c r="L42" s="100"/>
      <c r="M42" s="100"/>
      <c r="N42" s="100"/>
      <c r="O42" s="100"/>
    </row>
    <row r="43" spans="1:15">
      <c r="J43" s="409"/>
      <c r="K43" s="102" t="s">
        <v>402</v>
      </c>
      <c r="L43" s="100"/>
      <c r="M43" s="100"/>
      <c r="N43" s="100"/>
      <c r="O43" s="100"/>
    </row>
    <row r="44" spans="1:15">
      <c r="J44" s="409"/>
      <c r="K44" s="102" t="s">
        <v>404</v>
      </c>
      <c r="L44" s="100"/>
      <c r="M44" s="100"/>
      <c r="N44" s="100"/>
      <c r="O44" s="100"/>
    </row>
    <row r="45" spans="1:15">
      <c r="J45" s="409"/>
      <c r="K45" s="102" t="s">
        <v>405</v>
      </c>
      <c r="L45" s="100"/>
      <c r="M45" s="100"/>
      <c r="N45" s="100"/>
      <c r="O45" s="100"/>
    </row>
    <row r="46" spans="1:15">
      <c r="J46" s="409"/>
      <c r="K46" s="102" t="s">
        <v>406</v>
      </c>
      <c r="L46" s="100"/>
      <c r="M46" s="100"/>
      <c r="N46" s="100"/>
      <c r="O46" s="100"/>
    </row>
    <row r="47" spans="1:15">
      <c r="J47" s="409"/>
      <c r="K47" s="102" t="s">
        <v>407</v>
      </c>
      <c r="L47" s="100"/>
      <c r="M47" s="100"/>
      <c r="N47" s="100"/>
      <c r="O47" s="100"/>
    </row>
    <row r="48" spans="1:15">
      <c r="A48" s="421" t="s">
        <v>304</v>
      </c>
      <c r="B48" s="422"/>
      <c r="C48" s="422"/>
      <c r="D48" s="422"/>
      <c r="E48" s="422"/>
      <c r="F48" s="422"/>
      <c r="G48" s="423"/>
      <c r="J48" s="409"/>
      <c r="K48" s="102" t="s">
        <v>408</v>
      </c>
      <c r="L48" s="100"/>
      <c r="M48" s="100"/>
      <c r="N48" s="100"/>
      <c r="O48" s="100"/>
    </row>
    <row r="49" spans="1:15">
      <c r="A49" s="412" t="s">
        <v>438</v>
      </c>
      <c r="B49" s="413"/>
      <c r="C49" s="413"/>
      <c r="D49" s="413"/>
      <c r="E49" s="413"/>
      <c r="F49" s="413"/>
      <c r="G49" s="414"/>
      <c r="J49" s="409"/>
      <c r="K49" s="98" t="s">
        <v>409</v>
      </c>
      <c r="L49" s="98" t="e">
        <f>AVERAGE(L37:L48)</f>
        <v>#DIV/0!</v>
      </c>
      <c r="M49" s="98">
        <f>MAX(M37:M48)</f>
        <v>0</v>
      </c>
      <c r="N49" s="98" t="e">
        <f>AVERAGE(N37:N48)</f>
        <v>#DIV/0!</v>
      </c>
      <c r="O49" s="98">
        <f>MAX(O37:O48)</f>
        <v>0</v>
      </c>
    </row>
    <row r="50" spans="1:15">
      <c r="A50" s="415"/>
      <c r="B50" s="416"/>
      <c r="C50" s="416"/>
      <c r="D50" s="416"/>
      <c r="E50" s="416"/>
      <c r="F50" s="416"/>
      <c r="G50" s="417"/>
    </row>
    <row r="51" spans="1:15" ht="41.45">
      <c r="A51" s="415"/>
      <c r="B51" s="416"/>
      <c r="C51" s="416"/>
      <c r="D51" s="416"/>
      <c r="E51" s="416"/>
      <c r="F51" s="416"/>
      <c r="G51" s="417"/>
      <c r="J51" s="97">
        <f>+A6</f>
        <v>2022</v>
      </c>
      <c r="K51" s="97" t="s">
        <v>391</v>
      </c>
      <c r="L51" s="103" t="s">
        <v>386</v>
      </c>
      <c r="M51" s="103" t="s">
        <v>392</v>
      </c>
      <c r="N51" s="103" t="s">
        <v>389</v>
      </c>
      <c r="O51" s="103" t="s">
        <v>393</v>
      </c>
    </row>
    <row r="52" spans="1:15">
      <c r="A52" s="418"/>
      <c r="B52" s="419"/>
      <c r="C52" s="419"/>
      <c r="D52" s="419"/>
      <c r="E52" s="419"/>
      <c r="F52" s="419"/>
      <c r="G52" s="420"/>
      <c r="J52" s="409" t="s">
        <v>192</v>
      </c>
      <c r="K52" s="102" t="s">
        <v>394</v>
      </c>
      <c r="L52" s="100"/>
      <c r="M52" s="100"/>
      <c r="N52" s="100"/>
      <c r="O52" s="100"/>
    </row>
    <row r="53" spans="1:15">
      <c r="J53" s="409"/>
      <c r="K53" s="102" t="s">
        <v>395</v>
      </c>
      <c r="L53" s="100"/>
      <c r="M53" s="100"/>
      <c r="N53" s="100"/>
      <c r="O53" s="100"/>
    </row>
    <row r="54" spans="1:15">
      <c r="J54" s="409"/>
      <c r="K54" s="102" t="s">
        <v>396</v>
      </c>
      <c r="L54" s="100"/>
      <c r="M54" s="100"/>
      <c r="N54" s="100"/>
      <c r="O54" s="100"/>
    </row>
    <row r="55" spans="1:15">
      <c r="J55" s="409"/>
      <c r="K55" s="102" t="s">
        <v>398</v>
      </c>
      <c r="L55" s="100"/>
      <c r="M55" s="100"/>
      <c r="N55" s="100"/>
      <c r="O55" s="100"/>
    </row>
    <row r="56" spans="1:15">
      <c r="J56" s="409"/>
      <c r="K56" s="102" t="s">
        <v>400</v>
      </c>
      <c r="L56" s="100"/>
      <c r="M56" s="100"/>
      <c r="N56" s="100"/>
      <c r="O56" s="100"/>
    </row>
    <row r="57" spans="1:15">
      <c r="J57" s="409"/>
      <c r="K57" s="102" t="s">
        <v>401</v>
      </c>
      <c r="L57" s="100"/>
      <c r="M57" s="100"/>
      <c r="N57" s="100"/>
      <c r="O57" s="100"/>
    </row>
    <row r="58" spans="1:15">
      <c r="J58" s="409"/>
      <c r="K58" s="102" t="s">
        <v>402</v>
      </c>
      <c r="L58" s="100"/>
      <c r="M58" s="100"/>
      <c r="N58" s="100"/>
      <c r="O58" s="100"/>
    </row>
    <row r="59" spans="1:15">
      <c r="J59" s="409"/>
      <c r="K59" s="102" t="s">
        <v>404</v>
      </c>
      <c r="L59" s="100"/>
      <c r="M59" s="100"/>
      <c r="N59" s="100"/>
      <c r="O59" s="100"/>
    </row>
    <row r="60" spans="1:15">
      <c r="J60" s="409"/>
      <c r="K60" s="102" t="s">
        <v>405</v>
      </c>
      <c r="L60" s="100"/>
      <c r="M60" s="100"/>
      <c r="N60" s="100"/>
      <c r="O60" s="100"/>
    </row>
    <row r="61" spans="1:15">
      <c r="J61" s="409"/>
      <c r="K61" s="102" t="s">
        <v>406</v>
      </c>
      <c r="L61" s="100"/>
      <c r="M61" s="100"/>
      <c r="N61" s="100"/>
      <c r="O61" s="100"/>
    </row>
    <row r="62" spans="1:15">
      <c r="J62" s="409"/>
      <c r="K62" s="102" t="s">
        <v>407</v>
      </c>
      <c r="L62" s="100"/>
      <c r="M62" s="100"/>
      <c r="N62" s="100"/>
      <c r="O62" s="100"/>
    </row>
    <row r="63" spans="1:15">
      <c r="J63" s="409"/>
      <c r="K63" s="102" t="s">
        <v>408</v>
      </c>
      <c r="L63" s="100"/>
      <c r="M63" s="100"/>
      <c r="N63" s="100"/>
      <c r="O63" s="100"/>
    </row>
    <row r="64" spans="1:15">
      <c r="J64" s="409"/>
      <c r="K64" s="98" t="s">
        <v>409</v>
      </c>
      <c r="L64" s="98" t="e">
        <f>AVERAGE(L52:L63)</f>
        <v>#DIV/0!</v>
      </c>
      <c r="M64" s="98">
        <f>MAX(M52:M63)</f>
        <v>0</v>
      </c>
      <c r="N64" s="98" t="e">
        <f>AVERAGE(N52:N63)</f>
        <v>#DIV/0!</v>
      </c>
      <c r="O64" s="98">
        <f>MAX(O52:O63)</f>
        <v>0</v>
      </c>
    </row>
    <row r="66" spans="10:15" ht="41.45">
      <c r="J66" s="97">
        <f>+A6</f>
        <v>2022</v>
      </c>
      <c r="K66" s="97" t="s">
        <v>391</v>
      </c>
      <c r="L66" s="103" t="s">
        <v>386</v>
      </c>
      <c r="M66" s="103" t="s">
        <v>392</v>
      </c>
      <c r="N66" s="103" t="s">
        <v>389</v>
      </c>
      <c r="O66" s="103" t="s">
        <v>393</v>
      </c>
    </row>
    <row r="67" spans="10:15">
      <c r="J67" s="409" t="s">
        <v>193</v>
      </c>
      <c r="K67" s="102" t="s">
        <v>394</v>
      </c>
      <c r="L67" s="100"/>
      <c r="M67" s="100"/>
      <c r="N67" s="100"/>
      <c r="O67" s="100"/>
    </row>
    <row r="68" spans="10:15">
      <c r="J68" s="409"/>
      <c r="K68" s="102" t="s">
        <v>395</v>
      </c>
      <c r="L68" s="100"/>
      <c r="M68" s="100"/>
      <c r="N68" s="100"/>
      <c r="O68" s="100"/>
    </row>
    <row r="69" spans="10:15">
      <c r="J69" s="409"/>
      <c r="K69" s="102" t="s">
        <v>396</v>
      </c>
      <c r="L69" s="100"/>
      <c r="M69" s="100"/>
      <c r="N69" s="100"/>
      <c r="O69" s="100"/>
    </row>
    <row r="70" spans="10:15">
      <c r="J70" s="409"/>
      <c r="K70" s="102" t="s">
        <v>398</v>
      </c>
      <c r="L70" s="100"/>
      <c r="M70" s="100"/>
      <c r="N70" s="100"/>
      <c r="O70" s="100"/>
    </row>
    <row r="71" spans="10:15">
      <c r="J71" s="409"/>
      <c r="K71" s="102" t="s">
        <v>400</v>
      </c>
      <c r="L71" s="100"/>
      <c r="M71" s="100"/>
      <c r="N71" s="100"/>
      <c r="O71" s="100"/>
    </row>
    <row r="72" spans="10:15">
      <c r="J72" s="409"/>
      <c r="K72" s="102" t="s">
        <v>401</v>
      </c>
      <c r="L72" s="100"/>
      <c r="M72" s="100"/>
      <c r="N72" s="100"/>
      <c r="O72" s="100"/>
    </row>
    <row r="73" spans="10:15">
      <c r="J73" s="409"/>
      <c r="K73" s="102" t="s">
        <v>402</v>
      </c>
      <c r="L73" s="100"/>
      <c r="M73" s="100"/>
      <c r="N73" s="100"/>
      <c r="O73" s="100"/>
    </row>
    <row r="74" spans="10:15">
      <c r="J74" s="409"/>
      <c r="K74" s="102" t="s">
        <v>404</v>
      </c>
      <c r="L74" s="100"/>
      <c r="M74" s="100"/>
      <c r="N74" s="100"/>
      <c r="O74" s="100"/>
    </row>
    <row r="75" spans="10:15">
      <c r="J75" s="409"/>
      <c r="K75" s="102" t="s">
        <v>405</v>
      </c>
      <c r="L75" s="100"/>
      <c r="M75" s="100"/>
      <c r="N75" s="100"/>
      <c r="O75" s="100"/>
    </row>
    <row r="76" spans="10:15">
      <c r="J76" s="409"/>
      <c r="K76" s="102" t="s">
        <v>406</v>
      </c>
      <c r="L76" s="100"/>
      <c r="M76" s="100"/>
      <c r="N76" s="100"/>
      <c r="O76" s="100"/>
    </row>
    <row r="77" spans="10:15">
      <c r="J77" s="409"/>
      <c r="K77" s="102" t="s">
        <v>407</v>
      </c>
      <c r="L77" s="100"/>
      <c r="M77" s="100"/>
      <c r="N77" s="100"/>
      <c r="O77" s="100"/>
    </row>
    <row r="78" spans="10:15">
      <c r="J78" s="409"/>
      <c r="K78" s="102" t="s">
        <v>408</v>
      </c>
      <c r="L78" s="100"/>
      <c r="M78" s="100"/>
      <c r="N78" s="100"/>
      <c r="O78" s="100"/>
    </row>
    <row r="79" spans="10:15">
      <c r="J79" s="409"/>
      <c r="K79" s="98" t="s">
        <v>409</v>
      </c>
      <c r="L79" s="98" t="e">
        <f>AVERAGE(L67:L78)</f>
        <v>#DIV/0!</v>
      </c>
      <c r="M79" s="98">
        <f>MAX(M67:M78)</f>
        <v>0</v>
      </c>
      <c r="N79" s="98" t="e">
        <f>AVERAGE(N67:N78)</f>
        <v>#DIV/0!</v>
      </c>
      <c r="O79" s="9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efra Image" ma:contentTypeID="0x0101009148F5A04DDD49CBA7127AADA5FB792B00AADE34325A8B49CDA8BB4DB53328F214003B02ABCC6D8F434E9CAFE017FAD4D7F700E9EA476A69C5CF44A27B692DC1C72851" ma:contentTypeVersion="2" ma:contentTypeDescription="Upload an image." ma:contentTypeScope="" ma:versionID="7df966df957485356e98b5593d5be24d">
  <xsd:schema xmlns:xsd="http://www.w3.org/2001/XMLSchema" xmlns:xs="http://www.w3.org/2001/XMLSchema" xmlns:p="http://schemas.microsoft.com/office/2006/metadata/properties" xmlns:ns1="http://schemas.microsoft.com/sharepoint/v3" xmlns:ns2="http://schemas.microsoft.com/sharepoint/v3/fields" xmlns:ns3="662745e8-e224-48e8-a2e3-254862b8c2f5" targetNamespace="http://schemas.microsoft.com/office/2006/metadata/properties" ma:root="true" ma:fieldsID="1d3f8726ebf8d01ca22ce4583d2884f1" ns1:_="" ns2:_="" ns3:_="">
    <xsd:import namespace="http://schemas.microsoft.com/sharepoint/v3"/>
    <xsd:import namespace="http://schemas.microsoft.com/sharepoint/v3/fields"/>
    <xsd:import namespace="662745e8-e224-48e8-a2e3-254862b8c2f5"/>
    <xsd:element name="properties">
      <xsd:complexType>
        <xsd:sequence>
          <xsd:element name="documentManagement">
            <xsd:complexType>
              <xsd:all>
                <xsd:element ref="ns1:FileRef" minOccurs="0"/>
                <xsd:element ref="ns1:File_x0020_Type" minOccurs="0"/>
                <xsd:element ref="ns1:HTML_x0020_File_x0020_Type" minOccurs="0"/>
                <xsd:element ref="ns1:FSObjType" minOccurs="0"/>
                <xsd:element ref="ns1:ThumbnailExists" minOccurs="0"/>
                <xsd:element ref="ns1:PreviewExists" minOccurs="0"/>
                <xsd:element ref="ns2:ImageWidth" minOccurs="0"/>
                <xsd:element ref="ns2:ImageHeight" minOccurs="0"/>
                <xsd:element ref="ns2:ImageCreateDate" minOccurs="0"/>
                <xsd:element ref="ns2:wic_System_Copyright" minOccurs="0"/>
                <xsd:element ref="ns3:lae2bfa7b6474897ab4a53f76ea236c7" minOccurs="0"/>
                <xsd:element ref="ns3:TaxCatchAll" minOccurs="0"/>
                <xsd:element ref="ns3:TaxCatchAllLabel" minOccurs="0"/>
                <xsd:element ref="ns3:cf401361b24e474cb011be6eb76c0e76" minOccurs="0"/>
                <xsd:element ref="ns3:n7493b4506bf40e28c373b1e51a33445" minOccurs="0"/>
                <xsd:element ref="ns3:HOMigrated" minOccurs="0"/>
                <xsd:element ref="ns3:k85d23755b3a46b5a51451cf336b2e9b" minOccurs="0"/>
                <xsd:element ref="ns3:Team" minOccurs="0"/>
                <xsd:element ref="ns3:Topic" minOccurs="0"/>
                <xsd:element ref="ns3:ddeb1fd0a9ad4436a96525d34737dc44" minOccurs="0"/>
                <xsd:element ref="ns3:fe59e9859d6a491389c5b03567f5dda5"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FileRef" ma:index="8" nillable="true" ma:displayName="URL Path" ma:hidden="true" ma:list="Docs" ma:internalName="FileRef" ma:readOnly="true" ma:showField="FullUrl">
      <xsd:simpleType>
        <xsd:restriction base="dms:Lookup"/>
      </xsd:simpleType>
    </xsd:element>
    <xsd:element name="File_x0020_Type" ma:index="9" nillable="true" ma:displayName="File Type" ma:hidden="true" ma:internalName="File_x0020_Type" ma:readOnly="true">
      <xsd:simpleType>
        <xsd:restriction base="dms:Text"/>
      </xsd:simpleType>
    </xsd:element>
    <xsd:element name="HTML_x0020_File_x0020_Type" ma:index="10" nillable="true" ma:displayName="HTML File Type" ma:hidden="true" ma:internalName="HTML_x0020_File_x0020_Type" ma:readOnly="true">
      <xsd:simpleType>
        <xsd:restriction base="dms:Text"/>
      </xsd:simpleType>
    </xsd:element>
    <xsd:element name="FSObjType" ma:index="11" nillable="true" ma:displayName="Item Type" ma:hidden="true" ma:list="Docs" ma:internalName="FSObjType" ma:readOnly="true" ma:showField="FSType">
      <xsd:simpleType>
        <xsd:restriction base="dms:Lookup"/>
      </xsd:simpleType>
    </xsd:element>
    <xsd:element name="ThumbnailExists" ma:index="18" nillable="true" ma:displayName="Thumbnail Exists" ma:default="FALSE" ma:hidden="true" ma:internalName="ThumbnailExists" ma:readOnly="true">
      <xsd:simpleType>
        <xsd:restriction base="dms:Boolean"/>
      </xsd:simpleType>
    </xsd:element>
    <xsd:element name="PreviewExists" ma:index="19" nillable="true" ma:displayName="Preview Exists" ma:default="FALSE" ma:hidden="true" ma:internalName="PreviewExists"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ImageWidth" ma:index="20" nillable="true" ma:displayName="Picture Width" ma:internalName="ImageWidth" ma:readOnly="true">
      <xsd:simpleType>
        <xsd:restriction base="dms:Unknown"/>
      </xsd:simpleType>
    </xsd:element>
    <xsd:element name="ImageHeight" ma:index="22" nillable="true" ma:displayName="Picture Height" ma:internalName="ImageHeight" ma:readOnly="true">
      <xsd:simpleType>
        <xsd:restriction base="dms:Unknown"/>
      </xsd:simpleType>
    </xsd:element>
    <xsd:element name="ImageCreateDate" ma:index="25" nillable="true" ma:displayName="Date Picture Taken" ma:format="DateTime" ma:hidden="true" ma:internalName="ImageCreateDate">
      <xsd:simpleType>
        <xsd:restriction base="dms:DateTime"/>
      </xsd:simpleType>
    </xsd:element>
    <xsd:element name="wic_System_Copyright" ma:index="26" nillable="true" ma:displayName="Copyright" ma:internalName="wic_System_Copyright">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27"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28"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29"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31"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33"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35" nillable="true" ma:displayName="Migrated" ma:default="0" ma:internalName="HOMigrated">
      <xsd:simpleType>
        <xsd:restriction base="dms:Boolean"/>
      </xsd:simpleType>
    </xsd:element>
    <xsd:element name="k85d23755b3a46b5a51451cf336b2e9b" ma:index="36"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38" nillable="true" ma:displayName="Team" ma:default="Waste Incineration Sector Group" ma:internalName="Team">
      <xsd:simpleType>
        <xsd:restriction base="dms:Text"/>
      </xsd:simpleType>
    </xsd:element>
    <xsd:element name="Topic" ma:index="39" nillable="true" ma:displayName="Topic" ma:default="Data" ma:internalName="Topic">
      <xsd:simpleType>
        <xsd:restriction base="dms:Text"/>
      </xsd:simpleType>
    </xsd:element>
    <xsd:element name="ddeb1fd0a9ad4436a96525d34737dc44" ma:index="40"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42"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24" ma:displayName="Author"/>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ma:index="23" ma:displayName="Comments"/>
        <xsd:element name="keywords" minOccurs="0" maxOccurs="1" type="xsd:string" ma:index="14" ma:displayName="Keywords"/>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haredContentType xmlns="Microsoft.SharePoint.Taxonomy.ContentTypeSync" SourceId="d1117845-93f6-4da3-abaa-fcb4fa669c78" ContentTypeId="0x0101009148F5A04DDD49CBA7127AADA5FB792B00AADE34325A8B49CDA8BB4DB53328F214003B02ABCC6D8F434E9CAFE017FAD4D7F7" PreviousValue="false" LastSyncTimeStamp="2018-07-26T16:31:42.4Z"/>
</file>

<file path=customXml/item4.xml><?xml version="1.0" encoding="utf-8"?>
<p:properties xmlns:p="http://schemas.microsoft.com/office/2006/metadata/properties" xmlns:xsi="http://www.w3.org/2001/XMLSchema-instance" xmlns:pc="http://schemas.microsoft.com/office/infopath/2007/PartnerControls">
  <documentManagement>
    <ImageCreateDate xmlns="http://schemas.microsoft.com/sharepoint/v3/fields" xsi:nil="true"/>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TaxCatchAll xmlns="662745e8-e224-48e8-a2e3-254862b8c2f5">
      <Value>6</Value>
      <Value>10</Value>
      <Value>9</Value>
      <Value>8</Value>
      <Value>7</Value>
    </TaxCatchAll>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wic_System_Copyright xmlns="http://schemas.microsoft.com/sharepoint/v3/fields" xsi:nil="true"/>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Props1.xml><?xml version="1.0" encoding="utf-8"?>
<ds:datastoreItem xmlns:ds="http://schemas.openxmlformats.org/officeDocument/2006/customXml" ds:itemID="{130E79B3-286C-4594-AC93-4243D3FE78E7}"/>
</file>

<file path=customXml/itemProps2.xml><?xml version="1.0" encoding="utf-8"?>
<ds:datastoreItem xmlns:ds="http://schemas.openxmlformats.org/officeDocument/2006/customXml" ds:itemID="{E43F68E6-6120-440F-9844-4C3518D9A0B6}"/>
</file>

<file path=customXml/itemProps3.xml><?xml version="1.0" encoding="utf-8"?>
<ds:datastoreItem xmlns:ds="http://schemas.openxmlformats.org/officeDocument/2006/customXml" ds:itemID="{ED8A799A-A78F-4985-ADA2-E81E1633F90F}"/>
</file>

<file path=customXml/itemProps4.xml><?xml version="1.0" encoding="utf-8"?>
<ds:datastoreItem xmlns:ds="http://schemas.openxmlformats.org/officeDocument/2006/customXml" ds:itemID="{03A65312-EDD8-4ED5-85CD-21EC9D2BFEF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Evans, Scott</cp:lastModifiedBy>
  <cp:revision/>
  <dcterms:created xsi:type="dcterms:W3CDTF">2019-04-02T06:44:55Z</dcterms:created>
  <dcterms:modified xsi:type="dcterms:W3CDTF">2023-05-09T10:32:56Z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0x0101009148F5A04DDD49CBA7127AADA5FB792B00AADE34325A8B49CDA8BB4DB53328F214003B02ABCC6D8F434E9CAFE017FAD4D7F700E9EA476A69C5CF44A27B692DC1C72851</vt:lpwstr>
  </property>
  <property fmtid="{D5CDD505-2E9C-101B-9397-08002B2CF9AE}" pid="3" name="Order">
    <vt:r8>12200</vt:r8>
  </property>
  <property fmtid="{D5CDD505-2E9C-101B-9397-08002B2CF9AE}" pid="4" name="_ExtendedDescription">
    <vt:lpwstr/>
  </property>
  <property fmtid="{D5CDD505-2E9C-101B-9397-08002B2CF9AE}" pid="5" name="TriggerFlowInfo">
    <vt:lpwstr/>
  </property>
  <property fmtid="{D5CDD505-2E9C-101B-9397-08002B2CF9AE}" pid="6" name="ComplianceAssetId">
    <vt:lpwstr/>
  </property>
  <property fmtid="{D5CDD505-2E9C-101B-9397-08002B2CF9AE}" pid="7" name="InformationType">
    <vt:lpwstr/>
  </property>
  <property fmtid="{D5CDD505-2E9C-101B-9397-08002B2CF9AE}" pid="8" name="Distribution">
    <vt:lpwstr>9;#Internal EA|b77da37e-7166-4741-8c12-4679faab22d9</vt:lpwstr>
  </property>
  <property fmtid="{D5CDD505-2E9C-101B-9397-08002B2CF9AE}" pid="9" name="HOCopyrightLevel">
    <vt:lpwstr>7;#Crown|69589897-2828-4761-976e-717fd8e631c9</vt:lpwstr>
  </property>
  <property fmtid="{D5CDD505-2E9C-101B-9397-08002B2CF9AE}" pid="10" name="HOGovernmentSecurityClassification">
    <vt:lpwstr>6;#Official|14c80daa-741b-422c-9722-f71693c9ede4</vt:lpwstr>
  </property>
  <property fmtid="{D5CDD505-2E9C-101B-9397-08002B2CF9AE}" pid="11" name="HOSiteType">
    <vt:lpwstr>10;#Community|144ac7d7-0b9a-42f9-9385-2935294b6de3</vt:lpwstr>
  </property>
  <property fmtid="{D5CDD505-2E9C-101B-9397-08002B2CF9AE}" pid="12" name="OrganisationalUnit">
    <vt:lpwstr>8;#EA|d5f78ddb-b1b6-4328-9877-d7e3ed06fdac</vt:lpwstr>
  </property>
</Properties>
</file>