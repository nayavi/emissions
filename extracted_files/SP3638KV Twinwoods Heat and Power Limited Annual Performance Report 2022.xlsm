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JPYM\Desktop\"/>
    </mc:Choice>
  </mc:AlternateContent>
  <xr:revisionPtr revIDLastSave="0" documentId="8_{755436E7-9BCC-4407-B903-7599C7048F67}" xr6:coauthVersionLast="47" xr6:coauthVersionMax="47" xr10:uidLastSave="{00000000-0000-0000-0000-000000000000}"/>
  <bookViews>
    <workbookView xWindow="-110" yWindow="-110" windowWidth="19420" windowHeight="10420"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0.5hourly" sheetId="29" r:id="rId20"/>
    <sheet name="CO 95% 10 min" sheetId="30" r:id="rId21"/>
    <sheet name="NH3" sheetId="31" r:id="rId22"/>
  </sheets>
  <definedNames>
    <definedName name="_xlnm.Print_Area" localSheetId="13">'Air (CEMS)'!$A$1:$M$30</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1">'NH3'!$A$1:$G$52</definedName>
    <definedName name="_xlnm.Print_Area" localSheetId="16">NOx!$A$1:$G$52</definedName>
    <definedName name="_xlnm.Print_Area" localSheetId="3">'Operational Data'!$A$1:$H$61</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Compliance'!$A$1:$J$35</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7" l="1"/>
  <c r="G17" i="6"/>
  <c r="H17" i="6"/>
  <c r="G16" i="6"/>
  <c r="H16" i="6" s="1"/>
  <c r="J3" i="31"/>
  <c r="J3" i="30"/>
  <c r="J3" i="29"/>
  <c r="J3" i="28"/>
  <c r="J3" i="27"/>
  <c r="J3" i="26"/>
  <c r="J3" i="25"/>
  <c r="J3" i="13"/>
  <c r="G19" i="6" l="1"/>
  <c r="H19" i="6" s="1"/>
  <c r="G55" i="6" l="1"/>
  <c r="G56" i="6" l="1"/>
  <c r="G61" i="6"/>
  <c r="G60" i="6"/>
  <c r="G59" i="6"/>
  <c r="G58" i="6"/>
  <c r="G51" i="6"/>
  <c r="H51" i="6" s="1"/>
  <c r="G52" i="6"/>
  <c r="G53" i="6"/>
  <c r="G54" i="6"/>
  <c r="G57" i="6"/>
  <c r="D18" i="6" l="1"/>
  <c r="E18" i="6"/>
  <c r="F18" i="6"/>
  <c r="C18" i="6"/>
  <c r="E1" i="31" l="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I22" i="7"/>
  <c r="I20" i="7"/>
  <c r="I19" i="7"/>
  <c r="I12" i="7"/>
  <c r="D27" i="6"/>
  <c r="E27" i="6"/>
  <c r="F27" i="6"/>
  <c r="C27" i="6"/>
  <c r="G7" i="8"/>
  <c r="D7" i="8"/>
  <c r="B5" i="8"/>
  <c r="G3" i="8"/>
  <c r="A3" i="8"/>
  <c r="A1" i="8"/>
  <c r="G23" i="7"/>
  <c r="E23" i="7"/>
  <c r="G15" i="7"/>
  <c r="E15" i="7"/>
  <c r="B4" i="7"/>
  <c r="G3" i="7"/>
  <c r="A3" i="7"/>
  <c r="A1" i="7"/>
  <c r="A8" i="7" s="1"/>
  <c r="H61" i="6"/>
  <c r="H60" i="6"/>
  <c r="H59" i="6"/>
  <c r="H58" i="6"/>
  <c r="B51" i="6"/>
  <c r="G48" i="6"/>
  <c r="H48" i="6" s="1"/>
  <c r="G47" i="6"/>
  <c r="H47" i="6" s="1"/>
  <c r="G46" i="6"/>
  <c r="G45" i="6"/>
  <c r="E37" i="7" s="1"/>
  <c r="G44" i="6"/>
  <c r="E36" i="7" s="1"/>
  <c r="G43" i="6"/>
  <c r="E35" i="7" s="1"/>
  <c r="G42" i="6"/>
  <c r="H42" i="6" s="1"/>
  <c r="G41" i="6"/>
  <c r="E33" i="7" s="1"/>
  <c r="G38" i="6"/>
  <c r="G37" i="6"/>
  <c r="G36" i="6"/>
  <c r="G35" i="6"/>
  <c r="G34" i="6"/>
  <c r="G33" i="6"/>
  <c r="G29" i="6"/>
  <c r="D14" i="8" s="1"/>
  <c r="G28" i="6"/>
  <c r="H28" i="6" s="1"/>
  <c r="G26" i="6"/>
  <c r="D11" i="8" s="1"/>
  <c r="G25" i="6"/>
  <c r="G24" i="6"/>
  <c r="D12" i="8" s="1"/>
  <c r="G23" i="6"/>
  <c r="G20" i="6"/>
  <c r="H20" i="6" s="1"/>
  <c r="G15" i="6"/>
  <c r="G14" i="6"/>
  <c r="H14" i="6" s="1"/>
  <c r="G13" i="6"/>
  <c r="G12" i="6"/>
  <c r="G11" i="6"/>
  <c r="G10" i="6"/>
  <c r="G9" i="6"/>
  <c r="G8" i="6"/>
  <c r="G24" i="7" l="1"/>
  <c r="G18" i="6"/>
  <c r="H45" i="6" s="1"/>
  <c r="H26" i="6"/>
  <c r="H29" i="6"/>
  <c r="G27" i="6"/>
  <c r="E24" i="7"/>
  <c r="E34" i="7"/>
  <c r="H8" i="6"/>
  <c r="D10" i="8"/>
  <c r="A31" i="7"/>
  <c r="A43" i="7" s="1"/>
  <c r="H15" i="6" l="1"/>
  <c r="H46" i="6"/>
  <c r="H43" i="6"/>
  <c r="H37" i="7"/>
  <c r="H36" i="7"/>
  <c r="H35" i="7"/>
  <c r="H44" i="6"/>
  <c r="I23" i="7"/>
  <c r="H18" i="6"/>
  <c r="I11" i="7"/>
  <c r="I21" i="7"/>
  <c r="I18" i="7"/>
  <c r="I15" i="7"/>
  <c r="H12" i="6"/>
  <c r="H33" i="7"/>
  <c r="H41" i="6"/>
  <c r="H23" i="6"/>
  <c r="G10" i="8" s="1"/>
  <c r="H24" i="6"/>
  <c r="G12" i="8" s="1"/>
  <c r="H34" i="7"/>
  <c r="H25" i="6"/>
  <c r="H38" i="6"/>
  <c r="H36" i="6"/>
  <c r="H37" i="6"/>
  <c r="I24" i="7"/>
  <c r="H35" i="6"/>
  <c r="H33" i="6"/>
  <c r="H10" i="6"/>
  <c r="G11" i="8"/>
  <c r="H13" i="6"/>
  <c r="G14" i="8"/>
  <c r="H11" i="6"/>
  <c r="H9" i="6"/>
  <c r="H34" i="6"/>
</calcChain>
</file>

<file path=xl/sharedStrings.xml><?xml version="1.0" encoding="utf-8"?>
<sst xmlns="http://schemas.openxmlformats.org/spreadsheetml/2006/main" count="1802" uniqueCount="407">
  <si>
    <t>Add company logo</t>
  </si>
  <si>
    <t>Version 2.1 11/11/19</t>
  </si>
  <si>
    <t>Add photo</t>
  </si>
  <si>
    <t>Notes:</t>
  </si>
  <si>
    <t>This template may require adjustments by individual operators to meet specific reporting requirements as defined in the site Permit(s)</t>
  </si>
  <si>
    <t>Annual Performance Report 2022</t>
  </si>
  <si>
    <t>Permit EPR/SP3638KV</t>
  </si>
  <si>
    <t>Twinwoods Co-Incinerator</t>
  </si>
  <si>
    <t>other name of facility (if applicable)</t>
  </si>
  <si>
    <t>Twinwoods Heat and Power Limited</t>
  </si>
  <si>
    <t>Year:</t>
  </si>
  <si>
    <t>Address:</t>
  </si>
  <si>
    <t>Unit 16, Twinwoods Business park, Thurleigh Road, Milton Ernest, Bedford MK41 6BJ</t>
  </si>
  <si>
    <t xml:space="preserve">Tel: </t>
  </si>
  <si>
    <t>01234-436450</t>
  </si>
  <si>
    <t xml:space="preserve">Email: </t>
  </si>
  <si>
    <t>kim@thpl.co.uk</t>
  </si>
  <si>
    <t>Prepared by:</t>
  </si>
  <si>
    <t>S Clayton</t>
  </si>
  <si>
    <t>Position:</t>
  </si>
  <si>
    <t>Environmental Advisor</t>
  </si>
  <si>
    <t>Approved by:</t>
  </si>
  <si>
    <t>K Hall</t>
  </si>
  <si>
    <t>Site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</si>
  <si>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</si>
  <si>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</si>
  <si>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</si>
  <si>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</si>
  <si>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</si>
  <si>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</si>
  <si>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</si>
  <si>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</si>
  <si>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</si>
  <si>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</si>
  <si>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</si>
  <si>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</si>
  <si>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</si>
  <si>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</si>
  <si>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</si>
  <si>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</si>
  <si>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</si>
  <si>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</si>
  <si>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</si>
  <si>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</si>
  <si>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</si>
  <si>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</si>
  <si>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</si>
  <si>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</si>
  <si>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</si>
  <si>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</si>
  <si>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</si>
  <si>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</si>
  <si>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</si>
  <si>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</si>
  <si>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</si>
  <si>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</si>
  <si>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</si>
  <si>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</si>
  <si>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</si>
  <si>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</si>
  <si>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installation is located at National Grid reference TL 03316 56448 at Twinwoods Business Park near Bedford. The site generates electricity from the co-incineration of waste, predominantly hazardous and non-hazardous wood. The annual throughput is 32,500 tonnes for a maximum electrical generation of 3.6 MWe.
 Bulky waste wood is stored in the new storage area pending shredding and is then fed by walking floor to a covered conveyor into the combustion chamber. Already shredded wood and other waste (oily rags) are not stored on site and are delivered diirectly to the fuel reception area.
The waste fuel is incinerated on a step grate system with one line and one primary combustion chamber fitted with a 12MW auxiliary burner fired by gas oil. In addition there is 12MW of cooling via air cooled equipment.
Any bottom ash produced by the process is collected in steel plate hoppers underneath the combustion grate for transportation to the waste ash skip. Once the skip is full it is transferred by an approved waste carrier for disposal. Fly ash entrained within the incinerator exhaust gases is treated by the air pollution control equipment. This is then collected, along with waste sodium bicarbonate from the acid gas abatement system (APCR) in the bag house filter and stored in a hopper prior to disposal.The treated emissions to air are released through a stack comprising one flue. The Continuous Emission Monitor (CEMs)continuously monitors for particulates, carbon monoxide (CO), sulphur dioxide (SO2), hydrogen chloride (HCI), oxygen (O2), nitrogen oxides (NOx) and total organic compounds (TOC). 
(alt enter to make new para)</t>
  </si>
  <si>
    <t xml:space="preserve">Include summary of plant design, design capacity, no. of combustion lines, electrical and heat capacity and any other general information that descibes the facility, its location and purpose </t>
  </si>
  <si>
    <t>Summary of Operational Processes and Procedures</t>
  </si>
  <si>
    <t>The process is described above. An EMS has been in development during 2020/1 for the control of environmental matters at the plant. In addition there are standard operating procedures (SOP) for the management and control of the plant which are not considered to be environmental covering all plant systems.</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</si>
  <si>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</si>
  <si>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</si>
  <si>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</si>
  <si>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</si>
  <si>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</si>
  <si>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</si>
  <si>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</si>
  <si>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</si>
  <si>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</si>
  <si>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</si>
  <si>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</si>
  <si>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</si>
  <si>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</si>
  <si>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</si>
  <si>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</si>
  <si>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</si>
  <si>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</si>
  <si>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</si>
  <si>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</si>
  <si>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</si>
  <si>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</si>
  <si>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 xml:space="preserve">Refuse derived fuel </t>
  </si>
  <si>
    <t xml:space="preserve">Solid recovered fuel </t>
  </si>
  <si>
    <t>Oily rags</t>
  </si>
  <si>
    <t>Other [Please specify]</t>
  </si>
  <si>
    <t>Total waste received</t>
  </si>
  <si>
    <t xml:space="preserve">Rejected Waste </t>
  </si>
  <si>
    <t>Waste transferred out</t>
  </si>
  <si>
    <t>Energy Useage / Export</t>
  </si>
  <si>
    <t>KWh/te</t>
  </si>
  <si>
    <t>Power Generated</t>
  </si>
  <si>
    <t>MWh</t>
  </si>
  <si>
    <t>Power Exported</t>
  </si>
  <si>
    <t>Power Used on site</t>
  </si>
  <si>
    <t>Power Imported</t>
  </si>
  <si>
    <t>Parasitic Load</t>
  </si>
  <si>
    <t>Thermal Energy Produced</t>
  </si>
  <si>
    <t>GWh</t>
  </si>
  <si>
    <t>Thermal Energy Exported</t>
  </si>
  <si>
    <t>R1 value</t>
  </si>
  <si>
    <t>Design / Operational / n/a</t>
  </si>
  <si>
    <t>Waste Disposal &amp; Recovery</t>
  </si>
  <si>
    <t>% inputs</t>
  </si>
  <si>
    <t>APC Residues - produced</t>
  </si>
  <si>
    <t>IBA - produced</t>
  </si>
  <si>
    <t>Metals recycling</t>
  </si>
  <si>
    <t>Oil</t>
  </si>
  <si>
    <t>Contaminated packaging</t>
  </si>
  <si>
    <t>Mixed municipal waste</t>
  </si>
  <si>
    <t>Raw Material Usage</t>
  </si>
  <si>
    <t>kg or Ltr /te</t>
  </si>
  <si>
    <t>Mains Water</t>
  </si>
  <si>
    <r>
      <t>m</t>
    </r>
    <r>
      <rPr>
        <vertAlign val="superscript"/>
        <sz val="10"/>
        <color theme="1"/>
        <rFont val="Arial"/>
        <family val="2"/>
      </rPr>
      <t>3</t>
    </r>
  </si>
  <si>
    <t>Other Water</t>
  </si>
  <si>
    <t>Urea</t>
  </si>
  <si>
    <t>kgs</t>
  </si>
  <si>
    <t>Activated Carbon</t>
  </si>
  <si>
    <t>Sodium Bicarbonate</t>
  </si>
  <si>
    <t>Fuel oil</t>
  </si>
  <si>
    <t>ltrs</t>
  </si>
  <si>
    <t>Gas</t>
  </si>
  <si>
    <t>cf</t>
  </si>
  <si>
    <t>Other</t>
  </si>
  <si>
    <t>Summary of Hours</t>
  </si>
  <si>
    <t>Line/Unit</t>
  </si>
  <si>
    <t>Hours of waste combustion, total</t>
  </si>
  <si>
    <t>x %</t>
  </si>
  <si>
    <t>Hours of turbine operations, total</t>
  </si>
  <si>
    <t>Hours of heat / steam export</t>
  </si>
  <si>
    <t>Abnormal Events</t>
  </si>
  <si>
    <t>qty.</t>
  </si>
  <si>
    <t>Abnormal operation</t>
  </si>
  <si>
    <t>hours</t>
  </si>
  <si>
    <t>Permit Breaches</t>
  </si>
  <si>
    <t>Summary of Plant Operations and Maintenance during the reporting year</t>
  </si>
  <si>
    <t xml:space="preserve">General maintenance will be carried out at regular intervals and the plant is shut down to clean the system every 10 – 12 weeks thought the year, also to carry out equipment maintenance. There was an extended shut down in September 2022 to undertake some plant improvements and maintenance. There have been some issues October, November, December which have required ad hoc maintenance. The maintenance undertaken at the September outage included: 
Fly Ash Discharge screw on bag house 2 replaced and refurbished dump valve fitted, pipe
work resecured, and exit pipework on dump valves modified to make future exchanges
Quicker. Old redundant pipework removed.
 Turbine Control valve stem packing replaced and steam leak on turbine repaired
 GEFA Conveyor Bottom Pulleys and bearing’s replaced Chain Shortened 1 link due to stretch
replacement bottom door manufactured and fitted
 Boiler jetting Carried out
 Grate Stripped And underneath cleaned, new Grate Support Rollers &amp;amp; Bracket’s
Manufactured and installed
 Wood feed stokers removed and remanufactured Nylon wear part’s replaced
 Cabling and pipework below hopper Tidied up corroded containment replaced
 Baghouse Temperature Probe Replaced
 Combustor Temperature Probe’s fitted with plug’s and Socket’s To enable easy Swap out
 Refractory Inside Boiler Repaired Feed Mouth Side and rear bull nose
 Dunphy Burner Settings Adjusted
 Primary and Recirc fan inverters Replaced
 Grate Camera Replaced
 Hopper Camera Replaced
 Drain’s Jetted
 New Style Grate Bar’s Fitted 4 rows in combustion Zone
 Transformer Oil Samples Taken and Dessicant Breather Replaced
 Condensor 3 way valve Rebuilt
</t>
  </si>
  <si>
    <t xml:space="preserve">Include summary of key operational and/or mainteanance activity undertaken in the year, such as any major component upgrades and/or replacements </t>
  </si>
  <si>
    <t>Summary of Residue Handling for the reporting year</t>
  </si>
  <si>
    <t>All bottom ash is removed by Mick George and is sent for recovery.
All fly ash and APCR is now sent to Augean for treatment and disposal.</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</si>
  <si>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</si>
  <si>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</si>
  <si>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</si>
  <si>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</si>
  <si>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</si>
  <si>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</si>
  <si>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</si>
  <si>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</si>
  <si>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</si>
  <si>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</si>
  <si>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</si>
  <si>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</si>
  <si>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</si>
  <si>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</si>
  <si>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</si>
  <si>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</si>
  <si>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Hazardous landfill</t>
  </si>
  <si>
    <t>IBA</t>
  </si>
  <si>
    <t>Recovery</t>
  </si>
  <si>
    <t>Total Hazardous Waste</t>
  </si>
  <si>
    <t>2) Non-Hazardous Wastes</t>
  </si>
  <si>
    <t>Ferrous Metal</t>
  </si>
  <si>
    <t>Contaminated Packaging</t>
  </si>
  <si>
    <t>Municipal waste</t>
  </si>
  <si>
    <t>Total Non-Hazardous Waste</t>
  </si>
  <si>
    <t>TOTAL WASTE</t>
  </si>
  <si>
    <t>Operator’s comments :</t>
  </si>
  <si>
    <t>The above shows that waste generated at site is mostly sent for recovery and overall is a small fraction of the incoming waste wood.</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</si>
  <si>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</si>
  <si>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</si>
  <si>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</si>
  <si>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</si>
  <si>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</si>
  <si>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</si>
  <si>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</si>
  <si>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</si>
  <si>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</si>
  <si>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Urea and sodium bicarbonate use significantly down on 2021 whilst activated carbon is slightly greater than 2021.</t>
  </si>
  <si>
    <t xml:space="preserve">Annual Reporting of other performance indicators </t>
  </si>
  <si>
    <t>Parameter</t>
  </si>
  <si>
    <t>Results by Line</t>
  </si>
  <si>
    <t>A1</t>
  </si>
  <si>
    <t>A2</t>
  </si>
  <si>
    <t>A3</t>
  </si>
  <si>
    <t>A4</t>
  </si>
  <si>
    <t>A5</t>
  </si>
  <si>
    <t>Turbine 1</t>
  </si>
  <si>
    <t>Turbine 2</t>
  </si>
  <si>
    <t>Operating hours for the year, hours</t>
  </si>
  <si>
    <t>N/A</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</si>
  <si>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</si>
  <si>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</si>
  <si>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</si>
  <si>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</si>
  <si>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</si>
  <si>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</si>
  <si>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</si>
  <si>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</si>
  <si>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</si>
  <si>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</si>
  <si>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</si>
  <si>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</si>
  <si>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</si>
  <si>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</si>
  <si>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Electricity produced and exported are down on 2021 but so are the generating hours. KWh per tonne of waste generated is up on the previous year which shows that generating more electrcity for tonne of waste incinerated.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</si>
  <si>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</si>
  <si>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</si>
  <si>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</si>
  <si>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</si>
  <si>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</si>
  <si>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</si>
  <si>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</si>
  <si>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</si>
  <si>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</si>
  <si>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</si>
  <si>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</si>
  <si>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</si>
  <si>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</si>
  <si>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</si>
  <si>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</si>
  <si>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</si>
  <si>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</si>
  <si>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</si>
  <si>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See quarterly environmental reports for greater detail on reasons and actions taken.</t>
  </si>
  <si>
    <t>Summary of any complaints received and actions to taken to resolve them.</t>
  </si>
  <si>
    <t>Summary of complaint [including Line/Reference]</t>
  </si>
  <si>
    <t>Reason *</t>
  </si>
  <si>
    <t>No complaints received.</t>
  </si>
  <si>
    <t>* including whether substantiated by the operator or the EA</t>
  </si>
  <si>
    <t>Compliance with NOx and CO daily limits and CO half hourly limits slightly worse than 2021 with the rest of the pollutants largely the same.</t>
  </si>
  <si>
    <t>Summary of Plant Improvements</t>
  </si>
  <si>
    <t>Summary of any efficiency improvements that have been completed within the year.</t>
  </si>
  <si>
    <t>See operational summary section for improvements made during the September outage.</t>
  </si>
  <si>
    <t>Summary of any permit improvement conditions that have been completed within the year and the resulting environmental benefits.</t>
  </si>
  <si>
    <t>All improvement conditions are now complete with the exception of 1. Submission for this has been with the EA for some significant time.</t>
  </si>
  <si>
    <t>Summary of any changes to the plant or operating techniques which required a variation to the permit and a summary of the resulting environmental impact.</t>
  </si>
  <si>
    <t>No permit changes in 2022.</t>
  </si>
  <si>
    <t>Summary of any other improvements made to the plant or planned to be made and a summary of the resulting environmental benefits.</t>
  </si>
  <si>
    <t>It is proposed to include for a secondary feed system to ensure supply of wood to the feed hopper in the event of a blockage of the primary feed system. This will enable the prommary feed syystem to be unblocked and restarted without any gaps appearing on the grate which would result in a number of CO spikes.</t>
  </si>
  <si>
    <t>Details of Public &amp; Stakeholder Liasion</t>
  </si>
  <si>
    <t>Summary of events held during the reporting year.</t>
  </si>
  <si>
    <t>Description</t>
  </si>
  <si>
    <t>None</t>
  </si>
  <si>
    <t>List of events planned for next year</t>
  </si>
  <si>
    <t>If you wish to be involved in the public liasion programme, please contact _________________</t>
  </si>
  <si>
    <t>Residue Quality Monitoring Requirements</t>
  </si>
  <si>
    <t>Summary of monitoring undertaken and compliance</t>
  </si>
  <si>
    <t>Bottom ash and fly ash testing are required to be undertaken quarterly according to the permit. These are tested once per quarter at least in accordance with the requirements in the permit by an appropriately certified laboratory.</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</si>
  <si>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</si>
  <si>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</si>
  <si>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</si>
  <si>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</si>
  <si>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</si>
  <si>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</si>
  <si>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</si>
  <si>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</si>
  <si>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</si>
  <si>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</si>
  <si>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</si>
  <si>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No. of Assessments Undertaken</t>
  </si>
  <si>
    <t>---</t>
  </si>
  <si>
    <t>No. of Hazardous Assessments</t>
  </si>
  <si>
    <t>Comments :</t>
  </si>
  <si>
    <t>The tests undertaken for hazardous properties for ecotoxic all were non-hazardous.</t>
  </si>
  <si>
    <t>Emissions to Water / Sewer</t>
  </si>
  <si>
    <t>Monitoring Frequency</t>
  </si>
  <si>
    <t>Target</t>
  </si>
  <si>
    <t>Max.</t>
  </si>
  <si>
    <t>Average</t>
  </si>
  <si>
    <t>Not required.</t>
  </si>
  <si>
    <t>Summary of monitoring undertaken, standards used and compliance</t>
  </si>
  <si>
    <t>Monitoring undertaken by accredited MCERTS third party (Element) to the standards within the environmental permit.</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</si>
  <si>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</si>
  <si>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</si>
  <si>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</si>
  <si>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</si>
  <si>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</si>
  <si>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</si>
  <si>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</si>
  <si>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</si>
  <si>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</si>
  <si>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</si>
  <si>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&lt;0.02</t>
  </si>
  <si>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</si>
  <si>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</si>
  <si>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</si>
  <si>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</si>
  <si>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</si>
  <si>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</si>
  <si>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</si>
  <si>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</si>
  <si>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</si>
  <si>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</si>
  <si>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</si>
  <si>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</si>
  <si>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</si>
  <si>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</si>
  <si>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&lt;0.0021</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</si>
  <si>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</si>
  <si>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</si>
  <si>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</si>
  <si>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</si>
  <si>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</si>
  <si>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</si>
  <si>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</si>
  <si>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</si>
  <si>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</si>
  <si>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</si>
  <si>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</si>
  <si>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</si>
  <si>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</si>
  <si>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</si>
  <si>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</si>
  <si>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Results from December 2022 test. All compliant including dioxin and furans. There was an issue with dioxins and furans failing June test but was retested in December after repalcing bag filters.</t>
  </si>
  <si>
    <t>Emissions to Air (continously monitored)</t>
  </si>
  <si>
    <t>Template may require adjustment for any bespoke monitoring requirements of permit</t>
  </si>
  <si>
    <t>Continuous moniitoring of the parameters listed below where data is presented in accordance with thhe mmethodology and standdards within the environmental permit.</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</si>
  <si>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</si>
  <si>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</si>
  <si>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</si>
  <si>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</si>
  <si>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</si>
  <si>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</si>
  <si>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</si>
  <si>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</si>
  <si>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</si>
  <si>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</si>
  <si>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</si>
  <si>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</si>
  <si>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</si>
  <si>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</si>
  <si>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</si>
  <si>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</si>
  <si>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</si>
  <si>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</si>
  <si>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</si>
  <si>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</si>
  <si>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</si>
  <si>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r>
      <t xml:space="preserve">The results above show that all average readings are well below the emission limit value for </t>
    </r>
    <r>
      <rPr>
        <b/>
        <u/>
        <sz val="11"/>
        <color theme="1"/>
        <rFont val="Arial"/>
        <family val="2"/>
      </rPr>
      <t>all</t>
    </r>
    <r>
      <rPr>
        <sz val="11"/>
        <color theme="1"/>
        <rFont val="Arial"/>
        <family val="2"/>
      </rPr>
      <t xml:space="preserve"> pollutants.</t>
    </r>
  </si>
  <si>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</si>
  <si>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</si>
  <si>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</si>
  <si>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</si>
  <si>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</si>
  <si>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</si>
  <si>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</si>
  <si>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</si>
  <si>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</si>
  <si>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</si>
  <si>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</si>
  <si>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</si>
  <si>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</si>
  <si>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</si>
  <si>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</si>
  <si>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</si>
  <si>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</si>
  <si>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</si>
  <si>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</si>
  <si>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</si>
  <si>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</si>
  <si>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</si>
  <si>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</si>
  <si>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</si>
  <si>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</si>
  <si>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</si>
  <si>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</si>
  <si>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</si>
  <si>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</si>
  <si>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</si>
  <si>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</si>
  <si>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</si>
  <si>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</si>
  <si>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All monthly half hourly mean and monthly daily mean well below the ELV. August peak emissions associated with a massive leak which would skew the data due to the much increased moisture content and the result was not due to an increase in actual emissions. October peak emission result was due to a compressor failure which would have affected the accuracy of the results.</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</si>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</sst>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1">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cellStyleXfs>
  <cellXfs count="365">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2" borderId="2" xfId="0" applyFont="1" applyFill="1" applyBorder="1" applyAlignment="1">
      <alignment horizontal="left"/>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9" fillId="0" borderId="0" xfId="0" applyFont="1"/>
    <xf numFmtId="0" fontId="10" fillId="0" borderId="0" xfId="0" applyFont="1" applyAlignment="1">
      <alignment horizontal="center"/>
    </xf>
    <xf numFmtId="0" fontId="11" fillId="0" borderId="0" xfId="0" applyFont="1"/>
    <xf numFmtId="0" fontId="5" fillId="0" borderId="6" xfId="0" applyFont="1" applyBorder="1"/>
    <xf numFmtId="0" fontId="5" fillId="3" borderId="7" xfId="0" applyFont="1" applyFill="1" applyBorder="1" applyAlignment="1">
      <alignment vertical="center"/>
    </xf>
    <xf numFmtId="0" fontId="5" fillId="0" borderId="11" xfId="0" applyFont="1" applyBorder="1"/>
    <xf numFmtId="0" fontId="5" fillId="2" borderId="12" xfId="0" applyFont="1" applyFill="1" applyBorder="1" applyAlignment="1">
      <alignment horizontal="center" vertical="center"/>
    </xf>
    <xf numFmtId="0" fontId="5" fillId="0" borderId="12" xfId="0" applyFont="1" applyBorder="1"/>
    <xf numFmtId="0" fontId="5" fillId="2" borderId="12" xfId="0" applyFont="1" applyFill="1" applyBorder="1" applyAlignment="1">
      <alignment horizontal="center"/>
    </xf>
    <xf numFmtId="0" fontId="6" fillId="0" borderId="12" xfId="0" applyFont="1" applyBorder="1"/>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0" fontId="10" fillId="0" borderId="6" xfId="0" applyFont="1" applyBorder="1" applyAlignment="1">
      <alignment vertical="center"/>
    </xf>
    <xf numFmtId="164" fontId="10" fillId="2" borderId="7" xfId="1" applyNumberFormat="1" applyFont="1" applyFill="1" applyBorder="1" applyAlignment="1">
      <alignment horizontal="center"/>
    </xf>
    <xf numFmtId="164" fontId="9" fillId="0" borderId="7" xfId="1" applyNumberFormat="1" applyFont="1" applyBorder="1" applyAlignment="1">
      <alignment horizontal="center"/>
    </xf>
    <xf numFmtId="165" fontId="10" fillId="0" borderId="10" xfId="2" applyNumberFormat="1" applyFont="1" applyBorder="1" applyAlignment="1">
      <alignment horizontal="center"/>
    </xf>
    <xf numFmtId="0" fontId="10" fillId="0" borderId="9" xfId="0" applyFont="1" applyBorder="1" applyAlignment="1">
      <alignment vertical="center"/>
    </xf>
    <xf numFmtId="164" fontId="10" fillId="2" borderId="0" xfId="1" applyNumberFormat="1" applyFont="1" applyFill="1" applyAlignment="1">
      <alignment horizontal="center"/>
    </xf>
    <xf numFmtId="164" fontId="9" fillId="0" borderId="0" xfId="1" applyNumberFormat="1" applyFont="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10" fillId="2" borderId="12" xfId="1" applyNumberFormat="1" applyFont="1" applyFill="1" applyBorder="1" applyAlignment="1">
      <alignment horizontal="center"/>
    </xf>
    <xf numFmtId="164" fontId="9" fillId="0" borderId="12" xfId="1" applyNumberFormat="1" applyFont="1" applyBorder="1" applyAlignment="1">
      <alignment horizontal="center"/>
    </xf>
    <xf numFmtId="0" fontId="9" fillId="0" borderId="0" xfId="0" applyFont="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164" fontId="10" fillId="0" borderId="8" xfId="0" applyNumberFormat="1" applyFont="1" applyBorder="1" applyAlignment="1">
      <alignment horizontal="center"/>
    </xf>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165" fontId="10" fillId="0" borderId="0" xfId="2" applyNumberFormat="1"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0" fontId="10" fillId="0" borderId="8" xfId="0" quotePrefix="1" applyFont="1" applyBorder="1" applyAlignment="1">
      <alignment horizontal="center"/>
    </xf>
    <xf numFmtId="165" fontId="10" fillId="0" borderId="8" xfId="2" applyNumberFormat="1" applyFont="1" applyBorder="1" applyAlignment="1">
      <alignment horizontal="center"/>
    </xf>
    <xf numFmtId="0" fontId="10" fillId="2" borderId="9" xfId="0" applyFont="1" applyFill="1" applyBorder="1"/>
    <xf numFmtId="0" fontId="10" fillId="2" borderId="11" xfId="0" applyFont="1" applyFill="1" applyBorder="1"/>
    <xf numFmtId="165" fontId="10" fillId="0" borderId="13" xfId="2" applyNumberFormat="1" applyFont="1" applyBorder="1" applyAlignment="1">
      <alignment horizontal="center"/>
    </xf>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2" borderId="12" xfId="0" applyFont="1" applyFill="1" applyBorder="1" applyAlignment="1">
      <alignment horizontal="center" vertical="center"/>
    </xf>
    <xf numFmtId="43" fontId="10" fillId="0" borderId="13" xfId="0" applyNumberFormat="1" applyFont="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14" fontId="10" fillId="2" borderId="2" xfId="0" applyNumberFormat="1" applyFont="1" applyFill="1" applyBorder="1" applyAlignment="1">
      <alignment horizontal="left"/>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18" fillId="0" borderId="2" xfId="0" applyFont="1" applyBorder="1" applyAlignment="1">
      <alignment horizontal="center"/>
    </xf>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18" fillId="5" borderId="2" xfId="0" applyFont="1" applyFill="1" applyBorder="1" applyAlignment="1">
      <alignment horizontal="center"/>
    </xf>
    <xf numFmtId="0" fontId="5" fillId="0" borderId="8" xfId="0" applyFont="1" applyBorder="1" applyAlignment="1">
      <alignment horizontal="left"/>
    </xf>
    <xf numFmtId="0" fontId="20" fillId="0" borderId="0" xfId="0" applyFont="1"/>
    <xf numFmtId="43" fontId="10" fillId="0" borderId="8" xfId="0" applyNumberFormat="1" applyFont="1" applyBorder="1" applyAlignment="1">
      <alignment horizontal="center" vertical="center"/>
    </xf>
    <xf numFmtId="0" fontId="10" fillId="7" borderId="9" xfId="0" applyFont="1" applyFill="1" applyBorder="1" applyAlignment="1">
      <alignment vertical="center"/>
    </xf>
    <xf numFmtId="0" fontId="5" fillId="0" borderId="9" xfId="0" applyFont="1" applyBorder="1"/>
    <xf numFmtId="0" fontId="21" fillId="0" borderId="0" xfId="0" applyFont="1"/>
    <xf numFmtId="0" fontId="22" fillId="0" borderId="0" xfId="0" applyFont="1"/>
    <xf numFmtId="0" fontId="23" fillId="0" borderId="0" xfId="0" applyFont="1"/>
    <xf numFmtId="0" fontId="10" fillId="0" borderId="7" xfId="0" applyFont="1" applyBorder="1" applyAlignment="1">
      <alignment horizontal="center" vertical="center"/>
    </xf>
    <xf numFmtId="0" fontId="6"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2" fontId="5" fillId="0" borderId="2" xfId="0" applyNumberFormat="1" applyFont="1" applyBorder="1"/>
    <xf numFmtId="2" fontId="5" fillId="5" borderId="2" xfId="0" applyNumberFormat="1" applyFont="1" applyFill="1" applyBorder="1" applyAlignment="1">
      <alignment horizontal="center"/>
    </xf>
    <xf numFmtId="1" fontId="5" fillId="5" borderId="2" xfId="0" applyNumberFormat="1" applyFont="1" applyFill="1" applyBorder="1" applyAlignment="1">
      <alignment horizontal="center"/>
    </xf>
    <xf numFmtId="1" fontId="5" fillId="0" borderId="2" xfId="0" applyNumberFormat="1" applyFont="1" applyBorder="1" applyAlignment="1">
      <alignment horizontal="center"/>
    </xf>
    <xf numFmtId="1" fontId="5" fillId="0" borderId="2" xfId="0" applyNumberFormat="1" applyFont="1" applyBorder="1"/>
    <xf numFmtId="164" fontId="5" fillId="0" borderId="7" xfId="1" applyNumberFormat="1" applyFont="1" applyFill="1" applyBorder="1"/>
    <xf numFmtId="164" fontId="5" fillId="3" borderId="7" xfId="1" applyNumberFormat="1" applyFont="1" applyFill="1" applyBorder="1"/>
    <xf numFmtId="14" fontId="14" fillId="0" borderId="12" xfId="0" applyNumberFormat="1" applyFont="1" applyBorder="1"/>
    <xf numFmtId="0" fontId="5" fillId="3" borderId="0" xfId="0" applyFont="1" applyFill="1"/>
    <xf numFmtId="0" fontId="21" fillId="0" borderId="0" xfId="0" applyFont="1" applyAlignment="1">
      <alignment horizontal="left" wrapText="1"/>
    </xf>
    <xf numFmtId="0" fontId="7" fillId="2" borderId="0" xfId="0" applyFont="1" applyFill="1" applyAlignment="1">
      <alignment horizontal="center"/>
    </xf>
    <xf numFmtId="0" fontId="1" fillId="2" borderId="0" xfId="0" applyFont="1" applyFill="1" applyAlignment="1">
      <alignment horizontal="center"/>
    </xf>
    <xf numFmtId="0" fontId="30" fillId="2" borderId="0" xfId="3" applyFill="1" applyAlignment="1">
      <alignment horizontal="center"/>
    </xf>
    <xf numFmtId="0" fontId="5" fillId="3" borderId="2" xfId="0" applyFont="1" applyFill="1" applyBorder="1" applyAlignment="1">
      <alignment horizontal="left"/>
    </xf>
    <xf numFmtId="0" fontId="6" fillId="0" borderId="2" xfId="0" applyFont="1" applyBorder="1" applyAlignment="1">
      <alignment horizontal="left"/>
    </xf>
    <xf numFmtId="0" fontId="10"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43" fontId="10" fillId="2" borderId="12" xfId="1" applyFont="1" applyFill="1" applyBorder="1" applyAlignment="1">
      <alignment horizontal="center"/>
    </xf>
    <xf numFmtId="166" fontId="10" fillId="2" borderId="12" xfId="0" applyNumberFormat="1" applyFont="1" applyFill="1" applyBorder="1" applyAlignment="1">
      <alignment horizontal="center"/>
    </xf>
    <xf numFmtId="166" fontId="10" fillId="2" borderId="13" xfId="0" applyNumberFormat="1" applyFont="1" applyFill="1" applyBorder="1" applyAlignment="1">
      <alignment horizontal="center"/>
    </xf>
    <xf numFmtId="0" fontId="10" fillId="0" borderId="0" xfId="0" applyFont="1" applyAlignment="1">
      <alignment horizontal="center" textRotation="90"/>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168" fontId="10" fillId="3" borderId="2" xfId="0" applyNumberFormat="1" applyFont="1" applyFill="1" applyBorder="1" applyAlignment="1">
      <alignment horizontal="center" vertical="center" wrapText="1"/>
    </xf>
    <xf numFmtId="168" fontId="10" fillId="3" borderId="1" xfId="0" applyNumberFormat="1" applyFont="1" applyFill="1" applyBorder="1" applyAlignment="1">
      <alignment horizontal="center" vertical="center" wrapText="1"/>
    </xf>
    <xf numFmtId="165" fontId="10" fillId="0" borderId="1" xfId="2" applyNumberFormat="1" applyFont="1" applyBorder="1" applyAlignment="1">
      <alignment horizontal="center"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2"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4" fontId="10" fillId="0" borderId="4" xfId="0" applyNumberFormat="1"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14" xfId="0" applyFont="1" applyBorder="1" applyAlignment="1">
      <alignment vertical="center" wrapText="1"/>
    </xf>
    <xf numFmtId="0" fontId="10" fillId="0" borderId="1" xfId="0" applyFont="1" applyBorder="1" applyAlignment="1">
      <alignment vertical="center" wrapText="1"/>
    </xf>
    <xf numFmtId="168" fontId="10" fillId="0" borderId="1" xfId="0" applyNumberFormat="1" applyFont="1" applyBorder="1" applyAlignment="1">
      <alignment horizontal="center" vertical="center" wrapText="1"/>
    </xf>
    <xf numFmtId="168" fontId="10" fillId="0" borderId="3" xfId="0" applyNumberFormat="1" applyFont="1" applyBorder="1" applyAlignment="1">
      <alignment horizontal="center" vertical="center" wrapText="1"/>
    </xf>
    <xf numFmtId="168" fontId="10" fillId="0" borderId="5" xfId="0" applyNumberFormat="1" applyFont="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2" xfId="2" applyNumberFormat="1" applyFont="1" applyBorder="1" applyAlignment="1">
      <alignment horizontal="center"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2" xfId="0" applyFont="1" applyFill="1" applyBorder="1" applyAlignment="1">
      <alignment horizontal="left" vertical="center" wrapText="1"/>
    </xf>
    <xf numFmtId="0" fontId="5" fillId="0" borderId="0" xfId="0" applyFont="1" applyAlignment="1">
      <alignment horizontal="center" vertical="top"/>
    </xf>
    <xf numFmtId="167" fontId="5" fillId="0" borderId="0" xfId="0" applyNumberFormat="1" applyFont="1" applyAlignment="1">
      <alignment horizontal="center" vertical="top"/>
    </xf>
    <xf numFmtId="3"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10" fillId="0" borderId="2" xfId="0" applyFont="1" applyBorder="1" applyAlignment="1">
      <alignment horizontal="left"/>
    </xf>
    <xf numFmtId="0" fontId="10" fillId="2" borderId="2" xfId="0" applyFont="1" applyFill="1" applyBorder="1" applyAlignment="1">
      <alignment horizontal="left" vertical="top" wrapText="1"/>
    </xf>
    <xf numFmtId="0" fontId="9" fillId="0" borderId="7" xfId="0" applyFont="1" applyBorder="1" applyAlignment="1">
      <alignment horizontal="center" wrapText="1"/>
    </xf>
    <xf numFmtId="0" fontId="6" fillId="0" borderId="2" xfId="0" applyFont="1" applyBorder="1" applyAlignment="1">
      <alignment horizontal="left" vertical="center" wrapText="1"/>
    </xf>
    <xf numFmtId="0" fontId="10" fillId="2" borderId="2"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5" fillId="7" borderId="3" xfId="0" applyFont="1" applyFill="1" applyBorder="1" applyAlignment="1">
      <alignment horizontal="center"/>
    </xf>
    <xf numFmtId="0" fontId="5" fillId="7" borderId="5" xfId="0" applyFont="1" applyFill="1" applyBorder="1" applyAlignment="1">
      <alignment horizontal="center"/>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10" fillId="2" borderId="2" xfId="0" applyFont="1" applyFill="1" applyBorder="1" applyAlignment="1">
      <alignment horizontal="left" wrapText="1"/>
    </xf>
    <xf numFmtId="0" fontId="10" fillId="2" borderId="3" xfId="0" applyFont="1" applyFill="1" applyBorder="1" applyAlignment="1">
      <alignment horizontal="left"/>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10" fillId="2" borderId="6" xfId="0" applyFont="1" applyFill="1" applyBorder="1" applyAlignment="1">
      <alignment horizontal="left" wrapText="1"/>
    </xf>
    <xf numFmtId="0" fontId="10" fillId="2" borderId="7" xfId="0" applyFont="1" applyFill="1" applyBorder="1" applyAlignment="1">
      <alignment horizontal="left"/>
    </xf>
    <xf numFmtId="0" fontId="10" fillId="2" borderId="8" xfId="0" applyFont="1" applyFill="1" applyBorder="1" applyAlignment="1">
      <alignment horizontal="left"/>
    </xf>
    <xf numFmtId="0" fontId="10" fillId="2" borderId="9" xfId="0" applyFont="1" applyFill="1" applyBorder="1" applyAlignment="1">
      <alignment horizontal="left"/>
    </xf>
    <xf numFmtId="0" fontId="10" fillId="2" borderId="0" xfId="0" applyFont="1" applyFill="1" applyAlignment="1">
      <alignment horizontal="left"/>
    </xf>
    <xf numFmtId="0" fontId="10" fillId="2" borderId="10" xfId="0" applyFont="1" applyFill="1" applyBorder="1" applyAlignment="1">
      <alignment horizontal="left"/>
    </xf>
    <xf numFmtId="0" fontId="10" fillId="2" borderId="11" xfId="0" applyFont="1" applyFill="1" applyBorder="1" applyAlignment="1">
      <alignment horizontal="left"/>
    </xf>
    <xf numFmtId="0" fontId="10" fillId="2" borderId="12" xfId="0" applyFont="1" applyFill="1" applyBorder="1" applyAlignment="1">
      <alignment horizontal="left"/>
    </xf>
    <xf numFmtId="0" fontId="10" fillId="2" borderId="13" xfId="0" applyFont="1" applyFill="1" applyBorder="1" applyAlignment="1">
      <alignment horizontal="left"/>
    </xf>
    <xf numFmtId="0" fontId="6" fillId="0" borderId="3" xfId="0" applyFont="1" applyBorder="1" applyAlignment="1">
      <alignment horizontal="left" vertical="center"/>
    </xf>
    <xf numFmtId="0" fontId="6" fillId="0" borderId="4" xfId="0" applyFont="1" applyBorder="1" applyAlignment="1">
      <alignment horizontal="left" vertical="center"/>
    </xf>
    <xf numFmtId="0" fontId="6" fillId="0" borderId="5" xfId="0" applyFont="1" applyBorder="1" applyAlignment="1">
      <alignment horizontal="left" vertical="center"/>
    </xf>
    <xf numFmtId="0" fontId="10" fillId="2" borderId="6" xfId="0" applyFont="1" applyFill="1" applyBorder="1" applyAlignment="1">
      <alignment horizontal="left" vertical="top"/>
    </xf>
    <xf numFmtId="0" fontId="17" fillId="0" borderId="2" xfId="0" applyFont="1" applyBorder="1" applyAlignment="1">
      <alignment horizontal="left" vertical="center" wrapText="1"/>
    </xf>
    <xf numFmtId="0" fontId="9" fillId="3" borderId="2" xfId="0" applyFont="1" applyFill="1" applyBorder="1" applyAlignment="1">
      <alignment horizontal="left" vertical="center" wrapText="1"/>
    </xf>
    <xf numFmtId="0" fontId="10" fillId="6" borderId="16"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10" fillId="5" borderId="6" xfId="0" applyFont="1" applyFill="1" applyBorder="1" applyAlignment="1">
      <alignment horizontal="left" vertical="center" wrapText="1"/>
    </xf>
    <xf numFmtId="0" fontId="10" fillId="5" borderId="7" xfId="0" applyFont="1" applyFill="1" applyBorder="1" applyAlignment="1">
      <alignment horizontal="left" vertical="center" wrapText="1"/>
    </xf>
    <xf numFmtId="0" fontId="10" fillId="5" borderId="8"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10" fillId="5" borderId="2" xfId="0" applyFont="1" applyFill="1" applyBorder="1" applyAlignment="1">
      <alignment horizontal="left" vertical="center" wrapText="1"/>
    </xf>
    <xf numFmtId="0" fontId="22" fillId="0" borderId="0" xfId="0" applyFont="1" applyAlignment="1">
      <alignment horizontal="left" vertical="top" wrapText="1"/>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14" xfId="0" applyFont="1" applyFill="1" applyBorder="1" applyAlignment="1">
      <alignment horizontal="left" vertical="top"/>
    </xf>
    <xf numFmtId="0" fontId="5" fillId="2" borderId="2"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2" xfId="0" applyFont="1" applyBorder="1" applyAlignment="1">
      <alignment horizontal="center" vertical="center"/>
    </xf>
    <xf numFmtId="0" fontId="6" fillId="0" borderId="12" xfId="0" applyFont="1" applyBorder="1" applyAlignment="1">
      <alignment horizontal="center"/>
    </xf>
    <xf numFmtId="0" fontId="6" fillId="0" borderId="2" xfId="0" applyFont="1" applyBorder="1" applyAlignment="1">
      <alignment horizontal="center"/>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1" fillId="2" borderId="0" xfId="0" applyFont="1" applyFill="1" applyAlignment="1">
      <alignment horizontal="center" vertical="center"/>
    </xf>
    <xf numFmtId="17" fontId="1" fillId="0" borderId="0" xfId="0" applyNumberFormat="1" applyFont="1"/>
    <xf numFmtId="0" fontId="1" fillId="2" borderId="0" xfId="0" applyFont="1" applyFill="1"/>
    <xf numFmtId="0" fontId="1" fillId="0" borderId="0" xfId="0" applyFont="1" applyAlignment="1">
      <alignment horizontal="left"/>
    </xf>
    <xf numFmtId="14" fontId="1" fillId="2" borderId="0" xfId="0" applyNumberFormat="1" applyFont="1" applyFill="1" applyAlignment="1">
      <alignment horizontal="center"/>
    </xf>
    <xf numFmtId="0" fontId="1" fillId="0" borderId="4" xfId="0" applyFont="1" applyBorder="1"/>
    <xf numFmtId="0" fontId="1" fillId="0" borderId="5" xfId="0" applyFont="1" applyBorder="1"/>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0" borderId="0" xfId="0" applyFont="1" applyAlignment="1">
      <alignment horizontal="left" vertical="top" wrapText="1"/>
    </xf>
    <xf numFmtId="164" fontId="5" fillId="2" borderId="7" xfId="1" applyNumberFormat="1" applyFont="1" applyFill="1" applyBorder="1" applyAlignment="1"/>
    <xf numFmtId="0" fontId="1" fillId="0" borderId="0" xfId="0" applyFont="1" applyAlignment="1">
      <alignmen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7.1</c:v>
                </c:pt>
                <c:pt idx="1">
                  <c:v>6.6</c:v>
                </c:pt>
                <c:pt idx="2">
                  <c:v>8.1</c:v>
                </c:pt>
                <c:pt idx="3">
                  <c:v>6.5</c:v>
                </c:pt>
                <c:pt idx="4">
                  <c:v>6.6</c:v>
                </c:pt>
                <c:pt idx="5">
                  <c:v>6.5</c:v>
                </c:pt>
                <c:pt idx="6">
                  <c:v>7.3</c:v>
                </c:pt>
                <c:pt idx="7">
                  <c:v>6.9</c:v>
                </c:pt>
                <c:pt idx="8">
                  <c:v>4.5999999999999996</c:v>
                </c:pt>
                <c:pt idx="9">
                  <c:v>4.5</c:v>
                </c:pt>
                <c:pt idx="10">
                  <c:v>4.9000000000000004</c:v>
                </c:pt>
                <c:pt idx="11">
                  <c:v>6.3</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9.5</c:v>
                </c:pt>
                <c:pt idx="1">
                  <c:v>9.1</c:v>
                </c:pt>
                <c:pt idx="2">
                  <c:v>8.3000000000000007</c:v>
                </c:pt>
                <c:pt idx="3">
                  <c:v>8.3000000000000007</c:v>
                </c:pt>
                <c:pt idx="4">
                  <c:v>16.100000000000001</c:v>
                </c:pt>
                <c:pt idx="5">
                  <c:v>7.9</c:v>
                </c:pt>
                <c:pt idx="6">
                  <c:v>3.5</c:v>
                </c:pt>
                <c:pt idx="7">
                  <c:v>50.1</c:v>
                </c:pt>
                <c:pt idx="8">
                  <c:v>7.3</c:v>
                </c:pt>
                <c:pt idx="9">
                  <c:v>29.2</c:v>
                </c:pt>
                <c:pt idx="10">
                  <c:v>11.7</c:v>
                </c:pt>
                <c:pt idx="11">
                  <c:v>10.5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7.15</c:v>
                </c:pt>
                <c:pt idx="1">
                  <c:v>6.61</c:v>
                </c:pt>
                <c:pt idx="2">
                  <c:v>6.1</c:v>
                </c:pt>
                <c:pt idx="3">
                  <c:v>6.53</c:v>
                </c:pt>
                <c:pt idx="4">
                  <c:v>6.64</c:v>
                </c:pt>
                <c:pt idx="5">
                  <c:v>6.46</c:v>
                </c:pt>
                <c:pt idx="6">
                  <c:v>3.5</c:v>
                </c:pt>
                <c:pt idx="7">
                  <c:v>6.89</c:v>
                </c:pt>
                <c:pt idx="8">
                  <c:v>4.5999999999999996</c:v>
                </c:pt>
                <c:pt idx="9">
                  <c:v>4.45</c:v>
                </c:pt>
                <c:pt idx="10">
                  <c:v>4.8499999999999996</c:v>
                </c:pt>
                <c:pt idx="11">
                  <c:v>6.26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7.7</c:v>
                </c:pt>
                <c:pt idx="1">
                  <c:v>7.1</c:v>
                </c:pt>
                <c:pt idx="2">
                  <c:v>7.3</c:v>
                </c:pt>
                <c:pt idx="3">
                  <c:v>7.2</c:v>
                </c:pt>
                <c:pt idx="4">
                  <c:v>7</c:v>
                </c:pt>
                <c:pt idx="5">
                  <c:v>7</c:v>
                </c:pt>
                <c:pt idx="6">
                  <c:v>6.6</c:v>
                </c:pt>
                <c:pt idx="7">
                  <c:v>9.6999999999999993</c:v>
                </c:pt>
                <c:pt idx="8">
                  <c:v>6.9</c:v>
                </c:pt>
                <c:pt idx="9">
                  <c:v>7.4</c:v>
                </c:pt>
                <c:pt idx="10">
                  <c:v>9.3000000000000007</c:v>
                </c:pt>
                <c:pt idx="11">
                  <c:v>7.1</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257896"/>
        <c:axId val="309258288"/>
      </c:lineChart>
      <c:catAx>
        <c:axId val="309257896"/>
        <c:scaling>
          <c:orientation val="minMax"/>
        </c:scaling>
        <c:delete val="0"/>
        <c:axPos val="b"/>
        <c:numFmt formatCode="General" sourceLinked="1"/>
        <c:majorTickMark val="out"/>
        <c:minorTickMark val="none"/>
        <c:tickLblPos val="nextTo"/>
        <c:crossAx val="309258288"/>
        <c:crosses val="autoZero"/>
        <c:auto val="1"/>
        <c:lblAlgn val="ctr"/>
        <c:lblOffset val="100"/>
        <c:noMultiLvlLbl val="0"/>
      </c:catAx>
      <c:valAx>
        <c:axId val="309258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257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15</c:v>
                </c:pt>
                <c:pt idx="1">
                  <c:v>26</c:v>
                </c:pt>
                <c:pt idx="2">
                  <c:v>31</c:v>
                </c:pt>
                <c:pt idx="3">
                  <c:v>22</c:v>
                </c:pt>
                <c:pt idx="4">
                  <c:v>23</c:v>
                </c:pt>
                <c:pt idx="5">
                  <c:v>27</c:v>
                </c:pt>
                <c:pt idx="6">
                  <c:v>26</c:v>
                </c:pt>
                <c:pt idx="7">
                  <c:v>36</c:v>
                </c:pt>
                <c:pt idx="8">
                  <c:v>35</c:v>
                </c:pt>
                <c:pt idx="9">
                  <c:v>35</c:v>
                </c:pt>
                <c:pt idx="10">
                  <c:v>31</c:v>
                </c:pt>
                <c:pt idx="11">
                  <c:v>33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36</c:v>
                </c:pt>
                <c:pt idx="1">
                  <c:v>42</c:v>
                </c:pt>
                <c:pt idx="2">
                  <c:v>43</c:v>
                </c:pt>
                <c:pt idx="3">
                  <c:v>40</c:v>
                </c:pt>
                <c:pt idx="4">
                  <c:v>52</c:v>
                </c:pt>
                <c:pt idx="5">
                  <c:v>41</c:v>
                </c:pt>
                <c:pt idx="6">
                  <c:v>40</c:v>
                </c:pt>
                <c:pt idx="7">
                  <c:v>4245</c:v>
                </c:pt>
                <c:pt idx="8">
                  <c:v>40</c:v>
                </c:pt>
                <c:pt idx="9">
                  <c:v>213</c:v>
                </c:pt>
                <c:pt idx="10">
                  <c:v>113</c:v>
                </c:pt>
                <c:pt idx="11">
                  <c:v>97</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c:formatCode>
                <c:ptCount val="12"/>
                <c:pt idx="0">
                  <c:v>14.56</c:v>
                </c:pt>
                <c:pt idx="1">
                  <c:v>25.66</c:v>
                </c:pt>
                <c:pt idx="2">
                  <c:v>30.5</c:v>
                </c:pt>
                <c:pt idx="3">
                  <c:v>21.67</c:v>
                </c:pt>
                <c:pt idx="4">
                  <c:v>23.01</c:v>
                </c:pt>
                <c:pt idx="5">
                  <c:v>26.65</c:v>
                </c:pt>
                <c:pt idx="6">
                  <c:v>25.6</c:v>
                </c:pt>
                <c:pt idx="7">
                  <c:v>36.14</c:v>
                </c:pt>
                <c:pt idx="8">
                  <c:v>35.36</c:v>
                </c:pt>
                <c:pt idx="9">
                  <c:v>34.869999999999997</c:v>
                </c:pt>
                <c:pt idx="10">
                  <c:v>31.1</c:v>
                </c:pt>
                <c:pt idx="11">
                  <c:v>32.72</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25</c:v>
                </c:pt>
                <c:pt idx="1">
                  <c:v>36</c:v>
                </c:pt>
                <c:pt idx="2">
                  <c:v>38</c:v>
                </c:pt>
                <c:pt idx="3">
                  <c:v>33</c:v>
                </c:pt>
                <c:pt idx="4">
                  <c:v>35</c:v>
                </c:pt>
                <c:pt idx="5">
                  <c:v>36</c:v>
                </c:pt>
                <c:pt idx="6">
                  <c:v>37</c:v>
                </c:pt>
                <c:pt idx="7">
                  <c:v>286</c:v>
                </c:pt>
                <c:pt idx="8">
                  <c:v>37</c:v>
                </c:pt>
                <c:pt idx="9">
                  <c:v>46</c:v>
                </c:pt>
                <c:pt idx="10">
                  <c:v>44</c:v>
                </c:pt>
                <c:pt idx="11">
                  <c:v>40</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9259464"/>
        <c:axId val="309259856"/>
      </c:lineChart>
      <c:catAx>
        <c:axId val="309259464"/>
        <c:scaling>
          <c:orientation val="minMax"/>
        </c:scaling>
        <c:delete val="0"/>
        <c:axPos val="b"/>
        <c:numFmt formatCode="General" sourceLinked="1"/>
        <c:majorTickMark val="out"/>
        <c:minorTickMark val="none"/>
        <c:tickLblPos val="nextTo"/>
        <c:crossAx val="309259856"/>
        <c:crosses val="autoZero"/>
        <c:auto val="1"/>
        <c:lblAlgn val="ctr"/>
        <c:lblOffset val="100"/>
        <c:noMultiLvlLbl val="0"/>
      </c:catAx>
      <c:valAx>
        <c:axId val="3092598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25946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167</c:v>
                </c:pt>
                <c:pt idx="1">
                  <c:v>135</c:v>
                </c:pt>
                <c:pt idx="2">
                  <c:v>177</c:v>
                </c:pt>
                <c:pt idx="3">
                  <c:v>161</c:v>
                </c:pt>
                <c:pt idx="4">
                  <c:v>153</c:v>
                </c:pt>
                <c:pt idx="5">
                  <c:v>161</c:v>
                </c:pt>
                <c:pt idx="6">
                  <c:v>164</c:v>
                </c:pt>
                <c:pt idx="7">
                  <c:v>178</c:v>
                </c:pt>
                <c:pt idx="8">
                  <c:v>174</c:v>
                </c:pt>
                <c:pt idx="9">
                  <c:v>166</c:v>
                </c:pt>
                <c:pt idx="10">
                  <c:v>192</c:v>
                </c:pt>
                <c:pt idx="11">
                  <c:v>191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199</c:v>
                </c:pt>
                <c:pt idx="1">
                  <c:v>183</c:v>
                </c:pt>
                <c:pt idx="2">
                  <c:v>218</c:v>
                </c:pt>
                <c:pt idx="3">
                  <c:v>225</c:v>
                </c:pt>
                <c:pt idx="4">
                  <c:v>249</c:v>
                </c:pt>
                <c:pt idx="5">
                  <c:v>210</c:v>
                </c:pt>
                <c:pt idx="6">
                  <c:v>207</c:v>
                </c:pt>
                <c:pt idx="7">
                  <c:v>2180</c:v>
                </c:pt>
                <c:pt idx="8">
                  <c:v>225</c:v>
                </c:pt>
                <c:pt idx="9">
                  <c:v>1178</c:v>
                </c:pt>
                <c:pt idx="10">
                  <c:v>1318</c:v>
                </c:pt>
                <c:pt idx="11">
                  <c:v>295</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c:formatCode>
                <c:ptCount val="12"/>
                <c:pt idx="0">
                  <c:v>167.35</c:v>
                </c:pt>
                <c:pt idx="1">
                  <c:v>135</c:v>
                </c:pt>
                <c:pt idx="2">
                  <c:v>177</c:v>
                </c:pt>
                <c:pt idx="3">
                  <c:v>161.13999999999999</c:v>
                </c:pt>
                <c:pt idx="4">
                  <c:v>153.30000000000001</c:v>
                </c:pt>
                <c:pt idx="5">
                  <c:v>160.62</c:v>
                </c:pt>
                <c:pt idx="6">
                  <c:v>164.1</c:v>
                </c:pt>
                <c:pt idx="7">
                  <c:v>178.16</c:v>
                </c:pt>
                <c:pt idx="8">
                  <c:v>174.19</c:v>
                </c:pt>
                <c:pt idx="9">
                  <c:v>165.51</c:v>
                </c:pt>
                <c:pt idx="10">
                  <c:v>191.94</c:v>
                </c:pt>
                <c:pt idx="11">
                  <c:v>191.4</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178</c:v>
                </c:pt>
                <c:pt idx="1">
                  <c:v>150</c:v>
                </c:pt>
                <c:pt idx="2">
                  <c:v>189</c:v>
                </c:pt>
                <c:pt idx="3">
                  <c:v>187</c:v>
                </c:pt>
                <c:pt idx="4">
                  <c:v>165</c:v>
                </c:pt>
                <c:pt idx="5">
                  <c:v>179</c:v>
                </c:pt>
                <c:pt idx="6">
                  <c:v>182</c:v>
                </c:pt>
                <c:pt idx="7">
                  <c:v>282</c:v>
                </c:pt>
                <c:pt idx="8">
                  <c:v>188</c:v>
                </c:pt>
                <c:pt idx="9">
                  <c:v>234</c:v>
                </c:pt>
                <c:pt idx="10">
                  <c:v>221</c:v>
                </c:pt>
                <c:pt idx="11">
                  <c:v>224</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9261032"/>
        <c:axId val="309261424"/>
      </c:lineChart>
      <c:catAx>
        <c:axId val="309261032"/>
        <c:scaling>
          <c:orientation val="minMax"/>
        </c:scaling>
        <c:delete val="0"/>
        <c:axPos val="b"/>
        <c:numFmt formatCode="General" sourceLinked="1"/>
        <c:majorTickMark val="out"/>
        <c:minorTickMark val="none"/>
        <c:tickLblPos val="nextTo"/>
        <c:crossAx val="309261424"/>
        <c:crosses val="autoZero"/>
        <c:auto val="1"/>
        <c:lblAlgn val="ctr"/>
        <c:lblOffset val="100"/>
        <c:noMultiLvlLbl val="0"/>
      </c:catAx>
      <c:valAx>
        <c:axId val="3092614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26103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0.4</c:v>
                </c:pt>
                <c:pt idx="1">
                  <c:v>0.5</c:v>
                </c:pt>
                <c:pt idx="2">
                  <c:v>0.1</c:v>
                </c:pt>
                <c:pt idx="3">
                  <c:v>0.2</c:v>
                </c:pt>
                <c:pt idx="4">
                  <c:v>0.4</c:v>
                </c:pt>
                <c:pt idx="5">
                  <c:v>0.5</c:v>
                </c:pt>
                <c:pt idx="6">
                  <c:v>0.2</c:v>
                </c:pt>
                <c:pt idx="7">
                  <c:v>1.8</c:v>
                </c:pt>
                <c:pt idx="8">
                  <c:v>1.2</c:v>
                </c:pt>
                <c:pt idx="9">
                  <c:v>2.9</c:v>
                </c:pt>
                <c:pt idx="10">
                  <c:v>0.7</c:v>
                </c:pt>
                <c:pt idx="11">
                  <c:v>0.4</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1.6</c:v>
                </c:pt>
                <c:pt idx="1">
                  <c:v>2.7</c:v>
                </c:pt>
                <c:pt idx="2">
                  <c:v>1.9</c:v>
                </c:pt>
                <c:pt idx="3">
                  <c:v>1.5</c:v>
                </c:pt>
                <c:pt idx="4">
                  <c:v>4.5</c:v>
                </c:pt>
                <c:pt idx="5">
                  <c:v>4.9000000000000004</c:v>
                </c:pt>
                <c:pt idx="6">
                  <c:v>7</c:v>
                </c:pt>
                <c:pt idx="7">
                  <c:v>185.8</c:v>
                </c:pt>
                <c:pt idx="8">
                  <c:v>3.1</c:v>
                </c:pt>
                <c:pt idx="9">
                  <c:v>55.4</c:v>
                </c:pt>
                <c:pt idx="10">
                  <c:v>9.3000000000000007</c:v>
                </c:pt>
                <c:pt idx="11">
                  <c:v>8.4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0.41</c:v>
                </c:pt>
                <c:pt idx="1">
                  <c:v>0.5</c:v>
                </c:pt>
                <c:pt idx="2">
                  <c:v>0.08</c:v>
                </c:pt>
                <c:pt idx="3">
                  <c:v>0.21</c:v>
                </c:pt>
                <c:pt idx="4" formatCode="0.00">
                  <c:v>0.42</c:v>
                </c:pt>
                <c:pt idx="5" formatCode="0.00">
                  <c:v>0.51</c:v>
                </c:pt>
                <c:pt idx="6">
                  <c:v>0.2</c:v>
                </c:pt>
                <c:pt idx="7">
                  <c:v>1.76</c:v>
                </c:pt>
                <c:pt idx="8">
                  <c:v>1.23</c:v>
                </c:pt>
                <c:pt idx="9">
                  <c:v>2.9</c:v>
                </c:pt>
                <c:pt idx="10">
                  <c:v>0.72</c:v>
                </c:pt>
                <c:pt idx="11">
                  <c:v>0.36</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0.5</c:v>
                </c:pt>
                <c:pt idx="1">
                  <c:v>1</c:v>
                </c:pt>
                <c:pt idx="2">
                  <c:v>0.2</c:v>
                </c:pt>
                <c:pt idx="3">
                  <c:v>0.9</c:v>
                </c:pt>
                <c:pt idx="4">
                  <c:v>0.9</c:v>
                </c:pt>
                <c:pt idx="5">
                  <c:v>0.7</c:v>
                </c:pt>
                <c:pt idx="6">
                  <c:v>1.6</c:v>
                </c:pt>
                <c:pt idx="7">
                  <c:v>12.8</c:v>
                </c:pt>
                <c:pt idx="8">
                  <c:v>1.3</c:v>
                </c:pt>
                <c:pt idx="9">
                  <c:v>20.7</c:v>
                </c:pt>
                <c:pt idx="10">
                  <c:v>1.6</c:v>
                </c:pt>
                <c:pt idx="11">
                  <c:v>1.1000000000000001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978304"/>
        <c:axId val="313978696"/>
      </c:lineChart>
      <c:catAx>
        <c:axId val="313978304"/>
        <c:scaling>
          <c:orientation val="minMax"/>
        </c:scaling>
        <c:delete val="0"/>
        <c:axPos val="b"/>
        <c:numFmt formatCode="General" sourceLinked="1"/>
        <c:majorTickMark val="out"/>
        <c:minorTickMark val="none"/>
        <c:tickLblPos val="nextTo"/>
        <c:crossAx val="313978696"/>
        <c:crosses val="autoZero"/>
        <c:auto val="1"/>
        <c:lblAlgn val="ctr"/>
        <c:lblOffset val="100"/>
        <c:noMultiLvlLbl val="0"/>
      </c:catAx>
      <c:valAx>
        <c:axId val="31397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97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0.2</c:v>
                </c:pt>
                <c:pt idx="1">
                  <c:v>0.1</c:v>
                </c:pt>
                <c:pt idx="2">
                  <c:v>0.1</c:v>
                </c:pt>
                <c:pt idx="3">
                  <c:v>0.1</c:v>
                </c:pt>
                <c:pt idx="4">
                  <c:v>0.2</c:v>
                </c:pt>
                <c:pt idx="5">
                  <c:v>0.2</c:v>
                </c:pt>
                <c:pt idx="6">
                  <c:v>0.2</c:v>
                </c:pt>
                <c:pt idx="7">
                  <c:v>0.6</c:v>
                </c:pt>
                <c:pt idx="8">
                  <c:v>0.3</c:v>
                </c:pt>
                <c:pt idx="9">
                  <c:v>0.3</c:v>
                </c:pt>
                <c:pt idx="10">
                  <c:v>0.1</c:v>
                </c:pt>
                <c:pt idx="11">
                  <c:v>0.1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0.8</c:v>
                </c:pt>
                <c:pt idx="1">
                  <c:v>1.4</c:v>
                </c:pt>
                <c:pt idx="2">
                  <c:v>0.8</c:v>
                </c:pt>
                <c:pt idx="3">
                  <c:v>1.4</c:v>
                </c:pt>
                <c:pt idx="4">
                  <c:v>1.5</c:v>
                </c:pt>
                <c:pt idx="5">
                  <c:v>1.5</c:v>
                </c:pt>
                <c:pt idx="6">
                  <c:v>1.5</c:v>
                </c:pt>
                <c:pt idx="7">
                  <c:v>136.5</c:v>
                </c:pt>
                <c:pt idx="8">
                  <c:v>1.4</c:v>
                </c:pt>
                <c:pt idx="9">
                  <c:v>13</c:v>
                </c:pt>
                <c:pt idx="10">
                  <c:v>2.9</c:v>
                </c:pt>
                <c:pt idx="11">
                  <c:v>5.7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0.16</c:v>
                </c:pt>
                <c:pt idx="1">
                  <c:v>0.1</c:v>
                </c:pt>
                <c:pt idx="2">
                  <c:v>0.14000000000000001</c:v>
                </c:pt>
                <c:pt idx="3">
                  <c:v>0.12</c:v>
                </c:pt>
                <c:pt idx="4" formatCode="0.00">
                  <c:v>0.21</c:v>
                </c:pt>
                <c:pt idx="5" formatCode="0.00">
                  <c:v>0.18</c:v>
                </c:pt>
                <c:pt idx="6">
                  <c:v>0.2</c:v>
                </c:pt>
                <c:pt idx="7">
                  <c:v>0.6</c:v>
                </c:pt>
                <c:pt idx="8">
                  <c:v>0.31</c:v>
                </c:pt>
                <c:pt idx="9">
                  <c:v>0.34</c:v>
                </c:pt>
                <c:pt idx="10">
                  <c:v>0.1</c:v>
                </c:pt>
                <c:pt idx="11">
                  <c:v>0.1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0.2</c:v>
                </c:pt>
                <c:pt idx="1">
                  <c:v>0.2</c:v>
                </c:pt>
                <c:pt idx="2">
                  <c:v>0.3</c:v>
                </c:pt>
                <c:pt idx="3">
                  <c:v>0.2</c:v>
                </c:pt>
                <c:pt idx="4">
                  <c:v>0.4</c:v>
                </c:pt>
                <c:pt idx="5">
                  <c:v>0.3</c:v>
                </c:pt>
                <c:pt idx="6">
                  <c:v>0.4</c:v>
                </c:pt>
                <c:pt idx="7">
                  <c:v>8.8000000000000007</c:v>
                </c:pt>
                <c:pt idx="8">
                  <c:v>0.4</c:v>
                </c:pt>
                <c:pt idx="9">
                  <c:v>0.8</c:v>
                </c:pt>
                <c:pt idx="10">
                  <c:v>0.2</c:v>
                </c:pt>
                <c:pt idx="11">
                  <c:v>0.3</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979872"/>
        <c:axId val="313980264"/>
      </c:lineChart>
      <c:catAx>
        <c:axId val="313979872"/>
        <c:scaling>
          <c:orientation val="minMax"/>
        </c:scaling>
        <c:delete val="0"/>
        <c:axPos val="b"/>
        <c:numFmt formatCode="General" sourceLinked="1"/>
        <c:majorTickMark val="out"/>
        <c:minorTickMark val="none"/>
        <c:tickLblPos val="nextTo"/>
        <c:crossAx val="313980264"/>
        <c:crosses val="autoZero"/>
        <c:auto val="1"/>
        <c:lblAlgn val="ctr"/>
        <c:lblOffset val="100"/>
        <c:noMultiLvlLbl val="0"/>
      </c:catAx>
      <c:valAx>
        <c:axId val="31398026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97987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22</c:v>
                </c:pt>
                <c:pt idx="1">
                  <c:v>28</c:v>
                </c:pt>
                <c:pt idx="2">
                  <c:v>29</c:v>
                </c:pt>
                <c:pt idx="3">
                  <c:v>27</c:v>
                </c:pt>
                <c:pt idx="4">
                  <c:v>26</c:v>
                </c:pt>
                <c:pt idx="5">
                  <c:v>29</c:v>
                </c:pt>
                <c:pt idx="6">
                  <c:v>42</c:v>
                </c:pt>
                <c:pt idx="7">
                  <c:v>31</c:v>
                </c:pt>
                <c:pt idx="8">
                  <c:v>39</c:v>
                </c:pt>
                <c:pt idx="9">
                  <c:v>118</c:v>
                </c:pt>
                <c:pt idx="10">
                  <c:v>43</c:v>
                </c:pt>
                <c:pt idx="11">
                  <c:v>41</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67</c:v>
                </c:pt>
                <c:pt idx="1">
                  <c:v>67</c:v>
                </c:pt>
                <c:pt idx="2">
                  <c:v>105</c:v>
                </c:pt>
                <c:pt idx="3">
                  <c:v>113</c:v>
                </c:pt>
                <c:pt idx="4">
                  <c:v>358</c:v>
                </c:pt>
                <c:pt idx="5">
                  <c:v>245</c:v>
                </c:pt>
                <c:pt idx="6">
                  <c:v>412</c:v>
                </c:pt>
                <c:pt idx="7">
                  <c:v>417</c:v>
                </c:pt>
                <c:pt idx="8">
                  <c:v>440</c:v>
                </c:pt>
                <c:pt idx="9">
                  <c:v>2787</c:v>
                </c:pt>
                <c:pt idx="10">
                  <c:v>387</c:v>
                </c:pt>
                <c:pt idx="11">
                  <c:v>372</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c:formatCode>
                <c:ptCount val="12"/>
                <c:pt idx="0">
                  <c:v>22.36</c:v>
                </c:pt>
                <c:pt idx="1">
                  <c:v>28.08</c:v>
                </c:pt>
                <c:pt idx="2">
                  <c:v>29.2</c:v>
                </c:pt>
                <c:pt idx="3">
                  <c:v>27.33</c:v>
                </c:pt>
                <c:pt idx="4">
                  <c:v>26.44</c:v>
                </c:pt>
                <c:pt idx="5">
                  <c:v>29.19</c:v>
                </c:pt>
                <c:pt idx="6">
                  <c:v>41.5</c:v>
                </c:pt>
                <c:pt idx="7">
                  <c:v>31.04</c:v>
                </c:pt>
                <c:pt idx="8">
                  <c:v>39</c:v>
                </c:pt>
                <c:pt idx="9">
                  <c:v>118.2</c:v>
                </c:pt>
                <c:pt idx="10">
                  <c:v>42.69</c:v>
                </c:pt>
                <c:pt idx="11">
                  <c:v>40.99</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26</c:v>
                </c:pt>
                <c:pt idx="1">
                  <c:v>43</c:v>
                </c:pt>
                <c:pt idx="2" formatCode="0">
                  <c:v>39</c:v>
                </c:pt>
                <c:pt idx="3">
                  <c:v>35</c:v>
                </c:pt>
                <c:pt idx="4">
                  <c:v>45</c:v>
                </c:pt>
                <c:pt idx="5">
                  <c:v>50</c:v>
                </c:pt>
                <c:pt idx="6">
                  <c:v>80</c:v>
                </c:pt>
                <c:pt idx="7">
                  <c:v>81</c:v>
                </c:pt>
                <c:pt idx="8">
                  <c:v>51</c:v>
                </c:pt>
                <c:pt idx="9">
                  <c:v>966</c:v>
                </c:pt>
                <c:pt idx="10">
                  <c:v>73</c:v>
                </c:pt>
                <c:pt idx="11">
                  <c:v>89</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981832"/>
        <c:axId val="313982224"/>
      </c:lineChart>
      <c:catAx>
        <c:axId val="313981832"/>
        <c:scaling>
          <c:orientation val="minMax"/>
        </c:scaling>
        <c:delete val="0"/>
        <c:axPos val="b"/>
        <c:numFmt formatCode="General" sourceLinked="1"/>
        <c:majorTickMark val="out"/>
        <c:minorTickMark val="none"/>
        <c:tickLblPos val="nextTo"/>
        <c:crossAx val="313982224"/>
        <c:crosses val="autoZero"/>
        <c:auto val="1"/>
        <c:lblAlgn val="ctr"/>
        <c:lblOffset val="100"/>
        <c:noMultiLvlLbl val="0"/>
      </c:catAx>
      <c:valAx>
        <c:axId val="3139822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98183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3983400"/>
        <c:axId val="315207480"/>
      </c:lineChart>
      <c:catAx>
        <c:axId val="313983400"/>
        <c:scaling>
          <c:orientation val="minMax"/>
        </c:scaling>
        <c:delete val="0"/>
        <c:axPos val="b"/>
        <c:numFmt formatCode="General" sourceLinked="1"/>
        <c:majorTickMark val="out"/>
        <c:minorTickMark val="none"/>
        <c:tickLblPos val="nextTo"/>
        <c:crossAx val="315207480"/>
        <c:crosses val="autoZero"/>
        <c:auto val="1"/>
        <c:lblAlgn val="ctr"/>
        <c:lblOffset val="100"/>
        <c:noMultiLvlLbl val="0"/>
      </c:catAx>
      <c:valAx>
        <c:axId val="31520748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9834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981440"/>
        <c:axId val="313977912"/>
      </c:lineChart>
      <c:catAx>
        <c:axId val="313981440"/>
        <c:scaling>
          <c:orientation val="minMax"/>
        </c:scaling>
        <c:delete val="0"/>
        <c:axPos val="b"/>
        <c:numFmt formatCode="General" sourceLinked="1"/>
        <c:majorTickMark val="out"/>
        <c:minorTickMark val="none"/>
        <c:tickLblPos val="nextTo"/>
        <c:crossAx val="313977912"/>
        <c:crosses val="autoZero"/>
        <c:auto val="1"/>
        <c:lblAlgn val="ctr"/>
        <c:lblOffset val="100"/>
        <c:noMultiLvlLbl val="0"/>
      </c:catAx>
      <c:valAx>
        <c:axId val="31397791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9814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28575</xdr:colOff>
      <xdr:row>0</xdr:row>
      <xdr:rowOff>47626</xdr:rowOff>
    </xdr:from>
    <xdr:to>
      <xdr:col>6</xdr:col>
      <xdr:colOff>609600</xdr:colOff>
      <xdr:row>6</xdr:row>
      <xdr:rowOff>51540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38375" y="47626"/>
          <a:ext cx="2438400" cy="1146914"/>
        </a:xfrm>
        <a:prstGeom prst="rect">
          <a:avLst/>
        </a:prstGeom>
      </xdr:spPr>
    </xdr:pic>
    <xdr:clientData/>
  </xdr:twoCellAnchor>
  <xdr:twoCellAnchor editAs="oneCell">
    <xdr:from>
      <xdr:col>1</xdr:col>
      <xdr:colOff>0</xdr:colOff>
      <xdr:row>7</xdr:row>
      <xdr:rowOff>0</xdr:rowOff>
    </xdr:from>
    <xdr:to>
      <xdr:col>9</xdr:col>
      <xdr:colOff>537845</xdr:colOff>
      <xdr:row>27</xdr:row>
      <xdr:rowOff>123825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9125" y="1333500"/>
          <a:ext cx="5843270" cy="39433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53</xdr:row>
      <xdr:rowOff>0</xdr:rowOff>
    </xdr:from>
    <xdr:to>
      <xdr:col>4</xdr:col>
      <xdr:colOff>428625</xdr:colOff>
      <xdr:row>56</xdr:row>
      <xdr:rowOff>81280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19125" y="10553700"/>
          <a:ext cx="2286000" cy="6527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27</xdr:row>
      <xdr:rowOff>0</xdr:rowOff>
    </xdr:from>
    <xdr:to>
      <xdr:col>4</xdr:col>
      <xdr:colOff>428625</xdr:colOff>
      <xdr:row>30</xdr:row>
      <xdr:rowOff>109855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28650" y="6315075"/>
          <a:ext cx="2286000" cy="6527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im@thpl.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29" zoomScaleNormal="100" workbookViewId="0">
      <selection activeCell="B31" sqref="B31:I31"/>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139"/>
      <c r="C1" s="139"/>
      <c r="D1" s="350" t="s">
        <v>0</v>
      </c>
      <c r="E1" s="350"/>
      <c r="F1" s="350"/>
      <c r="G1" s="350"/>
      <c r="H1" s="139"/>
      <c r="I1" s="139"/>
      <c r="J1" s="139"/>
      <c r="K1" s="139"/>
      <c r="L1" s="139"/>
      <c r="M1" s="139"/>
      <c r="N1" s="139"/>
      <c r="O1" s="139"/>
      <c r="P1" s="139"/>
    </row>
    <row r="2" spans="2:16">
      <c r="B2" s="139"/>
      <c r="C2" s="139"/>
      <c r="D2" s="350"/>
      <c r="E2" s="350"/>
      <c r="F2" s="350"/>
      <c r="G2" s="350"/>
      <c r="H2" s="139"/>
      <c r="I2" s="139"/>
      <c r="J2" s="139"/>
      <c r="K2" s="139"/>
      <c r="L2" s="139"/>
      <c r="M2" s="139"/>
      <c r="N2" s="139" t="s">
        <v>1</v>
      </c>
      <c r="O2" s="139"/>
      <c r="P2" s="351"/>
    </row>
    <row r="3" spans="2:16">
      <c r="B3" s="139"/>
      <c r="C3" s="139"/>
      <c r="D3" s="350"/>
      <c r="E3" s="350"/>
      <c r="F3" s="350"/>
      <c r="G3" s="350"/>
      <c r="H3" s="139"/>
      <c r="I3" s="139"/>
      <c r="J3" s="139"/>
      <c r="K3" s="139"/>
      <c r="L3" s="139"/>
      <c r="M3" s="139"/>
      <c r="N3" s="351"/>
      <c r="O3" s="139"/>
      <c r="P3" s="139"/>
    </row>
    <row r="4" spans="2:16">
      <c r="B4" s="139"/>
      <c r="C4" s="139"/>
      <c r="D4" s="350"/>
      <c r="E4" s="350"/>
      <c r="F4" s="350"/>
      <c r="G4" s="350"/>
      <c r="H4" s="139"/>
      <c r="I4" s="139"/>
      <c r="J4" s="139"/>
      <c r="K4" s="139"/>
      <c r="L4" s="139"/>
      <c r="M4" s="139"/>
      <c r="N4" s="139"/>
      <c r="O4" s="139"/>
      <c r="P4" s="139"/>
    </row>
    <row r="5" spans="2:16">
      <c r="B5" s="139"/>
      <c r="C5" s="139"/>
      <c r="D5" s="350"/>
      <c r="E5" s="350"/>
      <c r="F5" s="350"/>
      <c r="G5" s="350"/>
      <c r="H5" s="139"/>
      <c r="I5" s="139"/>
      <c r="J5" s="139"/>
      <c r="K5" s="139"/>
      <c r="L5" s="139"/>
      <c r="M5" s="139"/>
      <c r="N5" s="139"/>
      <c r="O5" s="139"/>
      <c r="P5" s="139"/>
    </row>
    <row r="6" spans="2:16">
      <c r="B6" s="139"/>
      <c r="C6" s="139"/>
      <c r="D6" s="350"/>
      <c r="E6" s="350"/>
      <c r="F6" s="350"/>
      <c r="G6" s="350"/>
      <c r="H6" s="139"/>
      <c r="I6" s="139"/>
      <c r="J6" s="139"/>
      <c r="K6" s="139"/>
      <c r="L6" s="139"/>
      <c r="M6" s="139"/>
      <c r="N6" s="139"/>
      <c r="O6" s="139"/>
      <c r="P6" s="139"/>
    </row>
    <row r="8" spans="2:16" ht="15.75" customHeight="1">
      <c r="B8" s="350" t="s">
        <v>2</v>
      </c>
      <c r="C8" s="350"/>
      <c r="D8" s="350"/>
      <c r="E8" s="350"/>
      <c r="F8" s="350"/>
      <c r="G8" s="350"/>
      <c r="H8" s="350"/>
      <c r="I8" s="350"/>
      <c r="J8" s="139"/>
      <c r="K8" s="139"/>
      <c r="L8" s="139"/>
      <c r="M8" s="139"/>
      <c r="N8" s="119"/>
      <c r="O8" s="139"/>
      <c r="P8" s="139"/>
    </row>
    <row r="9" spans="2:16">
      <c r="B9" s="350"/>
      <c r="C9" s="350"/>
      <c r="D9" s="350"/>
      <c r="E9" s="350"/>
      <c r="F9" s="350"/>
      <c r="G9" s="350"/>
      <c r="H9" s="350"/>
      <c r="I9" s="350"/>
      <c r="J9" s="139"/>
      <c r="K9" s="139"/>
      <c r="L9" s="139"/>
      <c r="M9" s="139"/>
      <c r="N9" s="139"/>
      <c r="O9" s="139"/>
      <c r="P9" s="139"/>
    </row>
    <row r="10" spans="2:16">
      <c r="B10" s="350"/>
      <c r="C10" s="350"/>
      <c r="D10" s="350"/>
      <c r="E10" s="350"/>
      <c r="F10" s="350"/>
      <c r="G10" s="350"/>
      <c r="H10" s="350"/>
      <c r="I10" s="350"/>
      <c r="J10" s="139"/>
      <c r="K10" s="139"/>
      <c r="L10" s="139"/>
      <c r="M10" s="139"/>
      <c r="N10" s="139"/>
      <c r="O10" s="139"/>
      <c r="P10" s="139"/>
    </row>
    <row r="11" spans="2:16">
      <c r="B11" s="350"/>
      <c r="C11" s="350"/>
      <c r="D11" s="350"/>
      <c r="E11" s="350"/>
      <c r="F11" s="350"/>
      <c r="G11" s="350"/>
      <c r="H11" s="350"/>
      <c r="I11" s="350"/>
      <c r="J11" s="139"/>
      <c r="K11" s="139"/>
      <c r="L11" s="139"/>
      <c r="M11" s="139"/>
      <c r="N11" s="139"/>
      <c r="O11" s="139"/>
      <c r="P11" s="139"/>
    </row>
    <row r="12" spans="2:16">
      <c r="B12" s="350"/>
      <c r="C12" s="350"/>
      <c r="D12" s="350"/>
      <c r="E12" s="350"/>
      <c r="F12" s="350"/>
      <c r="G12" s="350"/>
      <c r="H12" s="350"/>
      <c r="I12" s="350"/>
      <c r="J12" s="139"/>
      <c r="K12" s="139"/>
      <c r="L12" s="139"/>
      <c r="M12" s="139"/>
      <c r="N12" s="139"/>
      <c r="O12" s="139"/>
      <c r="P12" s="139"/>
    </row>
    <row r="13" spans="2:16">
      <c r="B13" s="350"/>
      <c r="C13" s="350"/>
      <c r="D13" s="350"/>
      <c r="E13" s="350"/>
      <c r="F13" s="350"/>
      <c r="G13" s="350"/>
      <c r="H13" s="350"/>
      <c r="I13" s="350"/>
      <c r="J13" s="139"/>
      <c r="K13" s="139"/>
      <c r="L13" s="139"/>
      <c r="M13" s="139"/>
      <c r="N13" s="125" t="s">
        <v>3</v>
      </c>
      <c r="O13" s="123"/>
      <c r="P13" s="123"/>
    </row>
    <row r="14" spans="2:16" ht="15.6" customHeight="1">
      <c r="B14" s="350"/>
      <c r="C14" s="350"/>
      <c r="D14" s="350"/>
      <c r="E14" s="350"/>
      <c r="F14" s="350"/>
      <c r="G14" s="350"/>
      <c r="H14" s="350"/>
      <c r="I14" s="350"/>
      <c r="J14" s="139"/>
      <c r="K14" s="139"/>
      <c r="L14" s="139"/>
      <c r="M14" s="139"/>
      <c r="N14" s="149" t="s">
        <v>4</v>
      </c>
      <c r="O14" s="149"/>
      <c r="P14" s="149"/>
    </row>
    <row r="15" spans="2:16">
      <c r="B15" s="350"/>
      <c r="C15" s="350"/>
      <c r="D15" s="350"/>
      <c r="E15" s="350"/>
      <c r="F15" s="350"/>
      <c r="G15" s="350"/>
      <c r="H15" s="350"/>
      <c r="I15" s="350"/>
      <c r="J15" s="139"/>
      <c r="K15" s="139"/>
      <c r="L15" s="139"/>
      <c r="M15" s="139"/>
      <c r="N15" s="149"/>
      <c r="O15" s="149"/>
      <c r="P15" s="149"/>
    </row>
    <row r="16" spans="2:16">
      <c r="B16" s="350"/>
      <c r="C16" s="350"/>
      <c r="D16" s="350"/>
      <c r="E16" s="350"/>
      <c r="F16" s="350"/>
      <c r="G16" s="350"/>
      <c r="H16" s="350"/>
      <c r="I16" s="350"/>
      <c r="J16" s="139"/>
      <c r="K16" s="139"/>
      <c r="L16" s="139"/>
      <c r="M16" s="139"/>
      <c r="N16" s="149"/>
      <c r="O16" s="149"/>
      <c r="P16" s="149"/>
    </row>
    <row r="17" spans="2:16">
      <c r="B17" s="350"/>
      <c r="C17" s="350"/>
      <c r="D17" s="350"/>
      <c r="E17" s="350"/>
      <c r="F17" s="350"/>
      <c r="G17" s="350"/>
      <c r="H17" s="350"/>
      <c r="I17" s="350"/>
      <c r="J17" s="139"/>
      <c r="K17" s="139"/>
      <c r="L17" s="139"/>
      <c r="M17" s="139"/>
      <c r="N17" s="149"/>
      <c r="O17" s="149"/>
      <c r="P17" s="149"/>
    </row>
    <row r="18" spans="2:16">
      <c r="B18" s="350"/>
      <c r="C18" s="350"/>
      <c r="D18" s="350"/>
      <c r="E18" s="350"/>
      <c r="F18" s="350"/>
      <c r="G18" s="350"/>
      <c r="H18" s="350"/>
      <c r="I18" s="350"/>
      <c r="J18" s="139"/>
      <c r="K18" s="139"/>
      <c r="L18" s="139"/>
      <c r="M18" s="139"/>
      <c r="N18" s="149"/>
      <c r="O18" s="149"/>
      <c r="P18" s="149"/>
    </row>
    <row r="19" spans="2:16">
      <c r="B19" s="350"/>
      <c r="C19" s="350"/>
      <c r="D19" s="350"/>
      <c r="E19" s="350"/>
      <c r="F19" s="350"/>
      <c r="G19" s="350"/>
      <c r="H19" s="350"/>
      <c r="I19" s="350"/>
      <c r="J19" s="139"/>
      <c r="K19" s="139"/>
      <c r="L19" s="139"/>
      <c r="M19" s="139"/>
      <c r="N19" s="149"/>
      <c r="O19" s="149"/>
      <c r="P19" s="149"/>
    </row>
    <row r="20" spans="2:16">
      <c r="B20" s="350"/>
      <c r="C20" s="350"/>
      <c r="D20" s="350"/>
      <c r="E20" s="350"/>
      <c r="F20" s="350"/>
      <c r="G20" s="350"/>
      <c r="H20" s="350"/>
      <c r="I20" s="350"/>
      <c r="J20" s="139"/>
      <c r="K20" s="139"/>
      <c r="L20" s="139"/>
      <c r="M20" s="139"/>
      <c r="N20" s="139"/>
      <c r="O20" s="139"/>
      <c r="P20" s="139"/>
    </row>
    <row r="21" spans="2:16">
      <c r="B21" s="350"/>
      <c r="C21" s="350"/>
      <c r="D21" s="350"/>
      <c r="E21" s="350"/>
      <c r="F21" s="350"/>
      <c r="G21" s="350"/>
      <c r="H21" s="350"/>
      <c r="I21" s="350"/>
      <c r="J21" s="139"/>
      <c r="K21" s="139"/>
      <c r="L21" s="139"/>
      <c r="M21" s="139"/>
      <c r="N21" s="139"/>
      <c r="O21" s="139"/>
      <c r="P21" s="139"/>
    </row>
    <row r="22" spans="2:16">
      <c r="B22" s="350"/>
      <c r="C22" s="350"/>
      <c r="D22" s="350"/>
      <c r="E22" s="350"/>
      <c r="F22" s="350"/>
      <c r="G22" s="350"/>
      <c r="H22" s="350"/>
      <c r="I22" s="350"/>
      <c r="J22" s="139"/>
      <c r="K22" s="139"/>
      <c r="L22" s="139"/>
      <c r="M22" s="139"/>
      <c r="N22" s="139"/>
      <c r="O22" s="139"/>
      <c r="P22" s="139"/>
    </row>
    <row r="23" spans="2:16">
      <c r="B23" s="350"/>
      <c r="C23" s="350"/>
      <c r="D23" s="350"/>
      <c r="E23" s="350"/>
      <c r="F23" s="350"/>
      <c r="G23" s="350"/>
      <c r="H23" s="350"/>
      <c r="I23" s="350"/>
      <c r="J23" s="139"/>
      <c r="K23" s="139"/>
      <c r="L23" s="139"/>
      <c r="M23" s="139"/>
      <c r="N23" s="139"/>
      <c r="O23" s="139"/>
      <c r="P23" s="139"/>
    </row>
    <row r="24" spans="2:16">
      <c r="B24" s="350"/>
      <c r="C24" s="350"/>
      <c r="D24" s="350"/>
      <c r="E24" s="350"/>
      <c r="F24" s="350"/>
      <c r="G24" s="350"/>
      <c r="H24" s="350"/>
      <c r="I24" s="350"/>
      <c r="J24" s="139"/>
      <c r="K24" s="139"/>
      <c r="L24" s="139"/>
      <c r="M24" s="139"/>
      <c r="N24" s="139"/>
      <c r="O24" s="139"/>
      <c r="P24" s="139"/>
    </row>
    <row r="29" spans="2:16" ht="18">
      <c r="B29" s="150" t="s">
        <v>5</v>
      </c>
      <c r="C29" s="150"/>
      <c r="D29" s="150"/>
      <c r="E29" s="150"/>
      <c r="F29" s="150"/>
      <c r="G29" s="150"/>
      <c r="H29" s="150"/>
      <c r="I29" s="150"/>
      <c r="J29" s="139"/>
      <c r="K29" s="139"/>
      <c r="L29" s="139"/>
      <c r="M29" s="139"/>
      <c r="N29" s="139"/>
      <c r="O29" s="139"/>
      <c r="P29" s="139"/>
    </row>
    <row r="30" spans="2:16" ht="18">
      <c r="B30" s="139"/>
      <c r="C30" s="7"/>
      <c r="D30" s="8"/>
      <c r="E30" s="8"/>
      <c r="F30" s="8"/>
      <c r="G30" s="8"/>
      <c r="H30" s="8"/>
      <c r="I30" s="8"/>
      <c r="J30" s="139"/>
      <c r="K30" s="139"/>
      <c r="L30" s="139"/>
      <c r="M30" s="139"/>
      <c r="N30" s="139"/>
      <c r="O30" s="139"/>
      <c r="P30" s="139"/>
    </row>
    <row r="31" spans="2:16" ht="18">
      <c r="B31" s="150" t="s">
        <v>6</v>
      </c>
      <c r="C31" s="150"/>
      <c r="D31" s="150"/>
      <c r="E31" s="150"/>
      <c r="F31" s="150"/>
      <c r="G31" s="150"/>
      <c r="H31" s="150"/>
      <c r="I31" s="150"/>
      <c r="J31" s="139"/>
      <c r="K31" s="139"/>
      <c r="L31" s="139"/>
      <c r="M31" s="139"/>
      <c r="N31" s="139"/>
      <c r="O31" s="139"/>
      <c r="P31" s="139"/>
    </row>
    <row r="32" spans="2:16" ht="18">
      <c r="B32" s="139"/>
      <c r="C32" s="7"/>
      <c r="D32" s="8"/>
      <c r="E32" s="8"/>
      <c r="F32" s="8"/>
      <c r="G32" s="8"/>
      <c r="H32" s="8"/>
      <c r="I32" s="8"/>
      <c r="J32" s="139"/>
      <c r="K32" s="139"/>
      <c r="L32" s="139"/>
      <c r="M32" s="139"/>
      <c r="N32" s="139"/>
      <c r="O32" s="139"/>
      <c r="P32" s="139"/>
    </row>
    <row r="33" spans="2:9" ht="18">
      <c r="B33" s="150" t="s">
        <v>7</v>
      </c>
      <c r="C33" s="150"/>
      <c r="D33" s="150"/>
      <c r="E33" s="150"/>
      <c r="F33" s="150"/>
      <c r="G33" s="150"/>
      <c r="H33" s="150"/>
      <c r="I33" s="150"/>
    </row>
    <row r="34" spans="2:9" ht="18">
      <c r="B34" s="139"/>
      <c r="C34" s="7"/>
      <c r="D34" s="8"/>
      <c r="E34" s="8"/>
      <c r="F34" s="8"/>
      <c r="G34" s="8"/>
      <c r="H34" s="8"/>
      <c r="I34" s="8"/>
    </row>
    <row r="35" spans="2:9" ht="18">
      <c r="B35" s="150" t="s">
        <v>8</v>
      </c>
      <c r="C35" s="150"/>
      <c r="D35" s="150"/>
      <c r="E35" s="150"/>
      <c r="F35" s="150"/>
      <c r="G35" s="150"/>
      <c r="H35" s="150"/>
      <c r="I35" s="150"/>
    </row>
    <row r="37" spans="2:9" ht="18">
      <c r="B37" s="150" t="s">
        <v>9</v>
      </c>
      <c r="C37" s="150"/>
      <c r="D37" s="150"/>
      <c r="E37" s="150"/>
      <c r="F37" s="150"/>
      <c r="G37" s="150"/>
      <c r="H37" s="150"/>
      <c r="I37" s="150"/>
    </row>
    <row r="39" spans="2:9">
      <c r="B39" s="139" t="s">
        <v>10</v>
      </c>
      <c r="C39" s="352">
        <v>2022</v>
      </c>
      <c r="D39" s="139"/>
      <c r="E39" s="139"/>
      <c r="F39" s="139"/>
      <c r="G39" s="139"/>
      <c r="H39" s="139"/>
      <c r="I39" s="139"/>
    </row>
    <row r="40" spans="2:9" ht="14.25" customHeight="1">
      <c r="B40" s="139"/>
      <c r="C40" s="139"/>
      <c r="D40" s="139"/>
      <c r="E40" s="139"/>
      <c r="F40" s="139"/>
      <c r="G40" s="139"/>
      <c r="H40" s="139"/>
      <c r="I40" s="139"/>
    </row>
    <row r="41" spans="2:9">
      <c r="B41" s="353" t="s">
        <v>11</v>
      </c>
      <c r="C41" s="151" t="s">
        <v>12</v>
      </c>
      <c r="D41" s="151"/>
      <c r="E41" s="151"/>
      <c r="F41" s="151"/>
      <c r="G41" s="151"/>
      <c r="H41" s="151"/>
      <c r="I41" s="151"/>
    </row>
    <row r="42" spans="2:9">
      <c r="B42" s="353"/>
      <c r="C42" s="139"/>
      <c r="D42" s="139"/>
      <c r="E42" s="139"/>
      <c r="F42" s="139"/>
      <c r="G42" s="139"/>
      <c r="H42" s="139"/>
      <c r="I42" s="139"/>
    </row>
    <row r="43" spans="2:9">
      <c r="B43" s="353" t="s">
        <v>13</v>
      </c>
      <c r="C43" s="151" t="s">
        <v>14</v>
      </c>
      <c r="D43" s="151"/>
      <c r="E43" s="151"/>
      <c r="F43" s="139"/>
      <c r="G43" s="139"/>
      <c r="H43" s="139"/>
      <c r="I43" s="139"/>
    </row>
    <row r="44" spans="2:9">
      <c r="B44" s="353"/>
      <c r="C44" s="139"/>
      <c r="D44" s="139"/>
      <c r="E44" s="139"/>
      <c r="F44" s="139"/>
      <c r="G44" s="139"/>
      <c r="H44" s="139"/>
      <c r="I44" s="139"/>
    </row>
    <row r="45" spans="2:9">
      <c r="B45" s="353" t="s">
        <v>15</v>
      </c>
      <c r="C45" s="152" t="s">
        <v>16</v>
      </c>
      <c r="D45" s="151"/>
      <c r="E45" s="151"/>
      <c r="F45" s="139"/>
      <c r="G45" s="139"/>
      <c r="H45" s="139"/>
      <c r="I45" s="139"/>
    </row>
    <row r="46" spans="2:9">
      <c r="B46" s="353"/>
      <c r="C46" s="139"/>
      <c r="D46" s="139"/>
      <c r="E46" s="139"/>
      <c r="F46" s="139"/>
      <c r="G46" s="139"/>
      <c r="H46" s="139"/>
      <c r="I46" s="139"/>
    </row>
    <row r="47" spans="2:9">
      <c r="B47" s="353" t="s">
        <v>17</v>
      </c>
      <c r="C47" s="151" t="s">
        <v>18</v>
      </c>
      <c r="D47" s="151"/>
      <c r="E47" s="139"/>
      <c r="F47" s="139" t="s">
        <v>19</v>
      </c>
      <c r="G47" s="151" t="s">
        <v>20</v>
      </c>
      <c r="H47" s="151"/>
      <c r="I47" s="151"/>
    </row>
    <row r="48" spans="2:9">
      <c r="B48" s="353"/>
      <c r="C48" s="139"/>
      <c r="D48" s="139"/>
      <c r="E48" s="139"/>
      <c r="F48" s="139"/>
      <c r="G48" s="139"/>
      <c r="H48" s="139"/>
      <c r="I48" s="139"/>
    </row>
    <row r="49" spans="2:9">
      <c r="B49" s="353" t="s">
        <v>21</v>
      </c>
      <c r="C49" s="151" t="s">
        <v>22</v>
      </c>
      <c r="D49" s="151"/>
      <c r="E49" s="139"/>
      <c r="F49" s="139" t="s">
        <v>19</v>
      </c>
      <c r="G49" s="151" t="s">
        <v>23</v>
      </c>
      <c r="H49" s="151"/>
      <c r="I49" s="151"/>
    </row>
    <row r="50" spans="2:9">
      <c r="B50" s="353"/>
      <c r="C50" s="139"/>
      <c r="D50" s="139"/>
      <c r="E50" s="139"/>
      <c r="F50" s="139"/>
      <c r="G50" s="139"/>
      <c r="H50" s="139"/>
      <c r="I50" s="139"/>
    </row>
    <row r="51" spans="2:9">
      <c r="B51" s="353" t="s">
        <v>24</v>
      </c>
      <c r="C51" s="352">
        <v>1</v>
      </c>
      <c r="D51" s="139"/>
      <c r="E51" s="139"/>
      <c r="F51" s="139"/>
      <c r="G51" s="139"/>
      <c r="H51" s="139"/>
      <c r="I51" s="139"/>
    </row>
    <row r="52" spans="2:9">
      <c r="B52" s="353"/>
      <c r="C52" s="139"/>
      <c r="D52" s="139"/>
      <c r="E52" s="139"/>
      <c r="F52" s="139"/>
      <c r="G52" s="139"/>
      <c r="H52" s="139"/>
      <c r="I52" s="139"/>
    </row>
    <row r="53" spans="2:9">
      <c r="B53" s="353" t="s">
        <v>25</v>
      </c>
      <c r="C53" s="354">
        <v>44954</v>
      </c>
      <c r="D53" s="151"/>
      <c r="E53" s="139"/>
      <c r="F53" s="139"/>
      <c r="G53" s="139"/>
      <c r="H53" s="139"/>
      <c r="I53" s="139"/>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796D8E90-582E-466F-8C5E-81183B960223}"/>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zoomScaleNormal="100" workbookViewId="0"/>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5">
      <c r="A1" s="139" t="str">
        <f>+'Cover Page'!$B$29</f>
        <v>Annual Performance Report 2022</v>
      </c>
      <c r="B1" s="139"/>
      <c r="C1" s="139"/>
      <c r="D1" s="139"/>
      <c r="E1" s="139" t="str">
        <f>+'Cover Page'!$B$33</f>
        <v>Twinwoods Co-Incinerator</v>
      </c>
      <c r="F1" s="139"/>
      <c r="G1" s="139"/>
      <c r="H1" s="139"/>
      <c r="I1" s="139"/>
      <c r="J1" s="139"/>
      <c r="K1" s="139"/>
      <c r="L1" s="139"/>
      <c r="M1" s="139"/>
      <c r="N1" s="139"/>
      <c r="O1" s="139"/>
    </row>
    <row r="3" spans="1:15">
      <c r="A3" s="97" t="s">
        <v>26</v>
      </c>
      <c r="B3" s="355"/>
      <c r="C3" s="355"/>
      <c r="D3" s="355"/>
      <c r="E3" s="355"/>
      <c r="F3" s="355"/>
      <c r="G3" s="355"/>
      <c r="H3" s="356"/>
      <c r="I3" s="139"/>
      <c r="J3" s="139"/>
      <c r="K3" s="125" t="s">
        <v>3</v>
      </c>
      <c r="L3" s="139"/>
      <c r="M3" s="139"/>
      <c r="N3" s="139"/>
      <c r="O3" s="139"/>
    </row>
    <row r="4" spans="1:15">
      <c r="A4" s="5" t="s">
        <v>27</v>
      </c>
      <c r="B4" s="154" t="s">
        <v>28</v>
      </c>
      <c r="C4" s="154"/>
      <c r="D4" s="154"/>
      <c r="E4" s="154"/>
      <c r="F4" s="154"/>
      <c r="G4" s="154"/>
      <c r="H4" s="6" t="s">
        <v>29</v>
      </c>
      <c r="I4" s="139"/>
      <c r="J4" s="139"/>
      <c r="K4" s="123" t="s">
        <v>30</v>
      </c>
      <c r="L4" s="139"/>
      <c r="M4" s="139"/>
      <c r="N4" s="139"/>
      <c r="O4" s="139"/>
    </row>
    <row r="5" spans="1:15" ht="15.6" customHeight="1">
      <c r="A5" s="4"/>
      <c r="B5" s="153" t="s">
        <v>31</v>
      </c>
      <c r="C5" s="153"/>
      <c r="D5" s="153"/>
      <c r="E5" s="153"/>
      <c r="F5" s="153"/>
      <c r="G5" s="153"/>
      <c r="H5" s="4"/>
      <c r="I5" s="139"/>
      <c r="J5" s="139"/>
      <c r="K5" s="149" t="s">
        <v>32</v>
      </c>
      <c r="L5" s="149"/>
      <c r="M5" s="149"/>
      <c r="N5" s="149"/>
      <c r="O5" s="149"/>
    </row>
    <row r="6" spans="1:15">
      <c r="A6" s="4"/>
      <c r="B6" s="153" t="s">
        <v>33</v>
      </c>
      <c r="C6" s="153"/>
      <c r="D6" s="153"/>
      <c r="E6" s="153"/>
      <c r="F6" s="153"/>
      <c r="G6" s="153"/>
      <c r="H6" s="4"/>
      <c r="I6" s="139"/>
      <c r="J6" s="139"/>
      <c r="K6" s="149"/>
      <c r="L6" s="149"/>
      <c r="M6" s="149"/>
      <c r="N6" s="149"/>
      <c r="O6" s="149"/>
    </row>
    <row r="7" spans="1:15" ht="15.75" customHeight="1">
      <c r="A7" s="4"/>
      <c r="B7" s="153" t="s">
        <v>34</v>
      </c>
      <c r="C7" s="153"/>
      <c r="D7" s="153"/>
      <c r="E7" s="153"/>
      <c r="F7" s="153"/>
      <c r="G7" s="153"/>
      <c r="H7" s="4"/>
      <c r="I7" s="139"/>
      <c r="J7" s="139"/>
      <c r="K7" s="149"/>
      <c r="L7" s="149"/>
      <c r="M7" s="149"/>
      <c r="N7" s="149"/>
      <c r="O7" s="149"/>
    </row>
    <row r="8" spans="1:15">
      <c r="A8" s="4"/>
      <c r="B8" s="153" t="s">
        <v>35</v>
      </c>
      <c r="C8" s="153"/>
      <c r="D8" s="153"/>
      <c r="E8" s="153"/>
      <c r="F8" s="153"/>
      <c r="G8" s="153"/>
      <c r="H8" s="4"/>
      <c r="I8" s="139"/>
      <c r="J8" s="139"/>
      <c r="K8" s="149"/>
      <c r="L8" s="149"/>
      <c r="M8" s="149"/>
      <c r="N8" s="149"/>
      <c r="O8" s="149"/>
    </row>
    <row r="9" spans="1:15">
      <c r="A9" s="4"/>
      <c r="B9" s="153" t="s">
        <v>36</v>
      </c>
      <c r="C9" s="153"/>
      <c r="D9" s="153"/>
      <c r="E9" s="153"/>
      <c r="F9" s="153"/>
      <c r="G9" s="153"/>
      <c r="H9" s="4"/>
      <c r="I9" s="139"/>
      <c r="J9" s="139"/>
      <c r="K9" s="139"/>
      <c r="L9" s="139"/>
      <c r="M9" s="139"/>
      <c r="N9" s="139"/>
      <c r="O9" s="139"/>
    </row>
    <row r="10" spans="1:15">
      <c r="A10" s="4"/>
      <c r="B10" s="153" t="s">
        <v>37</v>
      </c>
      <c r="C10" s="153"/>
      <c r="D10" s="153"/>
      <c r="E10" s="153"/>
      <c r="F10" s="153"/>
      <c r="G10" s="153"/>
      <c r="H10" s="4"/>
      <c r="I10" s="139"/>
      <c r="J10" s="139"/>
      <c r="K10" s="139"/>
      <c r="L10" s="139"/>
      <c r="M10" s="139"/>
      <c r="N10" s="139"/>
      <c r="O10" s="139"/>
    </row>
    <row r="11" spans="1:15">
      <c r="A11" s="4"/>
      <c r="B11" s="153" t="s">
        <v>38</v>
      </c>
      <c r="C11" s="153"/>
      <c r="D11" s="153"/>
      <c r="E11" s="153"/>
      <c r="F11" s="153"/>
      <c r="G11" s="153"/>
      <c r="H11" s="4"/>
      <c r="I11" s="139"/>
      <c r="J11" s="139"/>
      <c r="K11" s="139"/>
      <c r="L11" s="139"/>
      <c r="M11" s="139"/>
      <c r="N11" s="139"/>
      <c r="O11" s="139"/>
    </row>
    <row r="12" spans="1:15">
      <c r="A12" s="4"/>
      <c r="B12" s="153" t="s">
        <v>39</v>
      </c>
      <c r="C12" s="153"/>
      <c r="D12" s="153"/>
      <c r="E12" s="153"/>
      <c r="F12" s="153"/>
      <c r="G12" s="153"/>
      <c r="H12" s="4"/>
      <c r="I12" s="139"/>
      <c r="J12" s="139"/>
      <c r="K12" s="139"/>
      <c r="L12" s="139"/>
      <c r="M12" s="139"/>
      <c r="N12" s="139"/>
      <c r="O12" s="139"/>
    </row>
    <row r="13" spans="1:15">
      <c r="A13" s="4"/>
      <c r="B13" s="153" t="s">
        <v>40</v>
      </c>
      <c r="C13" s="153"/>
      <c r="D13" s="153"/>
      <c r="E13" s="153"/>
      <c r="F13" s="153"/>
      <c r="G13" s="153"/>
      <c r="H13" s="4"/>
      <c r="I13" s="139"/>
      <c r="J13" s="139"/>
      <c r="K13" s="139"/>
      <c r="L13" s="139"/>
      <c r="M13" s="139"/>
      <c r="N13" s="139"/>
      <c r="O13" s="139"/>
    </row>
    <row r="14" spans="1:15">
      <c r="A14" s="4"/>
      <c r="B14" s="153" t="s">
        <v>41</v>
      </c>
      <c r="C14" s="153"/>
      <c r="D14" s="153"/>
      <c r="E14" s="153"/>
      <c r="F14" s="153"/>
      <c r="G14" s="153"/>
      <c r="H14" s="4"/>
      <c r="I14" s="139"/>
      <c r="J14" s="139"/>
      <c r="K14" s="139"/>
      <c r="L14" s="139"/>
      <c r="M14" s="139"/>
      <c r="N14" s="139"/>
      <c r="O14" s="139"/>
    </row>
    <row r="15" spans="1:15">
      <c r="A15" s="4"/>
      <c r="B15" s="153" t="s">
        <v>42</v>
      </c>
      <c r="C15" s="153"/>
      <c r="D15" s="153"/>
      <c r="E15" s="153"/>
      <c r="F15" s="153"/>
      <c r="G15" s="153"/>
      <c r="H15" s="4"/>
      <c r="I15" s="139"/>
      <c r="J15" s="139"/>
      <c r="K15" s="139"/>
      <c r="L15" s="139"/>
      <c r="M15" s="139"/>
      <c r="N15" s="139"/>
      <c r="O15" s="139"/>
    </row>
    <row r="16" spans="1:15">
      <c r="A16" s="4"/>
      <c r="B16" s="153" t="s">
        <v>43</v>
      </c>
      <c r="C16" s="153"/>
      <c r="D16" s="153"/>
      <c r="E16" s="153"/>
      <c r="F16" s="153"/>
      <c r="G16" s="153"/>
      <c r="H16" s="4"/>
      <c r="I16" s="139"/>
      <c r="J16" s="139"/>
      <c r="K16" s="139"/>
      <c r="L16" s="139"/>
      <c r="M16" s="139"/>
      <c r="N16" s="139"/>
      <c r="O16" s="139"/>
    </row>
    <row r="17" spans="1:8">
      <c r="A17" s="4"/>
      <c r="B17" s="153" t="s">
        <v>44</v>
      </c>
      <c r="C17" s="153"/>
      <c r="D17" s="153"/>
      <c r="E17" s="153"/>
      <c r="F17" s="153"/>
      <c r="G17" s="153"/>
      <c r="H17" s="4"/>
    </row>
    <row r="18" spans="1:8">
      <c r="A18" s="4"/>
      <c r="B18" s="153" t="s">
        <v>45</v>
      </c>
      <c r="C18" s="153"/>
      <c r="D18" s="153"/>
      <c r="E18" s="153"/>
      <c r="F18" s="153"/>
      <c r="G18" s="153"/>
      <c r="H18" s="4"/>
    </row>
    <row r="19" spans="1:8">
      <c r="A19" s="4"/>
      <c r="B19" s="153" t="s">
        <v>46</v>
      </c>
      <c r="C19" s="153"/>
      <c r="D19" s="153"/>
      <c r="E19" s="153"/>
      <c r="F19" s="153"/>
      <c r="G19" s="153"/>
      <c r="H19" s="4"/>
    </row>
    <row r="20" spans="1:8">
      <c r="A20" s="4"/>
      <c r="B20" s="153" t="s">
        <v>47</v>
      </c>
      <c r="C20" s="153"/>
      <c r="D20" s="153"/>
      <c r="E20" s="153"/>
      <c r="F20" s="153"/>
      <c r="G20" s="153"/>
      <c r="H20" s="4"/>
    </row>
    <row r="21" spans="1:8">
      <c r="A21" s="4"/>
      <c r="B21" s="153" t="s">
        <v>48</v>
      </c>
      <c r="C21" s="153"/>
      <c r="D21" s="153"/>
      <c r="E21" s="153"/>
      <c r="F21" s="153"/>
      <c r="G21" s="153"/>
      <c r="H21" s="4"/>
    </row>
    <row r="22" spans="1:8">
      <c r="A22" s="4"/>
      <c r="B22" s="156" t="s">
        <v>49</v>
      </c>
      <c r="C22" s="157"/>
      <c r="D22" s="157"/>
      <c r="E22" s="157"/>
      <c r="F22" s="157"/>
      <c r="G22" s="158"/>
      <c r="H22" s="4"/>
    </row>
    <row r="23" spans="1:8">
      <c r="A23" s="4"/>
      <c r="B23" s="156" t="s">
        <v>50</v>
      </c>
      <c r="C23" s="157"/>
      <c r="D23" s="157"/>
      <c r="E23" s="157"/>
      <c r="F23" s="157"/>
      <c r="G23" s="158"/>
      <c r="H23" s="4"/>
    </row>
    <row r="24" spans="1:8">
      <c r="A24" s="4"/>
      <c r="B24" s="159"/>
      <c r="C24" s="159"/>
      <c r="D24" s="159"/>
      <c r="E24" s="159"/>
      <c r="F24" s="159"/>
      <c r="G24" s="159"/>
      <c r="H24" s="4"/>
    </row>
    <row r="26" spans="1:8">
      <c r="A26" s="96" t="s">
        <v>51</v>
      </c>
      <c r="B26" s="355"/>
      <c r="C26" s="355"/>
      <c r="D26" s="355"/>
      <c r="E26" s="355"/>
      <c r="F26" s="355"/>
      <c r="G26" s="355"/>
      <c r="H26" s="356"/>
    </row>
    <row r="27" spans="1:8">
      <c r="A27" s="10" t="s">
        <v>27</v>
      </c>
      <c r="B27" s="160" t="s">
        <v>52</v>
      </c>
      <c r="C27" s="160"/>
      <c r="D27" s="160"/>
      <c r="E27" s="160"/>
      <c r="F27" s="160"/>
      <c r="G27" s="160"/>
      <c r="H27" s="11" t="s">
        <v>53</v>
      </c>
    </row>
    <row r="28" spans="1:8">
      <c r="A28" s="12"/>
      <c r="B28" s="161"/>
      <c r="C28" s="161"/>
      <c r="D28" s="161"/>
      <c r="E28" s="161"/>
      <c r="F28" s="161"/>
      <c r="G28" s="161"/>
      <c r="H28" s="12"/>
    </row>
    <row r="29" spans="1:8">
      <c r="A29" s="12"/>
      <c r="B29" s="161"/>
      <c r="C29" s="161"/>
      <c r="D29" s="161"/>
      <c r="E29" s="161"/>
      <c r="F29" s="161"/>
      <c r="G29" s="161"/>
      <c r="H29" s="12"/>
    </row>
    <row r="30" spans="1:8">
      <c r="A30" s="12"/>
      <c r="B30" s="161"/>
      <c r="C30" s="161"/>
      <c r="D30" s="161"/>
      <c r="E30" s="161"/>
      <c r="F30" s="161"/>
      <c r="G30" s="161"/>
      <c r="H30" s="12"/>
    </row>
    <row r="31" spans="1:8">
      <c r="A31" s="12"/>
      <c r="B31" s="161"/>
      <c r="C31" s="161"/>
      <c r="D31" s="161"/>
      <c r="E31" s="161"/>
      <c r="F31" s="161"/>
      <c r="G31" s="161"/>
      <c r="H31" s="12"/>
    </row>
    <row r="32" spans="1:8">
      <c r="A32" s="12"/>
      <c r="B32" s="161"/>
      <c r="C32" s="161"/>
      <c r="D32" s="161"/>
      <c r="E32" s="161"/>
      <c r="F32" s="161"/>
      <c r="G32" s="161"/>
      <c r="H32" s="12"/>
    </row>
    <row r="34" spans="1:10" ht="14.25" customHeight="1">
      <c r="A34" s="96" t="s">
        <v>54</v>
      </c>
      <c r="B34" s="355"/>
      <c r="C34" s="355"/>
      <c r="D34" s="355"/>
      <c r="E34" s="355"/>
      <c r="F34" s="355"/>
      <c r="G34" s="355"/>
      <c r="H34" s="356"/>
      <c r="I34" s="139"/>
      <c r="J34" s="139"/>
    </row>
    <row r="35" spans="1:10">
      <c r="A35" s="15" t="s">
        <v>55</v>
      </c>
      <c r="B35" s="162" t="s">
        <v>56</v>
      </c>
      <c r="C35" s="162"/>
      <c r="D35" s="162"/>
      <c r="E35" s="162"/>
      <c r="F35" s="162"/>
      <c r="G35" s="162"/>
      <c r="H35" s="16" t="s">
        <v>57</v>
      </c>
      <c r="I35" s="139"/>
      <c r="J35" s="139"/>
    </row>
    <row r="36" spans="1:10">
      <c r="A36" s="17"/>
      <c r="B36" s="155"/>
      <c r="C36" s="155"/>
      <c r="D36" s="155"/>
      <c r="E36" s="155"/>
      <c r="F36" s="155"/>
      <c r="G36" s="155"/>
      <c r="H36" s="17"/>
      <c r="I36" s="139"/>
      <c r="J36" s="139"/>
    </row>
    <row r="37" spans="1:10">
      <c r="A37" s="17"/>
      <c r="B37" s="155"/>
      <c r="C37" s="155"/>
      <c r="D37" s="155"/>
      <c r="E37" s="155"/>
      <c r="F37" s="155"/>
      <c r="G37" s="155"/>
      <c r="H37" s="17"/>
      <c r="I37" s="139"/>
      <c r="J37" s="139"/>
    </row>
    <row r="38" spans="1:10">
      <c r="A38" s="17"/>
      <c r="B38" s="155"/>
      <c r="C38" s="155"/>
      <c r="D38" s="155"/>
      <c r="E38" s="155"/>
      <c r="F38" s="155"/>
      <c r="G38" s="155"/>
      <c r="H38" s="17"/>
      <c r="I38" s="139"/>
      <c r="J38" s="139"/>
    </row>
    <row r="39" spans="1:10">
      <c r="A39" s="17"/>
      <c r="B39" s="155"/>
      <c r="C39" s="155"/>
      <c r="D39" s="155"/>
      <c r="E39" s="155"/>
      <c r="F39" s="155"/>
      <c r="G39" s="155"/>
      <c r="H39" s="17"/>
      <c r="I39" s="139"/>
      <c r="J39" s="139"/>
    </row>
    <row r="40" spans="1:10">
      <c r="A40" s="17"/>
      <c r="B40" s="155"/>
      <c r="C40" s="155"/>
      <c r="D40" s="155"/>
      <c r="E40" s="155"/>
      <c r="F40" s="155"/>
      <c r="G40" s="155"/>
      <c r="H40" s="17"/>
      <c r="I40" s="139"/>
      <c r="J40" s="139"/>
    </row>
    <row r="41" spans="1:10">
      <c r="A41" s="17"/>
      <c r="B41" s="155"/>
      <c r="C41" s="155"/>
      <c r="D41" s="155"/>
      <c r="E41" s="155"/>
      <c r="F41" s="155"/>
      <c r="G41" s="155"/>
      <c r="H41" s="17"/>
      <c r="I41" s="139"/>
      <c r="J41" s="139"/>
    </row>
    <row r="42" spans="1:10">
      <c r="A42" s="17"/>
      <c r="B42" s="155"/>
      <c r="C42" s="155"/>
      <c r="D42" s="155"/>
      <c r="E42" s="155"/>
      <c r="F42" s="155"/>
      <c r="G42" s="155"/>
      <c r="H42" s="17"/>
      <c r="I42" s="139"/>
      <c r="J42" s="139"/>
    </row>
    <row r="44" spans="1:10">
      <c r="A44" s="163" t="s">
        <v>58</v>
      </c>
      <c r="B44" s="164"/>
      <c r="C44" s="164"/>
      <c r="D44" s="164"/>
      <c r="E44" s="164"/>
      <c r="F44" s="164"/>
      <c r="G44" s="164"/>
      <c r="H44" s="164"/>
      <c r="I44" s="164"/>
      <c r="J44" s="165"/>
    </row>
    <row r="45" spans="1:10">
      <c r="A45" s="166"/>
      <c r="B45" s="167"/>
      <c r="C45" s="167"/>
      <c r="D45" s="167"/>
      <c r="E45" s="167"/>
      <c r="F45" s="167"/>
      <c r="G45" s="167"/>
      <c r="H45" s="167"/>
      <c r="I45" s="167"/>
      <c r="J45" s="168"/>
    </row>
    <row r="46" spans="1:10">
      <c r="A46" s="166"/>
      <c r="B46" s="167"/>
      <c r="C46" s="167"/>
      <c r="D46" s="167"/>
      <c r="E46" s="167"/>
      <c r="F46" s="167"/>
      <c r="G46" s="167"/>
      <c r="H46" s="167"/>
      <c r="I46" s="167"/>
      <c r="J46" s="168"/>
    </row>
    <row r="47" spans="1:10">
      <c r="A47" s="169"/>
      <c r="B47" s="170"/>
      <c r="C47" s="170"/>
      <c r="D47" s="170"/>
      <c r="E47" s="170"/>
      <c r="F47" s="170"/>
      <c r="G47" s="170"/>
      <c r="H47" s="170"/>
      <c r="I47" s="170"/>
      <c r="J47" s="171"/>
    </row>
    <row r="65" spans="6:6">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opLeftCell="A21" zoomScaleNormal="100" workbookViewId="0">
      <selection activeCell="A5" sqref="A5:I18"/>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39" t="str">
        <f>+'Cover Page'!$B$29</f>
        <v>Annual Performance Report 2022</v>
      </c>
      <c r="B1" s="139"/>
      <c r="C1" s="139"/>
      <c r="D1" s="139"/>
      <c r="E1" s="139" t="str">
        <f>+'Cover Page'!$B$33</f>
        <v>Twinwoods Co-Incinerator</v>
      </c>
      <c r="F1" s="139"/>
      <c r="G1" s="139"/>
      <c r="H1" s="139"/>
      <c r="I1" s="139"/>
      <c r="J1" s="139"/>
      <c r="K1" s="139"/>
      <c r="L1" s="139"/>
      <c r="M1" s="139"/>
      <c r="N1" s="139"/>
    </row>
    <row r="3" spans="1:14">
      <c r="A3" s="95" t="s">
        <v>59</v>
      </c>
      <c r="B3" s="357"/>
      <c r="C3" s="357"/>
      <c r="D3" s="357"/>
      <c r="E3" s="357"/>
      <c r="F3" s="357"/>
      <c r="G3" s="357"/>
      <c r="H3" s="357"/>
      <c r="I3" s="358"/>
      <c r="J3" s="139"/>
      <c r="K3" s="132" t="s">
        <v>3</v>
      </c>
      <c r="L3" s="139"/>
      <c r="M3" s="139"/>
      <c r="N3" s="139"/>
    </row>
    <row r="4" spans="1:14">
      <c r="A4" s="359"/>
      <c r="B4" s="360"/>
      <c r="C4" s="360"/>
      <c r="D4" s="360"/>
      <c r="E4" s="360"/>
      <c r="F4" s="360"/>
      <c r="G4" s="360"/>
      <c r="H4" s="360"/>
      <c r="I4" s="361"/>
      <c r="J4" s="139"/>
      <c r="K4" s="139"/>
      <c r="L4" s="139"/>
      <c r="M4" s="139"/>
      <c r="N4" s="139"/>
    </row>
    <row r="5" spans="1:14" ht="15.75" customHeight="1">
      <c r="A5" s="172" t="s">
        <v>60</v>
      </c>
      <c r="B5" s="173"/>
      <c r="C5" s="173"/>
      <c r="D5" s="173"/>
      <c r="E5" s="173"/>
      <c r="F5" s="173"/>
      <c r="G5" s="173"/>
      <c r="H5" s="173"/>
      <c r="I5" s="174"/>
      <c r="J5" s="139"/>
      <c r="K5" s="362" t="s">
        <v>61</v>
      </c>
      <c r="L5" s="362"/>
      <c r="M5" s="362"/>
      <c r="N5" s="362"/>
    </row>
    <row r="6" spans="1:14">
      <c r="A6" s="175"/>
      <c r="B6" s="176"/>
      <c r="C6" s="176"/>
      <c r="D6" s="176"/>
      <c r="E6" s="176"/>
      <c r="F6" s="176"/>
      <c r="G6" s="176"/>
      <c r="H6" s="176"/>
      <c r="I6" s="177"/>
      <c r="J6" s="139"/>
      <c r="K6" s="362"/>
      <c r="L6" s="362"/>
      <c r="M6" s="362"/>
      <c r="N6" s="362"/>
    </row>
    <row r="7" spans="1:14">
      <c r="A7" s="175"/>
      <c r="B7" s="176"/>
      <c r="C7" s="176"/>
      <c r="D7" s="176"/>
      <c r="E7" s="176"/>
      <c r="F7" s="176"/>
      <c r="G7" s="176"/>
      <c r="H7" s="176"/>
      <c r="I7" s="177"/>
      <c r="J7" s="139"/>
      <c r="K7" s="362"/>
      <c r="L7" s="362"/>
      <c r="M7" s="362"/>
      <c r="N7" s="362"/>
    </row>
    <row r="8" spans="1:14" ht="15.75" customHeight="1">
      <c r="A8" s="175"/>
      <c r="B8" s="176"/>
      <c r="C8" s="176"/>
      <c r="D8" s="176"/>
      <c r="E8" s="176"/>
      <c r="F8" s="176"/>
      <c r="G8" s="176"/>
      <c r="H8" s="176"/>
      <c r="I8" s="177"/>
      <c r="J8" s="139"/>
      <c r="K8" s="362"/>
      <c r="L8" s="362"/>
      <c r="M8" s="362"/>
      <c r="N8" s="362"/>
    </row>
    <row r="9" spans="1:14">
      <c r="A9" s="175"/>
      <c r="B9" s="176"/>
      <c r="C9" s="176"/>
      <c r="D9" s="176"/>
      <c r="E9" s="176"/>
      <c r="F9" s="176"/>
      <c r="G9" s="176"/>
      <c r="H9" s="176"/>
      <c r="I9" s="177"/>
      <c r="J9" s="139"/>
      <c r="K9" s="362"/>
      <c r="L9" s="362"/>
      <c r="M9" s="362"/>
      <c r="N9" s="362"/>
    </row>
    <row r="10" spans="1:14">
      <c r="A10" s="175"/>
      <c r="B10" s="176"/>
      <c r="C10" s="176"/>
      <c r="D10" s="176"/>
      <c r="E10" s="176"/>
      <c r="F10" s="176"/>
      <c r="G10" s="176"/>
      <c r="H10" s="176"/>
      <c r="I10" s="177"/>
      <c r="J10" s="139"/>
      <c r="K10" s="362"/>
      <c r="L10" s="362"/>
      <c r="M10" s="362"/>
      <c r="N10" s="362"/>
    </row>
    <row r="11" spans="1:14">
      <c r="A11" s="175"/>
      <c r="B11" s="176"/>
      <c r="C11" s="176"/>
      <c r="D11" s="176"/>
      <c r="E11" s="176"/>
      <c r="F11" s="176"/>
      <c r="G11" s="176"/>
      <c r="H11" s="176"/>
      <c r="I11" s="177"/>
      <c r="J11" s="139"/>
      <c r="K11" s="362"/>
      <c r="L11" s="362"/>
      <c r="M11" s="362"/>
      <c r="N11" s="362"/>
    </row>
    <row r="12" spans="1:14">
      <c r="A12" s="175"/>
      <c r="B12" s="176"/>
      <c r="C12" s="176"/>
      <c r="D12" s="176"/>
      <c r="E12" s="176"/>
      <c r="F12" s="176"/>
      <c r="G12" s="176"/>
      <c r="H12" s="176"/>
      <c r="I12" s="177"/>
      <c r="J12" s="139"/>
      <c r="K12" s="362"/>
      <c r="L12" s="362"/>
      <c r="M12" s="362"/>
      <c r="N12" s="362"/>
    </row>
    <row r="13" spans="1:14">
      <c r="A13" s="175"/>
      <c r="B13" s="176"/>
      <c r="C13" s="176"/>
      <c r="D13" s="176"/>
      <c r="E13" s="176"/>
      <c r="F13" s="176"/>
      <c r="G13" s="176"/>
      <c r="H13" s="176"/>
      <c r="I13" s="177"/>
      <c r="J13" s="139"/>
      <c r="K13" s="362"/>
      <c r="L13" s="362"/>
      <c r="M13" s="362"/>
      <c r="N13" s="362"/>
    </row>
    <row r="14" spans="1:14">
      <c r="A14" s="175"/>
      <c r="B14" s="176"/>
      <c r="C14" s="176"/>
      <c r="D14" s="176"/>
      <c r="E14" s="176"/>
      <c r="F14" s="176"/>
      <c r="G14" s="176"/>
      <c r="H14" s="176"/>
      <c r="I14" s="177"/>
      <c r="J14" s="139"/>
      <c r="K14" s="362"/>
      <c r="L14" s="362"/>
      <c r="M14" s="362"/>
      <c r="N14" s="362"/>
    </row>
    <row r="15" spans="1:14">
      <c r="A15" s="175"/>
      <c r="B15" s="176"/>
      <c r="C15" s="176"/>
      <c r="D15" s="176"/>
      <c r="E15" s="176"/>
      <c r="F15" s="176"/>
      <c r="G15" s="176"/>
      <c r="H15" s="176"/>
      <c r="I15" s="177"/>
      <c r="J15" s="139"/>
      <c r="K15" s="139"/>
      <c r="L15" s="139"/>
      <c r="M15" s="139"/>
      <c r="N15" s="139"/>
    </row>
    <row r="16" spans="1:14">
      <c r="A16" s="175"/>
      <c r="B16" s="176"/>
      <c r="C16" s="176"/>
      <c r="D16" s="176"/>
      <c r="E16" s="176"/>
      <c r="F16" s="176"/>
      <c r="G16" s="176"/>
      <c r="H16" s="176"/>
      <c r="I16" s="177"/>
      <c r="J16" s="139"/>
      <c r="K16" s="139"/>
      <c r="L16" s="139"/>
      <c r="M16" s="139"/>
      <c r="N16" s="139"/>
    </row>
    <row r="17" spans="1:14">
      <c r="A17" s="175"/>
      <c r="B17" s="176"/>
      <c r="C17" s="176"/>
      <c r="D17" s="176"/>
      <c r="E17" s="176"/>
      <c r="F17" s="176"/>
      <c r="G17" s="176"/>
      <c r="H17" s="176"/>
      <c r="I17" s="177"/>
      <c r="J17" s="139"/>
      <c r="K17" s="139"/>
      <c r="L17" s="139"/>
      <c r="M17" s="139"/>
      <c r="N17" s="139"/>
    </row>
    <row r="18" spans="1:14">
      <c r="A18" s="178"/>
      <c r="B18" s="179"/>
      <c r="C18" s="179"/>
      <c r="D18" s="179"/>
      <c r="E18" s="179"/>
      <c r="F18" s="179"/>
      <c r="G18" s="179"/>
      <c r="H18" s="179"/>
      <c r="I18" s="180"/>
      <c r="J18" s="139"/>
      <c r="K18" s="139"/>
      <c r="L18" s="139"/>
      <c r="M18" s="139"/>
      <c r="N18" s="139"/>
    </row>
    <row r="20" spans="1:14">
      <c r="A20" s="95" t="s">
        <v>62</v>
      </c>
      <c r="B20" s="357"/>
      <c r="C20" s="357"/>
      <c r="D20" s="357"/>
      <c r="E20" s="357"/>
      <c r="F20" s="357"/>
      <c r="G20" s="357"/>
      <c r="H20" s="357"/>
      <c r="I20" s="358"/>
      <c r="J20" s="139"/>
      <c r="K20" s="139"/>
      <c r="L20" s="139"/>
      <c r="M20" s="139"/>
      <c r="N20" s="139"/>
    </row>
    <row r="21" spans="1:14">
      <c r="A21" s="359"/>
      <c r="B21" s="360"/>
      <c r="C21" s="360"/>
      <c r="D21" s="360"/>
      <c r="E21" s="360"/>
      <c r="F21" s="360"/>
      <c r="G21" s="360"/>
      <c r="H21" s="360"/>
      <c r="I21" s="361"/>
      <c r="J21" s="139"/>
      <c r="K21" s="139"/>
      <c r="L21" s="139"/>
      <c r="M21" s="139"/>
      <c r="N21" s="139"/>
    </row>
    <row r="22" spans="1:14">
      <c r="A22" s="172" t="s">
        <v>63</v>
      </c>
      <c r="B22" s="181"/>
      <c r="C22" s="181"/>
      <c r="D22" s="181"/>
      <c r="E22" s="181"/>
      <c r="F22" s="181"/>
      <c r="G22" s="181"/>
      <c r="H22" s="181"/>
      <c r="I22" s="182"/>
      <c r="J22" s="139"/>
      <c r="K22" s="362" t="s">
        <v>64</v>
      </c>
      <c r="L22" s="362"/>
      <c r="M22" s="362"/>
      <c r="N22" s="362"/>
    </row>
    <row r="23" spans="1:14">
      <c r="A23" s="183"/>
      <c r="B23" s="184"/>
      <c r="C23" s="184"/>
      <c r="D23" s="184"/>
      <c r="E23" s="184"/>
      <c r="F23" s="184"/>
      <c r="G23" s="184"/>
      <c r="H23" s="184"/>
      <c r="I23" s="185"/>
      <c r="J23" s="139"/>
      <c r="K23" s="362"/>
      <c r="L23" s="362"/>
      <c r="M23" s="362"/>
      <c r="N23" s="362"/>
    </row>
    <row r="24" spans="1:14">
      <c r="A24" s="183"/>
      <c r="B24" s="184"/>
      <c r="C24" s="184"/>
      <c r="D24" s="184"/>
      <c r="E24" s="184"/>
      <c r="F24" s="184"/>
      <c r="G24" s="184"/>
      <c r="H24" s="184"/>
      <c r="I24" s="185"/>
      <c r="J24" s="139"/>
      <c r="K24" s="362"/>
      <c r="L24" s="362"/>
      <c r="M24" s="362"/>
      <c r="N24" s="362"/>
    </row>
    <row r="25" spans="1:14">
      <c r="A25" s="183"/>
      <c r="B25" s="184"/>
      <c r="C25" s="184"/>
      <c r="D25" s="184"/>
      <c r="E25" s="184"/>
      <c r="F25" s="184"/>
      <c r="G25" s="184"/>
      <c r="H25" s="184"/>
      <c r="I25" s="185"/>
      <c r="J25" s="139"/>
      <c r="K25" s="362"/>
      <c r="L25" s="362"/>
      <c r="M25" s="362"/>
      <c r="N25" s="362"/>
    </row>
    <row r="26" spans="1:14">
      <c r="A26" s="183"/>
      <c r="B26" s="184"/>
      <c r="C26" s="184"/>
      <c r="D26" s="184"/>
      <c r="E26" s="184"/>
      <c r="F26" s="184"/>
      <c r="G26" s="184"/>
      <c r="H26" s="184"/>
      <c r="I26" s="185"/>
      <c r="J26" s="139"/>
      <c r="K26" s="362"/>
      <c r="L26" s="362"/>
      <c r="M26" s="362"/>
      <c r="N26" s="362"/>
    </row>
    <row r="27" spans="1:14">
      <c r="A27" s="183"/>
      <c r="B27" s="184"/>
      <c r="C27" s="184"/>
      <c r="D27" s="184"/>
      <c r="E27" s="184"/>
      <c r="F27" s="184"/>
      <c r="G27" s="184"/>
      <c r="H27" s="184"/>
      <c r="I27" s="185"/>
      <c r="J27" s="139"/>
      <c r="K27" s="362"/>
      <c r="L27" s="362"/>
      <c r="M27" s="362"/>
      <c r="N27" s="362"/>
    </row>
    <row r="28" spans="1:14">
      <c r="A28" s="183"/>
      <c r="B28" s="184"/>
      <c r="C28" s="184"/>
      <c r="D28" s="184"/>
      <c r="E28" s="184"/>
      <c r="F28" s="184"/>
      <c r="G28" s="184"/>
      <c r="H28" s="184"/>
      <c r="I28" s="185"/>
      <c r="J28" s="139"/>
      <c r="K28" s="362"/>
      <c r="L28" s="362"/>
      <c r="M28" s="362"/>
      <c r="N28" s="362"/>
    </row>
    <row r="29" spans="1:14">
      <c r="A29" s="183"/>
      <c r="B29" s="184"/>
      <c r="C29" s="184"/>
      <c r="D29" s="184"/>
      <c r="E29" s="184"/>
      <c r="F29" s="184"/>
      <c r="G29" s="184"/>
      <c r="H29" s="184"/>
      <c r="I29" s="185"/>
      <c r="J29" s="139"/>
      <c r="K29" s="362"/>
      <c r="L29" s="362"/>
      <c r="M29" s="362"/>
      <c r="N29" s="362"/>
    </row>
    <row r="30" spans="1:14">
      <c r="A30" s="183"/>
      <c r="B30" s="184"/>
      <c r="C30" s="184"/>
      <c r="D30" s="184"/>
      <c r="E30" s="184"/>
      <c r="F30" s="184"/>
      <c r="G30" s="184"/>
      <c r="H30" s="184"/>
      <c r="I30" s="185"/>
      <c r="J30" s="139"/>
      <c r="K30" s="362"/>
      <c r="L30" s="362"/>
      <c r="M30" s="362"/>
      <c r="N30" s="362"/>
    </row>
    <row r="31" spans="1:14">
      <c r="A31" s="183"/>
      <c r="B31" s="184"/>
      <c r="C31" s="184"/>
      <c r="D31" s="184"/>
      <c r="E31" s="184"/>
      <c r="F31" s="184"/>
      <c r="G31" s="184"/>
      <c r="H31" s="184"/>
      <c r="I31" s="185"/>
      <c r="J31" s="139"/>
      <c r="K31" s="362"/>
      <c r="L31" s="362"/>
      <c r="M31" s="362"/>
      <c r="N31" s="362"/>
    </row>
    <row r="32" spans="1:14">
      <c r="A32" s="183"/>
      <c r="B32" s="184"/>
      <c r="C32" s="184"/>
      <c r="D32" s="184"/>
      <c r="E32" s="184"/>
      <c r="F32" s="184"/>
      <c r="G32" s="184"/>
      <c r="H32" s="184"/>
      <c r="I32" s="185"/>
      <c r="J32" s="139"/>
      <c r="K32" s="139"/>
      <c r="L32" s="139"/>
      <c r="M32" s="139"/>
      <c r="N32" s="139"/>
    </row>
    <row r="33" spans="1:9">
      <c r="A33" s="183"/>
      <c r="B33" s="184"/>
      <c r="C33" s="184"/>
      <c r="D33" s="184"/>
      <c r="E33" s="184"/>
      <c r="F33" s="184"/>
      <c r="G33" s="184"/>
      <c r="H33" s="184"/>
      <c r="I33" s="185"/>
    </row>
    <row r="34" spans="1:9">
      <c r="A34" s="183"/>
      <c r="B34" s="184"/>
      <c r="C34" s="184"/>
      <c r="D34" s="184"/>
      <c r="E34" s="184"/>
      <c r="F34" s="184"/>
      <c r="G34" s="184"/>
      <c r="H34" s="184"/>
      <c r="I34" s="185"/>
    </row>
    <row r="35" spans="1:9">
      <c r="A35" s="183"/>
      <c r="B35" s="184"/>
      <c r="C35" s="184"/>
      <c r="D35" s="184"/>
      <c r="E35" s="184"/>
      <c r="F35" s="184"/>
      <c r="G35" s="184"/>
      <c r="H35" s="184"/>
      <c r="I35" s="185"/>
    </row>
    <row r="36" spans="1:9">
      <c r="A36" s="183"/>
      <c r="B36" s="184"/>
      <c r="C36" s="184"/>
      <c r="D36" s="184"/>
      <c r="E36" s="184"/>
      <c r="F36" s="184"/>
      <c r="G36" s="184"/>
      <c r="H36" s="184"/>
      <c r="I36" s="185"/>
    </row>
    <row r="37" spans="1:9">
      <c r="A37" s="183"/>
      <c r="B37" s="184"/>
      <c r="C37" s="184"/>
      <c r="D37" s="184"/>
      <c r="E37" s="184"/>
      <c r="F37" s="184"/>
      <c r="G37" s="184"/>
      <c r="H37" s="184"/>
      <c r="I37" s="185"/>
    </row>
    <row r="38" spans="1:9">
      <c r="A38" s="183"/>
      <c r="B38" s="184"/>
      <c r="C38" s="184"/>
      <c r="D38" s="184"/>
      <c r="E38" s="184"/>
      <c r="F38" s="184"/>
      <c r="G38" s="184"/>
      <c r="H38" s="184"/>
      <c r="I38" s="185"/>
    </row>
    <row r="39" spans="1:9">
      <c r="A39" s="183"/>
      <c r="B39" s="184"/>
      <c r="C39" s="184"/>
      <c r="D39" s="184"/>
      <c r="E39" s="184"/>
      <c r="F39" s="184"/>
      <c r="G39" s="184"/>
      <c r="H39" s="184"/>
      <c r="I39" s="185"/>
    </row>
    <row r="40" spans="1:9" ht="14.25" customHeight="1">
      <c r="A40" s="183"/>
      <c r="B40" s="184"/>
      <c r="C40" s="184"/>
      <c r="D40" s="184"/>
      <c r="E40" s="184"/>
      <c r="F40" s="184"/>
      <c r="G40" s="184"/>
      <c r="H40" s="184"/>
      <c r="I40" s="185"/>
    </row>
    <row r="41" spans="1:9">
      <c r="A41" s="183"/>
      <c r="B41" s="184"/>
      <c r="C41" s="184"/>
      <c r="D41" s="184"/>
      <c r="E41" s="184"/>
      <c r="F41" s="184"/>
      <c r="G41" s="184"/>
      <c r="H41" s="184"/>
      <c r="I41" s="185"/>
    </row>
    <row r="42" spans="1:9">
      <c r="A42" s="183"/>
      <c r="B42" s="184"/>
      <c r="C42" s="184"/>
      <c r="D42" s="184"/>
      <c r="E42" s="184"/>
      <c r="F42" s="184"/>
      <c r="G42" s="184"/>
      <c r="H42" s="184"/>
      <c r="I42" s="185"/>
    </row>
    <row r="43" spans="1:9">
      <c r="A43" s="183"/>
      <c r="B43" s="184"/>
      <c r="C43" s="184"/>
      <c r="D43" s="184"/>
      <c r="E43" s="184"/>
      <c r="F43" s="184"/>
      <c r="G43" s="184"/>
      <c r="H43" s="184"/>
      <c r="I43" s="185"/>
    </row>
    <row r="44" spans="1:9">
      <c r="A44" s="183"/>
      <c r="B44" s="184"/>
      <c r="C44" s="184"/>
      <c r="D44" s="184"/>
      <c r="E44" s="184"/>
      <c r="F44" s="184"/>
      <c r="G44" s="184"/>
      <c r="H44" s="184"/>
      <c r="I44" s="185"/>
    </row>
    <row r="45" spans="1:9">
      <c r="A45" s="183"/>
      <c r="B45" s="184"/>
      <c r="C45" s="184"/>
      <c r="D45" s="184"/>
      <c r="E45" s="184"/>
      <c r="F45" s="184"/>
      <c r="G45" s="184"/>
      <c r="H45" s="184"/>
      <c r="I45" s="185"/>
    </row>
    <row r="46" spans="1:9">
      <c r="A46" s="183"/>
      <c r="B46" s="184"/>
      <c r="C46" s="184"/>
      <c r="D46" s="184"/>
      <c r="E46" s="184"/>
      <c r="F46" s="184"/>
      <c r="G46" s="184"/>
      <c r="H46" s="184"/>
      <c r="I46" s="185"/>
    </row>
    <row r="47" spans="1:9">
      <c r="A47" s="183"/>
      <c r="B47" s="184"/>
      <c r="C47" s="184"/>
      <c r="D47" s="184"/>
      <c r="E47" s="184"/>
      <c r="F47" s="184"/>
      <c r="G47" s="184"/>
      <c r="H47" s="184"/>
      <c r="I47" s="185"/>
    </row>
    <row r="48" spans="1:9">
      <c r="A48" s="183"/>
      <c r="B48" s="184"/>
      <c r="C48" s="184"/>
      <c r="D48" s="184"/>
      <c r="E48" s="184"/>
      <c r="F48" s="184"/>
      <c r="G48" s="184"/>
      <c r="H48" s="184"/>
      <c r="I48" s="185"/>
    </row>
    <row r="49" spans="1:9">
      <c r="A49" s="183"/>
      <c r="B49" s="184"/>
      <c r="C49" s="184"/>
      <c r="D49" s="184"/>
      <c r="E49" s="184"/>
      <c r="F49" s="184"/>
      <c r="G49" s="184"/>
      <c r="H49" s="184"/>
      <c r="I49" s="185"/>
    </row>
    <row r="50" spans="1:9">
      <c r="A50" s="183"/>
      <c r="B50" s="184"/>
      <c r="C50" s="184"/>
      <c r="D50" s="184"/>
      <c r="E50" s="184"/>
      <c r="F50" s="184"/>
      <c r="G50" s="184"/>
      <c r="H50" s="184"/>
      <c r="I50" s="185"/>
    </row>
    <row r="51" spans="1:9">
      <c r="A51" s="183"/>
      <c r="B51" s="184"/>
      <c r="C51" s="184"/>
      <c r="D51" s="184"/>
      <c r="E51" s="184"/>
      <c r="F51" s="184"/>
      <c r="G51" s="184"/>
      <c r="H51" s="184"/>
      <c r="I51" s="185"/>
    </row>
    <row r="52" spans="1:9">
      <c r="A52" s="183"/>
      <c r="B52" s="184"/>
      <c r="C52" s="184"/>
      <c r="D52" s="184"/>
      <c r="E52" s="184"/>
      <c r="F52" s="184"/>
      <c r="G52" s="184"/>
      <c r="H52" s="184"/>
      <c r="I52" s="185"/>
    </row>
    <row r="53" spans="1:9">
      <c r="A53" s="183"/>
      <c r="B53" s="184"/>
      <c r="C53" s="184"/>
      <c r="D53" s="184"/>
      <c r="E53" s="184"/>
      <c r="F53" s="184"/>
      <c r="G53" s="184"/>
      <c r="H53" s="184"/>
      <c r="I53" s="185"/>
    </row>
    <row r="54" spans="1:9">
      <c r="A54" s="186"/>
      <c r="B54" s="187"/>
      <c r="C54" s="187"/>
      <c r="D54" s="187"/>
      <c r="E54" s="187"/>
      <c r="F54" s="187"/>
      <c r="G54" s="187"/>
      <c r="H54" s="187"/>
      <c r="I54" s="188"/>
    </row>
    <row r="66" spans="6:6">
      <c r="F66" s="3"/>
    </row>
  </sheetData>
  <mergeCells count="4">
    <mergeCell ref="A5:I18"/>
    <mergeCell ref="A22:I54"/>
    <mergeCell ref="K5:N14"/>
    <mergeCell ref="K22:N31"/>
  </mergeCells>
  <pageMargins left="0.7" right="0.7" top="0.75" bottom="0.75" header="0.3" footer="0.3"/>
  <pageSetup paperSize="9" scale="87" orientation="portrait"/>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4"/>
  <sheetViews>
    <sheetView showGridLines="0" topLeftCell="A39" zoomScaleNormal="100" workbookViewId="0">
      <selection activeCell="F36" sqref="F36"/>
    </sheetView>
  </sheetViews>
  <sheetFormatPr defaultColWidth="9.28515625" defaultRowHeight="15.6"/>
  <cols>
    <col min="1" max="1" width="28.42578125" style="2" customWidth="1"/>
    <col min="2" max="2" width="8.28515625" style="14" customWidth="1"/>
    <col min="3" max="3" width="9.7109375" style="14" bestFit="1" customWidth="1"/>
    <col min="4" max="5" width="9.7109375" style="14" customWidth="1"/>
    <col min="6" max="6" width="10.5703125" style="14" customWidth="1"/>
    <col min="7" max="7" width="11.28515625" style="18" customWidth="1"/>
    <col min="8" max="8" width="13" style="19" customWidth="1"/>
    <col min="9" max="16384" width="9.28515625" style="2"/>
  </cols>
  <sheetData>
    <row r="1" spans="1:11">
      <c r="A1" s="139" t="str">
        <f>+'Cover Page'!$B$29</f>
        <v>Annual Performance Report 2022</v>
      </c>
      <c r="B1" s="139"/>
      <c r="C1" s="139"/>
      <c r="D1" s="139"/>
      <c r="E1" s="139" t="str">
        <f>+'Cover Page'!$B$33</f>
        <v>Twinwoods Co-Incinerator</v>
      </c>
      <c r="F1" s="139"/>
      <c r="G1" s="139"/>
      <c r="H1" s="139"/>
      <c r="I1" s="139"/>
      <c r="J1" s="139"/>
      <c r="K1" s="139"/>
    </row>
    <row r="3" spans="1:11">
      <c r="A3" s="1" t="s">
        <v>34</v>
      </c>
      <c r="I3" s="139"/>
      <c r="J3" s="139"/>
      <c r="K3" s="20"/>
    </row>
    <row r="4" spans="1:11">
      <c r="A4" s="21" t="s">
        <v>65</v>
      </c>
      <c r="B4" s="363">
        <v>32500</v>
      </c>
      <c r="C4" s="363"/>
      <c r="D4" s="22" t="s">
        <v>66</v>
      </c>
      <c r="E4" s="146">
        <v>15</v>
      </c>
      <c r="F4" s="22" t="s">
        <v>67</v>
      </c>
      <c r="G4" s="145">
        <v>3.6</v>
      </c>
      <c r="H4" s="118" t="s">
        <v>68</v>
      </c>
      <c r="I4" s="139"/>
      <c r="J4" s="139"/>
      <c r="K4" s="20"/>
    </row>
    <row r="5" spans="1:11">
      <c r="A5" s="23" t="s">
        <v>69</v>
      </c>
      <c r="B5" s="24">
        <v>1</v>
      </c>
      <c r="C5" s="25"/>
      <c r="D5" s="25" t="s">
        <v>70</v>
      </c>
      <c r="E5" s="25"/>
      <c r="F5" s="26">
        <v>1</v>
      </c>
      <c r="G5" s="27"/>
      <c r="H5" s="28"/>
      <c r="I5" s="139"/>
      <c r="J5" s="139"/>
      <c r="K5" s="20"/>
    </row>
    <row r="6" spans="1:11">
      <c r="A6" s="3"/>
      <c r="I6" s="139"/>
      <c r="J6" s="139"/>
      <c r="K6" s="139"/>
    </row>
    <row r="7" spans="1:11">
      <c r="A7" s="9" t="s">
        <v>71</v>
      </c>
      <c r="B7" s="29" t="s">
        <v>72</v>
      </c>
      <c r="C7" s="30" t="s">
        <v>73</v>
      </c>
      <c r="D7" s="30" t="s">
        <v>74</v>
      </c>
      <c r="E7" s="30" t="s">
        <v>75</v>
      </c>
      <c r="F7" s="30" t="s">
        <v>76</v>
      </c>
      <c r="G7" s="31" t="s">
        <v>77</v>
      </c>
      <c r="H7" s="32" t="s">
        <v>78</v>
      </c>
      <c r="I7" s="139"/>
      <c r="J7" s="139"/>
      <c r="K7" s="139"/>
    </row>
    <row r="8" spans="1:11" ht="15.75" customHeight="1">
      <c r="A8" s="33" t="s">
        <v>79</v>
      </c>
      <c r="B8" s="189" t="s">
        <v>80</v>
      </c>
      <c r="C8" s="34">
        <v>0</v>
      </c>
      <c r="D8" s="34">
        <v>0</v>
      </c>
      <c r="E8" s="34">
        <v>0</v>
      </c>
      <c r="F8" s="34">
        <v>0</v>
      </c>
      <c r="G8" s="35">
        <f>SUM(C8:F8)</f>
        <v>0</v>
      </c>
      <c r="H8" s="36" t="str">
        <f t="shared" ref="H8:H17" si="0">IF(G8&gt;0,G8/$G$18,"-")</f>
        <v>-</v>
      </c>
      <c r="I8" s="139"/>
      <c r="J8" s="139"/>
      <c r="K8" s="139"/>
    </row>
    <row r="9" spans="1:11">
      <c r="A9" s="37" t="s">
        <v>81</v>
      </c>
      <c r="B9" s="190"/>
      <c r="C9" s="38">
        <v>0</v>
      </c>
      <c r="D9" s="38">
        <v>0</v>
      </c>
      <c r="E9" s="38">
        <v>0</v>
      </c>
      <c r="F9" s="38">
        <v>0</v>
      </c>
      <c r="G9" s="39">
        <f t="shared" ref="G9:G17" si="1">SUM(C9:F9)</f>
        <v>0</v>
      </c>
      <c r="H9" s="36" t="str">
        <f t="shared" si="0"/>
        <v>-</v>
      </c>
      <c r="I9" s="139"/>
      <c r="J9" s="139"/>
      <c r="K9" s="139"/>
    </row>
    <row r="10" spans="1:11">
      <c r="A10" s="37" t="s">
        <v>82</v>
      </c>
      <c r="B10" s="190"/>
      <c r="C10" s="38">
        <v>1083</v>
      </c>
      <c r="D10" s="38">
        <v>618</v>
      </c>
      <c r="E10" s="38">
        <v>888</v>
      </c>
      <c r="F10" s="38">
        <v>775</v>
      </c>
      <c r="G10" s="39">
        <f t="shared" si="1"/>
        <v>3364</v>
      </c>
      <c r="H10" s="36">
        <f t="shared" si="0"/>
        <v>0.1600152214241545</v>
      </c>
      <c r="I10" s="139"/>
      <c r="J10" s="139"/>
      <c r="K10" s="139"/>
    </row>
    <row r="11" spans="1:11">
      <c r="A11" s="37" t="s">
        <v>83</v>
      </c>
      <c r="B11" s="190"/>
      <c r="C11" s="38">
        <v>0</v>
      </c>
      <c r="D11" s="38">
        <v>0</v>
      </c>
      <c r="E11" s="38">
        <v>0</v>
      </c>
      <c r="F11" s="38">
        <v>0</v>
      </c>
      <c r="G11" s="39">
        <f t="shared" si="1"/>
        <v>0</v>
      </c>
      <c r="H11" s="36" t="str">
        <f t="shared" si="0"/>
        <v>-</v>
      </c>
      <c r="I11" s="139"/>
      <c r="J11" s="139"/>
      <c r="K11" s="139"/>
    </row>
    <row r="12" spans="1:11">
      <c r="A12" s="37" t="s">
        <v>84</v>
      </c>
      <c r="B12" s="190"/>
      <c r="C12" s="38">
        <v>5594</v>
      </c>
      <c r="D12" s="38">
        <v>4980</v>
      </c>
      <c r="E12" s="38">
        <v>2916</v>
      </c>
      <c r="F12" s="38">
        <v>4076</v>
      </c>
      <c r="G12" s="39">
        <f t="shared" si="1"/>
        <v>17566</v>
      </c>
      <c r="H12" s="36">
        <f t="shared" si="0"/>
        <v>0.83556105218094467</v>
      </c>
      <c r="I12" s="139"/>
      <c r="J12" s="139"/>
      <c r="K12" s="139"/>
    </row>
    <row r="13" spans="1:11">
      <c r="A13" s="37" t="s">
        <v>85</v>
      </c>
      <c r="B13" s="190"/>
      <c r="C13" s="38">
        <v>0</v>
      </c>
      <c r="D13" s="38">
        <v>0</v>
      </c>
      <c r="E13" s="38">
        <v>0</v>
      </c>
      <c r="F13" s="38">
        <v>0</v>
      </c>
      <c r="G13" s="39">
        <f t="shared" si="1"/>
        <v>0</v>
      </c>
      <c r="H13" s="36" t="str">
        <f t="shared" si="0"/>
        <v>-</v>
      </c>
      <c r="I13" s="139"/>
      <c r="J13" s="139"/>
      <c r="K13" s="139"/>
    </row>
    <row r="14" spans="1:11">
      <c r="A14" s="37" t="s">
        <v>86</v>
      </c>
      <c r="B14" s="190"/>
      <c r="C14" s="38">
        <v>0</v>
      </c>
      <c r="D14" s="38">
        <v>0</v>
      </c>
      <c r="E14" s="38">
        <v>0</v>
      </c>
      <c r="F14" s="38">
        <v>0</v>
      </c>
      <c r="G14" s="39">
        <f t="shared" si="1"/>
        <v>0</v>
      </c>
      <c r="H14" s="36" t="str">
        <f t="shared" si="0"/>
        <v>-</v>
      </c>
      <c r="I14" s="139"/>
      <c r="J14" s="139"/>
      <c r="K14" s="139"/>
    </row>
    <row r="15" spans="1:11">
      <c r="A15" s="121" t="s">
        <v>87</v>
      </c>
      <c r="B15" s="190"/>
      <c r="C15" s="38">
        <v>0</v>
      </c>
      <c r="D15" s="38">
        <v>0</v>
      </c>
      <c r="E15" s="38">
        <v>0</v>
      </c>
      <c r="F15" s="38">
        <v>93</v>
      </c>
      <c r="G15" s="39">
        <f t="shared" si="1"/>
        <v>93</v>
      </c>
      <c r="H15" s="36">
        <f t="shared" si="0"/>
        <v>4.4237263949008232E-3</v>
      </c>
      <c r="I15" s="139"/>
      <c r="J15" s="139"/>
      <c r="K15" s="139"/>
    </row>
    <row r="16" spans="1:11">
      <c r="A16" s="121" t="s">
        <v>88</v>
      </c>
      <c r="B16" s="190"/>
      <c r="C16" s="38">
        <v>0</v>
      </c>
      <c r="D16" s="38">
        <v>0</v>
      </c>
      <c r="E16" s="38">
        <v>0</v>
      </c>
      <c r="F16" s="38">
        <v>0</v>
      </c>
      <c r="G16" s="39">
        <f t="shared" si="1"/>
        <v>0</v>
      </c>
      <c r="H16" s="36" t="str">
        <f t="shared" si="0"/>
        <v>-</v>
      </c>
      <c r="I16" s="139"/>
      <c r="J16" s="139"/>
      <c r="K16" s="139"/>
    </row>
    <row r="17" spans="1:12">
      <c r="A17" s="121" t="s">
        <v>88</v>
      </c>
      <c r="B17" s="190"/>
      <c r="C17" s="38">
        <v>0</v>
      </c>
      <c r="D17" s="38">
        <v>0</v>
      </c>
      <c r="E17" s="38">
        <v>0</v>
      </c>
      <c r="F17" s="38">
        <v>0</v>
      </c>
      <c r="G17" s="39">
        <f t="shared" si="1"/>
        <v>0</v>
      </c>
      <c r="H17" s="36" t="str">
        <f t="shared" si="0"/>
        <v>-</v>
      </c>
      <c r="I17" s="139"/>
      <c r="J17" s="139"/>
      <c r="K17" s="139"/>
      <c r="L17" s="139"/>
    </row>
    <row r="18" spans="1:12">
      <c r="A18" s="40" t="s">
        <v>89</v>
      </c>
      <c r="B18" s="190"/>
      <c r="C18" s="39">
        <f>SUM(C8:C17)</f>
        <v>6677</v>
      </c>
      <c r="D18" s="39">
        <f>SUM(D8:D17)</f>
        <v>5598</v>
      </c>
      <c r="E18" s="39">
        <f>SUM(E8:E17)</f>
        <v>3804</v>
      </c>
      <c r="F18" s="39">
        <f>SUM(F8:F17)</f>
        <v>4944</v>
      </c>
      <c r="G18" s="39">
        <f>SUM(G8:G17)</f>
        <v>21023</v>
      </c>
      <c r="H18" s="36">
        <f>IF(G18&gt;0,G18/$G$18,"-")</f>
        <v>1</v>
      </c>
      <c r="I18" s="139"/>
      <c r="J18" s="139"/>
      <c r="K18" s="139"/>
      <c r="L18" s="139"/>
    </row>
    <row r="19" spans="1:12">
      <c r="A19" s="37" t="s">
        <v>90</v>
      </c>
      <c r="B19" s="190"/>
      <c r="C19" s="38">
        <v>0</v>
      </c>
      <c r="D19" s="38">
        <v>0</v>
      </c>
      <c r="E19" s="38"/>
      <c r="F19" s="38"/>
      <c r="G19" s="39">
        <f t="shared" ref="G19" si="2">SUM(C19:F19)</f>
        <v>0</v>
      </c>
      <c r="H19" s="36" t="str">
        <f t="shared" ref="H19" si="3">IF(G19&gt;0,G19/$G$18,"-")</f>
        <v>-</v>
      </c>
      <c r="I19" s="139"/>
      <c r="J19" s="139"/>
      <c r="K19" s="139"/>
      <c r="L19" s="139"/>
    </row>
    <row r="20" spans="1:12">
      <c r="A20" s="41" t="s">
        <v>91</v>
      </c>
      <c r="B20" s="191"/>
      <c r="C20" s="42">
        <v>0</v>
      </c>
      <c r="D20" s="42">
        <v>0</v>
      </c>
      <c r="E20" s="42"/>
      <c r="F20" s="42"/>
      <c r="G20" s="43">
        <f t="shared" ref="G20" si="4">SUM(C20:F20)</f>
        <v>0</v>
      </c>
      <c r="H20" s="61" t="str">
        <f>IF(G20&gt;0,G20/$G$18,"-")</f>
        <v>-</v>
      </c>
      <c r="I20" s="139"/>
      <c r="J20" s="139"/>
      <c r="K20" s="139"/>
      <c r="L20" s="139"/>
    </row>
    <row r="21" spans="1:12">
      <c r="A21" s="3"/>
      <c r="C21" s="19"/>
      <c r="D21" s="19"/>
      <c r="E21" s="19"/>
      <c r="F21" s="19"/>
      <c r="G21" s="44"/>
      <c r="I21" s="139"/>
      <c r="J21" s="139"/>
      <c r="K21" s="139"/>
      <c r="L21" s="139"/>
    </row>
    <row r="22" spans="1:12">
      <c r="A22" s="9" t="s">
        <v>92</v>
      </c>
      <c r="B22" s="29" t="s">
        <v>72</v>
      </c>
      <c r="C22" s="45" t="s">
        <v>73</v>
      </c>
      <c r="D22" s="45" t="s">
        <v>74</v>
      </c>
      <c r="E22" s="45" t="s">
        <v>75</v>
      </c>
      <c r="F22" s="45" t="s">
        <v>76</v>
      </c>
      <c r="G22" s="46" t="s">
        <v>77</v>
      </c>
      <c r="H22" s="47" t="s">
        <v>93</v>
      </c>
      <c r="I22" s="139"/>
      <c r="J22" s="139"/>
      <c r="K22" s="139"/>
      <c r="L22" s="139"/>
    </row>
    <row r="23" spans="1:12" ht="15" customHeight="1">
      <c r="A23" s="48" t="s">
        <v>94</v>
      </c>
      <c r="B23" s="189" t="s">
        <v>95</v>
      </c>
      <c r="C23" s="34">
        <v>5242</v>
      </c>
      <c r="D23" s="34">
        <v>4807</v>
      </c>
      <c r="E23" s="34">
        <v>3252</v>
      </c>
      <c r="F23" s="34">
        <v>3575</v>
      </c>
      <c r="G23" s="35">
        <f t="shared" ref="G23:G26" si="5">SUM(C23:F23)</f>
        <v>16876</v>
      </c>
      <c r="H23" s="49">
        <f>IF(G23&gt;0,G23*1000/$G$18,"-")</f>
        <v>802.73985634780956</v>
      </c>
      <c r="I23" s="139"/>
      <c r="J23" s="139"/>
      <c r="K23" s="139"/>
      <c r="L23" s="139"/>
    </row>
    <row r="24" spans="1:12">
      <c r="A24" s="50" t="s">
        <v>96</v>
      </c>
      <c r="B24" s="190"/>
      <c r="C24" s="38">
        <v>4242</v>
      </c>
      <c r="D24" s="38">
        <v>3755</v>
      </c>
      <c r="E24" s="38">
        <v>2379</v>
      </c>
      <c r="F24" s="38">
        <v>2796</v>
      </c>
      <c r="G24" s="39">
        <f>SUM(C24:F24)</f>
        <v>13172</v>
      </c>
      <c r="H24" s="51">
        <f t="shared" ref="H24:H29" si="6">IF(G24&gt;0,G24*1000/$G$18,"-")</f>
        <v>626.55187175950152</v>
      </c>
      <c r="I24" s="139"/>
      <c r="J24" s="139"/>
      <c r="K24" s="139"/>
      <c r="L24" s="139"/>
    </row>
    <row r="25" spans="1:12">
      <c r="A25" s="50" t="s">
        <v>97</v>
      </c>
      <c r="B25" s="190"/>
      <c r="C25" s="38">
        <v>1000</v>
      </c>
      <c r="D25" s="38">
        <v>1052</v>
      </c>
      <c r="E25" s="38">
        <v>873</v>
      </c>
      <c r="F25" s="38">
        <v>778</v>
      </c>
      <c r="G25" s="39">
        <f>SUM(C25:F25)</f>
        <v>3703</v>
      </c>
      <c r="H25" s="51">
        <f t="shared" si="6"/>
        <v>176.14041763782524</v>
      </c>
      <c r="I25" s="139"/>
      <c r="J25" s="139"/>
      <c r="K25" s="139"/>
      <c r="L25" s="139"/>
    </row>
    <row r="26" spans="1:12">
      <c r="A26" s="50" t="s">
        <v>98</v>
      </c>
      <c r="B26" s="190"/>
      <c r="C26" s="38">
        <v>0</v>
      </c>
      <c r="D26" s="38">
        <v>0</v>
      </c>
      <c r="E26" s="38">
        <v>0</v>
      </c>
      <c r="F26" s="38">
        <v>0</v>
      </c>
      <c r="G26" s="39">
        <f t="shared" si="5"/>
        <v>0</v>
      </c>
      <c r="H26" s="51" t="str">
        <f t="shared" si="6"/>
        <v>-</v>
      </c>
      <c r="I26" s="139"/>
      <c r="J26" s="139"/>
      <c r="K26" s="139"/>
      <c r="L26" s="139"/>
    </row>
    <row r="27" spans="1:12">
      <c r="A27" s="50" t="s">
        <v>99</v>
      </c>
      <c r="B27" s="52" t="s">
        <v>78</v>
      </c>
      <c r="C27" s="53">
        <f>IF(C23&gt;0,1-C24/(C23+C26),"-")</f>
        <v>0.1907668828691339</v>
      </c>
      <c r="D27" s="53">
        <f t="shared" ref="D27:G27" si="7">IF(D23&gt;0,1-D24/(D23+D26),"-")</f>
        <v>0.21884751404202207</v>
      </c>
      <c r="E27" s="53">
        <f t="shared" si="7"/>
        <v>0.26845018450184499</v>
      </c>
      <c r="F27" s="53">
        <f t="shared" si="7"/>
        <v>0.21790209790209791</v>
      </c>
      <c r="G27" s="53">
        <f t="shared" si="7"/>
        <v>0.21948328987911825</v>
      </c>
      <c r="H27" s="51"/>
      <c r="I27" s="139"/>
      <c r="J27" s="139"/>
      <c r="K27" s="139"/>
      <c r="L27" s="139"/>
    </row>
    <row r="28" spans="1:12">
      <c r="A28" s="50" t="s">
        <v>100</v>
      </c>
      <c r="B28" s="195" t="s">
        <v>101</v>
      </c>
      <c r="C28" s="38">
        <v>0</v>
      </c>
      <c r="D28" s="38">
        <v>0</v>
      </c>
      <c r="E28" s="38">
        <v>0</v>
      </c>
      <c r="F28" s="38">
        <v>0</v>
      </c>
      <c r="G28" s="39">
        <f t="shared" ref="G28:G29" si="8">SUM(C28:F28)</f>
        <v>0</v>
      </c>
      <c r="H28" s="51" t="str">
        <f t="shared" si="6"/>
        <v>-</v>
      </c>
      <c r="I28" s="139"/>
      <c r="J28" s="139"/>
      <c r="K28" s="139"/>
      <c r="L28" s="139"/>
    </row>
    <row r="29" spans="1:12">
      <c r="A29" s="50" t="s">
        <v>102</v>
      </c>
      <c r="B29" s="195"/>
      <c r="C29" s="38">
        <v>0</v>
      </c>
      <c r="D29" s="38">
        <v>0</v>
      </c>
      <c r="E29" s="38">
        <v>0</v>
      </c>
      <c r="F29" s="38">
        <v>0</v>
      </c>
      <c r="G29" s="39">
        <f t="shared" si="8"/>
        <v>0</v>
      </c>
      <c r="H29" s="51" t="str">
        <f t="shared" si="6"/>
        <v>-</v>
      </c>
      <c r="I29" s="139"/>
      <c r="J29" s="139"/>
      <c r="K29" s="20"/>
      <c r="L29" s="20"/>
    </row>
    <row r="30" spans="1:12">
      <c r="A30" s="54" t="s">
        <v>103</v>
      </c>
      <c r="B30" s="55"/>
      <c r="C30" s="192"/>
      <c r="D30" s="192"/>
      <c r="E30" s="192"/>
      <c r="F30" s="192"/>
      <c r="G30" s="193" t="s">
        <v>104</v>
      </c>
      <c r="H30" s="194"/>
      <c r="I30" s="139"/>
      <c r="J30" s="139"/>
      <c r="K30" s="139"/>
      <c r="L30" s="20"/>
    </row>
    <row r="31" spans="1:12">
      <c r="A31" s="3"/>
      <c r="C31" s="19"/>
      <c r="D31" s="19"/>
      <c r="E31" s="19"/>
      <c r="F31" s="19"/>
      <c r="G31" s="44"/>
      <c r="I31" s="139"/>
      <c r="J31" s="139"/>
      <c r="K31" s="139"/>
      <c r="L31" s="20"/>
    </row>
    <row r="32" spans="1:12">
      <c r="A32" s="9" t="s">
        <v>105</v>
      </c>
      <c r="B32" s="56" t="s">
        <v>72</v>
      </c>
      <c r="C32" s="45" t="s">
        <v>73</v>
      </c>
      <c r="D32" s="45" t="s">
        <v>74</v>
      </c>
      <c r="E32" s="45" t="s">
        <v>75</v>
      </c>
      <c r="F32" s="45" t="s">
        <v>76</v>
      </c>
      <c r="G32" s="46" t="s">
        <v>77</v>
      </c>
      <c r="H32" s="57" t="s">
        <v>106</v>
      </c>
      <c r="I32" s="139"/>
      <c r="J32" s="139"/>
      <c r="K32" s="139"/>
      <c r="L32" s="20"/>
    </row>
    <row r="33" spans="1:12" ht="15" customHeight="1">
      <c r="A33" s="48" t="s">
        <v>107</v>
      </c>
      <c r="B33" s="189" t="s">
        <v>80</v>
      </c>
      <c r="C33" s="34">
        <v>64</v>
      </c>
      <c r="D33" s="34">
        <v>49</v>
      </c>
      <c r="E33" s="34">
        <v>0</v>
      </c>
      <c r="F33" s="34">
        <v>45</v>
      </c>
      <c r="G33" s="35">
        <f t="shared" ref="G33:G34" si="9">SUM(C33:F33)</f>
        <v>158</v>
      </c>
      <c r="H33" s="58">
        <f>IF(G33&gt;0,G33/$G$18,"-")</f>
        <v>7.5155781762831185E-3</v>
      </c>
      <c r="I33" s="139"/>
      <c r="J33" s="139"/>
      <c r="K33" s="20"/>
      <c r="L33" s="20"/>
    </row>
    <row r="34" spans="1:12" ht="15" customHeight="1">
      <c r="A34" s="50" t="s">
        <v>108</v>
      </c>
      <c r="B34" s="190"/>
      <c r="C34" s="38">
        <v>374.4</v>
      </c>
      <c r="D34" s="38">
        <v>315</v>
      </c>
      <c r="E34" s="38">
        <v>242</v>
      </c>
      <c r="F34" s="38">
        <v>221</v>
      </c>
      <c r="G34" s="39">
        <f t="shared" si="9"/>
        <v>1152.4000000000001</v>
      </c>
      <c r="H34" s="36">
        <f>IF(G34&gt;0,G34/$G$18,"-")</f>
        <v>5.4816153736383967E-2</v>
      </c>
      <c r="I34" s="139"/>
      <c r="J34" s="139"/>
      <c r="K34" s="20"/>
      <c r="L34" s="20"/>
    </row>
    <row r="35" spans="1:12" ht="15" customHeight="1">
      <c r="A35" s="50" t="s">
        <v>109</v>
      </c>
      <c r="B35" s="190"/>
      <c r="C35" s="38">
        <v>0</v>
      </c>
      <c r="D35" s="38">
        <v>0</v>
      </c>
      <c r="E35" s="38">
        <v>0</v>
      </c>
      <c r="F35" s="38">
        <v>0</v>
      </c>
      <c r="G35" s="39">
        <f t="shared" ref="G35:G38" si="10">SUM(C35:F35)</f>
        <v>0</v>
      </c>
      <c r="H35" s="36" t="str">
        <f>IF(G35&gt;0,G35/$G$18,"-")</f>
        <v>-</v>
      </c>
      <c r="I35" s="139"/>
      <c r="J35" s="139"/>
      <c r="K35" s="139"/>
      <c r="L35" s="139"/>
    </row>
    <row r="36" spans="1:12">
      <c r="A36" s="59" t="s">
        <v>110</v>
      </c>
      <c r="B36" s="190"/>
      <c r="C36" s="38">
        <v>0</v>
      </c>
      <c r="D36" s="38">
        <v>0</v>
      </c>
      <c r="E36" s="38">
        <v>0.22</v>
      </c>
      <c r="F36" s="38">
        <v>1</v>
      </c>
      <c r="G36" s="39">
        <f t="shared" ref="G36" si="11">SUM(C36:F36)</f>
        <v>1.22</v>
      </c>
      <c r="H36" s="36">
        <f>IF(G36&gt;0,G36/$G$18,"-")</f>
        <v>5.8031679589021546E-5</v>
      </c>
      <c r="I36" s="139"/>
      <c r="J36" s="139"/>
      <c r="K36" s="139"/>
      <c r="L36" s="139"/>
    </row>
    <row r="37" spans="1:12">
      <c r="A37" s="59" t="s">
        <v>111</v>
      </c>
      <c r="B37" s="190"/>
      <c r="C37" s="38">
        <v>0</v>
      </c>
      <c r="D37" s="38">
        <v>1</v>
      </c>
      <c r="E37" s="38">
        <v>0.1</v>
      </c>
      <c r="F37" s="38">
        <v>10</v>
      </c>
      <c r="G37" s="39">
        <f t="shared" si="10"/>
        <v>11.1</v>
      </c>
      <c r="H37" s="36">
        <f>IF(G37&gt;0,G37/$G$18,"-")</f>
        <v>5.2799315035913046E-4</v>
      </c>
      <c r="I37" s="139"/>
      <c r="J37" s="139"/>
      <c r="K37" s="139"/>
      <c r="L37" s="139"/>
    </row>
    <row r="38" spans="1:12">
      <c r="A38" s="60" t="s">
        <v>112</v>
      </c>
      <c r="B38" s="191"/>
      <c r="C38" s="42">
        <v>3</v>
      </c>
      <c r="D38" s="42">
        <v>1</v>
      </c>
      <c r="E38" s="42">
        <v>5</v>
      </c>
      <c r="F38" s="42">
        <v>1</v>
      </c>
      <c r="G38" s="43">
        <f t="shared" si="10"/>
        <v>10</v>
      </c>
      <c r="H38" s="61">
        <f t="shared" ref="H38" si="12">IF(G38&gt;0,G38/$G$18,"-")</f>
        <v>4.7566950482804548E-4</v>
      </c>
      <c r="I38" s="139"/>
      <c r="J38" s="139"/>
      <c r="K38" s="139"/>
      <c r="L38" s="139"/>
    </row>
    <row r="39" spans="1:12">
      <c r="A39" s="14"/>
      <c r="C39" s="19"/>
      <c r="D39" s="19"/>
      <c r="E39" s="19"/>
      <c r="F39" s="19"/>
      <c r="G39" s="44"/>
      <c r="I39" s="139"/>
      <c r="J39" s="139"/>
      <c r="K39" s="139"/>
      <c r="L39" s="139"/>
    </row>
    <row r="40" spans="1:12">
      <c r="A40" s="9" t="s">
        <v>113</v>
      </c>
      <c r="B40" s="62" t="s">
        <v>72</v>
      </c>
      <c r="C40" s="30" t="s">
        <v>73</v>
      </c>
      <c r="D40" s="30" t="s">
        <v>74</v>
      </c>
      <c r="E40" s="30" t="s">
        <v>75</v>
      </c>
      <c r="F40" s="30" t="s">
        <v>76</v>
      </c>
      <c r="G40" s="31" t="s">
        <v>77</v>
      </c>
      <c r="H40" s="47" t="s">
        <v>114</v>
      </c>
      <c r="I40" s="139"/>
      <c r="J40" s="139"/>
      <c r="K40" s="139"/>
      <c r="L40" s="139"/>
    </row>
    <row r="41" spans="1:12" ht="15.6" customHeight="1">
      <c r="A41" s="48" t="s">
        <v>115</v>
      </c>
      <c r="B41" s="126" t="s">
        <v>116</v>
      </c>
      <c r="C41" s="34">
        <v>4160</v>
      </c>
      <c r="D41" s="34">
        <v>4039</v>
      </c>
      <c r="E41" s="34">
        <v>3401</v>
      </c>
      <c r="F41" s="34">
        <v>5579</v>
      </c>
      <c r="G41" s="35">
        <f t="shared" ref="G41:G48" si="13">SUM(C41:F41)</f>
        <v>17179</v>
      </c>
      <c r="H41" s="120">
        <f>IF(G41&gt;0,G41*1000/$G$18,"-")</f>
        <v>817.15264234409926</v>
      </c>
      <c r="I41" s="139"/>
      <c r="J41" s="139"/>
      <c r="K41" s="139"/>
      <c r="L41" s="139"/>
    </row>
    <row r="42" spans="1:12">
      <c r="A42" s="50" t="s">
        <v>117</v>
      </c>
      <c r="B42" s="52" t="s">
        <v>116</v>
      </c>
      <c r="C42" s="38">
        <v>0</v>
      </c>
      <c r="D42" s="38">
        <v>0</v>
      </c>
      <c r="E42" s="38">
        <v>0</v>
      </c>
      <c r="F42" s="38">
        <v>0</v>
      </c>
      <c r="G42" s="39">
        <f t="shared" si="13"/>
        <v>0</v>
      </c>
      <c r="H42" s="63" t="str">
        <f t="shared" ref="H42:H48" si="14">IF(G42&gt;0,G42*1000/$G$18,"-")</f>
        <v>-</v>
      </c>
      <c r="I42" s="139"/>
      <c r="J42" s="139"/>
      <c r="K42" s="139"/>
      <c r="L42" s="139"/>
    </row>
    <row r="43" spans="1:12" ht="15.6" customHeight="1">
      <c r="A43" s="50" t="s">
        <v>118</v>
      </c>
      <c r="B43" s="52" t="s">
        <v>119</v>
      </c>
      <c r="C43" s="38">
        <v>9500</v>
      </c>
      <c r="D43" s="38">
        <v>0</v>
      </c>
      <c r="E43" s="38">
        <v>0</v>
      </c>
      <c r="F43" s="38">
        <v>0</v>
      </c>
      <c r="G43" s="39">
        <f t="shared" si="13"/>
        <v>9500</v>
      </c>
      <c r="H43" s="63">
        <f t="shared" si="14"/>
        <v>451.88602958664319</v>
      </c>
      <c r="I43" s="139"/>
      <c r="J43" s="139"/>
      <c r="K43" s="139"/>
      <c r="L43" s="139"/>
    </row>
    <row r="44" spans="1:12">
      <c r="A44" s="50" t="s">
        <v>120</v>
      </c>
      <c r="B44" s="52" t="s">
        <v>119</v>
      </c>
      <c r="C44" s="38">
        <v>10440</v>
      </c>
      <c r="D44" s="38">
        <v>0</v>
      </c>
      <c r="E44" s="38">
        <v>0</v>
      </c>
      <c r="F44" s="38">
        <v>0</v>
      </c>
      <c r="G44" s="39">
        <f t="shared" si="13"/>
        <v>10440</v>
      </c>
      <c r="H44" s="63">
        <f t="shared" si="14"/>
        <v>496.59896304047948</v>
      </c>
      <c r="I44" s="139"/>
      <c r="J44" s="139"/>
      <c r="K44" s="139"/>
      <c r="L44" s="139"/>
    </row>
    <row r="45" spans="1:12">
      <c r="A45" s="50" t="s">
        <v>121</v>
      </c>
      <c r="B45" s="52" t="s">
        <v>119</v>
      </c>
      <c r="C45" s="38">
        <v>115020</v>
      </c>
      <c r="D45" s="38">
        <v>0</v>
      </c>
      <c r="E45" s="38">
        <v>0</v>
      </c>
      <c r="F45" s="38">
        <v>0</v>
      </c>
      <c r="G45" s="39">
        <f t="shared" si="13"/>
        <v>115020</v>
      </c>
      <c r="H45" s="63">
        <f t="shared" si="14"/>
        <v>5471.1506445321793</v>
      </c>
      <c r="I45" s="139"/>
      <c r="J45" s="139"/>
      <c r="K45" s="139"/>
      <c r="L45" s="139"/>
    </row>
    <row r="46" spans="1:12">
      <c r="A46" s="50" t="s">
        <v>122</v>
      </c>
      <c r="B46" s="52" t="s">
        <v>123</v>
      </c>
      <c r="C46" s="38">
        <v>63251</v>
      </c>
      <c r="D46" s="38">
        <v>0</v>
      </c>
      <c r="E46" s="38">
        <v>0</v>
      </c>
      <c r="F46" s="38">
        <v>0</v>
      </c>
      <c r="G46" s="39">
        <f t="shared" si="13"/>
        <v>63251</v>
      </c>
      <c r="H46" s="63">
        <f t="shared" si="14"/>
        <v>3008.6571849878706</v>
      </c>
      <c r="I46" s="139"/>
      <c r="J46" s="139"/>
      <c r="K46" s="139"/>
      <c r="L46" s="139"/>
    </row>
    <row r="47" spans="1:12">
      <c r="A47" s="50" t="s">
        <v>124</v>
      </c>
      <c r="B47" s="52" t="s">
        <v>125</v>
      </c>
      <c r="C47" s="38">
        <v>0</v>
      </c>
      <c r="D47" s="38">
        <v>0</v>
      </c>
      <c r="E47" s="38">
        <v>0</v>
      </c>
      <c r="F47" s="38">
        <v>0</v>
      </c>
      <c r="G47" s="39">
        <f t="shared" si="13"/>
        <v>0</v>
      </c>
      <c r="H47" s="63" t="str">
        <f t="shared" si="14"/>
        <v>-</v>
      </c>
      <c r="I47" s="139"/>
      <c r="J47" s="139"/>
      <c r="K47" s="139"/>
      <c r="L47" s="139"/>
    </row>
    <row r="48" spans="1:12">
      <c r="A48" s="54" t="s">
        <v>126</v>
      </c>
      <c r="B48" s="64"/>
      <c r="C48" s="42">
        <v>0</v>
      </c>
      <c r="D48" s="42">
        <v>0</v>
      </c>
      <c r="E48" s="42">
        <v>0</v>
      </c>
      <c r="F48" s="42">
        <v>0</v>
      </c>
      <c r="G48" s="43">
        <f t="shared" si="13"/>
        <v>0</v>
      </c>
      <c r="H48" s="65" t="str">
        <f t="shared" si="14"/>
        <v>-</v>
      </c>
      <c r="I48" s="139"/>
      <c r="J48" s="139"/>
      <c r="K48" s="139"/>
      <c r="L48" s="139"/>
    </row>
    <row r="49" spans="1:8">
      <c r="A49" s="14"/>
      <c r="C49" s="19"/>
      <c r="D49" s="19"/>
      <c r="E49" s="19"/>
      <c r="F49" s="19"/>
      <c r="G49" s="44"/>
    </row>
    <row r="50" spans="1:8">
      <c r="A50" s="9" t="s">
        <v>127</v>
      </c>
      <c r="B50" s="66" t="s">
        <v>128</v>
      </c>
      <c r="C50" s="45" t="s">
        <v>73</v>
      </c>
      <c r="D50" s="45" t="s">
        <v>74</v>
      </c>
      <c r="E50" s="45" t="s">
        <v>75</v>
      </c>
      <c r="F50" s="45" t="s">
        <v>76</v>
      </c>
      <c r="G50" s="46" t="s">
        <v>77</v>
      </c>
      <c r="H50" s="47"/>
    </row>
    <row r="51" spans="1:8" ht="14.25" customHeight="1">
      <c r="A51" s="48" t="s">
        <v>129</v>
      </c>
      <c r="B51" s="45">
        <f>+B5</f>
        <v>1</v>
      </c>
      <c r="C51" s="34">
        <v>1659</v>
      </c>
      <c r="D51" s="34">
        <v>1640</v>
      </c>
      <c r="E51" s="34">
        <v>1224</v>
      </c>
      <c r="F51" s="34">
        <v>1339</v>
      </c>
      <c r="G51" s="35">
        <f t="shared" ref="G51:G61" si="15">SUM(C51:F51)</f>
        <v>5862</v>
      </c>
      <c r="H51" s="58">
        <f>G51/8760</f>
        <v>0.66917808219178088</v>
      </c>
    </row>
    <row r="52" spans="1:8" ht="14.25" customHeight="1">
      <c r="A52" s="50" t="s">
        <v>129</v>
      </c>
      <c r="B52" s="19">
        <v>2</v>
      </c>
      <c r="C52" s="38">
        <v>0</v>
      </c>
      <c r="D52" s="38">
        <v>0</v>
      </c>
      <c r="E52" s="38">
        <v>0</v>
      </c>
      <c r="F52" s="38">
        <v>0</v>
      </c>
      <c r="G52" s="39">
        <f t="shared" si="15"/>
        <v>0</v>
      </c>
      <c r="H52" s="36" t="s">
        <v>130</v>
      </c>
    </row>
    <row r="53" spans="1:8" ht="14.25" customHeight="1">
      <c r="A53" s="50" t="s">
        <v>129</v>
      </c>
      <c r="B53" s="19">
        <v>3</v>
      </c>
      <c r="C53" s="38">
        <v>0</v>
      </c>
      <c r="D53" s="38">
        <v>0</v>
      </c>
      <c r="E53" s="38">
        <v>0</v>
      </c>
      <c r="F53" s="38">
        <v>0</v>
      </c>
      <c r="G53" s="39">
        <f t="shared" si="15"/>
        <v>0</v>
      </c>
      <c r="H53" s="36" t="s">
        <v>130</v>
      </c>
    </row>
    <row r="54" spans="1:8" ht="14.25" customHeight="1">
      <c r="A54" s="50" t="s">
        <v>129</v>
      </c>
      <c r="B54" s="19">
        <v>4</v>
      </c>
      <c r="C54" s="38">
        <v>0</v>
      </c>
      <c r="D54" s="38">
        <v>0</v>
      </c>
      <c r="E54" s="38">
        <v>0</v>
      </c>
      <c r="F54" s="38">
        <v>0</v>
      </c>
      <c r="G54" s="39">
        <f t="shared" si="15"/>
        <v>0</v>
      </c>
      <c r="H54" s="36" t="s">
        <v>130</v>
      </c>
    </row>
    <row r="55" spans="1:8" ht="14.25" customHeight="1">
      <c r="A55" s="50" t="s">
        <v>129</v>
      </c>
      <c r="B55" s="19">
        <v>5</v>
      </c>
      <c r="C55" s="38">
        <v>0</v>
      </c>
      <c r="D55" s="38">
        <v>0</v>
      </c>
      <c r="E55" s="38">
        <v>0</v>
      </c>
      <c r="F55" s="38">
        <v>0</v>
      </c>
      <c r="G55" s="39">
        <f t="shared" ref="G55" si="16">SUM(C55:F55)</f>
        <v>0</v>
      </c>
      <c r="H55" s="36" t="s">
        <v>130</v>
      </c>
    </row>
    <row r="56" spans="1:8" ht="14.25" customHeight="1">
      <c r="A56" s="50" t="s">
        <v>131</v>
      </c>
      <c r="B56" s="19">
        <v>1</v>
      </c>
      <c r="C56" s="38">
        <v>0</v>
      </c>
      <c r="D56" s="38">
        <v>0</v>
      </c>
      <c r="E56" s="38">
        <v>0</v>
      </c>
      <c r="F56" s="38">
        <v>0</v>
      </c>
      <c r="G56" s="39">
        <f t="shared" si="15"/>
        <v>0</v>
      </c>
      <c r="H56" s="36" t="s">
        <v>130</v>
      </c>
    </row>
    <row r="57" spans="1:8">
      <c r="A57" s="50" t="s">
        <v>131</v>
      </c>
      <c r="B57" s="19">
        <v>2</v>
      </c>
      <c r="C57" s="38">
        <v>0</v>
      </c>
      <c r="D57" s="38">
        <v>0</v>
      </c>
      <c r="E57" s="38">
        <v>0</v>
      </c>
      <c r="F57" s="38">
        <v>0</v>
      </c>
      <c r="G57" s="39">
        <f t="shared" si="15"/>
        <v>0</v>
      </c>
      <c r="H57" s="36" t="s">
        <v>130</v>
      </c>
    </row>
    <row r="58" spans="1:8">
      <c r="A58" s="50" t="s">
        <v>132</v>
      </c>
      <c r="B58" s="19"/>
      <c r="C58" s="38">
        <v>0</v>
      </c>
      <c r="D58" s="38">
        <v>0</v>
      </c>
      <c r="E58" s="38">
        <v>0</v>
      </c>
      <c r="F58" s="38">
        <v>0</v>
      </c>
      <c r="G58" s="39">
        <f t="shared" si="15"/>
        <v>0</v>
      </c>
      <c r="H58" s="36" t="str">
        <f>IF(B58&gt;0,G57/8760,"n/a")</f>
        <v>n/a</v>
      </c>
    </row>
    <row r="59" spans="1:8">
      <c r="A59" s="50" t="s">
        <v>133</v>
      </c>
      <c r="B59" s="19" t="s">
        <v>134</v>
      </c>
      <c r="C59" s="38">
        <v>0</v>
      </c>
      <c r="D59" s="38">
        <v>0</v>
      </c>
      <c r="E59" s="38">
        <v>0</v>
      </c>
      <c r="F59" s="38">
        <v>1</v>
      </c>
      <c r="G59" s="39">
        <f t="shared" si="15"/>
        <v>1</v>
      </c>
      <c r="H59" s="51" t="str">
        <f>IF(G59&gt;0,"yes","no")</f>
        <v>yes</v>
      </c>
    </row>
    <row r="60" spans="1:8">
      <c r="A60" s="50" t="s">
        <v>135</v>
      </c>
      <c r="B60" s="19" t="s">
        <v>136</v>
      </c>
      <c r="C60" s="38">
        <v>0</v>
      </c>
      <c r="D60" s="38">
        <v>0</v>
      </c>
      <c r="E60" s="38">
        <v>0</v>
      </c>
      <c r="F60" s="38">
        <v>20</v>
      </c>
      <c r="G60" s="39">
        <f t="shared" si="15"/>
        <v>20</v>
      </c>
      <c r="H60" s="67">
        <f>+(G60)/8760</f>
        <v>2.2831050228310501E-3</v>
      </c>
    </row>
    <row r="61" spans="1:8">
      <c r="A61" s="54" t="s">
        <v>137</v>
      </c>
      <c r="B61" s="68" t="s">
        <v>134</v>
      </c>
      <c r="C61" s="42">
        <v>2</v>
      </c>
      <c r="D61" s="42">
        <v>31</v>
      </c>
      <c r="E61" s="42">
        <v>129</v>
      </c>
      <c r="F61" s="42">
        <v>257</v>
      </c>
      <c r="G61" s="43">
        <f t="shared" si="15"/>
        <v>419</v>
      </c>
      <c r="H61" s="69" t="str">
        <f>IF(G61&gt;0,"yes","no")</f>
        <v>yes</v>
      </c>
    </row>
    <row r="74" spans="6:6">
      <c r="F74" s="3"/>
    </row>
  </sheetData>
  <mergeCells count="7">
    <mergeCell ref="B33:B38"/>
    <mergeCell ref="C30:F30"/>
    <mergeCell ref="G30:H30"/>
    <mergeCell ref="B4:C4"/>
    <mergeCell ref="B8:B20"/>
    <mergeCell ref="B23:B26"/>
    <mergeCell ref="B28:B29"/>
  </mergeCells>
  <phoneticPr fontId="24" type="noConversion"/>
  <pageMargins left="0.7" right="0.7" top="0.75" bottom="0.75" header="0.3" footer="0.3"/>
  <pageSetup paperSize="9" scale="87" orientation="portrait"/>
  <headerFooter scaleWithDoc="0">
    <oddFooter>&amp;C&amp;"Arial,Regular"Page &amp;P</oddFooter>
  </headerFooter>
  <ignoredErrors>
    <ignoredError sqref="G56:G57 G52: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opLeftCell="A21" zoomScaleNormal="100" workbookViewId="0">
      <selection activeCell="A5" sqref="A5:I27"/>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39" t="str">
        <f>+'Cover Page'!$B$29</f>
        <v>Annual Performance Report 2022</v>
      </c>
      <c r="B1" s="139"/>
      <c r="C1" s="139"/>
      <c r="D1" s="139"/>
      <c r="E1" s="139" t="str">
        <f>+'Cover Page'!$B$33</f>
        <v>Twinwoods Co-Incinerator</v>
      </c>
      <c r="F1" s="139"/>
      <c r="G1" s="139"/>
      <c r="H1" s="139"/>
      <c r="I1" s="139"/>
      <c r="J1" s="139"/>
      <c r="K1" s="139"/>
      <c r="L1" s="139"/>
      <c r="M1" s="139"/>
      <c r="N1" s="139"/>
    </row>
    <row r="3" spans="1:14">
      <c r="A3" s="95" t="s">
        <v>138</v>
      </c>
      <c r="B3" s="357"/>
      <c r="C3" s="357"/>
      <c r="D3" s="357"/>
      <c r="E3" s="357"/>
      <c r="F3" s="357"/>
      <c r="G3" s="357"/>
      <c r="H3" s="357"/>
      <c r="I3" s="358"/>
      <c r="J3" s="139"/>
      <c r="K3" s="132" t="s">
        <v>3</v>
      </c>
      <c r="L3" s="139"/>
      <c r="M3" s="139"/>
      <c r="N3" s="139"/>
    </row>
    <row r="4" spans="1:14">
      <c r="A4" s="359"/>
      <c r="B4" s="360"/>
      <c r="C4" s="360"/>
      <c r="D4" s="360"/>
      <c r="E4" s="360"/>
      <c r="F4" s="360"/>
      <c r="G4" s="360"/>
      <c r="H4" s="360"/>
      <c r="I4" s="361"/>
      <c r="J4" s="139"/>
      <c r="K4" s="139"/>
      <c r="L4" s="139"/>
      <c r="M4" s="139"/>
      <c r="N4" s="139"/>
    </row>
    <row r="5" spans="1:14" ht="15.75" customHeight="1">
      <c r="A5" s="172" t="s">
        <v>139</v>
      </c>
      <c r="B5" s="173"/>
      <c r="C5" s="173"/>
      <c r="D5" s="173"/>
      <c r="E5" s="173"/>
      <c r="F5" s="173"/>
      <c r="G5" s="173"/>
      <c r="H5" s="173"/>
      <c r="I5" s="174"/>
      <c r="J5" s="139"/>
      <c r="K5" s="362" t="s">
        <v>140</v>
      </c>
      <c r="L5" s="362"/>
      <c r="M5" s="362"/>
      <c r="N5" s="362"/>
    </row>
    <row r="6" spans="1:14">
      <c r="A6" s="175"/>
      <c r="B6" s="176"/>
      <c r="C6" s="176"/>
      <c r="D6" s="176"/>
      <c r="E6" s="176"/>
      <c r="F6" s="176"/>
      <c r="G6" s="176"/>
      <c r="H6" s="176"/>
      <c r="I6" s="177"/>
      <c r="J6" s="139"/>
      <c r="K6" s="362"/>
      <c r="L6" s="362"/>
      <c r="M6" s="362"/>
      <c r="N6" s="362"/>
    </row>
    <row r="7" spans="1:14">
      <c r="A7" s="175"/>
      <c r="B7" s="176"/>
      <c r="C7" s="176"/>
      <c r="D7" s="176"/>
      <c r="E7" s="176"/>
      <c r="F7" s="176"/>
      <c r="G7" s="176"/>
      <c r="H7" s="176"/>
      <c r="I7" s="177"/>
      <c r="J7" s="139"/>
      <c r="K7" s="362"/>
      <c r="L7" s="362"/>
      <c r="M7" s="362"/>
      <c r="N7" s="362"/>
    </row>
    <row r="8" spans="1:14" ht="15.75" customHeight="1">
      <c r="A8" s="175"/>
      <c r="B8" s="176"/>
      <c r="C8" s="176"/>
      <c r="D8" s="176"/>
      <c r="E8" s="176"/>
      <c r="F8" s="176"/>
      <c r="G8" s="176"/>
      <c r="H8" s="176"/>
      <c r="I8" s="177"/>
      <c r="J8" s="139"/>
      <c r="K8" s="362"/>
      <c r="L8" s="362"/>
      <c r="M8" s="362"/>
      <c r="N8" s="362"/>
    </row>
    <row r="9" spans="1:14" ht="15.75" customHeight="1">
      <c r="A9" s="175"/>
      <c r="B9" s="176"/>
      <c r="C9" s="176"/>
      <c r="D9" s="176"/>
      <c r="E9" s="176"/>
      <c r="F9" s="176"/>
      <c r="G9" s="176"/>
      <c r="H9" s="176"/>
      <c r="I9" s="177"/>
      <c r="J9" s="139"/>
      <c r="K9" s="362"/>
      <c r="L9" s="362"/>
      <c r="M9" s="362"/>
      <c r="N9" s="362"/>
    </row>
    <row r="10" spans="1:14" ht="15.75" customHeight="1">
      <c r="A10" s="175"/>
      <c r="B10" s="176"/>
      <c r="C10" s="176"/>
      <c r="D10" s="176"/>
      <c r="E10" s="176"/>
      <c r="F10" s="176"/>
      <c r="G10" s="176"/>
      <c r="H10" s="176"/>
      <c r="I10" s="177"/>
      <c r="J10" s="139"/>
      <c r="K10" s="362"/>
      <c r="L10" s="362"/>
      <c r="M10" s="362"/>
      <c r="N10" s="362"/>
    </row>
    <row r="11" spans="1:14" ht="15.75" customHeight="1">
      <c r="A11" s="175"/>
      <c r="B11" s="176"/>
      <c r="C11" s="176"/>
      <c r="D11" s="176"/>
      <c r="E11" s="176"/>
      <c r="F11" s="176"/>
      <c r="G11" s="176"/>
      <c r="H11" s="176"/>
      <c r="I11" s="177"/>
      <c r="J11" s="139"/>
      <c r="K11" s="362"/>
      <c r="L11" s="362"/>
      <c r="M11" s="362"/>
      <c r="N11" s="362"/>
    </row>
    <row r="12" spans="1:14" ht="15.75" customHeight="1">
      <c r="A12" s="175"/>
      <c r="B12" s="176"/>
      <c r="C12" s="176"/>
      <c r="D12" s="176"/>
      <c r="E12" s="176"/>
      <c r="F12" s="176"/>
      <c r="G12" s="176"/>
      <c r="H12" s="176"/>
      <c r="I12" s="177"/>
      <c r="J12" s="139"/>
      <c r="K12" s="362"/>
      <c r="L12" s="362"/>
      <c r="M12" s="362"/>
      <c r="N12" s="362"/>
    </row>
    <row r="13" spans="1:14" ht="15.75" customHeight="1">
      <c r="A13" s="175"/>
      <c r="B13" s="176"/>
      <c r="C13" s="176"/>
      <c r="D13" s="176"/>
      <c r="E13" s="176"/>
      <c r="F13" s="176"/>
      <c r="G13" s="176"/>
      <c r="H13" s="176"/>
      <c r="I13" s="177"/>
      <c r="J13" s="139"/>
      <c r="K13" s="362"/>
      <c r="L13" s="362"/>
      <c r="M13" s="362"/>
      <c r="N13" s="362"/>
    </row>
    <row r="14" spans="1:14" ht="15.75" customHeight="1">
      <c r="A14" s="175"/>
      <c r="B14" s="176"/>
      <c r="C14" s="176"/>
      <c r="D14" s="176"/>
      <c r="E14" s="176"/>
      <c r="F14" s="176"/>
      <c r="G14" s="176"/>
      <c r="H14" s="176"/>
      <c r="I14" s="177"/>
      <c r="J14" s="139"/>
      <c r="K14" s="362"/>
      <c r="L14" s="362"/>
      <c r="M14" s="362"/>
      <c r="N14" s="362"/>
    </row>
    <row r="15" spans="1:14" ht="15.75" customHeight="1">
      <c r="A15" s="175"/>
      <c r="B15" s="176"/>
      <c r="C15" s="176"/>
      <c r="D15" s="176"/>
      <c r="E15" s="176"/>
      <c r="F15" s="176"/>
      <c r="G15" s="176"/>
      <c r="H15" s="176"/>
      <c r="I15" s="177"/>
      <c r="J15" s="139"/>
      <c r="K15" s="139"/>
      <c r="L15" s="139"/>
      <c r="M15" s="139"/>
      <c r="N15" s="139"/>
    </row>
    <row r="16" spans="1:14" ht="15.75" customHeight="1">
      <c r="A16" s="175"/>
      <c r="B16" s="176"/>
      <c r="C16" s="176"/>
      <c r="D16" s="176"/>
      <c r="E16" s="176"/>
      <c r="F16" s="176"/>
      <c r="G16" s="176"/>
      <c r="H16" s="176"/>
      <c r="I16" s="177"/>
      <c r="J16" s="139"/>
      <c r="K16" s="139"/>
      <c r="L16" s="139"/>
      <c r="M16" s="139"/>
      <c r="N16" s="139"/>
    </row>
    <row r="17" spans="1:14" ht="15.75" customHeight="1">
      <c r="A17" s="175"/>
      <c r="B17" s="176"/>
      <c r="C17" s="176"/>
      <c r="D17" s="176"/>
      <c r="E17" s="176"/>
      <c r="F17" s="176"/>
      <c r="G17" s="176"/>
      <c r="H17" s="176"/>
      <c r="I17" s="177"/>
      <c r="J17" s="139"/>
      <c r="K17" s="139"/>
      <c r="L17" s="139"/>
      <c r="M17" s="139"/>
      <c r="N17" s="139"/>
    </row>
    <row r="18" spans="1:14">
      <c r="A18" s="175"/>
      <c r="B18" s="176"/>
      <c r="C18" s="176"/>
      <c r="D18" s="176"/>
      <c r="E18" s="176"/>
      <c r="F18" s="176"/>
      <c r="G18" s="176"/>
      <c r="H18" s="176"/>
      <c r="I18" s="177"/>
      <c r="J18" s="139"/>
      <c r="K18" s="139"/>
      <c r="L18" s="139"/>
      <c r="M18" s="139"/>
      <c r="N18" s="139"/>
    </row>
    <row r="19" spans="1:14">
      <c r="A19" s="175"/>
      <c r="B19" s="176"/>
      <c r="C19" s="176"/>
      <c r="D19" s="176"/>
      <c r="E19" s="176"/>
      <c r="F19" s="176"/>
      <c r="G19" s="176"/>
      <c r="H19" s="176"/>
      <c r="I19" s="177"/>
      <c r="J19" s="139"/>
      <c r="K19" s="139"/>
      <c r="L19" s="139"/>
      <c r="M19" s="139"/>
      <c r="N19" s="139"/>
    </row>
    <row r="20" spans="1:14">
      <c r="A20" s="175"/>
      <c r="B20" s="176"/>
      <c r="C20" s="176"/>
      <c r="D20" s="176"/>
      <c r="E20" s="176"/>
      <c r="F20" s="176"/>
      <c r="G20" s="176"/>
      <c r="H20" s="176"/>
      <c r="I20" s="177"/>
      <c r="J20" s="139"/>
      <c r="K20" s="139"/>
      <c r="L20" s="139"/>
      <c r="M20" s="139"/>
      <c r="N20" s="139"/>
    </row>
    <row r="21" spans="1:14">
      <c r="A21" s="175"/>
      <c r="B21" s="176"/>
      <c r="C21" s="176"/>
      <c r="D21" s="176"/>
      <c r="E21" s="176"/>
      <c r="F21" s="176"/>
      <c r="G21" s="176"/>
      <c r="H21" s="176"/>
      <c r="I21" s="177"/>
      <c r="J21" s="139"/>
      <c r="K21" s="139"/>
      <c r="L21" s="139"/>
      <c r="M21" s="139"/>
      <c r="N21" s="139"/>
    </row>
    <row r="22" spans="1:14" ht="15.4" customHeight="1">
      <c r="A22" s="175"/>
      <c r="B22" s="176"/>
      <c r="C22" s="176"/>
      <c r="D22" s="176"/>
      <c r="E22" s="176"/>
      <c r="F22" s="176"/>
      <c r="G22" s="176"/>
      <c r="H22" s="176"/>
      <c r="I22" s="177"/>
      <c r="J22" s="139"/>
      <c r="K22" s="364"/>
      <c r="L22" s="364"/>
      <c r="M22" s="364"/>
      <c r="N22" s="364"/>
    </row>
    <row r="23" spans="1:14">
      <c r="A23" s="175"/>
      <c r="B23" s="176"/>
      <c r="C23" s="176"/>
      <c r="D23" s="176"/>
      <c r="E23" s="176"/>
      <c r="F23" s="176"/>
      <c r="G23" s="176"/>
      <c r="H23" s="176"/>
      <c r="I23" s="177"/>
      <c r="J23" s="139"/>
      <c r="K23" s="364"/>
      <c r="L23" s="364"/>
      <c r="M23" s="364"/>
      <c r="N23" s="364"/>
    </row>
    <row r="24" spans="1:14">
      <c r="A24" s="175"/>
      <c r="B24" s="176"/>
      <c r="C24" s="176"/>
      <c r="D24" s="176"/>
      <c r="E24" s="176"/>
      <c r="F24" s="176"/>
      <c r="G24" s="176"/>
      <c r="H24" s="176"/>
      <c r="I24" s="177"/>
      <c r="J24" s="139"/>
      <c r="K24" s="364"/>
      <c r="L24" s="364"/>
      <c r="M24" s="364"/>
      <c r="N24" s="364"/>
    </row>
    <row r="25" spans="1:14">
      <c r="A25" s="175"/>
      <c r="B25" s="176"/>
      <c r="C25" s="176"/>
      <c r="D25" s="176"/>
      <c r="E25" s="176"/>
      <c r="F25" s="176"/>
      <c r="G25" s="176"/>
      <c r="H25" s="176"/>
      <c r="I25" s="177"/>
      <c r="J25" s="139"/>
      <c r="K25" s="364"/>
      <c r="L25" s="364"/>
      <c r="M25" s="364"/>
      <c r="N25" s="364"/>
    </row>
    <row r="26" spans="1:14">
      <c r="A26" s="175"/>
      <c r="B26" s="176"/>
      <c r="C26" s="176"/>
      <c r="D26" s="176"/>
      <c r="E26" s="176"/>
      <c r="F26" s="176"/>
      <c r="G26" s="176"/>
      <c r="H26" s="176"/>
      <c r="I26" s="177"/>
      <c r="J26" s="139"/>
      <c r="K26" s="364"/>
      <c r="L26" s="364"/>
      <c r="M26" s="364"/>
      <c r="N26" s="364"/>
    </row>
    <row r="27" spans="1:14">
      <c r="A27" s="178"/>
      <c r="B27" s="179"/>
      <c r="C27" s="179"/>
      <c r="D27" s="179"/>
      <c r="E27" s="179"/>
      <c r="F27" s="179"/>
      <c r="G27" s="179"/>
      <c r="H27" s="179"/>
      <c r="I27" s="180"/>
      <c r="J27" s="139"/>
      <c r="K27" s="364"/>
      <c r="L27" s="364"/>
      <c r="M27" s="364"/>
      <c r="N27" s="364"/>
    </row>
    <row r="28" spans="1:14">
      <c r="A28" s="139"/>
      <c r="B28" s="139"/>
      <c r="C28" s="139"/>
      <c r="D28" s="139"/>
      <c r="E28" s="139"/>
      <c r="F28" s="139"/>
      <c r="G28" s="139"/>
      <c r="H28" s="139"/>
      <c r="I28" s="139"/>
      <c r="J28" s="139"/>
      <c r="K28" s="364"/>
      <c r="L28" s="364"/>
      <c r="M28" s="364"/>
      <c r="N28" s="364"/>
    </row>
    <row r="29" spans="1:14">
      <c r="A29" s="95" t="s">
        <v>141</v>
      </c>
      <c r="B29" s="357"/>
      <c r="C29" s="357"/>
      <c r="D29" s="357"/>
      <c r="E29" s="357"/>
      <c r="F29" s="357"/>
      <c r="G29" s="357"/>
      <c r="H29" s="357"/>
      <c r="I29" s="358"/>
      <c r="J29" s="139"/>
      <c r="K29" s="364"/>
      <c r="L29" s="364"/>
      <c r="M29" s="364"/>
      <c r="N29" s="364"/>
    </row>
    <row r="30" spans="1:14">
      <c r="A30" s="359"/>
      <c r="B30" s="360"/>
      <c r="C30" s="360"/>
      <c r="D30" s="360"/>
      <c r="E30" s="360"/>
      <c r="F30" s="360"/>
      <c r="G30" s="360"/>
      <c r="H30" s="360"/>
      <c r="I30" s="361"/>
      <c r="J30" s="139"/>
      <c r="K30" s="364"/>
      <c r="L30" s="364"/>
      <c r="M30" s="364"/>
      <c r="N30" s="364"/>
    </row>
    <row r="31" spans="1:14">
      <c r="A31" s="172" t="s">
        <v>142</v>
      </c>
      <c r="B31" s="181"/>
      <c r="C31" s="181"/>
      <c r="D31" s="181"/>
      <c r="E31" s="181"/>
      <c r="F31" s="181"/>
      <c r="G31" s="181"/>
      <c r="H31" s="181"/>
      <c r="I31" s="182"/>
      <c r="J31" s="139"/>
      <c r="K31" s="362" t="s">
        <v>143</v>
      </c>
      <c r="L31" s="362"/>
      <c r="M31" s="362"/>
      <c r="N31" s="362"/>
    </row>
    <row r="32" spans="1:14">
      <c r="A32" s="183"/>
      <c r="B32" s="184"/>
      <c r="C32" s="184"/>
      <c r="D32" s="184"/>
      <c r="E32" s="184"/>
      <c r="F32" s="184"/>
      <c r="G32" s="184"/>
      <c r="H32" s="184"/>
      <c r="I32" s="185"/>
      <c r="J32" s="139"/>
      <c r="K32" s="362"/>
      <c r="L32" s="362"/>
      <c r="M32" s="362"/>
      <c r="N32" s="362"/>
    </row>
    <row r="33" spans="1:14">
      <c r="A33" s="183"/>
      <c r="B33" s="184"/>
      <c r="C33" s="184"/>
      <c r="D33" s="184"/>
      <c r="E33" s="184"/>
      <c r="F33" s="184"/>
      <c r="G33" s="184"/>
      <c r="H33" s="184"/>
      <c r="I33" s="185"/>
      <c r="J33" s="139"/>
      <c r="K33" s="362"/>
      <c r="L33" s="362"/>
      <c r="M33" s="362"/>
      <c r="N33" s="362"/>
    </row>
    <row r="34" spans="1:14">
      <c r="A34" s="183"/>
      <c r="B34" s="184"/>
      <c r="C34" s="184"/>
      <c r="D34" s="184"/>
      <c r="E34" s="184"/>
      <c r="F34" s="184"/>
      <c r="G34" s="184"/>
      <c r="H34" s="184"/>
      <c r="I34" s="185"/>
      <c r="J34" s="139"/>
      <c r="K34" s="362"/>
      <c r="L34" s="362"/>
      <c r="M34" s="362"/>
      <c r="N34" s="362"/>
    </row>
    <row r="35" spans="1:14">
      <c r="A35" s="183"/>
      <c r="B35" s="184"/>
      <c r="C35" s="184"/>
      <c r="D35" s="184"/>
      <c r="E35" s="184"/>
      <c r="F35" s="184"/>
      <c r="G35" s="184"/>
      <c r="H35" s="184"/>
      <c r="I35" s="185"/>
      <c r="J35" s="139"/>
      <c r="K35" s="362"/>
      <c r="L35" s="362"/>
      <c r="M35" s="362"/>
      <c r="N35" s="362"/>
    </row>
    <row r="36" spans="1:14">
      <c r="A36" s="183"/>
      <c r="B36" s="184"/>
      <c r="C36" s="184"/>
      <c r="D36" s="184"/>
      <c r="E36" s="184"/>
      <c r="F36" s="184"/>
      <c r="G36" s="184"/>
      <c r="H36" s="184"/>
      <c r="I36" s="185"/>
      <c r="J36" s="139"/>
      <c r="K36" s="362"/>
      <c r="L36" s="362"/>
      <c r="M36" s="362"/>
      <c r="N36" s="362"/>
    </row>
    <row r="37" spans="1:14">
      <c r="A37" s="183"/>
      <c r="B37" s="184"/>
      <c r="C37" s="184"/>
      <c r="D37" s="184"/>
      <c r="E37" s="184"/>
      <c r="F37" s="184"/>
      <c r="G37" s="184"/>
      <c r="H37" s="184"/>
      <c r="I37" s="185"/>
      <c r="J37" s="139"/>
      <c r="K37" s="362"/>
      <c r="L37" s="362"/>
      <c r="M37" s="362"/>
      <c r="N37" s="362"/>
    </row>
    <row r="38" spans="1:14" ht="14.25" customHeight="1">
      <c r="A38" s="183"/>
      <c r="B38" s="184"/>
      <c r="C38" s="184"/>
      <c r="D38" s="184"/>
      <c r="E38" s="184"/>
      <c r="F38" s="184"/>
      <c r="G38" s="184"/>
      <c r="H38" s="184"/>
      <c r="I38" s="185"/>
      <c r="J38" s="139"/>
      <c r="K38" s="362"/>
      <c r="L38" s="362"/>
      <c r="M38" s="362"/>
      <c r="N38" s="362"/>
    </row>
    <row r="39" spans="1:14">
      <c r="A39" s="183"/>
      <c r="B39" s="184"/>
      <c r="C39" s="184"/>
      <c r="D39" s="184"/>
      <c r="E39" s="184"/>
      <c r="F39" s="184"/>
      <c r="G39" s="184"/>
      <c r="H39" s="184"/>
      <c r="I39" s="185"/>
      <c r="J39" s="139"/>
      <c r="K39" s="362"/>
      <c r="L39" s="362"/>
      <c r="M39" s="362"/>
      <c r="N39" s="362"/>
    </row>
    <row r="40" spans="1:14">
      <c r="A40" s="183"/>
      <c r="B40" s="184"/>
      <c r="C40" s="184"/>
      <c r="D40" s="184"/>
      <c r="E40" s="184"/>
      <c r="F40" s="184"/>
      <c r="G40" s="184"/>
      <c r="H40" s="184"/>
      <c r="I40" s="185"/>
      <c r="J40" s="139"/>
      <c r="K40" s="362"/>
      <c r="L40" s="362"/>
      <c r="M40" s="362"/>
      <c r="N40" s="362"/>
    </row>
    <row r="41" spans="1:14">
      <c r="A41" s="183"/>
      <c r="B41" s="184"/>
      <c r="C41" s="184"/>
      <c r="D41" s="184"/>
      <c r="E41" s="184"/>
      <c r="F41" s="184"/>
      <c r="G41" s="184"/>
      <c r="H41" s="184"/>
      <c r="I41" s="185"/>
      <c r="J41" s="139"/>
      <c r="K41" s="139"/>
      <c r="L41" s="139"/>
      <c r="M41" s="139"/>
      <c r="N41" s="139"/>
    </row>
    <row r="42" spans="1:14">
      <c r="A42" s="183"/>
      <c r="B42" s="184"/>
      <c r="C42" s="184"/>
      <c r="D42" s="184"/>
      <c r="E42" s="184"/>
      <c r="F42" s="184"/>
      <c r="G42" s="184"/>
      <c r="H42" s="184"/>
      <c r="I42" s="185"/>
      <c r="J42" s="139"/>
      <c r="K42" s="139"/>
      <c r="L42" s="139"/>
      <c r="M42" s="139"/>
      <c r="N42" s="139"/>
    </row>
    <row r="43" spans="1:14">
      <c r="A43" s="183"/>
      <c r="B43" s="184"/>
      <c r="C43" s="184"/>
      <c r="D43" s="184"/>
      <c r="E43" s="184"/>
      <c r="F43" s="184"/>
      <c r="G43" s="184"/>
      <c r="H43" s="184"/>
      <c r="I43" s="185"/>
      <c r="J43" s="139"/>
      <c r="K43" s="139"/>
      <c r="L43" s="139"/>
      <c r="M43" s="139"/>
      <c r="N43" s="139"/>
    </row>
    <row r="44" spans="1:14">
      <c r="A44" s="183"/>
      <c r="B44" s="184"/>
      <c r="C44" s="184"/>
      <c r="D44" s="184"/>
      <c r="E44" s="184"/>
      <c r="F44" s="184"/>
      <c r="G44" s="184"/>
      <c r="H44" s="184"/>
      <c r="I44" s="185"/>
      <c r="J44" s="139"/>
      <c r="K44" s="139"/>
      <c r="L44" s="139"/>
      <c r="M44" s="139"/>
      <c r="N44" s="139"/>
    </row>
    <row r="45" spans="1:14">
      <c r="A45" s="183"/>
      <c r="B45" s="184"/>
      <c r="C45" s="184"/>
      <c r="D45" s="184"/>
      <c r="E45" s="184"/>
      <c r="F45" s="184"/>
      <c r="G45" s="184"/>
      <c r="H45" s="184"/>
      <c r="I45" s="185"/>
      <c r="J45" s="139"/>
      <c r="K45" s="139"/>
      <c r="L45" s="139"/>
      <c r="M45" s="139"/>
      <c r="N45" s="139"/>
    </row>
    <row r="46" spans="1:14">
      <c r="A46" s="183"/>
      <c r="B46" s="184"/>
      <c r="C46" s="184"/>
      <c r="D46" s="184"/>
      <c r="E46" s="184"/>
      <c r="F46" s="184"/>
      <c r="G46" s="184"/>
      <c r="H46" s="184"/>
      <c r="I46" s="185"/>
      <c r="J46" s="139"/>
      <c r="K46" s="139"/>
      <c r="L46" s="139"/>
      <c r="M46" s="139"/>
      <c r="N46" s="139"/>
    </row>
    <row r="47" spans="1:14">
      <c r="A47" s="183"/>
      <c r="B47" s="184"/>
      <c r="C47" s="184"/>
      <c r="D47" s="184"/>
      <c r="E47" s="184"/>
      <c r="F47" s="184"/>
      <c r="G47" s="184"/>
      <c r="H47" s="184"/>
      <c r="I47" s="185"/>
      <c r="J47" s="139"/>
      <c r="K47" s="139"/>
      <c r="L47" s="139"/>
      <c r="M47" s="139"/>
      <c r="N47" s="139"/>
    </row>
    <row r="48" spans="1:14">
      <c r="A48" s="183"/>
      <c r="B48" s="184"/>
      <c r="C48" s="184"/>
      <c r="D48" s="184"/>
      <c r="E48" s="184"/>
      <c r="F48" s="184"/>
      <c r="G48" s="184"/>
      <c r="H48" s="184"/>
      <c r="I48" s="185"/>
      <c r="J48" s="139"/>
      <c r="K48" s="139"/>
      <c r="L48" s="139"/>
      <c r="M48" s="139"/>
      <c r="N48" s="139"/>
    </row>
    <row r="49" spans="1:9">
      <c r="A49" s="183"/>
      <c r="B49" s="184"/>
      <c r="C49" s="184"/>
      <c r="D49" s="184"/>
      <c r="E49" s="184"/>
      <c r="F49" s="184"/>
      <c r="G49" s="184"/>
      <c r="H49" s="184"/>
      <c r="I49" s="185"/>
    </row>
    <row r="50" spans="1:9">
      <c r="A50" s="183"/>
      <c r="B50" s="184"/>
      <c r="C50" s="184"/>
      <c r="D50" s="184"/>
      <c r="E50" s="184"/>
      <c r="F50" s="184"/>
      <c r="G50" s="184"/>
      <c r="H50" s="184"/>
      <c r="I50" s="185"/>
    </row>
    <row r="51" spans="1:9">
      <c r="A51" s="183"/>
      <c r="B51" s="184"/>
      <c r="C51" s="184"/>
      <c r="D51" s="184"/>
      <c r="E51" s="184"/>
      <c r="F51" s="184"/>
      <c r="G51" s="184"/>
      <c r="H51" s="184"/>
      <c r="I51" s="185"/>
    </row>
    <row r="52" spans="1:9">
      <c r="A52" s="186"/>
      <c r="B52" s="187"/>
      <c r="C52" s="187"/>
      <c r="D52" s="187"/>
      <c r="E52" s="187"/>
      <c r="F52" s="187"/>
      <c r="G52" s="187"/>
      <c r="H52" s="187"/>
      <c r="I52" s="188"/>
    </row>
    <row r="53" spans="1:9">
      <c r="A53" s="139"/>
      <c r="B53" s="139"/>
      <c r="C53" s="139"/>
      <c r="D53" s="139"/>
      <c r="E53" s="139"/>
      <c r="F53" s="139"/>
      <c r="G53" s="139"/>
      <c r="H53" s="139"/>
      <c r="I53" s="139"/>
    </row>
    <row r="66" spans="6:6">
      <c r="F66" s="3"/>
    </row>
  </sheetData>
  <mergeCells count="4">
    <mergeCell ref="A5:I27"/>
    <mergeCell ref="A31:I52"/>
    <mergeCell ref="K5:N14"/>
    <mergeCell ref="K31:N40"/>
  </mergeCells>
  <pageMargins left="0.7" right="0.7" top="0.75" bottom="0.75" header="0.3" footer="0.3"/>
  <pageSetup paperSize="9" scale="87" orientation="portrait"/>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opLeftCell="A8" zoomScaleNormal="100" workbookViewId="0">
      <selection activeCell="A27" sqref="A27:J29"/>
    </sheetView>
  </sheetViews>
  <sheetFormatPr defaultColWidth="9.28515625" defaultRowHeight="15.6"/>
  <cols>
    <col min="1" max="7" width="9.28515625" style="2"/>
    <col min="8" max="8" width="11.28515625" style="2" bestFit="1" customWidth="1"/>
    <col min="9" max="16384" width="9.28515625" style="2"/>
  </cols>
  <sheetData>
    <row r="1" spans="1:10">
      <c r="A1" s="70">
        <f>+'Cover Page'!C39</f>
        <v>2022</v>
      </c>
      <c r="B1" s="71" t="s">
        <v>144</v>
      </c>
      <c r="C1" s="71"/>
      <c r="D1" s="71"/>
      <c r="E1" s="71"/>
      <c r="F1" s="71"/>
      <c r="G1" s="71"/>
      <c r="H1" s="71"/>
      <c r="I1" s="71"/>
      <c r="J1" s="71"/>
    </row>
    <row r="2" spans="1:10" ht="8.25" customHeight="1">
      <c r="A2" s="139"/>
      <c r="B2" s="139"/>
      <c r="C2" s="139"/>
      <c r="D2" s="139"/>
      <c r="E2" s="139"/>
      <c r="F2" s="139"/>
      <c r="G2" s="139"/>
      <c r="H2" s="139"/>
      <c r="I2" s="139"/>
      <c r="J2" s="139"/>
    </row>
    <row r="3" spans="1:10" s="3" customFormat="1" ht="14.1">
      <c r="A3" s="201" t="str">
        <f>+'Cover Page'!B31</f>
        <v>Permit EPR/SP3638KV</v>
      </c>
      <c r="B3" s="201"/>
      <c r="C3" s="201"/>
      <c r="D3" s="201"/>
      <c r="E3" s="201"/>
      <c r="F3" s="3" t="s">
        <v>145</v>
      </c>
      <c r="G3" s="202">
        <f>+'Cover Page'!B37:I37</f>
        <v>0</v>
      </c>
      <c r="H3" s="202"/>
      <c r="I3" s="202"/>
    </row>
    <row r="4" spans="1:10" s="3" customFormat="1" ht="14.1">
      <c r="A4" s="3" t="s">
        <v>146</v>
      </c>
      <c r="B4" s="201" t="str">
        <f>+'Cover Page'!B33:I33</f>
        <v>Twinwoods Co-Incinerator</v>
      </c>
      <c r="C4" s="201"/>
      <c r="D4" s="201"/>
      <c r="E4" s="201"/>
      <c r="F4" s="3" t="s">
        <v>147</v>
      </c>
      <c r="G4" s="3" t="s">
        <v>148</v>
      </c>
    </row>
    <row r="5" spans="1:10" s="3" customFormat="1" ht="6.75" customHeight="1"/>
    <row r="6" spans="1:10" s="3" customFormat="1" ht="15.75" customHeight="1">
      <c r="A6" s="3" t="s">
        <v>149</v>
      </c>
      <c r="D6" s="203">
        <v>44197</v>
      </c>
      <c r="E6" s="203"/>
      <c r="F6" s="72" t="s">
        <v>150</v>
      </c>
      <c r="G6" s="203">
        <v>44561</v>
      </c>
      <c r="H6" s="203"/>
    </row>
    <row r="7" spans="1:10" s="3" customFormat="1" ht="7.5" customHeight="1"/>
    <row r="8" spans="1:10" s="3" customFormat="1">
      <c r="A8" s="9">
        <f>+A1</f>
        <v>2022</v>
      </c>
      <c r="B8" s="71" t="s">
        <v>151</v>
      </c>
      <c r="C8"/>
      <c r="D8"/>
      <c r="E8"/>
      <c r="F8"/>
      <c r="G8"/>
    </row>
    <row r="9" spans="1:10" s="3" customFormat="1" ht="28.5" customHeight="1">
      <c r="A9" s="204" t="s">
        <v>152</v>
      </c>
      <c r="B9" s="204"/>
      <c r="C9" s="204" t="s">
        <v>153</v>
      </c>
      <c r="D9" s="204"/>
      <c r="E9" s="204" t="s">
        <v>154</v>
      </c>
      <c r="F9" s="204"/>
      <c r="G9" s="204" t="s">
        <v>155</v>
      </c>
      <c r="H9" s="204"/>
      <c r="I9" s="204" t="s">
        <v>156</v>
      </c>
      <c r="J9" s="204"/>
    </row>
    <row r="10" spans="1:10" s="3" customFormat="1" ht="14.25" customHeight="1">
      <c r="A10" s="196" t="s">
        <v>157</v>
      </c>
      <c r="B10" s="196"/>
      <c r="C10" s="196"/>
      <c r="D10" s="196"/>
      <c r="E10" s="196"/>
      <c r="F10" s="196"/>
      <c r="G10" s="196"/>
      <c r="H10" s="196"/>
      <c r="I10" s="196"/>
      <c r="J10" s="196"/>
    </row>
    <row r="11" spans="1:10" s="3" customFormat="1" ht="14.25" customHeight="1">
      <c r="A11" s="196" t="s">
        <v>158</v>
      </c>
      <c r="B11" s="196"/>
      <c r="C11" s="197" t="s">
        <v>159</v>
      </c>
      <c r="D11" s="197"/>
      <c r="E11" s="198">
        <v>158</v>
      </c>
      <c r="F11" s="198"/>
      <c r="G11" s="199">
        <v>0</v>
      </c>
      <c r="H11" s="199"/>
      <c r="I11" s="200">
        <f>IF((E11+G11)&gt;0,(E11+G11)/'Operational Data'!$G$18, "-")</f>
        <v>7.5155781762831185E-3</v>
      </c>
      <c r="J11" s="200"/>
    </row>
    <row r="12" spans="1:10" s="3" customFormat="1" ht="14.25" customHeight="1">
      <c r="A12" s="196" t="s">
        <v>160</v>
      </c>
      <c r="B12" s="196"/>
      <c r="C12" s="197" t="s">
        <v>161</v>
      </c>
      <c r="D12" s="197"/>
      <c r="E12" s="148">
        <v>0</v>
      </c>
      <c r="F12" s="148"/>
      <c r="G12" s="199">
        <v>0</v>
      </c>
      <c r="H12" s="199"/>
      <c r="I12" s="200">
        <f>IF((E13+G12)&gt;0,(E13+G12)/'Operational Data'!$G$18, "-")</f>
        <v>4.7566950482804548E-5</v>
      </c>
      <c r="J12" s="200"/>
    </row>
    <row r="13" spans="1:10" s="3" customFormat="1" ht="14.25" customHeight="1">
      <c r="A13" s="205" t="s">
        <v>110</v>
      </c>
      <c r="B13" s="205"/>
      <c r="C13" s="197" t="s">
        <v>161</v>
      </c>
      <c r="D13" s="197"/>
      <c r="E13" s="199">
        <v>1</v>
      </c>
      <c r="F13" s="199"/>
      <c r="G13" s="199">
        <v>0</v>
      </c>
      <c r="H13" s="199"/>
      <c r="I13" s="200" t="str">
        <f>IF((E14+G13)&gt;0,(E14+G13)/'Operational Data'!$G$18, "-")</f>
        <v>-</v>
      </c>
      <c r="J13" s="200"/>
    </row>
    <row r="14" spans="1:10" s="3" customFormat="1" ht="14.25" customHeight="1">
      <c r="A14" s="205"/>
      <c r="B14" s="205"/>
      <c r="C14" s="197"/>
      <c r="D14" s="197"/>
      <c r="E14" s="199"/>
      <c r="F14" s="199"/>
      <c r="G14" s="199"/>
      <c r="H14" s="199"/>
      <c r="I14" s="200"/>
      <c r="J14" s="200"/>
    </row>
    <row r="15" spans="1:10" s="3" customFormat="1" ht="14.25" customHeight="1">
      <c r="A15" s="212" t="s">
        <v>162</v>
      </c>
      <c r="B15" s="212"/>
      <c r="C15" s="212"/>
      <c r="D15" s="212"/>
      <c r="E15" s="213">
        <f>SUM(E11:F14)</f>
        <v>159</v>
      </c>
      <c r="F15" s="213"/>
      <c r="G15" s="213">
        <f>SUM(G11:H14)</f>
        <v>0</v>
      </c>
      <c r="H15" s="213"/>
      <c r="I15" s="200">
        <f>IF((E15+G15)&gt;0,(E15+G15)/'Operational Data'!$G$18, "-")</f>
        <v>7.5631451267659227E-3</v>
      </c>
      <c r="J15" s="200"/>
    </row>
    <row r="16" spans="1:10" s="3" customFormat="1" ht="14.25" customHeight="1">
      <c r="A16" s="206"/>
      <c r="B16" s="207"/>
      <c r="C16" s="207"/>
      <c r="D16" s="207"/>
      <c r="E16" s="208"/>
      <c r="F16" s="208"/>
      <c r="G16" s="208"/>
      <c r="H16" s="208"/>
      <c r="I16" s="209"/>
      <c r="J16" s="210"/>
    </row>
    <row r="17" spans="1:10" s="3" customFormat="1" ht="14.25" customHeight="1">
      <c r="A17" s="211" t="s">
        <v>163</v>
      </c>
      <c r="B17" s="211"/>
      <c r="C17" s="211"/>
      <c r="D17" s="211"/>
      <c r="E17" s="211"/>
      <c r="F17" s="211"/>
      <c r="G17" s="211"/>
      <c r="H17" s="211"/>
      <c r="I17" s="211"/>
      <c r="J17" s="211"/>
    </row>
    <row r="18" spans="1:10" ht="14.25" customHeight="1">
      <c r="A18" s="196" t="s">
        <v>160</v>
      </c>
      <c r="B18" s="196"/>
      <c r="C18" s="197" t="s">
        <v>161</v>
      </c>
      <c r="D18" s="197"/>
      <c r="E18" s="213">
        <v>0</v>
      </c>
      <c r="F18" s="213"/>
      <c r="G18" s="214">
        <v>1152</v>
      </c>
      <c r="H18" s="215"/>
      <c r="I18" s="200">
        <f>IF((E18+G18)&gt;0,(E18+G18)/'Operational Data'!$G$18, "-")</f>
        <v>5.4797126956190836E-2</v>
      </c>
      <c r="J18" s="200"/>
    </row>
    <row r="19" spans="1:10" s="3" customFormat="1" ht="14.25" customHeight="1">
      <c r="A19" s="196" t="s">
        <v>164</v>
      </c>
      <c r="B19" s="196"/>
      <c r="C19" s="197" t="s">
        <v>161</v>
      </c>
      <c r="D19" s="197"/>
      <c r="E19" s="213">
        <v>0</v>
      </c>
      <c r="F19" s="213"/>
      <c r="G19" s="214">
        <v>0</v>
      </c>
      <c r="H19" s="215"/>
      <c r="I19" s="200" t="str">
        <f>IF((E19+G19)&gt;0,(E19+G19)/'Operational Data'!$G$18, "-")</f>
        <v>-</v>
      </c>
      <c r="J19" s="200"/>
    </row>
    <row r="20" spans="1:10" s="3" customFormat="1" ht="24" customHeight="1">
      <c r="A20" s="196" t="s">
        <v>165</v>
      </c>
      <c r="B20" s="196"/>
      <c r="C20" s="197" t="s">
        <v>161</v>
      </c>
      <c r="D20" s="197"/>
      <c r="E20" s="213">
        <v>0</v>
      </c>
      <c r="F20" s="213"/>
      <c r="G20" s="214">
        <v>11</v>
      </c>
      <c r="H20" s="215"/>
      <c r="I20" s="200">
        <f>IF((E20+G20)&gt;0,(E20+G20)/'Operational Data'!$G$18, "-")</f>
        <v>5.2323645531085006E-4</v>
      </c>
      <c r="J20" s="200"/>
    </row>
    <row r="21" spans="1:10" s="3" customFormat="1" ht="15" customHeight="1">
      <c r="A21" s="216" t="s">
        <v>166</v>
      </c>
      <c r="B21" s="216"/>
      <c r="C21" s="197" t="s">
        <v>161</v>
      </c>
      <c r="D21" s="197"/>
      <c r="E21" s="213">
        <v>0</v>
      </c>
      <c r="F21" s="213"/>
      <c r="G21" s="214">
        <v>10</v>
      </c>
      <c r="H21" s="215"/>
      <c r="I21" s="200">
        <f>IF((E21+G21)&gt;0,(E21+G21)/'Operational Data'!$G$18, "-")</f>
        <v>4.7566950482804548E-4</v>
      </c>
      <c r="J21" s="200"/>
    </row>
    <row r="22" spans="1:10" s="3" customFormat="1" ht="14.25" customHeight="1">
      <c r="A22" s="216"/>
      <c r="B22" s="216"/>
      <c r="C22" s="197"/>
      <c r="D22" s="197"/>
      <c r="E22" s="213"/>
      <c r="F22" s="213"/>
      <c r="G22" s="213"/>
      <c r="H22" s="213"/>
      <c r="I22" s="200" t="str">
        <f>IF((E22+G22)&gt;0,(E22+G22)/'Operational Data'!$G$18, "-")</f>
        <v>-</v>
      </c>
      <c r="J22" s="200"/>
    </row>
    <row r="23" spans="1:10" s="3" customFormat="1" ht="14.25" customHeight="1">
      <c r="A23" s="217" t="s">
        <v>167</v>
      </c>
      <c r="B23" s="217"/>
      <c r="C23" s="217"/>
      <c r="D23" s="217"/>
      <c r="E23" s="213">
        <f>SUM(E18:F22)</f>
        <v>0</v>
      </c>
      <c r="F23" s="213"/>
      <c r="G23" s="213">
        <f>SUM(G18:H22)</f>
        <v>1173</v>
      </c>
      <c r="H23" s="213"/>
      <c r="I23" s="200">
        <f>IF((E23+G23)&gt;0,(E23+G23)/'Operational Data'!$G$18, "-")</f>
        <v>5.5796032916329737E-2</v>
      </c>
      <c r="J23" s="200"/>
    </row>
    <row r="24" spans="1:10" s="3" customFormat="1" ht="14.25" customHeight="1">
      <c r="A24" s="227" t="s">
        <v>168</v>
      </c>
      <c r="B24" s="227"/>
      <c r="C24" s="227"/>
      <c r="D24" s="227"/>
      <c r="E24" s="228">
        <f>+E23+E15</f>
        <v>159</v>
      </c>
      <c r="F24" s="228"/>
      <c r="G24" s="228">
        <f>+G23+G15</f>
        <v>1173</v>
      </c>
      <c r="H24" s="228"/>
      <c r="I24" s="229">
        <f>IF((E24+G24)&gt;0,(E24+G24)/'Operational Data'!$G$18, "-")</f>
        <v>6.3359178043095654E-2</v>
      </c>
      <c r="J24" s="229"/>
    </row>
    <row r="25" spans="1:10" s="3" customFormat="1" ht="8.25" customHeight="1">
      <c r="A25" s="78"/>
      <c r="B25"/>
      <c r="C25"/>
      <c r="D25"/>
      <c r="E25"/>
      <c r="F25"/>
      <c r="G25"/>
    </row>
    <row r="26" spans="1:10" s="3" customFormat="1" ht="14.25" customHeight="1">
      <c r="A26" s="230" t="s">
        <v>169</v>
      </c>
      <c r="B26" s="230"/>
      <c r="C26" s="230"/>
      <c r="D26" s="230"/>
      <c r="E26" s="230"/>
      <c r="F26" s="230"/>
      <c r="G26" s="230"/>
      <c r="H26" s="230"/>
      <c r="I26" s="230"/>
      <c r="J26" s="230"/>
    </row>
    <row r="27" spans="1:10" s="3" customFormat="1" ht="14.25" customHeight="1">
      <c r="A27" s="231" t="s">
        <v>170</v>
      </c>
      <c r="B27" s="231"/>
      <c r="C27" s="231"/>
      <c r="D27" s="231"/>
      <c r="E27" s="231"/>
      <c r="F27" s="231"/>
      <c r="G27" s="231"/>
      <c r="H27" s="231"/>
      <c r="I27" s="231"/>
      <c r="J27" s="231"/>
    </row>
    <row r="28" spans="1:10" s="3" customFormat="1" ht="14.25" customHeight="1">
      <c r="A28" s="231"/>
      <c r="B28" s="231"/>
      <c r="C28" s="231"/>
      <c r="D28" s="231"/>
      <c r="E28" s="231"/>
      <c r="F28" s="231"/>
      <c r="G28" s="231"/>
      <c r="H28" s="231"/>
      <c r="I28" s="231"/>
      <c r="J28" s="231"/>
    </row>
    <row r="29" spans="1:10" s="3" customFormat="1" ht="14.25" customHeight="1">
      <c r="A29" s="231"/>
      <c r="B29" s="231"/>
      <c r="C29" s="231"/>
      <c r="D29" s="231"/>
      <c r="E29" s="231"/>
      <c r="F29" s="231"/>
      <c r="G29" s="231"/>
      <c r="H29" s="231"/>
      <c r="I29" s="231"/>
      <c r="J29" s="231"/>
    </row>
    <row r="30" spans="1:10" s="3" customFormat="1" ht="14.25" customHeight="1">
      <c r="A30" s="78"/>
      <c r="B30"/>
      <c r="C30"/>
      <c r="D30"/>
      <c r="E30"/>
      <c r="F30"/>
      <c r="G30"/>
    </row>
    <row r="31" spans="1:10" s="3" customFormat="1" ht="14.25" customHeight="1">
      <c r="A31" s="1">
        <f>+A1</f>
        <v>2022</v>
      </c>
      <c r="B31" s="71" t="s">
        <v>171</v>
      </c>
      <c r="C31" s="71"/>
      <c r="D31" s="71"/>
      <c r="E31" s="71"/>
      <c r="F31" s="71"/>
    </row>
    <row r="32" spans="1:10" s="3" customFormat="1" ht="24.75" customHeight="1">
      <c r="A32" s="218" t="s">
        <v>172</v>
      </c>
      <c r="B32" s="219"/>
      <c r="C32" s="219"/>
      <c r="D32" s="220"/>
      <c r="E32" s="79" t="s">
        <v>173</v>
      </c>
      <c r="F32" s="80"/>
      <c r="G32" s="81" t="s">
        <v>72</v>
      </c>
      <c r="H32" s="221" t="s">
        <v>174</v>
      </c>
      <c r="I32" s="222"/>
      <c r="J32" s="82" t="s">
        <v>72</v>
      </c>
    </row>
    <row r="33" spans="1:10" s="3" customFormat="1" ht="14.25" customHeight="1">
      <c r="A33" s="206" t="s">
        <v>115</v>
      </c>
      <c r="B33" s="207"/>
      <c r="C33" s="207"/>
      <c r="D33" s="223"/>
      <c r="E33" s="224">
        <f>+'Operational Data'!G41</f>
        <v>17179</v>
      </c>
      <c r="F33" s="210"/>
      <c r="G33" s="83" t="s">
        <v>116</v>
      </c>
      <c r="H33" s="225">
        <f>IF(E33&gt;0,E33/'Operational Data'!$G$18,"-")</f>
        <v>0.81715264234409934</v>
      </c>
      <c r="I33" s="226"/>
      <c r="J33" s="83" t="s">
        <v>175</v>
      </c>
    </row>
    <row r="34" spans="1:10" s="3" customFormat="1" ht="14.25" customHeight="1">
      <c r="A34" s="206" t="s">
        <v>176</v>
      </c>
      <c r="B34" s="207"/>
      <c r="C34" s="207"/>
      <c r="D34" s="223"/>
      <c r="E34" s="224">
        <f>+'Operational Data'!G42+'Operational Data'!G41</f>
        <v>17179</v>
      </c>
      <c r="F34" s="210"/>
      <c r="G34" s="83" t="s">
        <v>116</v>
      </c>
      <c r="H34" s="225">
        <f>IF(E34&gt;0,E34/'Operational Data'!$G$18,"-")</f>
        <v>0.81715264234409934</v>
      </c>
      <c r="I34" s="226"/>
      <c r="J34" s="83" t="s">
        <v>175</v>
      </c>
    </row>
    <row r="35" spans="1:10" s="3" customFormat="1" ht="14.25" customHeight="1">
      <c r="A35" s="206" t="s">
        <v>177</v>
      </c>
      <c r="B35" s="207"/>
      <c r="C35" s="207"/>
      <c r="D35" s="223"/>
      <c r="E35" s="224">
        <f>+'Operational Data'!G43</f>
        <v>9500</v>
      </c>
      <c r="F35" s="210"/>
      <c r="G35" s="83" t="s">
        <v>178</v>
      </c>
      <c r="H35" s="225">
        <f>IF(E35&gt;0,E35/'Operational Data'!$G$18,"-")</f>
        <v>0.4518860295866432</v>
      </c>
      <c r="I35" s="226"/>
      <c r="J35" s="83" t="s">
        <v>179</v>
      </c>
    </row>
    <row r="36" spans="1:10" s="3" customFormat="1" ht="14.25" customHeight="1">
      <c r="A36" s="206" t="s">
        <v>120</v>
      </c>
      <c r="B36" s="207"/>
      <c r="C36" s="207"/>
      <c r="D36" s="223"/>
      <c r="E36" s="224">
        <f>+'Operational Data'!G44</f>
        <v>10440</v>
      </c>
      <c r="F36" s="210"/>
      <c r="G36" s="83" t="s">
        <v>178</v>
      </c>
      <c r="H36" s="225">
        <f>IF(E36&gt;0,E36/'Operational Data'!$G$18,"-")</f>
        <v>0.49659896304047946</v>
      </c>
      <c r="I36" s="226"/>
      <c r="J36" s="83" t="s">
        <v>179</v>
      </c>
    </row>
    <row r="37" spans="1:10" s="3" customFormat="1" ht="14.25" customHeight="1">
      <c r="A37" s="206" t="s">
        <v>121</v>
      </c>
      <c r="B37" s="207"/>
      <c r="C37" s="207"/>
      <c r="D37" s="223"/>
      <c r="E37" s="224">
        <f>+'Operational Data'!G45</f>
        <v>115020</v>
      </c>
      <c r="F37" s="210"/>
      <c r="G37" s="83" t="s">
        <v>178</v>
      </c>
      <c r="H37" s="225">
        <f>IF(E37&gt;0,E37/'Operational Data'!$G$18,"-")</f>
        <v>5.4711506445321794</v>
      </c>
      <c r="I37" s="226"/>
      <c r="J37" s="83" t="s">
        <v>179</v>
      </c>
    </row>
    <row r="38" spans="1:10" s="3" customFormat="1" ht="14.25" customHeight="1">
      <c r="A38" s="232"/>
      <c r="B38" s="233"/>
      <c r="C38" s="233"/>
      <c r="D38" s="234"/>
      <c r="E38" s="235"/>
      <c r="F38" s="236"/>
      <c r="G38" s="84"/>
      <c r="H38" s="237"/>
      <c r="I38" s="238"/>
      <c r="J38" s="84"/>
    </row>
    <row r="39" spans="1:10" s="3" customFormat="1" ht="14.25" customHeight="1">
      <c r="A39" s="230" t="s">
        <v>169</v>
      </c>
      <c r="B39" s="230"/>
      <c r="C39" s="230"/>
      <c r="D39" s="230"/>
      <c r="E39" s="230"/>
      <c r="F39" s="230"/>
      <c r="G39" s="230"/>
      <c r="H39" s="230"/>
      <c r="I39" s="230"/>
      <c r="J39" s="230"/>
    </row>
    <row r="40" spans="1:10" s="3" customFormat="1" ht="14.25" customHeight="1">
      <c r="A40" s="231" t="s">
        <v>180</v>
      </c>
      <c r="B40" s="231"/>
      <c r="C40" s="231"/>
      <c r="D40" s="231"/>
      <c r="E40" s="231"/>
      <c r="F40" s="231"/>
      <c r="G40" s="231"/>
      <c r="H40" s="231"/>
      <c r="I40" s="231"/>
      <c r="J40" s="231"/>
    </row>
    <row r="41" spans="1:10" s="3" customFormat="1" ht="14.25" customHeight="1">
      <c r="A41" s="231"/>
      <c r="B41" s="231"/>
      <c r="C41" s="231"/>
      <c r="D41" s="231"/>
      <c r="E41" s="231"/>
      <c r="F41" s="231"/>
      <c r="G41" s="231"/>
      <c r="H41" s="231"/>
      <c r="I41" s="231"/>
      <c r="J41" s="231"/>
    </row>
    <row r="42" spans="1:10" s="3" customFormat="1" ht="14.25" customHeight="1">
      <c r="A42" s="85"/>
      <c r="B42" s="85"/>
      <c r="C42" s="85"/>
      <c r="D42" s="85"/>
      <c r="E42" s="85"/>
      <c r="F42" s="85"/>
      <c r="G42" s="85"/>
      <c r="H42" s="85"/>
      <c r="I42" s="85"/>
      <c r="J42" s="85"/>
    </row>
    <row r="43" spans="1:10" s="3" customFormat="1" ht="14.25" customHeight="1">
      <c r="A43" s="71">
        <f>+A31</f>
        <v>2022</v>
      </c>
      <c r="B43" s="71" t="s">
        <v>181</v>
      </c>
      <c r="C43" s="71"/>
      <c r="D43" s="71"/>
      <c r="E43" s="71"/>
      <c r="F43" s="71"/>
      <c r="G43" s="139"/>
    </row>
    <row r="44" spans="1:10" ht="14.25" customHeight="1">
      <c r="A44" s="239" t="s">
        <v>182</v>
      </c>
      <c r="B44" s="239"/>
      <c r="C44" s="239" t="s">
        <v>183</v>
      </c>
      <c r="D44" s="239"/>
      <c r="E44" s="239"/>
      <c r="F44" s="239"/>
      <c r="G44" s="239"/>
      <c r="H44" s="239"/>
      <c r="I44" s="239"/>
      <c r="J44" s="239"/>
    </row>
    <row r="45" spans="1:10" ht="14.25" customHeight="1">
      <c r="A45" s="86"/>
      <c r="B45" s="86"/>
      <c r="C45" s="73" t="s">
        <v>184</v>
      </c>
      <c r="D45" s="73" t="s">
        <v>185</v>
      </c>
      <c r="E45" s="73" t="s">
        <v>186</v>
      </c>
      <c r="F45" s="73" t="s">
        <v>187</v>
      </c>
      <c r="G45" s="73" t="s">
        <v>188</v>
      </c>
      <c r="H45" s="73"/>
      <c r="I45" s="73" t="s">
        <v>189</v>
      </c>
      <c r="J45" s="73" t="s">
        <v>190</v>
      </c>
    </row>
    <row r="46" spans="1:10" ht="31.5" customHeight="1">
      <c r="A46" s="196" t="s">
        <v>191</v>
      </c>
      <c r="B46" s="196"/>
      <c r="C46" s="76">
        <v>5862</v>
      </c>
      <c r="D46" s="76" t="s">
        <v>192</v>
      </c>
      <c r="E46" s="76" t="s">
        <v>192</v>
      </c>
      <c r="F46" s="76" t="s">
        <v>192</v>
      </c>
      <c r="G46" s="76" t="s">
        <v>192</v>
      </c>
      <c r="H46" s="76" t="s">
        <v>192</v>
      </c>
      <c r="I46" s="76" t="s">
        <v>192</v>
      </c>
      <c r="J46" s="76" t="s">
        <v>192</v>
      </c>
    </row>
    <row r="47" spans="1:10" ht="43.5" customHeight="1">
      <c r="A47" s="196" t="s">
        <v>193</v>
      </c>
      <c r="B47" s="196"/>
      <c r="C47" s="76">
        <v>1</v>
      </c>
      <c r="D47" s="76" t="s">
        <v>192</v>
      </c>
      <c r="E47" s="76" t="s">
        <v>192</v>
      </c>
      <c r="F47" s="76" t="s">
        <v>192</v>
      </c>
      <c r="G47" s="76" t="s">
        <v>192</v>
      </c>
      <c r="H47" s="76" t="s">
        <v>192</v>
      </c>
      <c r="I47" s="76" t="s">
        <v>192</v>
      </c>
      <c r="J47" s="76" t="s">
        <v>192</v>
      </c>
    </row>
    <row r="48" spans="1:10" ht="42.75" customHeight="1">
      <c r="A48" s="196" t="s">
        <v>194</v>
      </c>
      <c r="B48" s="196"/>
      <c r="C48" s="76">
        <v>20</v>
      </c>
      <c r="D48" s="76" t="s">
        <v>192</v>
      </c>
      <c r="E48" s="76" t="s">
        <v>192</v>
      </c>
      <c r="F48" s="76" t="s">
        <v>192</v>
      </c>
      <c r="G48" s="76" t="s">
        <v>192</v>
      </c>
      <c r="H48" s="76" t="s">
        <v>192</v>
      </c>
      <c r="I48" s="76" t="s">
        <v>192</v>
      </c>
      <c r="J48" s="76" t="s">
        <v>192</v>
      </c>
    </row>
    <row r="49" spans="1:10" ht="8.25" customHeight="1">
      <c r="A49" s="139"/>
      <c r="B49" s="139"/>
      <c r="C49" s="139"/>
      <c r="D49" s="139"/>
      <c r="E49" s="139"/>
      <c r="F49" s="139"/>
      <c r="G49" s="139"/>
      <c r="H49" s="139"/>
      <c r="I49" s="139"/>
      <c r="J49" s="139"/>
    </row>
    <row r="50" spans="1:10">
      <c r="A50" s="230" t="s">
        <v>169</v>
      </c>
      <c r="B50" s="230"/>
      <c r="C50" s="230"/>
      <c r="D50" s="230"/>
      <c r="E50" s="230"/>
      <c r="F50" s="230"/>
      <c r="G50" s="230"/>
      <c r="H50" s="230"/>
      <c r="I50" s="230"/>
      <c r="J50" s="230"/>
    </row>
    <row r="51" spans="1:10">
      <c r="A51" s="231"/>
      <c r="B51" s="231"/>
      <c r="C51" s="231"/>
      <c r="D51" s="231"/>
      <c r="E51" s="231"/>
      <c r="F51" s="231"/>
      <c r="G51" s="231"/>
      <c r="H51" s="231"/>
      <c r="I51" s="231"/>
      <c r="J51" s="231"/>
    </row>
    <row r="52" spans="1:10">
      <c r="A52" s="231"/>
      <c r="B52" s="231"/>
      <c r="C52" s="231"/>
      <c r="D52" s="231"/>
      <c r="E52" s="231"/>
      <c r="F52" s="231"/>
      <c r="G52" s="231"/>
      <c r="H52" s="231"/>
      <c r="I52" s="231"/>
      <c r="J52" s="231"/>
    </row>
    <row r="54" spans="1:10">
      <c r="A54" s="3" t="s">
        <v>195</v>
      </c>
      <c r="B54" s="87"/>
      <c r="C54" s="87"/>
      <c r="D54" s="87"/>
      <c r="E54" s="87"/>
      <c r="F54" s="3"/>
      <c r="G54" s="3" t="s">
        <v>196</v>
      </c>
      <c r="H54" s="147">
        <v>44583</v>
      </c>
      <c r="I54" s="87"/>
      <c r="J54" s="139"/>
    </row>
    <row r="62" spans="1:10">
      <c r="A62" s="139"/>
      <c r="B62" s="139"/>
      <c r="C62" s="139"/>
      <c r="D62" s="139"/>
      <c r="E62" s="139"/>
      <c r="F62" s="3"/>
      <c r="G62" s="139"/>
      <c r="H62" s="139"/>
      <c r="I62" s="139"/>
      <c r="J62" s="139"/>
    </row>
  </sheetData>
  <mergeCells count="104">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3:F13"/>
    <mergeCell ref="G12:H12"/>
    <mergeCell ref="I12:J12"/>
    <mergeCell ref="A13:B13"/>
    <mergeCell ref="C13:D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headerFooter scaleWithDoc="0">
    <oddFooter>&amp;C&amp;"Arial,Regular"Page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opLeftCell="A6" zoomScaleNormal="100" workbookViewId="0">
      <selection activeCell="J13" sqref="J13"/>
    </sheetView>
  </sheetViews>
  <sheetFormatPr defaultColWidth="9.28515625" defaultRowHeight="15.6"/>
  <cols>
    <col min="1" max="1" width="9.42578125" style="2" bestFit="1" customWidth="1"/>
    <col min="2" max="7" width="9.28515625" style="2"/>
    <col min="8" max="8" width="11.28515625" style="2" bestFit="1" customWidth="1"/>
    <col min="9" max="16384" width="9.28515625" style="2"/>
  </cols>
  <sheetData>
    <row r="1" spans="1:10">
      <c r="A1" s="70">
        <f>+'Cover Page'!C39</f>
        <v>2022</v>
      </c>
      <c r="B1" s="71" t="s">
        <v>197</v>
      </c>
      <c r="C1" s="71"/>
      <c r="D1" s="71"/>
      <c r="E1" s="71"/>
      <c r="F1" s="71"/>
      <c r="G1" s="71"/>
      <c r="H1" s="71"/>
      <c r="I1" s="71"/>
      <c r="J1" s="71"/>
    </row>
    <row r="3" spans="1:10" s="3" customFormat="1" ht="15" customHeight="1">
      <c r="A3" s="3" t="str">
        <f>+'Cover Page'!B31</f>
        <v>Permit EPR/SP3638KV</v>
      </c>
      <c r="F3" s="3" t="s">
        <v>145</v>
      </c>
      <c r="G3" s="240">
        <f>+'Cover Page'!B37:I37</f>
        <v>0</v>
      </c>
      <c r="H3" s="240"/>
      <c r="I3" s="240"/>
    </row>
    <row r="4" spans="1:10" s="3" customFormat="1" ht="14.1"/>
    <row r="5" spans="1:10" s="3" customFormat="1" ht="14.1">
      <c r="A5" s="3" t="s">
        <v>146</v>
      </c>
      <c r="B5" s="201" t="str">
        <f>+'Cover Page'!B33:I33</f>
        <v>Twinwoods Co-Incinerator</v>
      </c>
      <c r="C5" s="201"/>
      <c r="D5" s="201"/>
      <c r="E5" s="201"/>
      <c r="F5" s="3" t="s">
        <v>147</v>
      </c>
      <c r="G5" s="3" t="s">
        <v>198</v>
      </c>
    </row>
    <row r="6" spans="1:10" s="3" customFormat="1" ht="14.1"/>
    <row r="7" spans="1:10" s="3" customFormat="1" ht="15.75" customHeight="1">
      <c r="A7" s="3" t="s">
        <v>149</v>
      </c>
      <c r="D7" s="241">
        <f>+'Perf. Form 1'!D6:E6</f>
        <v>44197</v>
      </c>
      <c r="E7" s="241"/>
      <c r="F7" s="72" t="s">
        <v>150</v>
      </c>
      <c r="G7" s="241">
        <f>+'Perf. Form 1'!G6:H6</f>
        <v>44561</v>
      </c>
      <c r="H7" s="241"/>
    </row>
    <row r="8" spans="1:10" s="3" customFormat="1" ht="14.45">
      <c r="B8"/>
      <c r="C8"/>
      <c r="D8"/>
    </row>
    <row r="9" spans="1:10" s="3" customFormat="1" ht="37.5" customHeight="1">
      <c r="A9" s="239" t="s">
        <v>199</v>
      </c>
      <c r="B9" s="239"/>
      <c r="C9" s="239"/>
      <c r="D9" s="204" t="s">
        <v>200</v>
      </c>
      <c r="E9" s="204"/>
      <c r="F9" s="73" t="s">
        <v>72</v>
      </c>
      <c r="G9" s="239" t="s">
        <v>201</v>
      </c>
      <c r="H9" s="239"/>
      <c r="I9" s="239"/>
    </row>
    <row r="10" spans="1:10" s="3" customFormat="1" ht="24.75" customHeight="1">
      <c r="A10" s="196" t="s">
        <v>202</v>
      </c>
      <c r="B10" s="196"/>
      <c r="C10" s="196"/>
      <c r="D10" s="242">
        <f>+'Operational Data'!G23</f>
        <v>16876</v>
      </c>
      <c r="E10" s="242"/>
      <c r="F10" s="100" t="s">
        <v>95</v>
      </c>
      <c r="G10" s="243">
        <f>+'Operational Data'!H23</f>
        <v>802.73985634780956</v>
      </c>
      <c r="H10" s="243"/>
      <c r="I10" s="243"/>
    </row>
    <row r="11" spans="1:10" s="3" customFormat="1" ht="24.75" customHeight="1">
      <c r="A11" s="196" t="s">
        <v>203</v>
      </c>
      <c r="B11" s="196"/>
      <c r="C11" s="196"/>
      <c r="D11" s="244">
        <f>+'Operational Data'!G26</f>
        <v>0</v>
      </c>
      <c r="E11" s="244"/>
      <c r="F11" s="100" t="s">
        <v>95</v>
      </c>
      <c r="G11" s="243" t="str">
        <f>+'Operational Data'!H26</f>
        <v>-</v>
      </c>
      <c r="H11" s="243"/>
      <c r="I11" s="243"/>
    </row>
    <row r="12" spans="1:10" s="3" customFormat="1" ht="24.75" customHeight="1">
      <c r="A12" s="196" t="s">
        <v>204</v>
      </c>
      <c r="B12" s="196"/>
      <c r="C12" s="196"/>
      <c r="D12" s="242">
        <f>+'Operational Data'!G24</f>
        <v>13172</v>
      </c>
      <c r="E12" s="242"/>
      <c r="F12" s="100" t="s">
        <v>95</v>
      </c>
      <c r="G12" s="243">
        <f>+'Operational Data'!H24</f>
        <v>626.55187175950152</v>
      </c>
      <c r="H12" s="243"/>
      <c r="I12" s="243"/>
    </row>
    <row r="13" spans="1:10" s="3" customFormat="1" ht="24.75" customHeight="1">
      <c r="A13" s="196" t="s">
        <v>205</v>
      </c>
      <c r="B13" s="196"/>
      <c r="C13" s="196"/>
      <c r="D13" s="245">
        <v>60</v>
      </c>
      <c r="E13" s="245"/>
      <c r="F13" s="100" t="s">
        <v>80</v>
      </c>
      <c r="G13" s="246"/>
      <c r="H13" s="246"/>
      <c r="I13" s="246"/>
    </row>
    <row r="14" spans="1:10" s="3" customFormat="1" ht="24.75" customHeight="1">
      <c r="A14" s="196" t="s">
        <v>206</v>
      </c>
      <c r="B14" s="196"/>
      <c r="C14" s="196"/>
      <c r="D14" s="242">
        <f>+'Operational Data'!G29</f>
        <v>0</v>
      </c>
      <c r="E14" s="242"/>
      <c r="F14" s="100" t="s">
        <v>101</v>
      </c>
      <c r="G14" s="243" t="str">
        <f>+'Operational Data'!H29</f>
        <v>-</v>
      </c>
      <c r="H14" s="243"/>
      <c r="I14" s="243"/>
    </row>
    <row r="15" spans="1:10" s="3" customFormat="1" ht="24.75" customHeight="1">
      <c r="A15" s="205"/>
      <c r="B15" s="205"/>
      <c r="C15" s="205"/>
      <c r="D15" s="205"/>
      <c r="E15" s="205"/>
      <c r="F15" s="75"/>
      <c r="G15" s="161"/>
      <c r="H15" s="161"/>
      <c r="I15" s="161"/>
    </row>
    <row r="16" spans="1:10" s="3" customFormat="1" ht="24.75" customHeight="1">
      <c r="A16" s="205"/>
      <c r="B16" s="205"/>
      <c r="C16" s="205"/>
      <c r="D16" s="205"/>
      <c r="E16" s="205"/>
      <c r="F16" s="75"/>
      <c r="G16" s="161"/>
      <c r="H16" s="161"/>
      <c r="I16" s="161"/>
    </row>
    <row r="17" spans="1:9" s="3" customFormat="1" ht="14.45">
      <c r="A17" s="88"/>
      <c r="B17"/>
      <c r="C17"/>
      <c r="D17"/>
    </row>
    <row r="18" spans="1:9" s="3" customFormat="1" ht="24" customHeight="1">
      <c r="A18" s="230" t="s">
        <v>169</v>
      </c>
      <c r="B18" s="230"/>
      <c r="C18" s="230"/>
      <c r="D18" s="230"/>
      <c r="E18" s="230"/>
      <c r="F18" s="230"/>
      <c r="G18" s="230"/>
      <c r="H18" s="230"/>
      <c r="I18" s="230"/>
    </row>
    <row r="19" spans="1:9" s="3" customFormat="1" ht="14.1">
      <c r="A19" s="247" t="s">
        <v>207</v>
      </c>
      <c r="B19" s="247"/>
      <c r="C19" s="247"/>
      <c r="D19" s="247"/>
      <c r="E19" s="247"/>
      <c r="F19" s="247"/>
      <c r="G19" s="247"/>
      <c r="H19" s="247"/>
      <c r="I19" s="247"/>
    </row>
    <row r="20" spans="1:9" s="3" customFormat="1" ht="14.1">
      <c r="A20" s="247"/>
      <c r="B20" s="247"/>
      <c r="C20" s="247"/>
      <c r="D20" s="247"/>
      <c r="E20" s="247"/>
      <c r="F20" s="247"/>
      <c r="G20" s="247"/>
      <c r="H20" s="247"/>
      <c r="I20" s="247"/>
    </row>
    <row r="21" spans="1:9" s="3" customFormat="1" ht="14.1">
      <c r="A21" s="247"/>
      <c r="B21" s="247"/>
      <c r="C21" s="247"/>
      <c r="D21" s="247"/>
      <c r="E21" s="247"/>
      <c r="F21" s="247"/>
      <c r="G21" s="247"/>
      <c r="H21" s="247"/>
      <c r="I21" s="247"/>
    </row>
    <row r="22" spans="1:9" s="3" customFormat="1" ht="14.1">
      <c r="A22" s="247"/>
      <c r="B22" s="247"/>
      <c r="C22" s="247"/>
      <c r="D22" s="247"/>
      <c r="E22" s="247"/>
      <c r="F22" s="247"/>
      <c r="G22" s="247"/>
      <c r="H22" s="247"/>
      <c r="I22" s="247"/>
    </row>
    <row r="23" spans="1:9" s="3" customFormat="1" ht="14.1">
      <c r="A23" s="247"/>
      <c r="B23" s="247"/>
      <c r="C23" s="247"/>
      <c r="D23" s="247"/>
      <c r="E23" s="247"/>
      <c r="F23" s="247"/>
      <c r="G23" s="247"/>
      <c r="H23" s="247"/>
      <c r="I23" s="247"/>
    </row>
    <row r="24" spans="1:9" s="3" customFormat="1" ht="14.1">
      <c r="A24" s="247"/>
      <c r="B24" s="247"/>
      <c r="C24" s="247"/>
      <c r="D24" s="247"/>
      <c r="E24" s="247"/>
      <c r="F24" s="247"/>
      <c r="G24" s="247"/>
      <c r="H24" s="247"/>
      <c r="I24" s="247"/>
    </row>
    <row r="25" spans="1:9" s="3" customFormat="1" ht="14.1">
      <c r="A25" s="247"/>
      <c r="B25" s="247"/>
      <c r="C25" s="247"/>
      <c r="D25" s="247"/>
      <c r="E25" s="247"/>
      <c r="F25" s="247"/>
      <c r="G25" s="247"/>
      <c r="H25" s="247"/>
      <c r="I25" s="247"/>
    </row>
    <row r="26" spans="1:9" s="3" customFormat="1" ht="14.1">
      <c r="A26" s="85"/>
      <c r="B26" s="85"/>
      <c r="C26" s="85"/>
      <c r="D26" s="85"/>
      <c r="E26" s="85"/>
      <c r="F26" s="85"/>
      <c r="G26" s="85"/>
      <c r="H26" s="85"/>
      <c r="I26" s="85"/>
    </row>
    <row r="27" spans="1:9" s="3" customFormat="1" ht="14.1"/>
    <row r="28" spans="1:9" s="3" customFormat="1" ht="14.1"/>
    <row r="29" spans="1:9" s="3" customFormat="1" ht="14.1">
      <c r="A29" s="3" t="s">
        <v>195</v>
      </c>
      <c r="B29" s="87"/>
      <c r="C29" s="87"/>
      <c r="D29" s="87"/>
      <c r="E29" s="87"/>
      <c r="G29" s="3" t="s">
        <v>196</v>
      </c>
      <c r="H29" s="147">
        <v>44583</v>
      </c>
      <c r="I29" s="87"/>
    </row>
    <row r="30" spans="1:9" s="3" customFormat="1" ht="14.1"/>
    <row r="31" spans="1:9" ht="14.25" customHeight="1">
      <c r="A31" s="3"/>
      <c r="B31" s="3"/>
      <c r="C31" s="3"/>
      <c r="D31" s="3"/>
      <c r="E31" s="3"/>
      <c r="F31" s="3"/>
      <c r="G31" s="3"/>
      <c r="H31" s="3"/>
      <c r="I31" s="3"/>
    </row>
    <row r="32" spans="1:9" s="3" customFormat="1" ht="14.1"/>
    <row r="33" spans="1:9" s="3" customFormat="1" ht="14.1"/>
    <row r="34" spans="1:9" s="3" customFormat="1">
      <c r="A34" s="139"/>
      <c r="B34" s="139"/>
      <c r="C34" s="139"/>
      <c r="D34" s="139"/>
      <c r="E34" s="139"/>
      <c r="F34" s="139"/>
      <c r="G34" s="139"/>
      <c r="H34" s="139"/>
      <c r="I34" s="139"/>
    </row>
    <row r="35" spans="1:9" s="3" customFormat="1" ht="14.1"/>
    <row r="36" spans="1:9" s="3" customFormat="1" ht="14.1"/>
    <row r="37" spans="1:9" s="3" customFormat="1" ht="14.1"/>
    <row r="38" spans="1:9" s="3" customFormat="1" ht="14.1"/>
    <row r="39" spans="1:9" s="3" customFormat="1" ht="14.1"/>
    <row r="40" spans="1:9" s="3" customFormat="1" ht="14.1"/>
    <row r="41" spans="1:9" s="3" customFormat="1" ht="14.1"/>
    <row r="42" spans="1:9" s="3" customFormat="1" ht="14.1"/>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headerFooter scaleWithDoc="0">
    <oddFooter>&amp;C&amp;"Arial,Regular"Page &amp;P</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67"/>
  <sheetViews>
    <sheetView showGridLines="0" topLeftCell="A15" zoomScaleNormal="100" workbookViewId="0">
      <selection activeCell="A38" sqref="A38:J39"/>
    </sheetView>
  </sheetViews>
  <sheetFormatPr defaultColWidth="9.28515625" defaultRowHeight="15.6"/>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6384" width="9.28515625" style="2"/>
  </cols>
  <sheetData>
    <row r="1" spans="1:9">
      <c r="A1" s="139" t="str">
        <f>+'Cover Page'!$B$29</f>
        <v>Annual Performance Report 2022</v>
      </c>
      <c r="B1" s="139"/>
      <c r="C1" s="139"/>
      <c r="D1" s="139"/>
      <c r="E1" s="139" t="str">
        <f>+'Cover Page'!$B$33</f>
        <v>Twinwoods Co-Incinerator</v>
      </c>
      <c r="F1" s="139"/>
      <c r="G1" s="139"/>
      <c r="H1" s="139"/>
      <c r="I1" s="139"/>
    </row>
    <row r="3" spans="1:9">
      <c r="A3" s="1" t="s">
        <v>208</v>
      </c>
      <c r="B3" s="139"/>
      <c r="C3" s="139"/>
      <c r="D3" s="139"/>
      <c r="E3" s="139"/>
      <c r="F3" s="139"/>
      <c r="G3" s="139"/>
      <c r="H3" s="139"/>
      <c r="I3" s="139"/>
    </row>
    <row r="4" spans="1:9">
      <c r="A4" s="1"/>
      <c r="B4" s="139"/>
      <c r="C4" s="139"/>
      <c r="D4" s="139"/>
      <c r="E4" s="139"/>
      <c r="F4" s="139"/>
      <c r="G4" s="139"/>
      <c r="H4" s="139"/>
      <c r="I4" s="139"/>
    </row>
    <row r="5" spans="1:9">
      <c r="A5" s="9" t="s">
        <v>209</v>
      </c>
      <c r="B5" s="139"/>
      <c r="C5" s="139"/>
      <c r="D5" s="139"/>
      <c r="E5" s="139"/>
      <c r="F5" s="139"/>
      <c r="G5" s="139"/>
      <c r="H5" s="139"/>
      <c r="I5" s="139"/>
    </row>
    <row r="6" spans="1:9">
      <c r="A6" s="9"/>
      <c r="B6" s="139"/>
      <c r="C6" s="139"/>
      <c r="D6" s="139"/>
      <c r="E6" s="139"/>
      <c r="F6" s="139"/>
      <c r="G6" s="139"/>
      <c r="H6" s="139"/>
      <c r="I6" s="139"/>
    </row>
    <row r="7" spans="1:9">
      <c r="A7" s="14" t="s">
        <v>210</v>
      </c>
      <c r="B7" s="139"/>
      <c r="C7" s="139"/>
      <c r="D7" s="139"/>
      <c r="E7" s="139"/>
      <c r="F7" s="139"/>
      <c r="G7" s="139"/>
      <c r="H7" s="139"/>
      <c r="I7" s="139"/>
    </row>
    <row r="8" spans="1:9" s="3" customFormat="1" ht="25.5" customHeight="1">
      <c r="A8" s="251" t="s">
        <v>211</v>
      </c>
      <c r="B8" s="252"/>
      <c r="C8" s="251" t="s">
        <v>212</v>
      </c>
      <c r="D8" s="253"/>
      <c r="E8" s="253"/>
      <c r="F8" s="253"/>
      <c r="G8" s="253"/>
      <c r="H8" s="253"/>
      <c r="I8" s="252"/>
    </row>
    <row r="9" spans="1:9" s="3" customFormat="1" ht="22.5" customHeight="1">
      <c r="A9" s="254"/>
      <c r="B9" s="255"/>
      <c r="C9" s="256" t="s">
        <v>213</v>
      </c>
      <c r="D9" s="256"/>
      <c r="E9" s="256"/>
      <c r="F9" s="256" t="s">
        <v>214</v>
      </c>
      <c r="G9" s="256"/>
      <c r="H9" s="256"/>
      <c r="I9" s="256"/>
    </row>
    <row r="10" spans="1:9" s="3" customFormat="1" ht="22.5" customHeight="1">
      <c r="A10" s="249" t="s">
        <v>215</v>
      </c>
      <c r="B10" s="249"/>
      <c r="C10" s="250">
        <v>100</v>
      </c>
      <c r="D10" s="250"/>
      <c r="E10" s="250"/>
      <c r="F10" s="250">
        <v>100</v>
      </c>
      <c r="G10" s="250"/>
      <c r="H10" s="250"/>
      <c r="I10" s="250"/>
    </row>
    <row r="11" spans="1:9" s="3" customFormat="1" ht="22.5" customHeight="1">
      <c r="A11" s="249" t="s">
        <v>216</v>
      </c>
      <c r="B11" s="249"/>
      <c r="C11" s="250">
        <v>99.9</v>
      </c>
      <c r="D11" s="250"/>
      <c r="E11" s="250"/>
      <c r="F11" s="250">
        <v>93.9</v>
      </c>
      <c r="G11" s="250"/>
      <c r="H11" s="250"/>
      <c r="I11" s="250"/>
    </row>
    <row r="12" spans="1:9" s="3" customFormat="1" ht="22.5" customHeight="1">
      <c r="A12" s="249" t="s">
        <v>217</v>
      </c>
      <c r="B12" s="249"/>
      <c r="C12" s="250">
        <v>100</v>
      </c>
      <c r="D12" s="250"/>
      <c r="E12" s="250"/>
      <c r="F12" s="250">
        <v>99.6</v>
      </c>
      <c r="G12" s="250"/>
      <c r="H12" s="250"/>
      <c r="I12" s="250"/>
    </row>
    <row r="13" spans="1:9" s="3" customFormat="1" ht="22.5" customHeight="1">
      <c r="A13" s="249" t="s">
        <v>218</v>
      </c>
      <c r="B13" s="249"/>
      <c r="C13" s="197">
        <v>97</v>
      </c>
      <c r="D13" s="250"/>
      <c r="E13" s="250"/>
      <c r="F13" s="250">
        <v>86.9</v>
      </c>
      <c r="G13" s="250"/>
      <c r="H13" s="250"/>
      <c r="I13" s="250"/>
    </row>
    <row r="14" spans="1:9" s="3" customFormat="1" ht="22.5" customHeight="1">
      <c r="A14" s="249" t="s">
        <v>219</v>
      </c>
      <c r="B14" s="249"/>
      <c r="C14" s="250">
        <v>99.9</v>
      </c>
      <c r="D14" s="250"/>
      <c r="E14" s="250"/>
      <c r="F14" s="250">
        <v>99.2</v>
      </c>
      <c r="G14" s="250"/>
      <c r="H14" s="250"/>
      <c r="I14" s="250"/>
    </row>
    <row r="15" spans="1:9" s="3" customFormat="1" ht="22.5" customHeight="1">
      <c r="A15" s="249" t="s">
        <v>220</v>
      </c>
      <c r="B15" s="249"/>
      <c r="C15" s="250">
        <v>100</v>
      </c>
      <c r="D15" s="250"/>
      <c r="E15" s="250"/>
      <c r="F15" s="250">
        <v>100</v>
      </c>
      <c r="G15" s="250"/>
      <c r="H15" s="250"/>
      <c r="I15" s="250"/>
    </row>
    <row r="16" spans="1:9" s="3" customFormat="1" ht="22.5" customHeight="1">
      <c r="A16" s="249" t="s">
        <v>221</v>
      </c>
      <c r="B16" s="249"/>
      <c r="C16" s="250" t="s">
        <v>192</v>
      </c>
      <c r="D16" s="250"/>
      <c r="E16" s="250"/>
      <c r="F16" s="250" t="s">
        <v>192</v>
      </c>
      <c r="G16" s="250"/>
      <c r="H16" s="250"/>
      <c r="I16" s="250"/>
    </row>
    <row r="17" spans="1:11" s="3" customFormat="1" ht="22.5" customHeight="1">
      <c r="A17" s="257"/>
      <c r="B17" s="258"/>
      <c r="C17" s="250"/>
      <c r="D17" s="250"/>
      <c r="E17" s="250"/>
      <c r="F17" s="250"/>
      <c r="G17" s="250"/>
      <c r="H17" s="250"/>
      <c r="I17" s="250"/>
    </row>
    <row r="18" spans="1:11" s="3" customFormat="1" ht="14.1"/>
    <row r="19" spans="1:11" s="88" customFormat="1" ht="21.75" customHeight="1">
      <c r="A19" s="263" t="s">
        <v>222</v>
      </c>
      <c r="B19" s="264"/>
      <c r="C19" s="264"/>
      <c r="D19" s="264"/>
      <c r="E19" s="264"/>
      <c r="F19" s="264"/>
      <c r="G19" s="264"/>
      <c r="H19" s="264"/>
      <c r="I19" s="264"/>
      <c r="J19" s="264"/>
      <c r="K19" s="265"/>
    </row>
    <row r="20" spans="1:11" s="3" customFormat="1" ht="38.25" customHeight="1">
      <c r="A20" s="89" t="s">
        <v>53</v>
      </c>
      <c r="B20" s="259" t="s">
        <v>223</v>
      </c>
      <c r="C20" s="259"/>
      <c r="D20" s="259"/>
      <c r="E20" s="259" t="s">
        <v>224</v>
      </c>
      <c r="F20" s="259"/>
      <c r="G20" s="259"/>
      <c r="H20" s="259" t="s">
        <v>225</v>
      </c>
      <c r="I20" s="259"/>
      <c r="J20" s="260"/>
      <c r="K20" s="122"/>
    </row>
    <row r="21" spans="1:11" s="3" customFormat="1" ht="27.75" customHeight="1">
      <c r="A21" s="90"/>
      <c r="B21" s="261" t="s">
        <v>226</v>
      </c>
      <c r="C21" s="261"/>
      <c r="D21" s="261"/>
      <c r="E21" s="161"/>
      <c r="F21" s="161"/>
      <c r="G21" s="161"/>
      <c r="H21" s="161"/>
      <c r="I21" s="161"/>
      <c r="J21" s="262"/>
      <c r="K21" s="122"/>
    </row>
    <row r="22" spans="1:11" s="3" customFormat="1" ht="14.1">
      <c r="A22" s="13"/>
      <c r="B22" s="161"/>
      <c r="C22" s="161"/>
      <c r="D22" s="161"/>
      <c r="E22" s="161"/>
      <c r="F22" s="161"/>
      <c r="G22" s="161"/>
      <c r="H22" s="161"/>
      <c r="I22" s="161"/>
      <c r="J22" s="262"/>
      <c r="K22" s="122"/>
    </row>
    <row r="23" spans="1:11" s="3" customFormat="1" ht="14.1">
      <c r="A23" s="13"/>
      <c r="B23" s="161"/>
      <c r="C23" s="161"/>
      <c r="D23" s="161"/>
      <c r="E23" s="161"/>
      <c r="F23" s="161"/>
      <c r="G23" s="161"/>
      <c r="H23" s="161"/>
      <c r="I23" s="161"/>
      <c r="J23" s="262"/>
      <c r="K23" s="122"/>
    </row>
    <row r="24" spans="1:11" s="3" customFormat="1" ht="14.1">
      <c r="A24" s="13"/>
      <c r="B24" s="161"/>
      <c r="C24" s="161"/>
      <c r="D24" s="161"/>
      <c r="E24" s="161"/>
      <c r="F24" s="161"/>
      <c r="G24" s="161"/>
      <c r="H24" s="161"/>
      <c r="I24" s="161"/>
      <c r="J24" s="262"/>
      <c r="K24" s="122"/>
    </row>
    <row r="25" spans="1:11" s="3" customFormat="1" ht="14.1">
      <c r="A25" s="13"/>
      <c r="B25" s="161"/>
      <c r="C25" s="161"/>
      <c r="D25" s="161"/>
      <c r="E25" s="161"/>
      <c r="F25" s="161"/>
      <c r="G25" s="161"/>
      <c r="H25" s="161"/>
      <c r="I25" s="161"/>
      <c r="J25" s="262"/>
      <c r="K25" s="122"/>
    </row>
    <row r="26" spans="1:11" s="3" customFormat="1" ht="14.1"/>
    <row r="27" spans="1:11" s="88" customFormat="1" ht="22.5" customHeight="1">
      <c r="A27" s="263" t="s">
        <v>227</v>
      </c>
      <c r="B27" s="264"/>
      <c r="C27" s="264"/>
      <c r="D27" s="264"/>
      <c r="E27" s="264"/>
      <c r="F27" s="264"/>
      <c r="G27" s="264"/>
      <c r="H27" s="264"/>
      <c r="I27" s="264"/>
      <c r="J27" s="264"/>
      <c r="K27" s="265"/>
    </row>
    <row r="28" spans="1:11" s="3" customFormat="1" ht="39" customHeight="1">
      <c r="A28" s="89" t="s">
        <v>53</v>
      </c>
      <c r="B28" s="259" t="s">
        <v>228</v>
      </c>
      <c r="C28" s="259"/>
      <c r="D28" s="259"/>
      <c r="E28" s="259" t="s">
        <v>229</v>
      </c>
      <c r="F28" s="259"/>
      <c r="G28" s="259"/>
      <c r="H28" s="259" t="s">
        <v>225</v>
      </c>
      <c r="I28" s="259"/>
      <c r="J28" s="260"/>
      <c r="K28" s="122"/>
    </row>
    <row r="29" spans="1:11" s="3" customFormat="1" ht="14.1">
      <c r="A29" s="13"/>
      <c r="B29" s="161" t="s">
        <v>230</v>
      </c>
      <c r="C29" s="161"/>
      <c r="D29" s="161"/>
      <c r="E29" s="161"/>
      <c r="F29" s="161"/>
      <c r="G29" s="161"/>
      <c r="H29" s="161"/>
      <c r="I29" s="161"/>
      <c r="J29" s="262"/>
      <c r="K29" s="122"/>
    </row>
    <row r="30" spans="1:11" s="3" customFormat="1" ht="14.1">
      <c r="A30" s="13"/>
      <c r="B30" s="161"/>
      <c r="C30" s="161"/>
      <c r="D30" s="161"/>
      <c r="E30" s="161"/>
      <c r="F30" s="161"/>
      <c r="G30" s="161"/>
      <c r="H30" s="161"/>
      <c r="I30" s="161"/>
      <c r="J30" s="262"/>
      <c r="K30" s="122"/>
    </row>
    <row r="31" spans="1:11" ht="14.25" customHeight="1">
      <c r="A31" s="13"/>
      <c r="B31" s="161"/>
      <c r="C31" s="161"/>
      <c r="D31" s="161"/>
      <c r="E31" s="161"/>
      <c r="F31" s="161"/>
      <c r="G31" s="161"/>
      <c r="H31" s="161"/>
      <c r="I31" s="161"/>
      <c r="J31" s="262"/>
      <c r="K31" s="122"/>
    </row>
    <row r="32" spans="1:11" s="3" customFormat="1" ht="14.1">
      <c r="A32" s="13"/>
      <c r="B32" s="161"/>
      <c r="C32" s="161"/>
      <c r="D32" s="161"/>
      <c r="E32" s="161"/>
      <c r="F32" s="161"/>
      <c r="G32" s="161"/>
      <c r="H32" s="161"/>
      <c r="I32" s="161"/>
      <c r="J32" s="262"/>
      <c r="K32" s="122"/>
    </row>
    <row r="33" spans="1:11" s="3" customFormat="1" ht="14.1">
      <c r="A33" s="13"/>
      <c r="B33" s="161"/>
      <c r="C33" s="161"/>
      <c r="D33" s="161"/>
      <c r="E33" s="161"/>
      <c r="F33" s="161"/>
      <c r="G33" s="161"/>
      <c r="H33" s="161"/>
      <c r="I33" s="161"/>
      <c r="J33" s="262"/>
      <c r="K33" s="122"/>
    </row>
    <row r="34" spans="1:11" s="3" customFormat="1" ht="29.25" customHeight="1">
      <c r="A34" s="14"/>
      <c r="E34" s="248" t="s">
        <v>231</v>
      </c>
      <c r="F34" s="248"/>
      <c r="G34" s="248"/>
      <c r="H34" s="248"/>
      <c r="I34" s="248"/>
      <c r="J34" s="14"/>
    </row>
    <row r="37" spans="1:11">
      <c r="A37" s="230" t="s">
        <v>169</v>
      </c>
      <c r="B37" s="230"/>
      <c r="C37" s="230"/>
      <c r="D37" s="230"/>
      <c r="E37" s="230"/>
      <c r="F37" s="230"/>
      <c r="G37" s="230"/>
      <c r="H37" s="230"/>
      <c r="I37" s="230"/>
      <c r="J37" s="230"/>
      <c r="K37" s="139"/>
    </row>
    <row r="38" spans="1:11">
      <c r="A38" s="231" t="s">
        <v>232</v>
      </c>
      <c r="B38" s="231"/>
      <c r="C38" s="231"/>
      <c r="D38" s="231"/>
      <c r="E38" s="231"/>
      <c r="F38" s="231"/>
      <c r="G38" s="231"/>
      <c r="H38" s="231"/>
      <c r="I38" s="231"/>
      <c r="J38" s="231"/>
      <c r="K38" s="139"/>
    </row>
    <row r="39" spans="1:11" ht="32.25" customHeight="1">
      <c r="A39" s="231"/>
      <c r="B39" s="231"/>
      <c r="C39" s="231"/>
      <c r="D39" s="231"/>
      <c r="E39" s="231"/>
      <c r="F39" s="231"/>
      <c r="G39" s="231"/>
      <c r="H39" s="231"/>
      <c r="I39" s="231"/>
      <c r="J39" s="231"/>
      <c r="K39" s="139"/>
    </row>
    <row r="67" spans="6:6">
      <c r="F67" s="3"/>
    </row>
  </sheetData>
  <mergeCells count="70">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A16:B16"/>
    <mergeCell ref="C17:E17"/>
    <mergeCell ref="F17:I17"/>
    <mergeCell ref="C16:E16"/>
    <mergeCell ref="F16:I16"/>
    <mergeCell ref="A17:B17"/>
    <mergeCell ref="C14:E14"/>
    <mergeCell ref="F14:I14"/>
    <mergeCell ref="A15:B15"/>
    <mergeCell ref="C15:E15"/>
    <mergeCell ref="F15:I15"/>
    <mergeCell ref="A8:B8"/>
    <mergeCell ref="C8:I8"/>
    <mergeCell ref="A9:B9"/>
    <mergeCell ref="C9:E9"/>
    <mergeCell ref="F9:I9"/>
    <mergeCell ref="A37:J37"/>
    <mergeCell ref="A38:J39"/>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s>
  <pageMargins left="0.7" right="0.7" top="0.75" bottom="0.75" header="0.3" footer="0.3"/>
  <pageSetup paperSize="9" scale="87" orientation="portrait"/>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opLeftCell="A12" zoomScaleNormal="100" workbookViewId="0">
      <selection activeCell="A39" sqref="A39:J48"/>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39" t="str">
        <f>+'Cover Page'!$B$29</f>
        <v>Annual Performance Report 2022</v>
      </c>
      <c r="B1" s="139"/>
      <c r="C1" s="139"/>
      <c r="D1" s="139"/>
      <c r="E1" s="139" t="str">
        <f>+'Cover Page'!$B$33</f>
        <v>Twinwoods Co-Incinerator</v>
      </c>
      <c r="F1" s="139"/>
      <c r="G1" s="139"/>
      <c r="H1" s="139"/>
      <c r="I1" s="139"/>
      <c r="J1" s="139"/>
    </row>
    <row r="3" spans="1:10">
      <c r="A3" s="1" t="s">
        <v>233</v>
      </c>
      <c r="B3" s="139"/>
      <c r="C3" s="139"/>
      <c r="D3" s="139"/>
      <c r="E3" s="139"/>
      <c r="F3" s="139"/>
      <c r="G3" s="139"/>
      <c r="H3" s="139"/>
      <c r="I3" s="139"/>
      <c r="J3" s="139"/>
    </row>
    <row r="4" spans="1:10">
      <c r="A4" s="1"/>
      <c r="B4" s="139"/>
      <c r="C4" s="139"/>
      <c r="D4" s="139"/>
      <c r="E4" s="139"/>
      <c r="F4" s="139"/>
      <c r="G4" s="139"/>
      <c r="H4" s="139"/>
      <c r="I4" s="139"/>
      <c r="J4" s="139"/>
    </row>
    <row r="5" spans="1:10" s="3" customFormat="1" ht="14.1">
      <c r="A5" s="278" t="s">
        <v>234</v>
      </c>
      <c r="B5" s="279"/>
      <c r="C5" s="279"/>
      <c r="D5" s="279"/>
      <c r="E5" s="279"/>
      <c r="F5" s="279"/>
      <c r="G5" s="279"/>
      <c r="H5" s="279"/>
      <c r="I5" s="279"/>
      <c r="J5" s="280"/>
    </row>
    <row r="6" spans="1:10" s="3" customFormat="1" ht="15.75" customHeight="1">
      <c r="A6" s="172" t="s">
        <v>235</v>
      </c>
      <c r="B6" s="181"/>
      <c r="C6" s="181"/>
      <c r="D6" s="181"/>
      <c r="E6" s="181"/>
      <c r="F6" s="181"/>
      <c r="G6" s="181"/>
      <c r="H6" s="181"/>
      <c r="I6" s="181"/>
      <c r="J6" s="182"/>
    </row>
    <row r="7" spans="1:10" s="3" customFormat="1" ht="15.75" customHeight="1">
      <c r="A7" s="183"/>
      <c r="B7" s="184"/>
      <c r="C7" s="184"/>
      <c r="D7" s="184"/>
      <c r="E7" s="184"/>
      <c r="F7" s="184"/>
      <c r="G7" s="184"/>
      <c r="H7" s="184"/>
      <c r="I7" s="184"/>
      <c r="J7" s="185"/>
    </row>
    <row r="8" spans="1:10" s="3" customFormat="1" ht="15.75" customHeight="1">
      <c r="A8" s="183"/>
      <c r="B8" s="184"/>
      <c r="C8" s="184"/>
      <c r="D8" s="184"/>
      <c r="E8" s="184"/>
      <c r="F8" s="184"/>
      <c r="G8" s="184"/>
      <c r="H8" s="184"/>
      <c r="I8" s="184"/>
      <c r="J8" s="185"/>
    </row>
    <row r="9" spans="1:10" s="3" customFormat="1" ht="15.75" customHeight="1">
      <c r="A9" s="183"/>
      <c r="B9" s="184"/>
      <c r="C9" s="184"/>
      <c r="D9" s="184"/>
      <c r="E9" s="184"/>
      <c r="F9" s="184"/>
      <c r="G9" s="184"/>
      <c r="H9" s="184"/>
      <c r="I9" s="184"/>
      <c r="J9" s="185"/>
    </row>
    <row r="10" spans="1:10" s="3" customFormat="1" ht="15.75" customHeight="1">
      <c r="A10" s="183"/>
      <c r="B10" s="184"/>
      <c r="C10" s="184"/>
      <c r="D10" s="184"/>
      <c r="E10" s="184"/>
      <c r="F10" s="184"/>
      <c r="G10" s="184"/>
      <c r="H10" s="184"/>
      <c r="I10" s="184"/>
      <c r="J10" s="185"/>
    </row>
    <row r="11" spans="1:10" s="3" customFormat="1" ht="15.75" customHeight="1">
      <c r="A11" s="183"/>
      <c r="B11" s="184"/>
      <c r="C11" s="184"/>
      <c r="D11" s="184"/>
      <c r="E11" s="184"/>
      <c r="F11" s="184"/>
      <c r="G11" s="184"/>
      <c r="H11" s="184"/>
      <c r="I11" s="184"/>
      <c r="J11" s="185"/>
    </row>
    <row r="12" spans="1:10" s="3" customFormat="1" ht="15.75" customHeight="1">
      <c r="A12" s="183"/>
      <c r="B12" s="184"/>
      <c r="C12" s="184"/>
      <c r="D12" s="184"/>
      <c r="E12" s="184"/>
      <c r="F12" s="184"/>
      <c r="G12" s="184"/>
      <c r="H12" s="184"/>
      <c r="I12" s="184"/>
      <c r="J12" s="185"/>
    </row>
    <row r="13" spans="1:10" s="3" customFormat="1" ht="15.75" customHeight="1">
      <c r="A13" s="183"/>
      <c r="B13" s="184"/>
      <c r="C13" s="184"/>
      <c r="D13" s="184"/>
      <c r="E13" s="184"/>
      <c r="F13" s="184"/>
      <c r="G13" s="184"/>
      <c r="H13" s="184"/>
      <c r="I13" s="184"/>
      <c r="J13" s="185"/>
    </row>
    <row r="14" spans="1:10" s="3" customFormat="1" ht="15.75" customHeight="1">
      <c r="A14" s="186"/>
      <c r="B14" s="187"/>
      <c r="C14" s="187"/>
      <c r="D14" s="187"/>
      <c r="E14" s="187"/>
      <c r="F14" s="187"/>
      <c r="G14" s="187"/>
      <c r="H14" s="187"/>
      <c r="I14" s="187"/>
      <c r="J14" s="188"/>
    </row>
    <row r="15" spans="1:10" s="3" customFormat="1" ht="14.1"/>
    <row r="16" spans="1:10" s="91" customFormat="1" ht="33.75" customHeight="1">
      <c r="A16" s="266" t="s">
        <v>236</v>
      </c>
      <c r="B16" s="267"/>
      <c r="C16" s="267"/>
      <c r="D16" s="267"/>
      <c r="E16" s="267"/>
      <c r="F16" s="267"/>
      <c r="G16" s="267"/>
      <c r="H16" s="267"/>
      <c r="I16" s="267"/>
      <c r="J16" s="268"/>
    </row>
    <row r="17" spans="1:10" ht="15.75" customHeight="1">
      <c r="A17" s="172" t="s">
        <v>237</v>
      </c>
      <c r="B17" s="173"/>
      <c r="C17" s="173"/>
      <c r="D17" s="173"/>
      <c r="E17" s="173"/>
      <c r="F17" s="173"/>
      <c r="G17" s="173"/>
      <c r="H17" s="173"/>
      <c r="I17" s="173"/>
      <c r="J17" s="174"/>
    </row>
    <row r="18" spans="1:10" ht="15.75" customHeight="1">
      <c r="A18" s="175"/>
      <c r="B18" s="176"/>
      <c r="C18" s="176"/>
      <c r="D18" s="176"/>
      <c r="E18" s="176"/>
      <c r="F18" s="176"/>
      <c r="G18" s="176"/>
      <c r="H18" s="176"/>
      <c r="I18" s="176"/>
      <c r="J18" s="177"/>
    </row>
    <row r="19" spans="1:10" ht="15.75" customHeight="1">
      <c r="A19" s="175"/>
      <c r="B19" s="176"/>
      <c r="C19" s="176"/>
      <c r="D19" s="176"/>
      <c r="E19" s="176"/>
      <c r="F19" s="176"/>
      <c r="G19" s="176"/>
      <c r="H19" s="176"/>
      <c r="I19" s="176"/>
      <c r="J19" s="177"/>
    </row>
    <row r="20" spans="1:10" ht="15.75" customHeight="1">
      <c r="A20" s="175"/>
      <c r="B20" s="176"/>
      <c r="C20" s="176"/>
      <c r="D20" s="176"/>
      <c r="E20" s="176"/>
      <c r="F20" s="176"/>
      <c r="G20" s="176"/>
      <c r="H20" s="176"/>
      <c r="I20" s="176"/>
      <c r="J20" s="177"/>
    </row>
    <row r="21" spans="1:10" ht="15.75" customHeight="1">
      <c r="A21" s="175"/>
      <c r="B21" s="176"/>
      <c r="C21" s="176"/>
      <c r="D21" s="176"/>
      <c r="E21" s="176"/>
      <c r="F21" s="176"/>
      <c r="G21" s="176"/>
      <c r="H21" s="176"/>
      <c r="I21" s="176"/>
      <c r="J21" s="177"/>
    </row>
    <row r="22" spans="1:10" ht="15.75" customHeight="1">
      <c r="A22" s="175"/>
      <c r="B22" s="176"/>
      <c r="C22" s="176"/>
      <c r="D22" s="176"/>
      <c r="E22" s="176"/>
      <c r="F22" s="176"/>
      <c r="G22" s="176"/>
      <c r="H22" s="176"/>
      <c r="I22" s="176"/>
      <c r="J22" s="177"/>
    </row>
    <row r="23" spans="1:10" ht="15.75" customHeight="1">
      <c r="A23" s="175"/>
      <c r="B23" s="176"/>
      <c r="C23" s="176"/>
      <c r="D23" s="176"/>
      <c r="E23" s="176"/>
      <c r="F23" s="176"/>
      <c r="G23" s="176"/>
      <c r="H23" s="176"/>
      <c r="I23" s="176"/>
      <c r="J23" s="177"/>
    </row>
    <row r="24" spans="1:10" ht="15.75" customHeight="1">
      <c r="A24" s="175"/>
      <c r="B24" s="176"/>
      <c r="C24" s="176"/>
      <c r="D24" s="176"/>
      <c r="E24" s="176"/>
      <c r="F24" s="176"/>
      <c r="G24" s="176"/>
      <c r="H24" s="176"/>
      <c r="I24" s="176"/>
      <c r="J24" s="177"/>
    </row>
    <row r="25" spans="1:10" ht="15.75" customHeight="1">
      <c r="A25" s="178"/>
      <c r="B25" s="179"/>
      <c r="C25" s="179"/>
      <c r="D25" s="179"/>
      <c r="E25" s="179"/>
      <c r="F25" s="179"/>
      <c r="G25" s="179"/>
      <c r="H25" s="179"/>
      <c r="I25" s="179"/>
      <c r="J25" s="180"/>
    </row>
    <row r="26" spans="1:10">
      <c r="A26" s="1"/>
      <c r="B26" s="139"/>
      <c r="C26" s="139"/>
      <c r="D26" s="139"/>
      <c r="E26" s="139"/>
      <c r="F26" s="139"/>
      <c r="G26" s="139"/>
      <c r="H26" s="139"/>
      <c r="I26" s="139"/>
      <c r="J26" s="139"/>
    </row>
    <row r="27" spans="1:10" ht="36.75" customHeight="1">
      <c r="A27" s="266" t="s">
        <v>238</v>
      </c>
      <c r="B27" s="267"/>
      <c r="C27" s="267"/>
      <c r="D27" s="267"/>
      <c r="E27" s="267"/>
      <c r="F27" s="267"/>
      <c r="G27" s="267"/>
      <c r="H27" s="267"/>
      <c r="I27" s="267"/>
      <c r="J27" s="268"/>
    </row>
    <row r="28" spans="1:10" ht="15.75" customHeight="1">
      <c r="A28" s="172" t="s">
        <v>239</v>
      </c>
      <c r="B28" s="173"/>
      <c r="C28" s="173"/>
      <c r="D28" s="173"/>
      <c r="E28" s="173"/>
      <c r="F28" s="173"/>
      <c r="G28" s="173"/>
      <c r="H28" s="173"/>
      <c r="I28" s="173"/>
      <c r="J28" s="174"/>
    </row>
    <row r="29" spans="1:10" ht="15.75" customHeight="1">
      <c r="A29" s="175"/>
      <c r="B29" s="176"/>
      <c r="C29" s="176"/>
      <c r="D29" s="176"/>
      <c r="E29" s="176"/>
      <c r="F29" s="176"/>
      <c r="G29" s="176"/>
      <c r="H29" s="176"/>
      <c r="I29" s="176"/>
      <c r="J29" s="177"/>
    </row>
    <row r="30" spans="1:10" ht="15.75" customHeight="1">
      <c r="A30" s="175"/>
      <c r="B30" s="176"/>
      <c r="C30" s="176"/>
      <c r="D30" s="176"/>
      <c r="E30" s="176"/>
      <c r="F30" s="176"/>
      <c r="G30" s="176"/>
      <c r="H30" s="176"/>
      <c r="I30" s="176"/>
      <c r="J30" s="177"/>
    </row>
    <row r="31" spans="1:10" ht="15.75" customHeight="1">
      <c r="A31" s="175"/>
      <c r="B31" s="176"/>
      <c r="C31" s="176"/>
      <c r="D31" s="176"/>
      <c r="E31" s="176"/>
      <c r="F31" s="176"/>
      <c r="G31" s="176"/>
      <c r="H31" s="176"/>
      <c r="I31" s="176"/>
      <c r="J31" s="177"/>
    </row>
    <row r="32" spans="1:10" ht="15.75" customHeight="1">
      <c r="A32" s="175"/>
      <c r="B32" s="176"/>
      <c r="C32" s="176"/>
      <c r="D32" s="176"/>
      <c r="E32" s="176"/>
      <c r="F32" s="176"/>
      <c r="G32" s="176"/>
      <c r="H32" s="176"/>
      <c r="I32" s="176"/>
      <c r="J32" s="177"/>
    </row>
    <row r="33" spans="1:10" ht="15.75" customHeight="1">
      <c r="A33" s="175"/>
      <c r="B33" s="176"/>
      <c r="C33" s="176"/>
      <c r="D33" s="176"/>
      <c r="E33" s="176"/>
      <c r="F33" s="176"/>
      <c r="G33" s="176"/>
      <c r="H33" s="176"/>
      <c r="I33" s="176"/>
      <c r="J33" s="177"/>
    </row>
    <row r="34" spans="1:10" ht="15.75" customHeight="1">
      <c r="A34" s="175"/>
      <c r="B34" s="176"/>
      <c r="C34" s="176"/>
      <c r="D34" s="176"/>
      <c r="E34" s="176"/>
      <c r="F34" s="176"/>
      <c r="G34" s="176"/>
      <c r="H34" s="176"/>
      <c r="I34" s="176"/>
      <c r="J34" s="177"/>
    </row>
    <row r="35" spans="1:10" ht="15.75" customHeight="1">
      <c r="A35" s="175"/>
      <c r="B35" s="176"/>
      <c r="C35" s="176"/>
      <c r="D35" s="176"/>
      <c r="E35" s="176"/>
      <c r="F35" s="176"/>
      <c r="G35" s="176"/>
      <c r="H35" s="176"/>
      <c r="I35" s="176"/>
      <c r="J35" s="177"/>
    </row>
    <row r="36" spans="1:10" ht="15.75" customHeight="1">
      <c r="A36" s="178"/>
      <c r="B36" s="179"/>
      <c r="C36" s="179"/>
      <c r="D36" s="179"/>
      <c r="E36" s="179"/>
      <c r="F36" s="179"/>
      <c r="G36" s="179"/>
      <c r="H36" s="179"/>
      <c r="I36" s="179"/>
      <c r="J36" s="180"/>
    </row>
    <row r="38" spans="1:10" ht="33" customHeight="1">
      <c r="A38" s="266" t="s">
        <v>240</v>
      </c>
      <c r="B38" s="267"/>
      <c r="C38" s="267"/>
      <c r="D38" s="267"/>
      <c r="E38" s="267"/>
      <c r="F38" s="267"/>
      <c r="G38" s="267"/>
      <c r="H38" s="267"/>
      <c r="I38" s="267"/>
      <c r="J38" s="268"/>
    </row>
    <row r="39" spans="1:10" ht="15.75" customHeight="1">
      <c r="A39" s="269" t="s">
        <v>241</v>
      </c>
      <c r="B39" s="270"/>
      <c r="C39" s="270"/>
      <c r="D39" s="270"/>
      <c r="E39" s="270"/>
      <c r="F39" s="270"/>
      <c r="G39" s="270"/>
      <c r="H39" s="270"/>
      <c r="I39" s="270"/>
      <c r="J39" s="271"/>
    </row>
    <row r="40" spans="1:10" ht="15.75" customHeight="1">
      <c r="A40" s="272"/>
      <c r="B40" s="273"/>
      <c r="C40" s="273"/>
      <c r="D40" s="273"/>
      <c r="E40" s="273"/>
      <c r="F40" s="273"/>
      <c r="G40" s="273"/>
      <c r="H40" s="273"/>
      <c r="I40" s="273"/>
      <c r="J40" s="274"/>
    </row>
    <row r="41" spans="1:10" ht="15.75" customHeight="1">
      <c r="A41" s="272"/>
      <c r="B41" s="273"/>
      <c r="C41" s="273"/>
      <c r="D41" s="273"/>
      <c r="E41" s="273"/>
      <c r="F41" s="273"/>
      <c r="G41" s="273"/>
      <c r="H41" s="273"/>
      <c r="I41" s="273"/>
      <c r="J41" s="274"/>
    </row>
    <row r="42" spans="1:10" ht="15.75" customHeight="1">
      <c r="A42" s="272"/>
      <c r="B42" s="273"/>
      <c r="C42" s="273"/>
      <c r="D42" s="273"/>
      <c r="E42" s="273"/>
      <c r="F42" s="273"/>
      <c r="G42" s="273"/>
      <c r="H42" s="273"/>
      <c r="I42" s="273"/>
      <c r="J42" s="274"/>
    </row>
    <row r="43" spans="1:10" ht="15.75" customHeight="1">
      <c r="A43" s="272"/>
      <c r="B43" s="273"/>
      <c r="C43" s="273"/>
      <c r="D43" s="273"/>
      <c r="E43" s="273"/>
      <c r="F43" s="273"/>
      <c r="G43" s="273"/>
      <c r="H43" s="273"/>
      <c r="I43" s="273"/>
      <c r="J43" s="274"/>
    </row>
    <row r="44" spans="1:10" ht="15.75" customHeight="1">
      <c r="A44" s="272"/>
      <c r="B44" s="273"/>
      <c r="C44" s="273"/>
      <c r="D44" s="273"/>
      <c r="E44" s="273"/>
      <c r="F44" s="273"/>
      <c r="G44" s="273"/>
      <c r="H44" s="273"/>
      <c r="I44" s="273"/>
      <c r="J44" s="274"/>
    </row>
    <row r="45" spans="1:10" ht="15.75" customHeight="1">
      <c r="A45" s="272"/>
      <c r="B45" s="273"/>
      <c r="C45" s="273"/>
      <c r="D45" s="273"/>
      <c r="E45" s="273"/>
      <c r="F45" s="273"/>
      <c r="G45" s="273"/>
      <c r="H45" s="273"/>
      <c r="I45" s="273"/>
      <c r="J45" s="274"/>
    </row>
    <row r="46" spans="1:10" ht="15.75" customHeight="1">
      <c r="A46" s="272"/>
      <c r="B46" s="273"/>
      <c r="C46" s="273"/>
      <c r="D46" s="273"/>
      <c r="E46" s="273"/>
      <c r="F46" s="273"/>
      <c r="G46" s="273"/>
      <c r="H46" s="273"/>
      <c r="I46" s="273"/>
      <c r="J46" s="274"/>
    </row>
    <row r="47" spans="1:10" ht="15.75" customHeight="1">
      <c r="A47" s="272"/>
      <c r="B47" s="273"/>
      <c r="C47" s="273"/>
      <c r="D47" s="273"/>
      <c r="E47" s="273"/>
      <c r="F47" s="273"/>
      <c r="G47" s="273"/>
      <c r="H47" s="273"/>
      <c r="I47" s="273"/>
      <c r="J47" s="274"/>
    </row>
    <row r="48" spans="1:10" ht="15.75" customHeight="1">
      <c r="A48" s="275"/>
      <c r="B48" s="276"/>
      <c r="C48" s="276"/>
      <c r="D48" s="276"/>
      <c r="E48" s="276"/>
      <c r="F48" s="276"/>
      <c r="G48" s="276"/>
      <c r="H48" s="276"/>
      <c r="I48" s="276"/>
      <c r="J48" s="277"/>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Normal="100" workbookViewId="0">
      <selection activeCell="C18" sqref="C18:J19"/>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39" t="str">
        <f>+'Cover Page'!$B$29</f>
        <v>Annual Performance Report 2022</v>
      </c>
      <c r="B1" s="139"/>
      <c r="C1" s="139"/>
      <c r="D1" s="139"/>
      <c r="E1" s="139" t="str">
        <f>+'Cover Page'!$B$33</f>
        <v>Twinwoods Co-Incinerator</v>
      </c>
      <c r="F1" s="139"/>
      <c r="G1" s="139"/>
      <c r="H1" s="139"/>
      <c r="I1" s="139"/>
      <c r="J1" s="139"/>
    </row>
    <row r="3" spans="1:10">
      <c r="A3" s="1" t="s">
        <v>242</v>
      </c>
      <c r="B3" s="139"/>
      <c r="C3" s="139"/>
      <c r="D3" s="139"/>
      <c r="E3" s="139"/>
      <c r="F3" s="139"/>
      <c r="G3" s="139"/>
      <c r="H3" s="139"/>
      <c r="I3" s="139"/>
      <c r="J3" s="139"/>
    </row>
    <row r="4" spans="1:10">
      <c r="A4" s="1"/>
      <c r="B4" s="139"/>
      <c r="C4" s="139"/>
      <c r="D4" s="139"/>
      <c r="E4" s="139"/>
      <c r="F4" s="139"/>
      <c r="G4" s="139"/>
      <c r="H4" s="139"/>
      <c r="I4" s="139"/>
      <c r="J4" s="139"/>
    </row>
    <row r="5" spans="1:10" s="3" customFormat="1" ht="28.5" customHeight="1">
      <c r="A5" s="92" t="s">
        <v>243</v>
      </c>
      <c r="B5" s="93"/>
      <c r="C5" s="93"/>
      <c r="D5" s="93"/>
      <c r="E5" s="93"/>
      <c r="F5" s="93"/>
      <c r="G5" s="93"/>
      <c r="H5" s="93"/>
      <c r="I5" s="93"/>
      <c r="J5" s="94"/>
    </row>
    <row r="6" spans="1:10" s="3" customFormat="1" ht="15.75" customHeight="1">
      <c r="A6" s="278" t="s">
        <v>53</v>
      </c>
      <c r="B6" s="280"/>
      <c r="C6" s="278" t="s">
        <v>244</v>
      </c>
      <c r="D6" s="279"/>
      <c r="E6" s="279"/>
      <c r="F6" s="279"/>
      <c r="G6" s="279"/>
      <c r="H6" s="279"/>
      <c r="I6" s="279"/>
      <c r="J6" s="280"/>
    </row>
    <row r="7" spans="1:10" s="3" customFormat="1" ht="15.75" customHeight="1">
      <c r="A7" s="281"/>
      <c r="B7" s="182"/>
      <c r="C7" s="281" t="s">
        <v>245</v>
      </c>
      <c r="D7" s="181"/>
      <c r="E7" s="181"/>
      <c r="F7" s="181"/>
      <c r="G7" s="181"/>
      <c r="H7" s="181"/>
      <c r="I7" s="181"/>
      <c r="J7" s="182"/>
    </row>
    <row r="8" spans="1:10" s="3" customFormat="1" ht="15.75" customHeight="1">
      <c r="A8" s="186"/>
      <c r="B8" s="188"/>
      <c r="C8" s="186"/>
      <c r="D8" s="187"/>
      <c r="E8" s="187"/>
      <c r="F8" s="187"/>
      <c r="G8" s="187"/>
      <c r="H8" s="187"/>
      <c r="I8" s="187"/>
      <c r="J8" s="188"/>
    </row>
    <row r="9" spans="1:10" s="3" customFormat="1" ht="15.75" customHeight="1">
      <c r="A9" s="281"/>
      <c r="B9" s="182"/>
      <c r="C9" s="281"/>
      <c r="D9" s="181"/>
      <c r="E9" s="181"/>
      <c r="F9" s="181"/>
      <c r="G9" s="181"/>
      <c r="H9" s="181"/>
      <c r="I9" s="181"/>
      <c r="J9" s="182"/>
    </row>
    <row r="10" spans="1:10" s="3" customFormat="1" ht="15.75" customHeight="1">
      <c r="A10" s="186"/>
      <c r="B10" s="188"/>
      <c r="C10" s="186"/>
      <c r="D10" s="187"/>
      <c r="E10" s="187"/>
      <c r="F10" s="187"/>
      <c r="G10" s="187"/>
      <c r="H10" s="187"/>
      <c r="I10" s="187"/>
      <c r="J10" s="188"/>
    </row>
    <row r="11" spans="1:10" s="3" customFormat="1" ht="15.75" customHeight="1">
      <c r="A11" s="281"/>
      <c r="B11" s="182"/>
      <c r="C11" s="281"/>
      <c r="D11" s="181"/>
      <c r="E11" s="181"/>
      <c r="F11" s="181"/>
      <c r="G11" s="181"/>
      <c r="H11" s="181"/>
      <c r="I11" s="181"/>
      <c r="J11" s="182"/>
    </row>
    <row r="12" spans="1:10" s="3" customFormat="1" ht="15.75" customHeight="1">
      <c r="A12" s="186"/>
      <c r="B12" s="188"/>
      <c r="C12" s="186"/>
      <c r="D12" s="187"/>
      <c r="E12" s="187"/>
      <c r="F12" s="187"/>
      <c r="G12" s="187"/>
      <c r="H12" s="187"/>
      <c r="I12" s="187"/>
      <c r="J12" s="188"/>
    </row>
    <row r="13" spans="1:10" s="3" customFormat="1" ht="15.75" customHeight="1">
      <c r="A13" s="281"/>
      <c r="B13" s="182"/>
      <c r="C13" s="281"/>
      <c r="D13" s="181"/>
      <c r="E13" s="181"/>
      <c r="F13" s="181"/>
      <c r="G13" s="181"/>
      <c r="H13" s="181"/>
      <c r="I13" s="181"/>
      <c r="J13" s="182"/>
    </row>
    <row r="14" spans="1:10" s="3" customFormat="1" ht="15.75" customHeight="1">
      <c r="A14" s="186"/>
      <c r="B14" s="188"/>
      <c r="C14" s="186"/>
      <c r="D14" s="187"/>
      <c r="E14" s="187"/>
      <c r="F14" s="187"/>
      <c r="G14" s="187"/>
      <c r="H14" s="187"/>
      <c r="I14" s="187"/>
      <c r="J14" s="188"/>
    </row>
    <row r="15" spans="1:10" s="3" customFormat="1" ht="14.1"/>
    <row r="16" spans="1:10" s="91" customFormat="1" ht="33.75" customHeight="1">
      <c r="A16" s="266" t="s">
        <v>246</v>
      </c>
      <c r="B16" s="267"/>
      <c r="C16" s="267"/>
      <c r="D16" s="267"/>
      <c r="E16" s="267"/>
      <c r="F16" s="267"/>
      <c r="G16" s="267"/>
      <c r="H16" s="267"/>
      <c r="I16" s="267"/>
      <c r="J16" s="268"/>
    </row>
    <row r="17" spans="1:10" ht="15.75" customHeight="1">
      <c r="A17" s="278" t="s">
        <v>53</v>
      </c>
      <c r="B17" s="280"/>
      <c r="C17" s="278" t="s">
        <v>244</v>
      </c>
      <c r="D17" s="279"/>
      <c r="E17" s="279"/>
      <c r="F17" s="279"/>
      <c r="G17" s="279"/>
      <c r="H17" s="279"/>
      <c r="I17" s="279"/>
      <c r="J17" s="279"/>
    </row>
    <row r="18" spans="1:10" ht="15.75" customHeight="1">
      <c r="A18" s="281"/>
      <c r="B18" s="182"/>
      <c r="C18" s="281" t="s">
        <v>245</v>
      </c>
      <c r="D18" s="181"/>
      <c r="E18" s="181"/>
      <c r="F18" s="181"/>
      <c r="G18" s="181"/>
      <c r="H18" s="181"/>
      <c r="I18" s="181"/>
      <c r="J18" s="182"/>
    </row>
    <row r="19" spans="1:10" ht="15.75" customHeight="1">
      <c r="A19" s="186"/>
      <c r="B19" s="188"/>
      <c r="C19" s="186"/>
      <c r="D19" s="187"/>
      <c r="E19" s="187"/>
      <c r="F19" s="187"/>
      <c r="G19" s="187"/>
      <c r="H19" s="187"/>
      <c r="I19" s="187"/>
      <c r="J19" s="188"/>
    </row>
    <row r="20" spans="1:10" ht="15.75" customHeight="1">
      <c r="A20" s="281"/>
      <c r="B20" s="182"/>
      <c r="C20" s="281"/>
      <c r="D20" s="181"/>
      <c r="E20" s="181"/>
      <c r="F20" s="181"/>
      <c r="G20" s="181"/>
      <c r="H20" s="181"/>
      <c r="I20" s="181"/>
      <c r="J20" s="182"/>
    </row>
    <row r="21" spans="1:10" ht="15.75" customHeight="1">
      <c r="A21" s="186"/>
      <c r="B21" s="188"/>
      <c r="C21" s="186"/>
      <c r="D21" s="187"/>
      <c r="E21" s="187"/>
      <c r="F21" s="187"/>
      <c r="G21" s="187"/>
      <c r="H21" s="187"/>
      <c r="I21" s="187"/>
      <c r="J21" s="188"/>
    </row>
    <row r="22" spans="1:10" ht="15.75" customHeight="1">
      <c r="A22" s="281"/>
      <c r="B22" s="182"/>
      <c r="C22" s="281"/>
      <c r="D22" s="181"/>
      <c r="E22" s="181"/>
      <c r="F22" s="181"/>
      <c r="G22" s="181"/>
      <c r="H22" s="181"/>
      <c r="I22" s="181"/>
      <c r="J22" s="182"/>
    </row>
    <row r="23" spans="1:10" ht="15.75" customHeight="1">
      <c r="A23" s="186"/>
      <c r="B23" s="188"/>
      <c r="C23" s="186"/>
      <c r="D23" s="187"/>
      <c r="E23" s="187"/>
      <c r="F23" s="187"/>
      <c r="G23" s="187"/>
      <c r="H23" s="187"/>
      <c r="I23" s="187"/>
      <c r="J23" s="188"/>
    </row>
    <row r="24" spans="1:10" ht="15.75" customHeight="1">
      <c r="A24" s="281"/>
      <c r="B24" s="182"/>
      <c r="C24" s="281"/>
      <c r="D24" s="181"/>
      <c r="E24" s="181"/>
      <c r="F24" s="181"/>
      <c r="G24" s="181"/>
      <c r="H24" s="181"/>
      <c r="I24" s="181"/>
      <c r="J24" s="182"/>
    </row>
    <row r="25" spans="1:10" ht="15.75" customHeight="1">
      <c r="A25" s="186"/>
      <c r="B25" s="188"/>
      <c r="C25" s="186"/>
      <c r="D25" s="187"/>
      <c r="E25" s="187"/>
      <c r="F25" s="187"/>
      <c r="G25" s="187"/>
      <c r="H25" s="187"/>
      <c r="I25" s="187"/>
      <c r="J25" s="188"/>
    </row>
    <row r="26" spans="1:10" ht="15.75" customHeight="1">
      <c r="A26" s="281"/>
      <c r="B26" s="182"/>
      <c r="C26" s="281"/>
      <c r="D26" s="181"/>
      <c r="E26" s="181"/>
      <c r="F26" s="181"/>
      <c r="G26" s="181"/>
      <c r="H26" s="181"/>
      <c r="I26" s="181"/>
      <c r="J26" s="182"/>
    </row>
    <row r="27" spans="1:10" ht="15.75" customHeight="1">
      <c r="A27" s="186"/>
      <c r="B27" s="188"/>
      <c r="C27" s="186"/>
      <c r="D27" s="187"/>
      <c r="E27" s="187"/>
      <c r="F27" s="187"/>
      <c r="G27" s="187"/>
      <c r="H27" s="187"/>
      <c r="I27" s="187"/>
      <c r="J27" s="188"/>
    </row>
    <row r="28" spans="1:10">
      <c r="A28" s="1"/>
      <c r="B28" s="139"/>
      <c r="C28" s="139"/>
      <c r="D28" s="139"/>
      <c r="E28" s="139"/>
      <c r="F28" s="139"/>
      <c r="G28" s="139"/>
      <c r="H28" s="139"/>
      <c r="I28" s="139"/>
      <c r="J28" s="139"/>
    </row>
    <row r="29" spans="1:10" ht="36.75" customHeight="1">
      <c r="A29" s="266" t="s">
        <v>247</v>
      </c>
      <c r="B29" s="267"/>
      <c r="C29" s="267"/>
      <c r="D29" s="267"/>
      <c r="E29" s="267"/>
      <c r="F29" s="267"/>
      <c r="G29" s="267"/>
      <c r="H29" s="267"/>
      <c r="I29" s="267"/>
      <c r="J29" s="268"/>
    </row>
    <row r="66" spans="6:6">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opLeftCell="A29" zoomScaleNormal="100" workbookViewId="0">
      <selection activeCell="L34" sqref="L34"/>
    </sheetView>
  </sheetViews>
  <sheetFormatPr defaultColWidth="9.28515625" defaultRowHeight="15.6"/>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139" t="str">
        <f>+'Cover Page'!$B$29</f>
        <v>Annual Performance Report 2022</v>
      </c>
      <c r="B1" s="139"/>
      <c r="C1" s="139"/>
      <c r="D1" s="139"/>
      <c r="E1" s="139" t="str">
        <f>+'Cover Page'!$B$33</f>
        <v>Twinwoods Co-Incinerator</v>
      </c>
      <c r="F1" s="139"/>
      <c r="G1" s="139"/>
    </row>
    <row r="3" spans="1:7">
      <c r="A3" s="1" t="s">
        <v>248</v>
      </c>
      <c r="B3" s="139"/>
      <c r="C3" s="139"/>
      <c r="D3" s="139"/>
      <c r="E3" s="139"/>
      <c r="F3" s="139"/>
      <c r="G3" s="139"/>
    </row>
    <row r="4" spans="1:7">
      <c r="A4" s="1"/>
      <c r="B4" s="139"/>
      <c r="C4" s="139"/>
      <c r="D4" s="139"/>
      <c r="E4" s="139"/>
      <c r="F4" s="139"/>
      <c r="G4" s="139"/>
    </row>
    <row r="5" spans="1:7" s="3" customFormat="1" ht="21.75" customHeight="1">
      <c r="A5" s="92" t="s">
        <v>249</v>
      </c>
      <c r="B5" s="93"/>
      <c r="C5" s="93"/>
      <c r="D5" s="93"/>
      <c r="E5" s="93"/>
      <c r="F5" s="93"/>
      <c r="G5" s="94"/>
    </row>
    <row r="6" spans="1:7" s="3" customFormat="1" ht="15.75" customHeight="1">
      <c r="A6" s="172" t="s">
        <v>250</v>
      </c>
      <c r="B6" s="173"/>
      <c r="C6" s="173"/>
      <c r="D6" s="173"/>
      <c r="E6" s="173"/>
      <c r="F6" s="173"/>
      <c r="G6" s="174"/>
    </row>
    <row r="7" spans="1:7" s="3" customFormat="1" ht="25.5" customHeight="1">
      <c r="A7" s="178"/>
      <c r="B7" s="179"/>
      <c r="C7" s="179"/>
      <c r="D7" s="179"/>
      <c r="E7" s="179"/>
      <c r="F7" s="179"/>
      <c r="G7" s="180"/>
    </row>
    <row r="8" spans="1:7" s="3" customFormat="1" ht="15.75" customHeight="1">
      <c r="A8" s="172"/>
      <c r="B8" s="173"/>
      <c r="C8" s="173"/>
      <c r="D8" s="173"/>
      <c r="E8" s="173"/>
      <c r="F8" s="173"/>
      <c r="G8" s="174"/>
    </row>
    <row r="9" spans="1:7" s="3" customFormat="1" ht="15.75" customHeight="1">
      <c r="A9" s="178"/>
      <c r="B9" s="179"/>
      <c r="C9" s="179"/>
      <c r="D9" s="179"/>
      <c r="E9" s="179"/>
      <c r="F9" s="179"/>
      <c r="G9" s="180"/>
    </row>
    <row r="10" spans="1:7" s="3" customFormat="1" ht="15.75" customHeight="1">
      <c r="A10" s="172"/>
      <c r="B10" s="173"/>
      <c r="C10" s="173"/>
      <c r="D10" s="173"/>
      <c r="E10" s="173"/>
      <c r="F10" s="173"/>
      <c r="G10" s="174"/>
    </row>
    <row r="11" spans="1:7" s="3" customFormat="1" ht="15.75" customHeight="1">
      <c r="A11" s="178"/>
      <c r="B11" s="179"/>
      <c r="C11" s="179"/>
      <c r="D11" s="179"/>
      <c r="E11" s="179"/>
      <c r="F11" s="179"/>
      <c r="G11" s="180"/>
    </row>
    <row r="12" spans="1:7" s="3" customFormat="1" ht="14.1"/>
    <row r="13" spans="1:7" s="91" customFormat="1" ht="33.75" customHeight="1">
      <c r="A13" s="266" t="s">
        <v>251</v>
      </c>
      <c r="B13" s="267"/>
      <c r="C13" s="267"/>
      <c r="D13" s="267"/>
      <c r="E13" s="267"/>
      <c r="F13" s="267"/>
      <c r="G13" s="268"/>
    </row>
    <row r="14" spans="1:7" ht="15.75" customHeight="1">
      <c r="A14" s="278" t="s">
        <v>252</v>
      </c>
      <c r="B14" s="280"/>
      <c r="C14" s="278" t="s">
        <v>244</v>
      </c>
      <c r="D14" s="279"/>
      <c r="E14" s="279"/>
      <c r="F14" s="279"/>
      <c r="G14" s="279"/>
    </row>
    <row r="15" spans="1:7" ht="15.75" customHeight="1">
      <c r="A15" s="172"/>
      <c r="B15" s="174"/>
      <c r="C15" s="281"/>
      <c r="D15" s="181"/>
      <c r="E15" s="181"/>
      <c r="F15" s="181"/>
      <c r="G15" s="182"/>
    </row>
    <row r="16" spans="1:7" ht="15.75" customHeight="1">
      <c r="A16" s="178"/>
      <c r="B16" s="180"/>
      <c r="C16" s="186"/>
      <c r="D16" s="187"/>
      <c r="E16" s="187"/>
      <c r="F16" s="187"/>
      <c r="G16" s="188"/>
    </row>
    <row r="17" spans="1:11" ht="15.75" customHeight="1">
      <c r="A17" s="281"/>
      <c r="B17" s="182"/>
      <c r="C17" s="281"/>
      <c r="D17" s="181"/>
      <c r="E17" s="181"/>
      <c r="F17" s="181"/>
      <c r="G17" s="182"/>
      <c r="H17" s="139"/>
      <c r="I17" s="139"/>
      <c r="J17" s="139"/>
      <c r="K17" s="139"/>
    </row>
    <row r="18" spans="1:11" ht="15.75" customHeight="1">
      <c r="A18" s="186"/>
      <c r="B18" s="188"/>
      <c r="C18" s="186"/>
      <c r="D18" s="187"/>
      <c r="E18" s="187"/>
      <c r="F18" s="187"/>
      <c r="G18" s="188"/>
      <c r="H18" s="139"/>
      <c r="I18" s="139"/>
      <c r="J18" s="139"/>
      <c r="K18" s="139"/>
    </row>
    <row r="19" spans="1:11" ht="15.75" customHeight="1">
      <c r="A19" s="281"/>
      <c r="B19" s="182"/>
      <c r="C19" s="281"/>
      <c r="D19" s="181"/>
      <c r="E19" s="181"/>
      <c r="F19" s="181"/>
      <c r="G19" s="182"/>
      <c r="H19" s="139"/>
      <c r="I19" s="139"/>
      <c r="J19" s="139"/>
      <c r="K19" s="139"/>
    </row>
    <row r="20" spans="1:11" ht="15.75" customHeight="1">
      <c r="A20" s="186"/>
      <c r="B20" s="188"/>
      <c r="C20" s="186"/>
      <c r="D20" s="187"/>
      <c r="E20" s="187"/>
      <c r="F20" s="187"/>
      <c r="G20" s="188"/>
      <c r="H20" s="139"/>
      <c r="I20" s="139"/>
      <c r="J20" s="139"/>
      <c r="K20" s="139"/>
    </row>
    <row r="21" spans="1:11" ht="15.75" customHeight="1">
      <c r="A21" s="281"/>
      <c r="B21" s="182"/>
      <c r="C21" s="281"/>
      <c r="D21" s="181"/>
      <c r="E21" s="181"/>
      <c r="F21" s="181"/>
      <c r="G21" s="182"/>
      <c r="H21" s="139"/>
      <c r="I21" s="139"/>
      <c r="J21" s="139"/>
      <c r="K21" s="139"/>
    </row>
    <row r="22" spans="1:11" ht="15.75" customHeight="1">
      <c r="A22" s="186"/>
      <c r="B22" s="188"/>
      <c r="C22" s="186"/>
      <c r="D22" s="187"/>
      <c r="E22" s="187"/>
      <c r="F22" s="187"/>
      <c r="G22" s="188"/>
      <c r="H22" s="139"/>
      <c r="I22" s="139"/>
      <c r="J22" s="139"/>
      <c r="K22" s="139"/>
    </row>
    <row r="23" spans="1:11" ht="15.75" customHeight="1">
      <c r="A23" s="281"/>
      <c r="B23" s="182"/>
      <c r="C23" s="281"/>
      <c r="D23" s="181"/>
      <c r="E23" s="181"/>
      <c r="F23" s="181"/>
      <c r="G23" s="182"/>
      <c r="H23" s="139"/>
      <c r="I23" s="139"/>
      <c r="J23" s="139"/>
      <c r="K23" s="139"/>
    </row>
    <row r="24" spans="1:11" ht="15.75" customHeight="1">
      <c r="A24" s="186"/>
      <c r="B24" s="188"/>
      <c r="C24" s="186"/>
      <c r="D24" s="187"/>
      <c r="E24" s="187"/>
      <c r="F24" s="187"/>
      <c r="G24" s="188"/>
      <c r="H24" s="139"/>
      <c r="I24" s="139"/>
      <c r="J24" s="139"/>
      <c r="K24" s="139"/>
    </row>
    <row r="26" spans="1:11">
      <c r="A26" s="14"/>
      <c r="B26" s="14"/>
      <c r="C26" s="14"/>
      <c r="D26" s="14"/>
      <c r="E26" s="14"/>
      <c r="F26" s="14"/>
      <c r="G26" s="14"/>
      <c r="H26" s="139"/>
      <c r="I26" s="139"/>
      <c r="J26" s="139"/>
      <c r="K26" s="139"/>
    </row>
    <row r="27" spans="1:11" s="103" customFormat="1" ht="16.5" customHeight="1">
      <c r="A27" s="282" t="s">
        <v>253</v>
      </c>
      <c r="B27" s="282"/>
      <c r="C27" s="282"/>
      <c r="D27" s="282"/>
      <c r="E27" s="282"/>
      <c r="F27" s="282"/>
      <c r="G27" s="282"/>
    </row>
    <row r="28" spans="1:11" s="14" customFormat="1" ht="17.25" customHeight="1">
      <c r="A28" s="283" t="s">
        <v>254</v>
      </c>
      <c r="B28" s="283"/>
      <c r="C28" s="259" t="s">
        <v>255</v>
      </c>
      <c r="D28" s="259" t="s">
        <v>256</v>
      </c>
      <c r="E28" s="259"/>
      <c r="F28" s="259"/>
      <c r="G28" s="259"/>
    </row>
    <row r="29" spans="1:11" s="14" customFormat="1" ht="17.25" customHeight="1">
      <c r="A29" s="283"/>
      <c r="B29" s="283"/>
      <c r="C29" s="259"/>
      <c r="D29" s="259" t="s">
        <v>257</v>
      </c>
      <c r="E29" s="259"/>
      <c r="F29" s="259" t="s">
        <v>158</v>
      </c>
      <c r="G29" s="259"/>
    </row>
    <row r="30" spans="1:11" s="78" customFormat="1" ht="38.1" customHeight="1">
      <c r="A30" s="196" t="s">
        <v>258</v>
      </c>
      <c r="B30" s="196"/>
      <c r="C30" s="104" t="s">
        <v>259</v>
      </c>
      <c r="D30" s="245">
        <v>0.12</v>
      </c>
      <c r="E30" s="245"/>
      <c r="F30" s="284"/>
      <c r="G30" s="285"/>
      <c r="J30" s="14"/>
      <c r="K30" s="14"/>
    </row>
    <row r="31" spans="1:11" s="78" customFormat="1" ht="38.1" customHeight="1">
      <c r="A31" s="196" t="s">
        <v>260</v>
      </c>
      <c r="B31" s="196"/>
      <c r="C31" s="100" t="s">
        <v>261</v>
      </c>
      <c r="D31" s="245">
        <v>0.64</v>
      </c>
      <c r="E31" s="245"/>
      <c r="F31" s="284"/>
      <c r="G31" s="285"/>
      <c r="J31" s="14"/>
      <c r="K31" s="14"/>
    </row>
    <row r="32" spans="1:11" s="78" customFormat="1" ht="38.1" customHeight="1">
      <c r="A32" s="196" t="s">
        <v>262</v>
      </c>
      <c r="B32" s="196"/>
      <c r="C32" s="100" t="s">
        <v>263</v>
      </c>
      <c r="D32" s="245">
        <v>4</v>
      </c>
      <c r="E32" s="245"/>
      <c r="F32" s="286">
        <v>4</v>
      </c>
      <c r="G32" s="287"/>
      <c r="J32" s="14"/>
      <c r="K32" s="14"/>
    </row>
    <row r="33" spans="1:7" s="78" customFormat="1" ht="38.1" customHeight="1">
      <c r="A33" s="196" t="s">
        <v>264</v>
      </c>
      <c r="B33" s="196"/>
      <c r="C33" s="100" t="s">
        <v>263</v>
      </c>
      <c r="D33" s="245">
        <v>0</v>
      </c>
      <c r="E33" s="245"/>
      <c r="F33" s="284"/>
      <c r="G33" s="285"/>
    </row>
    <row r="35" spans="1:7">
      <c r="A35" s="230" t="s">
        <v>265</v>
      </c>
      <c r="B35" s="230"/>
      <c r="C35" s="230"/>
      <c r="D35" s="230"/>
      <c r="E35" s="230"/>
      <c r="F35" s="230"/>
      <c r="G35" s="230"/>
    </row>
    <row r="36" spans="1:7">
      <c r="A36" s="231" t="s">
        <v>266</v>
      </c>
      <c r="B36" s="231"/>
      <c r="C36" s="231"/>
      <c r="D36" s="231"/>
      <c r="E36" s="231"/>
      <c r="F36" s="231"/>
      <c r="G36" s="231"/>
    </row>
    <row r="37" spans="1:7">
      <c r="A37" s="231"/>
      <c r="B37" s="231"/>
      <c r="C37" s="231"/>
      <c r="D37" s="231"/>
      <c r="E37" s="231"/>
      <c r="F37" s="231"/>
      <c r="G37" s="231"/>
    </row>
    <row r="38" spans="1:7">
      <c r="A38" s="231"/>
      <c r="B38" s="231"/>
      <c r="C38" s="231"/>
      <c r="D38" s="231"/>
      <c r="E38" s="231"/>
      <c r="F38" s="231"/>
      <c r="G38" s="231"/>
    </row>
    <row r="39" spans="1:7">
      <c r="A39" s="231"/>
      <c r="B39" s="231"/>
      <c r="C39" s="231"/>
      <c r="D39" s="231"/>
      <c r="E39" s="231"/>
      <c r="F39" s="231"/>
      <c r="G39" s="231"/>
    </row>
    <row r="40" spans="1:7">
      <c r="A40" s="231"/>
      <c r="B40" s="231"/>
      <c r="C40" s="231"/>
      <c r="D40" s="231"/>
      <c r="E40" s="231"/>
      <c r="F40" s="231"/>
      <c r="G40" s="231"/>
    </row>
    <row r="41" spans="1:7">
      <c r="A41" s="231"/>
      <c r="B41" s="231"/>
      <c r="C41" s="231"/>
      <c r="D41" s="231"/>
      <c r="E41" s="231"/>
      <c r="F41" s="231"/>
      <c r="G41" s="231"/>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honeticPr fontId="24" type="noConversion"/>
  <pageMargins left="0.7" right="0.7" top="0.75" bottom="0.75" header="0.3" footer="0.3"/>
  <pageSetup paperSize="9" scale="87" orientation="portrait"/>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opLeftCell="A16" zoomScaleNormal="100" workbookViewId="0">
      <selection activeCell="A24" sqref="A24:C24"/>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39" t="str">
        <f>+'Cover Page'!$B$29</f>
        <v>Annual Performance Report 2022</v>
      </c>
      <c r="B1" s="139"/>
      <c r="C1" s="139"/>
      <c r="D1" s="139"/>
      <c r="E1" s="139" t="str">
        <f>+'Cover Page'!$B$33</f>
        <v>Twinwoods Co-Incinerator</v>
      </c>
      <c r="F1" s="139"/>
      <c r="G1" s="139"/>
      <c r="H1" s="139"/>
      <c r="I1" s="139"/>
      <c r="J1" s="139"/>
    </row>
    <row r="3" spans="1:10">
      <c r="A3" s="1" t="s">
        <v>41</v>
      </c>
      <c r="B3" s="139"/>
      <c r="C3" s="139"/>
      <c r="D3" s="139"/>
      <c r="E3" s="139"/>
      <c r="F3" s="139"/>
      <c r="G3" s="139"/>
      <c r="H3" s="139"/>
      <c r="I3" s="139"/>
      <c r="J3" s="139"/>
    </row>
    <row r="4" spans="1:10">
      <c r="A4" s="1"/>
      <c r="B4" s="139"/>
      <c r="C4" s="139"/>
      <c r="D4" s="139"/>
      <c r="E4" s="139"/>
      <c r="F4" s="139"/>
      <c r="G4" s="139"/>
      <c r="H4" s="139"/>
      <c r="I4" s="139"/>
      <c r="J4" s="139"/>
    </row>
    <row r="5" spans="1:10" s="3" customFormat="1" ht="21.75" customHeight="1">
      <c r="A5" s="92" t="s">
        <v>249</v>
      </c>
      <c r="B5" s="93"/>
      <c r="C5" s="93"/>
      <c r="D5" s="93"/>
      <c r="E5" s="93"/>
      <c r="F5" s="93"/>
      <c r="G5" s="93"/>
      <c r="H5" s="93"/>
      <c r="I5" s="93"/>
      <c r="J5" s="94"/>
    </row>
    <row r="6" spans="1:10" s="3" customFormat="1" ht="15.75" customHeight="1">
      <c r="A6" s="281" t="s">
        <v>245</v>
      </c>
      <c r="B6" s="181"/>
      <c r="C6" s="181"/>
      <c r="D6" s="181"/>
      <c r="E6" s="181"/>
      <c r="F6" s="181"/>
      <c r="G6" s="181"/>
      <c r="H6" s="181"/>
      <c r="I6" s="181"/>
      <c r="J6" s="182"/>
    </row>
    <row r="7" spans="1:10" s="3" customFormat="1" ht="15.75" customHeight="1">
      <c r="A7" s="186"/>
      <c r="B7" s="187"/>
      <c r="C7" s="187"/>
      <c r="D7" s="187"/>
      <c r="E7" s="187"/>
      <c r="F7" s="187"/>
      <c r="G7" s="187"/>
      <c r="H7" s="187"/>
      <c r="I7" s="187"/>
      <c r="J7" s="188"/>
    </row>
    <row r="8" spans="1:10" s="3" customFormat="1" ht="15.75" customHeight="1">
      <c r="A8" s="172"/>
      <c r="B8" s="173"/>
      <c r="C8" s="173"/>
      <c r="D8" s="173"/>
      <c r="E8" s="173"/>
      <c r="F8" s="173"/>
      <c r="G8" s="173"/>
      <c r="H8" s="173"/>
      <c r="I8" s="173"/>
      <c r="J8" s="174"/>
    </row>
    <row r="9" spans="1:10" s="3" customFormat="1" ht="15.75" customHeight="1">
      <c r="A9" s="178"/>
      <c r="B9" s="179"/>
      <c r="C9" s="179"/>
      <c r="D9" s="179"/>
      <c r="E9" s="179"/>
      <c r="F9" s="179"/>
      <c r="G9" s="179"/>
      <c r="H9" s="179"/>
      <c r="I9" s="179"/>
      <c r="J9" s="180"/>
    </row>
    <row r="10" spans="1:10" s="3" customFormat="1" ht="15.75" customHeight="1">
      <c r="A10" s="172"/>
      <c r="B10" s="173"/>
      <c r="C10" s="173"/>
      <c r="D10" s="173"/>
      <c r="E10" s="173"/>
      <c r="F10" s="173"/>
      <c r="G10" s="173"/>
      <c r="H10" s="173"/>
      <c r="I10" s="173"/>
      <c r="J10" s="174"/>
    </row>
    <row r="11" spans="1:10" s="3" customFormat="1" ht="15.75" customHeight="1">
      <c r="A11" s="178"/>
      <c r="B11" s="179"/>
      <c r="C11" s="179"/>
      <c r="D11" s="179"/>
      <c r="E11" s="179"/>
      <c r="F11" s="179"/>
      <c r="G11" s="179"/>
      <c r="H11" s="179"/>
      <c r="I11" s="179"/>
      <c r="J11" s="180"/>
    </row>
    <row r="12" spans="1:10" s="3" customFormat="1" ht="14.1"/>
    <row r="13" spans="1:10" s="91" customFormat="1" ht="33.75" customHeight="1">
      <c r="A13" s="266" t="s">
        <v>251</v>
      </c>
      <c r="B13" s="267"/>
      <c r="C13" s="267"/>
      <c r="D13" s="267"/>
      <c r="E13" s="267"/>
      <c r="F13" s="267"/>
      <c r="G13" s="267"/>
      <c r="H13" s="267"/>
      <c r="I13" s="267"/>
      <c r="J13" s="268"/>
    </row>
    <row r="14" spans="1:10" ht="15.75" customHeight="1">
      <c r="A14" s="278" t="s">
        <v>252</v>
      </c>
      <c r="B14" s="280"/>
      <c r="C14" s="278" t="s">
        <v>244</v>
      </c>
      <c r="D14" s="279"/>
      <c r="E14" s="279"/>
      <c r="F14" s="279"/>
      <c r="G14" s="279"/>
      <c r="H14" s="279"/>
      <c r="I14" s="279"/>
      <c r="J14" s="279"/>
    </row>
    <row r="15" spans="1:10" ht="15.75" customHeight="1">
      <c r="A15" s="172"/>
      <c r="B15" s="174"/>
      <c r="C15" s="281"/>
      <c r="D15" s="181"/>
      <c r="E15" s="181"/>
      <c r="F15" s="181"/>
      <c r="G15" s="181"/>
      <c r="H15" s="181"/>
      <c r="I15" s="181"/>
      <c r="J15" s="182"/>
    </row>
    <row r="16" spans="1:10" ht="15.75" customHeight="1">
      <c r="A16" s="178"/>
      <c r="B16" s="180"/>
      <c r="C16" s="186"/>
      <c r="D16" s="187"/>
      <c r="E16" s="187"/>
      <c r="F16" s="187"/>
      <c r="G16" s="187"/>
      <c r="H16" s="187"/>
      <c r="I16" s="187"/>
      <c r="J16" s="188"/>
    </row>
    <row r="17" spans="1:10" ht="15.75" customHeight="1">
      <c r="A17" s="281"/>
      <c r="B17" s="182"/>
      <c r="C17" s="281"/>
      <c r="D17" s="181"/>
      <c r="E17" s="181"/>
      <c r="F17" s="181"/>
      <c r="G17" s="181"/>
      <c r="H17" s="181"/>
      <c r="I17" s="181"/>
      <c r="J17" s="182"/>
    </row>
    <row r="18" spans="1:10" ht="15.75" customHeight="1">
      <c r="A18" s="186"/>
      <c r="B18" s="188"/>
      <c r="C18" s="186"/>
      <c r="D18" s="187"/>
      <c r="E18" s="187"/>
      <c r="F18" s="187"/>
      <c r="G18" s="187"/>
      <c r="H18" s="187"/>
      <c r="I18" s="187"/>
      <c r="J18" s="188"/>
    </row>
    <row r="19" spans="1:10" ht="15.75" customHeight="1">
      <c r="A19" s="281"/>
      <c r="B19" s="182"/>
      <c r="C19" s="281"/>
      <c r="D19" s="181"/>
      <c r="E19" s="181"/>
      <c r="F19" s="181"/>
      <c r="G19" s="181"/>
      <c r="H19" s="181"/>
      <c r="I19" s="181"/>
      <c r="J19" s="182"/>
    </row>
    <row r="20" spans="1:10" ht="15.75" customHeight="1">
      <c r="A20" s="186"/>
      <c r="B20" s="188"/>
      <c r="C20" s="186"/>
      <c r="D20" s="187"/>
      <c r="E20" s="187"/>
      <c r="F20" s="187"/>
      <c r="G20" s="187"/>
      <c r="H20" s="187"/>
      <c r="I20" s="187"/>
      <c r="J20" s="188"/>
    </row>
    <row r="22" spans="1:10" ht="22.5" customHeight="1">
      <c r="A22" s="288" t="s">
        <v>267</v>
      </c>
      <c r="B22" s="289"/>
      <c r="C22" s="289"/>
      <c r="D22" s="289"/>
      <c r="E22" s="289"/>
      <c r="F22" s="289"/>
      <c r="G22" s="289"/>
      <c r="H22" s="289"/>
      <c r="I22" s="289"/>
      <c r="J22" s="289"/>
    </row>
    <row r="23" spans="1:10" ht="19.5" customHeight="1">
      <c r="A23" s="290" t="s">
        <v>182</v>
      </c>
      <c r="B23" s="291"/>
      <c r="C23" s="292"/>
      <c r="D23" s="293" t="s">
        <v>268</v>
      </c>
      <c r="E23" s="294"/>
      <c r="F23" s="295"/>
      <c r="G23" s="99" t="s">
        <v>255</v>
      </c>
      <c r="H23" s="99" t="s">
        <v>269</v>
      </c>
      <c r="I23" s="99" t="s">
        <v>270</v>
      </c>
      <c r="J23" s="99" t="s">
        <v>271</v>
      </c>
    </row>
    <row r="24" spans="1:10">
      <c r="A24" s="296" t="s">
        <v>272</v>
      </c>
      <c r="B24" s="297"/>
      <c r="C24" s="298"/>
      <c r="D24" s="299"/>
      <c r="E24" s="300"/>
      <c r="F24" s="301"/>
      <c r="G24" s="101"/>
      <c r="H24" s="101"/>
      <c r="I24" s="101"/>
      <c r="J24" s="101"/>
    </row>
    <row r="25" spans="1:10">
      <c r="A25" s="296"/>
      <c r="B25" s="297"/>
      <c r="C25" s="298"/>
      <c r="D25" s="299"/>
      <c r="E25" s="300"/>
      <c r="F25" s="301"/>
      <c r="G25" s="101"/>
      <c r="H25" s="101"/>
      <c r="I25" s="101"/>
      <c r="J25" s="101"/>
    </row>
    <row r="26" spans="1:10">
      <c r="A26" s="296"/>
      <c r="B26" s="297"/>
      <c r="C26" s="298"/>
      <c r="D26" s="299"/>
      <c r="E26" s="300"/>
      <c r="F26" s="301"/>
      <c r="G26" s="101"/>
      <c r="H26" s="101"/>
      <c r="I26" s="101"/>
      <c r="J26" s="101"/>
    </row>
    <row r="27" spans="1:10">
      <c r="A27" s="296"/>
      <c r="B27" s="297"/>
      <c r="C27" s="298"/>
      <c r="D27" s="299"/>
      <c r="E27" s="300"/>
      <c r="F27" s="301"/>
      <c r="G27" s="101"/>
      <c r="H27" s="101"/>
      <c r="I27" s="101"/>
      <c r="J27" s="101"/>
    </row>
    <row r="28" spans="1:10">
      <c r="A28" s="296"/>
      <c r="B28" s="297"/>
      <c r="C28" s="298"/>
      <c r="D28" s="299"/>
      <c r="E28" s="300"/>
      <c r="F28" s="301"/>
      <c r="G28" s="101"/>
      <c r="H28" s="101"/>
      <c r="I28" s="101"/>
      <c r="J28" s="101"/>
    </row>
    <row r="29" spans="1:10">
      <c r="A29" s="296"/>
      <c r="B29" s="297"/>
      <c r="C29" s="298"/>
      <c r="D29" s="299"/>
      <c r="E29" s="300"/>
      <c r="F29" s="301"/>
      <c r="G29" s="101"/>
      <c r="H29" s="101"/>
      <c r="I29" s="101"/>
      <c r="J29" s="101"/>
    </row>
    <row r="30" spans="1:10">
      <c r="A30" s="302"/>
      <c r="B30" s="302"/>
      <c r="C30" s="302"/>
      <c r="D30" s="299"/>
      <c r="E30" s="300"/>
      <c r="F30" s="301"/>
      <c r="G30" s="101"/>
      <c r="H30" s="101"/>
      <c r="I30" s="101"/>
      <c r="J30" s="101"/>
    </row>
    <row r="31" spans="1:10">
      <c r="A31" s="14"/>
      <c r="B31" s="14"/>
      <c r="C31" s="14"/>
      <c r="D31" s="14"/>
      <c r="E31" s="14"/>
      <c r="F31" s="14"/>
      <c r="G31" s="14"/>
      <c r="H31" s="14"/>
      <c r="I31" s="14"/>
      <c r="J31" s="14"/>
    </row>
    <row r="32" spans="1:10">
      <c r="A32" s="14"/>
      <c r="B32" s="14"/>
      <c r="C32" s="14"/>
      <c r="D32" s="14"/>
      <c r="E32" s="14"/>
      <c r="F32" s="14"/>
      <c r="G32" s="14"/>
      <c r="H32" s="14"/>
      <c r="I32" s="14"/>
      <c r="J32" s="14"/>
    </row>
    <row r="33" spans="1:10">
      <c r="A33" s="14"/>
      <c r="B33" s="14"/>
      <c r="C33" s="14"/>
      <c r="D33" s="14"/>
      <c r="E33" s="14"/>
      <c r="F33" s="14"/>
      <c r="G33" s="14"/>
      <c r="H33" s="14"/>
      <c r="I33" s="14"/>
      <c r="J33" s="14"/>
    </row>
    <row r="66" spans="6:6">
      <c r="F66" s="3"/>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87" orientation="portrait"/>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opLeftCell="A30" zoomScaleNormal="100" workbookViewId="0">
      <selection activeCell="A40" sqref="A40:J41"/>
    </sheetView>
  </sheetViews>
  <sheetFormatPr defaultColWidth="9.28515625" defaultRowHeight="15.6"/>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139" t="str">
        <f>+'Cover Page'!$B$29</f>
        <v>Annual Performance Report 2022</v>
      </c>
      <c r="B1" s="139"/>
      <c r="C1" s="139"/>
      <c r="D1" s="139"/>
      <c r="E1" s="139" t="str">
        <f>+'Cover Page'!$B$33</f>
        <v>Twinwoods Co-Incinerator</v>
      </c>
      <c r="F1" s="139"/>
      <c r="G1" s="139"/>
      <c r="H1" s="139"/>
      <c r="I1" s="139"/>
      <c r="J1" s="139"/>
      <c r="K1" s="139"/>
      <c r="L1" s="139"/>
      <c r="M1" s="139"/>
      <c r="N1" s="139"/>
      <c r="O1" s="139"/>
      <c r="P1" s="139"/>
    </row>
    <row r="2" spans="1:16" ht="7.5" customHeight="1">
      <c r="A2" s="139"/>
      <c r="B2" s="139"/>
      <c r="C2" s="139"/>
      <c r="D2" s="139"/>
      <c r="E2" s="139"/>
      <c r="F2" s="139"/>
      <c r="G2" s="139"/>
      <c r="H2" s="139"/>
      <c r="I2" s="139"/>
      <c r="J2" s="139"/>
      <c r="K2" s="139"/>
      <c r="L2" s="139"/>
      <c r="M2" s="139"/>
      <c r="N2" s="139"/>
      <c r="O2" s="139"/>
      <c r="P2" s="139"/>
    </row>
    <row r="3" spans="1:16">
      <c r="A3" s="1" t="s">
        <v>42</v>
      </c>
      <c r="B3" s="139"/>
      <c r="C3" s="139"/>
      <c r="D3" s="139"/>
      <c r="E3" s="139"/>
      <c r="F3" s="139"/>
      <c r="G3" s="139"/>
      <c r="H3" s="139"/>
      <c r="I3" s="139"/>
      <c r="J3" s="139"/>
      <c r="K3" s="139"/>
      <c r="L3" s="139"/>
      <c r="M3" s="139"/>
      <c r="N3" s="139"/>
      <c r="O3" s="139"/>
      <c r="P3" s="139"/>
    </row>
    <row r="4" spans="1:16" ht="9.75" customHeight="1">
      <c r="A4" s="1"/>
      <c r="B4" s="139"/>
      <c r="C4" s="139"/>
      <c r="D4" s="139"/>
      <c r="E4" s="139"/>
      <c r="F4" s="139"/>
      <c r="G4" s="139"/>
      <c r="H4" s="139"/>
      <c r="I4" s="139"/>
      <c r="J4" s="139"/>
      <c r="K4" s="139"/>
      <c r="L4" s="139"/>
      <c r="M4" s="139"/>
      <c r="N4" s="139"/>
      <c r="O4" s="139"/>
      <c r="P4" s="139"/>
    </row>
    <row r="5" spans="1:16" s="3" customFormat="1" ht="21.75" customHeight="1">
      <c r="A5" s="92" t="s">
        <v>273</v>
      </c>
      <c r="B5" s="93"/>
      <c r="C5" s="93"/>
      <c r="D5" s="93"/>
      <c r="E5" s="93"/>
      <c r="F5" s="93"/>
      <c r="G5" s="93"/>
      <c r="H5" s="93"/>
      <c r="I5" s="93"/>
      <c r="J5" s="94"/>
      <c r="M5" s="133" t="s">
        <v>3</v>
      </c>
    </row>
    <row r="6" spans="1:16" s="3" customFormat="1" ht="15.75" customHeight="1">
      <c r="A6" s="281" t="s">
        <v>274</v>
      </c>
      <c r="B6" s="181"/>
      <c r="C6" s="181"/>
      <c r="D6" s="181"/>
      <c r="E6" s="181"/>
      <c r="F6" s="181"/>
      <c r="G6" s="181"/>
      <c r="H6" s="181"/>
      <c r="I6" s="181"/>
      <c r="J6" s="182"/>
      <c r="M6" s="303" t="s">
        <v>275</v>
      </c>
      <c r="N6" s="303"/>
      <c r="O6" s="303"/>
      <c r="P6" s="303"/>
    </row>
    <row r="7" spans="1:16" s="3" customFormat="1" ht="15.75" customHeight="1">
      <c r="A7" s="186"/>
      <c r="B7" s="187"/>
      <c r="C7" s="187"/>
      <c r="D7" s="187"/>
      <c r="E7" s="187"/>
      <c r="F7" s="187"/>
      <c r="G7" s="187"/>
      <c r="H7" s="187"/>
      <c r="I7" s="187"/>
      <c r="J7" s="188"/>
      <c r="M7" s="303"/>
      <c r="N7" s="303"/>
      <c r="O7" s="303"/>
      <c r="P7" s="303"/>
    </row>
    <row r="8" spans="1:16" s="3" customFormat="1" ht="14.1">
      <c r="M8" s="303"/>
      <c r="N8" s="303"/>
      <c r="O8" s="303"/>
      <c r="P8" s="303"/>
    </row>
    <row r="9" spans="1:16" s="103" customFormat="1" ht="16.5" customHeight="1">
      <c r="A9" s="282" t="s">
        <v>276</v>
      </c>
      <c r="B9" s="282"/>
      <c r="C9" s="282"/>
      <c r="D9" s="282"/>
      <c r="E9" s="282"/>
      <c r="F9" s="282"/>
      <c r="G9" s="282"/>
      <c r="H9" s="282"/>
      <c r="I9" s="282"/>
      <c r="J9" s="282"/>
      <c r="M9" s="303"/>
      <c r="N9" s="303"/>
      <c r="O9" s="303"/>
      <c r="P9" s="303"/>
    </row>
    <row r="10" spans="1:16" s="103" customFormat="1" ht="16.5" customHeight="1">
      <c r="A10" s="304" t="s">
        <v>211</v>
      </c>
      <c r="B10" s="305"/>
      <c r="C10" s="315" t="s">
        <v>277</v>
      </c>
      <c r="D10" s="311" t="s">
        <v>278</v>
      </c>
      <c r="E10" s="312"/>
      <c r="F10" s="308" t="s">
        <v>271</v>
      </c>
      <c r="G10" s="309"/>
      <c r="H10" s="309"/>
      <c r="I10" s="309"/>
      <c r="J10" s="310"/>
      <c r="M10" s="303" t="s">
        <v>279</v>
      </c>
      <c r="N10" s="303"/>
      <c r="O10" s="303"/>
      <c r="P10" s="303"/>
    </row>
    <row r="11" spans="1:16" s="14" customFormat="1" ht="17.25" customHeight="1">
      <c r="A11" s="306"/>
      <c r="B11" s="307"/>
      <c r="C11" s="316"/>
      <c r="D11" s="313"/>
      <c r="E11" s="314"/>
      <c r="F11" s="89" t="s">
        <v>184</v>
      </c>
      <c r="G11" s="89" t="s">
        <v>185</v>
      </c>
      <c r="H11" s="89" t="s">
        <v>186</v>
      </c>
      <c r="I11" s="89" t="s">
        <v>187</v>
      </c>
      <c r="J11" s="89" t="s">
        <v>188</v>
      </c>
      <c r="M11" s="303"/>
      <c r="N11" s="303"/>
      <c r="O11" s="303"/>
      <c r="P11" s="303"/>
    </row>
    <row r="12" spans="1:16" s="14" customFormat="1" ht="23.25" customHeight="1">
      <c r="A12" s="196" t="s">
        <v>221</v>
      </c>
      <c r="B12" s="196"/>
      <c r="C12" s="98" t="s">
        <v>280</v>
      </c>
      <c r="D12" s="244" t="s">
        <v>281</v>
      </c>
      <c r="E12" s="244"/>
      <c r="F12" s="101">
        <v>0.44</v>
      </c>
      <c r="G12" s="101" t="s">
        <v>192</v>
      </c>
      <c r="H12" s="101" t="s">
        <v>192</v>
      </c>
      <c r="I12" s="101" t="s">
        <v>192</v>
      </c>
      <c r="J12" s="101" t="s">
        <v>192</v>
      </c>
      <c r="M12" s="303"/>
      <c r="N12" s="303"/>
      <c r="O12" s="303"/>
      <c r="P12" s="303"/>
    </row>
    <row r="13" spans="1:16" s="14" customFormat="1" ht="23.25" customHeight="1">
      <c r="A13" s="196" t="s">
        <v>282</v>
      </c>
      <c r="B13" s="196"/>
      <c r="C13" s="98" t="s">
        <v>283</v>
      </c>
      <c r="D13" s="244" t="s">
        <v>284</v>
      </c>
      <c r="E13" s="244"/>
      <c r="F13" s="101" t="s">
        <v>285</v>
      </c>
      <c r="G13" s="101" t="s">
        <v>192</v>
      </c>
      <c r="H13" s="101" t="s">
        <v>192</v>
      </c>
      <c r="I13" s="101" t="s">
        <v>192</v>
      </c>
      <c r="J13" s="101" t="s">
        <v>192</v>
      </c>
    </row>
    <row r="14" spans="1:16" s="14" customFormat="1" ht="23.25" customHeight="1">
      <c r="A14" s="196" t="s">
        <v>286</v>
      </c>
      <c r="B14" s="196"/>
      <c r="C14" s="98" t="s">
        <v>283</v>
      </c>
      <c r="D14" s="244" t="s">
        <v>284</v>
      </c>
      <c r="E14" s="244"/>
      <c r="F14" s="101">
        <v>0.01</v>
      </c>
      <c r="G14" s="101" t="s">
        <v>192</v>
      </c>
      <c r="H14" s="101" t="s">
        <v>192</v>
      </c>
      <c r="I14" s="101" t="s">
        <v>192</v>
      </c>
      <c r="J14" s="101" t="s">
        <v>192</v>
      </c>
    </row>
    <row r="15" spans="1:16" s="14" customFormat="1" ht="23.25" customHeight="1">
      <c r="A15" s="196" t="s">
        <v>287</v>
      </c>
      <c r="B15" s="196"/>
      <c r="C15" s="98" t="s">
        <v>283</v>
      </c>
      <c r="D15" s="244" t="s">
        <v>288</v>
      </c>
      <c r="E15" s="244"/>
      <c r="F15" s="101">
        <v>0.02</v>
      </c>
      <c r="G15" s="101" t="s">
        <v>192</v>
      </c>
      <c r="H15" s="101" t="s">
        <v>192</v>
      </c>
      <c r="I15" s="101" t="s">
        <v>192</v>
      </c>
      <c r="J15" s="101" t="s">
        <v>192</v>
      </c>
    </row>
    <row r="16" spans="1:16" s="14" customFormat="1" ht="23.25" customHeight="1">
      <c r="A16" s="196" t="s">
        <v>289</v>
      </c>
      <c r="B16" s="196"/>
      <c r="C16" s="98" t="s">
        <v>283</v>
      </c>
      <c r="D16" s="244" t="s">
        <v>290</v>
      </c>
      <c r="E16" s="244"/>
      <c r="F16" s="101">
        <v>7.0000000000000001E-3</v>
      </c>
      <c r="G16" s="101" t="s">
        <v>192</v>
      </c>
      <c r="H16" s="101" t="s">
        <v>192</v>
      </c>
      <c r="I16" s="101" t="s">
        <v>192</v>
      </c>
      <c r="J16" s="101" t="s">
        <v>192</v>
      </c>
    </row>
    <row r="17" spans="1:10" s="14" customFormat="1" ht="23.25" customHeight="1">
      <c r="A17" s="196" t="s">
        <v>291</v>
      </c>
      <c r="B17" s="196"/>
      <c r="C17" s="98" t="s">
        <v>283</v>
      </c>
      <c r="D17" s="244" t="s">
        <v>292</v>
      </c>
      <c r="E17" s="244"/>
      <c r="F17" s="101">
        <v>7.6999999999999996E-4</v>
      </c>
      <c r="G17" s="101" t="s">
        <v>192</v>
      </c>
      <c r="H17" s="101" t="s">
        <v>192</v>
      </c>
      <c r="I17" s="101" t="s">
        <v>192</v>
      </c>
      <c r="J17" s="101" t="s">
        <v>192</v>
      </c>
    </row>
    <row r="18" spans="1:10" s="14" customFormat="1" ht="23.25" customHeight="1">
      <c r="A18" s="196" t="s">
        <v>293</v>
      </c>
      <c r="B18" s="196"/>
      <c r="C18" s="98" t="s">
        <v>283</v>
      </c>
      <c r="D18" s="244" t="s">
        <v>292</v>
      </c>
      <c r="E18" s="244"/>
      <c r="F18" s="101">
        <v>4.0000000000000003E-5</v>
      </c>
      <c r="G18" s="101" t="s">
        <v>192</v>
      </c>
      <c r="H18" s="101" t="s">
        <v>192</v>
      </c>
      <c r="I18" s="101" t="s">
        <v>192</v>
      </c>
      <c r="J18" s="101" t="s">
        <v>192</v>
      </c>
    </row>
    <row r="19" spans="1:10" s="14" customFormat="1" ht="23.25" customHeight="1">
      <c r="A19" s="196" t="s">
        <v>294</v>
      </c>
      <c r="B19" s="196"/>
      <c r="C19" s="98" t="s">
        <v>283</v>
      </c>
      <c r="D19" s="244" t="s">
        <v>292</v>
      </c>
      <c r="E19" s="244"/>
      <c r="F19" s="101">
        <v>1.8799999999999999E-3</v>
      </c>
      <c r="G19" s="101" t="s">
        <v>192</v>
      </c>
      <c r="H19" s="101" t="s">
        <v>192</v>
      </c>
      <c r="I19" s="101" t="s">
        <v>192</v>
      </c>
      <c r="J19" s="101" t="s">
        <v>192</v>
      </c>
    </row>
    <row r="20" spans="1:10" s="14" customFormat="1" ht="23.25" customHeight="1">
      <c r="A20" s="196" t="s">
        <v>295</v>
      </c>
      <c r="B20" s="196"/>
      <c r="C20" s="98" t="s">
        <v>283</v>
      </c>
      <c r="D20" s="244" t="s">
        <v>292</v>
      </c>
      <c r="E20" s="244"/>
      <c r="F20" s="101">
        <v>7.0000000000000001E-3</v>
      </c>
      <c r="G20" s="101" t="s">
        <v>192</v>
      </c>
      <c r="H20" s="101" t="s">
        <v>192</v>
      </c>
      <c r="I20" s="101" t="s">
        <v>192</v>
      </c>
      <c r="J20" s="101" t="s">
        <v>192</v>
      </c>
    </row>
    <row r="21" spans="1:10" s="14" customFormat="1" ht="23.25" customHeight="1">
      <c r="A21" s="196" t="s">
        <v>296</v>
      </c>
      <c r="B21" s="196"/>
      <c r="C21" s="98" t="s">
        <v>283</v>
      </c>
      <c r="D21" s="244" t="s">
        <v>292</v>
      </c>
      <c r="E21" s="244"/>
      <c r="F21" s="101">
        <v>8.0000000000000002E-3</v>
      </c>
      <c r="G21" s="101" t="s">
        <v>192</v>
      </c>
      <c r="H21" s="101" t="s">
        <v>192</v>
      </c>
      <c r="I21" s="101" t="s">
        <v>192</v>
      </c>
      <c r="J21" s="101" t="s">
        <v>192</v>
      </c>
    </row>
    <row r="22" spans="1:10" s="14" customFormat="1" ht="23.25" customHeight="1">
      <c r="A22" s="196" t="s">
        <v>297</v>
      </c>
      <c r="B22" s="196"/>
      <c r="C22" s="98" t="s">
        <v>283</v>
      </c>
      <c r="D22" s="244" t="s">
        <v>292</v>
      </c>
      <c r="E22" s="244"/>
      <c r="F22" s="101">
        <v>1.4E-2</v>
      </c>
      <c r="G22" s="101" t="s">
        <v>192</v>
      </c>
      <c r="H22" s="101" t="s">
        <v>192</v>
      </c>
      <c r="I22" s="101" t="s">
        <v>192</v>
      </c>
      <c r="J22" s="101" t="s">
        <v>192</v>
      </c>
    </row>
    <row r="23" spans="1:10" s="14" customFormat="1" ht="23.25" customHeight="1">
      <c r="A23" s="196" t="s">
        <v>298</v>
      </c>
      <c r="B23" s="196"/>
      <c r="C23" s="98" t="s">
        <v>283</v>
      </c>
      <c r="D23" s="244" t="s">
        <v>299</v>
      </c>
      <c r="E23" s="244"/>
      <c r="F23" s="101" t="s">
        <v>300</v>
      </c>
      <c r="G23" s="101" t="s">
        <v>192</v>
      </c>
      <c r="H23" s="101" t="s">
        <v>192</v>
      </c>
      <c r="I23" s="101" t="s">
        <v>192</v>
      </c>
      <c r="J23" s="101" t="s">
        <v>192</v>
      </c>
    </row>
    <row r="24" spans="1:10" s="14" customFormat="1" ht="23.25" customHeight="1">
      <c r="A24" s="196" t="s">
        <v>301</v>
      </c>
      <c r="B24" s="196"/>
      <c r="C24" s="98" t="s">
        <v>283</v>
      </c>
      <c r="D24" s="244" t="s">
        <v>299</v>
      </c>
      <c r="E24" s="244"/>
      <c r="F24" s="101" t="s">
        <v>300</v>
      </c>
      <c r="G24" s="101" t="s">
        <v>192</v>
      </c>
      <c r="H24" s="101" t="s">
        <v>192</v>
      </c>
      <c r="I24" s="101" t="s">
        <v>192</v>
      </c>
      <c r="J24" s="101" t="s">
        <v>192</v>
      </c>
    </row>
    <row r="25" spans="1:10" s="14" customFormat="1" ht="23.25" customHeight="1">
      <c r="A25" s="196" t="s">
        <v>302</v>
      </c>
      <c r="B25" s="196"/>
      <c r="C25" s="98" t="s">
        <v>283</v>
      </c>
      <c r="D25" s="244" t="s">
        <v>299</v>
      </c>
      <c r="E25" s="244"/>
      <c r="F25" s="101" t="s">
        <v>300</v>
      </c>
      <c r="G25" s="101" t="s">
        <v>192</v>
      </c>
      <c r="H25" s="101" t="s">
        <v>192</v>
      </c>
      <c r="I25" s="101" t="s">
        <v>192</v>
      </c>
      <c r="J25" s="101" t="s">
        <v>192</v>
      </c>
    </row>
    <row r="26" spans="1:10" s="14" customFormat="1" ht="23.25" customHeight="1">
      <c r="A26" s="196" t="s">
        <v>303</v>
      </c>
      <c r="B26" s="196"/>
      <c r="C26" s="98" t="s">
        <v>283</v>
      </c>
      <c r="D26" s="244" t="s">
        <v>299</v>
      </c>
      <c r="E26" s="244"/>
      <c r="F26" s="101">
        <v>3.7000000000000002E-3</v>
      </c>
      <c r="G26" s="101" t="s">
        <v>192</v>
      </c>
      <c r="H26" s="101" t="s">
        <v>192</v>
      </c>
      <c r="I26" s="101" t="s">
        <v>192</v>
      </c>
      <c r="J26" s="101" t="s">
        <v>192</v>
      </c>
    </row>
    <row r="27" spans="1:10" s="14" customFormat="1" ht="23.25" customHeight="1">
      <c r="A27" s="196" t="s">
        <v>304</v>
      </c>
      <c r="B27" s="196"/>
      <c r="C27" s="98" t="s">
        <v>283</v>
      </c>
      <c r="D27" s="244" t="s">
        <v>299</v>
      </c>
      <c r="E27" s="244"/>
      <c r="F27" s="101" t="s">
        <v>300</v>
      </c>
      <c r="G27" s="101" t="s">
        <v>192</v>
      </c>
      <c r="H27" s="101" t="s">
        <v>192</v>
      </c>
      <c r="I27" s="101" t="s">
        <v>192</v>
      </c>
      <c r="J27" s="101" t="s">
        <v>192</v>
      </c>
    </row>
    <row r="28" spans="1:10" s="14" customFormat="1" ht="23.25" customHeight="1">
      <c r="A28" s="196" t="s">
        <v>305</v>
      </c>
      <c r="B28" s="196"/>
      <c r="C28" s="98" t="s">
        <v>283</v>
      </c>
      <c r="D28" s="244" t="s">
        <v>299</v>
      </c>
      <c r="E28" s="244"/>
      <c r="F28" s="101" t="s">
        <v>300</v>
      </c>
      <c r="G28" s="101" t="s">
        <v>192</v>
      </c>
      <c r="H28" s="101" t="s">
        <v>192</v>
      </c>
      <c r="I28" s="101" t="s">
        <v>192</v>
      </c>
      <c r="J28" s="101" t="s">
        <v>192</v>
      </c>
    </row>
    <row r="29" spans="1:10" s="14" customFormat="1" ht="23.25" customHeight="1">
      <c r="A29" s="196" t="s">
        <v>306</v>
      </c>
      <c r="B29" s="196"/>
      <c r="C29" s="98" t="s">
        <v>283</v>
      </c>
      <c r="D29" s="244" t="s">
        <v>299</v>
      </c>
      <c r="E29" s="244"/>
      <c r="F29" s="101">
        <v>2.5999999999999999E-3</v>
      </c>
      <c r="G29" s="101" t="s">
        <v>192</v>
      </c>
      <c r="H29" s="101" t="s">
        <v>192</v>
      </c>
      <c r="I29" s="101" t="s">
        <v>192</v>
      </c>
      <c r="J29" s="101" t="s">
        <v>192</v>
      </c>
    </row>
    <row r="30" spans="1:10" s="14" customFormat="1" ht="23.25" customHeight="1">
      <c r="A30" s="196" t="s">
        <v>307</v>
      </c>
      <c r="B30" s="196"/>
      <c r="C30" s="98" t="s">
        <v>283</v>
      </c>
      <c r="D30" s="244" t="s">
        <v>299</v>
      </c>
      <c r="E30" s="244"/>
      <c r="F30" s="101" t="s">
        <v>300</v>
      </c>
      <c r="G30" s="101" t="s">
        <v>192</v>
      </c>
      <c r="H30" s="101" t="s">
        <v>192</v>
      </c>
      <c r="I30" s="101" t="s">
        <v>192</v>
      </c>
      <c r="J30" s="101" t="s">
        <v>192</v>
      </c>
    </row>
    <row r="31" spans="1:10" s="14" customFormat="1" ht="23.25" customHeight="1">
      <c r="A31" s="196" t="s">
        <v>308</v>
      </c>
      <c r="B31" s="196"/>
      <c r="C31" s="98" t="s">
        <v>283</v>
      </c>
      <c r="D31" s="244" t="s">
        <v>299</v>
      </c>
      <c r="E31" s="244"/>
      <c r="F31" s="101" t="s">
        <v>300</v>
      </c>
      <c r="G31" s="101" t="s">
        <v>192</v>
      </c>
      <c r="H31" s="101" t="s">
        <v>192</v>
      </c>
      <c r="I31" s="101" t="s">
        <v>192</v>
      </c>
      <c r="J31" s="101" t="s">
        <v>192</v>
      </c>
    </row>
    <row r="32" spans="1:10" s="14" customFormat="1" ht="23.25" customHeight="1">
      <c r="A32" s="196" t="s">
        <v>309</v>
      </c>
      <c r="B32" s="196"/>
      <c r="C32" s="98" t="s">
        <v>283</v>
      </c>
      <c r="D32" s="244" t="s">
        <v>299</v>
      </c>
      <c r="E32" s="244"/>
      <c r="F32" s="101">
        <v>4.1999999999999997E-3</v>
      </c>
      <c r="G32" s="101" t="s">
        <v>192</v>
      </c>
      <c r="H32" s="101" t="s">
        <v>192</v>
      </c>
      <c r="I32" s="101" t="s">
        <v>192</v>
      </c>
      <c r="J32" s="101" t="s">
        <v>192</v>
      </c>
    </row>
    <row r="33" spans="1:10" s="14" customFormat="1" ht="23.25" customHeight="1">
      <c r="A33" s="196" t="s">
        <v>310</v>
      </c>
      <c r="B33" s="196"/>
      <c r="C33" s="98" t="s">
        <v>283</v>
      </c>
      <c r="D33" s="244" t="s">
        <v>299</v>
      </c>
      <c r="E33" s="244"/>
      <c r="F33" s="101" t="s">
        <v>300</v>
      </c>
      <c r="G33" s="101" t="s">
        <v>192</v>
      </c>
      <c r="H33" s="101" t="s">
        <v>192</v>
      </c>
      <c r="I33" s="101" t="s">
        <v>192</v>
      </c>
      <c r="J33" s="101" t="s">
        <v>192</v>
      </c>
    </row>
    <row r="34" spans="1:10" s="14" customFormat="1" ht="23.25" customHeight="1">
      <c r="A34" s="196" t="s">
        <v>311</v>
      </c>
      <c r="B34" s="196"/>
      <c r="C34" s="98" t="s">
        <v>283</v>
      </c>
      <c r="D34" s="244" t="s">
        <v>299</v>
      </c>
      <c r="E34" s="244"/>
      <c r="F34" s="101" t="s">
        <v>300</v>
      </c>
      <c r="G34" s="101" t="s">
        <v>192</v>
      </c>
      <c r="H34" s="101" t="s">
        <v>192</v>
      </c>
      <c r="I34" s="101" t="s">
        <v>192</v>
      </c>
      <c r="J34" s="101" t="s">
        <v>192</v>
      </c>
    </row>
    <row r="35" spans="1:10" s="14" customFormat="1" ht="23.25" customHeight="1">
      <c r="A35" s="196" t="s">
        <v>312</v>
      </c>
      <c r="B35" s="196"/>
      <c r="C35" s="98" t="s">
        <v>283</v>
      </c>
      <c r="D35" s="244" t="s">
        <v>299</v>
      </c>
      <c r="E35" s="244"/>
      <c r="F35" s="101" t="s">
        <v>300</v>
      </c>
      <c r="G35" s="101" t="s">
        <v>192</v>
      </c>
      <c r="H35" s="101" t="s">
        <v>192</v>
      </c>
      <c r="I35" s="101" t="s">
        <v>192</v>
      </c>
      <c r="J35" s="101" t="s">
        <v>192</v>
      </c>
    </row>
    <row r="36" spans="1:10" s="14" customFormat="1" ht="23.25" customHeight="1">
      <c r="A36" s="196" t="s">
        <v>313</v>
      </c>
      <c r="B36" s="196"/>
      <c r="C36" s="98" t="s">
        <v>283</v>
      </c>
      <c r="D36" s="244" t="s">
        <v>299</v>
      </c>
      <c r="E36" s="244"/>
      <c r="F36" s="101">
        <v>6.6199999999999995E-2</v>
      </c>
      <c r="G36" s="101" t="s">
        <v>192</v>
      </c>
      <c r="H36" s="101" t="s">
        <v>192</v>
      </c>
      <c r="I36" s="101" t="s">
        <v>192</v>
      </c>
      <c r="J36" s="101" t="s">
        <v>192</v>
      </c>
    </row>
    <row r="37" spans="1:10" s="14" customFormat="1" ht="23.25" customHeight="1">
      <c r="A37" s="196" t="s">
        <v>314</v>
      </c>
      <c r="B37" s="196"/>
      <c r="C37" s="98" t="s">
        <v>283</v>
      </c>
      <c r="D37" s="244" t="s">
        <v>299</v>
      </c>
      <c r="E37" s="244"/>
      <c r="F37" s="101">
        <v>3.0000000000000001E-3</v>
      </c>
      <c r="G37" s="101" t="s">
        <v>192</v>
      </c>
      <c r="H37" s="101" t="s">
        <v>192</v>
      </c>
      <c r="I37" s="101" t="s">
        <v>192</v>
      </c>
      <c r="J37" s="101" t="s">
        <v>192</v>
      </c>
    </row>
    <row r="38" spans="1:10" s="14" customFormat="1" ht="23.25" customHeight="1">
      <c r="A38" s="196" t="s">
        <v>315</v>
      </c>
      <c r="B38" s="196"/>
      <c r="C38" s="98" t="s">
        <v>283</v>
      </c>
      <c r="D38" s="244" t="s">
        <v>299</v>
      </c>
      <c r="E38" s="244"/>
      <c r="F38" s="101">
        <v>3.46</v>
      </c>
      <c r="G38" s="101" t="s">
        <v>192</v>
      </c>
      <c r="H38" s="101" t="s">
        <v>192</v>
      </c>
      <c r="I38" s="101" t="s">
        <v>192</v>
      </c>
      <c r="J38" s="101" t="s">
        <v>192</v>
      </c>
    </row>
    <row r="39" spans="1:10">
      <c r="A39" s="230" t="s">
        <v>265</v>
      </c>
      <c r="B39" s="230"/>
      <c r="C39" s="230"/>
      <c r="D39" s="230"/>
      <c r="E39" s="230"/>
      <c r="F39" s="230"/>
      <c r="G39" s="230"/>
      <c r="H39" s="230"/>
      <c r="I39" s="230"/>
      <c r="J39" s="230"/>
    </row>
    <row r="40" spans="1:10">
      <c r="A40" s="231" t="s">
        <v>316</v>
      </c>
      <c r="B40" s="231"/>
      <c r="C40" s="231"/>
      <c r="D40" s="231"/>
      <c r="E40" s="231"/>
      <c r="F40" s="231"/>
      <c r="G40" s="231"/>
      <c r="H40" s="231"/>
      <c r="I40" s="231"/>
      <c r="J40" s="231"/>
    </row>
    <row r="41" spans="1:10">
      <c r="A41" s="231"/>
      <c r="B41" s="231"/>
      <c r="C41" s="231"/>
      <c r="D41" s="231"/>
      <c r="E41" s="231"/>
      <c r="F41" s="231"/>
      <c r="G41" s="231"/>
      <c r="H41" s="231"/>
      <c r="I41" s="231"/>
      <c r="J41" s="231"/>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showGridLines="0" topLeftCell="A12" zoomScaleNormal="100" workbookViewId="0">
      <selection activeCell="E24" sqref="E24"/>
    </sheetView>
  </sheetViews>
  <sheetFormatPr defaultColWidth="9.28515625" defaultRowHeight="15.6"/>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139" t="str">
        <f>+'Cover Page'!$B$29</f>
        <v>Annual Performance Report 2022</v>
      </c>
      <c r="B1" s="139"/>
      <c r="C1" s="139"/>
      <c r="D1" s="139"/>
      <c r="E1" s="139"/>
      <c r="F1" s="139"/>
      <c r="G1" s="139"/>
      <c r="H1" s="139"/>
      <c r="I1" s="139" t="str">
        <f>+'Cover Page'!$B$33</f>
        <v>Twinwoods Co-Incinerator</v>
      </c>
      <c r="J1" s="139"/>
      <c r="K1" s="139"/>
      <c r="L1" s="139"/>
      <c r="M1" s="139"/>
      <c r="N1" s="139"/>
      <c r="O1" s="139"/>
      <c r="P1" s="139"/>
    </row>
    <row r="3" spans="1:16">
      <c r="A3" s="1" t="s">
        <v>317</v>
      </c>
      <c r="B3" s="139"/>
      <c r="C3" s="139"/>
      <c r="D3" s="139"/>
      <c r="E3" s="139"/>
      <c r="F3" s="139"/>
      <c r="G3" s="139"/>
      <c r="H3" s="139"/>
      <c r="I3" s="139"/>
      <c r="J3" s="139"/>
      <c r="K3" s="139"/>
      <c r="L3" s="139"/>
      <c r="M3" s="139"/>
      <c r="N3" s="139"/>
      <c r="O3" s="139"/>
      <c r="P3" s="139"/>
    </row>
    <row r="4" spans="1:16">
      <c r="A4" s="1"/>
      <c r="B4" s="139"/>
      <c r="C4" s="139"/>
      <c r="D4" s="139"/>
      <c r="E4" s="139"/>
      <c r="F4" s="139"/>
      <c r="G4" s="139"/>
      <c r="H4" s="139"/>
      <c r="I4" s="139"/>
      <c r="J4" s="139"/>
      <c r="K4" s="139"/>
      <c r="L4" s="139"/>
      <c r="M4" s="139"/>
      <c r="N4" s="139"/>
      <c r="O4" s="139"/>
      <c r="P4" s="123" t="s">
        <v>3</v>
      </c>
    </row>
    <row r="5" spans="1:16" s="3" customFormat="1" ht="21.75" customHeight="1">
      <c r="A5" s="92" t="s">
        <v>273</v>
      </c>
      <c r="B5" s="93"/>
      <c r="C5" s="93"/>
      <c r="D5" s="93"/>
      <c r="E5" s="93"/>
      <c r="F5" s="93"/>
      <c r="G5" s="93"/>
      <c r="H5" s="93"/>
      <c r="I5" s="93"/>
      <c r="J5" s="93"/>
      <c r="K5" s="93"/>
      <c r="L5" s="93"/>
      <c r="M5" s="94"/>
      <c r="P5" s="124" t="s">
        <v>318</v>
      </c>
    </row>
    <row r="6" spans="1:16" s="3" customFormat="1" ht="15.75" customHeight="1">
      <c r="A6" s="281" t="s">
        <v>319</v>
      </c>
      <c r="B6" s="181"/>
      <c r="C6" s="181"/>
      <c r="D6" s="181"/>
      <c r="E6" s="181"/>
      <c r="F6" s="181"/>
      <c r="G6" s="181"/>
      <c r="H6" s="181"/>
      <c r="I6" s="181"/>
      <c r="J6" s="181"/>
      <c r="K6" s="181"/>
      <c r="L6" s="181"/>
      <c r="M6" s="182"/>
    </row>
    <row r="7" spans="1:16" s="3" customFormat="1" ht="15.75" customHeight="1">
      <c r="A7" s="186"/>
      <c r="B7" s="187"/>
      <c r="C7" s="187"/>
      <c r="D7" s="187"/>
      <c r="E7" s="187"/>
      <c r="F7" s="187"/>
      <c r="G7" s="187"/>
      <c r="H7" s="187"/>
      <c r="I7" s="187"/>
      <c r="J7" s="187"/>
      <c r="K7" s="187"/>
      <c r="L7" s="187"/>
      <c r="M7" s="188"/>
    </row>
    <row r="8" spans="1:16" s="3" customFormat="1" ht="15.75" customHeight="1">
      <c r="A8" s="172"/>
      <c r="B8" s="173"/>
      <c r="C8" s="173"/>
      <c r="D8" s="173"/>
      <c r="E8" s="173"/>
      <c r="F8" s="173"/>
      <c r="G8" s="173"/>
      <c r="H8" s="173"/>
      <c r="I8" s="173"/>
      <c r="J8" s="173"/>
      <c r="K8" s="173"/>
      <c r="L8" s="173"/>
      <c r="M8" s="174"/>
    </row>
    <row r="9" spans="1:16" s="3" customFormat="1" ht="15.75" customHeight="1">
      <c r="A9" s="178"/>
      <c r="B9" s="179"/>
      <c r="C9" s="179"/>
      <c r="D9" s="179"/>
      <c r="E9" s="179"/>
      <c r="F9" s="179"/>
      <c r="G9" s="179"/>
      <c r="H9" s="179"/>
      <c r="I9" s="179"/>
      <c r="J9" s="179"/>
      <c r="K9" s="179"/>
      <c r="L9" s="179"/>
      <c r="M9" s="180"/>
    </row>
    <row r="10" spans="1:16" s="3" customFormat="1" ht="14.1"/>
    <row r="11" spans="1:16" s="103" customFormat="1" ht="16.5" customHeight="1">
      <c r="A11" s="282" t="s">
        <v>320</v>
      </c>
      <c r="B11" s="282"/>
      <c r="C11" s="282"/>
      <c r="D11" s="282"/>
      <c r="E11" s="282"/>
      <c r="F11" s="282"/>
      <c r="G11" s="282"/>
      <c r="H11" s="282"/>
      <c r="I11" s="282"/>
      <c r="J11" s="282"/>
      <c r="K11" s="282"/>
      <c r="L11" s="282"/>
      <c r="M11" s="282"/>
    </row>
    <row r="12" spans="1:16" s="103" customFormat="1" ht="16.5" customHeight="1">
      <c r="A12" s="322" t="s">
        <v>211</v>
      </c>
      <c r="B12" s="315" t="s">
        <v>321</v>
      </c>
      <c r="C12" s="259" t="s">
        <v>278</v>
      </c>
      <c r="D12" s="260" t="s">
        <v>184</v>
      </c>
      <c r="E12" s="324"/>
      <c r="F12" s="260" t="s">
        <v>185</v>
      </c>
      <c r="G12" s="324"/>
      <c r="H12" s="260" t="s">
        <v>186</v>
      </c>
      <c r="I12" s="324"/>
      <c r="J12" s="260" t="s">
        <v>187</v>
      </c>
      <c r="K12" s="324"/>
      <c r="L12" s="260" t="s">
        <v>188</v>
      </c>
      <c r="M12" s="324"/>
    </row>
    <row r="13" spans="1:16" s="14" customFormat="1" ht="17.25" customHeight="1">
      <c r="A13" s="322"/>
      <c r="B13" s="323"/>
      <c r="C13" s="259"/>
      <c r="D13" s="89" t="s">
        <v>270</v>
      </c>
      <c r="E13" s="105" t="s">
        <v>322</v>
      </c>
      <c r="F13" s="89" t="s">
        <v>270</v>
      </c>
      <c r="G13" s="105" t="s">
        <v>322</v>
      </c>
      <c r="H13" s="89" t="s">
        <v>270</v>
      </c>
      <c r="I13" s="105" t="s">
        <v>322</v>
      </c>
      <c r="J13" s="89" t="s">
        <v>270</v>
      </c>
      <c r="K13" s="105" t="s">
        <v>322</v>
      </c>
      <c r="L13" s="89" t="s">
        <v>270</v>
      </c>
      <c r="M13" s="105" t="s">
        <v>322</v>
      </c>
    </row>
    <row r="14" spans="1:16" s="14" customFormat="1" ht="23.25" customHeight="1">
      <c r="A14" s="196" t="s">
        <v>216</v>
      </c>
      <c r="B14" s="100" t="s">
        <v>323</v>
      </c>
      <c r="C14" s="100" t="s">
        <v>324</v>
      </c>
      <c r="D14" s="101">
        <v>282</v>
      </c>
      <c r="E14" s="101">
        <v>168</v>
      </c>
      <c r="F14" s="101" t="s">
        <v>192</v>
      </c>
      <c r="G14" s="101" t="s">
        <v>192</v>
      </c>
      <c r="H14" s="101" t="s">
        <v>192</v>
      </c>
      <c r="I14" s="101" t="s">
        <v>192</v>
      </c>
      <c r="J14" s="101" t="s">
        <v>192</v>
      </c>
      <c r="K14" s="101" t="s">
        <v>192</v>
      </c>
      <c r="L14" s="101" t="s">
        <v>192</v>
      </c>
      <c r="M14" s="101" t="s">
        <v>192</v>
      </c>
    </row>
    <row r="15" spans="1:16" s="14" customFormat="1" ht="23.25" customHeight="1">
      <c r="A15" s="196"/>
      <c r="B15" s="100" t="s">
        <v>325</v>
      </c>
      <c r="C15" s="100" t="s">
        <v>326</v>
      </c>
      <c r="D15" s="101">
        <v>2180</v>
      </c>
      <c r="E15" s="101">
        <v>168</v>
      </c>
      <c r="F15" s="101" t="s">
        <v>192</v>
      </c>
      <c r="G15" s="101" t="s">
        <v>192</v>
      </c>
      <c r="H15" s="101" t="s">
        <v>192</v>
      </c>
      <c r="I15" s="101" t="s">
        <v>192</v>
      </c>
      <c r="J15" s="101" t="s">
        <v>192</v>
      </c>
      <c r="K15" s="101" t="s">
        <v>192</v>
      </c>
      <c r="L15" s="101" t="s">
        <v>192</v>
      </c>
      <c r="M15" s="101" t="s">
        <v>192</v>
      </c>
    </row>
    <row r="16" spans="1:16" s="14" customFormat="1" ht="23.25" customHeight="1">
      <c r="A16" s="74" t="s">
        <v>215</v>
      </c>
      <c r="B16" s="77" t="s">
        <v>323</v>
      </c>
      <c r="C16" s="100" t="s">
        <v>327</v>
      </c>
      <c r="D16" s="101">
        <v>8.8000000000000007</v>
      </c>
      <c r="E16" s="101">
        <v>0.21</v>
      </c>
      <c r="F16" s="101" t="s">
        <v>192</v>
      </c>
      <c r="G16" s="101" t="s">
        <v>192</v>
      </c>
      <c r="H16" s="101" t="s">
        <v>192</v>
      </c>
      <c r="I16" s="101" t="s">
        <v>192</v>
      </c>
      <c r="J16" s="101" t="s">
        <v>192</v>
      </c>
      <c r="K16" s="101" t="s">
        <v>192</v>
      </c>
      <c r="L16" s="101" t="s">
        <v>192</v>
      </c>
      <c r="M16" s="101" t="s">
        <v>192</v>
      </c>
    </row>
    <row r="17" spans="1:13" s="14" customFormat="1" ht="23.25" customHeight="1">
      <c r="A17" s="74"/>
      <c r="B17" s="100" t="s">
        <v>325</v>
      </c>
      <c r="C17" s="100" t="s">
        <v>328</v>
      </c>
      <c r="D17" s="101">
        <v>136.5</v>
      </c>
      <c r="E17" s="101">
        <v>0.21</v>
      </c>
      <c r="F17" s="101" t="s">
        <v>192</v>
      </c>
      <c r="G17" s="101" t="s">
        <v>192</v>
      </c>
      <c r="H17" s="101" t="s">
        <v>192</v>
      </c>
      <c r="I17" s="101" t="s">
        <v>192</v>
      </c>
      <c r="J17" s="101" t="s">
        <v>192</v>
      </c>
      <c r="K17" s="101" t="s">
        <v>192</v>
      </c>
      <c r="L17" s="101" t="s">
        <v>192</v>
      </c>
      <c r="M17" s="101" t="s">
        <v>192</v>
      </c>
    </row>
    <row r="18" spans="1:13" s="14" customFormat="1" ht="23.25" customHeight="1">
      <c r="A18" s="74" t="s">
        <v>329</v>
      </c>
      <c r="B18" s="100" t="s">
        <v>323</v>
      </c>
      <c r="C18" s="100" t="s">
        <v>330</v>
      </c>
      <c r="D18" s="101">
        <v>185.8</v>
      </c>
      <c r="E18" s="101">
        <v>0.78</v>
      </c>
      <c r="F18" s="101" t="s">
        <v>192</v>
      </c>
      <c r="G18" s="101" t="s">
        <v>192</v>
      </c>
      <c r="H18" s="101" t="s">
        <v>192</v>
      </c>
      <c r="I18" s="101" t="s">
        <v>192</v>
      </c>
      <c r="J18" s="101" t="s">
        <v>192</v>
      </c>
      <c r="K18" s="101" t="s">
        <v>192</v>
      </c>
      <c r="L18" s="101" t="s">
        <v>192</v>
      </c>
      <c r="M18" s="101" t="s">
        <v>192</v>
      </c>
    </row>
    <row r="19" spans="1:13" s="14" customFormat="1" ht="23.25" customHeight="1">
      <c r="A19" s="74"/>
      <c r="B19" s="100" t="s">
        <v>325</v>
      </c>
      <c r="C19" s="100" t="s">
        <v>331</v>
      </c>
      <c r="D19" s="101">
        <v>20.7</v>
      </c>
      <c r="E19" s="101">
        <v>0.78</v>
      </c>
      <c r="F19" s="101" t="s">
        <v>192</v>
      </c>
      <c r="G19" s="101" t="s">
        <v>192</v>
      </c>
      <c r="H19" s="101" t="s">
        <v>192</v>
      </c>
      <c r="I19" s="101" t="s">
        <v>192</v>
      </c>
      <c r="J19" s="101" t="s">
        <v>192</v>
      </c>
      <c r="K19" s="101" t="s">
        <v>192</v>
      </c>
      <c r="L19" s="101" t="s">
        <v>192</v>
      </c>
      <c r="M19" s="101" t="s">
        <v>192</v>
      </c>
    </row>
    <row r="20" spans="1:13" s="14" customFormat="1" ht="23.25" customHeight="1">
      <c r="A20" s="74" t="s">
        <v>332</v>
      </c>
      <c r="B20" s="100" t="s">
        <v>323</v>
      </c>
      <c r="C20" s="100" t="s">
        <v>330</v>
      </c>
      <c r="D20" s="101">
        <v>9.6999999999999993</v>
      </c>
      <c r="E20" s="101">
        <v>5.84</v>
      </c>
      <c r="F20" s="101" t="s">
        <v>192</v>
      </c>
      <c r="G20" s="101" t="s">
        <v>192</v>
      </c>
      <c r="H20" s="101" t="s">
        <v>192</v>
      </c>
      <c r="I20" s="101" t="s">
        <v>192</v>
      </c>
      <c r="J20" s="101" t="s">
        <v>192</v>
      </c>
      <c r="K20" s="101" t="s">
        <v>192</v>
      </c>
      <c r="L20" s="101" t="s">
        <v>192</v>
      </c>
      <c r="M20" s="101" t="s">
        <v>192</v>
      </c>
    </row>
    <row r="21" spans="1:13" s="14" customFormat="1" ht="23.25" customHeight="1">
      <c r="A21" s="74"/>
      <c r="B21" s="100" t="s">
        <v>325</v>
      </c>
      <c r="C21" s="100" t="s">
        <v>333</v>
      </c>
      <c r="D21" s="101">
        <v>50.1</v>
      </c>
      <c r="E21" s="101">
        <v>6.33</v>
      </c>
      <c r="F21" s="101" t="s">
        <v>192</v>
      </c>
      <c r="G21" s="101" t="s">
        <v>192</v>
      </c>
      <c r="H21" s="101" t="s">
        <v>192</v>
      </c>
      <c r="I21" s="101" t="s">
        <v>192</v>
      </c>
      <c r="J21" s="101" t="s">
        <v>192</v>
      </c>
      <c r="K21" s="101" t="s">
        <v>192</v>
      </c>
      <c r="L21" s="101" t="s">
        <v>192</v>
      </c>
      <c r="M21" s="101" t="s">
        <v>192</v>
      </c>
    </row>
    <row r="22" spans="1:13" s="14" customFormat="1" ht="23.25" customHeight="1">
      <c r="A22" s="74" t="s">
        <v>217</v>
      </c>
      <c r="B22" s="100" t="s">
        <v>323</v>
      </c>
      <c r="C22" s="100" t="s">
        <v>334</v>
      </c>
      <c r="D22" s="101">
        <v>286</v>
      </c>
      <c r="E22" s="101">
        <v>28.15</v>
      </c>
      <c r="F22" s="101" t="s">
        <v>192</v>
      </c>
      <c r="G22" s="101" t="s">
        <v>192</v>
      </c>
      <c r="H22" s="101" t="s">
        <v>192</v>
      </c>
      <c r="I22" s="101" t="s">
        <v>192</v>
      </c>
      <c r="J22" s="101" t="s">
        <v>192</v>
      </c>
      <c r="K22" s="101" t="s">
        <v>192</v>
      </c>
      <c r="L22" s="101" t="s">
        <v>192</v>
      </c>
      <c r="M22" s="101" t="s">
        <v>192</v>
      </c>
    </row>
    <row r="23" spans="1:13" s="14" customFormat="1" ht="23.25" customHeight="1">
      <c r="A23" s="74"/>
      <c r="B23" s="100" t="s">
        <v>325</v>
      </c>
      <c r="C23" s="100" t="s">
        <v>324</v>
      </c>
      <c r="D23" s="101">
        <v>4245</v>
      </c>
      <c r="E23" s="101">
        <v>28.33</v>
      </c>
      <c r="F23" s="101" t="s">
        <v>192</v>
      </c>
      <c r="G23" s="101" t="s">
        <v>192</v>
      </c>
      <c r="H23" s="101" t="s">
        <v>192</v>
      </c>
      <c r="I23" s="101" t="s">
        <v>192</v>
      </c>
      <c r="J23" s="101" t="s">
        <v>192</v>
      </c>
      <c r="K23" s="101" t="s">
        <v>192</v>
      </c>
      <c r="L23" s="101" t="s">
        <v>192</v>
      </c>
      <c r="M23" s="101" t="s">
        <v>192</v>
      </c>
    </row>
    <row r="24" spans="1:13" s="14" customFormat="1" ht="23.25" customHeight="1">
      <c r="A24" s="74" t="s">
        <v>335</v>
      </c>
      <c r="B24" s="100" t="s">
        <v>323</v>
      </c>
      <c r="C24" s="100" t="s">
        <v>334</v>
      </c>
      <c r="D24" s="101">
        <v>966</v>
      </c>
      <c r="E24" s="101">
        <v>39.67</v>
      </c>
      <c r="F24" s="101" t="s">
        <v>192</v>
      </c>
      <c r="G24" s="101" t="s">
        <v>192</v>
      </c>
      <c r="H24" s="101" t="s">
        <v>192</v>
      </c>
      <c r="I24" s="101" t="s">
        <v>192</v>
      </c>
      <c r="J24" s="101" t="s">
        <v>192</v>
      </c>
      <c r="K24" s="101" t="s">
        <v>192</v>
      </c>
      <c r="L24" s="101" t="s">
        <v>192</v>
      </c>
      <c r="M24" s="101" t="s">
        <v>192</v>
      </c>
    </row>
    <row r="25" spans="1:13" s="14" customFormat="1" ht="23.25" customHeight="1">
      <c r="A25" s="74"/>
      <c r="B25" s="101" t="s">
        <v>336</v>
      </c>
      <c r="C25" s="101" t="s">
        <v>337</v>
      </c>
      <c r="D25" s="101">
        <v>2787</v>
      </c>
      <c r="E25" s="101">
        <v>39.58</v>
      </c>
      <c r="F25" s="101" t="s">
        <v>192</v>
      </c>
      <c r="G25" s="101" t="s">
        <v>192</v>
      </c>
      <c r="H25" s="101" t="s">
        <v>192</v>
      </c>
      <c r="I25" s="101" t="s">
        <v>192</v>
      </c>
      <c r="J25" s="101" t="s">
        <v>192</v>
      </c>
      <c r="K25" s="101" t="s">
        <v>192</v>
      </c>
      <c r="L25" s="101" t="s">
        <v>192</v>
      </c>
      <c r="M25" s="101" t="s">
        <v>192</v>
      </c>
    </row>
    <row r="26" spans="1:13" s="14" customFormat="1" ht="23.25" customHeight="1">
      <c r="A26" s="134" t="s">
        <v>338</v>
      </c>
      <c r="B26" s="135" t="s">
        <v>323</v>
      </c>
      <c r="C26" s="135" t="s">
        <v>339</v>
      </c>
      <c r="D26" s="101" t="s">
        <v>192</v>
      </c>
      <c r="E26" s="101" t="s">
        <v>192</v>
      </c>
      <c r="F26" s="101" t="s">
        <v>192</v>
      </c>
      <c r="G26" s="101" t="s">
        <v>192</v>
      </c>
      <c r="H26" s="101" t="s">
        <v>192</v>
      </c>
      <c r="I26" s="101" t="s">
        <v>192</v>
      </c>
      <c r="J26" s="101" t="s">
        <v>192</v>
      </c>
      <c r="K26" s="101" t="s">
        <v>192</v>
      </c>
      <c r="L26" s="101" t="s">
        <v>192</v>
      </c>
      <c r="M26" s="101" t="s">
        <v>192</v>
      </c>
    </row>
    <row r="27" spans="1:13">
      <c r="A27" s="317" t="s">
        <v>340</v>
      </c>
      <c r="B27" s="318"/>
      <c r="C27" s="318"/>
      <c r="D27" s="318"/>
      <c r="E27" s="318"/>
      <c r="F27" s="318"/>
      <c r="G27" s="318"/>
      <c r="H27" s="318"/>
      <c r="I27" s="318"/>
      <c r="J27" s="318"/>
      <c r="K27" s="318"/>
      <c r="L27" s="318"/>
      <c r="M27" s="319"/>
    </row>
    <row r="28" spans="1:13">
      <c r="A28" s="136" t="s">
        <v>265</v>
      </c>
      <c r="B28" s="137"/>
      <c r="C28" s="137"/>
      <c r="D28" s="137"/>
      <c r="E28" s="137"/>
      <c r="F28" s="137"/>
      <c r="G28" s="137"/>
      <c r="H28" s="137"/>
      <c r="I28" s="137"/>
      <c r="J28" s="137"/>
      <c r="K28" s="137"/>
      <c r="L28" s="137"/>
      <c r="M28" s="138"/>
    </row>
    <row r="29" spans="1:13">
      <c r="A29" s="320" t="s">
        <v>341</v>
      </c>
      <c r="B29" s="320"/>
      <c r="C29" s="320"/>
      <c r="D29" s="320"/>
      <c r="E29" s="320"/>
      <c r="F29" s="320"/>
      <c r="G29" s="320"/>
      <c r="H29" s="320"/>
      <c r="I29" s="320"/>
      <c r="J29" s="320"/>
      <c r="K29" s="320"/>
      <c r="L29" s="320"/>
      <c r="M29" s="320"/>
    </row>
    <row r="30" spans="1:13">
      <c r="A30" s="321"/>
      <c r="B30" s="321"/>
      <c r="C30" s="321"/>
      <c r="D30" s="321"/>
      <c r="E30" s="321"/>
      <c r="F30" s="321"/>
      <c r="G30" s="321"/>
      <c r="H30" s="321"/>
      <c r="I30" s="321"/>
      <c r="J30" s="321"/>
      <c r="K30" s="321"/>
      <c r="L30" s="321"/>
      <c r="M30" s="321"/>
    </row>
    <row r="67" spans="6:6">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A3" zoomScaleNormal="100" workbookViewId="0">
      <selection activeCell="A49" sqref="A49:G52"/>
    </sheetView>
  </sheetViews>
  <sheetFormatPr defaultRowHeight="14.1"/>
  <cols>
    <col min="1" max="1" width="14" style="3" customWidth="1"/>
    <col min="2"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c r="F1" s="139"/>
      <c r="G1" s="139"/>
    </row>
    <row r="3" spans="1:19" ht="14.45">
      <c r="A3" s="108" t="s">
        <v>342</v>
      </c>
      <c r="D3" s="127" t="s">
        <v>343</v>
      </c>
      <c r="G3" s="131" t="s">
        <v>344</v>
      </c>
      <c r="J3" s="9" t="str">
        <f>+A3</f>
        <v>Monitoring of Hydrogen Chloride emissions</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350</v>
      </c>
      <c r="C6" s="102" t="s">
        <v>351</v>
      </c>
      <c r="D6" s="102" t="s">
        <v>352</v>
      </c>
      <c r="E6" s="102" t="s">
        <v>353</v>
      </c>
      <c r="F6" s="102" t="s">
        <v>354</v>
      </c>
      <c r="G6" s="102" t="s">
        <v>355</v>
      </c>
      <c r="H6" s="107"/>
      <c r="J6" s="109">
        <f>+A6</f>
        <v>2022</v>
      </c>
      <c r="K6" s="109" t="s">
        <v>356</v>
      </c>
      <c r="L6" s="115" t="s">
        <v>351</v>
      </c>
      <c r="M6" s="115" t="s">
        <v>357</v>
      </c>
      <c r="N6" s="115" t="s">
        <v>354</v>
      </c>
      <c r="O6" s="115" t="s">
        <v>358</v>
      </c>
      <c r="Q6" s="303"/>
      <c r="R6" s="303"/>
      <c r="S6" s="303"/>
    </row>
    <row r="7" spans="1:19" ht="13.9" customHeight="1">
      <c r="A7" s="114" t="s">
        <v>359</v>
      </c>
      <c r="B7" s="111">
        <v>60</v>
      </c>
      <c r="C7" s="112">
        <v>7.1</v>
      </c>
      <c r="D7" s="112">
        <v>9.5</v>
      </c>
      <c r="E7" s="111">
        <v>10</v>
      </c>
      <c r="F7" s="112">
        <v>7.15</v>
      </c>
      <c r="G7" s="112">
        <v>7.7</v>
      </c>
      <c r="J7" s="326" t="s">
        <v>184</v>
      </c>
      <c r="K7" s="114" t="s">
        <v>359</v>
      </c>
      <c r="L7" s="112">
        <v>7.1</v>
      </c>
      <c r="M7" s="112">
        <v>9.5</v>
      </c>
      <c r="N7" s="112">
        <v>7.15</v>
      </c>
      <c r="O7" s="112">
        <v>7.7</v>
      </c>
      <c r="Q7" s="303"/>
      <c r="R7" s="303"/>
      <c r="S7" s="303"/>
    </row>
    <row r="8" spans="1:19">
      <c r="A8" s="114" t="s">
        <v>360</v>
      </c>
      <c r="B8" s="111">
        <v>60</v>
      </c>
      <c r="C8" s="112">
        <v>6.6</v>
      </c>
      <c r="D8" s="112">
        <v>9.1</v>
      </c>
      <c r="E8" s="111">
        <v>10</v>
      </c>
      <c r="F8" s="112">
        <v>6.61</v>
      </c>
      <c r="G8" s="112">
        <v>7.1</v>
      </c>
      <c r="J8" s="326"/>
      <c r="K8" s="114" t="s">
        <v>360</v>
      </c>
      <c r="L8" s="112">
        <v>6.6</v>
      </c>
      <c r="M8" s="112">
        <v>9.1</v>
      </c>
      <c r="N8" s="112">
        <v>6.61</v>
      </c>
      <c r="O8" s="112">
        <v>7.1</v>
      </c>
      <c r="Q8" s="303"/>
      <c r="R8" s="303"/>
      <c r="S8" s="303"/>
    </row>
    <row r="9" spans="1:19">
      <c r="A9" s="114" t="s">
        <v>361</v>
      </c>
      <c r="B9" s="111">
        <v>60</v>
      </c>
      <c r="C9" s="112">
        <v>8.1</v>
      </c>
      <c r="D9" s="112">
        <v>8.3000000000000007</v>
      </c>
      <c r="E9" s="111">
        <v>10</v>
      </c>
      <c r="F9" s="112">
        <v>6.1</v>
      </c>
      <c r="G9" s="112">
        <v>7.3</v>
      </c>
      <c r="J9" s="326"/>
      <c r="K9" s="114" t="s">
        <v>361</v>
      </c>
      <c r="L9" s="112">
        <v>8.1</v>
      </c>
      <c r="M9" s="112">
        <v>8.3000000000000007</v>
      </c>
      <c r="N9" s="112">
        <v>6.1</v>
      </c>
      <c r="O9" s="112">
        <v>7.3</v>
      </c>
      <c r="Q9" s="129" t="s">
        <v>362</v>
      </c>
    </row>
    <row r="10" spans="1:19" ht="13.9" customHeight="1">
      <c r="A10" s="114" t="s">
        <v>363</v>
      </c>
      <c r="B10" s="111">
        <v>60</v>
      </c>
      <c r="C10" s="112">
        <v>6.5</v>
      </c>
      <c r="D10" s="112">
        <v>8.3000000000000007</v>
      </c>
      <c r="E10" s="111">
        <v>10</v>
      </c>
      <c r="F10" s="112">
        <v>6.53</v>
      </c>
      <c r="G10" s="112">
        <v>7.2</v>
      </c>
      <c r="J10" s="326"/>
      <c r="K10" s="114" t="s">
        <v>363</v>
      </c>
      <c r="L10" s="112">
        <v>6.5</v>
      </c>
      <c r="M10" s="112">
        <v>8.3000000000000007</v>
      </c>
      <c r="N10" s="112">
        <v>6.53</v>
      </c>
      <c r="O10" s="112">
        <v>7.2</v>
      </c>
      <c r="Q10" s="325" t="s">
        <v>364</v>
      </c>
      <c r="R10" s="325"/>
      <c r="S10" s="325"/>
    </row>
    <row r="11" spans="1:19">
      <c r="A11" s="114" t="s">
        <v>365</v>
      </c>
      <c r="B11" s="111">
        <v>60</v>
      </c>
      <c r="C11" s="112">
        <v>6.6</v>
      </c>
      <c r="D11" s="112">
        <v>16.100000000000001</v>
      </c>
      <c r="E11" s="111">
        <v>10</v>
      </c>
      <c r="F11" s="112">
        <v>6.64</v>
      </c>
      <c r="G11" s="112">
        <v>7</v>
      </c>
      <c r="J11" s="326"/>
      <c r="K11" s="114" t="s">
        <v>365</v>
      </c>
      <c r="L11" s="112">
        <v>6.6</v>
      </c>
      <c r="M11" s="112">
        <v>16.100000000000001</v>
      </c>
      <c r="N11" s="112">
        <v>6.64</v>
      </c>
      <c r="O11" s="112">
        <v>7</v>
      </c>
      <c r="Q11" s="325"/>
      <c r="R11" s="325"/>
      <c r="S11" s="325"/>
    </row>
    <row r="12" spans="1:19">
      <c r="A12" s="114" t="s">
        <v>366</v>
      </c>
      <c r="B12" s="111">
        <v>60</v>
      </c>
      <c r="C12" s="112">
        <v>6.5</v>
      </c>
      <c r="D12" s="112">
        <v>7.9</v>
      </c>
      <c r="E12" s="111">
        <v>10</v>
      </c>
      <c r="F12" s="112">
        <v>6.46</v>
      </c>
      <c r="G12" s="112">
        <v>7</v>
      </c>
      <c r="J12" s="326"/>
      <c r="K12" s="114" t="s">
        <v>366</v>
      </c>
      <c r="L12" s="112">
        <v>6.5</v>
      </c>
      <c r="M12" s="112">
        <v>7.9</v>
      </c>
      <c r="N12" s="112">
        <v>6.46</v>
      </c>
      <c r="O12" s="112">
        <v>7</v>
      </c>
      <c r="Q12" s="325"/>
      <c r="R12" s="325"/>
      <c r="S12" s="325"/>
    </row>
    <row r="13" spans="1:19" ht="13.9" customHeight="1">
      <c r="A13" s="114" t="s">
        <v>367</v>
      </c>
      <c r="B13" s="111">
        <v>60</v>
      </c>
      <c r="C13" s="112">
        <v>7.3</v>
      </c>
      <c r="D13" s="112">
        <v>3.5</v>
      </c>
      <c r="E13" s="111">
        <v>10</v>
      </c>
      <c r="F13" s="112">
        <v>3.5</v>
      </c>
      <c r="G13" s="112">
        <v>6.6</v>
      </c>
      <c r="J13" s="326"/>
      <c r="K13" s="114" t="s">
        <v>367</v>
      </c>
      <c r="L13" s="112">
        <v>7.3</v>
      </c>
      <c r="M13" s="72">
        <v>3.5</v>
      </c>
      <c r="N13" s="112">
        <v>3.5</v>
      </c>
      <c r="O13" s="112">
        <v>6.6</v>
      </c>
      <c r="Q13" s="325" t="s">
        <v>368</v>
      </c>
      <c r="R13" s="325"/>
      <c r="S13" s="325"/>
    </row>
    <row r="14" spans="1:19">
      <c r="A14" s="114" t="s">
        <v>369</v>
      </c>
      <c r="B14" s="111">
        <v>60</v>
      </c>
      <c r="C14" s="112">
        <v>6.9</v>
      </c>
      <c r="D14" s="112">
        <v>50.1</v>
      </c>
      <c r="E14" s="111">
        <v>10</v>
      </c>
      <c r="F14" s="112">
        <v>6.89</v>
      </c>
      <c r="G14" s="112">
        <v>9.6999999999999993</v>
      </c>
      <c r="J14" s="326"/>
      <c r="K14" s="114" t="s">
        <v>369</v>
      </c>
      <c r="L14" s="72">
        <v>6.9</v>
      </c>
      <c r="M14" s="112">
        <v>50.1</v>
      </c>
      <c r="N14" s="112">
        <v>6.89</v>
      </c>
      <c r="O14" s="112">
        <v>9.6999999999999993</v>
      </c>
      <c r="Q14" s="325"/>
      <c r="R14" s="325"/>
      <c r="S14" s="325"/>
    </row>
    <row r="15" spans="1:19">
      <c r="A15" s="114" t="s">
        <v>370</v>
      </c>
      <c r="B15" s="111">
        <v>60</v>
      </c>
      <c r="C15" s="112">
        <v>4.5999999999999996</v>
      </c>
      <c r="D15" s="112">
        <v>7.3</v>
      </c>
      <c r="E15" s="111">
        <v>10</v>
      </c>
      <c r="F15" s="112">
        <v>4.5999999999999996</v>
      </c>
      <c r="G15" s="112">
        <v>6.9</v>
      </c>
      <c r="J15" s="326"/>
      <c r="K15" s="114" t="s">
        <v>370</v>
      </c>
      <c r="L15" s="112">
        <v>4.5999999999999996</v>
      </c>
      <c r="M15" s="112">
        <v>7.3</v>
      </c>
      <c r="N15" s="112">
        <v>4.5999999999999996</v>
      </c>
      <c r="O15" s="112">
        <v>6.9</v>
      </c>
      <c r="Q15" s="325"/>
      <c r="R15" s="325"/>
      <c r="S15" s="325"/>
    </row>
    <row r="16" spans="1:19">
      <c r="A16" s="114" t="s">
        <v>371</v>
      </c>
      <c r="B16" s="111">
        <v>60</v>
      </c>
      <c r="C16" s="112">
        <v>4.5</v>
      </c>
      <c r="D16" s="112">
        <v>29.2</v>
      </c>
      <c r="E16" s="111">
        <v>10</v>
      </c>
      <c r="F16" s="112">
        <v>4.45</v>
      </c>
      <c r="G16" s="112">
        <v>7.4</v>
      </c>
      <c r="J16" s="326"/>
      <c r="K16" s="114" t="s">
        <v>371</v>
      </c>
      <c r="L16" s="112">
        <v>4.5</v>
      </c>
      <c r="M16" s="112">
        <v>29.2</v>
      </c>
      <c r="N16" s="112">
        <v>4.45</v>
      </c>
      <c r="O16" s="112">
        <v>7.4</v>
      </c>
      <c r="Q16" s="325"/>
      <c r="R16" s="325"/>
      <c r="S16" s="325"/>
    </row>
    <row r="17" spans="1:15">
      <c r="A17" s="114" t="s">
        <v>372</v>
      </c>
      <c r="B17" s="111">
        <v>60</v>
      </c>
      <c r="C17" s="112">
        <v>4.9000000000000004</v>
      </c>
      <c r="D17" s="112">
        <v>11.7</v>
      </c>
      <c r="E17" s="111">
        <v>10</v>
      </c>
      <c r="F17" s="112">
        <v>4.8499999999999996</v>
      </c>
      <c r="G17" s="112">
        <v>9.3000000000000007</v>
      </c>
      <c r="J17" s="326"/>
      <c r="K17" s="114" t="s">
        <v>372</v>
      </c>
      <c r="L17" s="112">
        <v>4.9000000000000004</v>
      </c>
      <c r="M17" s="112">
        <v>11.7</v>
      </c>
      <c r="N17" s="112">
        <v>4.8499999999999996</v>
      </c>
      <c r="O17" s="112">
        <v>9.3000000000000007</v>
      </c>
    </row>
    <row r="18" spans="1:15">
      <c r="A18" s="114" t="s">
        <v>373</v>
      </c>
      <c r="B18" s="111">
        <v>60</v>
      </c>
      <c r="C18" s="112">
        <v>6.3</v>
      </c>
      <c r="D18" s="112">
        <v>10.5</v>
      </c>
      <c r="E18" s="111">
        <v>10</v>
      </c>
      <c r="F18" s="112">
        <v>6.26</v>
      </c>
      <c r="G18" s="112">
        <v>7.1</v>
      </c>
      <c r="J18" s="326"/>
      <c r="K18" s="114" t="s">
        <v>373</v>
      </c>
      <c r="L18" s="112">
        <v>6.3</v>
      </c>
      <c r="M18" s="112">
        <v>10.5</v>
      </c>
      <c r="N18" s="112">
        <v>6.26</v>
      </c>
      <c r="O18" s="112">
        <v>7.1</v>
      </c>
    </row>
    <row r="19" spans="1:15">
      <c r="J19" s="326"/>
      <c r="K19" s="110" t="s">
        <v>374</v>
      </c>
      <c r="L19" s="140">
        <f>AVERAGE(L7:L18)</f>
        <v>6.3249999999999993</v>
      </c>
      <c r="M19" s="140">
        <f>MAX(M7:M18)</f>
        <v>50.1</v>
      </c>
      <c r="N19" s="140">
        <f>AVERAGE(N7:N18)</f>
        <v>5.8366666666666669</v>
      </c>
      <c r="O19" s="140">
        <f>MAX(O7:O18)</f>
        <v>9.6999999999999993</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29" t="s">
        <v>375</v>
      </c>
      <c r="B49" s="330"/>
      <c r="C49" s="330"/>
      <c r="D49" s="330"/>
      <c r="E49" s="330"/>
      <c r="F49" s="330"/>
      <c r="G49" s="331"/>
      <c r="J49" s="326"/>
      <c r="K49" s="110" t="s">
        <v>374</v>
      </c>
      <c r="L49" s="110" t="e">
        <f>AVERAGE(L37:L48)</f>
        <v>#DIV/0!</v>
      </c>
      <c r="M49" s="110">
        <f>MAX(M37:M48)</f>
        <v>0</v>
      </c>
      <c r="N49" s="110" t="e">
        <f>AVERAGE(N37:N48)</f>
        <v>#DIV/0!</v>
      </c>
      <c r="O49" s="110">
        <f>MAX(O37:O48)</f>
        <v>0</v>
      </c>
    </row>
    <row r="50" spans="1:15">
      <c r="A50" s="332"/>
      <c r="B50" s="333"/>
      <c r="C50" s="333"/>
      <c r="D50" s="333"/>
      <c r="E50" s="333"/>
      <c r="F50" s="333"/>
      <c r="G50" s="334"/>
    </row>
    <row r="51" spans="1:15" ht="27.95">
      <c r="A51" s="332"/>
      <c r="B51" s="333"/>
      <c r="C51" s="333"/>
      <c r="D51" s="333"/>
      <c r="E51" s="333"/>
      <c r="F51" s="333"/>
      <c r="G51" s="334"/>
      <c r="J51" s="109">
        <f>+A6</f>
        <v>2022</v>
      </c>
      <c r="K51" s="109" t="s">
        <v>356</v>
      </c>
      <c r="L51" s="115" t="s">
        <v>351</v>
      </c>
      <c r="M51" s="115" t="s">
        <v>357</v>
      </c>
      <c r="N51" s="115" t="s">
        <v>354</v>
      </c>
      <c r="O51" s="115" t="s">
        <v>358</v>
      </c>
    </row>
    <row r="52" spans="1:15">
      <c r="A52" s="335"/>
      <c r="B52" s="336"/>
      <c r="C52" s="336"/>
      <c r="D52" s="336"/>
      <c r="E52" s="336"/>
      <c r="F52" s="336"/>
      <c r="G52" s="337"/>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A8" zoomScaleNormal="100" workbookViewId="0">
      <selection activeCell="A49" sqref="A49:G52"/>
    </sheetView>
  </sheetViews>
  <sheetFormatPr defaultRowHeight="14.1"/>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c r="F1" s="139"/>
      <c r="G1" s="139"/>
    </row>
    <row r="3" spans="1:19" ht="14.45">
      <c r="A3" s="108" t="s">
        <v>376</v>
      </c>
      <c r="D3" s="127" t="s">
        <v>343</v>
      </c>
      <c r="G3" s="131" t="s">
        <v>344</v>
      </c>
      <c r="J3" s="9" t="str">
        <f>+A3</f>
        <v>Monitoring of Sulphur dioxide emissions</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377</v>
      </c>
      <c r="C6" s="102" t="s">
        <v>351</v>
      </c>
      <c r="D6" s="102" t="s">
        <v>352</v>
      </c>
      <c r="E6" s="102" t="s">
        <v>378</v>
      </c>
      <c r="F6" s="102" t="s">
        <v>354</v>
      </c>
      <c r="G6" s="102" t="s">
        <v>355</v>
      </c>
      <c r="H6" s="107"/>
      <c r="J6" s="109">
        <f>+A6</f>
        <v>2022</v>
      </c>
      <c r="K6" s="109" t="s">
        <v>356</v>
      </c>
      <c r="L6" s="115" t="s">
        <v>351</v>
      </c>
      <c r="M6" s="115" t="s">
        <v>357</v>
      </c>
      <c r="N6" s="115" t="s">
        <v>354</v>
      </c>
      <c r="O6" s="115" t="s">
        <v>358</v>
      </c>
      <c r="Q6" s="303"/>
      <c r="R6" s="303"/>
      <c r="S6" s="303"/>
    </row>
    <row r="7" spans="1:19">
      <c r="A7" s="114" t="s">
        <v>359</v>
      </c>
      <c r="B7" s="111">
        <v>200</v>
      </c>
      <c r="C7" s="112">
        <v>15</v>
      </c>
      <c r="D7" s="112">
        <v>36</v>
      </c>
      <c r="E7" s="111">
        <v>50</v>
      </c>
      <c r="F7" s="142">
        <v>14.56</v>
      </c>
      <c r="G7" s="112">
        <v>25</v>
      </c>
      <c r="J7" s="326" t="s">
        <v>184</v>
      </c>
      <c r="K7" s="114" t="s">
        <v>359</v>
      </c>
      <c r="L7" s="112">
        <v>15</v>
      </c>
      <c r="M7" s="112">
        <v>36</v>
      </c>
      <c r="N7" s="142">
        <v>14.56</v>
      </c>
      <c r="O7" s="112">
        <v>25</v>
      </c>
      <c r="Q7" s="303"/>
      <c r="R7" s="303"/>
      <c r="S7" s="303"/>
    </row>
    <row r="8" spans="1:19">
      <c r="A8" s="114" t="s">
        <v>360</v>
      </c>
      <c r="B8" s="111">
        <v>200</v>
      </c>
      <c r="C8" s="112">
        <v>26</v>
      </c>
      <c r="D8" s="112">
        <v>42</v>
      </c>
      <c r="E8" s="111">
        <v>50</v>
      </c>
      <c r="F8" s="142">
        <v>25.66</v>
      </c>
      <c r="G8" s="112">
        <v>36</v>
      </c>
      <c r="J8" s="326"/>
      <c r="K8" s="114" t="s">
        <v>360</v>
      </c>
      <c r="L8" s="112">
        <v>26</v>
      </c>
      <c r="M8" s="112">
        <v>42</v>
      </c>
      <c r="N8" s="142">
        <v>25.66</v>
      </c>
      <c r="O8" s="112">
        <v>36</v>
      </c>
      <c r="Q8" s="303"/>
      <c r="R8" s="303"/>
      <c r="S8" s="303"/>
    </row>
    <row r="9" spans="1:19">
      <c r="A9" s="114" t="s">
        <v>361</v>
      </c>
      <c r="B9" s="111">
        <v>200</v>
      </c>
      <c r="C9" s="112">
        <v>31</v>
      </c>
      <c r="D9" s="112">
        <v>43</v>
      </c>
      <c r="E9" s="111">
        <v>50</v>
      </c>
      <c r="F9" s="142">
        <v>30.5</v>
      </c>
      <c r="G9" s="112">
        <v>38</v>
      </c>
      <c r="J9" s="326"/>
      <c r="K9" s="114" t="s">
        <v>361</v>
      </c>
      <c r="L9" s="112">
        <v>31</v>
      </c>
      <c r="M9" s="112">
        <v>43</v>
      </c>
      <c r="N9" s="142">
        <v>30.5</v>
      </c>
      <c r="O9" s="112">
        <v>38</v>
      </c>
      <c r="Q9" s="129" t="s">
        <v>362</v>
      </c>
    </row>
    <row r="10" spans="1:19" ht="14.25" customHeight="1">
      <c r="A10" s="114" t="s">
        <v>363</v>
      </c>
      <c r="B10" s="111">
        <v>200</v>
      </c>
      <c r="C10" s="112">
        <v>22</v>
      </c>
      <c r="D10" s="112">
        <v>40</v>
      </c>
      <c r="E10" s="111">
        <v>50</v>
      </c>
      <c r="F10" s="142">
        <v>21.67</v>
      </c>
      <c r="G10" s="112">
        <v>33</v>
      </c>
      <c r="J10" s="326"/>
      <c r="K10" s="114" t="s">
        <v>363</v>
      </c>
      <c r="L10" s="112">
        <v>22</v>
      </c>
      <c r="M10" s="112">
        <v>40</v>
      </c>
      <c r="N10" s="142">
        <v>21.67</v>
      </c>
      <c r="O10" s="112">
        <v>33</v>
      </c>
      <c r="Q10" s="325" t="s">
        <v>364</v>
      </c>
      <c r="R10" s="325"/>
      <c r="S10" s="325"/>
    </row>
    <row r="11" spans="1:19">
      <c r="A11" s="114" t="s">
        <v>365</v>
      </c>
      <c r="B11" s="111">
        <v>200</v>
      </c>
      <c r="C11" s="112">
        <v>23</v>
      </c>
      <c r="D11" s="112">
        <v>52</v>
      </c>
      <c r="E11" s="111">
        <v>50</v>
      </c>
      <c r="F11" s="142">
        <v>23.01</v>
      </c>
      <c r="G11" s="112">
        <v>35</v>
      </c>
      <c r="J11" s="326"/>
      <c r="K11" s="114" t="s">
        <v>365</v>
      </c>
      <c r="L11" s="112">
        <v>23</v>
      </c>
      <c r="M11" s="112">
        <v>52</v>
      </c>
      <c r="N11" s="142">
        <v>23.01</v>
      </c>
      <c r="O11" s="112">
        <v>35</v>
      </c>
      <c r="Q11" s="325"/>
      <c r="R11" s="325"/>
      <c r="S11" s="325"/>
    </row>
    <row r="12" spans="1:19">
      <c r="A12" s="114" t="s">
        <v>366</v>
      </c>
      <c r="B12" s="111">
        <v>200</v>
      </c>
      <c r="C12" s="112">
        <v>27</v>
      </c>
      <c r="D12" s="112">
        <v>41</v>
      </c>
      <c r="E12" s="111">
        <v>50</v>
      </c>
      <c r="F12" s="142">
        <v>26.65</v>
      </c>
      <c r="G12" s="112">
        <v>36</v>
      </c>
      <c r="J12" s="326"/>
      <c r="K12" s="114" t="s">
        <v>366</v>
      </c>
      <c r="L12" s="112">
        <v>27</v>
      </c>
      <c r="M12" s="112">
        <v>41</v>
      </c>
      <c r="N12" s="142">
        <v>26.65</v>
      </c>
      <c r="O12" s="112">
        <v>36</v>
      </c>
      <c r="Q12" s="325"/>
      <c r="R12" s="325"/>
      <c r="S12" s="325"/>
    </row>
    <row r="13" spans="1:19" ht="14.25" customHeight="1">
      <c r="A13" s="114" t="s">
        <v>367</v>
      </c>
      <c r="B13" s="111">
        <v>200</v>
      </c>
      <c r="C13" s="112">
        <v>26</v>
      </c>
      <c r="D13" s="112">
        <v>40</v>
      </c>
      <c r="E13" s="111">
        <v>50</v>
      </c>
      <c r="F13" s="142">
        <v>25.6</v>
      </c>
      <c r="G13" s="112">
        <v>37</v>
      </c>
      <c r="J13" s="326"/>
      <c r="K13" s="114" t="s">
        <v>367</v>
      </c>
      <c r="L13" s="112">
        <v>26</v>
      </c>
      <c r="M13" s="112">
        <v>40</v>
      </c>
      <c r="N13" s="142">
        <v>25.6</v>
      </c>
      <c r="O13" s="112">
        <v>37</v>
      </c>
      <c r="Q13" s="325" t="s">
        <v>368</v>
      </c>
      <c r="R13" s="325"/>
      <c r="S13" s="325"/>
    </row>
    <row r="14" spans="1:19">
      <c r="A14" s="114" t="s">
        <v>369</v>
      </c>
      <c r="B14" s="111">
        <v>200</v>
      </c>
      <c r="C14" s="112">
        <v>36</v>
      </c>
      <c r="D14" s="112">
        <v>4245</v>
      </c>
      <c r="E14" s="111">
        <v>50</v>
      </c>
      <c r="F14" s="142">
        <v>36.14</v>
      </c>
      <c r="G14" s="112">
        <v>286</v>
      </c>
      <c r="J14" s="326"/>
      <c r="K14" s="114" t="s">
        <v>369</v>
      </c>
      <c r="L14" s="112">
        <v>36</v>
      </c>
      <c r="M14" s="112">
        <v>4245</v>
      </c>
      <c r="N14" s="142">
        <v>36.14</v>
      </c>
      <c r="O14" s="3">
        <v>286</v>
      </c>
      <c r="Q14" s="325"/>
      <c r="R14" s="325"/>
      <c r="S14" s="325"/>
    </row>
    <row r="15" spans="1:19">
      <c r="A15" s="114" t="s">
        <v>370</v>
      </c>
      <c r="B15" s="111">
        <v>200</v>
      </c>
      <c r="C15" s="112">
        <v>35</v>
      </c>
      <c r="D15" s="112">
        <v>40</v>
      </c>
      <c r="E15" s="111">
        <v>50</v>
      </c>
      <c r="F15" s="142">
        <v>35.36</v>
      </c>
      <c r="G15" s="112">
        <v>37</v>
      </c>
      <c r="J15" s="326"/>
      <c r="K15" s="114" t="s">
        <v>370</v>
      </c>
      <c r="L15" s="112">
        <v>35</v>
      </c>
      <c r="M15" s="112">
        <v>40</v>
      </c>
      <c r="N15" s="142">
        <v>35.36</v>
      </c>
      <c r="O15" s="112">
        <v>37</v>
      </c>
      <c r="Q15" s="325"/>
      <c r="R15" s="325"/>
      <c r="S15" s="325"/>
    </row>
    <row r="16" spans="1:19">
      <c r="A16" s="114" t="s">
        <v>371</v>
      </c>
      <c r="B16" s="111">
        <v>200</v>
      </c>
      <c r="C16" s="112">
        <v>35</v>
      </c>
      <c r="D16" s="112">
        <v>213</v>
      </c>
      <c r="E16" s="111">
        <v>50</v>
      </c>
      <c r="F16" s="142">
        <v>34.869999999999997</v>
      </c>
      <c r="G16" s="112">
        <v>46</v>
      </c>
      <c r="J16" s="326"/>
      <c r="K16" s="114" t="s">
        <v>371</v>
      </c>
      <c r="L16" s="112">
        <v>35</v>
      </c>
      <c r="M16" s="112">
        <v>213</v>
      </c>
      <c r="N16" s="142">
        <v>34.869999999999997</v>
      </c>
      <c r="O16" s="112">
        <v>46</v>
      </c>
      <c r="Q16" s="325"/>
      <c r="R16" s="325"/>
      <c r="S16" s="325"/>
    </row>
    <row r="17" spans="1:15">
      <c r="A17" s="114" t="s">
        <v>372</v>
      </c>
      <c r="B17" s="111">
        <v>200</v>
      </c>
      <c r="C17" s="112">
        <v>31</v>
      </c>
      <c r="D17" s="112">
        <v>113</v>
      </c>
      <c r="E17" s="111">
        <v>50</v>
      </c>
      <c r="F17" s="142">
        <v>31.1</v>
      </c>
      <c r="G17" s="112">
        <v>44</v>
      </c>
      <c r="J17" s="326"/>
      <c r="K17" s="114" t="s">
        <v>372</v>
      </c>
      <c r="L17" s="112">
        <v>31</v>
      </c>
      <c r="M17" s="112">
        <v>113</v>
      </c>
      <c r="N17" s="142">
        <v>31.1</v>
      </c>
      <c r="O17" s="112">
        <v>44</v>
      </c>
    </row>
    <row r="18" spans="1:15">
      <c r="A18" s="114" t="s">
        <v>373</v>
      </c>
      <c r="B18" s="111">
        <v>200</v>
      </c>
      <c r="C18" s="112">
        <v>33</v>
      </c>
      <c r="D18" s="112">
        <v>97</v>
      </c>
      <c r="E18" s="111">
        <v>50</v>
      </c>
      <c r="F18" s="142">
        <v>32.72</v>
      </c>
      <c r="G18" s="112">
        <v>40</v>
      </c>
      <c r="J18" s="326"/>
      <c r="K18" s="114" t="s">
        <v>373</v>
      </c>
      <c r="L18" s="112">
        <v>33</v>
      </c>
      <c r="M18" s="112">
        <v>97</v>
      </c>
      <c r="N18" s="142">
        <v>32.72</v>
      </c>
      <c r="O18" s="112">
        <v>40</v>
      </c>
    </row>
    <row r="19" spans="1:15">
      <c r="J19" s="326"/>
      <c r="K19" s="110" t="s">
        <v>374</v>
      </c>
      <c r="L19" s="140">
        <f>AVERAGE(L7:L18)</f>
        <v>28.333333333333332</v>
      </c>
      <c r="M19" s="140">
        <f>MAX(M7:M18)</f>
        <v>4245</v>
      </c>
      <c r="N19" s="140">
        <f>AVERAGE(N7:N18)</f>
        <v>28.153333333333336</v>
      </c>
      <c r="O19" s="140">
        <f>MAX(O7:O18)</f>
        <v>286</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29" t="s">
        <v>375</v>
      </c>
      <c r="B49" s="330"/>
      <c r="C49" s="330"/>
      <c r="D49" s="330"/>
      <c r="E49" s="330"/>
      <c r="F49" s="330"/>
      <c r="G49" s="331"/>
      <c r="J49" s="326"/>
      <c r="K49" s="110" t="s">
        <v>374</v>
      </c>
      <c r="L49" s="110" t="e">
        <f>AVERAGE(L37:L48)</f>
        <v>#DIV/0!</v>
      </c>
      <c r="M49" s="110">
        <f>MAX(M37:M48)</f>
        <v>0</v>
      </c>
      <c r="N49" s="110" t="e">
        <f>AVERAGE(N37:N48)</f>
        <v>#DIV/0!</v>
      </c>
      <c r="O49" s="110">
        <f>MAX(O37:O48)</f>
        <v>0</v>
      </c>
    </row>
    <row r="50" spans="1:15">
      <c r="A50" s="332"/>
      <c r="B50" s="333"/>
      <c r="C50" s="333"/>
      <c r="D50" s="333"/>
      <c r="E50" s="333"/>
      <c r="F50" s="333"/>
      <c r="G50" s="334"/>
    </row>
    <row r="51" spans="1:15" ht="27.95">
      <c r="A51" s="332"/>
      <c r="B51" s="333"/>
      <c r="C51" s="333"/>
      <c r="D51" s="333"/>
      <c r="E51" s="333"/>
      <c r="F51" s="333"/>
      <c r="G51" s="334"/>
      <c r="J51" s="109">
        <f>+A6</f>
        <v>2022</v>
      </c>
      <c r="K51" s="109" t="s">
        <v>356</v>
      </c>
      <c r="L51" s="115" t="s">
        <v>351</v>
      </c>
      <c r="M51" s="115" t="s">
        <v>357</v>
      </c>
      <c r="N51" s="115" t="s">
        <v>354</v>
      </c>
      <c r="O51" s="115" t="s">
        <v>358</v>
      </c>
    </row>
    <row r="52" spans="1:15">
      <c r="A52" s="335"/>
      <c r="B52" s="336"/>
      <c r="C52" s="336"/>
      <c r="D52" s="336"/>
      <c r="E52" s="336"/>
      <c r="F52" s="336"/>
      <c r="G52" s="337"/>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A40" zoomScaleNormal="100" workbookViewId="0">
      <selection activeCell="A49" sqref="A49:G52"/>
    </sheetView>
  </sheetViews>
  <sheetFormatPr defaultRowHeight="14.1"/>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c r="F1" s="139"/>
    </row>
    <row r="3" spans="1:19" ht="14.45">
      <c r="A3" s="108" t="s">
        <v>379</v>
      </c>
      <c r="D3" s="127" t="s">
        <v>343</v>
      </c>
      <c r="G3" s="131" t="s">
        <v>344</v>
      </c>
      <c r="J3" s="9" t="str">
        <f>+A3</f>
        <v>Monitoring of Oxides of Nitrogen emissions</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380</v>
      </c>
      <c r="C6" s="102" t="s">
        <v>351</v>
      </c>
      <c r="D6" s="102" t="s">
        <v>352</v>
      </c>
      <c r="E6" s="102" t="s">
        <v>381</v>
      </c>
      <c r="F6" s="102" t="s">
        <v>354</v>
      </c>
      <c r="G6" s="102" t="s">
        <v>355</v>
      </c>
      <c r="H6" s="107"/>
      <c r="J6" s="109">
        <f>+A6</f>
        <v>2022</v>
      </c>
      <c r="K6" s="109" t="s">
        <v>356</v>
      </c>
      <c r="L6" s="115" t="s">
        <v>351</v>
      </c>
      <c r="M6" s="115" t="s">
        <v>357</v>
      </c>
      <c r="N6" s="115" t="s">
        <v>354</v>
      </c>
      <c r="O6" s="115" t="s">
        <v>358</v>
      </c>
      <c r="Q6" s="303"/>
      <c r="R6" s="303"/>
      <c r="S6" s="303"/>
    </row>
    <row r="7" spans="1:19">
      <c r="A7" s="114" t="s">
        <v>359</v>
      </c>
      <c r="B7" s="111">
        <v>400</v>
      </c>
      <c r="C7" s="112">
        <v>167</v>
      </c>
      <c r="D7" s="112">
        <v>199</v>
      </c>
      <c r="E7" s="111">
        <v>200</v>
      </c>
      <c r="F7" s="142">
        <v>167.35</v>
      </c>
      <c r="G7" s="112">
        <v>178</v>
      </c>
      <c r="J7" s="326" t="s">
        <v>184</v>
      </c>
      <c r="K7" s="114" t="s">
        <v>359</v>
      </c>
      <c r="L7" s="142">
        <v>167</v>
      </c>
      <c r="M7" s="142">
        <v>199</v>
      </c>
      <c r="N7" s="142">
        <v>167.35</v>
      </c>
      <c r="O7" s="142">
        <v>178</v>
      </c>
      <c r="Q7" s="303"/>
      <c r="R7" s="303"/>
      <c r="S7" s="303"/>
    </row>
    <row r="8" spans="1:19">
      <c r="A8" s="114" t="s">
        <v>360</v>
      </c>
      <c r="B8" s="111">
        <v>400</v>
      </c>
      <c r="C8" s="112">
        <v>135</v>
      </c>
      <c r="D8" s="112">
        <v>183</v>
      </c>
      <c r="E8" s="111">
        <v>200</v>
      </c>
      <c r="F8" s="142">
        <v>135</v>
      </c>
      <c r="G8" s="112">
        <v>150</v>
      </c>
      <c r="J8" s="326"/>
      <c r="K8" s="114" t="s">
        <v>360</v>
      </c>
      <c r="L8" s="112">
        <v>135</v>
      </c>
      <c r="M8" s="112">
        <v>183</v>
      </c>
      <c r="N8" s="142">
        <v>135</v>
      </c>
      <c r="O8" s="142">
        <v>150</v>
      </c>
      <c r="Q8" s="303"/>
      <c r="R8" s="303"/>
      <c r="S8" s="303"/>
    </row>
    <row r="9" spans="1:19">
      <c r="A9" s="114" t="s">
        <v>361</v>
      </c>
      <c r="B9" s="111">
        <v>400</v>
      </c>
      <c r="C9" s="112">
        <v>177</v>
      </c>
      <c r="D9" s="112">
        <v>218</v>
      </c>
      <c r="E9" s="111">
        <v>200</v>
      </c>
      <c r="F9" s="142">
        <v>177</v>
      </c>
      <c r="G9" s="112">
        <v>189</v>
      </c>
      <c r="J9" s="326"/>
      <c r="K9" s="114" t="s">
        <v>361</v>
      </c>
      <c r="L9" s="142">
        <v>177</v>
      </c>
      <c r="M9" s="142">
        <v>218</v>
      </c>
      <c r="N9" s="142">
        <v>177</v>
      </c>
      <c r="O9" s="142">
        <v>189</v>
      </c>
      <c r="Q9" s="129" t="s">
        <v>362</v>
      </c>
    </row>
    <row r="10" spans="1:19" ht="14.25" customHeight="1">
      <c r="A10" s="114" t="s">
        <v>363</v>
      </c>
      <c r="B10" s="111">
        <v>400</v>
      </c>
      <c r="C10" s="112">
        <v>161</v>
      </c>
      <c r="D10" s="112">
        <v>225</v>
      </c>
      <c r="E10" s="111">
        <v>200</v>
      </c>
      <c r="F10" s="142">
        <v>161.13999999999999</v>
      </c>
      <c r="G10" s="112">
        <v>187</v>
      </c>
      <c r="J10" s="326"/>
      <c r="K10" s="114" t="s">
        <v>363</v>
      </c>
      <c r="L10" s="142">
        <v>161</v>
      </c>
      <c r="M10" s="142">
        <v>225</v>
      </c>
      <c r="N10" s="142">
        <v>161.13999999999999</v>
      </c>
      <c r="O10" s="142">
        <v>187</v>
      </c>
      <c r="Q10" s="325" t="s">
        <v>364</v>
      </c>
      <c r="R10" s="325"/>
      <c r="S10" s="325"/>
    </row>
    <row r="11" spans="1:19">
      <c r="A11" s="114" t="s">
        <v>365</v>
      </c>
      <c r="B11" s="111">
        <v>400</v>
      </c>
      <c r="C11" s="112">
        <v>153</v>
      </c>
      <c r="D11" s="112">
        <v>249</v>
      </c>
      <c r="E11" s="111">
        <v>200</v>
      </c>
      <c r="F11" s="142">
        <v>153.30000000000001</v>
      </c>
      <c r="G11" s="112">
        <v>165</v>
      </c>
      <c r="J11" s="326"/>
      <c r="K11" s="114" t="s">
        <v>365</v>
      </c>
      <c r="L11" s="142">
        <v>153</v>
      </c>
      <c r="M11" s="142">
        <v>249</v>
      </c>
      <c r="N11" s="142">
        <v>153.30000000000001</v>
      </c>
      <c r="O11" s="142">
        <v>165</v>
      </c>
      <c r="Q11" s="325"/>
      <c r="R11" s="325"/>
      <c r="S11" s="325"/>
    </row>
    <row r="12" spans="1:19">
      <c r="A12" s="114" t="s">
        <v>366</v>
      </c>
      <c r="B12" s="111">
        <v>400</v>
      </c>
      <c r="C12" s="112">
        <v>161</v>
      </c>
      <c r="D12" s="112">
        <v>210</v>
      </c>
      <c r="E12" s="111">
        <v>200</v>
      </c>
      <c r="F12" s="142">
        <v>160.62</v>
      </c>
      <c r="G12" s="112">
        <v>179</v>
      </c>
      <c r="J12" s="326"/>
      <c r="K12" s="114" t="s">
        <v>366</v>
      </c>
      <c r="L12" s="142">
        <v>161</v>
      </c>
      <c r="M12" s="142">
        <v>210</v>
      </c>
      <c r="N12" s="142">
        <v>160.62</v>
      </c>
      <c r="O12" s="142">
        <v>179</v>
      </c>
      <c r="Q12" s="325"/>
      <c r="R12" s="325"/>
      <c r="S12" s="325"/>
    </row>
    <row r="13" spans="1:19" ht="14.25" customHeight="1">
      <c r="A13" s="114" t="s">
        <v>367</v>
      </c>
      <c r="B13" s="111">
        <v>400</v>
      </c>
      <c r="C13" s="112">
        <v>164</v>
      </c>
      <c r="D13" s="112">
        <v>207</v>
      </c>
      <c r="E13" s="111">
        <v>200</v>
      </c>
      <c r="F13" s="142">
        <v>164.1</v>
      </c>
      <c r="G13" s="112">
        <v>182</v>
      </c>
      <c r="J13" s="326"/>
      <c r="K13" s="114" t="s">
        <v>367</v>
      </c>
      <c r="L13" s="142">
        <v>164</v>
      </c>
      <c r="M13" s="142">
        <v>207</v>
      </c>
      <c r="N13" s="142">
        <v>164.1</v>
      </c>
      <c r="O13" s="142">
        <v>182</v>
      </c>
      <c r="Q13" s="325" t="s">
        <v>368</v>
      </c>
      <c r="R13" s="325"/>
      <c r="S13" s="325"/>
    </row>
    <row r="14" spans="1:19">
      <c r="A14" s="114" t="s">
        <v>369</v>
      </c>
      <c r="B14" s="111">
        <v>400</v>
      </c>
      <c r="C14" s="112">
        <v>178</v>
      </c>
      <c r="D14" s="112">
        <v>2180</v>
      </c>
      <c r="E14" s="111">
        <v>200</v>
      </c>
      <c r="F14" s="142">
        <v>178.16</v>
      </c>
      <c r="G14" s="112">
        <v>282</v>
      </c>
      <c r="J14" s="326"/>
      <c r="K14" s="114" t="s">
        <v>369</v>
      </c>
      <c r="L14" s="142">
        <v>178</v>
      </c>
      <c r="M14" s="142">
        <v>2180</v>
      </c>
      <c r="N14" s="142">
        <v>178.16</v>
      </c>
      <c r="O14" s="142">
        <v>282</v>
      </c>
      <c r="Q14" s="325"/>
      <c r="R14" s="325"/>
      <c r="S14" s="325"/>
    </row>
    <row r="15" spans="1:19">
      <c r="A15" s="114" t="s">
        <v>370</v>
      </c>
      <c r="B15" s="111">
        <v>400</v>
      </c>
      <c r="C15" s="112">
        <v>174</v>
      </c>
      <c r="D15" s="112">
        <v>225</v>
      </c>
      <c r="E15" s="111">
        <v>200</v>
      </c>
      <c r="F15" s="142">
        <v>174.19</v>
      </c>
      <c r="G15" s="112">
        <v>188</v>
      </c>
      <c r="J15" s="326"/>
      <c r="K15" s="114" t="s">
        <v>370</v>
      </c>
      <c r="L15" s="142">
        <v>174</v>
      </c>
      <c r="M15" s="142">
        <v>225</v>
      </c>
      <c r="N15" s="142">
        <v>174</v>
      </c>
      <c r="O15" s="142">
        <v>188</v>
      </c>
      <c r="Q15" s="325"/>
      <c r="R15" s="325"/>
      <c r="S15" s="325"/>
    </row>
    <row r="16" spans="1:19">
      <c r="A16" s="114" t="s">
        <v>371</v>
      </c>
      <c r="B16" s="111">
        <v>400</v>
      </c>
      <c r="C16" s="112">
        <v>166</v>
      </c>
      <c r="D16" s="112">
        <v>1178</v>
      </c>
      <c r="E16" s="111">
        <v>200</v>
      </c>
      <c r="F16" s="142">
        <v>165.51</v>
      </c>
      <c r="G16" s="112">
        <v>234</v>
      </c>
      <c r="J16" s="326"/>
      <c r="K16" s="114" t="s">
        <v>371</v>
      </c>
      <c r="L16" s="142">
        <v>166</v>
      </c>
      <c r="M16" s="142">
        <v>1178</v>
      </c>
      <c r="N16" s="142">
        <v>165.51</v>
      </c>
      <c r="O16" s="142">
        <v>234</v>
      </c>
      <c r="Q16" s="325"/>
      <c r="R16" s="325"/>
      <c r="S16" s="325"/>
    </row>
    <row r="17" spans="1:15">
      <c r="A17" s="114" t="s">
        <v>372</v>
      </c>
      <c r="B17" s="111">
        <v>400</v>
      </c>
      <c r="C17" s="112">
        <v>192</v>
      </c>
      <c r="D17" s="112">
        <v>1318</v>
      </c>
      <c r="E17" s="111">
        <v>200</v>
      </c>
      <c r="F17" s="142">
        <v>191.94</v>
      </c>
      <c r="G17" s="112">
        <v>221</v>
      </c>
      <c r="J17" s="326"/>
      <c r="K17" s="114" t="s">
        <v>372</v>
      </c>
      <c r="L17" s="142">
        <v>192</v>
      </c>
      <c r="M17" s="142">
        <v>1318</v>
      </c>
      <c r="N17" s="142">
        <v>191.94</v>
      </c>
      <c r="O17" s="142">
        <v>221</v>
      </c>
    </row>
    <row r="18" spans="1:15">
      <c r="A18" s="114" t="s">
        <v>373</v>
      </c>
      <c r="B18" s="111">
        <v>400</v>
      </c>
      <c r="C18" s="112">
        <v>191</v>
      </c>
      <c r="D18" s="112">
        <v>295</v>
      </c>
      <c r="E18" s="111">
        <v>200</v>
      </c>
      <c r="F18" s="142">
        <v>191.4</v>
      </c>
      <c r="G18" s="112">
        <v>224</v>
      </c>
      <c r="J18" s="326"/>
      <c r="K18" s="114" t="s">
        <v>373</v>
      </c>
      <c r="L18" s="142">
        <v>191</v>
      </c>
      <c r="M18" s="142">
        <v>295</v>
      </c>
      <c r="N18" s="142">
        <v>191.4</v>
      </c>
      <c r="O18" s="142">
        <v>224</v>
      </c>
    </row>
    <row r="19" spans="1:15">
      <c r="J19" s="326"/>
      <c r="K19" s="110" t="s">
        <v>374</v>
      </c>
      <c r="L19" s="144">
        <f>AVERAGE(L7:L18)</f>
        <v>168.25</v>
      </c>
      <c r="M19" s="144">
        <f>MAX(M7:M18)</f>
        <v>2180</v>
      </c>
      <c r="N19" s="144">
        <f>AVERAGE(N7:N18)</f>
        <v>168.29333333333335</v>
      </c>
      <c r="O19" s="144">
        <f>MAX(O7:O18)</f>
        <v>282</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29" t="s">
        <v>375</v>
      </c>
      <c r="B49" s="330"/>
      <c r="C49" s="330"/>
      <c r="D49" s="330"/>
      <c r="E49" s="330"/>
      <c r="F49" s="330"/>
      <c r="G49" s="331"/>
      <c r="J49" s="326"/>
      <c r="K49" s="110" t="s">
        <v>374</v>
      </c>
      <c r="L49" s="110" t="e">
        <f>AVERAGE(L37:L48)</f>
        <v>#DIV/0!</v>
      </c>
      <c r="M49" s="110">
        <f>MAX(M37:M48)</f>
        <v>0</v>
      </c>
      <c r="N49" s="110" t="e">
        <f>AVERAGE(N37:N48)</f>
        <v>#DIV/0!</v>
      </c>
      <c r="O49" s="110">
        <f>MAX(O37:O48)</f>
        <v>0</v>
      </c>
    </row>
    <row r="50" spans="1:15">
      <c r="A50" s="332"/>
      <c r="B50" s="333"/>
      <c r="C50" s="333"/>
      <c r="D50" s="333"/>
      <c r="E50" s="333"/>
      <c r="F50" s="333"/>
      <c r="G50" s="334"/>
    </row>
    <row r="51" spans="1:15" ht="27.95">
      <c r="A51" s="332"/>
      <c r="B51" s="333"/>
      <c r="C51" s="333"/>
      <c r="D51" s="333"/>
      <c r="E51" s="333"/>
      <c r="F51" s="333"/>
      <c r="G51" s="334"/>
      <c r="J51" s="109">
        <f>+A6</f>
        <v>2022</v>
      </c>
      <c r="K51" s="109" t="s">
        <v>356</v>
      </c>
      <c r="L51" s="115" t="s">
        <v>351</v>
      </c>
      <c r="M51" s="115" t="s">
        <v>357</v>
      </c>
      <c r="N51" s="115" t="s">
        <v>354</v>
      </c>
      <c r="O51" s="115" t="s">
        <v>358</v>
      </c>
    </row>
    <row r="52" spans="1:15">
      <c r="A52" s="335"/>
      <c r="B52" s="336"/>
      <c r="C52" s="336"/>
      <c r="D52" s="336"/>
      <c r="E52" s="336"/>
      <c r="F52" s="336"/>
      <c r="G52" s="337"/>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A43" zoomScaleNormal="100" workbookViewId="0">
      <selection activeCell="A49" sqref="A49:G52"/>
    </sheetView>
  </sheetViews>
  <sheetFormatPr defaultRowHeight="14.1"/>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row>
    <row r="3" spans="1:19" ht="14.45">
      <c r="A3" s="108" t="s">
        <v>382</v>
      </c>
      <c r="D3" s="127" t="s">
        <v>343</v>
      </c>
      <c r="G3" s="131" t="s">
        <v>344</v>
      </c>
      <c r="J3" s="9" t="str">
        <f>+A3</f>
        <v>Monitoring of Total organic carbon emissions</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383</v>
      </c>
      <c r="C6" s="102" t="s">
        <v>351</v>
      </c>
      <c r="D6" s="102" t="s">
        <v>352</v>
      </c>
      <c r="E6" s="102" t="s">
        <v>384</v>
      </c>
      <c r="F6" s="102" t="s">
        <v>354</v>
      </c>
      <c r="G6" s="102" t="s">
        <v>355</v>
      </c>
      <c r="H6" s="107"/>
      <c r="J6" s="109">
        <f>+A6</f>
        <v>2022</v>
      </c>
      <c r="K6" s="109" t="s">
        <v>356</v>
      </c>
      <c r="L6" s="115" t="s">
        <v>351</v>
      </c>
      <c r="M6" s="115" t="s">
        <v>357</v>
      </c>
      <c r="N6" s="115" t="s">
        <v>354</v>
      </c>
      <c r="O6" s="115" t="s">
        <v>358</v>
      </c>
      <c r="Q6" s="303"/>
      <c r="R6" s="303"/>
      <c r="S6" s="303"/>
    </row>
    <row r="7" spans="1:19">
      <c r="A7" s="114" t="s">
        <v>359</v>
      </c>
      <c r="B7" s="111">
        <v>20</v>
      </c>
      <c r="C7" s="112">
        <v>0.4</v>
      </c>
      <c r="D7" s="112">
        <v>1.6</v>
      </c>
      <c r="E7" s="111">
        <v>10</v>
      </c>
      <c r="F7" s="112">
        <v>0.41</v>
      </c>
      <c r="G7" s="112">
        <v>0.5</v>
      </c>
      <c r="J7" s="326" t="s">
        <v>184</v>
      </c>
      <c r="K7" s="114" t="s">
        <v>359</v>
      </c>
      <c r="L7" s="141">
        <v>0.4</v>
      </c>
      <c r="M7" s="141">
        <v>1.6</v>
      </c>
      <c r="N7" s="141">
        <v>0.41</v>
      </c>
      <c r="O7" s="141">
        <v>0.5</v>
      </c>
      <c r="Q7" s="303"/>
      <c r="R7" s="303"/>
      <c r="S7" s="303"/>
    </row>
    <row r="8" spans="1:19">
      <c r="A8" s="114" t="s">
        <v>360</v>
      </c>
      <c r="B8" s="111">
        <v>20</v>
      </c>
      <c r="C8" s="112">
        <v>0.5</v>
      </c>
      <c r="D8" s="112">
        <v>2.7</v>
      </c>
      <c r="E8" s="111">
        <v>10</v>
      </c>
      <c r="F8" s="112">
        <v>0.5</v>
      </c>
      <c r="G8" s="112">
        <v>1</v>
      </c>
      <c r="J8" s="326"/>
      <c r="K8" s="114" t="s">
        <v>360</v>
      </c>
      <c r="L8" s="112">
        <v>0.5</v>
      </c>
      <c r="M8" s="112">
        <v>2.7</v>
      </c>
      <c r="N8" s="112">
        <v>0.5</v>
      </c>
      <c r="O8" s="112">
        <v>1</v>
      </c>
      <c r="Q8" s="303"/>
      <c r="R8" s="303"/>
      <c r="S8" s="303"/>
    </row>
    <row r="9" spans="1:19">
      <c r="A9" s="114" t="s">
        <v>361</v>
      </c>
      <c r="B9" s="111">
        <v>20</v>
      </c>
      <c r="C9" s="112">
        <v>0.1</v>
      </c>
      <c r="D9" s="112">
        <v>1.9</v>
      </c>
      <c r="E9" s="111">
        <v>10</v>
      </c>
      <c r="F9" s="112">
        <v>0.08</v>
      </c>
      <c r="G9" s="112">
        <v>0.2</v>
      </c>
      <c r="J9" s="326"/>
      <c r="K9" s="114" t="s">
        <v>361</v>
      </c>
      <c r="L9" s="141">
        <v>0.1</v>
      </c>
      <c r="M9" s="141">
        <v>1.9</v>
      </c>
      <c r="N9" s="141">
        <v>0.08</v>
      </c>
      <c r="O9" s="141">
        <v>0.2</v>
      </c>
      <c r="Q9" s="129" t="s">
        <v>362</v>
      </c>
    </row>
    <row r="10" spans="1:19" ht="14.25" customHeight="1">
      <c r="A10" s="114" t="s">
        <v>363</v>
      </c>
      <c r="B10" s="111">
        <v>20</v>
      </c>
      <c r="C10" s="112">
        <v>0.2</v>
      </c>
      <c r="D10" s="112">
        <v>1.5</v>
      </c>
      <c r="E10" s="111">
        <v>10</v>
      </c>
      <c r="F10" s="112">
        <v>0.21</v>
      </c>
      <c r="G10" s="112">
        <v>0.9</v>
      </c>
      <c r="J10" s="326"/>
      <c r="K10" s="114" t="s">
        <v>363</v>
      </c>
      <c r="L10" s="141">
        <v>0.2</v>
      </c>
      <c r="M10" s="141">
        <v>1.5</v>
      </c>
      <c r="N10" s="141">
        <v>0.21</v>
      </c>
      <c r="O10" s="141">
        <v>0.9</v>
      </c>
      <c r="Q10" s="325" t="s">
        <v>364</v>
      </c>
      <c r="R10" s="325"/>
      <c r="S10" s="325"/>
    </row>
    <row r="11" spans="1:19">
      <c r="A11" s="114" t="s">
        <v>365</v>
      </c>
      <c r="B11" s="111">
        <v>20</v>
      </c>
      <c r="C11" s="112">
        <v>0.4</v>
      </c>
      <c r="D11" s="112">
        <v>4.5</v>
      </c>
      <c r="E11" s="111">
        <v>10</v>
      </c>
      <c r="F11" s="141">
        <v>0.42</v>
      </c>
      <c r="G11" s="112">
        <v>0.9</v>
      </c>
      <c r="J11" s="326"/>
      <c r="K11" s="114" t="s">
        <v>365</v>
      </c>
      <c r="L11" s="141">
        <v>0.4</v>
      </c>
      <c r="M11" s="141">
        <v>4.5</v>
      </c>
      <c r="N11" s="141">
        <v>0.42</v>
      </c>
      <c r="O11" s="141">
        <v>0.9</v>
      </c>
      <c r="Q11" s="325"/>
      <c r="R11" s="325"/>
      <c r="S11" s="325"/>
    </row>
    <row r="12" spans="1:19">
      <c r="A12" s="114" t="s">
        <v>366</v>
      </c>
      <c r="B12" s="111">
        <v>20</v>
      </c>
      <c r="C12" s="112">
        <v>0.5</v>
      </c>
      <c r="D12" s="112">
        <v>4.9000000000000004</v>
      </c>
      <c r="E12" s="111">
        <v>10</v>
      </c>
      <c r="F12" s="141">
        <v>0.51</v>
      </c>
      <c r="G12" s="112">
        <v>0.7</v>
      </c>
      <c r="J12" s="326"/>
      <c r="K12" s="114" t="s">
        <v>366</v>
      </c>
      <c r="L12" s="141">
        <v>0.5</v>
      </c>
      <c r="M12" s="141">
        <v>4.9000000000000004</v>
      </c>
      <c r="N12" s="141">
        <v>0.51</v>
      </c>
      <c r="O12" s="141">
        <v>0.7</v>
      </c>
      <c r="Q12" s="325"/>
      <c r="R12" s="325"/>
      <c r="S12" s="325"/>
    </row>
    <row r="13" spans="1:19" ht="14.25" customHeight="1">
      <c r="A13" s="114" t="s">
        <v>367</v>
      </c>
      <c r="B13" s="111">
        <v>20</v>
      </c>
      <c r="C13" s="112">
        <v>0.2</v>
      </c>
      <c r="D13" s="112">
        <v>7</v>
      </c>
      <c r="E13" s="111">
        <v>10</v>
      </c>
      <c r="F13" s="112">
        <v>0.2</v>
      </c>
      <c r="G13" s="112">
        <v>1.6</v>
      </c>
      <c r="J13" s="326"/>
      <c r="K13" s="114" t="s">
        <v>367</v>
      </c>
      <c r="L13" s="141">
        <v>0.2</v>
      </c>
      <c r="M13" s="141">
        <v>7</v>
      </c>
      <c r="N13" s="141">
        <v>0.2</v>
      </c>
      <c r="O13" s="141">
        <v>1.6</v>
      </c>
      <c r="Q13" s="325" t="s">
        <v>368</v>
      </c>
      <c r="R13" s="325"/>
      <c r="S13" s="325"/>
    </row>
    <row r="14" spans="1:19">
      <c r="A14" s="114" t="s">
        <v>369</v>
      </c>
      <c r="B14" s="111">
        <v>20</v>
      </c>
      <c r="C14" s="112">
        <v>1.8</v>
      </c>
      <c r="D14" s="112">
        <v>185.8</v>
      </c>
      <c r="E14" s="111">
        <v>10</v>
      </c>
      <c r="F14" s="112">
        <v>1.76</v>
      </c>
      <c r="G14" s="112">
        <v>12.8</v>
      </c>
      <c r="J14" s="326"/>
      <c r="K14" s="114" t="s">
        <v>369</v>
      </c>
      <c r="L14" s="141">
        <v>1.8</v>
      </c>
      <c r="M14" s="141">
        <v>185.8</v>
      </c>
      <c r="N14" s="141">
        <v>1.76</v>
      </c>
      <c r="O14" s="141">
        <v>12.8</v>
      </c>
      <c r="Q14" s="325"/>
      <c r="R14" s="325"/>
      <c r="S14" s="325"/>
    </row>
    <row r="15" spans="1:19">
      <c r="A15" s="114" t="s">
        <v>370</v>
      </c>
      <c r="B15" s="111">
        <v>20</v>
      </c>
      <c r="C15" s="112">
        <v>1.2</v>
      </c>
      <c r="D15" s="112">
        <v>3.1</v>
      </c>
      <c r="E15" s="111">
        <v>10</v>
      </c>
      <c r="F15" s="112">
        <v>1.23</v>
      </c>
      <c r="G15" s="112">
        <v>1.3</v>
      </c>
      <c r="J15" s="326"/>
      <c r="K15" s="114" t="s">
        <v>370</v>
      </c>
      <c r="L15" s="141">
        <v>1.2</v>
      </c>
      <c r="M15" s="141">
        <v>3.1</v>
      </c>
      <c r="N15" s="141">
        <v>1.23</v>
      </c>
      <c r="O15" s="141">
        <v>1.3</v>
      </c>
      <c r="Q15" s="325"/>
      <c r="R15" s="325"/>
      <c r="S15" s="325"/>
    </row>
    <row r="16" spans="1:19">
      <c r="A16" s="114" t="s">
        <v>371</v>
      </c>
      <c r="B16" s="111">
        <v>20</v>
      </c>
      <c r="C16" s="112">
        <v>2.9</v>
      </c>
      <c r="D16" s="112">
        <v>55.4</v>
      </c>
      <c r="E16" s="111">
        <v>10</v>
      </c>
      <c r="F16" s="112">
        <v>2.9</v>
      </c>
      <c r="G16" s="112">
        <v>20.7</v>
      </c>
      <c r="J16" s="326"/>
      <c r="K16" s="114" t="s">
        <v>371</v>
      </c>
      <c r="L16" s="141">
        <v>2.9</v>
      </c>
      <c r="M16" s="141">
        <v>55.4</v>
      </c>
      <c r="N16" s="141">
        <v>2.9</v>
      </c>
      <c r="O16" s="141">
        <v>20.7</v>
      </c>
      <c r="Q16" s="325"/>
      <c r="R16" s="325"/>
      <c r="S16" s="325"/>
    </row>
    <row r="17" spans="1:15">
      <c r="A17" s="114" t="s">
        <v>372</v>
      </c>
      <c r="B17" s="111">
        <v>20</v>
      </c>
      <c r="C17" s="112">
        <v>0.7</v>
      </c>
      <c r="D17" s="112">
        <v>9.3000000000000007</v>
      </c>
      <c r="E17" s="111">
        <v>10</v>
      </c>
      <c r="F17" s="112">
        <v>0.72</v>
      </c>
      <c r="G17" s="112">
        <v>1.6</v>
      </c>
      <c r="J17" s="326"/>
      <c r="K17" s="114" t="s">
        <v>372</v>
      </c>
      <c r="L17" s="141">
        <v>0.7</v>
      </c>
      <c r="M17" s="141">
        <v>9.3000000000000007</v>
      </c>
      <c r="N17" s="141">
        <v>0.72</v>
      </c>
      <c r="O17" s="141">
        <v>1.6</v>
      </c>
    </row>
    <row r="18" spans="1:15">
      <c r="A18" s="114" t="s">
        <v>373</v>
      </c>
      <c r="B18" s="111">
        <v>20</v>
      </c>
      <c r="C18" s="112">
        <v>0.4</v>
      </c>
      <c r="D18" s="112">
        <v>8.4</v>
      </c>
      <c r="E18" s="111">
        <v>10</v>
      </c>
      <c r="F18" s="112">
        <v>0.36</v>
      </c>
      <c r="G18" s="112">
        <v>1.1000000000000001</v>
      </c>
      <c r="J18" s="326"/>
      <c r="K18" s="114" t="s">
        <v>373</v>
      </c>
      <c r="L18" s="141">
        <v>0.4</v>
      </c>
      <c r="M18" s="141">
        <v>8.4</v>
      </c>
      <c r="N18" s="141">
        <v>0.36</v>
      </c>
      <c r="O18" s="141">
        <v>1.1000000000000001</v>
      </c>
    </row>
    <row r="19" spans="1:15">
      <c r="J19" s="326"/>
      <c r="K19" s="110" t="s">
        <v>374</v>
      </c>
      <c r="L19" s="140">
        <f>AVERAGE(L7:L18)</f>
        <v>0.77500000000000002</v>
      </c>
      <c r="M19" s="140">
        <f>MAX(M7:M18)</f>
        <v>185.8</v>
      </c>
      <c r="N19" s="140">
        <f>AVERAGE(N7:N18)</f>
        <v>0.77500000000000002</v>
      </c>
      <c r="O19" s="140">
        <f>MAX(O7:O18)</f>
        <v>20.7</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29" t="s">
        <v>375</v>
      </c>
      <c r="B49" s="330"/>
      <c r="C49" s="330"/>
      <c r="D49" s="330"/>
      <c r="E49" s="330"/>
      <c r="F49" s="330"/>
      <c r="G49" s="331"/>
      <c r="J49" s="326"/>
      <c r="K49" s="110" t="s">
        <v>374</v>
      </c>
      <c r="L49" s="110" t="e">
        <f>AVERAGE(L37:L48)</f>
        <v>#DIV/0!</v>
      </c>
      <c r="M49" s="110">
        <f>MAX(M37:M48)</f>
        <v>0</v>
      </c>
      <c r="N49" s="110" t="e">
        <f>AVERAGE(N37:N48)</f>
        <v>#DIV/0!</v>
      </c>
      <c r="O49" s="110">
        <f>MAX(O37:O48)</f>
        <v>0</v>
      </c>
    </row>
    <row r="50" spans="1:15">
      <c r="A50" s="332"/>
      <c r="B50" s="333"/>
      <c r="C50" s="333"/>
      <c r="D50" s="333"/>
      <c r="E50" s="333"/>
      <c r="F50" s="333"/>
      <c r="G50" s="334"/>
    </row>
    <row r="51" spans="1:15" ht="27.95">
      <c r="A51" s="332"/>
      <c r="B51" s="333"/>
      <c r="C51" s="333"/>
      <c r="D51" s="333"/>
      <c r="E51" s="333"/>
      <c r="F51" s="333"/>
      <c r="G51" s="334"/>
      <c r="J51" s="109">
        <f>+A6</f>
        <v>2022</v>
      </c>
      <c r="K51" s="109" t="s">
        <v>356</v>
      </c>
      <c r="L51" s="115" t="s">
        <v>351</v>
      </c>
      <c r="M51" s="115" t="s">
        <v>357</v>
      </c>
      <c r="N51" s="115" t="s">
        <v>354</v>
      </c>
      <c r="O51" s="115" t="s">
        <v>358</v>
      </c>
    </row>
    <row r="52" spans="1:15">
      <c r="A52" s="335"/>
      <c r="B52" s="336"/>
      <c r="C52" s="336"/>
      <c r="D52" s="336"/>
      <c r="E52" s="336"/>
      <c r="F52" s="336"/>
      <c r="G52" s="337"/>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A37" zoomScaleNormal="100" workbookViewId="0">
      <selection activeCell="A49" sqref="A49:G52"/>
    </sheetView>
  </sheetViews>
  <sheetFormatPr defaultRowHeight="14.1"/>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row>
    <row r="3" spans="1:19" ht="14.45">
      <c r="A3" s="108" t="s">
        <v>385</v>
      </c>
      <c r="D3" s="127" t="s">
        <v>343</v>
      </c>
      <c r="G3" s="131" t="s">
        <v>344</v>
      </c>
      <c r="J3" s="9" t="str">
        <f>+A3</f>
        <v>Monitoring of Particulate matter emissions</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386</v>
      </c>
      <c r="C6" s="102" t="s">
        <v>351</v>
      </c>
      <c r="D6" s="102" t="s">
        <v>352</v>
      </c>
      <c r="E6" s="102" t="s">
        <v>387</v>
      </c>
      <c r="F6" s="102" t="s">
        <v>354</v>
      </c>
      <c r="G6" s="102" t="s">
        <v>355</v>
      </c>
      <c r="H6" s="107"/>
      <c r="J6" s="109">
        <f>+A6</f>
        <v>2022</v>
      </c>
      <c r="K6" s="109" t="s">
        <v>356</v>
      </c>
      <c r="L6" s="115" t="s">
        <v>351</v>
      </c>
      <c r="M6" s="115" t="s">
        <v>357</v>
      </c>
      <c r="N6" s="115" t="s">
        <v>354</v>
      </c>
      <c r="O6" s="115" t="s">
        <v>358</v>
      </c>
      <c r="Q6" s="303"/>
      <c r="R6" s="303"/>
      <c r="S6" s="303"/>
    </row>
    <row r="7" spans="1:19">
      <c r="A7" s="114" t="s">
        <v>359</v>
      </c>
      <c r="B7" s="111">
        <v>30</v>
      </c>
      <c r="C7" s="112">
        <v>0.2</v>
      </c>
      <c r="D7" s="112">
        <v>0.8</v>
      </c>
      <c r="E7" s="111">
        <v>10</v>
      </c>
      <c r="F7" s="112">
        <v>0.16</v>
      </c>
      <c r="G7" s="112">
        <v>0.2</v>
      </c>
      <c r="J7" s="326" t="s">
        <v>184</v>
      </c>
      <c r="K7" s="114" t="s">
        <v>359</v>
      </c>
      <c r="L7" s="112">
        <v>0.2</v>
      </c>
      <c r="M7" s="112">
        <v>0.8</v>
      </c>
      <c r="N7" s="112">
        <v>0.16</v>
      </c>
      <c r="O7" s="112">
        <v>0.2</v>
      </c>
      <c r="Q7" s="303"/>
      <c r="R7" s="303"/>
      <c r="S7" s="303"/>
    </row>
    <row r="8" spans="1:19">
      <c r="A8" s="114" t="s">
        <v>360</v>
      </c>
      <c r="B8" s="111">
        <v>30</v>
      </c>
      <c r="C8" s="112">
        <v>0.1</v>
      </c>
      <c r="D8" s="112">
        <v>1.4</v>
      </c>
      <c r="E8" s="111">
        <v>10</v>
      </c>
      <c r="F8" s="112">
        <v>0.1</v>
      </c>
      <c r="G8" s="112">
        <v>0.2</v>
      </c>
      <c r="J8" s="326"/>
      <c r="K8" s="114" t="s">
        <v>360</v>
      </c>
      <c r="L8" s="112">
        <v>0.1</v>
      </c>
      <c r="M8" s="112">
        <v>1.4</v>
      </c>
      <c r="N8" s="112">
        <v>0.1</v>
      </c>
      <c r="O8" s="112">
        <v>0.2</v>
      </c>
      <c r="Q8" s="303"/>
      <c r="R8" s="303"/>
      <c r="S8" s="303"/>
    </row>
    <row r="9" spans="1:19">
      <c r="A9" s="114" t="s">
        <v>361</v>
      </c>
      <c r="B9" s="111">
        <v>30</v>
      </c>
      <c r="C9" s="112">
        <v>0.1</v>
      </c>
      <c r="D9" s="112">
        <v>0.8</v>
      </c>
      <c r="E9" s="111">
        <v>10</v>
      </c>
      <c r="F9" s="112">
        <v>0.14000000000000001</v>
      </c>
      <c r="G9" s="112">
        <v>0.3</v>
      </c>
      <c r="J9" s="326"/>
      <c r="K9" s="114" t="s">
        <v>361</v>
      </c>
      <c r="L9" s="112">
        <v>0.1</v>
      </c>
      <c r="M9" s="112">
        <v>0.8</v>
      </c>
      <c r="N9" s="112">
        <v>0.14000000000000001</v>
      </c>
      <c r="O9" s="112">
        <v>0.3</v>
      </c>
      <c r="Q9" s="129" t="s">
        <v>362</v>
      </c>
    </row>
    <row r="10" spans="1:19" ht="14.25" customHeight="1">
      <c r="A10" s="114" t="s">
        <v>363</v>
      </c>
      <c r="B10" s="111">
        <v>30</v>
      </c>
      <c r="C10" s="112">
        <v>0.1</v>
      </c>
      <c r="D10" s="112">
        <v>1.4</v>
      </c>
      <c r="E10" s="111">
        <v>10</v>
      </c>
      <c r="F10" s="112">
        <v>0.12</v>
      </c>
      <c r="G10" s="112">
        <v>0.2</v>
      </c>
      <c r="J10" s="326"/>
      <c r="K10" s="114" t="s">
        <v>363</v>
      </c>
      <c r="L10" s="112">
        <v>0.1</v>
      </c>
      <c r="M10" s="112">
        <v>1.4</v>
      </c>
      <c r="N10" s="112">
        <v>0.12</v>
      </c>
      <c r="O10" s="112">
        <v>0.2</v>
      </c>
      <c r="Q10" s="325" t="s">
        <v>364</v>
      </c>
      <c r="R10" s="325"/>
      <c r="S10" s="325"/>
    </row>
    <row r="11" spans="1:19">
      <c r="A11" s="114" t="s">
        <v>365</v>
      </c>
      <c r="B11" s="111">
        <v>30</v>
      </c>
      <c r="C11" s="112">
        <v>0.2</v>
      </c>
      <c r="D11" s="112">
        <v>1.5</v>
      </c>
      <c r="E11" s="111">
        <v>10</v>
      </c>
      <c r="F11" s="141">
        <v>0.21</v>
      </c>
      <c r="G11" s="112">
        <v>0.4</v>
      </c>
      <c r="J11" s="326"/>
      <c r="K11" s="114" t="s">
        <v>365</v>
      </c>
      <c r="L11" s="112">
        <v>0.2</v>
      </c>
      <c r="M11" s="112">
        <v>1.5</v>
      </c>
      <c r="N11" s="141">
        <v>0.21</v>
      </c>
      <c r="O11" s="112">
        <v>0.4</v>
      </c>
      <c r="Q11" s="325"/>
      <c r="R11" s="325"/>
      <c r="S11" s="325"/>
    </row>
    <row r="12" spans="1:19">
      <c r="A12" s="114" t="s">
        <v>366</v>
      </c>
      <c r="B12" s="111">
        <v>30</v>
      </c>
      <c r="C12" s="112">
        <v>0.2</v>
      </c>
      <c r="D12" s="112">
        <v>1.5</v>
      </c>
      <c r="E12" s="111">
        <v>10</v>
      </c>
      <c r="F12" s="141">
        <v>0.18</v>
      </c>
      <c r="G12" s="112">
        <v>0.3</v>
      </c>
      <c r="J12" s="326"/>
      <c r="K12" s="114" t="s">
        <v>366</v>
      </c>
      <c r="L12" s="112">
        <v>0.2</v>
      </c>
      <c r="M12" s="112">
        <v>1.5</v>
      </c>
      <c r="N12" s="141">
        <v>0.18</v>
      </c>
      <c r="O12" s="112">
        <v>0.3</v>
      </c>
      <c r="Q12" s="325"/>
      <c r="R12" s="325"/>
      <c r="S12" s="325"/>
    </row>
    <row r="13" spans="1:19" ht="14.25" customHeight="1">
      <c r="A13" s="114" t="s">
        <v>367</v>
      </c>
      <c r="B13" s="111">
        <v>30</v>
      </c>
      <c r="C13" s="112">
        <v>0.2</v>
      </c>
      <c r="D13" s="112">
        <v>1.5</v>
      </c>
      <c r="E13" s="111">
        <v>10</v>
      </c>
      <c r="F13" s="112">
        <v>0.2</v>
      </c>
      <c r="G13" s="112">
        <v>0.4</v>
      </c>
      <c r="J13" s="326"/>
      <c r="K13" s="114" t="s">
        <v>367</v>
      </c>
      <c r="L13" s="112">
        <v>0.2</v>
      </c>
      <c r="M13" s="112">
        <v>1.5</v>
      </c>
      <c r="N13" s="112">
        <v>0.2</v>
      </c>
      <c r="O13" s="112">
        <v>0.4</v>
      </c>
      <c r="Q13" s="325" t="s">
        <v>368</v>
      </c>
      <c r="R13" s="325"/>
      <c r="S13" s="325"/>
    </row>
    <row r="14" spans="1:19">
      <c r="A14" s="114" t="s">
        <v>369</v>
      </c>
      <c r="B14" s="111">
        <v>30</v>
      </c>
      <c r="C14" s="112">
        <v>0.6</v>
      </c>
      <c r="D14" s="112">
        <v>136.5</v>
      </c>
      <c r="E14" s="111">
        <v>10</v>
      </c>
      <c r="F14" s="112">
        <v>0.6</v>
      </c>
      <c r="G14" s="112">
        <v>8.8000000000000007</v>
      </c>
      <c r="J14" s="326"/>
      <c r="K14" s="114" t="s">
        <v>369</v>
      </c>
      <c r="L14" s="112">
        <v>0.6</v>
      </c>
      <c r="M14" s="112">
        <v>136.5</v>
      </c>
      <c r="N14" s="112">
        <v>0.6</v>
      </c>
      <c r="O14" s="112">
        <v>8.8000000000000007</v>
      </c>
      <c r="Q14" s="325"/>
      <c r="R14" s="325"/>
      <c r="S14" s="325"/>
    </row>
    <row r="15" spans="1:19">
      <c r="A15" s="114" t="s">
        <v>370</v>
      </c>
      <c r="B15" s="111">
        <v>30</v>
      </c>
      <c r="C15" s="112">
        <v>0.3</v>
      </c>
      <c r="D15" s="112">
        <v>1.4</v>
      </c>
      <c r="E15" s="111">
        <v>10</v>
      </c>
      <c r="F15" s="112">
        <v>0.31</v>
      </c>
      <c r="G15" s="112">
        <v>0.4</v>
      </c>
      <c r="J15" s="326"/>
      <c r="K15" s="114" t="s">
        <v>370</v>
      </c>
      <c r="L15" s="112">
        <v>0.3</v>
      </c>
      <c r="M15" s="112">
        <v>1.4</v>
      </c>
      <c r="N15" s="112">
        <v>0.31</v>
      </c>
      <c r="O15" s="112">
        <v>0.4</v>
      </c>
      <c r="Q15" s="325"/>
      <c r="R15" s="325"/>
      <c r="S15" s="325"/>
    </row>
    <row r="16" spans="1:19">
      <c r="A16" s="114" t="s">
        <v>371</v>
      </c>
      <c r="B16" s="111">
        <v>30</v>
      </c>
      <c r="C16" s="112">
        <v>0.3</v>
      </c>
      <c r="D16" s="112">
        <v>13</v>
      </c>
      <c r="E16" s="111">
        <v>10</v>
      </c>
      <c r="F16" s="112">
        <v>0.34</v>
      </c>
      <c r="G16" s="112">
        <v>0.8</v>
      </c>
      <c r="J16" s="326"/>
      <c r="K16" s="114" t="s">
        <v>371</v>
      </c>
      <c r="L16" s="112">
        <v>0.3</v>
      </c>
      <c r="M16" s="112">
        <v>13</v>
      </c>
      <c r="N16" s="112">
        <v>0.34</v>
      </c>
      <c r="O16" s="112">
        <v>0.8</v>
      </c>
      <c r="Q16" s="325"/>
      <c r="R16" s="325"/>
      <c r="S16" s="325"/>
    </row>
    <row r="17" spans="1:15">
      <c r="A17" s="114" t="s">
        <v>372</v>
      </c>
      <c r="B17" s="111">
        <v>30</v>
      </c>
      <c r="C17" s="112">
        <v>0.1</v>
      </c>
      <c r="D17" s="112">
        <v>2.9</v>
      </c>
      <c r="E17" s="111">
        <v>10</v>
      </c>
      <c r="F17" s="112">
        <v>0.1</v>
      </c>
      <c r="G17" s="112">
        <v>0.2</v>
      </c>
      <c r="J17" s="326"/>
      <c r="K17" s="114" t="s">
        <v>372</v>
      </c>
      <c r="L17" s="112">
        <v>0.1</v>
      </c>
      <c r="M17" s="112">
        <v>2.9</v>
      </c>
      <c r="N17" s="112">
        <v>0.1</v>
      </c>
      <c r="O17" s="112">
        <v>0.2</v>
      </c>
    </row>
    <row r="18" spans="1:15">
      <c r="A18" s="114" t="s">
        <v>373</v>
      </c>
      <c r="B18" s="111">
        <v>30</v>
      </c>
      <c r="C18" s="112">
        <v>0.1</v>
      </c>
      <c r="D18" s="112">
        <v>5.7</v>
      </c>
      <c r="E18" s="111">
        <v>10</v>
      </c>
      <c r="F18" s="112">
        <v>0.1</v>
      </c>
      <c r="G18" s="112">
        <v>0.3</v>
      </c>
      <c r="J18" s="326"/>
      <c r="K18" s="114" t="s">
        <v>373</v>
      </c>
      <c r="L18" s="112">
        <v>0.1</v>
      </c>
      <c r="M18" s="112">
        <v>5.7</v>
      </c>
      <c r="N18" s="112">
        <v>0.1</v>
      </c>
      <c r="O18" s="112">
        <v>0.3</v>
      </c>
    </row>
    <row r="19" spans="1:15">
      <c r="J19" s="326"/>
      <c r="K19" s="110" t="s">
        <v>374</v>
      </c>
      <c r="L19" s="140">
        <f>AVERAGE(L7:L18)</f>
        <v>0.20833333333333334</v>
      </c>
      <c r="M19" s="140">
        <f>MAX(M7:M18)</f>
        <v>136.5</v>
      </c>
      <c r="N19" s="140">
        <f>AVERAGE(N7:N18)</f>
        <v>0.21333333333333335</v>
      </c>
      <c r="O19" s="140">
        <f>MAX(O7:O18)</f>
        <v>8.8000000000000007</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29" t="s">
        <v>375</v>
      </c>
      <c r="B49" s="330"/>
      <c r="C49" s="330"/>
      <c r="D49" s="330"/>
      <c r="E49" s="330"/>
      <c r="F49" s="330"/>
      <c r="G49" s="331"/>
      <c r="J49" s="326"/>
      <c r="K49" s="110" t="s">
        <v>374</v>
      </c>
      <c r="L49" s="110" t="e">
        <f>AVERAGE(L37:L48)</f>
        <v>#DIV/0!</v>
      </c>
      <c r="M49" s="110">
        <f>MAX(M37:M48)</f>
        <v>0</v>
      </c>
      <c r="N49" s="110" t="e">
        <f>AVERAGE(N37:N48)</f>
        <v>#DIV/0!</v>
      </c>
      <c r="O49" s="110">
        <f>MAX(O37:O48)</f>
        <v>0</v>
      </c>
    </row>
    <row r="50" spans="1:15">
      <c r="A50" s="332"/>
      <c r="B50" s="333"/>
      <c r="C50" s="333"/>
      <c r="D50" s="333"/>
      <c r="E50" s="333"/>
      <c r="F50" s="333"/>
      <c r="G50" s="334"/>
    </row>
    <row r="51" spans="1:15" ht="27.95">
      <c r="A51" s="332"/>
      <c r="B51" s="333"/>
      <c r="C51" s="333"/>
      <c r="D51" s="333"/>
      <c r="E51" s="333"/>
      <c r="F51" s="333"/>
      <c r="G51" s="334"/>
      <c r="J51" s="109">
        <f>+A6</f>
        <v>2022</v>
      </c>
      <c r="K51" s="109" t="s">
        <v>356</v>
      </c>
      <c r="L51" s="115" t="s">
        <v>351</v>
      </c>
      <c r="M51" s="115" t="s">
        <v>357</v>
      </c>
      <c r="N51" s="115" t="s">
        <v>354</v>
      </c>
      <c r="O51" s="115" t="s">
        <v>358</v>
      </c>
    </row>
    <row r="52" spans="1:15">
      <c r="A52" s="335"/>
      <c r="B52" s="336"/>
      <c r="C52" s="336"/>
      <c r="D52" s="336"/>
      <c r="E52" s="336"/>
      <c r="F52" s="336"/>
      <c r="G52" s="337"/>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topLeftCell="A31" zoomScaleNormal="100" workbookViewId="0">
      <selection activeCell="H50" sqref="A50:XFD50"/>
    </sheetView>
  </sheetViews>
  <sheetFormatPr defaultRowHeight="14.1"/>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row>
    <row r="3" spans="1:19" ht="14.45">
      <c r="A3" s="108" t="s">
        <v>388</v>
      </c>
      <c r="D3" s="127" t="s">
        <v>343</v>
      </c>
      <c r="G3" s="131" t="s">
        <v>344</v>
      </c>
      <c r="J3" s="9" t="str">
        <f>+A3</f>
        <v>Monitoring of Carbon Monoxide (half hourly)</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389</v>
      </c>
      <c r="C6" s="102" t="s">
        <v>351</v>
      </c>
      <c r="D6" s="102" t="s">
        <v>352</v>
      </c>
      <c r="E6" s="102" t="s">
        <v>390</v>
      </c>
      <c r="F6" s="102" t="s">
        <v>354</v>
      </c>
      <c r="G6" s="102" t="s">
        <v>355</v>
      </c>
      <c r="H6" s="107"/>
      <c r="J6" s="109">
        <f>+A6</f>
        <v>2022</v>
      </c>
      <c r="K6" s="109" t="s">
        <v>356</v>
      </c>
      <c r="L6" s="115" t="s">
        <v>351</v>
      </c>
      <c r="M6" s="115" t="s">
        <v>357</v>
      </c>
      <c r="N6" s="115" t="s">
        <v>354</v>
      </c>
      <c r="O6" s="115" t="s">
        <v>358</v>
      </c>
      <c r="Q6" s="303"/>
      <c r="R6" s="303"/>
      <c r="S6" s="303"/>
    </row>
    <row r="7" spans="1:19">
      <c r="A7" s="114" t="s">
        <v>359</v>
      </c>
      <c r="B7" s="117">
        <v>100</v>
      </c>
      <c r="C7" s="112">
        <v>22</v>
      </c>
      <c r="D7" s="112">
        <v>67</v>
      </c>
      <c r="E7" s="117">
        <v>50</v>
      </c>
      <c r="F7" s="142">
        <v>22.36</v>
      </c>
      <c r="G7" s="112">
        <v>26</v>
      </c>
      <c r="J7" s="326" t="s">
        <v>184</v>
      </c>
      <c r="K7" s="114" t="s">
        <v>359</v>
      </c>
      <c r="L7" s="112">
        <v>22</v>
      </c>
      <c r="M7" s="112">
        <v>67</v>
      </c>
      <c r="N7" s="142">
        <v>22.36</v>
      </c>
      <c r="O7" s="112">
        <v>26</v>
      </c>
      <c r="Q7" s="303"/>
      <c r="R7" s="303"/>
      <c r="S7" s="303"/>
    </row>
    <row r="8" spans="1:19">
      <c r="A8" s="114" t="s">
        <v>360</v>
      </c>
      <c r="B8" s="111">
        <f>+B7</f>
        <v>100</v>
      </c>
      <c r="C8" s="112">
        <v>28</v>
      </c>
      <c r="D8" s="112">
        <v>67</v>
      </c>
      <c r="E8" s="111">
        <f>+E7</f>
        <v>50</v>
      </c>
      <c r="F8" s="142">
        <v>28.08</v>
      </c>
      <c r="G8" s="112">
        <v>43</v>
      </c>
      <c r="J8" s="326"/>
      <c r="K8" s="114" t="s">
        <v>360</v>
      </c>
      <c r="L8" s="112">
        <v>28</v>
      </c>
      <c r="M8" s="112">
        <v>67</v>
      </c>
      <c r="N8" s="142">
        <v>28.08</v>
      </c>
      <c r="O8" s="112">
        <v>43</v>
      </c>
      <c r="Q8" s="303"/>
      <c r="R8" s="303"/>
      <c r="S8" s="303"/>
    </row>
    <row r="9" spans="1:19">
      <c r="A9" s="114" t="s">
        <v>361</v>
      </c>
      <c r="B9" s="111">
        <f t="shared" ref="B9:B18" si="0">+B8</f>
        <v>100</v>
      </c>
      <c r="C9" s="112">
        <v>29</v>
      </c>
      <c r="D9" s="112">
        <v>105</v>
      </c>
      <c r="E9" s="111">
        <f t="shared" ref="E9:E18" si="1">+E8</f>
        <v>50</v>
      </c>
      <c r="F9" s="142">
        <v>29.2</v>
      </c>
      <c r="G9" s="143">
        <v>39</v>
      </c>
      <c r="J9" s="326"/>
      <c r="K9" s="114" t="s">
        <v>361</v>
      </c>
      <c r="L9" s="112">
        <v>29</v>
      </c>
      <c r="M9" s="112">
        <v>105</v>
      </c>
      <c r="N9" s="142">
        <v>29.2</v>
      </c>
      <c r="O9" s="142">
        <v>39</v>
      </c>
      <c r="Q9" s="129" t="s">
        <v>362</v>
      </c>
    </row>
    <row r="10" spans="1:19" ht="14.25" customHeight="1">
      <c r="A10" s="114" t="s">
        <v>363</v>
      </c>
      <c r="B10" s="111">
        <f t="shared" si="0"/>
        <v>100</v>
      </c>
      <c r="C10" s="112">
        <v>27</v>
      </c>
      <c r="D10" s="112">
        <v>113</v>
      </c>
      <c r="E10" s="111">
        <f t="shared" si="1"/>
        <v>50</v>
      </c>
      <c r="F10" s="142">
        <v>27.33</v>
      </c>
      <c r="G10" s="112">
        <v>35</v>
      </c>
      <c r="J10" s="326"/>
      <c r="K10" s="114" t="s">
        <v>363</v>
      </c>
      <c r="L10" s="112">
        <v>27</v>
      </c>
      <c r="M10" s="112">
        <v>113</v>
      </c>
      <c r="N10" s="142">
        <v>27.33</v>
      </c>
      <c r="O10" s="112">
        <v>35</v>
      </c>
      <c r="Q10" s="325" t="s">
        <v>364</v>
      </c>
      <c r="R10" s="325"/>
      <c r="S10" s="325"/>
    </row>
    <row r="11" spans="1:19">
      <c r="A11" s="114" t="s">
        <v>365</v>
      </c>
      <c r="B11" s="111">
        <f t="shared" si="0"/>
        <v>100</v>
      </c>
      <c r="C11" s="112">
        <v>26</v>
      </c>
      <c r="D11" s="112">
        <v>358</v>
      </c>
      <c r="E11" s="111">
        <f t="shared" si="1"/>
        <v>50</v>
      </c>
      <c r="F11" s="142">
        <v>26.44</v>
      </c>
      <c r="G11" s="112">
        <v>45</v>
      </c>
      <c r="J11" s="326"/>
      <c r="K11" s="114" t="s">
        <v>365</v>
      </c>
      <c r="L11" s="112">
        <v>26</v>
      </c>
      <c r="M11" s="112">
        <v>358</v>
      </c>
      <c r="N11" s="142">
        <v>26.44</v>
      </c>
      <c r="O11" s="112">
        <v>45</v>
      </c>
      <c r="Q11" s="325"/>
      <c r="R11" s="325"/>
      <c r="S11" s="325"/>
    </row>
    <row r="12" spans="1:19">
      <c r="A12" s="114" t="s">
        <v>366</v>
      </c>
      <c r="B12" s="111">
        <f t="shared" si="0"/>
        <v>100</v>
      </c>
      <c r="C12" s="112">
        <v>29</v>
      </c>
      <c r="D12" s="112">
        <v>245</v>
      </c>
      <c r="E12" s="111">
        <f t="shared" si="1"/>
        <v>50</v>
      </c>
      <c r="F12" s="142">
        <v>29.19</v>
      </c>
      <c r="G12" s="112">
        <v>50</v>
      </c>
      <c r="J12" s="326"/>
      <c r="K12" s="114" t="s">
        <v>366</v>
      </c>
      <c r="L12" s="112">
        <v>29</v>
      </c>
      <c r="M12" s="112">
        <v>245</v>
      </c>
      <c r="N12" s="142">
        <v>29.19</v>
      </c>
      <c r="O12" s="112">
        <v>50</v>
      </c>
      <c r="Q12" s="325"/>
      <c r="R12" s="325"/>
      <c r="S12" s="325"/>
    </row>
    <row r="13" spans="1:19" ht="14.25" customHeight="1">
      <c r="A13" s="114" t="s">
        <v>367</v>
      </c>
      <c r="B13" s="111">
        <f t="shared" si="0"/>
        <v>100</v>
      </c>
      <c r="C13" s="112">
        <v>42</v>
      </c>
      <c r="D13" s="112">
        <v>412</v>
      </c>
      <c r="E13" s="111">
        <f t="shared" si="1"/>
        <v>50</v>
      </c>
      <c r="F13" s="142">
        <v>41.5</v>
      </c>
      <c r="G13" s="112">
        <v>80</v>
      </c>
      <c r="J13" s="326"/>
      <c r="K13" s="114" t="s">
        <v>367</v>
      </c>
      <c r="L13" s="112">
        <v>42</v>
      </c>
      <c r="M13" s="112">
        <v>412</v>
      </c>
      <c r="N13" s="142">
        <v>41.5</v>
      </c>
      <c r="O13" s="112">
        <v>80</v>
      </c>
      <c r="Q13" s="325" t="s">
        <v>368</v>
      </c>
      <c r="R13" s="325"/>
      <c r="S13" s="325"/>
    </row>
    <row r="14" spans="1:19">
      <c r="A14" s="114" t="s">
        <v>369</v>
      </c>
      <c r="B14" s="111">
        <f t="shared" si="0"/>
        <v>100</v>
      </c>
      <c r="C14" s="112">
        <v>31</v>
      </c>
      <c r="D14" s="112">
        <v>417</v>
      </c>
      <c r="E14" s="111">
        <f t="shared" si="1"/>
        <v>50</v>
      </c>
      <c r="F14" s="142">
        <v>31.04</v>
      </c>
      <c r="G14" s="112">
        <v>81</v>
      </c>
      <c r="J14" s="326"/>
      <c r="K14" s="114" t="s">
        <v>369</v>
      </c>
      <c r="L14" s="112">
        <v>31</v>
      </c>
      <c r="M14" s="112">
        <v>417</v>
      </c>
      <c r="N14" s="142">
        <v>31.04</v>
      </c>
      <c r="O14" s="112">
        <v>81</v>
      </c>
      <c r="Q14" s="325"/>
      <c r="R14" s="325"/>
      <c r="S14" s="325"/>
    </row>
    <row r="15" spans="1:19">
      <c r="A15" s="114" t="s">
        <v>370</v>
      </c>
      <c r="B15" s="111">
        <f t="shared" si="0"/>
        <v>100</v>
      </c>
      <c r="C15" s="112">
        <v>39</v>
      </c>
      <c r="D15" s="112">
        <v>440</v>
      </c>
      <c r="E15" s="111">
        <f t="shared" si="1"/>
        <v>50</v>
      </c>
      <c r="F15" s="142">
        <v>39</v>
      </c>
      <c r="G15" s="112">
        <v>51</v>
      </c>
      <c r="J15" s="326"/>
      <c r="K15" s="114" t="s">
        <v>370</v>
      </c>
      <c r="L15" s="112">
        <v>39</v>
      </c>
      <c r="M15" s="112">
        <v>440</v>
      </c>
      <c r="N15" s="142">
        <v>39</v>
      </c>
      <c r="O15" s="112">
        <v>51</v>
      </c>
      <c r="Q15" s="325"/>
      <c r="R15" s="325"/>
      <c r="S15" s="325"/>
    </row>
    <row r="16" spans="1:19">
      <c r="A16" s="114" t="s">
        <v>371</v>
      </c>
      <c r="B16" s="111">
        <f t="shared" si="0"/>
        <v>100</v>
      </c>
      <c r="C16" s="112">
        <v>118</v>
      </c>
      <c r="D16" s="112">
        <v>2787</v>
      </c>
      <c r="E16" s="111">
        <f t="shared" si="1"/>
        <v>50</v>
      </c>
      <c r="F16" s="142">
        <v>118.2</v>
      </c>
      <c r="G16" s="112">
        <v>966</v>
      </c>
      <c r="J16" s="326"/>
      <c r="K16" s="114" t="s">
        <v>371</v>
      </c>
      <c r="L16" s="112">
        <v>118</v>
      </c>
      <c r="M16" s="112">
        <v>2787</v>
      </c>
      <c r="N16" s="142">
        <v>118.2</v>
      </c>
      <c r="O16" s="112">
        <v>966</v>
      </c>
      <c r="Q16" s="325"/>
      <c r="R16" s="325"/>
      <c r="S16" s="325"/>
    </row>
    <row r="17" spans="1:15">
      <c r="A17" s="114" t="s">
        <v>372</v>
      </c>
      <c r="B17" s="111">
        <f t="shared" si="0"/>
        <v>100</v>
      </c>
      <c r="C17" s="112">
        <v>43</v>
      </c>
      <c r="D17" s="112">
        <v>387</v>
      </c>
      <c r="E17" s="111">
        <f t="shared" si="1"/>
        <v>50</v>
      </c>
      <c r="F17" s="142">
        <v>42.69</v>
      </c>
      <c r="G17" s="112">
        <v>73</v>
      </c>
      <c r="J17" s="326"/>
      <c r="K17" s="114" t="s">
        <v>372</v>
      </c>
      <c r="L17" s="112">
        <v>43</v>
      </c>
      <c r="M17" s="112">
        <v>387</v>
      </c>
      <c r="N17" s="142">
        <v>42.69</v>
      </c>
      <c r="O17" s="112">
        <v>73</v>
      </c>
    </row>
    <row r="18" spans="1:15">
      <c r="A18" s="114" t="s">
        <v>373</v>
      </c>
      <c r="B18" s="111">
        <f t="shared" si="0"/>
        <v>100</v>
      </c>
      <c r="C18" s="112">
        <v>41</v>
      </c>
      <c r="D18" s="112">
        <v>372</v>
      </c>
      <c r="E18" s="111">
        <f t="shared" si="1"/>
        <v>50</v>
      </c>
      <c r="F18" s="142">
        <v>40.99</v>
      </c>
      <c r="G18" s="112">
        <v>89</v>
      </c>
      <c r="J18" s="326"/>
      <c r="K18" s="114" t="s">
        <v>373</v>
      </c>
      <c r="L18" s="112">
        <v>41</v>
      </c>
      <c r="M18" s="112">
        <v>372</v>
      </c>
      <c r="N18" s="142">
        <v>40.99</v>
      </c>
      <c r="O18" s="112">
        <v>89</v>
      </c>
    </row>
    <row r="19" spans="1:15">
      <c r="J19" s="326"/>
      <c r="K19" s="110" t="s">
        <v>374</v>
      </c>
      <c r="L19" s="140">
        <f>AVERAGE(L7:L18)</f>
        <v>39.583333333333336</v>
      </c>
      <c r="M19" s="140">
        <f>MAX(M7:M18)</f>
        <v>2787</v>
      </c>
      <c r="N19" s="140">
        <f>AVERAGE(N7:N18)</f>
        <v>39.668333333333329</v>
      </c>
      <c r="O19" s="140">
        <f>MAX(O7:O18)</f>
        <v>966</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29" t="s">
        <v>375</v>
      </c>
      <c r="B49" s="330"/>
      <c r="C49" s="330"/>
      <c r="D49" s="330"/>
      <c r="E49" s="330"/>
      <c r="F49" s="330"/>
      <c r="G49" s="331"/>
      <c r="J49" s="326"/>
      <c r="K49" s="110" t="s">
        <v>374</v>
      </c>
      <c r="L49" s="110" t="e">
        <f>AVERAGE(L37:L48)</f>
        <v>#DIV/0!</v>
      </c>
      <c r="M49" s="110">
        <f>MAX(M37:M48)</f>
        <v>0</v>
      </c>
      <c r="N49" s="110" t="e">
        <f>AVERAGE(N37:N48)</f>
        <v>#DIV/0!</v>
      </c>
      <c r="O49" s="110">
        <f>MAX(O37:O48)</f>
        <v>0</v>
      </c>
    </row>
    <row r="50" spans="1:15">
      <c r="A50" s="332"/>
      <c r="B50" s="333"/>
      <c r="C50" s="333"/>
      <c r="D50" s="333"/>
      <c r="E50" s="333"/>
      <c r="F50" s="333"/>
      <c r="G50" s="334"/>
    </row>
    <row r="51" spans="1:15" ht="27.95">
      <c r="A51" s="332"/>
      <c r="B51" s="333"/>
      <c r="C51" s="333"/>
      <c r="D51" s="333"/>
      <c r="E51" s="333"/>
      <c r="F51" s="333"/>
      <c r="G51" s="334"/>
      <c r="J51" s="109">
        <f>+A6</f>
        <v>2022</v>
      </c>
      <c r="K51" s="109" t="s">
        <v>356</v>
      </c>
      <c r="L51" s="115" t="s">
        <v>351</v>
      </c>
      <c r="M51" s="115" t="s">
        <v>357</v>
      </c>
      <c r="N51" s="115" t="s">
        <v>354</v>
      </c>
      <c r="O51" s="115" t="s">
        <v>358</v>
      </c>
    </row>
    <row r="52" spans="1:15">
      <c r="A52" s="335"/>
      <c r="B52" s="336"/>
      <c r="C52" s="336"/>
      <c r="D52" s="336"/>
      <c r="E52" s="336"/>
      <c r="F52" s="336"/>
      <c r="G52" s="337"/>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A3" zoomScaleNormal="100" workbookViewId="0">
      <selection activeCell="A49" sqref="A49:H52"/>
    </sheetView>
  </sheetViews>
  <sheetFormatPr defaultRowHeight="14.1"/>
  <cols>
    <col min="1" max="1" width="14" style="3" customWidth="1"/>
    <col min="2" max="2" width="12.7109375" style="72" customWidth="1"/>
    <col min="3" max="3" width="15.28515625" style="72" customWidth="1"/>
    <col min="4" max="4" width="17.7109375" style="72" customWidth="1"/>
    <col min="5" max="5" width="14.7109375" style="72" customWidth="1"/>
    <col min="6" max="6" width="11.5703125" style="72" customWidth="1"/>
    <col min="7" max="7" width="15" style="72" customWidth="1"/>
    <col min="8" max="8" width="14.7109375" style="72"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6">
      <c r="A1" s="139" t="str">
        <f>+'Cover Page'!$B$29</f>
        <v>Annual Performance Report 2022</v>
      </c>
      <c r="B1" s="139"/>
      <c r="C1" s="139"/>
      <c r="D1" s="139"/>
      <c r="E1" s="139" t="str">
        <f>+'Cover Page'!$B$33</f>
        <v>Twinwoods Co-Incinerator</v>
      </c>
    </row>
    <row r="3" spans="1:21" ht="14.45">
      <c r="A3" s="108" t="s">
        <v>391</v>
      </c>
      <c r="E3" s="127" t="s">
        <v>343</v>
      </c>
      <c r="H3" s="131" t="s">
        <v>392</v>
      </c>
      <c r="J3" s="9" t="str">
        <f>+A3</f>
        <v>Monitoring of Carbon Monoxide (10-minute avg)</v>
      </c>
      <c r="L3" s="9"/>
      <c r="O3" s="9" t="s">
        <v>345</v>
      </c>
      <c r="Q3" s="128" t="s">
        <v>3</v>
      </c>
      <c r="S3" s="130" t="s">
        <v>3</v>
      </c>
      <c r="T3" s="124"/>
      <c r="U3" s="124"/>
    </row>
    <row r="4" spans="1:21" ht="13.9" customHeight="1">
      <c r="S4" s="303" t="s">
        <v>393</v>
      </c>
      <c r="T4" s="303"/>
      <c r="U4" s="303"/>
    </row>
    <row r="5" spans="1:21" ht="15.95">
      <c r="A5" s="116" t="s">
        <v>347</v>
      </c>
      <c r="B5" s="328" t="s">
        <v>394</v>
      </c>
      <c r="C5" s="328"/>
      <c r="D5" s="328"/>
      <c r="E5" s="328"/>
      <c r="F5" s="328" t="s">
        <v>349</v>
      </c>
      <c r="G5" s="328"/>
      <c r="H5" s="328"/>
      <c r="K5" s="327"/>
      <c r="L5" s="327"/>
      <c r="M5" s="327"/>
      <c r="N5" s="327"/>
      <c r="O5" s="327"/>
      <c r="P5" s="327"/>
      <c r="Q5" s="327"/>
      <c r="S5" s="303"/>
      <c r="T5" s="303"/>
      <c r="U5" s="303"/>
    </row>
    <row r="6" spans="1:21" s="106" customFormat="1" ht="37.5" customHeight="1">
      <c r="A6" s="113">
        <f>+'Cover Page'!C39</f>
        <v>2022</v>
      </c>
      <c r="B6" s="102" t="s">
        <v>395</v>
      </c>
      <c r="C6" s="102" t="s">
        <v>396</v>
      </c>
      <c r="D6" s="102" t="s">
        <v>397</v>
      </c>
      <c r="E6" s="102" t="s">
        <v>398</v>
      </c>
      <c r="F6" s="102" t="s">
        <v>390</v>
      </c>
      <c r="G6" s="102" t="s">
        <v>354</v>
      </c>
      <c r="H6" s="102" t="s">
        <v>355</v>
      </c>
      <c r="I6" s="107"/>
      <c r="K6" s="109">
        <f>+A6</f>
        <v>2022</v>
      </c>
      <c r="L6" s="109" t="s">
        <v>356</v>
      </c>
      <c r="M6" s="102" t="s">
        <v>396</v>
      </c>
      <c r="N6" s="102" t="s">
        <v>397</v>
      </c>
      <c r="O6" s="102" t="s">
        <v>398</v>
      </c>
      <c r="P6" s="115" t="s">
        <v>354</v>
      </c>
      <c r="Q6" s="115" t="s">
        <v>358</v>
      </c>
      <c r="S6" s="303"/>
      <c r="T6" s="303"/>
      <c r="U6" s="303"/>
    </row>
    <row r="7" spans="1:21">
      <c r="A7" s="114" t="s">
        <v>359</v>
      </c>
      <c r="B7" s="117">
        <v>150</v>
      </c>
      <c r="C7" s="112"/>
      <c r="D7" s="112"/>
      <c r="E7" s="112"/>
      <c r="F7" s="117">
        <v>50</v>
      </c>
      <c r="G7" s="112"/>
      <c r="H7" s="112"/>
      <c r="K7" s="326" t="s">
        <v>184</v>
      </c>
      <c r="L7" s="114" t="s">
        <v>359</v>
      </c>
      <c r="M7" s="112"/>
      <c r="N7" s="112"/>
      <c r="O7" s="112"/>
      <c r="P7" s="112"/>
      <c r="Q7" s="112"/>
      <c r="S7" s="303"/>
      <c r="T7" s="303"/>
      <c r="U7" s="303"/>
    </row>
    <row r="8" spans="1:21">
      <c r="A8" s="114" t="s">
        <v>360</v>
      </c>
      <c r="B8" s="111">
        <f>+B7</f>
        <v>150</v>
      </c>
      <c r="C8" s="112"/>
      <c r="D8" s="112"/>
      <c r="E8" s="112"/>
      <c r="F8" s="111">
        <f>+F7</f>
        <v>50</v>
      </c>
      <c r="G8" s="112"/>
      <c r="H8" s="112"/>
      <c r="K8" s="326"/>
      <c r="L8" s="114" t="s">
        <v>360</v>
      </c>
      <c r="M8" s="112"/>
      <c r="N8" s="112"/>
      <c r="O8" s="112"/>
      <c r="P8" s="112"/>
      <c r="Q8" s="112"/>
      <c r="S8" s="303"/>
      <c r="T8" s="303"/>
      <c r="U8" s="303"/>
    </row>
    <row r="9" spans="1:21">
      <c r="A9" s="114" t="s">
        <v>361</v>
      </c>
      <c r="B9" s="111">
        <f t="shared" ref="B9:B18" si="0">+B8</f>
        <v>150</v>
      </c>
      <c r="C9" s="112"/>
      <c r="D9" s="112"/>
      <c r="E9" s="112"/>
      <c r="F9" s="111">
        <f t="shared" ref="F9:F18" si="1">+F8</f>
        <v>50</v>
      </c>
      <c r="G9" s="112"/>
      <c r="H9" s="112"/>
      <c r="K9" s="326"/>
      <c r="L9" s="114" t="s">
        <v>361</v>
      </c>
      <c r="M9" s="112"/>
      <c r="N9" s="112"/>
      <c r="O9" s="112"/>
      <c r="P9" s="112"/>
      <c r="Q9" s="112"/>
      <c r="S9" s="129" t="s">
        <v>399</v>
      </c>
    </row>
    <row r="10" spans="1:21">
      <c r="A10" s="114" t="s">
        <v>363</v>
      </c>
      <c r="B10" s="111">
        <f t="shared" si="0"/>
        <v>150</v>
      </c>
      <c r="C10" s="112"/>
      <c r="D10" s="112"/>
      <c r="E10" s="112"/>
      <c r="F10" s="111">
        <f t="shared" si="1"/>
        <v>50</v>
      </c>
      <c r="G10" s="112"/>
      <c r="H10" s="112"/>
      <c r="K10" s="326"/>
      <c r="L10" s="114" t="s">
        <v>363</v>
      </c>
      <c r="M10" s="112"/>
      <c r="N10" s="112"/>
      <c r="O10" s="112"/>
      <c r="P10" s="112"/>
      <c r="Q10" s="112"/>
      <c r="S10" s="325" t="s">
        <v>400</v>
      </c>
      <c r="T10" s="325"/>
      <c r="U10" s="325"/>
    </row>
    <row r="11" spans="1:21">
      <c r="A11" s="114" t="s">
        <v>365</v>
      </c>
      <c r="B11" s="111">
        <f t="shared" si="0"/>
        <v>150</v>
      </c>
      <c r="C11" s="112"/>
      <c r="D11" s="112"/>
      <c r="E11" s="112"/>
      <c r="F11" s="111">
        <f t="shared" si="1"/>
        <v>50</v>
      </c>
      <c r="G11" s="112"/>
      <c r="H11" s="112"/>
      <c r="K11" s="326"/>
      <c r="L11" s="114" t="s">
        <v>365</v>
      </c>
      <c r="M11" s="112"/>
      <c r="N11" s="112"/>
      <c r="O11" s="112"/>
      <c r="P11" s="112"/>
      <c r="Q11" s="112"/>
      <c r="S11" s="325"/>
      <c r="T11" s="325"/>
      <c r="U11" s="325"/>
    </row>
    <row r="12" spans="1:21">
      <c r="A12" s="114" t="s">
        <v>366</v>
      </c>
      <c r="B12" s="111">
        <f t="shared" si="0"/>
        <v>150</v>
      </c>
      <c r="C12" s="112"/>
      <c r="D12" s="112"/>
      <c r="E12" s="112"/>
      <c r="F12" s="111">
        <f t="shared" si="1"/>
        <v>50</v>
      </c>
      <c r="G12" s="112"/>
      <c r="H12" s="112"/>
      <c r="K12" s="326"/>
      <c r="L12" s="114" t="s">
        <v>366</v>
      </c>
      <c r="M12" s="112"/>
      <c r="N12" s="112"/>
      <c r="O12" s="112"/>
      <c r="P12" s="112"/>
      <c r="Q12" s="112"/>
      <c r="S12" s="325"/>
      <c r="T12" s="325"/>
      <c r="U12" s="325"/>
    </row>
    <row r="13" spans="1:21">
      <c r="A13" s="114" t="s">
        <v>367</v>
      </c>
      <c r="B13" s="111">
        <f t="shared" si="0"/>
        <v>150</v>
      </c>
      <c r="C13" s="112"/>
      <c r="D13" s="112"/>
      <c r="E13" s="112"/>
      <c r="F13" s="111">
        <f t="shared" si="1"/>
        <v>50</v>
      </c>
      <c r="G13" s="112"/>
      <c r="H13" s="112"/>
      <c r="K13" s="326"/>
      <c r="L13" s="114" t="s">
        <v>367</v>
      </c>
      <c r="M13" s="112"/>
      <c r="N13" s="112"/>
      <c r="O13" s="112"/>
      <c r="P13" s="112"/>
      <c r="Q13" s="112"/>
      <c r="S13" s="325" t="s">
        <v>401</v>
      </c>
      <c r="T13" s="325"/>
      <c r="U13" s="325"/>
    </row>
    <row r="14" spans="1:21">
      <c r="A14" s="114" t="s">
        <v>369</v>
      </c>
      <c r="B14" s="111">
        <f t="shared" si="0"/>
        <v>150</v>
      </c>
      <c r="C14" s="112"/>
      <c r="D14" s="112"/>
      <c r="E14" s="112"/>
      <c r="F14" s="111">
        <f t="shared" si="1"/>
        <v>50</v>
      </c>
      <c r="G14" s="112"/>
      <c r="H14" s="112"/>
      <c r="K14" s="326"/>
      <c r="L14" s="114" t="s">
        <v>369</v>
      </c>
      <c r="M14" s="112"/>
      <c r="N14" s="112"/>
      <c r="O14" s="112"/>
      <c r="P14" s="112"/>
      <c r="Q14" s="112"/>
      <c r="S14" s="325"/>
      <c r="T14" s="325"/>
      <c r="U14" s="325"/>
    </row>
    <row r="15" spans="1:21">
      <c r="A15" s="114" t="s">
        <v>370</v>
      </c>
      <c r="B15" s="111">
        <f t="shared" si="0"/>
        <v>150</v>
      </c>
      <c r="C15" s="112"/>
      <c r="D15" s="112"/>
      <c r="E15" s="112"/>
      <c r="F15" s="111">
        <f t="shared" si="1"/>
        <v>50</v>
      </c>
      <c r="G15" s="112"/>
      <c r="H15" s="112"/>
      <c r="K15" s="326"/>
      <c r="L15" s="114" t="s">
        <v>370</v>
      </c>
      <c r="M15" s="112"/>
      <c r="N15" s="112"/>
      <c r="O15" s="112"/>
      <c r="P15" s="112"/>
      <c r="Q15" s="112"/>
      <c r="S15" s="325"/>
      <c r="T15" s="325"/>
      <c r="U15" s="325"/>
    </row>
    <row r="16" spans="1:21">
      <c r="A16" s="114" t="s">
        <v>371</v>
      </c>
      <c r="B16" s="111">
        <f t="shared" si="0"/>
        <v>150</v>
      </c>
      <c r="C16" s="112"/>
      <c r="D16" s="112"/>
      <c r="E16" s="112"/>
      <c r="F16" s="111">
        <f t="shared" si="1"/>
        <v>50</v>
      </c>
      <c r="G16" s="112"/>
      <c r="H16" s="112"/>
      <c r="K16" s="326"/>
      <c r="L16" s="114" t="s">
        <v>371</v>
      </c>
      <c r="M16" s="112"/>
      <c r="N16" s="112"/>
      <c r="O16" s="112"/>
      <c r="P16" s="112"/>
      <c r="Q16" s="112"/>
      <c r="S16" s="325"/>
      <c r="T16" s="325"/>
      <c r="U16" s="325"/>
    </row>
    <row r="17" spans="1:17">
      <c r="A17" s="114" t="s">
        <v>372</v>
      </c>
      <c r="B17" s="111">
        <f t="shared" si="0"/>
        <v>150</v>
      </c>
      <c r="C17" s="112"/>
      <c r="D17" s="112"/>
      <c r="E17" s="112"/>
      <c r="F17" s="111">
        <f t="shared" si="1"/>
        <v>50</v>
      </c>
      <c r="G17" s="112"/>
      <c r="H17" s="112"/>
      <c r="K17" s="326"/>
      <c r="L17" s="114" t="s">
        <v>372</v>
      </c>
      <c r="M17" s="112"/>
      <c r="N17" s="112"/>
      <c r="O17" s="112"/>
      <c r="P17" s="112"/>
      <c r="Q17" s="112"/>
    </row>
    <row r="18" spans="1:17">
      <c r="A18" s="114" t="s">
        <v>373</v>
      </c>
      <c r="B18" s="111">
        <f t="shared" si="0"/>
        <v>150</v>
      </c>
      <c r="C18" s="112"/>
      <c r="D18" s="112"/>
      <c r="E18" s="112"/>
      <c r="F18" s="111">
        <f t="shared" si="1"/>
        <v>50</v>
      </c>
      <c r="G18" s="112"/>
      <c r="H18" s="112"/>
      <c r="K18" s="326"/>
      <c r="L18" s="114" t="s">
        <v>373</v>
      </c>
      <c r="M18" s="112"/>
      <c r="N18" s="112"/>
      <c r="O18" s="112"/>
      <c r="P18" s="112"/>
      <c r="Q18" s="112"/>
    </row>
    <row r="19" spans="1:17">
      <c r="K19" s="326"/>
      <c r="L19" s="110" t="s">
        <v>374</v>
      </c>
      <c r="M19" s="110" t="e">
        <f>AVERAGE(M7:M18)</f>
        <v>#DIV/0!</v>
      </c>
      <c r="N19" s="110"/>
      <c r="O19" s="110">
        <f>MAX(O7:O18)</f>
        <v>0</v>
      </c>
      <c r="P19" s="110" t="e">
        <f>AVERAGE(P7:P18)</f>
        <v>#DIV/0!</v>
      </c>
      <c r="Q19" s="110">
        <f>MAX(Q7:Q18)</f>
        <v>0</v>
      </c>
    </row>
    <row r="21" spans="1:17" ht="27.95">
      <c r="K21" s="109">
        <f>+A6</f>
        <v>2022</v>
      </c>
      <c r="L21" s="109" t="s">
        <v>356</v>
      </c>
      <c r="M21" s="102" t="s">
        <v>396</v>
      </c>
      <c r="N21" s="102" t="s">
        <v>397</v>
      </c>
      <c r="O21" s="102" t="s">
        <v>398</v>
      </c>
      <c r="P21" s="115" t="s">
        <v>354</v>
      </c>
      <c r="Q21" s="115" t="s">
        <v>358</v>
      </c>
    </row>
    <row r="22" spans="1:17">
      <c r="K22" s="326" t="s">
        <v>185</v>
      </c>
      <c r="L22" s="114" t="s">
        <v>359</v>
      </c>
      <c r="M22" s="112"/>
      <c r="N22" s="112"/>
      <c r="O22" s="112"/>
      <c r="P22" s="112"/>
      <c r="Q22" s="112"/>
    </row>
    <row r="23" spans="1:17">
      <c r="K23" s="326"/>
      <c r="L23" s="114" t="s">
        <v>360</v>
      </c>
      <c r="M23" s="112"/>
      <c r="N23" s="112"/>
      <c r="O23" s="112"/>
      <c r="P23" s="112"/>
      <c r="Q23" s="112"/>
    </row>
    <row r="24" spans="1:17">
      <c r="K24" s="326"/>
      <c r="L24" s="114" t="s">
        <v>361</v>
      </c>
      <c r="M24" s="112"/>
      <c r="N24" s="112"/>
      <c r="O24" s="112"/>
      <c r="P24" s="112"/>
      <c r="Q24" s="112"/>
    </row>
    <row r="25" spans="1:17">
      <c r="K25" s="326"/>
      <c r="L25" s="114" t="s">
        <v>363</v>
      </c>
      <c r="M25" s="112"/>
      <c r="N25" s="112"/>
      <c r="O25" s="112"/>
      <c r="P25" s="112"/>
      <c r="Q25" s="112"/>
    </row>
    <row r="26" spans="1:17">
      <c r="K26" s="326"/>
      <c r="L26" s="114" t="s">
        <v>365</v>
      </c>
      <c r="M26" s="112"/>
      <c r="N26" s="112"/>
      <c r="O26" s="112"/>
      <c r="P26" s="112"/>
      <c r="Q26" s="112"/>
    </row>
    <row r="27" spans="1:17">
      <c r="K27" s="326"/>
      <c r="L27" s="114" t="s">
        <v>366</v>
      </c>
      <c r="M27" s="112"/>
      <c r="N27" s="112"/>
      <c r="O27" s="112"/>
      <c r="P27" s="112"/>
      <c r="Q27" s="112"/>
    </row>
    <row r="28" spans="1:17">
      <c r="K28" s="326"/>
      <c r="L28" s="114" t="s">
        <v>367</v>
      </c>
      <c r="M28" s="112"/>
      <c r="N28" s="112"/>
      <c r="O28" s="112"/>
      <c r="P28" s="112"/>
      <c r="Q28" s="112"/>
    </row>
    <row r="29" spans="1:17">
      <c r="K29" s="326"/>
      <c r="L29" s="114" t="s">
        <v>369</v>
      </c>
      <c r="M29" s="112"/>
      <c r="N29" s="112"/>
      <c r="O29" s="112"/>
      <c r="P29" s="112"/>
      <c r="Q29" s="112"/>
    </row>
    <row r="30" spans="1:17">
      <c r="K30" s="326"/>
      <c r="L30" s="114" t="s">
        <v>370</v>
      </c>
      <c r="M30" s="112"/>
      <c r="N30" s="112"/>
      <c r="O30" s="112"/>
      <c r="P30" s="112"/>
      <c r="Q30" s="112"/>
    </row>
    <row r="31" spans="1:17">
      <c r="K31" s="326"/>
      <c r="L31" s="114" t="s">
        <v>371</v>
      </c>
      <c r="M31" s="112"/>
      <c r="N31" s="112"/>
      <c r="O31" s="112"/>
      <c r="P31" s="112"/>
      <c r="Q31" s="112"/>
    </row>
    <row r="32" spans="1:17">
      <c r="K32" s="326"/>
      <c r="L32" s="114" t="s">
        <v>372</v>
      </c>
      <c r="M32" s="112"/>
      <c r="N32" s="112"/>
      <c r="O32" s="112"/>
      <c r="P32" s="112"/>
      <c r="Q32" s="112"/>
    </row>
    <row r="33" spans="1:17">
      <c r="K33" s="326"/>
      <c r="L33" s="114" t="s">
        <v>373</v>
      </c>
      <c r="M33" s="112"/>
      <c r="N33" s="112"/>
      <c r="O33" s="112"/>
      <c r="P33" s="112"/>
      <c r="Q33" s="112"/>
    </row>
    <row r="34" spans="1:17">
      <c r="K34" s="326"/>
      <c r="L34" s="110" t="s">
        <v>374</v>
      </c>
      <c r="M34" s="110" t="e">
        <f>AVERAGE(M22:M33)</f>
        <v>#DIV/0!</v>
      </c>
      <c r="N34" s="110"/>
      <c r="O34" s="110">
        <f>MAX(O22:O33)</f>
        <v>0</v>
      </c>
      <c r="P34" s="110" t="e">
        <f>AVERAGE(P22:P33)</f>
        <v>#DIV/0!</v>
      </c>
      <c r="Q34" s="110">
        <f>MAX(Q22:Q33)</f>
        <v>0</v>
      </c>
    </row>
    <row r="36" spans="1:17" ht="27.95">
      <c r="K36" s="109">
        <f>+A6</f>
        <v>2022</v>
      </c>
      <c r="L36" s="109" t="s">
        <v>356</v>
      </c>
      <c r="M36" s="102" t="s">
        <v>396</v>
      </c>
      <c r="N36" s="102" t="s">
        <v>397</v>
      </c>
      <c r="O36" s="102" t="s">
        <v>398</v>
      </c>
      <c r="P36" s="115" t="s">
        <v>354</v>
      </c>
      <c r="Q36" s="115" t="s">
        <v>358</v>
      </c>
    </row>
    <row r="37" spans="1:17">
      <c r="K37" s="326" t="s">
        <v>186</v>
      </c>
      <c r="L37" s="114" t="s">
        <v>359</v>
      </c>
      <c r="M37" s="112"/>
      <c r="N37" s="112"/>
      <c r="O37" s="112"/>
      <c r="P37" s="112"/>
      <c r="Q37" s="112"/>
    </row>
    <row r="38" spans="1:17">
      <c r="K38" s="326"/>
      <c r="L38" s="114" t="s">
        <v>360</v>
      </c>
      <c r="M38" s="112"/>
      <c r="N38" s="112"/>
      <c r="O38" s="112"/>
      <c r="P38" s="112"/>
      <c r="Q38" s="112"/>
    </row>
    <row r="39" spans="1:17">
      <c r="K39" s="326"/>
      <c r="L39" s="114" t="s">
        <v>361</v>
      </c>
      <c r="M39" s="112"/>
      <c r="N39" s="112"/>
      <c r="O39" s="112"/>
      <c r="P39" s="112"/>
      <c r="Q39" s="112"/>
    </row>
    <row r="40" spans="1:17">
      <c r="K40" s="326"/>
      <c r="L40" s="114" t="s">
        <v>363</v>
      </c>
      <c r="M40" s="112"/>
      <c r="N40" s="112"/>
      <c r="O40" s="112"/>
      <c r="P40" s="112"/>
      <c r="Q40" s="112"/>
    </row>
    <row r="41" spans="1:17">
      <c r="K41" s="326"/>
      <c r="L41" s="114" t="s">
        <v>365</v>
      </c>
      <c r="M41" s="112"/>
      <c r="N41" s="112"/>
      <c r="O41" s="112"/>
      <c r="P41" s="112"/>
      <c r="Q41" s="112"/>
    </row>
    <row r="42" spans="1:17">
      <c r="K42" s="326"/>
      <c r="L42" s="114" t="s">
        <v>366</v>
      </c>
      <c r="M42" s="112"/>
      <c r="N42" s="112"/>
      <c r="O42" s="112"/>
      <c r="P42" s="112"/>
      <c r="Q42" s="112"/>
    </row>
    <row r="43" spans="1:17">
      <c r="K43" s="326"/>
      <c r="L43" s="114" t="s">
        <v>367</v>
      </c>
      <c r="M43" s="112"/>
      <c r="N43" s="112"/>
      <c r="O43" s="112"/>
      <c r="P43" s="112"/>
      <c r="Q43" s="112"/>
    </row>
    <row r="44" spans="1:17">
      <c r="K44" s="326"/>
      <c r="L44" s="114" t="s">
        <v>369</v>
      </c>
      <c r="M44" s="112"/>
      <c r="N44" s="112"/>
      <c r="O44" s="112"/>
      <c r="P44" s="112"/>
      <c r="Q44" s="112"/>
    </row>
    <row r="45" spans="1:17">
      <c r="K45" s="326"/>
      <c r="L45" s="114" t="s">
        <v>370</v>
      </c>
      <c r="M45" s="112"/>
      <c r="N45" s="112"/>
      <c r="O45" s="112"/>
      <c r="P45" s="112"/>
      <c r="Q45" s="112"/>
    </row>
    <row r="46" spans="1:17">
      <c r="K46" s="326"/>
      <c r="L46" s="114" t="s">
        <v>371</v>
      </c>
      <c r="M46" s="112"/>
      <c r="N46" s="112"/>
      <c r="O46" s="112"/>
      <c r="P46" s="112"/>
      <c r="Q46" s="112"/>
    </row>
    <row r="47" spans="1:17">
      <c r="K47" s="326"/>
      <c r="L47" s="114" t="s">
        <v>372</v>
      </c>
      <c r="M47" s="112"/>
      <c r="N47" s="112"/>
      <c r="O47" s="112"/>
      <c r="P47" s="112"/>
      <c r="Q47" s="112"/>
    </row>
    <row r="48" spans="1:17">
      <c r="A48" s="338" t="s">
        <v>265</v>
      </c>
      <c r="B48" s="339"/>
      <c r="C48" s="339"/>
      <c r="D48" s="339"/>
      <c r="E48" s="339"/>
      <c r="F48" s="339"/>
      <c r="G48" s="339"/>
      <c r="H48" s="340"/>
      <c r="K48" s="326"/>
      <c r="L48" s="114" t="s">
        <v>373</v>
      </c>
      <c r="M48" s="112"/>
      <c r="N48" s="112"/>
      <c r="O48" s="112"/>
      <c r="P48" s="112"/>
      <c r="Q48" s="112"/>
    </row>
    <row r="49" spans="1:17">
      <c r="A49" s="329" t="s">
        <v>402</v>
      </c>
      <c r="B49" s="330"/>
      <c r="C49" s="330"/>
      <c r="D49" s="330"/>
      <c r="E49" s="330"/>
      <c r="F49" s="330"/>
      <c r="G49" s="330"/>
      <c r="H49" s="331"/>
      <c r="K49" s="326"/>
      <c r="L49" s="110" t="s">
        <v>374</v>
      </c>
      <c r="M49" s="110" t="e">
        <f>AVERAGE(M37:M48)</f>
        <v>#DIV/0!</v>
      </c>
      <c r="N49" s="110"/>
      <c r="O49" s="110">
        <f>MAX(O37:O48)</f>
        <v>0</v>
      </c>
      <c r="P49" s="110" t="e">
        <f>AVERAGE(P37:P48)</f>
        <v>#DIV/0!</v>
      </c>
      <c r="Q49" s="110">
        <f>MAX(Q37:Q48)</f>
        <v>0</v>
      </c>
    </row>
    <row r="50" spans="1:17">
      <c r="A50" s="332"/>
      <c r="B50" s="333"/>
      <c r="C50" s="333"/>
      <c r="D50" s="333"/>
      <c r="E50" s="333"/>
      <c r="F50" s="333"/>
      <c r="G50" s="333"/>
      <c r="H50" s="334"/>
    </row>
    <row r="51" spans="1:17" ht="27.95">
      <c r="A51" s="332"/>
      <c r="B51" s="333"/>
      <c r="C51" s="333"/>
      <c r="D51" s="333"/>
      <c r="E51" s="333"/>
      <c r="F51" s="333"/>
      <c r="G51" s="333"/>
      <c r="H51" s="334"/>
      <c r="K51" s="109">
        <f>+A6</f>
        <v>2022</v>
      </c>
      <c r="L51" s="109" t="s">
        <v>356</v>
      </c>
      <c r="M51" s="102" t="s">
        <v>396</v>
      </c>
      <c r="N51" s="102" t="s">
        <v>397</v>
      </c>
      <c r="O51" s="102" t="s">
        <v>398</v>
      </c>
      <c r="P51" s="115" t="s">
        <v>354</v>
      </c>
      <c r="Q51" s="115" t="s">
        <v>358</v>
      </c>
    </row>
    <row r="52" spans="1:17">
      <c r="A52" s="335"/>
      <c r="B52" s="336"/>
      <c r="C52" s="336"/>
      <c r="D52" s="336"/>
      <c r="E52" s="336"/>
      <c r="F52" s="336"/>
      <c r="G52" s="336"/>
      <c r="H52" s="337"/>
      <c r="K52" s="326" t="s">
        <v>187</v>
      </c>
      <c r="L52" s="114" t="s">
        <v>359</v>
      </c>
      <c r="M52" s="112"/>
      <c r="N52" s="112"/>
      <c r="O52" s="112"/>
      <c r="P52" s="112"/>
      <c r="Q52" s="112"/>
    </row>
    <row r="53" spans="1:17">
      <c r="K53" s="326"/>
      <c r="L53" s="114" t="s">
        <v>360</v>
      </c>
      <c r="M53" s="112"/>
      <c r="N53" s="112"/>
      <c r="O53" s="112"/>
      <c r="P53" s="112"/>
      <c r="Q53" s="112"/>
    </row>
    <row r="54" spans="1:17">
      <c r="K54" s="326"/>
      <c r="L54" s="114" t="s">
        <v>361</v>
      </c>
      <c r="M54" s="112"/>
      <c r="N54" s="112"/>
      <c r="O54" s="112"/>
      <c r="P54" s="112"/>
      <c r="Q54" s="112"/>
    </row>
    <row r="55" spans="1:17">
      <c r="K55" s="326"/>
      <c r="L55" s="114" t="s">
        <v>363</v>
      </c>
      <c r="M55" s="112"/>
      <c r="N55" s="112"/>
      <c r="O55" s="112"/>
      <c r="P55" s="112"/>
      <c r="Q55" s="112"/>
    </row>
    <row r="56" spans="1:17">
      <c r="K56" s="326"/>
      <c r="L56" s="114" t="s">
        <v>365</v>
      </c>
      <c r="M56" s="112"/>
      <c r="N56" s="112"/>
      <c r="O56" s="112"/>
      <c r="P56" s="112"/>
      <c r="Q56" s="112"/>
    </row>
    <row r="57" spans="1:17">
      <c r="K57" s="326"/>
      <c r="L57" s="114" t="s">
        <v>366</v>
      </c>
      <c r="M57" s="112"/>
      <c r="N57" s="112"/>
      <c r="O57" s="112"/>
      <c r="P57" s="112"/>
      <c r="Q57" s="112"/>
    </row>
    <row r="58" spans="1:17">
      <c r="K58" s="326"/>
      <c r="L58" s="114" t="s">
        <v>367</v>
      </c>
      <c r="M58" s="112"/>
      <c r="N58" s="112"/>
      <c r="O58" s="112"/>
      <c r="P58" s="112"/>
      <c r="Q58" s="112"/>
    </row>
    <row r="59" spans="1:17">
      <c r="K59" s="326"/>
      <c r="L59" s="114" t="s">
        <v>369</v>
      </c>
      <c r="M59" s="112"/>
      <c r="N59" s="112"/>
      <c r="O59" s="112"/>
      <c r="P59" s="112"/>
      <c r="Q59" s="112"/>
    </row>
    <row r="60" spans="1:17">
      <c r="K60" s="326"/>
      <c r="L60" s="114" t="s">
        <v>370</v>
      </c>
      <c r="M60" s="112"/>
      <c r="N60" s="112"/>
      <c r="O60" s="112"/>
      <c r="P60" s="112"/>
      <c r="Q60" s="112"/>
    </row>
    <row r="61" spans="1:17">
      <c r="K61" s="326"/>
      <c r="L61" s="114" t="s">
        <v>371</v>
      </c>
      <c r="M61" s="112"/>
      <c r="N61" s="112"/>
      <c r="O61" s="112"/>
      <c r="P61" s="112"/>
      <c r="Q61" s="112"/>
    </row>
    <row r="62" spans="1:17">
      <c r="K62" s="326"/>
      <c r="L62" s="114" t="s">
        <v>372</v>
      </c>
      <c r="M62" s="112"/>
      <c r="N62" s="112"/>
      <c r="O62" s="112"/>
      <c r="P62" s="112"/>
      <c r="Q62" s="112"/>
    </row>
    <row r="63" spans="1:17">
      <c r="K63" s="326"/>
      <c r="L63" s="114" t="s">
        <v>373</v>
      </c>
      <c r="M63" s="112"/>
      <c r="N63" s="112"/>
      <c r="O63" s="112"/>
      <c r="P63" s="112"/>
      <c r="Q63" s="112"/>
    </row>
    <row r="64" spans="1:17">
      <c r="K64" s="326"/>
      <c r="L64" s="110" t="s">
        <v>374</v>
      </c>
      <c r="M64" s="110" t="e">
        <f>AVERAGE(M52:M63)</f>
        <v>#DIV/0!</v>
      </c>
      <c r="N64" s="110"/>
      <c r="O64" s="110">
        <f>MAX(O52:O63)</f>
        <v>0</v>
      </c>
      <c r="P64" s="110" t="e">
        <f>AVERAGE(P52:P63)</f>
        <v>#DIV/0!</v>
      </c>
      <c r="Q64" s="110">
        <f>MAX(Q52:Q63)</f>
        <v>0</v>
      </c>
    </row>
    <row r="66" spans="11:17" ht="27.95">
      <c r="K66" s="109">
        <f>+A6</f>
        <v>2022</v>
      </c>
      <c r="L66" s="109" t="s">
        <v>356</v>
      </c>
      <c r="M66" s="102" t="s">
        <v>396</v>
      </c>
      <c r="N66" s="102" t="s">
        <v>397</v>
      </c>
      <c r="O66" s="102" t="s">
        <v>398</v>
      </c>
      <c r="P66" s="115" t="s">
        <v>354</v>
      </c>
      <c r="Q66" s="115" t="s">
        <v>358</v>
      </c>
    </row>
    <row r="67" spans="11:17">
      <c r="K67" s="326" t="s">
        <v>188</v>
      </c>
      <c r="L67" s="114" t="s">
        <v>359</v>
      </c>
      <c r="M67" s="112"/>
      <c r="N67" s="112"/>
      <c r="O67" s="112"/>
      <c r="P67" s="112"/>
      <c r="Q67" s="112"/>
    </row>
    <row r="68" spans="11:17">
      <c r="K68" s="326"/>
      <c r="L68" s="114" t="s">
        <v>360</v>
      </c>
      <c r="M68" s="112"/>
      <c r="N68" s="112"/>
      <c r="O68" s="112"/>
      <c r="P68" s="112"/>
      <c r="Q68" s="112"/>
    </row>
    <row r="69" spans="11:17">
      <c r="K69" s="326"/>
      <c r="L69" s="114" t="s">
        <v>361</v>
      </c>
      <c r="M69" s="112"/>
      <c r="N69" s="112"/>
      <c r="O69" s="112"/>
      <c r="P69" s="112"/>
      <c r="Q69" s="112"/>
    </row>
    <row r="70" spans="11:17">
      <c r="K70" s="326"/>
      <c r="L70" s="114" t="s">
        <v>363</v>
      </c>
      <c r="M70" s="112"/>
      <c r="N70" s="112"/>
      <c r="O70" s="112"/>
      <c r="P70" s="112"/>
      <c r="Q70" s="112"/>
    </row>
    <row r="71" spans="11:17">
      <c r="K71" s="326"/>
      <c r="L71" s="114" t="s">
        <v>365</v>
      </c>
      <c r="M71" s="112"/>
      <c r="N71" s="112"/>
      <c r="O71" s="112"/>
      <c r="P71" s="112"/>
      <c r="Q71" s="112"/>
    </row>
    <row r="72" spans="11:17">
      <c r="K72" s="326"/>
      <c r="L72" s="114" t="s">
        <v>366</v>
      </c>
      <c r="M72" s="112"/>
      <c r="N72" s="112"/>
      <c r="O72" s="112"/>
      <c r="P72" s="112"/>
      <c r="Q72" s="112"/>
    </row>
    <row r="73" spans="11:17">
      <c r="K73" s="326"/>
      <c r="L73" s="114" t="s">
        <v>367</v>
      </c>
      <c r="M73" s="112"/>
      <c r="N73" s="112"/>
      <c r="O73" s="112"/>
      <c r="P73" s="112"/>
      <c r="Q73" s="112"/>
    </row>
    <row r="74" spans="11:17">
      <c r="K74" s="326"/>
      <c r="L74" s="114" t="s">
        <v>369</v>
      </c>
      <c r="M74" s="112"/>
      <c r="N74" s="112"/>
      <c r="O74" s="112"/>
      <c r="P74" s="112"/>
      <c r="Q74" s="112"/>
    </row>
    <row r="75" spans="11:17">
      <c r="K75" s="326"/>
      <c r="L75" s="114" t="s">
        <v>370</v>
      </c>
      <c r="M75" s="112"/>
      <c r="N75" s="112"/>
      <c r="O75" s="112"/>
      <c r="P75" s="112"/>
      <c r="Q75" s="112"/>
    </row>
    <row r="76" spans="11:17">
      <c r="K76" s="326"/>
      <c r="L76" s="114" t="s">
        <v>371</v>
      </c>
      <c r="M76" s="112"/>
      <c r="N76" s="112"/>
      <c r="O76" s="112"/>
      <c r="P76" s="112"/>
      <c r="Q76" s="112"/>
    </row>
    <row r="77" spans="11:17">
      <c r="K77" s="326"/>
      <c r="L77" s="114" t="s">
        <v>372</v>
      </c>
      <c r="M77" s="112"/>
      <c r="N77" s="112"/>
      <c r="O77" s="112"/>
      <c r="P77" s="112"/>
      <c r="Q77" s="112"/>
    </row>
    <row r="78" spans="11:17">
      <c r="K78" s="326"/>
      <c r="L78" s="114" t="s">
        <v>373</v>
      </c>
      <c r="M78" s="112"/>
      <c r="N78" s="112"/>
      <c r="O78" s="112"/>
      <c r="P78" s="112"/>
      <c r="Q78" s="112"/>
    </row>
    <row r="79" spans="11:17">
      <c r="K79" s="326"/>
      <c r="L79" s="110" t="s">
        <v>374</v>
      </c>
      <c r="M79" s="110" t="e">
        <f>AVERAGE(M67:M78)</f>
        <v>#DIV/0!</v>
      </c>
      <c r="N79" s="110"/>
      <c r="O79" s="110">
        <f>MAX(O67:O78)</f>
        <v>0</v>
      </c>
      <c r="P79" s="110" t="e">
        <f>AVERAGE(P67:P78)</f>
        <v>#DIV/0!</v>
      </c>
      <c r="Q79" s="110">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A13" zoomScaleNormal="100" workbookViewId="0">
      <selection activeCell="G9" sqref="G9"/>
    </sheetView>
  </sheetViews>
  <sheetFormatPr defaultRowHeight="14.1"/>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39" t="str">
        <f>+'Cover Page'!$B$29</f>
        <v>Annual Performance Report 2022</v>
      </c>
      <c r="B1" s="139"/>
      <c r="C1" s="139"/>
      <c r="D1" s="139"/>
      <c r="E1" s="139" t="str">
        <f>+'Cover Page'!$B$33</f>
        <v>Twinwoods Co-Incinerator</v>
      </c>
    </row>
    <row r="3" spans="1:19" ht="14.45">
      <c r="A3" s="108" t="s">
        <v>403</v>
      </c>
      <c r="D3" s="127" t="s">
        <v>343</v>
      </c>
      <c r="G3" s="131" t="s">
        <v>344</v>
      </c>
      <c r="J3" s="9" t="str">
        <f>+A3</f>
        <v xml:space="preserve">Monitoring of Ammonia emissions </v>
      </c>
      <c r="L3" s="9"/>
      <c r="N3" s="9" t="s">
        <v>345</v>
      </c>
      <c r="Q3" s="130" t="s">
        <v>3</v>
      </c>
      <c r="R3" s="124"/>
      <c r="S3" s="124"/>
    </row>
    <row r="4" spans="1:19" ht="13.9" customHeight="1">
      <c r="Q4" s="303" t="s">
        <v>346</v>
      </c>
      <c r="R4" s="303"/>
      <c r="S4" s="303"/>
    </row>
    <row r="5" spans="1:19" ht="15.95">
      <c r="A5" s="116" t="s">
        <v>347</v>
      </c>
      <c r="B5" s="328" t="s">
        <v>348</v>
      </c>
      <c r="C5" s="328"/>
      <c r="D5" s="328"/>
      <c r="E5" s="328" t="s">
        <v>349</v>
      </c>
      <c r="F5" s="328"/>
      <c r="G5" s="328"/>
      <c r="J5" s="327"/>
      <c r="K5" s="327"/>
      <c r="L5" s="327"/>
      <c r="M5" s="327"/>
      <c r="N5" s="327"/>
      <c r="O5" s="327"/>
      <c r="Q5" s="303"/>
      <c r="R5" s="303"/>
      <c r="S5" s="303"/>
    </row>
    <row r="6" spans="1:19" s="106" customFormat="1" ht="37.5" customHeight="1">
      <c r="A6" s="113">
        <f>+'Cover Page'!C39</f>
        <v>2022</v>
      </c>
      <c r="B6" s="102" t="s">
        <v>404</v>
      </c>
      <c r="C6" s="102" t="s">
        <v>351</v>
      </c>
      <c r="D6" s="102" t="s">
        <v>352</v>
      </c>
      <c r="E6" s="102" t="s">
        <v>405</v>
      </c>
      <c r="F6" s="102" t="s">
        <v>354</v>
      </c>
      <c r="G6" s="102" t="s">
        <v>355</v>
      </c>
      <c r="H6" s="107"/>
      <c r="J6" s="109">
        <f>+A6</f>
        <v>2022</v>
      </c>
      <c r="K6" s="109" t="s">
        <v>356</v>
      </c>
      <c r="L6" s="115" t="s">
        <v>351</v>
      </c>
      <c r="M6" s="115" t="s">
        <v>357</v>
      </c>
      <c r="N6" s="115" t="s">
        <v>354</v>
      </c>
      <c r="O6" s="115" t="s">
        <v>358</v>
      </c>
      <c r="Q6" s="303"/>
      <c r="R6" s="303"/>
      <c r="S6" s="303"/>
    </row>
    <row r="7" spans="1:19">
      <c r="A7" s="114" t="s">
        <v>359</v>
      </c>
      <c r="B7" s="117">
        <v>0</v>
      </c>
      <c r="C7" s="112"/>
      <c r="D7" s="112"/>
      <c r="E7" s="117">
        <v>10</v>
      </c>
      <c r="F7" s="112"/>
      <c r="G7" s="112"/>
      <c r="J7" s="326" t="s">
        <v>184</v>
      </c>
      <c r="K7" s="114" t="s">
        <v>359</v>
      </c>
      <c r="L7" s="112"/>
      <c r="M7" s="112"/>
      <c r="N7" s="112"/>
      <c r="O7" s="112"/>
      <c r="Q7" s="303"/>
      <c r="R7" s="303"/>
      <c r="S7" s="303"/>
    </row>
    <row r="8" spans="1:19">
      <c r="A8" s="114" t="s">
        <v>360</v>
      </c>
      <c r="B8" s="111">
        <f>+B7</f>
        <v>0</v>
      </c>
      <c r="C8" s="112"/>
      <c r="D8" s="112"/>
      <c r="E8" s="111">
        <f>+E7</f>
        <v>10</v>
      </c>
      <c r="F8" s="112"/>
      <c r="G8" s="112"/>
      <c r="J8" s="326"/>
      <c r="K8" s="114" t="s">
        <v>360</v>
      </c>
      <c r="L8" s="112"/>
      <c r="M8" s="112"/>
      <c r="N8" s="112"/>
      <c r="O8" s="112"/>
      <c r="Q8" s="303"/>
      <c r="R8" s="303"/>
      <c r="S8" s="303"/>
    </row>
    <row r="9" spans="1:19">
      <c r="A9" s="114" t="s">
        <v>361</v>
      </c>
      <c r="B9" s="111">
        <f t="shared" ref="B9:B18" si="0">+B8</f>
        <v>0</v>
      </c>
      <c r="C9" s="112"/>
      <c r="D9" s="112"/>
      <c r="E9" s="111">
        <f t="shared" ref="E9:E18" si="1">+E8</f>
        <v>10</v>
      </c>
      <c r="F9" s="112"/>
      <c r="G9" s="112"/>
      <c r="J9" s="326"/>
      <c r="K9" s="114" t="s">
        <v>361</v>
      </c>
      <c r="L9" s="112"/>
      <c r="M9" s="112"/>
      <c r="N9" s="112"/>
      <c r="O9" s="112"/>
      <c r="Q9" s="129" t="s">
        <v>362</v>
      </c>
    </row>
    <row r="10" spans="1:19" ht="14.25" customHeight="1">
      <c r="A10" s="114" t="s">
        <v>363</v>
      </c>
      <c r="B10" s="111">
        <f t="shared" si="0"/>
        <v>0</v>
      </c>
      <c r="C10" s="112"/>
      <c r="D10" s="112"/>
      <c r="E10" s="111">
        <f t="shared" si="1"/>
        <v>10</v>
      </c>
      <c r="F10" s="112"/>
      <c r="G10" s="112"/>
      <c r="J10" s="326"/>
      <c r="K10" s="114" t="s">
        <v>363</v>
      </c>
      <c r="L10" s="112"/>
      <c r="M10" s="112"/>
      <c r="N10" s="112"/>
      <c r="O10" s="112"/>
      <c r="Q10" s="325" t="s">
        <v>364</v>
      </c>
      <c r="R10" s="325"/>
      <c r="S10" s="325"/>
    </row>
    <row r="11" spans="1:19">
      <c r="A11" s="114" t="s">
        <v>365</v>
      </c>
      <c r="B11" s="111">
        <f t="shared" si="0"/>
        <v>0</v>
      </c>
      <c r="C11" s="112"/>
      <c r="D11" s="112"/>
      <c r="E11" s="111">
        <f t="shared" si="1"/>
        <v>10</v>
      </c>
      <c r="F11" s="112"/>
      <c r="G11" s="112"/>
      <c r="J11" s="326"/>
      <c r="K11" s="114" t="s">
        <v>365</v>
      </c>
      <c r="L11" s="112"/>
      <c r="M11" s="112"/>
      <c r="N11" s="112"/>
      <c r="O11" s="112"/>
      <c r="Q11" s="325"/>
      <c r="R11" s="325"/>
      <c r="S11" s="325"/>
    </row>
    <row r="12" spans="1:19">
      <c r="A12" s="114" t="s">
        <v>366</v>
      </c>
      <c r="B12" s="111">
        <f t="shared" si="0"/>
        <v>0</v>
      </c>
      <c r="C12" s="112"/>
      <c r="D12" s="112"/>
      <c r="E12" s="111">
        <f t="shared" si="1"/>
        <v>10</v>
      </c>
      <c r="F12" s="112"/>
      <c r="G12" s="112"/>
      <c r="J12" s="326"/>
      <c r="K12" s="114" t="s">
        <v>366</v>
      </c>
      <c r="L12" s="112"/>
      <c r="M12" s="112"/>
      <c r="N12" s="112"/>
      <c r="O12" s="112"/>
      <c r="Q12" s="325"/>
      <c r="R12" s="325"/>
      <c r="S12" s="325"/>
    </row>
    <row r="13" spans="1:19" ht="14.25" customHeight="1">
      <c r="A13" s="114" t="s">
        <v>367</v>
      </c>
      <c r="B13" s="111">
        <f t="shared" si="0"/>
        <v>0</v>
      </c>
      <c r="C13" s="112"/>
      <c r="D13" s="112"/>
      <c r="E13" s="111">
        <f t="shared" si="1"/>
        <v>10</v>
      </c>
      <c r="F13" s="112"/>
      <c r="G13" s="112"/>
      <c r="J13" s="326"/>
      <c r="K13" s="114" t="s">
        <v>367</v>
      </c>
      <c r="L13" s="112"/>
      <c r="M13" s="112"/>
      <c r="N13" s="112"/>
      <c r="O13" s="112"/>
      <c r="Q13" s="325" t="s">
        <v>368</v>
      </c>
      <c r="R13" s="325"/>
      <c r="S13" s="325"/>
    </row>
    <row r="14" spans="1:19">
      <c r="A14" s="114" t="s">
        <v>369</v>
      </c>
      <c r="B14" s="111">
        <f t="shared" si="0"/>
        <v>0</v>
      </c>
      <c r="C14" s="112"/>
      <c r="D14" s="112"/>
      <c r="E14" s="111">
        <f t="shared" si="1"/>
        <v>10</v>
      </c>
      <c r="F14" s="112"/>
      <c r="G14" s="112"/>
      <c r="J14" s="326"/>
      <c r="K14" s="114" t="s">
        <v>369</v>
      </c>
      <c r="L14" s="112"/>
      <c r="M14" s="112"/>
      <c r="N14" s="112"/>
      <c r="O14" s="112"/>
      <c r="Q14" s="325"/>
      <c r="R14" s="325"/>
      <c r="S14" s="325"/>
    </row>
    <row r="15" spans="1:19">
      <c r="A15" s="114" t="s">
        <v>370</v>
      </c>
      <c r="B15" s="111">
        <f t="shared" si="0"/>
        <v>0</v>
      </c>
      <c r="C15" s="112"/>
      <c r="D15" s="112"/>
      <c r="E15" s="111">
        <f t="shared" si="1"/>
        <v>10</v>
      </c>
      <c r="F15" s="112"/>
      <c r="G15" s="112"/>
      <c r="J15" s="326"/>
      <c r="K15" s="114" t="s">
        <v>370</v>
      </c>
      <c r="L15" s="112"/>
      <c r="M15" s="112"/>
      <c r="N15" s="112"/>
      <c r="O15" s="112"/>
      <c r="Q15" s="325"/>
      <c r="R15" s="325"/>
      <c r="S15" s="325"/>
    </row>
    <row r="16" spans="1:19">
      <c r="A16" s="114" t="s">
        <v>371</v>
      </c>
      <c r="B16" s="111">
        <f t="shared" si="0"/>
        <v>0</v>
      </c>
      <c r="C16" s="112"/>
      <c r="D16" s="112"/>
      <c r="E16" s="111">
        <f t="shared" si="1"/>
        <v>10</v>
      </c>
      <c r="F16" s="112"/>
      <c r="G16" s="112"/>
      <c r="J16" s="326"/>
      <c r="K16" s="114" t="s">
        <v>371</v>
      </c>
      <c r="L16" s="112"/>
      <c r="M16" s="112"/>
      <c r="N16" s="112"/>
      <c r="O16" s="112"/>
      <c r="Q16" s="325"/>
      <c r="R16" s="325"/>
      <c r="S16" s="325"/>
    </row>
    <row r="17" spans="1:15">
      <c r="A17" s="114" t="s">
        <v>372</v>
      </c>
      <c r="B17" s="111">
        <f t="shared" si="0"/>
        <v>0</v>
      </c>
      <c r="C17" s="112"/>
      <c r="D17" s="112"/>
      <c r="E17" s="111">
        <f t="shared" si="1"/>
        <v>10</v>
      </c>
      <c r="F17" s="112"/>
      <c r="G17" s="112"/>
      <c r="J17" s="326"/>
      <c r="K17" s="114" t="s">
        <v>372</v>
      </c>
      <c r="L17" s="112"/>
      <c r="M17" s="112"/>
      <c r="N17" s="112"/>
      <c r="O17" s="112"/>
    </row>
    <row r="18" spans="1:15">
      <c r="A18" s="114" t="s">
        <v>373</v>
      </c>
      <c r="B18" s="111">
        <f t="shared" si="0"/>
        <v>0</v>
      </c>
      <c r="C18" s="112"/>
      <c r="D18" s="112"/>
      <c r="E18" s="111">
        <f t="shared" si="1"/>
        <v>10</v>
      </c>
      <c r="F18" s="112"/>
      <c r="G18" s="112"/>
      <c r="J18" s="326"/>
      <c r="K18" s="114" t="s">
        <v>373</v>
      </c>
      <c r="L18" s="112"/>
      <c r="M18" s="112"/>
      <c r="N18" s="112"/>
      <c r="O18" s="112"/>
    </row>
    <row r="19" spans="1:15">
      <c r="J19" s="326"/>
      <c r="K19" s="110" t="s">
        <v>374</v>
      </c>
      <c r="L19" s="110" t="e">
        <f>AVERAGE(L7:L18)</f>
        <v>#DIV/0!</v>
      </c>
      <c r="M19" s="110">
        <f>MAX(M7:M18)</f>
        <v>0</v>
      </c>
      <c r="N19" s="110" t="e">
        <f>AVERAGE(N7:N18)</f>
        <v>#DIV/0!</v>
      </c>
      <c r="O19" s="110">
        <f>MAX(O7:O18)</f>
        <v>0</v>
      </c>
    </row>
    <row r="21" spans="1:15" ht="27.95">
      <c r="J21" s="109">
        <f>+A6</f>
        <v>2022</v>
      </c>
      <c r="K21" s="109" t="s">
        <v>356</v>
      </c>
      <c r="L21" s="115" t="s">
        <v>351</v>
      </c>
      <c r="M21" s="115" t="s">
        <v>357</v>
      </c>
      <c r="N21" s="115" t="s">
        <v>354</v>
      </c>
      <c r="O21" s="115" t="s">
        <v>358</v>
      </c>
    </row>
    <row r="22" spans="1:15">
      <c r="J22" s="326" t="s">
        <v>185</v>
      </c>
      <c r="K22" s="114" t="s">
        <v>359</v>
      </c>
      <c r="L22" s="112"/>
      <c r="M22" s="112"/>
      <c r="N22" s="112"/>
      <c r="O22" s="112"/>
    </row>
    <row r="23" spans="1:15">
      <c r="J23" s="326"/>
      <c r="K23" s="114" t="s">
        <v>360</v>
      </c>
      <c r="L23" s="112"/>
      <c r="M23" s="112"/>
      <c r="N23" s="112"/>
      <c r="O23" s="112"/>
    </row>
    <row r="24" spans="1:15">
      <c r="J24" s="326"/>
      <c r="K24" s="114" t="s">
        <v>361</v>
      </c>
      <c r="L24" s="112"/>
      <c r="M24" s="112"/>
      <c r="N24" s="112"/>
      <c r="O24" s="112"/>
    </row>
    <row r="25" spans="1:15">
      <c r="J25" s="326"/>
      <c r="K25" s="114" t="s">
        <v>363</v>
      </c>
      <c r="L25" s="112"/>
      <c r="M25" s="112"/>
      <c r="N25" s="112"/>
      <c r="O25" s="112"/>
    </row>
    <row r="26" spans="1:15">
      <c r="J26" s="326"/>
      <c r="K26" s="114" t="s">
        <v>365</v>
      </c>
      <c r="L26" s="112"/>
      <c r="M26" s="112"/>
      <c r="N26" s="112"/>
      <c r="O26" s="112"/>
    </row>
    <row r="27" spans="1:15">
      <c r="J27" s="326"/>
      <c r="K27" s="114" t="s">
        <v>366</v>
      </c>
      <c r="L27" s="112"/>
      <c r="M27" s="112"/>
      <c r="N27" s="112"/>
      <c r="O27" s="112"/>
    </row>
    <row r="28" spans="1:15">
      <c r="J28" s="326"/>
      <c r="K28" s="114" t="s">
        <v>367</v>
      </c>
      <c r="L28" s="112"/>
      <c r="M28" s="112"/>
      <c r="N28" s="112"/>
      <c r="O28" s="112"/>
    </row>
    <row r="29" spans="1:15">
      <c r="J29" s="326"/>
      <c r="K29" s="114" t="s">
        <v>369</v>
      </c>
      <c r="L29" s="112"/>
      <c r="M29" s="112"/>
      <c r="N29" s="112"/>
      <c r="O29" s="112"/>
    </row>
    <row r="30" spans="1:15">
      <c r="J30" s="326"/>
      <c r="K30" s="114" t="s">
        <v>370</v>
      </c>
      <c r="L30" s="112"/>
      <c r="M30" s="112"/>
      <c r="N30" s="112"/>
      <c r="O30" s="112"/>
    </row>
    <row r="31" spans="1:15">
      <c r="J31" s="326"/>
      <c r="K31" s="114" t="s">
        <v>371</v>
      </c>
      <c r="L31" s="112"/>
      <c r="M31" s="112"/>
      <c r="N31" s="112"/>
      <c r="O31" s="112"/>
    </row>
    <row r="32" spans="1:15">
      <c r="J32" s="326"/>
      <c r="K32" s="114" t="s">
        <v>372</v>
      </c>
      <c r="L32" s="112"/>
      <c r="M32" s="112"/>
      <c r="N32" s="112"/>
      <c r="O32" s="112"/>
    </row>
    <row r="33" spans="1:15">
      <c r="J33" s="326"/>
      <c r="K33" s="114" t="s">
        <v>373</v>
      </c>
      <c r="L33" s="112"/>
      <c r="M33" s="112"/>
      <c r="N33" s="112"/>
      <c r="O33" s="112"/>
    </row>
    <row r="34" spans="1:15">
      <c r="J34" s="326"/>
      <c r="K34" s="110" t="s">
        <v>374</v>
      </c>
      <c r="L34" s="110" t="e">
        <f>AVERAGE(L22:L33)</f>
        <v>#DIV/0!</v>
      </c>
      <c r="M34" s="110">
        <f>MAX(M22:M33)</f>
        <v>0</v>
      </c>
      <c r="N34" s="110" t="e">
        <f>AVERAGE(N22:N33)</f>
        <v>#DIV/0!</v>
      </c>
      <c r="O34" s="110">
        <f>MAX(O22:O33)</f>
        <v>0</v>
      </c>
    </row>
    <row r="36" spans="1:15" ht="27.95">
      <c r="J36" s="109">
        <f>+A6</f>
        <v>2022</v>
      </c>
      <c r="K36" s="109" t="s">
        <v>356</v>
      </c>
      <c r="L36" s="115" t="s">
        <v>351</v>
      </c>
      <c r="M36" s="115" t="s">
        <v>357</v>
      </c>
      <c r="N36" s="115" t="s">
        <v>354</v>
      </c>
      <c r="O36" s="115" t="s">
        <v>358</v>
      </c>
    </row>
    <row r="37" spans="1:15">
      <c r="J37" s="326" t="s">
        <v>186</v>
      </c>
      <c r="K37" s="114" t="s">
        <v>359</v>
      </c>
      <c r="L37" s="112"/>
      <c r="M37" s="112"/>
      <c r="N37" s="112"/>
      <c r="O37" s="112"/>
    </row>
    <row r="38" spans="1:15">
      <c r="J38" s="326"/>
      <c r="K38" s="114" t="s">
        <v>360</v>
      </c>
      <c r="L38" s="112"/>
      <c r="M38" s="112"/>
      <c r="N38" s="112"/>
      <c r="O38" s="112"/>
    </row>
    <row r="39" spans="1:15">
      <c r="J39" s="326"/>
      <c r="K39" s="114" t="s">
        <v>361</v>
      </c>
      <c r="L39" s="112"/>
      <c r="M39" s="112"/>
      <c r="N39" s="112"/>
      <c r="O39" s="112"/>
    </row>
    <row r="40" spans="1:15">
      <c r="J40" s="326"/>
      <c r="K40" s="114" t="s">
        <v>363</v>
      </c>
      <c r="L40" s="112"/>
      <c r="M40" s="112"/>
      <c r="N40" s="112"/>
      <c r="O40" s="112"/>
    </row>
    <row r="41" spans="1:15">
      <c r="J41" s="326"/>
      <c r="K41" s="114" t="s">
        <v>365</v>
      </c>
      <c r="L41" s="112"/>
      <c r="M41" s="112"/>
      <c r="N41" s="112"/>
      <c r="O41" s="112"/>
    </row>
    <row r="42" spans="1:15">
      <c r="J42" s="326"/>
      <c r="K42" s="114" t="s">
        <v>366</v>
      </c>
      <c r="L42" s="112"/>
      <c r="M42" s="112"/>
      <c r="N42" s="112"/>
      <c r="O42" s="112"/>
    </row>
    <row r="43" spans="1:15">
      <c r="J43" s="326"/>
      <c r="K43" s="114" t="s">
        <v>367</v>
      </c>
      <c r="L43" s="112"/>
      <c r="M43" s="112"/>
      <c r="N43" s="112"/>
      <c r="O43" s="112"/>
    </row>
    <row r="44" spans="1:15">
      <c r="J44" s="326"/>
      <c r="K44" s="114" t="s">
        <v>369</v>
      </c>
      <c r="L44" s="112"/>
      <c r="M44" s="112"/>
      <c r="N44" s="112"/>
      <c r="O44" s="112"/>
    </row>
    <row r="45" spans="1:15">
      <c r="J45" s="326"/>
      <c r="K45" s="114" t="s">
        <v>370</v>
      </c>
      <c r="L45" s="112"/>
      <c r="M45" s="112"/>
      <c r="N45" s="112"/>
      <c r="O45" s="112"/>
    </row>
    <row r="46" spans="1:15">
      <c r="J46" s="326"/>
      <c r="K46" s="114" t="s">
        <v>371</v>
      </c>
      <c r="L46" s="112"/>
      <c r="M46" s="112"/>
      <c r="N46" s="112"/>
      <c r="O46" s="112"/>
    </row>
    <row r="47" spans="1:15">
      <c r="J47" s="326"/>
      <c r="K47" s="114" t="s">
        <v>372</v>
      </c>
      <c r="L47" s="112"/>
      <c r="M47" s="112"/>
      <c r="N47" s="112"/>
      <c r="O47" s="112"/>
    </row>
    <row r="48" spans="1:15">
      <c r="A48" s="338" t="s">
        <v>265</v>
      </c>
      <c r="B48" s="339"/>
      <c r="C48" s="339"/>
      <c r="D48" s="339"/>
      <c r="E48" s="339"/>
      <c r="F48" s="339"/>
      <c r="G48" s="340"/>
      <c r="J48" s="326"/>
      <c r="K48" s="114" t="s">
        <v>373</v>
      </c>
      <c r="L48" s="112"/>
      <c r="M48" s="112"/>
      <c r="N48" s="112"/>
      <c r="O48" s="112"/>
    </row>
    <row r="49" spans="1:15">
      <c r="A49" s="341" t="s">
        <v>406</v>
      </c>
      <c r="B49" s="342"/>
      <c r="C49" s="342"/>
      <c r="D49" s="342"/>
      <c r="E49" s="342"/>
      <c r="F49" s="342"/>
      <c r="G49" s="343"/>
      <c r="J49" s="326"/>
      <c r="K49" s="110" t="s">
        <v>374</v>
      </c>
      <c r="L49" s="110" t="e">
        <f>AVERAGE(L37:L48)</f>
        <v>#DIV/0!</v>
      </c>
      <c r="M49" s="110">
        <f>MAX(M37:M48)</f>
        <v>0</v>
      </c>
      <c r="N49" s="110" t="e">
        <f>AVERAGE(N37:N48)</f>
        <v>#DIV/0!</v>
      </c>
      <c r="O49" s="110">
        <f>MAX(O37:O48)</f>
        <v>0</v>
      </c>
    </row>
    <row r="50" spans="1:15">
      <c r="A50" s="344"/>
      <c r="B50" s="345"/>
      <c r="C50" s="345"/>
      <c r="D50" s="345"/>
      <c r="E50" s="345"/>
      <c r="F50" s="345"/>
      <c r="G50" s="346"/>
    </row>
    <row r="51" spans="1:15" ht="27.95">
      <c r="A51" s="344"/>
      <c r="B51" s="345"/>
      <c r="C51" s="345"/>
      <c r="D51" s="345"/>
      <c r="E51" s="345"/>
      <c r="F51" s="345"/>
      <c r="G51" s="346"/>
      <c r="J51" s="109">
        <f>+A6</f>
        <v>2022</v>
      </c>
      <c r="K51" s="109" t="s">
        <v>356</v>
      </c>
      <c r="L51" s="115" t="s">
        <v>351</v>
      </c>
      <c r="M51" s="115" t="s">
        <v>357</v>
      </c>
      <c r="N51" s="115" t="s">
        <v>354</v>
      </c>
      <c r="O51" s="115" t="s">
        <v>358</v>
      </c>
    </row>
    <row r="52" spans="1:15">
      <c r="A52" s="347"/>
      <c r="B52" s="348"/>
      <c r="C52" s="348"/>
      <c r="D52" s="348"/>
      <c r="E52" s="348"/>
      <c r="F52" s="348"/>
      <c r="G52" s="349"/>
      <c r="J52" s="326" t="s">
        <v>187</v>
      </c>
      <c r="K52" s="114" t="s">
        <v>359</v>
      </c>
      <c r="L52" s="112"/>
      <c r="M52" s="112"/>
      <c r="N52" s="112"/>
      <c r="O52" s="112"/>
    </row>
    <row r="53" spans="1:15">
      <c r="J53" s="326"/>
      <c r="K53" s="114" t="s">
        <v>360</v>
      </c>
      <c r="L53" s="112"/>
      <c r="M53" s="112"/>
      <c r="N53" s="112"/>
      <c r="O53" s="112"/>
    </row>
    <row r="54" spans="1:15">
      <c r="J54" s="326"/>
      <c r="K54" s="114" t="s">
        <v>361</v>
      </c>
      <c r="L54" s="112"/>
      <c r="M54" s="112"/>
      <c r="N54" s="112"/>
      <c r="O54" s="112"/>
    </row>
    <row r="55" spans="1:15">
      <c r="J55" s="326"/>
      <c r="K55" s="114" t="s">
        <v>363</v>
      </c>
      <c r="L55" s="112"/>
      <c r="M55" s="112"/>
      <c r="N55" s="112"/>
      <c r="O55" s="112"/>
    </row>
    <row r="56" spans="1:15">
      <c r="J56" s="326"/>
      <c r="K56" s="114" t="s">
        <v>365</v>
      </c>
      <c r="L56" s="112"/>
      <c r="M56" s="112"/>
      <c r="N56" s="112"/>
      <c r="O56" s="112"/>
    </row>
    <row r="57" spans="1:15">
      <c r="J57" s="326"/>
      <c r="K57" s="114" t="s">
        <v>366</v>
      </c>
      <c r="L57" s="112"/>
      <c r="M57" s="112"/>
      <c r="N57" s="112"/>
      <c r="O57" s="112"/>
    </row>
    <row r="58" spans="1:15">
      <c r="J58" s="326"/>
      <c r="K58" s="114" t="s">
        <v>367</v>
      </c>
      <c r="L58" s="112"/>
      <c r="M58" s="112"/>
      <c r="N58" s="112"/>
      <c r="O58" s="112"/>
    </row>
    <row r="59" spans="1:15">
      <c r="J59" s="326"/>
      <c r="K59" s="114" t="s">
        <v>369</v>
      </c>
      <c r="L59" s="112"/>
      <c r="M59" s="112"/>
      <c r="N59" s="112"/>
      <c r="O59" s="112"/>
    </row>
    <row r="60" spans="1:15">
      <c r="J60" s="326"/>
      <c r="K60" s="114" t="s">
        <v>370</v>
      </c>
      <c r="L60" s="112"/>
      <c r="M60" s="112"/>
      <c r="N60" s="112"/>
      <c r="O60" s="112"/>
    </row>
    <row r="61" spans="1:15">
      <c r="J61" s="326"/>
      <c r="K61" s="114" t="s">
        <v>371</v>
      </c>
      <c r="L61" s="112"/>
      <c r="M61" s="112"/>
      <c r="N61" s="112"/>
      <c r="O61" s="112"/>
    </row>
    <row r="62" spans="1:15">
      <c r="J62" s="326"/>
      <c r="K62" s="114" t="s">
        <v>372</v>
      </c>
      <c r="L62" s="112"/>
      <c r="M62" s="112"/>
      <c r="N62" s="112"/>
      <c r="O62" s="112"/>
    </row>
    <row r="63" spans="1:15">
      <c r="J63" s="326"/>
      <c r="K63" s="114" t="s">
        <v>373</v>
      </c>
      <c r="L63" s="112"/>
      <c r="M63" s="112"/>
      <c r="N63" s="112"/>
      <c r="O63" s="112"/>
    </row>
    <row r="64" spans="1:15">
      <c r="J64" s="326"/>
      <c r="K64" s="110" t="s">
        <v>374</v>
      </c>
      <c r="L64" s="110" t="e">
        <f>AVERAGE(L52:L63)</f>
        <v>#DIV/0!</v>
      </c>
      <c r="M64" s="110">
        <f>MAX(M52:M63)</f>
        <v>0</v>
      </c>
      <c r="N64" s="110" t="e">
        <f>AVERAGE(N52:N63)</f>
        <v>#DIV/0!</v>
      </c>
      <c r="O64" s="110">
        <f>MAX(O52:O63)</f>
        <v>0</v>
      </c>
    </row>
    <row r="66" spans="10:15" ht="27.95">
      <c r="J66" s="109">
        <f>+A6</f>
        <v>2022</v>
      </c>
      <c r="K66" s="109" t="s">
        <v>356</v>
      </c>
      <c r="L66" s="115" t="s">
        <v>351</v>
      </c>
      <c r="M66" s="115" t="s">
        <v>357</v>
      </c>
      <c r="N66" s="115" t="s">
        <v>354</v>
      </c>
      <c r="O66" s="115" t="s">
        <v>358</v>
      </c>
    </row>
    <row r="67" spans="10:15">
      <c r="J67" s="326" t="s">
        <v>188</v>
      </c>
      <c r="K67" s="114" t="s">
        <v>359</v>
      </c>
      <c r="L67" s="112"/>
      <c r="M67" s="112"/>
      <c r="N67" s="112"/>
      <c r="O67" s="112"/>
    </row>
    <row r="68" spans="10:15">
      <c r="J68" s="326"/>
      <c r="K68" s="114" t="s">
        <v>360</v>
      </c>
      <c r="L68" s="112"/>
      <c r="M68" s="112"/>
      <c r="N68" s="112"/>
      <c r="O68" s="112"/>
    </row>
    <row r="69" spans="10:15">
      <c r="J69" s="326"/>
      <c r="K69" s="114" t="s">
        <v>361</v>
      </c>
      <c r="L69" s="112"/>
      <c r="M69" s="112"/>
      <c r="N69" s="112"/>
      <c r="O69" s="112"/>
    </row>
    <row r="70" spans="10:15">
      <c r="J70" s="326"/>
      <c r="K70" s="114" t="s">
        <v>363</v>
      </c>
      <c r="L70" s="112"/>
      <c r="M70" s="112"/>
      <c r="N70" s="112"/>
      <c r="O70" s="112"/>
    </row>
    <row r="71" spans="10:15">
      <c r="J71" s="326"/>
      <c r="K71" s="114" t="s">
        <v>365</v>
      </c>
      <c r="L71" s="112"/>
      <c r="M71" s="112"/>
      <c r="N71" s="112"/>
      <c r="O71" s="112"/>
    </row>
    <row r="72" spans="10:15">
      <c r="J72" s="326"/>
      <c r="K72" s="114" t="s">
        <v>366</v>
      </c>
      <c r="L72" s="112"/>
      <c r="M72" s="112"/>
      <c r="N72" s="112"/>
      <c r="O72" s="112"/>
    </row>
    <row r="73" spans="10:15">
      <c r="J73" s="326"/>
      <c r="K73" s="114" t="s">
        <v>367</v>
      </c>
      <c r="L73" s="112"/>
      <c r="M73" s="112"/>
      <c r="N73" s="112"/>
      <c r="O73" s="112"/>
    </row>
    <row r="74" spans="10:15">
      <c r="J74" s="326"/>
      <c r="K74" s="114" t="s">
        <v>369</v>
      </c>
      <c r="L74" s="112"/>
      <c r="M74" s="112"/>
      <c r="N74" s="112"/>
      <c r="O74" s="112"/>
    </row>
    <row r="75" spans="10:15">
      <c r="J75" s="326"/>
      <c r="K75" s="114" t="s">
        <v>370</v>
      </c>
      <c r="L75" s="112"/>
      <c r="M75" s="112"/>
      <c r="N75" s="112"/>
      <c r="O75" s="112"/>
    </row>
    <row r="76" spans="10:15">
      <c r="J76" s="326"/>
      <c r="K76" s="114" t="s">
        <v>371</v>
      </c>
      <c r="L76" s="112"/>
      <c r="M76" s="112"/>
      <c r="N76" s="112"/>
      <c r="O76" s="112"/>
    </row>
    <row r="77" spans="10:15">
      <c r="J77" s="326"/>
      <c r="K77" s="114" t="s">
        <v>372</v>
      </c>
      <c r="L77" s="112"/>
      <c r="M77" s="112"/>
      <c r="N77" s="112"/>
      <c r="O77" s="112"/>
    </row>
    <row r="78" spans="10:15">
      <c r="J78" s="326"/>
      <c r="K78" s="114" t="s">
        <v>373</v>
      </c>
      <c r="L78" s="112"/>
      <c r="M78" s="112"/>
      <c r="N78" s="112"/>
      <c r="O78" s="112"/>
    </row>
    <row r="79" spans="10:15">
      <c r="J79" s="326"/>
      <c r="K79" s="110" t="s">
        <v>374</v>
      </c>
      <c r="L79" s="110" t="e">
        <f>AVERAGE(L67:L78)</f>
        <v>#DIV/0!</v>
      </c>
      <c r="M79" s="110">
        <f>MAX(M67:M78)</f>
        <v>0</v>
      </c>
      <c r="N79" s="110" t="e">
        <f>AVERAGE(N67:N78)</f>
        <v>#DIV/0!</v>
      </c>
      <c r="O79" s="110">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DDD0DBF2-C011-44CD-9F67-68A63C2F97DD}"/>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78D9EA08-03DB-4179-B7E2-741890D72C09}"/>
</file>

<file path=customXml/itemProps4.xml><?xml version="1.0" encoding="utf-8"?>
<ds:datastoreItem xmlns:ds="http://schemas.openxmlformats.org/officeDocument/2006/customXml" ds:itemID="{03A65312-EDD8-4ED5-85CD-21EC9D2BFEF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2023-04-26T08:11:04Z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