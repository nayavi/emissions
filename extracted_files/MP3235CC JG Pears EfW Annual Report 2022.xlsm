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5.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vbaProject.bin" ContentType="application/vnd.ms-office.vbaProject"/>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P:\Environment\Environment\01 Sites Information\01 Newark\02 Newark CHP\Permit Documents\Permit annual monitoring returns\"/>
    </mc:Choice>
  </mc:AlternateContent>
  <xr:revisionPtr revIDLastSave="0" documentId="13_ncr:1_{93A0DF47-46EE-4F71-943C-A967AF5F84FB}" xr6:coauthVersionLast="47" xr6:coauthVersionMax="47" xr10:uidLastSave="{00000000-0000-0000-0000-000000000000}"/>
  <bookViews>
    <workbookView xWindow="-120" yWindow="-120" windowWidth="29040" windowHeight="15840" tabRatio="900" xr2:uid="{00000000-000D-0000-FFFF-FFFF00000000}"/>
  </bookViews>
  <sheets>
    <sheet name="Cover Page" sheetId="2" r:id="rId1"/>
    <sheet name="Contents" sheetId="3" r:id="rId2"/>
    <sheet name="Facility Info" sheetId="4" r:id="rId3"/>
    <sheet name="Operational Summary" sheetId="5" r:id="rId4"/>
    <sheet name="Operational Data" sheetId="6" r:id="rId5"/>
    <sheet name="Perf. Form 1" sheetId="7" r:id="rId6"/>
    <sheet name="Energy Form 1" sheetId="8" r:id="rId7"/>
    <sheet name="Permit Compliance" sheetId="9" r:id="rId8"/>
    <sheet name="Improvements" sheetId="10" r:id="rId9"/>
    <sheet name="Public Liaison" sheetId="11" r:id="rId10"/>
    <sheet name="Air (H1)" sheetId="23" r:id="rId11"/>
    <sheet name="Air (H2)" sheetId="32" r:id="rId12"/>
    <sheet name="Residue Quality " sheetId="21" r:id="rId13"/>
    <sheet name="Water" sheetId="22" r:id="rId14"/>
    <sheet name="Air (CEMS)" sheetId="24" r:id="rId15"/>
    <sheet name="HCl" sheetId="13" r:id="rId16"/>
    <sheet name="SO2" sheetId="25" r:id="rId17"/>
    <sheet name="NOx" sheetId="26" r:id="rId18"/>
    <sheet name="TOC" sheetId="27" r:id="rId19"/>
    <sheet name="Particulates" sheetId="28" r:id="rId20"/>
    <sheet name="CO &amp; CO 95% 10 min" sheetId="30" r:id="rId21"/>
    <sheet name="NH3" sheetId="31" r:id="rId22"/>
  </sheets>
  <definedNames>
    <definedName name="_xlnm.Print_Area" localSheetId="14">'Air (CEMS)'!$A$1:$M$31</definedName>
    <definedName name="_xlnm.Print_Area" localSheetId="10">'Air (H1)'!$A$1:$J$41</definedName>
    <definedName name="_xlnm.Print_Area" localSheetId="11">'Air (H2)'!$A$1:$J$41</definedName>
    <definedName name="_xlnm.Print_Area" localSheetId="20">'CO &amp; CO 95% 10 min'!$A$1:$H$52</definedName>
    <definedName name="_xlnm.Print_Area" localSheetId="1">Contents!$A$1:$J$47</definedName>
    <definedName name="_xlnm.Print_Area" localSheetId="0">'Cover Page'!$A$1:$J$55</definedName>
    <definedName name="_xlnm.Print_Area" localSheetId="6">'Energy Form 1'!$A$1:$I$29</definedName>
    <definedName name="_xlnm.Print_Area" localSheetId="2">'Facility Info'!$A$1:$I$54</definedName>
    <definedName name="_xlnm.Print_Area" localSheetId="15">HCl!$A$1:$G$52</definedName>
    <definedName name="_xlnm.Print_Area" localSheetId="8">Improvements!$A$1:$J$48</definedName>
    <definedName name="_xlnm.Print_Area" localSheetId="21">'NH3'!$A$1:$G$52</definedName>
    <definedName name="_xlnm.Print_Area" localSheetId="17">NOx!$A$1:$G$52</definedName>
    <definedName name="_xlnm.Print_Area" localSheetId="4">'Operational Data'!$A$1:$H$65</definedName>
    <definedName name="_xlnm.Print_Area" localSheetId="3">'Operational Summary'!$A$1:$I$52</definedName>
    <definedName name="_xlnm.Print_Area" localSheetId="19">Particulates!$A$1:$G$52</definedName>
    <definedName name="_xlnm.Print_Area" localSheetId="5">'Perf. Form 1'!$A$1:$J$55</definedName>
    <definedName name="_xlnm.Print_Area" localSheetId="7">'Permit Compliance'!$A$1:$J$35</definedName>
    <definedName name="_xlnm.Print_Area" localSheetId="9">'Public Liaison'!$A$1:$J$29</definedName>
    <definedName name="_xlnm.Print_Area" localSheetId="12">'Residue Quality '!$A$1:$G$41</definedName>
    <definedName name="_xlnm.Print_Area" localSheetId="16">'SO2'!$A$1:$G$52</definedName>
    <definedName name="_xlnm.Print_Area" localSheetId="18">TOC!$A$1:$G$52</definedName>
    <definedName name="_xlnm.Print_Area" localSheetId="13">Water!$A$1:$J$30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 i="7" l="1"/>
  <c r="I13" i="7"/>
  <c r="G59" i="6"/>
  <c r="P18" i="30" l="1"/>
  <c r="Q18" i="30"/>
  <c r="O18" i="30"/>
  <c r="N18" i="30"/>
  <c r="M18" i="30"/>
  <c r="O18" i="31"/>
  <c r="L18" i="31"/>
  <c r="M18" i="31"/>
  <c r="O18" i="28"/>
  <c r="L18" i="28"/>
  <c r="M18" i="28"/>
  <c r="O18" i="27"/>
  <c r="M18" i="27"/>
  <c r="L18" i="27"/>
  <c r="O18" i="13"/>
  <c r="M18" i="13"/>
  <c r="L18" i="13"/>
  <c r="P17" i="30"/>
  <c r="Q17" i="30"/>
  <c r="M17" i="30"/>
  <c r="O17" i="30"/>
  <c r="N17" i="30"/>
  <c r="N17" i="31"/>
  <c r="O17" i="31"/>
  <c r="M17" i="31"/>
  <c r="L17" i="31"/>
  <c r="O17" i="28"/>
  <c r="N17" i="28"/>
  <c r="L17" i="28"/>
  <c r="M17" i="28"/>
  <c r="O17" i="27"/>
  <c r="L17" i="27"/>
  <c r="M17" i="27"/>
  <c r="O17" i="13"/>
  <c r="M17" i="13"/>
  <c r="L17" i="13"/>
  <c r="P16" i="30"/>
  <c r="M16" i="30"/>
  <c r="Q16" i="30"/>
  <c r="O16" i="30"/>
  <c r="N16" i="30"/>
  <c r="N16" i="31"/>
  <c r="O16" i="31"/>
  <c r="L16" i="31"/>
  <c r="M16" i="31"/>
  <c r="N16" i="28"/>
  <c r="O16" i="28"/>
  <c r="L16" i="28"/>
  <c r="M16" i="28"/>
  <c r="O16" i="27"/>
  <c r="M16" i="27"/>
  <c r="L16" i="27"/>
  <c r="O16" i="13"/>
  <c r="M16" i="13"/>
  <c r="L16" i="13"/>
  <c r="P15" i="30"/>
  <c r="Q15" i="30"/>
  <c r="O15" i="30"/>
  <c r="N15" i="30"/>
  <c r="M15" i="30"/>
  <c r="N15" i="31"/>
  <c r="O15" i="31"/>
  <c r="L15" i="31"/>
  <c r="M15" i="31"/>
  <c r="N15" i="28"/>
  <c r="O15" i="28"/>
  <c r="L15" i="28"/>
  <c r="M15" i="28"/>
  <c r="O15" i="27"/>
  <c r="L15" i="27"/>
  <c r="M15" i="27"/>
  <c r="O15" i="13"/>
  <c r="L15" i="13"/>
  <c r="M15" i="13"/>
  <c r="P14" i="30"/>
  <c r="Q14" i="30"/>
  <c r="M14" i="30"/>
  <c r="O14" i="30"/>
  <c r="N14" i="30"/>
  <c r="N14" i="31"/>
  <c r="O14" i="31"/>
  <c r="L14" i="31"/>
  <c r="M14" i="31"/>
  <c r="N14" i="28"/>
  <c r="O14" i="28"/>
  <c r="M14" i="28"/>
  <c r="L14" i="28"/>
  <c r="O14" i="27"/>
  <c r="M14" i="27"/>
  <c r="L14" i="27"/>
  <c r="O14" i="13"/>
  <c r="M14" i="13"/>
  <c r="L14" i="13"/>
  <c r="P13" i="30"/>
  <c r="Q13" i="30"/>
  <c r="M13" i="30"/>
  <c r="N13" i="30"/>
  <c r="O13" i="30"/>
  <c r="N13" i="31"/>
  <c r="O13" i="31"/>
  <c r="M13" i="31"/>
  <c r="L13" i="31"/>
  <c r="N13" i="28"/>
  <c r="O13" i="28"/>
  <c r="M13" i="28"/>
  <c r="L13" i="28"/>
  <c r="N13" i="27"/>
  <c r="O13" i="27"/>
  <c r="M13" i="27"/>
  <c r="L13" i="27"/>
  <c r="N13" i="13"/>
  <c r="O13" i="13"/>
  <c r="M13" i="13"/>
  <c r="L13" i="13"/>
  <c r="G30" i="6"/>
  <c r="P12" i="30"/>
  <c r="Q12" i="30"/>
  <c r="M12" i="30"/>
  <c r="N12" i="30"/>
  <c r="O12" i="30"/>
  <c r="N12" i="31"/>
  <c r="O12" i="31"/>
  <c r="M12" i="31"/>
  <c r="L12" i="31"/>
  <c r="N12" i="28"/>
  <c r="O12" i="28"/>
  <c r="L12" i="28"/>
  <c r="M12" i="28"/>
  <c r="N12" i="27"/>
  <c r="O12" i="27"/>
  <c r="M12" i="27"/>
  <c r="L12" i="27"/>
  <c r="N12" i="13"/>
  <c r="O12" i="13"/>
  <c r="M12" i="13"/>
  <c r="L12" i="13"/>
  <c r="M11" i="30"/>
  <c r="P11" i="30"/>
  <c r="Q11" i="30"/>
  <c r="O11" i="30"/>
  <c r="N11" i="30"/>
  <c r="N11" i="31"/>
  <c r="O11" i="31"/>
  <c r="L11" i="31"/>
  <c r="M11" i="31"/>
  <c r="N11" i="28"/>
  <c r="O11" i="28"/>
  <c r="L11" i="28"/>
  <c r="M11" i="28"/>
  <c r="N11" i="27"/>
  <c r="O11" i="27"/>
  <c r="M11" i="27"/>
  <c r="L11" i="27"/>
  <c r="N11" i="13"/>
  <c r="O11" i="13"/>
  <c r="M11" i="13"/>
  <c r="L11" i="13"/>
  <c r="N8" i="13"/>
  <c r="O8" i="13"/>
  <c r="N9" i="13"/>
  <c r="O9" i="13"/>
  <c r="N10" i="13"/>
  <c r="O10" i="13"/>
  <c r="O7" i="13"/>
  <c r="N7" i="13"/>
  <c r="L8" i="13"/>
  <c r="M8" i="13"/>
  <c r="L9" i="13"/>
  <c r="M9" i="13"/>
  <c r="L10" i="13"/>
  <c r="M10" i="13"/>
  <c r="M7" i="13"/>
  <c r="L7" i="13"/>
  <c r="N8" i="27"/>
  <c r="O8" i="27"/>
  <c r="N9" i="27"/>
  <c r="O9" i="27"/>
  <c r="N10" i="27"/>
  <c r="O10" i="27"/>
  <c r="O7" i="27"/>
  <c r="N7" i="27"/>
  <c r="L8" i="27"/>
  <c r="M8" i="27"/>
  <c r="L9" i="27"/>
  <c r="M9" i="27"/>
  <c r="L10" i="27"/>
  <c r="M10" i="27"/>
  <c r="M7" i="27"/>
  <c r="L7" i="27"/>
  <c r="N8" i="28"/>
  <c r="O8" i="28"/>
  <c r="N9" i="28"/>
  <c r="O9" i="28"/>
  <c r="N10" i="28"/>
  <c r="O10" i="28"/>
  <c r="O7" i="28"/>
  <c r="N7" i="28"/>
  <c r="L8" i="28"/>
  <c r="M8" i="28"/>
  <c r="L9" i="28"/>
  <c r="M9" i="28"/>
  <c r="L10" i="28"/>
  <c r="M10" i="28"/>
  <c r="M7" i="28"/>
  <c r="L7" i="28"/>
  <c r="L8" i="31"/>
  <c r="M8" i="31"/>
  <c r="N8" i="31"/>
  <c r="O8" i="31"/>
  <c r="L9" i="31"/>
  <c r="M9" i="31"/>
  <c r="N9" i="31"/>
  <c r="O9" i="31"/>
  <c r="L10" i="31"/>
  <c r="M10" i="31"/>
  <c r="N10" i="31"/>
  <c r="O10" i="31"/>
  <c r="O7" i="31"/>
  <c r="N7" i="31"/>
  <c r="M7" i="31"/>
  <c r="L7" i="31"/>
  <c r="M10" i="30"/>
  <c r="N10" i="30"/>
  <c r="O10" i="30"/>
  <c r="P10" i="30"/>
  <c r="Q10" i="30"/>
  <c r="M8" i="30"/>
  <c r="N8" i="30"/>
  <c r="O8" i="30"/>
  <c r="P8" i="30"/>
  <c r="Q8" i="30"/>
  <c r="M9" i="30"/>
  <c r="N9" i="30"/>
  <c r="O9" i="30"/>
  <c r="P9" i="30"/>
  <c r="Q9" i="30"/>
  <c r="Q7" i="30"/>
  <c r="P7" i="30"/>
  <c r="N7" i="30"/>
  <c r="O7" i="30"/>
  <c r="M7" i="30"/>
  <c r="G53" i="6" l="1"/>
  <c r="G58" i="6" s="1"/>
  <c r="H58" i="6" s="1"/>
  <c r="D58" i="6"/>
  <c r="E58" i="6"/>
  <c r="F58" i="6"/>
  <c r="C58" i="6"/>
  <c r="H53" i="6" l="1"/>
  <c r="N19" i="30"/>
  <c r="E1" i="32" l="1"/>
  <c r="A1" i="32"/>
  <c r="C61" i="6" l="1"/>
  <c r="D61" i="6"/>
  <c r="E61" i="6"/>
  <c r="F61" i="6"/>
  <c r="I21" i="7" l="1"/>
  <c r="I22" i="7"/>
  <c r="I14" i="7"/>
  <c r="C18" i="6" l="1"/>
  <c r="C21" i="6" s="1"/>
  <c r="H61" i="6" l="1"/>
  <c r="G13" i="6" l="1"/>
  <c r="H13" i="6" s="1"/>
  <c r="G45" i="6"/>
  <c r="H45" i="6" s="1"/>
  <c r="J3" i="31" l="1"/>
  <c r="J3" i="30"/>
  <c r="J3" i="28"/>
  <c r="J3" i="27"/>
  <c r="J3" i="26"/>
  <c r="J3" i="25"/>
  <c r="J3" i="13"/>
  <c r="G19" i="6" l="1"/>
  <c r="H59" i="6" l="1"/>
  <c r="G65" i="6"/>
  <c r="G64" i="6"/>
  <c r="H64" i="6" s="1"/>
  <c r="G63" i="6"/>
  <c r="G61" i="6"/>
  <c r="G60" i="6"/>
  <c r="D18" i="6" l="1"/>
  <c r="D21" i="6" s="1"/>
  <c r="E18" i="6"/>
  <c r="E21" i="6" s="1"/>
  <c r="F18" i="6"/>
  <c r="F21" i="6" s="1"/>
  <c r="G21" i="6" l="1"/>
  <c r="E1" i="31"/>
  <c r="A1" i="31"/>
  <c r="E1" i="30"/>
  <c r="A1" i="30"/>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D27" i="24" s="1"/>
  <c r="N19" i="31"/>
  <c r="E27" i="24" s="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Q19" i="30"/>
  <c r="D24" i="24" s="1"/>
  <c r="P19" i="30"/>
  <c r="E24" i="24" s="1"/>
  <c r="O19" i="30"/>
  <c r="D26" i="24" s="1"/>
  <c r="M19" i="30"/>
  <c r="E26" i="24" s="1"/>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O79" i="28"/>
  <c r="N79" i="28"/>
  <c r="M79" i="28"/>
  <c r="L79" i="28"/>
  <c r="O64" i="28"/>
  <c r="N64" i="28"/>
  <c r="M64" i="28"/>
  <c r="L64" i="28"/>
  <c r="O49" i="28"/>
  <c r="N49" i="28"/>
  <c r="M49" i="28"/>
  <c r="L49" i="28"/>
  <c r="O34" i="28"/>
  <c r="N34" i="28"/>
  <c r="M34" i="28"/>
  <c r="L34" i="28"/>
  <c r="O19" i="28"/>
  <c r="D16" i="24" s="1"/>
  <c r="N19" i="28"/>
  <c r="E16" i="24" s="1"/>
  <c r="M19" i="28"/>
  <c r="D17" i="24" s="1"/>
  <c r="L19" i="28"/>
  <c r="E17" i="24" s="1"/>
  <c r="A6" i="28"/>
  <c r="J66" i="28" s="1"/>
  <c r="O79" i="27"/>
  <c r="N79" i="27"/>
  <c r="M79" i="27"/>
  <c r="L79" i="27"/>
  <c r="O64" i="27"/>
  <c r="N64" i="27"/>
  <c r="M64" i="27"/>
  <c r="L64" i="27"/>
  <c r="O49" i="27"/>
  <c r="N49" i="27"/>
  <c r="M49" i="27"/>
  <c r="L49" i="27"/>
  <c r="O34" i="27"/>
  <c r="N34" i="27"/>
  <c r="M34" i="27"/>
  <c r="L34" i="27"/>
  <c r="O19" i="27"/>
  <c r="D18" i="24" s="1"/>
  <c r="N19" i="27"/>
  <c r="E18" i="24" s="1"/>
  <c r="M19" i="27"/>
  <c r="D19" i="24" s="1"/>
  <c r="L19" i="27"/>
  <c r="E19" i="24" s="1"/>
  <c r="A6" i="27"/>
  <c r="J66" i="27" s="1"/>
  <c r="O79" i="26"/>
  <c r="N79" i="26"/>
  <c r="M79" i="26"/>
  <c r="L79" i="26"/>
  <c r="O64" i="26"/>
  <c r="N64" i="26"/>
  <c r="M64" i="26"/>
  <c r="L64" i="26"/>
  <c r="O49" i="26"/>
  <c r="N49" i="26"/>
  <c r="M49" i="26"/>
  <c r="L49" i="26"/>
  <c r="O34" i="26"/>
  <c r="N34" i="26"/>
  <c r="M34" i="26"/>
  <c r="L34" i="26"/>
  <c r="O19" i="26"/>
  <c r="D14" i="24" s="1"/>
  <c r="N19" i="26"/>
  <c r="E14" i="24" s="1"/>
  <c r="M19" i="26"/>
  <c r="D15" i="24" s="1"/>
  <c r="L19" i="26"/>
  <c r="E15" i="24" s="1"/>
  <c r="A6" i="26"/>
  <c r="J66" i="26" s="1"/>
  <c r="O79" i="25"/>
  <c r="N79" i="25"/>
  <c r="M79" i="25"/>
  <c r="L79" i="25"/>
  <c r="O64" i="25"/>
  <c r="N64" i="25"/>
  <c r="M64" i="25"/>
  <c r="L64" i="25"/>
  <c r="O49" i="25"/>
  <c r="N49" i="25"/>
  <c r="M49" i="25"/>
  <c r="L49" i="25"/>
  <c r="O34" i="25"/>
  <c r="N34" i="25"/>
  <c r="M34" i="25"/>
  <c r="L34" i="25"/>
  <c r="O19" i="25"/>
  <c r="D22" i="24" s="1"/>
  <c r="N19" i="25"/>
  <c r="E22" i="24" s="1"/>
  <c r="M19" i="25"/>
  <c r="D23" i="24" s="1"/>
  <c r="L19" i="25"/>
  <c r="E23" i="24" s="1"/>
  <c r="A6" i="25"/>
  <c r="J66" i="25" s="1"/>
  <c r="O79" i="13"/>
  <c r="N79" i="13"/>
  <c r="M79" i="13"/>
  <c r="L79" i="13"/>
  <c r="O64" i="13"/>
  <c r="N64" i="13"/>
  <c r="M64" i="13"/>
  <c r="L64" i="13"/>
  <c r="O49" i="13"/>
  <c r="N49" i="13"/>
  <c r="M49" i="13"/>
  <c r="L49" i="13"/>
  <c r="O34" i="13"/>
  <c r="N34" i="13"/>
  <c r="M34" i="13"/>
  <c r="L34" i="13"/>
  <c r="O19" i="13"/>
  <c r="D20" i="24" s="1"/>
  <c r="N19" i="13"/>
  <c r="E20" i="24" s="1"/>
  <c r="M19" i="13"/>
  <c r="D21" i="24" s="1"/>
  <c r="L19" i="13"/>
  <c r="E21" i="24" s="1"/>
  <c r="A6" i="13"/>
  <c r="J66" i="13" s="1"/>
  <c r="I12" i="7" l="1"/>
  <c r="I11" i="7"/>
  <c r="I20" i="7"/>
  <c r="J36" i="27"/>
  <c r="J66" i="31"/>
  <c r="J21" i="28"/>
  <c r="J21" i="27"/>
  <c r="J21" i="26"/>
  <c r="J21" i="25"/>
  <c r="J36" i="13"/>
  <c r="J51" i="13"/>
  <c r="J21" i="13"/>
  <c r="J6" i="13"/>
  <c r="J21" i="31"/>
  <c r="J6" i="31"/>
  <c r="J36" i="31"/>
  <c r="K6" i="30"/>
  <c r="K36" i="30"/>
  <c r="K51" i="30"/>
  <c r="K21" i="30"/>
  <c r="J36" i="28"/>
  <c r="J51" i="28"/>
  <c r="J6" i="28"/>
  <c r="J51" i="27"/>
  <c r="J6" i="27"/>
  <c r="J51" i="26"/>
  <c r="J36" i="26"/>
  <c r="J6" i="26"/>
  <c r="J36" i="25"/>
  <c r="J51" i="25"/>
  <c r="J6" i="25"/>
  <c r="D28" i="6"/>
  <c r="E28" i="6"/>
  <c r="F28" i="6"/>
  <c r="C28" i="6"/>
  <c r="G7" i="8"/>
  <c r="D7" i="8"/>
  <c r="B5" i="8"/>
  <c r="G3" i="8"/>
  <c r="A3" i="8"/>
  <c r="A1" i="8"/>
  <c r="G23" i="7"/>
  <c r="E23" i="7"/>
  <c r="G15" i="7"/>
  <c r="E15" i="7"/>
  <c r="B4" i="7"/>
  <c r="A3" i="7"/>
  <c r="A1" i="7"/>
  <c r="A8" i="7" s="1"/>
  <c r="H65" i="6"/>
  <c r="H63" i="6"/>
  <c r="B53" i="6"/>
  <c r="G50" i="6"/>
  <c r="H50" i="6" s="1"/>
  <c r="G49" i="6"/>
  <c r="G48" i="6"/>
  <c r="H48" i="6" s="1"/>
  <c r="G47" i="6"/>
  <c r="H47" i="6" s="1"/>
  <c r="G46" i="6"/>
  <c r="H46" i="6" s="1"/>
  <c r="G44" i="6"/>
  <c r="H44" i="6" s="1"/>
  <c r="G43" i="6"/>
  <c r="H43" i="6" s="1"/>
  <c r="G42" i="6"/>
  <c r="H42" i="6" s="1"/>
  <c r="G39" i="6"/>
  <c r="H39" i="6" s="1"/>
  <c r="G38" i="6"/>
  <c r="H38" i="6" s="1"/>
  <c r="G37" i="6"/>
  <c r="H37" i="6" s="1"/>
  <c r="G36" i="6"/>
  <c r="H36" i="6" s="1"/>
  <c r="G35" i="6"/>
  <c r="H35" i="6" s="1"/>
  <c r="G34" i="6"/>
  <c r="H34" i="6" s="1"/>
  <c r="G29" i="6"/>
  <c r="H29" i="6" s="1"/>
  <c r="G27" i="6"/>
  <c r="G26" i="6"/>
  <c r="H26" i="6" s="1"/>
  <c r="G25" i="6"/>
  <c r="G24" i="6"/>
  <c r="H24" i="6" s="1"/>
  <c r="G20" i="6"/>
  <c r="H20" i="6" s="1"/>
  <c r="G15" i="6"/>
  <c r="G14" i="6"/>
  <c r="G12" i="6"/>
  <c r="H12" i="6" s="1"/>
  <c r="G11" i="6"/>
  <c r="G10" i="6"/>
  <c r="G9" i="6"/>
  <c r="G8" i="6"/>
  <c r="I15" i="7" l="1"/>
  <c r="I23" i="7"/>
  <c r="D11" i="8"/>
  <c r="H27" i="6"/>
  <c r="D14" i="8"/>
  <c r="H30" i="6"/>
  <c r="D12" i="8"/>
  <c r="H25" i="6"/>
  <c r="E33" i="7"/>
  <c r="H33" i="7" s="1"/>
  <c r="E35" i="7"/>
  <c r="H35" i="7" s="1"/>
  <c r="H37" i="7"/>
  <c r="E36" i="7"/>
  <c r="H36" i="7" s="1"/>
  <c r="G24" i="7"/>
  <c r="G18" i="6"/>
  <c r="H21" i="6" s="1"/>
  <c r="G28" i="6"/>
  <c r="E24" i="7"/>
  <c r="E34" i="7"/>
  <c r="H34" i="7" s="1"/>
  <c r="D10" i="8"/>
  <c r="G10" i="8"/>
  <c r="A31" i="7"/>
  <c r="A43" i="7" s="1"/>
  <c r="I24" i="7" l="1"/>
  <c r="H15" i="6"/>
  <c r="H8" i="6"/>
  <c r="H19" i="6"/>
  <c r="H10" i="6"/>
  <c r="G11" i="8"/>
  <c r="G12" i="8"/>
  <c r="H14" i="6"/>
  <c r="G14" i="8"/>
  <c r="H11" i="6"/>
  <c r="H9" i="6"/>
</calcChain>
</file>

<file path=xl/sharedStrings.xml><?xml version="1.0" encoding="utf-8"?>
<sst xmlns="http://schemas.openxmlformats.org/spreadsheetml/2006/main" count="1553" uniqueCount="419">
  <si>
    <t>Section</t>
  </si>
  <si>
    <t>Subject</t>
  </si>
  <si>
    <t xml:space="preserve">Page </t>
  </si>
  <si>
    <t>Information</t>
  </si>
  <si>
    <t>Date</t>
  </si>
  <si>
    <t>Copy</t>
  </si>
  <si>
    <t>Name, Role</t>
  </si>
  <si>
    <t>No.</t>
  </si>
  <si>
    <t>Add company logo</t>
  </si>
  <si>
    <t>Add photo</t>
  </si>
  <si>
    <t>Year:</t>
  </si>
  <si>
    <t>Address:</t>
  </si>
  <si>
    <t xml:space="preserve">Tel: </t>
  </si>
  <si>
    <t xml:space="preserve">Email: </t>
  </si>
  <si>
    <t>Prepared by:</t>
  </si>
  <si>
    <t>Position:</t>
  </si>
  <si>
    <t>Approved by:</t>
  </si>
  <si>
    <t>Version:</t>
  </si>
  <si>
    <t>Issue Date:</t>
  </si>
  <si>
    <t>Contents</t>
  </si>
  <si>
    <t>Version Control</t>
  </si>
  <si>
    <t>Distribution</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</si>
  <si>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</si>
  <si>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</si>
  <si>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Summary of Operational Processes and Procedures</t>
  </si>
  <si>
    <t>Summary of Plant Operations and Maintenance during the reporting year</t>
  </si>
  <si>
    <t>Operational Summary</t>
  </si>
  <si>
    <t>Plant Size</t>
  </si>
  <si>
    <t>tonnes pa</t>
  </si>
  <si>
    <t>MWth</t>
  </si>
  <si>
    <t>MWe</t>
  </si>
  <si>
    <t>No. of combustion lines</t>
  </si>
  <si>
    <t>No. of Turbines:</t>
  </si>
  <si>
    <t>Waste types received</t>
  </si>
  <si>
    <t>Unit</t>
  </si>
  <si>
    <t>Q1</t>
  </si>
  <si>
    <t>Q2</t>
  </si>
  <si>
    <t>Q3</t>
  </si>
  <si>
    <t>Q4</t>
  </si>
  <si>
    <t>Year Total</t>
  </si>
  <si>
    <t>%</t>
  </si>
  <si>
    <t>tonnes</t>
  </si>
  <si>
    <t xml:space="preserve">Commercial &amp; Industrial </t>
  </si>
  <si>
    <t xml:space="preserve">Hazardous </t>
  </si>
  <si>
    <t>Clinical</t>
  </si>
  <si>
    <t xml:space="preserve">Waste wood (biomass) </t>
  </si>
  <si>
    <t xml:space="preserve">Rejected Waste </t>
  </si>
  <si>
    <t>KWh/te</t>
  </si>
  <si>
    <t>Power Generated</t>
  </si>
  <si>
    <t>MWh</t>
  </si>
  <si>
    <t>Power Exported</t>
  </si>
  <si>
    <t>Power Used on site</t>
  </si>
  <si>
    <t>Power Imported</t>
  </si>
  <si>
    <t>Parasitic Load</t>
  </si>
  <si>
    <t>GWh</t>
  </si>
  <si>
    <t>R1 value</t>
  </si>
  <si>
    <t>Design / Operational / n/a</t>
  </si>
  <si>
    <t>Waste Disposal &amp; Recovery</t>
  </si>
  <si>
    <t>% inputs</t>
  </si>
  <si>
    <t>APC Residues - produced</t>
  </si>
  <si>
    <t>IBA - produced</t>
  </si>
  <si>
    <t>Other</t>
  </si>
  <si>
    <t>Raw Material Usage</t>
  </si>
  <si>
    <t>Mains Water</t>
  </si>
  <si>
    <r>
      <t>m</t>
    </r>
    <r>
      <rPr>
        <vertAlign val="superscript"/>
        <sz val="10"/>
        <color theme="1"/>
        <rFont val="Arial"/>
        <family val="2"/>
      </rPr>
      <t>3</t>
    </r>
  </si>
  <si>
    <t>Other Water</t>
  </si>
  <si>
    <t>Activated Carbon</t>
  </si>
  <si>
    <t>Lime / hydrated lime</t>
  </si>
  <si>
    <t>Fuel oil</t>
  </si>
  <si>
    <t>ltrs</t>
  </si>
  <si>
    <t>Gas</t>
  </si>
  <si>
    <t>Hours of heat / steam export</t>
  </si>
  <si>
    <t>Abnormal Events</t>
  </si>
  <si>
    <t>qty.</t>
  </si>
  <si>
    <t>Abnormal operation</t>
  </si>
  <si>
    <t>hours</t>
  </si>
  <si>
    <t>Permit Breaches</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</si>
  <si>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</si>
  <si>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</si>
  <si>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</si>
  <si>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</si>
  <si>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</si>
  <si>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</si>
  <si>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</si>
  <si>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</si>
  <si>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</si>
  <si>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</si>
  <si>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</si>
  <si>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</si>
  <si>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</si>
  <si>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</si>
  <si>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</si>
  <si>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</si>
  <si>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</si>
  <si>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</si>
  <si>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</si>
  <si>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</si>
  <si>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</si>
  <si>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</si>
  <si>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</si>
  <si>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</si>
  <si>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</si>
  <si>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</si>
  <si>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</si>
  <si>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</si>
  <si>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</si>
  <si>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</si>
  <si>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</si>
  <si>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</si>
  <si>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</si>
  <si>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A1</t>
  </si>
  <si>
    <t>A2</t>
  </si>
  <si>
    <t>A3</t>
  </si>
  <si>
    <t>A4</t>
  </si>
  <si>
    <t>A5</t>
  </si>
  <si>
    <t>Turbine 1</t>
  </si>
  <si>
    <t>Turbine 2</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</si>
  <si>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</si>
  <si>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</si>
  <si>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</si>
  <si>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</si>
  <si>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</si>
  <si>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</si>
  <si>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</si>
  <si>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</si>
  <si>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</si>
  <si>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</si>
  <si>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</si>
  <si>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</si>
  <si>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</si>
  <si>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</si>
  <si>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</si>
  <si>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</si>
  <si>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</si>
  <si>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</si>
  <si>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</si>
  <si>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</si>
  <si>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</si>
  <si>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Particulates</t>
  </si>
  <si>
    <t>Oxides of nitrogen</t>
  </si>
  <si>
    <t>Sulphur dioxide</t>
  </si>
  <si>
    <t>Carbon monoxide</t>
  </si>
  <si>
    <t>Total organic carbon</t>
  </si>
  <si>
    <t>Hydrogen chloride</t>
  </si>
  <si>
    <t>Hydrogen fluoride</t>
  </si>
  <si>
    <t>Summary of any notifications or non-compliances under the permit</t>
  </si>
  <si>
    <t xml:space="preserve">Reason </t>
  </si>
  <si>
    <t>Measures taken to prevent reoccurrence</t>
  </si>
  <si>
    <t>Summary of any complaints received and actions to taken to resolve them.</t>
  </si>
  <si>
    <t>Reason *</t>
  </si>
  <si>
    <t>* including whether substantiated by the operator or the EA</t>
  </si>
  <si>
    <t>Summary of Plant Improvements</t>
  </si>
  <si>
    <t>Summary of any efficiency improvements that have been completed within the year.</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</si>
  <si>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</si>
  <si>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</si>
  <si>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</si>
  <si>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Details of Public &amp; Stakeholder Liasion</t>
  </si>
  <si>
    <t>Summary of events held during the reporting year.</t>
  </si>
  <si>
    <t>Description</t>
  </si>
  <si>
    <t>List of events planned for next year</t>
  </si>
  <si>
    <t>1/2 hourly HCl ELV</t>
  </si>
  <si>
    <t>Monthly 1/2 hourly mean</t>
  </si>
  <si>
    <t>Monthly 1/2 hourly maximum</t>
  </si>
  <si>
    <t>Daily HCl ELV</t>
  </si>
  <si>
    <t>Monthly daily mean</t>
  </si>
  <si>
    <t>Monthly daily maximum</t>
  </si>
  <si>
    <t>Jan</t>
  </si>
  <si>
    <t>Feb</t>
  </si>
  <si>
    <t>Mar</t>
  </si>
  <si>
    <t>Apr</t>
  </si>
  <si>
    <t>May</t>
  </si>
  <si>
    <t>Jun</t>
  </si>
  <si>
    <t>Jul</t>
  </si>
  <si>
    <t>Aug</t>
  </si>
  <si>
    <t>Sep</t>
  </si>
  <si>
    <t>Oct</t>
  </si>
  <si>
    <t>Nov</t>
  </si>
  <si>
    <t>Dec</t>
  </si>
  <si>
    <t>1/2 hourly SO2 ELV</t>
  </si>
  <si>
    <t>Daily SO2 ELV</t>
  </si>
  <si>
    <t>1/2 hourly NOx ELV</t>
  </si>
  <si>
    <t>Daily NOx ELV</t>
  </si>
  <si>
    <t>1/2 hourly TOC ELV</t>
  </si>
  <si>
    <t>Daily TOC ELV</t>
  </si>
  <si>
    <t>1/2 hourly PM ELV</t>
  </si>
  <si>
    <t>Daily PM ELV</t>
  </si>
  <si>
    <t xml:space="preserve">Carbon monoxide </t>
  </si>
  <si>
    <t>Daily CO ELV</t>
  </si>
  <si>
    <t>1/2 hourly NH3 ELV</t>
  </si>
  <si>
    <t>Daily NH3 ELV</t>
  </si>
  <si>
    <t>Operating hours for the year, hours</t>
  </si>
  <si>
    <t>Summary of Residue Handling for the reporting year</t>
  </si>
  <si>
    <t>Emissions to Water</t>
  </si>
  <si>
    <t>Summary of monitoring undertaken and compliance</t>
  </si>
  <si>
    <t>Commentary on any specific events</t>
  </si>
  <si>
    <t>Monitoring Frequency</t>
  </si>
  <si>
    <t>Limit</t>
  </si>
  <si>
    <t>Target</t>
  </si>
  <si>
    <t>Average</t>
  </si>
  <si>
    <t>Max.</t>
  </si>
  <si>
    <t>Residue Quality Monitoring Requirements</t>
  </si>
  <si>
    <t>Date &amp; Event</t>
  </si>
  <si>
    <t xml:space="preserve">Normal Operation </t>
  </si>
  <si>
    <t xml:space="preserve">Bottom ash  </t>
  </si>
  <si>
    <t>---</t>
  </si>
  <si>
    <t xml:space="preserve">Parameter (unit) </t>
  </si>
  <si>
    <t>&lt;5%</t>
  </si>
  <si>
    <t>Residue Quality Monitoring Results</t>
  </si>
  <si>
    <t>Comments :</t>
  </si>
  <si>
    <t>Emissions to Air (periodically monitored)</t>
  </si>
  <si>
    <t>Results of emissions to air that are periodically monitored</t>
  </si>
  <si>
    <t>Cd and Th and their compounds</t>
  </si>
  <si>
    <t>Hg and its compounds</t>
  </si>
  <si>
    <t>Sb, As, Pb, Cr, Co, Cu, Mn, Ni, V and their compounds</t>
  </si>
  <si>
    <t>Dioxins &amp; Furans (I-TEQ)</t>
  </si>
  <si>
    <t>PCBs (WHO-TEQ Humans / Mammals)</t>
  </si>
  <si>
    <t>PCBs (WHO-TEQ Fish)</t>
  </si>
  <si>
    <t>PCBs (WHO-TEQ Birds)</t>
  </si>
  <si>
    <t>Dioxins &amp; Furans (WHO-TEQ Humans / Mammals)</t>
  </si>
  <si>
    <t>Dioxins &amp; Furans (WHO-TEQ Fish)</t>
  </si>
  <si>
    <t>Dioxins &amp; Furans (WHO-TEQ Birds)</t>
  </si>
  <si>
    <t>Anthanthrene</t>
  </si>
  <si>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</si>
  <si>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</si>
  <si>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</si>
  <si>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</si>
  <si>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</si>
  <si>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</si>
  <si>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</si>
  <si>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</si>
  <si>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</si>
  <si>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</si>
  <si>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</si>
  <si>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</si>
  <si>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</si>
  <si>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</si>
  <si>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</si>
  <si>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1 hr</t>
  </si>
  <si>
    <r>
      <t>2 mg/m</t>
    </r>
    <r>
      <rPr>
        <vertAlign val="superscript"/>
        <sz val="10"/>
        <color theme="1"/>
        <rFont val="Arial"/>
        <family val="2"/>
      </rPr>
      <t>3</t>
    </r>
  </si>
  <si>
    <r>
      <t>0.05 mg/m</t>
    </r>
    <r>
      <rPr>
        <vertAlign val="superscript"/>
        <sz val="10"/>
        <color theme="1"/>
        <rFont val="Arial"/>
        <family val="2"/>
      </rPr>
      <t>3</t>
    </r>
  </si>
  <si>
    <r>
      <t>0.5 mg/m</t>
    </r>
    <r>
      <rPr>
        <vertAlign val="superscript"/>
        <sz val="10"/>
        <color theme="1"/>
        <rFont val="Arial"/>
        <family val="2"/>
      </rPr>
      <t>3</t>
    </r>
  </si>
  <si>
    <r>
      <t>0.1 ng/m</t>
    </r>
    <r>
      <rPr>
        <vertAlign val="superscript"/>
        <sz val="10"/>
        <color theme="1"/>
        <rFont val="Arial"/>
        <family val="2"/>
      </rPr>
      <t>3</t>
    </r>
  </si>
  <si>
    <r>
      <t>None set ng/m</t>
    </r>
    <r>
      <rPr>
        <vertAlign val="superscript"/>
        <sz val="10"/>
        <color theme="1"/>
        <rFont val="Arial"/>
        <family val="2"/>
      </rPr>
      <t>3</t>
    </r>
  </si>
  <si>
    <r>
      <t>None set µg/m</t>
    </r>
    <r>
      <rPr>
        <vertAlign val="superscript"/>
        <sz val="10"/>
        <color theme="1"/>
        <rFont val="Arial"/>
        <family val="2"/>
      </rPr>
      <t>3</t>
    </r>
  </si>
  <si>
    <t>Emission Limit Value</t>
  </si>
  <si>
    <t>Ref. Period</t>
  </si>
  <si>
    <t>Summary of monitoring undertaken, standards used and compliance</t>
  </si>
  <si>
    <t>Emissions to Air (continously monitored)</t>
  </si>
  <si>
    <t>Avg.</t>
  </si>
  <si>
    <t>Daily mean</t>
  </si>
  <si>
    <t>½ hourly mean</t>
  </si>
  <si>
    <t xml:space="preserve">Hydrogen chloride </t>
  </si>
  <si>
    <t xml:space="preserve"> Ammonia</t>
  </si>
  <si>
    <t>No limit set</t>
  </si>
  <si>
    <r>
      <t>30 mg/m</t>
    </r>
    <r>
      <rPr>
        <vertAlign val="superscript"/>
        <sz val="10"/>
        <color theme="1"/>
        <rFont val="Arial"/>
        <family val="2"/>
      </rPr>
      <t>3</t>
    </r>
    <r>
      <rPr>
        <sz val="10"/>
        <color theme="1"/>
        <rFont val="Arial"/>
        <family val="2"/>
      </rPr>
      <t xml:space="preserve"> </t>
    </r>
  </si>
  <si>
    <t xml:space="preserve">Total Organic Carbon </t>
  </si>
  <si>
    <t>Reference Period</t>
  </si>
  <si>
    <t>Daily Reference Periods</t>
  </si>
  <si>
    <t>1/2 Hourly Reference Periods</t>
  </si>
  <si>
    <t>mg/Nm3</t>
  </si>
  <si>
    <r>
      <t>mg/Nm</t>
    </r>
    <r>
      <rPr>
        <b/>
        <vertAlign val="superscript"/>
        <sz val="11"/>
        <color theme="1"/>
        <rFont val="Arial"/>
        <family val="2"/>
      </rPr>
      <t>3</t>
    </r>
  </si>
  <si>
    <t>Annual</t>
  </si>
  <si>
    <t>Monitoring of Sulphur dioxide emissions</t>
  </si>
  <si>
    <t>Monitoring of Oxides of Nitrogen emissions</t>
  </si>
  <si>
    <t>Monitoring of Total organic carbon emissions</t>
  </si>
  <si>
    <t>Monitoring of Particulate matter emissions</t>
  </si>
  <si>
    <t xml:space="preserve">Monitoring of Ammnonia emissions </t>
  </si>
  <si>
    <t>Facility Information</t>
  </si>
  <si>
    <t>Operational Data</t>
  </si>
  <si>
    <t>Performance Form 1</t>
  </si>
  <si>
    <t>Energy Form 1</t>
  </si>
  <si>
    <t>Permit Compliance</t>
  </si>
  <si>
    <t>Improvements</t>
  </si>
  <si>
    <t>Emissions to Air (continuously monitored)</t>
  </si>
  <si>
    <t>Hydrogen Chloride emissions</t>
  </si>
  <si>
    <t>Total Organic Carbon emissions</t>
  </si>
  <si>
    <t>Carbon Monoxide emissions</t>
  </si>
  <si>
    <t>Ammonia emissions</t>
  </si>
  <si>
    <t>Particulate Matter emissions</t>
  </si>
  <si>
    <t>Household / Local Authority</t>
  </si>
  <si>
    <t>Other [Please specify]</t>
  </si>
  <si>
    <t>kgs</t>
  </si>
  <si>
    <t>Summary of notification or non-compliance [including Line/Reference]</t>
  </si>
  <si>
    <t>Summary of complaint [including Line/Reference]</t>
  </si>
  <si>
    <t>x %</t>
  </si>
  <si>
    <t>Line/Unit</t>
  </si>
  <si>
    <t>Residue Quality - Optional</t>
  </si>
  <si>
    <t>6-8hrs</t>
  </si>
  <si>
    <t>&lt;3%</t>
  </si>
  <si>
    <t>No. of Assessments Undertaken</t>
  </si>
  <si>
    <t>Notes:</t>
  </si>
  <si>
    <t>Template may require adjustment for any bespoke monitoring requirements of permit</t>
  </si>
  <si>
    <t>Section references and Page nos. to be inserted</t>
  </si>
  <si>
    <t>Sections and Subjects may require adjustment by individual operators to meet specific reporting requirements as defined in the sites Permit(s)</t>
  </si>
  <si>
    <t>This template may require adjustments by individual operators to meet specific reporting requirements as defined in the site Permit(s)</t>
  </si>
  <si>
    <t>Whole Installation</t>
  </si>
  <si>
    <t>Per Combustion Line</t>
  </si>
  <si>
    <t>Monitoring of Hydrogen Chloride emissions</t>
  </si>
  <si>
    <t>Emissions to Water / Sewer</t>
  </si>
  <si>
    <t>Results by Line</t>
  </si>
  <si>
    <t>User to add logic to complete Whole installation, Table A5:G18. From the data in Per Combustion Line, Table J6:O79, subject to No. of lines installed</t>
  </si>
  <si>
    <t>Whole Installation table A5:G18:</t>
  </si>
  <si>
    <t>See  Notes in Cell Q3</t>
  </si>
  <si>
    <t>User to add logic to complete Whole installation, Table A5:H18. From the data in Per Combustion Line, Table K6:Q79, subject to No. of lines installed</t>
  </si>
  <si>
    <t>Whole Installation table A5:H18:</t>
  </si>
  <si>
    <t>See  Notes in Cell S3</t>
  </si>
  <si>
    <t xml:space="preserve">Include in here a summary of residue handling regimes and destinations </t>
  </si>
  <si>
    <t xml:space="preserve">Template may require adjustment for any bespoke monitoring requirements of permit. </t>
  </si>
  <si>
    <t>User to add additional tables as necessary, depending on whether quarterly or bi-annual reporting is required for the compliance year</t>
  </si>
  <si>
    <t>½ hourly mean *</t>
  </si>
  <si>
    <r>
      <t>150 mg/m</t>
    </r>
    <r>
      <rPr>
        <vertAlign val="superscript"/>
        <sz val="10"/>
        <color theme="1"/>
        <rFont val="Arial"/>
        <family val="2"/>
      </rPr>
      <t>3</t>
    </r>
    <r>
      <rPr>
        <sz val="10"/>
        <color theme="1"/>
        <rFont val="Arial"/>
        <family val="2"/>
      </rPr>
      <t xml:space="preserve"> *</t>
    </r>
  </si>
  <si>
    <t>* = delete or amend as appropriate</t>
  </si>
  <si>
    <t>Highest 1/2 hourly maximum</t>
  </si>
  <si>
    <t>Highest daily maximum</t>
  </si>
  <si>
    <t>95%ile 10-min avg CO ELV</t>
  </si>
  <si>
    <t>10-minute Reference Periods</t>
  </si>
  <si>
    <t xml:space="preserve">Include summary of plant design, design capacity, no. of combustion lines, electrical and heat capacity and any other general information that descibes the facility, its location and purpose </t>
  </si>
  <si>
    <t>Include summary of key processes and procedures such as (but not limited to); waste reception, control rooms, grate, bed and bolier, energy &amp; heat  generation, cooling systems, residue management, emission controls, health and safety systems, maintenance</t>
  </si>
  <si>
    <t>95%ile 10-min avg *</t>
  </si>
  <si>
    <r>
      <rPr>
        <b/>
        <sz val="11"/>
        <color theme="1"/>
        <rFont val="Arial"/>
        <family val="2"/>
      </rPr>
      <t>Mean</t>
    </r>
    <r>
      <rPr>
        <sz val="11"/>
        <color theme="1"/>
        <rFont val="Arial"/>
        <family val="2"/>
      </rPr>
      <t>: for 1/2 hourly and daily periods calculate mean of values across all operational combustion lines for the month</t>
    </r>
  </si>
  <si>
    <t>Monthly CO 10-min avg mean</t>
  </si>
  <si>
    <t>Monitoring of Carbon Monoxide (10-minute avg)</t>
  </si>
  <si>
    <t>95%ile 10-min avg maximum</t>
  </si>
  <si>
    <t>10-min avg maximum</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</si>
  <si>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</si>
  <si>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</si>
  <si>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</si>
  <si>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An indicated ELV value of zero in the table above means that no ammonia limit is set in the permit.  </t>
  </si>
  <si>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</si>
  <si>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No. of Hazardous Results</t>
  </si>
  <si>
    <t>Ammonia</t>
  </si>
  <si>
    <t>Urea</t>
  </si>
  <si>
    <t>Loss on Ignition (average %)</t>
  </si>
  <si>
    <t>Results of emissions to air that are continuously monitored (maximum and average values for each line)</t>
  </si>
  <si>
    <t>Report to 2 decimal places, i.e. xx.xx%</t>
  </si>
  <si>
    <t>Unprocessed waste transferred out</t>
  </si>
  <si>
    <t>Total waste combusted</t>
  </si>
  <si>
    <t xml:space="preserve">Summary </t>
  </si>
  <si>
    <t>MJ/kg</t>
  </si>
  <si>
    <t>Refuse Derived Fuel *  - C&amp;I</t>
  </si>
  <si>
    <t>Refuse Derived Fuel * - H'hold/LA</t>
  </si>
  <si>
    <t>Thermal Energy Produced **</t>
  </si>
  <si>
    <t>Thermal Energy Exported **</t>
  </si>
  <si>
    <t xml:space="preserve">* - RDF to include SRF </t>
  </si>
  <si>
    <t>** - CHP plants only</t>
  </si>
  <si>
    <t>2020 updates include;  heat in MWh, water in Litres, NCV in MJ/kg</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</si>
  <si>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</si>
  <si>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Availability of waste combustion by line, hrs</t>
  </si>
  <si>
    <t>Overall Availability, mean avg. of all lines, hrs</t>
  </si>
  <si>
    <t>Hours of turbine operations, hrs</t>
  </si>
  <si>
    <t xml:space="preserve">Hrs in year </t>
  </si>
  <si>
    <t>-</t>
  </si>
  <si>
    <t>Total Organic Carbon (average %)</t>
  </si>
  <si>
    <t xml:space="preserve">Report to 2 decimal places, i.e. xx.xx%
Please provide a brief summary of each notification or non-compliance in the table (rather than just referring to notifications that were sent to the Regulator).  
</t>
  </si>
  <si>
    <t>Total waste received</t>
  </si>
  <si>
    <t xml:space="preserve">Version 20.6 </t>
  </si>
  <si>
    <t>JG Pears Power (O&amp;M) Ltd</t>
  </si>
  <si>
    <t>Annual Performance Report 2022</t>
  </si>
  <si>
    <t>Permit EPR/MP3235CC</t>
  </si>
  <si>
    <t>JG Pears CHP Plant</t>
  </si>
  <si>
    <t>Marnham Road, Low Marnham, Newark, Nottinghamshire, NG23 6SP</t>
  </si>
  <si>
    <t>Richard Laxton</t>
  </si>
  <si>
    <t>Paul Beaumont</t>
  </si>
  <si>
    <t>richardlaxton@jgpears.com</t>
  </si>
  <si>
    <t>07870 897696</t>
  </si>
  <si>
    <t>Main operational process flow:
1)	Solid biomass fuels are delivered to the plant by road and stored in purpose built fuel storage silos for MBM and wood pellets. Additional storage of MBM is provided inside the fuel reception building.
2)	Biomass is feed from the silos to the fuel dosing bin where it is then pneumatically blown into the furnace. 
3)	Hot gases from the biomass combustion furnace are passed through a boiler to raise steam. The steam is then passed to a steam turbine to generate electricity for export to the National Grid. 
4)	Heat from the CHP will be supplied to the adjacent rendering plant.
5)	The furnace and boiler design will fulfil the requirements for 850 °C in more than 2 seconds as specified in the Industrial Emissions Directive (Directive 2010/75/EU).
6)	Ash from the grate is removed by a system of enclosed conveyors to a silo. Ash from the bag filtration system is removed by an enclosed system to a silo. Ash from both sources can be left separate or mixed before being used as an agricultural fertiliser.
7)	Combustion gases are cleaned in a flue gas treatment plant, including the injection of solid alkali sorbent to remove acid gases and the use of a fabric filtration system.
8)	Emissions of nitrogen oxides and carbon monoxide are controlled by the use of controlled combustion and SCR techniques
9)	The cleaned gases are released to atmosphere via 50 meter high stack.</t>
  </si>
  <si>
    <t>The plant is designed to burn a combination of MBM and/or wood pellets. The fuel ratios can be varied depending upon supply; however the boiler has the capability to burn 100% of either the MBM or wood pellets. 
The plant has a single biomass boiler operating at 55 tonnes steam/hr (42MWth nominal input) @ 482°C, 102bara of high pressure superheated steam.  Low pressure steam for generation of up to 45 t/h of process steam for the factory via a steam to steam generator is extracted from a bleed on the turbine. The steam condensate on the CHP plant side is returned to the boiler feed water loop and thermal cycle.
The factoryconsumes around 2 MW and the CHP plant approximately 1.1 MW of electricity to power the internal machinery. In full operation these amounts are deducted from the electricity generated before export into the local grid resulting in approximately 4.8 MW exported to the grid on weekdays and up to 10-11 MW at weekends. 
Based upon a mid-range calorific value, the annual fuel usage is circa 75,000 tonnes of MBM or wood pellets per year. The hourly combined usage rate of fuel by the boiler is circa 9.5 tonnes/hr. MBM is categorised under the Animal By-products Regulations as Category 1 material.</t>
  </si>
  <si>
    <t xml:space="preserve">Include summary of key operational and/or maintenance activity undertaken in the year, such as any major component upgrades and/or replacements </t>
  </si>
  <si>
    <t>Energy Usage / Export</t>
  </si>
  <si>
    <t>m3</t>
  </si>
  <si>
    <t>Sodium bicarbonate</t>
  </si>
  <si>
    <t>t or m3/te</t>
  </si>
  <si>
    <t>Gross Calorific Value of waste</t>
  </si>
  <si>
    <t>Metal and wastewater handled by Rendering plant</t>
  </si>
  <si>
    <t>All waste water from boiler blowdown treated onsite by Rendering ETP</t>
  </si>
  <si>
    <t>N/A</t>
  </si>
  <si>
    <t>N/A (see above)</t>
  </si>
  <si>
    <t>Stack testing for emissions to air is completed as H1, and H2 testing by Element Materials Technologies. H1 in March/April, H2 in September.</t>
  </si>
  <si>
    <r>
      <t>300 mg/m</t>
    </r>
    <r>
      <rPr>
        <vertAlign val="superscript"/>
        <sz val="10"/>
        <color theme="1"/>
        <rFont val="Arial"/>
        <family val="2"/>
      </rPr>
      <t>3</t>
    </r>
    <r>
      <rPr>
        <sz val="10"/>
        <color theme="1"/>
        <rFont val="Arial"/>
        <family val="2"/>
      </rPr>
      <t xml:space="preserve"> </t>
    </r>
  </si>
  <si>
    <r>
      <t>600 mg/m</t>
    </r>
    <r>
      <rPr>
        <vertAlign val="superscript"/>
        <sz val="10"/>
        <color theme="1"/>
        <rFont val="Arial"/>
        <family val="2"/>
      </rPr>
      <t>3</t>
    </r>
    <r>
      <rPr>
        <sz val="10"/>
        <color theme="1"/>
        <rFont val="Arial"/>
        <family val="2"/>
      </rPr>
      <t xml:space="preserve"> </t>
    </r>
  </si>
  <si>
    <r>
      <t>15 mg/m</t>
    </r>
    <r>
      <rPr>
        <vertAlign val="superscript"/>
        <sz val="10"/>
        <color theme="1"/>
        <rFont val="Arial"/>
        <family val="2"/>
      </rPr>
      <t>3</t>
    </r>
  </si>
  <si>
    <r>
      <t>45 mg/m</t>
    </r>
    <r>
      <rPr>
        <vertAlign val="superscript"/>
        <sz val="10"/>
        <color theme="1"/>
        <rFont val="Arial"/>
        <family val="2"/>
      </rPr>
      <t>3</t>
    </r>
    <r>
      <rPr>
        <sz val="10"/>
        <color theme="1"/>
        <rFont val="Arial"/>
        <family val="2"/>
      </rPr>
      <t xml:space="preserve"> </t>
    </r>
  </si>
  <si>
    <r>
      <t>15 mg/m</t>
    </r>
    <r>
      <rPr>
        <vertAlign val="superscript"/>
        <sz val="10"/>
        <color theme="1"/>
        <rFont val="Arial"/>
        <family val="2"/>
      </rPr>
      <t>3</t>
    </r>
    <r>
      <rPr>
        <sz val="10"/>
        <color theme="1"/>
        <rFont val="Arial"/>
        <family val="2"/>
      </rPr>
      <t xml:space="preserve"> </t>
    </r>
  </si>
  <si>
    <r>
      <t>90 mg/m</t>
    </r>
    <r>
      <rPr>
        <vertAlign val="superscript"/>
        <sz val="10"/>
        <color theme="1"/>
        <rFont val="Arial"/>
        <family val="2"/>
      </rPr>
      <t>3</t>
    </r>
    <r>
      <rPr>
        <sz val="10"/>
        <color theme="1"/>
        <rFont val="Arial"/>
        <family val="2"/>
      </rPr>
      <t xml:space="preserve"> </t>
    </r>
  </si>
  <si>
    <r>
      <t>75 mg/m</t>
    </r>
    <r>
      <rPr>
        <vertAlign val="superscript"/>
        <sz val="10"/>
        <color theme="1"/>
        <rFont val="Arial"/>
        <family val="2"/>
      </rPr>
      <t>3</t>
    </r>
    <r>
      <rPr>
        <sz val="10"/>
        <color theme="1"/>
        <rFont val="Arial"/>
        <family val="2"/>
      </rPr>
      <t xml:space="preserve"> </t>
    </r>
  </si>
  <si>
    <t>95%ile 10-min avg mean</t>
  </si>
  <si>
    <t>Monitoring carried out using SICK continuous emissions monitoring equipment. Data analysed and presented using Envirosoft SCADA interface. Co-incineration plant compliance in Permit is to daily means.
Maximums on 1/2 hourly measurements include those on non-valid days.</t>
  </si>
  <si>
    <t>Residue (bottom ash &amp; fly ash) tested for compliance to FPR Regulations.</t>
  </si>
  <si>
    <t>Bottom ash achieved End of Waste in January 2022, fly ash (APC) in March 2022. Residues since then exported as product.</t>
  </si>
  <si>
    <t>Parish Council meetings attended every 2 months.</t>
  </si>
  <si>
    <t>If you wish to be involved in the public liaison programme, please contact the Group Environment Manager.</t>
  </si>
  <si>
    <t>Sulphur Dioxide emissions</t>
  </si>
  <si>
    <t>Oxides of Nitrogen emissions</t>
  </si>
  <si>
    <t>Sheets adjusted. Auto look up links added. Grammar correction</t>
  </si>
  <si>
    <t>All</t>
  </si>
  <si>
    <t>Meat &amp; Bone Meal</t>
  </si>
  <si>
    <t>Not applicable to Permit</t>
  </si>
  <si>
    <t>High Marnham consultation - impact of electricity from CHP to new projects</t>
  </si>
  <si>
    <t>D01 - Deposit onto land</t>
  </si>
  <si>
    <t>Note: Recovered ash under End of Waste agreement</t>
  </si>
  <si>
    <t>150202 - Absorbents materials</t>
  </si>
  <si>
    <t xml:space="preserve">D13 - Blending or mixing </t>
  </si>
  <si>
    <t>160305 - Organic wastes</t>
  </si>
  <si>
    <t>D15 - Transfer</t>
  </si>
  <si>
    <t>160306 - Organic wastes</t>
  </si>
  <si>
    <r>
      <t>3 mg/m</t>
    </r>
    <r>
      <rPr>
        <vertAlign val="superscript"/>
        <sz val="10"/>
        <color theme="1"/>
        <rFont val="Arial"/>
        <family val="2"/>
      </rPr>
      <t>3</t>
    </r>
  </si>
  <si>
    <t>&lt;0.001</t>
  </si>
  <si>
    <t>&lt;0.0018</t>
  </si>
  <si>
    <t>&lt;0.002</t>
  </si>
  <si>
    <t>&lt;0.0020</t>
  </si>
  <si>
    <t>Head of Safety, Health, Environment and Sustainability</t>
  </si>
  <si>
    <t>Chief Financial Officer</t>
  </si>
  <si>
    <t>Summary
During 2022 the JG Pears CHP plant was operated by a JG Pears management with specialist assistance from AET. 
There have been continued operational learnings throughout 2022, which have contributed to improved overall operation of the plant, but which have also led to significant outages needed for repairs.
The type of fuel being used (MBM) continues to cause key parts of the boiler tubes and superheaters to become fouled more quickly than that expected by the manufacturers, and this, as in 2021, has led to more frequent outages than originally planned during the year. This will continue during 2023 to optimise the operation of the CHP plant.
Design flaws have continued to be rectified. The air intake to the furnace has been modified further after it was found that heat seals were damaged. Superheater tubes also coat easily with furnace residue, and more frequent "bang" cleans are needed to keep them more clear and reduce outage clean time.
During 2022, the high pressure Sulzer water pumps have experienced failure ahead of anticipated service requirements. In addition, the Veco transport belt transferring MBM from the MBM Fuel Delivery store to the Fuel Storage silos has experienced slippage and tension issues. A new design is being reviewed for 2023.
The next planned outage is anticipated for March 2023, before island mode running is required due to major electricity network maintenance at High Marnham in April. The latter has been delayed several times by the network operator due to equipment and labour shortages in 2022.</t>
  </si>
  <si>
    <t xml:space="preserve">The reliability of the CEMS unit is improved being maintained under contract by the original manufacturers, SICK, and the standby CEMS unit works well.
As a result, the station had four planned maintenance outage periods during the year, and four short stops, totalling 41 days (11% available days). The plant also suffered 27 other disturbances during the year, where MBM feed was disrupted, mainly due to electrical generation turbine pressure trips. A summary of the Operational status has already been supplied to the EA, detailing breakdowns and outages and their causes. 
However, the station was otherwise operational for the year, with the exceptions of outages and issues as outlined above, which had been previously communicated to the Environment Agency.
Monitoring, Testing &amp; Calibration 
Extractive air emissions sampling was undertaken by Element at on two occasions during 2022, complying with extractive sampling requirements in March (H1), and September (H2). 
SICK serviced and calibrated the CEMs units in April and November 2022. SICK (the original manufacturers) are contracted to service the CEMS units in 2022. QAL3 operational calibration is in progress.
Data Management
The data required for the permit annual report submission is in the format from the bespoke reporting forms issued at the time of the permit but uses the Envirosoft output directly. This has been shared with the EA. Envirosoft serviced the CEMS data handling units in March 22.
The CEMs data in this easily trackable format was made available through feeds to the JG Pears data servers since September 2020. This allows operators and management to monitor live performance directly from remote laptops, although a maximum of 2 interrogations can take place at any one time.
The data is backed up on both servers by JGP, and on memory sticks by Envirosoft on regular contracted servicing visits. 
Air Emissions
The CHP plant monitors pollutants via a CEMs system manufactured by SICK, together with an extractive sampling regime, carried out by Element. 
It is required to report, on a quarterly basis, CEMs data for the pollutant suite detailed by condition 3.5.1 reference to table S3.1. schedule 4, table S4.1 reporting of monitoring data. 
These air emissions are separated into monthly CEMs reports, together with an annual CEMs Report. These have all been submitted to the Environment Agency.
As previously outlined, the plant’s turbines do trip on a number of occasions, and in this case the plant runs on natural gas, causing a number of invalid days to be recorded for CEMS reporting. However, detailed analysis of the averages of CEMS emissions on these occasions throughout 2022 shows that the plant has been in control and within prescribed emissions limits.
All extractive emissions reports from Element have also been submitted, when received by JG Pears, to the Environment Agency. It should be noted that the turnaround times, especially for protein, dioxins and furans depend on a specialist laboratory, and this can take up to 8 weeks. 
Samples are also retested by the contracted laboratory when expected levels are not achieved, which can further delay sample report submissions to the Environment Agency.
Residue (Ash)
Reporting of data relating to ash analysis has been through the sharing with the EA of a purposely built Excel spreadsheet, constructed with the help of Byrne Looby (ash analysis experts), and crosschecked by them. 
The spreadsheet is easy to navigate and clearly lists the parameters. 
Monthly composite ash samples were taken during 2022 from both bottom ash and fly ash, samples being taken off each day of operation, and representative of the output rates.
Testing of ash for 2022 is provided by AHK. If spurious results are received, repeat tests from library samples will be instigated immediately.  
From early September 2019 (under the direction of the EA) the ash from the CHP, although meeting fertiliser and land application quality standards, had been directed to landfill, pending End of Waste determination, which was achieved for bottom ash from January 2022 and for flys ash from February 2022. 
The quantities of these materials are reported in the Annual and Quarterly Waste Returns to the Environment Agency, and it will be noted that the waste volume has decreased significantly as a result of End of Waste being achieved. </t>
  </si>
  <si>
    <t>Improvements as identified in summary:
Cleaning of Veco belts
Cleaning of superheater tubes by bang cleaning
Replacement of air intake feed structure to reduce deposition of ash</t>
  </si>
  <si>
    <t>Not applicable</t>
  </si>
  <si>
    <t>More efficient running allowing better emissions control.</t>
  </si>
  <si>
    <t>Bottom ash achieved EoW January 22, APC residue achieved EoW February 22</t>
  </si>
  <si>
    <t>Public Liaison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</si>
</sst>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_-;\-* #,##0_-;_-* &quot;-&quot;??_-;_-@_-"/>
    <numFmt numFmtId="165" formatCode="0.0%"/>
    <numFmt numFmtId="166" formatCode="_-* #,##0.0_-;\-* #,##0.0_-;_-* &quot;-&quot;??_-;_-@_-"/>
    <numFmt numFmtId="167" formatCode="[$-F800]dddd\,\ mmmm\ dd\,\ yyyy"/>
    <numFmt numFmtId="168" formatCode="#,##0.0"/>
  </numFmts>
  <fonts count="39" x14ac:knownFonts="1">
    <font>
      <sz val="11"/>
      <color theme="1"/>
      <name val="Calibri"/>
      <family val="2"/>
      <scheme val="minor"/>
    </font>
    <font>
      <sz val="12"/>
      <color theme="1"/>
      <name val="Arial"/>
      <family val="2"/>
    </font>
    <font>
      <sz val="10"/>
      <color theme="1"/>
      <name val="Arial"/>
      <family val="2"/>
    </font>
    <font>
      <sz val="10"/>
      <color theme="1"/>
      <name val="Arial"/>
      <family val="2"/>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b/>
      <sz val="12"/>
      <color rgb="FF00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u/>
      <sz val="11"/>
      <color theme="10"/>
      <name val="Calibri"/>
      <family val="2"/>
      <scheme val="minor"/>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6" fillId="0" borderId="0" applyFont="0" applyFill="0" applyBorder="0" applyAlignment="0" applyProtection="0"/>
    <xf numFmtId="9" fontId="6" fillId="0" borderId="0" applyFont="0" applyFill="0" applyBorder="0" applyAlignment="0" applyProtection="0"/>
    <xf numFmtId="0" fontId="38" fillId="0" borderId="0" applyNumberFormat="0" applyFill="0" applyBorder="0" applyAlignment="0" applyProtection="0"/>
  </cellStyleXfs>
  <cellXfs count="410">
    <xf numFmtId="0" fontId="0" fillId="0" borderId="0" xfId="0"/>
    <xf numFmtId="0" fontId="7" fillId="0" borderId="0" xfId="0" applyFont="1"/>
    <xf numFmtId="0" fontId="8" fillId="0" borderId="0" xfId="0" applyFont="1"/>
    <xf numFmtId="0" fontId="9" fillId="0" borderId="0" xfId="0" applyFont="1"/>
    <xf numFmtId="0" fontId="9" fillId="2" borderId="2" xfId="0" applyFont="1" applyFill="1" applyBorder="1" applyAlignment="1">
      <alignment horizontal="center"/>
    </xf>
    <xf numFmtId="0" fontId="10" fillId="0" borderId="2" xfId="0" applyFont="1" applyBorder="1" applyAlignment="1">
      <alignment horizontal="center"/>
    </xf>
    <xf numFmtId="0" fontId="10" fillId="0" borderId="2" xfId="0" applyFont="1" applyBorder="1"/>
    <xf numFmtId="0" fontId="11" fillId="0" borderId="0" xfId="0" applyFont="1"/>
    <xf numFmtId="0" fontId="12" fillId="0" borderId="0" xfId="0" applyFont="1"/>
    <xf numFmtId="0" fontId="8" fillId="2" borderId="0" xfId="0" applyFont="1" applyFill="1"/>
    <xf numFmtId="0" fontId="8" fillId="0" borderId="0" xfId="0" applyFont="1" applyAlignment="1">
      <alignment horizontal="left"/>
    </xf>
    <xf numFmtId="0" fontId="10" fillId="0" borderId="0" xfId="0" applyFont="1"/>
    <xf numFmtId="0" fontId="13" fillId="0" borderId="2" xfId="0" applyFont="1" applyBorder="1" applyAlignment="1">
      <alignment horizontal="center"/>
    </xf>
    <xf numFmtId="0" fontId="13" fillId="0" borderId="2" xfId="0" applyFont="1" applyBorder="1"/>
    <xf numFmtId="0" fontId="14" fillId="2" borderId="2" xfId="0" applyFont="1" applyFill="1" applyBorder="1" applyAlignment="1">
      <alignment horizontal="center"/>
    </xf>
    <xf numFmtId="0" fontId="14" fillId="2" borderId="2" xfId="0" applyFont="1" applyFill="1" applyBorder="1" applyAlignment="1">
      <alignment horizontal="left"/>
    </xf>
    <xf numFmtId="0" fontId="14" fillId="0" borderId="0" xfId="0" applyFont="1"/>
    <xf numFmtId="0" fontId="13" fillId="0" borderId="2" xfId="0" applyFont="1" applyBorder="1" applyAlignment="1">
      <alignment horizontal="center" vertical="top"/>
    </xf>
    <xf numFmtId="0" fontId="13" fillId="0" borderId="2" xfId="0" applyFont="1" applyBorder="1" applyAlignment="1">
      <alignment vertical="top"/>
    </xf>
    <xf numFmtId="0" fontId="14" fillId="2" borderId="2" xfId="0" applyFont="1" applyFill="1" applyBorder="1" applyAlignment="1">
      <alignment horizontal="center" vertical="top"/>
    </xf>
    <xf numFmtId="0" fontId="13" fillId="0" borderId="0" xfId="0" applyFont="1"/>
    <xf numFmtId="0" fontId="14" fillId="0" borderId="0" xfId="0" applyFont="1" applyAlignment="1">
      <alignment horizontal="center"/>
    </xf>
    <xf numFmtId="0" fontId="15" fillId="0" borderId="0" xfId="0" applyFont="1"/>
    <xf numFmtId="0" fontId="9" fillId="0" borderId="6" xfId="0" applyFont="1" applyBorder="1"/>
    <xf numFmtId="164" fontId="9" fillId="2" borderId="7" xfId="1" applyNumberFormat="1" applyFont="1" applyFill="1" applyBorder="1"/>
    <xf numFmtId="0" fontId="9" fillId="3" borderId="7" xfId="0" applyFont="1" applyFill="1" applyBorder="1" applyAlignment="1">
      <alignment vertical="center"/>
    </xf>
    <xf numFmtId="0" fontId="9" fillId="0" borderId="11" xfId="0" applyFont="1" applyBorder="1"/>
    <xf numFmtId="0" fontId="9" fillId="2" borderId="12" xfId="0" applyFont="1" applyFill="1" applyBorder="1" applyAlignment="1">
      <alignment horizontal="center" vertical="center"/>
    </xf>
    <xf numFmtId="0" fontId="9" fillId="0" borderId="12" xfId="0" applyFont="1" applyBorder="1"/>
    <xf numFmtId="0" fontId="9" fillId="2" borderId="12" xfId="0" applyFont="1" applyFill="1" applyBorder="1" applyAlignment="1">
      <alignment horizontal="center"/>
    </xf>
    <xf numFmtId="0" fontId="10" fillId="0" borderId="12" xfId="0" applyFont="1" applyBorder="1"/>
    <xf numFmtId="0" fontId="9" fillId="0" borderId="13" xfId="0" applyFont="1" applyBorder="1" applyAlignment="1">
      <alignment horizontal="center"/>
    </xf>
    <xf numFmtId="0" fontId="14" fillId="0" borderId="3" xfId="0" applyFont="1" applyBorder="1"/>
    <xf numFmtId="0" fontId="14" fillId="0" borderId="4" xfId="0" applyFont="1" applyBorder="1" applyAlignment="1">
      <alignment horizontal="center"/>
    </xf>
    <xf numFmtId="0" fontId="13" fillId="0" borderId="4"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vertical="center"/>
    </xf>
    <xf numFmtId="164" fontId="14" fillId="2" borderId="7" xfId="1" applyNumberFormat="1" applyFont="1" applyFill="1" applyBorder="1" applyAlignment="1">
      <alignment horizontal="center"/>
    </xf>
    <xf numFmtId="164" fontId="13" fillId="0" borderId="7" xfId="1" applyNumberFormat="1" applyFont="1" applyBorder="1" applyAlignment="1">
      <alignment horizontal="center"/>
    </xf>
    <xf numFmtId="165" fontId="14" fillId="0" borderId="10" xfId="2" applyNumberFormat="1" applyFont="1" applyBorder="1" applyAlignment="1">
      <alignment horizontal="center"/>
    </xf>
    <xf numFmtId="0" fontId="14" fillId="0" borderId="9" xfId="0" applyFont="1" applyBorder="1" applyAlignment="1">
      <alignment vertical="center"/>
    </xf>
    <xf numFmtId="164" fontId="14" fillId="2" borderId="0" xfId="1" applyNumberFormat="1" applyFont="1" applyFill="1" applyAlignment="1">
      <alignment horizontal="center"/>
    </xf>
    <xf numFmtId="164" fontId="13" fillId="0" borderId="0" xfId="1" applyNumberFormat="1" applyFont="1" applyAlignment="1">
      <alignment horizontal="center"/>
    </xf>
    <xf numFmtId="164" fontId="14" fillId="2" borderId="12" xfId="1" applyNumberFormat="1" applyFont="1" applyFill="1" applyBorder="1" applyAlignment="1">
      <alignment horizontal="center"/>
    </xf>
    <xf numFmtId="164" fontId="13" fillId="0" borderId="12" xfId="1" applyNumberFormat="1" applyFont="1" applyBorder="1" applyAlignment="1">
      <alignment horizontal="center"/>
    </xf>
    <xf numFmtId="0" fontId="13" fillId="0" borderId="0" xfId="0" applyFont="1" applyAlignment="1">
      <alignment horizontal="center"/>
    </xf>
    <xf numFmtId="0" fontId="14" fillId="0" borderId="7" xfId="0" applyFont="1" applyBorder="1" applyAlignment="1">
      <alignment horizontal="center"/>
    </xf>
    <xf numFmtId="0" fontId="13" fillId="0" borderId="7" xfId="0" applyFont="1" applyBorder="1" applyAlignment="1">
      <alignment horizontal="center"/>
    </xf>
    <xf numFmtId="0" fontId="14" fillId="0" borderId="8" xfId="0" applyFont="1" applyBorder="1" applyAlignment="1">
      <alignment horizontal="center"/>
    </xf>
    <xf numFmtId="0" fontId="14" fillId="0" borderId="6" xfId="0" applyFont="1" applyBorder="1"/>
    <xf numFmtId="164" fontId="14" fillId="0" borderId="8" xfId="0" applyNumberFormat="1" applyFont="1" applyBorder="1" applyAlignment="1">
      <alignment horizontal="center"/>
    </xf>
    <xf numFmtId="0" fontId="14" fillId="0" borderId="9" xfId="0" applyFont="1" applyBorder="1"/>
    <xf numFmtId="164" fontId="14" fillId="0" borderId="10" xfId="0" applyNumberFormat="1" applyFont="1" applyBorder="1" applyAlignment="1">
      <alignment horizontal="center"/>
    </xf>
    <xf numFmtId="0" fontId="14" fillId="0" borderId="0" xfId="0" applyFont="1" applyAlignment="1">
      <alignment horizontal="center" vertical="center"/>
    </xf>
    <xf numFmtId="165" fontId="14" fillId="0" borderId="0" xfId="2" applyNumberFormat="1" applyFont="1" applyAlignment="1">
      <alignment horizontal="center" vertical="center"/>
    </xf>
    <xf numFmtId="0" fontId="14" fillId="0" borderId="11" xfId="0" applyFont="1" applyBorder="1"/>
    <xf numFmtId="0" fontId="14" fillId="0" borderId="12" xfId="0" applyFont="1" applyBorder="1"/>
    <xf numFmtId="0" fontId="14" fillId="0" borderId="6" xfId="0" applyFont="1" applyBorder="1" applyAlignment="1">
      <alignment horizontal="center" vertical="center"/>
    </xf>
    <xf numFmtId="0" fontId="14" fillId="0" borderId="8" xfId="0" quotePrefix="1" applyFont="1" applyBorder="1" applyAlignment="1">
      <alignment horizontal="center"/>
    </xf>
    <xf numFmtId="165" fontId="14" fillId="0" borderId="8" xfId="2" applyNumberFormat="1" applyFont="1" applyBorder="1" applyAlignment="1">
      <alignment horizontal="center"/>
    </xf>
    <xf numFmtId="0" fontId="14" fillId="2" borderId="11" xfId="0" applyFont="1" applyFill="1" applyBorder="1"/>
    <xf numFmtId="165" fontId="14" fillId="0" borderId="13" xfId="2" applyNumberFormat="1" applyFont="1" applyBorder="1" applyAlignment="1">
      <alignment horizontal="center"/>
    </xf>
    <xf numFmtId="0" fontId="14" fillId="0" borderId="3" xfId="0" applyFont="1" applyBorder="1" applyAlignment="1">
      <alignment horizontal="center" vertical="center"/>
    </xf>
    <xf numFmtId="43" fontId="14" fillId="0" borderId="10" xfId="0" applyNumberFormat="1" applyFont="1" applyBorder="1" applyAlignment="1">
      <alignment horizontal="center" vertical="center"/>
    </xf>
    <xf numFmtId="0" fontId="14" fillId="0" borderId="6" xfId="0" applyFont="1" applyBorder="1" applyAlignment="1">
      <alignment horizontal="center"/>
    </xf>
    <xf numFmtId="10" fontId="14" fillId="0" borderId="10" xfId="2" applyNumberFormat="1" applyFont="1" applyBorder="1" applyAlignment="1">
      <alignment horizontal="center"/>
    </xf>
    <xf numFmtId="0" fontId="14" fillId="0" borderId="12" xfId="0" applyFont="1" applyBorder="1" applyAlignment="1">
      <alignment horizontal="center"/>
    </xf>
    <xf numFmtId="164" fontId="14" fillId="0" borderId="13" xfId="0" applyNumberFormat="1" applyFont="1" applyBorder="1" applyAlignment="1">
      <alignment horizontal="center"/>
    </xf>
    <xf numFmtId="0" fontId="7" fillId="0" borderId="0" xfId="0" applyFont="1" applyAlignment="1">
      <alignment horizontal="right"/>
    </xf>
    <xf numFmtId="0" fontId="7" fillId="0" borderId="0" xfId="0" applyFont="1" applyAlignment="1">
      <alignment vertical="center"/>
    </xf>
    <xf numFmtId="0" fontId="9" fillId="0" borderId="0" xfId="0" applyFont="1" applyAlignment="1">
      <alignment horizontal="center"/>
    </xf>
    <xf numFmtId="0" fontId="17" fillId="4" borderId="2" xfId="0" applyFont="1" applyFill="1" applyBorder="1" applyAlignment="1">
      <alignment horizontal="center" vertical="center" wrapText="1"/>
    </xf>
    <xf numFmtId="0" fontId="14" fillId="0" borderId="2" xfId="0" applyFont="1" applyBorder="1" applyAlignment="1">
      <alignment horizontal="left" vertical="center" wrapText="1"/>
    </xf>
    <xf numFmtId="0" fontId="14" fillId="2" borderId="2" xfId="0" applyFont="1" applyFill="1" applyBorder="1" applyAlignment="1">
      <alignment horizontal="center" vertical="center" wrapText="1"/>
    </xf>
    <xf numFmtId="0" fontId="14" fillId="2" borderId="2" xfId="0" applyFont="1" applyFill="1" applyBorder="1" applyAlignment="1">
      <alignment vertical="center" wrapText="1"/>
    </xf>
    <xf numFmtId="0" fontId="14" fillId="0" borderId="2" xfId="0" applyFont="1" applyBorder="1" applyAlignment="1">
      <alignment vertical="center" wrapText="1"/>
    </xf>
    <xf numFmtId="0" fontId="14" fillId="0" borderId="0" xfId="0" applyFont="1" applyAlignment="1">
      <alignment vertical="center"/>
    </xf>
    <xf numFmtId="0" fontId="17" fillId="4" borderId="6" xfId="0" applyFont="1" applyFill="1" applyBorder="1" applyAlignment="1">
      <alignment vertical="center" wrapText="1"/>
    </xf>
    <xf numFmtId="0" fontId="17" fillId="4" borderId="8" xfId="0" applyFont="1" applyFill="1" applyBorder="1" applyAlignment="1">
      <alignment vertical="center" wrapText="1"/>
    </xf>
    <xf numFmtId="0" fontId="17" fillId="4" borderId="1" xfId="0" applyFont="1" applyFill="1" applyBorder="1" applyAlignment="1">
      <alignment horizontal="center" vertical="center" wrapText="1"/>
    </xf>
    <xf numFmtId="0" fontId="17" fillId="4" borderId="1" xfId="0" applyFont="1" applyFill="1" applyBorder="1" applyAlignment="1">
      <alignment vertical="center" wrapText="1"/>
    </xf>
    <xf numFmtId="4" fontId="14" fillId="0" borderId="2" xfId="0" applyNumberFormat="1" applyFont="1" applyBorder="1" applyAlignment="1">
      <alignment horizontal="center" vertical="center" wrapText="1"/>
    </xf>
    <xf numFmtId="4" fontId="14" fillId="2" borderId="2" xfId="0" applyNumberFormat="1" applyFont="1" applyFill="1" applyBorder="1" applyAlignment="1">
      <alignment horizontal="center" vertical="center" wrapText="1"/>
    </xf>
    <xf numFmtId="0" fontId="9" fillId="0" borderId="0" xfId="0" applyFont="1" applyAlignment="1">
      <alignment horizontal="left" vertical="top" wrapText="1"/>
    </xf>
    <xf numFmtId="0" fontId="17" fillId="4" borderId="2" xfId="0" applyFont="1" applyFill="1" applyBorder="1" applyAlignment="1">
      <alignment vertical="center" wrapText="1"/>
    </xf>
    <xf numFmtId="0" fontId="8" fillId="2" borderId="2" xfId="0" applyFont="1" applyFill="1" applyBorder="1"/>
    <xf numFmtId="0" fontId="18" fillId="0" borderId="12" xfId="0" applyFont="1" applyBorder="1"/>
    <xf numFmtId="0" fontId="9" fillId="0" borderId="0" xfId="0" applyFont="1" applyAlignment="1">
      <alignment vertical="center"/>
    </xf>
    <xf numFmtId="0" fontId="13" fillId="0" borderId="2" xfId="0" applyFont="1" applyBorder="1" applyAlignment="1">
      <alignment horizontal="center" vertical="center" wrapText="1"/>
    </xf>
    <xf numFmtId="14" fontId="14" fillId="2" borderId="2" xfId="0" applyNumberFormat="1" applyFont="1" applyFill="1" applyBorder="1" applyAlignment="1">
      <alignment horizontal="left"/>
    </xf>
    <xf numFmtId="0" fontId="8" fillId="0" borderId="0" xfId="0" applyFont="1" applyAlignment="1">
      <alignment horizontal="left" vertical="center" wrapText="1"/>
    </xf>
    <xf numFmtId="0" fontId="10" fillId="0" borderId="3" xfId="0" applyFont="1" applyBorder="1" applyAlignment="1">
      <alignment vertical="center"/>
    </xf>
    <xf numFmtId="0" fontId="10" fillId="0" borderId="4" xfId="0" applyFont="1" applyBorder="1" applyAlignment="1">
      <alignment vertical="center"/>
    </xf>
    <xf numFmtId="0" fontId="10" fillId="0" borderId="5" xfId="0" applyFont="1" applyBorder="1" applyAlignment="1">
      <alignment vertical="center"/>
    </xf>
    <xf numFmtId="0" fontId="10" fillId="0" borderId="6" xfId="0" applyFont="1" applyBorder="1"/>
    <xf numFmtId="0" fontId="8" fillId="0" borderId="7" xfId="0" applyFont="1" applyBorder="1"/>
    <xf numFmtId="0" fontId="8" fillId="0" borderId="8" xfId="0" applyFont="1" applyBorder="1"/>
    <xf numFmtId="0" fontId="8" fillId="0" borderId="11" xfId="0" applyFont="1" applyBorder="1"/>
    <xf numFmtId="0" fontId="8" fillId="0" borderId="12" xfId="0" applyFont="1" applyBorder="1"/>
    <xf numFmtId="0" fontId="8" fillId="0" borderId="13" xfId="0" applyFont="1" applyBorder="1"/>
    <xf numFmtId="0" fontId="10" fillId="0" borderId="3" xfId="0" applyFont="1" applyBorder="1"/>
    <xf numFmtId="0" fontId="8" fillId="0" borderId="4" xfId="0" applyFont="1" applyBorder="1"/>
    <xf numFmtId="0" fontId="8" fillId="0" borderId="5" xfId="0" applyFont="1" applyBorder="1"/>
    <xf numFmtId="0" fontId="7" fillId="0" borderId="3" xfId="0" applyFont="1" applyBorder="1"/>
    <xf numFmtId="0" fontId="14" fillId="0" borderId="2" xfId="0" applyFont="1" applyBorder="1" applyAlignment="1">
      <alignment horizontal="center"/>
    </xf>
    <xf numFmtId="0" fontId="13" fillId="0" borderId="2" xfId="0" applyFont="1" applyBorder="1" applyAlignment="1">
      <alignment horizontal="center" vertical="center"/>
    </xf>
    <xf numFmtId="0" fontId="14" fillId="0" borderId="2" xfId="0" applyFont="1" applyBorder="1" applyAlignment="1">
      <alignment horizontal="center" vertical="center" wrapText="1"/>
    </xf>
    <xf numFmtId="0" fontId="14" fillId="5" borderId="2" xfId="0" applyFont="1" applyFill="1" applyBorder="1" applyAlignment="1">
      <alignment horizontal="center" vertical="center" wrapText="1"/>
    </xf>
    <xf numFmtId="0" fontId="10" fillId="0" borderId="2" xfId="0" applyFont="1" applyBorder="1" applyAlignment="1">
      <alignment horizontal="center" vertical="center" wrapText="1"/>
    </xf>
    <xf numFmtId="0" fontId="19" fillId="0" borderId="0" xfId="0" applyFont="1"/>
    <xf numFmtId="9" fontId="14" fillId="0" borderId="2" xfId="0" applyNumberFormat="1" applyFont="1" applyBorder="1" applyAlignment="1">
      <alignment horizontal="center" vertical="center" wrapText="1"/>
    </xf>
    <xf numFmtId="0" fontId="20" fillId="0" borderId="2" xfId="0" applyFont="1" applyBorder="1" applyAlignment="1">
      <alignment horizontal="center" vertical="center" wrapText="1"/>
    </xf>
    <xf numFmtId="0" fontId="9" fillId="0" borderId="0" xfId="0" applyFont="1" applyAlignment="1">
      <alignment horizontal="center" vertical="center"/>
    </xf>
    <xf numFmtId="0" fontId="9" fillId="0" borderId="0" xfId="0" applyFont="1" applyAlignment="1">
      <alignment horizontal="center" vertical="center" wrapText="1"/>
    </xf>
    <xf numFmtId="0" fontId="10" fillId="0" borderId="0" xfId="0" applyFont="1" applyAlignment="1">
      <alignment vertical="top"/>
    </xf>
    <xf numFmtId="0" fontId="10" fillId="0" borderId="2" xfId="0" applyFont="1" applyBorder="1" applyAlignment="1">
      <alignment horizontal="center" vertical="center"/>
    </xf>
    <xf numFmtId="0" fontId="9" fillId="0" borderId="2" xfId="0" applyFont="1" applyBorder="1"/>
    <xf numFmtId="0" fontId="22" fillId="0" borderId="2" xfId="0" applyFont="1" applyBorder="1" applyAlignment="1">
      <alignment horizontal="center"/>
    </xf>
    <xf numFmtId="0" fontId="9" fillId="5" borderId="2" xfId="0" applyFont="1" applyFill="1" applyBorder="1" applyAlignment="1">
      <alignment horizontal="center"/>
    </xf>
    <xf numFmtId="0" fontId="10" fillId="0" borderId="2" xfId="0" applyFont="1" applyBorder="1" applyAlignment="1">
      <alignment horizontal="left" vertical="center"/>
    </xf>
    <xf numFmtId="0" fontId="9" fillId="0" borderId="2" xfId="0" applyFont="1" applyBorder="1" applyAlignment="1">
      <alignment horizontal="left"/>
    </xf>
    <xf numFmtId="0" fontId="10" fillId="0" borderId="1" xfId="0" applyFont="1" applyBorder="1" applyAlignment="1">
      <alignment horizontal="center" vertical="center" wrapText="1"/>
    </xf>
    <xf numFmtId="0" fontId="10" fillId="0" borderId="0" xfId="0" applyFont="1" applyAlignment="1">
      <alignment vertical="center"/>
    </xf>
    <xf numFmtId="0" fontId="22" fillId="5" borderId="2" xfId="0" applyFont="1" applyFill="1" applyBorder="1" applyAlignment="1">
      <alignment horizontal="center"/>
    </xf>
    <xf numFmtId="0" fontId="9" fillId="0" borderId="8" xfId="0" applyFont="1" applyBorder="1" applyAlignment="1">
      <alignment horizontal="left"/>
    </xf>
    <xf numFmtId="0" fontId="24" fillId="0" borderId="0" xfId="0" applyFont="1"/>
    <xf numFmtId="164" fontId="14" fillId="2" borderId="0" xfId="1" applyNumberFormat="1" applyFont="1" applyFill="1" applyBorder="1" applyAlignment="1">
      <alignment horizontal="center"/>
    </xf>
    <xf numFmtId="0" fontId="14" fillId="7" borderId="9" xfId="0" applyFont="1" applyFill="1" applyBorder="1" applyAlignment="1">
      <alignment vertical="center"/>
    </xf>
    <xf numFmtId="0" fontId="9" fillId="0" borderId="9" xfId="0" applyFont="1" applyBorder="1"/>
    <xf numFmtId="0" fontId="26" fillId="0" borderId="0" xfId="0" applyFont="1"/>
    <xf numFmtId="0" fontId="27" fillId="0" borderId="0" xfId="0" applyFont="1"/>
    <xf numFmtId="0" fontId="28" fillId="0" borderId="0" xfId="0" applyFont="1"/>
    <xf numFmtId="0" fontId="10" fillId="0" borderId="0" xfId="0" applyFont="1" applyAlignment="1">
      <alignment horizontal="center"/>
    </xf>
    <xf numFmtId="0" fontId="30" fillId="0" borderId="0" xfId="0" applyFont="1"/>
    <xf numFmtId="0" fontId="31" fillId="0" borderId="0" xfId="0" applyFont="1"/>
    <xf numFmtId="0" fontId="32" fillId="0" borderId="0" xfId="0" applyFont="1"/>
    <xf numFmtId="0" fontId="27" fillId="0" borderId="0" xfId="0" applyFont="1" applyAlignment="1">
      <alignment horizontal="right"/>
    </xf>
    <xf numFmtId="0" fontId="33" fillId="0" borderId="0" xfId="0" applyFont="1"/>
    <xf numFmtId="0" fontId="8" fillId="0" borderId="0" xfId="0" applyFont="1" applyAlignment="1">
      <alignment vertical="top" wrapText="1"/>
    </xf>
    <xf numFmtId="0" fontId="34" fillId="0" borderId="0" xfId="0" applyFont="1"/>
    <xf numFmtId="0" fontId="14" fillId="0" borderId="1" xfId="0" applyFont="1" applyBorder="1" applyAlignment="1">
      <alignment horizontal="left" vertical="center" wrapText="1"/>
    </xf>
    <xf numFmtId="0" fontId="14" fillId="0" borderId="1" xfId="0" applyFont="1" applyBorder="1" applyAlignment="1">
      <alignment horizontal="center" vertical="center" wrapText="1"/>
    </xf>
    <xf numFmtId="0" fontId="14" fillId="5" borderId="1" xfId="0" applyFont="1" applyFill="1" applyBorder="1" applyAlignment="1">
      <alignment horizontal="center" vertical="center" wrapText="1"/>
    </xf>
    <xf numFmtId="0" fontId="10" fillId="0" borderId="11" xfId="0" applyFont="1" applyBorder="1" applyAlignment="1">
      <alignment horizontal="left" vertical="top" wrapText="1"/>
    </xf>
    <xf numFmtId="0" fontId="10" fillId="0" borderId="12" xfId="0" applyFont="1" applyBorder="1" applyAlignment="1">
      <alignment horizontal="left" vertical="top" wrapText="1"/>
    </xf>
    <xf numFmtId="0" fontId="10" fillId="0" borderId="13" xfId="0" applyFont="1" applyBorder="1" applyAlignment="1">
      <alignment horizontal="left" vertical="top" wrapText="1"/>
    </xf>
    <xf numFmtId="17" fontId="8" fillId="0" borderId="0" xfId="0" applyNumberFormat="1" applyFont="1"/>
    <xf numFmtId="0" fontId="4" fillId="0" borderId="9" xfId="0" applyFont="1" applyBorder="1"/>
    <xf numFmtId="43" fontId="14" fillId="5" borderId="10" xfId="0" applyNumberFormat="1" applyFont="1" applyFill="1" applyBorder="1" applyAlignment="1">
      <alignment horizontal="center" vertical="center"/>
    </xf>
    <xf numFmtId="0" fontId="4" fillId="0" borderId="0" xfId="0" applyFont="1" applyAlignment="1">
      <alignment horizontal="center"/>
    </xf>
    <xf numFmtId="0" fontId="4" fillId="0" borderId="9" xfId="0" applyFont="1" applyBorder="1" applyAlignment="1">
      <alignment vertical="center"/>
    </xf>
    <xf numFmtId="0" fontId="15" fillId="0" borderId="0" xfId="0" applyFont="1" applyAlignment="1">
      <alignment horizontal="center"/>
    </xf>
    <xf numFmtId="0" fontId="3" fillId="0" borderId="9" xfId="0" applyFont="1" applyBorder="1"/>
    <xf numFmtId="0" fontId="15" fillId="5" borderId="0" xfId="0" applyFont="1" applyFill="1" applyAlignment="1">
      <alignment horizontal="center"/>
    </xf>
    <xf numFmtId="165" fontId="3" fillId="0" borderId="10" xfId="2" quotePrefix="1" applyNumberFormat="1" applyFont="1" applyBorder="1" applyAlignment="1">
      <alignment horizontal="center"/>
    </xf>
    <xf numFmtId="0" fontId="14" fillId="0" borderId="12" xfId="0" applyFont="1" applyBorder="1" applyAlignment="1">
      <alignment horizontal="center" vertical="center" textRotation="90"/>
    </xf>
    <xf numFmtId="164" fontId="13" fillId="0" borderId="0" xfId="1" applyNumberFormat="1" applyFont="1" applyBorder="1" applyAlignment="1">
      <alignment horizontal="center"/>
    </xf>
    <xf numFmtId="164" fontId="13" fillId="2" borderId="12" xfId="1" applyNumberFormat="1" applyFont="1" applyFill="1" applyBorder="1" applyAlignment="1">
      <alignment horizontal="center"/>
    </xf>
    <xf numFmtId="165" fontId="14" fillId="0" borderId="10" xfId="2" applyNumberFormat="1" applyFont="1" applyFill="1" applyBorder="1" applyAlignment="1">
      <alignment horizontal="center"/>
    </xf>
    <xf numFmtId="0" fontId="13" fillId="0" borderId="9" xfId="0" applyFont="1" applyBorder="1" applyAlignment="1">
      <alignment vertical="center"/>
    </xf>
    <xf numFmtId="0" fontId="13" fillId="0" borderId="11" xfId="0" applyFont="1" applyBorder="1" applyAlignment="1">
      <alignment vertical="center"/>
    </xf>
    <xf numFmtId="0" fontId="1" fillId="0" borderId="0" xfId="0" applyFont="1"/>
    <xf numFmtId="164" fontId="2" fillId="2" borderId="7" xfId="1" applyNumberFormat="1" applyFont="1" applyFill="1" applyBorder="1" applyAlignment="1">
      <alignment horizontal="center"/>
    </xf>
    <xf numFmtId="0" fontId="2" fillId="0" borderId="0" xfId="0" applyFont="1" applyAlignment="1">
      <alignment horizontal="center" vertical="center"/>
    </xf>
    <xf numFmtId="0" fontId="2" fillId="0" borderId="11" xfId="0" applyFont="1" applyBorder="1"/>
    <xf numFmtId="0" fontId="2" fillId="2" borderId="12" xfId="0" applyFont="1" applyFill="1" applyBorder="1" applyAlignment="1">
      <alignment horizontal="center" vertical="center"/>
    </xf>
    <xf numFmtId="0" fontId="2" fillId="0" borderId="5" xfId="0" applyFont="1" applyBorder="1" applyAlignment="1">
      <alignment horizontal="center"/>
    </xf>
    <xf numFmtId="0" fontId="2" fillId="0" borderId="9" xfId="0" applyFont="1" applyBorder="1"/>
    <xf numFmtId="2" fontId="9" fillId="0" borderId="2" xfId="0" applyNumberFormat="1" applyFont="1" applyBorder="1"/>
    <xf numFmtId="0" fontId="2" fillId="0" borderId="2" xfId="0" applyFont="1" applyBorder="1" applyAlignment="1">
      <alignment horizontal="center" vertical="center" wrapText="1"/>
    </xf>
    <xf numFmtId="0" fontId="2" fillId="5" borderId="2" xfId="0" applyFont="1" applyFill="1" applyBorder="1" applyAlignment="1">
      <alignment horizontal="center" vertical="center" wrapText="1"/>
    </xf>
    <xf numFmtId="2" fontId="14" fillId="5" borderId="2" xfId="0" applyNumberFormat="1" applyFont="1" applyFill="1" applyBorder="1" applyAlignment="1">
      <alignment horizontal="center" vertical="center" wrapText="1"/>
    </xf>
    <xf numFmtId="2" fontId="2" fillId="5" borderId="2" xfId="0" applyNumberFormat="1" applyFont="1" applyFill="1" applyBorder="1" applyAlignment="1">
      <alignment horizontal="center" vertical="center" wrapText="1"/>
    </xf>
    <xf numFmtId="2" fontId="14" fillId="5" borderId="1" xfId="0" applyNumberFormat="1" applyFont="1" applyFill="1" applyBorder="1" applyAlignment="1">
      <alignment horizontal="center" vertical="center" wrapText="1"/>
    </xf>
    <xf numFmtId="14" fontId="14" fillId="2" borderId="2" xfId="0" applyNumberFormat="1" applyFont="1" applyFill="1" applyBorder="1" applyAlignment="1">
      <alignment horizontal="center"/>
    </xf>
    <xf numFmtId="0" fontId="2" fillId="2" borderId="2" xfId="0" applyFont="1" applyFill="1" applyBorder="1" applyAlignment="1">
      <alignment horizontal="center"/>
    </xf>
    <xf numFmtId="0" fontId="2" fillId="7" borderId="9" xfId="0" applyFont="1" applyFill="1" applyBorder="1" applyAlignment="1">
      <alignment vertical="center"/>
    </xf>
    <xf numFmtId="43" fontId="14" fillId="0" borderId="13" xfId="0" applyNumberFormat="1" applyFont="1" applyBorder="1" applyAlignment="1">
      <alignment horizontal="center" vertical="center"/>
    </xf>
    <xf numFmtId="165" fontId="2" fillId="0" borderId="8" xfId="2" applyNumberFormat="1" applyFont="1" applyBorder="1" applyAlignment="1">
      <alignment horizontal="center"/>
    </xf>
    <xf numFmtId="0" fontId="2" fillId="0" borderId="8" xfId="0" applyFont="1" applyBorder="1" applyAlignment="1">
      <alignment horizontal="center"/>
    </xf>
    <xf numFmtId="0" fontId="0" fillId="7" borderId="0" xfId="0" applyFill="1"/>
    <xf numFmtId="0" fontId="0" fillId="7" borderId="7" xfId="0" applyFill="1" applyBorder="1"/>
    <xf numFmtId="0" fontId="9" fillId="3" borderId="3" xfId="0" applyFont="1" applyFill="1" applyBorder="1" applyAlignment="1">
      <alignment horizontal="left"/>
    </xf>
    <xf numFmtId="0" fontId="9" fillId="3" borderId="4" xfId="0" applyFont="1" applyFill="1" applyBorder="1" applyAlignment="1">
      <alignment horizontal="left"/>
    </xf>
    <xf numFmtId="0" fontId="9" fillId="3" borderId="5" xfId="0" applyFont="1" applyFill="1" applyBorder="1" applyAlignment="1">
      <alignment horizontal="left"/>
    </xf>
    <xf numFmtId="0" fontId="1" fillId="2" borderId="0" xfId="0" applyFont="1" applyFill="1" applyAlignment="1">
      <alignment horizontal="center"/>
    </xf>
    <xf numFmtId="0" fontId="8" fillId="2" borderId="0" xfId="0" applyFont="1" applyFill="1" applyAlignment="1">
      <alignment horizontal="center"/>
    </xf>
    <xf numFmtId="14" fontId="8" fillId="2" borderId="0" xfId="0" applyNumberFormat="1" applyFont="1" applyFill="1" applyAlignment="1">
      <alignment horizontal="center"/>
    </xf>
    <xf numFmtId="0" fontId="11" fillId="2" borderId="0" xfId="0" applyFont="1" applyFill="1" applyAlignment="1">
      <alignment horizontal="center"/>
    </xf>
    <xf numFmtId="0" fontId="1" fillId="2" borderId="0" xfId="0" applyFont="1" applyFill="1" applyAlignment="1">
      <alignment horizontal="center" wrapText="1"/>
    </xf>
    <xf numFmtId="0" fontId="38" fillId="2" borderId="0" xfId="3" applyFill="1" applyAlignment="1">
      <alignment horizontal="center"/>
    </xf>
    <xf numFmtId="0" fontId="26" fillId="0" borderId="0" xfId="0" applyFont="1" applyAlignment="1">
      <alignment horizontal="left" wrapText="1"/>
    </xf>
    <xf numFmtId="0" fontId="8" fillId="3" borderId="0" xfId="0" applyFont="1" applyFill="1" applyAlignment="1">
      <alignment horizontal="center" vertical="center"/>
    </xf>
    <xf numFmtId="0" fontId="8" fillId="2" borderId="0" xfId="0" applyFont="1" applyFill="1" applyAlignment="1">
      <alignment horizontal="center" vertical="center"/>
    </xf>
    <xf numFmtId="0" fontId="14" fillId="0" borderId="6" xfId="0" applyFont="1" applyBorder="1" applyAlignment="1">
      <alignment horizontal="left" vertical="top" wrapText="1"/>
    </xf>
    <xf numFmtId="0" fontId="14" fillId="0" borderId="7" xfId="0" applyFont="1" applyBorder="1" applyAlignment="1">
      <alignment horizontal="left" vertical="top" wrapText="1"/>
    </xf>
    <xf numFmtId="0" fontId="14" fillId="0" borderId="8" xfId="0" applyFont="1" applyBorder="1" applyAlignment="1">
      <alignment horizontal="left" vertical="top" wrapText="1"/>
    </xf>
    <xf numFmtId="0" fontId="14" fillId="0" borderId="9" xfId="0" applyFont="1" applyBorder="1" applyAlignment="1">
      <alignment horizontal="left" vertical="top" wrapText="1"/>
    </xf>
    <xf numFmtId="0" fontId="14" fillId="0" borderId="0" xfId="0" applyFont="1" applyAlignment="1">
      <alignment horizontal="left" vertical="top" wrapText="1"/>
    </xf>
    <xf numFmtId="0" fontId="14" fillId="0" borderId="10" xfId="0" applyFont="1" applyBorder="1" applyAlignment="1">
      <alignment horizontal="left" vertical="top" wrapText="1"/>
    </xf>
    <xf numFmtId="0" fontId="14" fillId="0" borderId="11" xfId="0" applyFont="1" applyBorder="1" applyAlignment="1">
      <alignment horizontal="left" vertical="top" wrapText="1"/>
    </xf>
    <xf numFmtId="0" fontId="14" fillId="0" borderId="12" xfId="0" applyFont="1" applyBorder="1" applyAlignment="1">
      <alignment horizontal="left" vertical="top" wrapText="1"/>
    </xf>
    <xf numFmtId="0" fontId="14" fillId="0" borderId="13" xfId="0" applyFont="1" applyBorder="1" applyAlignment="1">
      <alignment horizontal="left" vertical="top" wrapText="1"/>
    </xf>
    <xf numFmtId="0" fontId="14" fillId="2" borderId="2" xfId="0" applyFont="1" applyFill="1" applyBorder="1" applyAlignment="1">
      <alignment horizontal="left" vertical="top"/>
    </xf>
    <xf numFmtId="0" fontId="9" fillId="3" borderId="3" xfId="0" applyFont="1" applyFill="1" applyBorder="1" applyAlignment="1">
      <alignment horizontal="left"/>
    </xf>
    <xf numFmtId="0" fontId="9" fillId="3" borderId="4" xfId="0" applyFont="1" applyFill="1" applyBorder="1" applyAlignment="1">
      <alignment horizontal="left"/>
    </xf>
    <xf numFmtId="0" fontId="9" fillId="3" borderId="5" xfId="0" applyFont="1" applyFill="1" applyBorder="1" applyAlignment="1">
      <alignment horizontal="left"/>
    </xf>
    <xf numFmtId="0" fontId="9" fillId="2" borderId="2" xfId="0" applyFont="1" applyFill="1" applyBorder="1" applyAlignment="1">
      <alignment horizontal="left"/>
    </xf>
    <xf numFmtId="0" fontId="13" fillId="0" borderId="2" xfId="0" applyFont="1" applyBorder="1" applyAlignment="1">
      <alignment horizontal="left"/>
    </xf>
    <xf numFmtId="0" fontId="2" fillId="2" borderId="2" xfId="0" applyFont="1" applyFill="1" applyBorder="1" applyAlignment="1">
      <alignment horizontal="left"/>
    </xf>
    <xf numFmtId="0" fontId="14" fillId="2" borderId="2" xfId="0" applyFont="1" applyFill="1" applyBorder="1" applyAlignment="1">
      <alignment horizontal="left"/>
    </xf>
    <xf numFmtId="0" fontId="13" fillId="0" borderId="2" xfId="0" applyFont="1" applyBorder="1" applyAlignment="1">
      <alignment horizontal="left" vertical="top"/>
    </xf>
    <xf numFmtId="0" fontId="9" fillId="3" borderId="2" xfId="0" applyFont="1" applyFill="1" applyBorder="1" applyAlignment="1">
      <alignment horizontal="left"/>
    </xf>
    <xf numFmtId="0" fontId="10" fillId="0" borderId="2" xfId="0" applyFont="1" applyBorder="1" applyAlignment="1">
      <alignment horizontal="left"/>
    </xf>
    <xf numFmtId="0" fontId="2" fillId="2" borderId="6" xfId="0" applyFont="1" applyFill="1" applyBorder="1" applyAlignment="1">
      <alignment horizontal="left" vertical="top" wrapText="1"/>
    </xf>
    <xf numFmtId="0" fontId="14" fillId="2" borderId="7" xfId="0" applyFont="1" applyFill="1" applyBorder="1" applyAlignment="1">
      <alignment horizontal="left" vertical="top" wrapText="1"/>
    </xf>
    <xf numFmtId="0" fontId="14" fillId="2" borderId="8" xfId="0" applyFont="1" applyFill="1" applyBorder="1" applyAlignment="1">
      <alignment horizontal="left" vertical="top" wrapText="1"/>
    </xf>
    <xf numFmtId="0" fontId="14" fillId="2" borderId="9" xfId="0" applyFont="1" applyFill="1" applyBorder="1" applyAlignment="1">
      <alignment horizontal="left" vertical="top" wrapText="1"/>
    </xf>
    <xf numFmtId="0" fontId="14" fillId="2" borderId="0" xfId="0" applyFont="1" applyFill="1" applyAlignment="1">
      <alignment horizontal="left" vertical="top" wrapText="1"/>
    </xf>
    <xf numFmtId="0" fontId="14" fillId="2" borderId="10" xfId="0" applyFont="1" applyFill="1" applyBorder="1" applyAlignment="1">
      <alignment horizontal="left" vertical="top" wrapText="1"/>
    </xf>
    <xf numFmtId="0" fontId="14" fillId="2" borderId="11" xfId="0" applyFont="1" applyFill="1" applyBorder="1" applyAlignment="1">
      <alignment horizontal="left" vertical="top" wrapText="1"/>
    </xf>
    <xf numFmtId="0" fontId="14" fillId="2" borderId="12" xfId="0" applyFont="1" applyFill="1" applyBorder="1" applyAlignment="1">
      <alignment horizontal="left" vertical="top" wrapText="1"/>
    </xf>
    <xf numFmtId="0" fontId="14" fillId="2" borderId="13" xfId="0" applyFont="1" applyFill="1" applyBorder="1" applyAlignment="1">
      <alignment horizontal="left" vertical="top" wrapText="1"/>
    </xf>
    <xf numFmtId="0" fontId="14" fillId="2" borderId="7" xfId="0" applyFont="1" applyFill="1" applyBorder="1" applyAlignment="1">
      <alignment horizontal="left" vertical="top"/>
    </xf>
    <xf numFmtId="0" fontId="14" fillId="2" borderId="8" xfId="0" applyFont="1" applyFill="1" applyBorder="1" applyAlignment="1">
      <alignment horizontal="left" vertical="top"/>
    </xf>
    <xf numFmtId="0" fontId="14" fillId="2" borderId="9" xfId="0" applyFont="1" applyFill="1" applyBorder="1" applyAlignment="1">
      <alignment horizontal="left" vertical="top"/>
    </xf>
    <xf numFmtId="0" fontId="14" fillId="2" borderId="0" xfId="0" applyFont="1" applyFill="1" applyAlignment="1">
      <alignment horizontal="left" vertical="top"/>
    </xf>
    <xf numFmtId="0" fontId="14" fillId="2" borderId="10" xfId="0" applyFont="1" applyFill="1" applyBorder="1" applyAlignment="1">
      <alignment horizontal="left" vertical="top"/>
    </xf>
    <xf numFmtId="0" fontId="14" fillId="2" borderId="11" xfId="0" applyFont="1" applyFill="1" applyBorder="1" applyAlignment="1">
      <alignment horizontal="left" vertical="top"/>
    </xf>
    <xf numFmtId="0" fontId="14" fillId="2" borderId="12" xfId="0" applyFont="1" applyFill="1" applyBorder="1" applyAlignment="1">
      <alignment horizontal="left" vertical="top"/>
    </xf>
    <xf numFmtId="0" fontId="14" fillId="2" borderId="13" xfId="0" applyFont="1" applyFill="1" applyBorder="1" applyAlignment="1">
      <alignment horizontal="left" vertical="top"/>
    </xf>
    <xf numFmtId="0" fontId="8" fillId="0" borderId="0" xfId="0" applyFont="1" applyAlignment="1">
      <alignment horizontal="left" vertical="top" wrapText="1"/>
    </xf>
    <xf numFmtId="0" fontId="15" fillId="0" borderId="0" xfId="0" applyFont="1" applyAlignment="1">
      <alignment horizontal="left" wrapText="1"/>
    </xf>
    <xf numFmtId="0" fontId="15" fillId="0" borderId="0" xfId="0" applyFont="1" applyAlignment="1">
      <alignment horizontal="left" vertical="top" wrapText="1"/>
    </xf>
    <xf numFmtId="0" fontId="14" fillId="0" borderId="7" xfId="0" applyFont="1" applyBorder="1" applyAlignment="1">
      <alignment horizontal="center" vertical="center" textRotation="90"/>
    </xf>
    <xf numFmtId="0" fontId="14" fillId="0" borderId="0" xfId="0" applyFont="1" applyAlignment="1">
      <alignment horizontal="center" vertical="center" textRotation="90"/>
    </xf>
    <xf numFmtId="0" fontId="14" fillId="0" borderId="12" xfId="0" applyFont="1" applyBorder="1" applyAlignment="1">
      <alignment horizontal="center" vertical="center" textRotation="90"/>
    </xf>
    <xf numFmtId="43" fontId="14" fillId="2" borderId="12" xfId="1" applyFont="1" applyFill="1" applyBorder="1" applyAlignment="1">
      <alignment horizontal="center"/>
    </xf>
    <xf numFmtId="166" fontId="14" fillId="2" borderId="12" xfId="0" applyNumberFormat="1" applyFont="1" applyFill="1" applyBorder="1" applyAlignment="1">
      <alignment horizontal="center"/>
    </xf>
    <xf numFmtId="166" fontId="14" fillId="2" borderId="13" xfId="0" applyNumberFormat="1" applyFont="1" applyFill="1" applyBorder="1" applyAlignment="1">
      <alignment horizontal="center"/>
    </xf>
    <xf numFmtId="164" fontId="9" fillId="2" borderId="7" xfId="1" applyNumberFormat="1" applyFont="1" applyFill="1" applyBorder="1"/>
    <xf numFmtId="0" fontId="4" fillId="0" borderId="0" xfId="0" applyFont="1" applyAlignment="1">
      <alignment horizontal="center" textRotation="90"/>
    </xf>
    <xf numFmtId="0" fontId="14" fillId="0" borderId="0" xfId="0" applyFont="1" applyAlignment="1">
      <alignment horizontal="center" textRotation="90"/>
    </xf>
    <xf numFmtId="0" fontId="3" fillId="0" borderId="6" xfId="0" applyFont="1" applyBorder="1" applyAlignment="1">
      <alignment horizontal="left" vertical="center" wrapText="1"/>
    </xf>
    <xf numFmtId="0" fontId="3" fillId="0" borderId="9" xfId="0" applyFont="1" applyBorder="1" applyAlignment="1">
      <alignment horizontal="left" vertical="center" wrapText="1"/>
    </xf>
    <xf numFmtId="0" fontId="14" fillId="2" borderId="6" xfId="0" applyFont="1" applyFill="1" applyBorder="1" applyAlignment="1">
      <alignment horizontal="left" vertical="top" wrapText="1"/>
    </xf>
    <xf numFmtId="0" fontId="1" fillId="0" borderId="0" xfId="0" applyFont="1" applyAlignment="1">
      <alignment horizontal="left" vertical="top" wrapText="1"/>
    </xf>
    <xf numFmtId="0" fontId="14" fillId="0" borderId="2" xfId="0" applyFont="1" applyBorder="1" applyAlignment="1">
      <alignment horizontal="left" vertical="center" wrapText="1"/>
    </xf>
    <xf numFmtId="0" fontId="10" fillId="0" borderId="2" xfId="0" applyFont="1" applyBorder="1" applyAlignment="1">
      <alignment horizontal="left" vertical="top" wrapText="1"/>
    </xf>
    <xf numFmtId="0" fontId="9" fillId="2" borderId="2" xfId="0" applyFont="1" applyFill="1" applyBorder="1" applyAlignment="1">
      <alignment horizontal="left" vertical="top" wrapText="1"/>
    </xf>
    <xf numFmtId="0" fontId="17" fillId="4" borderId="2" xfId="0" applyFont="1" applyFill="1" applyBorder="1" applyAlignment="1">
      <alignment horizontal="left" vertical="center" wrapText="1"/>
    </xf>
    <xf numFmtId="0" fontId="14" fillId="0" borderId="3" xfId="0" applyFont="1" applyBorder="1" applyAlignment="1">
      <alignment horizontal="left" vertical="center" wrapText="1"/>
    </xf>
    <xf numFmtId="0" fontId="14" fillId="0" borderId="4" xfId="0" applyFont="1" applyBorder="1" applyAlignment="1">
      <alignment horizontal="left" vertical="center" wrapText="1"/>
    </xf>
    <xf numFmtId="0" fontId="14" fillId="0" borderId="5" xfId="0" applyFont="1" applyBorder="1" applyAlignment="1">
      <alignment horizontal="left" vertical="center" wrapText="1"/>
    </xf>
    <xf numFmtId="0" fontId="14" fillId="0" borderId="3" xfId="0" applyFont="1" applyBorder="1" applyAlignment="1">
      <alignment horizontal="center" vertical="center" wrapText="1"/>
    </xf>
    <xf numFmtId="0" fontId="14" fillId="0" borderId="5" xfId="0" applyFont="1" applyBorder="1" applyAlignment="1">
      <alignment horizontal="center" vertical="center" wrapText="1"/>
    </xf>
    <xf numFmtId="4" fontId="14" fillId="0" borderId="3" xfId="0" applyNumberFormat="1" applyFont="1" applyBorder="1" applyAlignment="1">
      <alignment horizontal="center" vertical="center" wrapText="1"/>
    </xf>
    <xf numFmtId="4" fontId="14" fillId="0" borderId="5" xfId="0" applyNumberFormat="1" applyFont="1" applyBorder="1" applyAlignment="1">
      <alignment horizontal="center" vertical="center" wrapText="1"/>
    </xf>
    <xf numFmtId="0" fontId="14" fillId="2" borderId="3" xfId="0" applyFont="1" applyFill="1" applyBorder="1" applyAlignment="1">
      <alignment horizontal="left" vertical="center" wrapText="1"/>
    </xf>
    <xf numFmtId="0" fontId="14" fillId="2" borderId="4" xfId="0" applyFont="1" applyFill="1" applyBorder="1" applyAlignment="1">
      <alignment horizontal="left" vertical="center" wrapText="1"/>
    </xf>
    <xf numFmtId="0" fontId="14" fillId="2" borderId="5" xfId="0" applyFont="1" applyFill="1" applyBorder="1" applyAlignment="1">
      <alignment horizontal="left" vertical="center" wrapText="1"/>
    </xf>
    <xf numFmtId="0" fontId="14" fillId="2" borderId="3" xfId="0" applyFont="1" applyFill="1" applyBorder="1" applyAlignment="1">
      <alignment horizontal="center" vertical="center" wrapText="1"/>
    </xf>
    <xf numFmtId="0" fontId="14" fillId="2" borderId="5" xfId="0" applyFont="1" applyFill="1" applyBorder="1" applyAlignment="1">
      <alignment horizontal="center" vertical="center" wrapText="1"/>
    </xf>
    <xf numFmtId="4" fontId="14" fillId="2" borderId="3" xfId="0" applyNumberFormat="1" applyFont="1" applyFill="1" applyBorder="1" applyAlignment="1">
      <alignment horizontal="center" vertical="center" wrapText="1"/>
    </xf>
    <xf numFmtId="4" fontId="14" fillId="2" borderId="5" xfId="0" applyNumberFormat="1"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0" xfId="0" applyFont="1" applyFill="1" applyAlignment="1">
      <alignment horizontal="center" vertical="center" wrapText="1"/>
    </xf>
    <xf numFmtId="0" fontId="17" fillId="4" borderId="10" xfId="0" applyFont="1" applyFill="1" applyBorder="1" applyAlignment="1">
      <alignment horizontal="center" vertical="center" wrapText="1"/>
    </xf>
    <xf numFmtId="0" fontId="17" fillId="4" borderId="6" xfId="0" applyFont="1" applyFill="1" applyBorder="1" applyAlignment="1">
      <alignment horizontal="center" vertical="center" wrapText="1"/>
    </xf>
    <xf numFmtId="0" fontId="17" fillId="4" borderId="8" xfId="0" applyFont="1" applyFill="1" applyBorder="1" applyAlignment="1">
      <alignment horizontal="center" vertical="center" wrapText="1"/>
    </xf>
    <xf numFmtId="0" fontId="13" fillId="0" borderId="2" xfId="0" applyFont="1" applyBorder="1" applyAlignment="1">
      <alignment vertical="center" wrapText="1"/>
    </xf>
    <xf numFmtId="168" fontId="13" fillId="0" borderId="2" xfId="0" applyNumberFormat="1" applyFont="1" applyBorder="1" applyAlignment="1">
      <alignment horizontal="center" vertical="center" wrapText="1"/>
    </xf>
    <xf numFmtId="165" fontId="14" fillId="0" borderId="2" xfId="2" applyNumberFormat="1" applyFont="1" applyBorder="1" applyAlignment="1">
      <alignment horizontal="center" vertical="center" wrapText="1"/>
    </xf>
    <xf numFmtId="0" fontId="14" fillId="2" borderId="2" xfId="0" applyFont="1" applyFill="1" applyBorder="1" applyAlignment="1">
      <alignment vertical="center" wrapText="1"/>
    </xf>
    <xf numFmtId="0" fontId="14" fillId="2" borderId="2" xfId="0" applyFont="1" applyFill="1" applyBorder="1" applyAlignment="1">
      <alignment horizontal="center" vertical="center" wrapText="1"/>
    </xf>
    <xf numFmtId="168" fontId="14" fillId="2" borderId="1" xfId="0" applyNumberFormat="1" applyFont="1" applyFill="1" applyBorder="1" applyAlignment="1">
      <alignment horizontal="center" vertical="center" wrapText="1"/>
    </xf>
    <xf numFmtId="165" fontId="14" fillId="0" borderId="1" xfId="2" applyNumberFormat="1" applyFont="1" applyBorder="1" applyAlignment="1">
      <alignment horizontal="center" vertical="center" wrapText="1"/>
    </xf>
    <xf numFmtId="0" fontId="14" fillId="0" borderId="2" xfId="0" applyFont="1" applyBorder="1" applyAlignment="1">
      <alignment vertical="center" wrapText="1"/>
    </xf>
    <xf numFmtId="168" fontId="14" fillId="0" borderId="1" xfId="0" applyNumberFormat="1" applyFont="1" applyBorder="1" applyAlignment="1">
      <alignment horizontal="center" vertical="center" wrapText="1"/>
    </xf>
    <xf numFmtId="0" fontId="2" fillId="0" borderId="2" xfId="0" applyFont="1" applyBorder="1" applyAlignment="1">
      <alignment horizontal="left" vertical="center" wrapText="1"/>
    </xf>
    <xf numFmtId="0" fontId="2" fillId="0" borderId="2" xfId="0" applyFont="1" applyBorder="1" applyAlignment="1">
      <alignment horizontal="center" vertical="center" wrapText="1"/>
    </xf>
    <xf numFmtId="0" fontId="14" fillId="0" borderId="2" xfId="0" applyFont="1" applyBorder="1" applyAlignment="1">
      <alignment horizontal="center" vertical="center" wrapText="1"/>
    </xf>
    <xf numFmtId="4" fontId="14" fillId="0" borderId="4" xfId="0" applyNumberFormat="1" applyFont="1" applyBorder="1" applyAlignment="1">
      <alignment horizontal="center" vertical="center" wrapText="1"/>
    </xf>
    <xf numFmtId="0" fontId="14" fillId="0" borderId="4" xfId="0" applyFont="1" applyBorder="1" applyAlignment="1">
      <alignment horizontal="center" vertical="center" wrapText="1"/>
    </xf>
    <xf numFmtId="0" fontId="14" fillId="0" borderId="14" xfId="0" applyFont="1" applyBorder="1" applyAlignment="1">
      <alignment vertical="center" wrapText="1"/>
    </xf>
    <xf numFmtId="0" fontId="14" fillId="2" borderId="2" xfId="0" applyFont="1" applyFill="1" applyBorder="1" applyAlignment="1">
      <alignment horizontal="left" vertical="center" wrapText="1"/>
    </xf>
    <xf numFmtId="0" fontId="14" fillId="0" borderId="1" xfId="0" applyFont="1" applyBorder="1" applyAlignment="1">
      <alignment vertical="center" wrapText="1"/>
    </xf>
    <xf numFmtId="0" fontId="1" fillId="0" borderId="0" xfId="0" applyFont="1" applyAlignment="1">
      <alignment horizontal="center" vertical="center" wrapText="1"/>
    </xf>
    <xf numFmtId="0" fontId="8" fillId="0" borderId="0" xfId="0" applyFont="1" applyAlignment="1">
      <alignment horizontal="center" vertical="center" wrapText="1"/>
    </xf>
    <xf numFmtId="0" fontId="9" fillId="0" borderId="0" xfId="0" applyFont="1" applyAlignment="1">
      <alignment horizontal="left"/>
    </xf>
    <xf numFmtId="0" fontId="9" fillId="0" borderId="0" xfId="0" applyFont="1" applyAlignment="1">
      <alignment horizontal="left" vertical="top"/>
    </xf>
    <xf numFmtId="167" fontId="9" fillId="2" borderId="0" xfId="0" applyNumberFormat="1" applyFont="1" applyFill="1" applyAlignment="1">
      <alignment horizontal="center" vertical="top"/>
    </xf>
    <xf numFmtId="0" fontId="17" fillId="4" borderId="2" xfId="0" applyFont="1" applyFill="1" applyBorder="1" applyAlignment="1">
      <alignment horizontal="center" vertical="center" wrapText="1"/>
    </xf>
    <xf numFmtId="0" fontId="14" fillId="2" borderId="2" xfId="0" applyFont="1" applyFill="1" applyBorder="1" applyAlignment="1">
      <alignment horizontal="left" vertical="top" wrapText="1"/>
    </xf>
    <xf numFmtId="3" fontId="14" fillId="0" borderId="2" xfId="0" applyNumberFormat="1" applyFont="1" applyBorder="1" applyAlignment="1">
      <alignment horizontal="center" vertical="center" wrapText="1"/>
    </xf>
    <xf numFmtId="1" fontId="14" fillId="0" borderId="2" xfId="0" applyNumberFormat="1" applyFont="1" applyBorder="1" applyAlignment="1">
      <alignment horizontal="center" vertical="center"/>
    </xf>
    <xf numFmtId="0" fontId="14" fillId="5" borderId="2" xfId="0" applyFont="1" applyFill="1" applyBorder="1" applyAlignment="1">
      <alignment horizontal="center" vertical="center" wrapText="1"/>
    </xf>
    <xf numFmtId="0" fontId="14" fillId="0" borderId="2" xfId="0" applyFont="1" applyBorder="1" applyAlignment="1">
      <alignment horizontal="left"/>
    </xf>
    <xf numFmtId="0" fontId="9" fillId="0" borderId="0" xfId="0" applyFont="1" applyAlignment="1">
      <alignment horizontal="center" vertical="top"/>
    </xf>
    <xf numFmtId="167" fontId="9" fillId="0" borderId="0" xfId="0" applyNumberFormat="1" applyFont="1" applyAlignment="1">
      <alignment horizontal="center" vertical="top"/>
    </xf>
    <xf numFmtId="0" fontId="10" fillId="0" borderId="11" xfId="0" applyFont="1" applyBorder="1" applyAlignment="1">
      <alignment horizontal="center" vertical="center"/>
    </xf>
    <xf numFmtId="0" fontId="10" fillId="0" borderId="12" xfId="0" applyFont="1" applyBorder="1" applyAlignment="1">
      <alignment horizontal="center" vertical="center"/>
    </xf>
    <xf numFmtId="0" fontId="10" fillId="0" borderId="0" xfId="0" applyFont="1" applyAlignment="1">
      <alignment horizontal="center" vertical="center"/>
    </xf>
    <xf numFmtId="0" fontId="14" fillId="2" borderId="3" xfId="0" applyFont="1" applyFill="1" applyBorder="1" applyAlignment="1">
      <alignment horizontal="left"/>
    </xf>
    <xf numFmtId="0" fontId="13" fillId="0" borderId="2" xfId="0" applyFont="1" applyBorder="1" applyAlignment="1">
      <alignment horizontal="center" vertical="center" wrapText="1"/>
    </xf>
    <xf numFmtId="0" fontId="13" fillId="0" borderId="3" xfId="0" applyFont="1" applyBorder="1" applyAlignment="1">
      <alignment horizontal="center" vertical="center" wrapText="1"/>
    </xf>
    <xf numFmtId="0" fontId="2" fillId="2" borderId="2" xfId="0" applyFont="1" applyFill="1" applyBorder="1" applyAlignment="1">
      <alignment horizontal="center" vertical="center"/>
    </xf>
    <xf numFmtId="0" fontId="14" fillId="2" borderId="2" xfId="0" applyFont="1" applyFill="1" applyBorder="1" applyAlignment="1">
      <alignment horizontal="center" vertical="center"/>
    </xf>
    <xf numFmtId="0" fontId="9" fillId="7" borderId="3" xfId="0" applyFont="1" applyFill="1" applyBorder="1" applyAlignment="1">
      <alignment horizontal="center"/>
    </xf>
    <xf numFmtId="0" fontId="9" fillId="7" borderId="5" xfId="0" applyFont="1" applyFill="1" applyBorder="1" applyAlignment="1">
      <alignment horizontal="center"/>
    </xf>
    <xf numFmtId="10" fontId="2" fillId="2" borderId="2" xfId="0" applyNumberFormat="1" applyFont="1" applyFill="1" applyBorder="1" applyAlignment="1">
      <alignment horizontal="center" vertical="center"/>
    </xf>
    <xf numFmtId="0" fontId="10" fillId="0" borderId="2" xfId="0" applyFont="1" applyBorder="1" applyAlignment="1">
      <alignment horizontal="left" vertical="center" wrapText="1"/>
    </xf>
    <xf numFmtId="0" fontId="10" fillId="3" borderId="3" xfId="0" applyFont="1" applyFill="1" applyBorder="1" applyAlignment="1">
      <alignment horizontal="center" vertical="center"/>
    </xf>
    <xf numFmtId="0" fontId="10" fillId="3" borderId="5" xfId="0" applyFont="1" applyFill="1" applyBorder="1" applyAlignment="1">
      <alignment horizontal="center" vertical="center"/>
    </xf>
    <xf numFmtId="0" fontId="10" fillId="3" borderId="4" xfId="0" applyFont="1" applyFill="1" applyBorder="1" applyAlignment="1">
      <alignment horizontal="center" vertical="center"/>
    </xf>
    <xf numFmtId="0" fontId="9" fillId="3" borderId="3" xfId="0" applyFont="1" applyFill="1" applyBorder="1" applyAlignment="1">
      <alignment horizontal="center" vertical="center"/>
    </xf>
    <xf numFmtId="0" fontId="9" fillId="3" borderId="5" xfId="0" applyFont="1" applyFill="1" applyBorder="1" applyAlignment="1">
      <alignment horizontal="center" vertical="center"/>
    </xf>
    <xf numFmtId="0" fontId="10" fillId="3" borderId="2" xfId="0" applyFont="1" applyFill="1" applyBorder="1" applyAlignment="1">
      <alignment horizontal="center" vertical="center"/>
    </xf>
    <xf numFmtId="0" fontId="5" fillId="0" borderId="0" xfId="0" applyFont="1" applyAlignment="1">
      <alignment horizontal="left" vertical="top" wrapText="1"/>
    </xf>
    <xf numFmtId="0" fontId="13" fillId="0" borderId="7" xfId="0" applyFont="1" applyBorder="1" applyAlignment="1">
      <alignment horizontal="center" wrapText="1"/>
    </xf>
    <xf numFmtId="0" fontId="10" fillId="0" borderId="3" xfId="0" applyFont="1" applyBorder="1" applyAlignment="1">
      <alignment horizontal="left" vertical="center" wrapText="1"/>
    </xf>
    <xf numFmtId="0" fontId="10" fillId="0" borderId="4" xfId="0" applyFont="1" applyBorder="1" applyAlignment="1">
      <alignment horizontal="left" vertical="center" wrapText="1"/>
    </xf>
    <xf numFmtId="0" fontId="10" fillId="0" borderId="5" xfId="0" applyFont="1" applyBorder="1" applyAlignment="1">
      <alignment horizontal="left" vertical="center" wrapText="1"/>
    </xf>
    <xf numFmtId="0" fontId="14" fillId="2" borderId="7" xfId="0" applyFont="1" applyFill="1" applyBorder="1" applyAlignment="1">
      <alignment horizontal="left"/>
    </xf>
    <xf numFmtId="0" fontId="14" fillId="2" borderId="8" xfId="0" applyFont="1" applyFill="1" applyBorder="1" applyAlignment="1">
      <alignment horizontal="left"/>
    </xf>
    <xf numFmtId="0" fontId="14" fillId="2" borderId="9" xfId="0" applyFont="1" applyFill="1" applyBorder="1" applyAlignment="1">
      <alignment horizontal="left"/>
    </xf>
    <xf numFmtId="0" fontId="14" fillId="2" borderId="0" xfId="0" applyFont="1" applyFill="1" applyAlignment="1">
      <alignment horizontal="left"/>
    </xf>
    <xf numFmtId="0" fontId="14" fillId="2" borderId="10" xfId="0" applyFont="1" applyFill="1" applyBorder="1" applyAlignment="1">
      <alignment horizontal="left"/>
    </xf>
    <xf numFmtId="0" fontId="14" fillId="2" borderId="11" xfId="0" applyFont="1" applyFill="1" applyBorder="1" applyAlignment="1">
      <alignment horizontal="left"/>
    </xf>
    <xf numFmtId="0" fontId="14" fillId="2" borderId="12" xfId="0" applyFont="1" applyFill="1" applyBorder="1" applyAlignment="1">
      <alignment horizontal="left"/>
    </xf>
    <xf numFmtId="0" fontId="14" fillId="2" borderId="13" xfId="0" applyFont="1" applyFill="1" applyBorder="1" applyAlignment="1">
      <alignment horizontal="left"/>
    </xf>
    <xf numFmtId="0" fontId="10" fillId="0" borderId="3" xfId="0" applyFont="1" applyBorder="1" applyAlignment="1">
      <alignment horizontal="left" vertical="center"/>
    </xf>
    <xf numFmtId="0" fontId="10" fillId="0" borderId="4" xfId="0" applyFont="1" applyBorder="1" applyAlignment="1">
      <alignment horizontal="left" vertical="center"/>
    </xf>
    <xf numFmtId="0" fontId="10" fillId="0" borderId="5" xfId="0" applyFont="1" applyBorder="1" applyAlignment="1">
      <alignment horizontal="left" vertical="center"/>
    </xf>
    <xf numFmtId="0" fontId="14" fillId="2" borderId="6" xfId="0" applyFont="1" applyFill="1" applyBorder="1" applyAlignment="1">
      <alignment horizontal="left" vertical="top"/>
    </xf>
    <xf numFmtId="0" fontId="2" fillId="2" borderId="6" xfId="0" applyFont="1" applyFill="1" applyBorder="1" applyAlignment="1">
      <alignment horizontal="left" vertical="top"/>
    </xf>
    <xf numFmtId="14" fontId="14" fillId="2" borderId="6" xfId="0" applyNumberFormat="1" applyFont="1" applyFill="1" applyBorder="1" applyAlignment="1">
      <alignment horizontal="left" vertical="top"/>
    </xf>
    <xf numFmtId="0" fontId="9" fillId="2" borderId="2" xfId="0" applyFont="1" applyFill="1" applyBorder="1" applyAlignment="1">
      <alignment horizontal="left" vertical="top"/>
    </xf>
    <xf numFmtId="0" fontId="13" fillId="0" borderId="6" xfId="0" applyFont="1" applyBorder="1" applyAlignment="1">
      <alignment horizontal="left" vertical="center" wrapText="1"/>
    </xf>
    <xf numFmtId="0" fontId="13" fillId="0" borderId="8" xfId="0" applyFont="1" applyBorder="1" applyAlignment="1">
      <alignment horizontal="left" vertical="center" wrapText="1"/>
    </xf>
    <xf numFmtId="0" fontId="13" fillId="0" borderId="9" xfId="0" applyFont="1" applyBorder="1" applyAlignment="1">
      <alignment horizontal="left" vertical="center" wrapText="1"/>
    </xf>
    <xf numFmtId="0" fontId="13" fillId="0" borderId="10" xfId="0" applyFont="1" applyBorder="1" applyAlignment="1">
      <alignment horizontal="left" vertical="center" wrapText="1"/>
    </xf>
    <xf numFmtId="0" fontId="21" fillId="0" borderId="3" xfId="0" applyFont="1" applyBorder="1" applyAlignment="1">
      <alignment horizontal="center" vertical="center" wrapText="1"/>
    </xf>
    <xf numFmtId="0" fontId="21" fillId="0" borderId="4" xfId="0" applyFont="1" applyBorder="1" applyAlignment="1">
      <alignment horizontal="center" vertical="center" wrapText="1"/>
    </xf>
    <xf numFmtId="0" fontId="21" fillId="0" borderId="5" xfId="0" applyFont="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 xfId="0" applyFont="1" applyBorder="1" applyAlignment="1">
      <alignment horizontal="center" vertical="center" wrapText="1"/>
    </xf>
    <xf numFmtId="0" fontId="13" fillId="0" borderId="15" xfId="0" applyFont="1" applyBorder="1" applyAlignment="1">
      <alignment horizontal="center" vertical="center" wrapText="1"/>
    </xf>
    <xf numFmtId="0" fontId="27" fillId="0" borderId="0" xfId="0" applyFont="1" applyAlignment="1">
      <alignment horizontal="left" vertical="top" wrapText="1"/>
    </xf>
    <xf numFmtId="0" fontId="21" fillId="0" borderId="2" xfId="0" applyFont="1" applyBorder="1" applyAlignment="1">
      <alignment horizontal="left" vertical="center" wrapText="1"/>
    </xf>
    <xf numFmtId="0" fontId="13" fillId="3" borderId="2" xfId="0" applyFont="1" applyFill="1" applyBorder="1" applyAlignment="1">
      <alignment horizontal="left" vertical="center" wrapText="1"/>
    </xf>
    <xf numFmtId="0" fontId="4" fillId="0" borderId="2" xfId="0" applyFont="1" applyBorder="1" applyAlignment="1">
      <alignment horizontal="left" vertical="center" wrapText="1"/>
    </xf>
    <xf numFmtId="0" fontId="2" fillId="5" borderId="2" xfId="0" applyFont="1" applyFill="1" applyBorder="1" applyAlignment="1">
      <alignment horizontal="center" vertical="center" wrapText="1"/>
    </xf>
    <xf numFmtId="0" fontId="14" fillId="6" borderId="16" xfId="0" applyFont="1" applyFill="1" applyBorder="1" applyAlignment="1">
      <alignment horizontal="center" vertical="center" wrapText="1"/>
    </xf>
    <xf numFmtId="0" fontId="14" fillId="6" borderId="17" xfId="0" applyFont="1" applyFill="1" applyBorder="1" applyAlignment="1">
      <alignment horizontal="center" vertical="center" wrapText="1"/>
    </xf>
    <xf numFmtId="0" fontId="14" fillId="5" borderId="3" xfId="0" applyFont="1" applyFill="1" applyBorder="1" applyAlignment="1">
      <alignment horizontal="center" vertical="center" wrapText="1"/>
    </xf>
    <xf numFmtId="0" fontId="14" fillId="5" borderId="5" xfId="0" applyFont="1" applyFill="1" applyBorder="1" applyAlignment="1">
      <alignment horizontal="center" vertical="center" wrapText="1"/>
    </xf>
    <xf numFmtId="0" fontId="14" fillId="5" borderId="2" xfId="0" applyFont="1" applyFill="1" applyBorder="1" applyAlignment="1">
      <alignment horizontal="left" vertical="center" wrapText="1"/>
    </xf>
    <xf numFmtId="0" fontId="14" fillId="5" borderId="3" xfId="0" applyFont="1" applyFill="1" applyBorder="1" applyAlignment="1">
      <alignment horizontal="left" vertical="center" wrapText="1"/>
    </xf>
    <xf numFmtId="0" fontId="14" fillId="5" borderId="4" xfId="0" applyFont="1" applyFill="1" applyBorder="1" applyAlignment="1">
      <alignment horizontal="left" vertical="center" wrapText="1"/>
    </xf>
    <xf numFmtId="0" fontId="14" fillId="5" borderId="5" xfId="0" applyFont="1" applyFill="1" applyBorder="1" applyAlignment="1">
      <alignment horizontal="left" vertical="center" wrapText="1"/>
    </xf>
    <xf numFmtId="0" fontId="14" fillId="5" borderId="6" xfId="0" applyFont="1" applyFill="1" applyBorder="1" applyAlignment="1">
      <alignment horizontal="left" vertical="center" wrapText="1"/>
    </xf>
    <xf numFmtId="0" fontId="14" fillId="5" borderId="7" xfId="0" applyFont="1" applyFill="1" applyBorder="1" applyAlignment="1">
      <alignment horizontal="left" vertical="center" wrapText="1"/>
    </xf>
    <xf numFmtId="0" fontId="14" fillId="5" borderId="8" xfId="0" applyFont="1" applyFill="1" applyBorder="1" applyAlignment="1">
      <alignment horizontal="left" vertical="center" wrapText="1"/>
    </xf>
    <xf numFmtId="0" fontId="2" fillId="5" borderId="6" xfId="0" applyFont="1" applyFill="1" applyBorder="1" applyAlignment="1">
      <alignment horizontal="left" vertical="center" wrapText="1"/>
    </xf>
    <xf numFmtId="0" fontId="10" fillId="0" borderId="11" xfId="0" applyFont="1" applyBorder="1" applyAlignment="1">
      <alignment horizontal="left" vertical="center" wrapText="1"/>
    </xf>
    <xf numFmtId="0" fontId="10" fillId="0" borderId="12" xfId="0" applyFont="1" applyBorder="1" applyAlignment="1">
      <alignment horizontal="left" vertical="center" wrapText="1"/>
    </xf>
    <xf numFmtId="0" fontId="13" fillId="0" borderId="6" xfId="0" applyFont="1" applyBorder="1" applyAlignment="1">
      <alignment horizontal="left" vertical="center"/>
    </xf>
    <xf numFmtId="0" fontId="13" fillId="0" borderId="7" xfId="0" applyFont="1" applyBorder="1" applyAlignment="1">
      <alignment horizontal="left" vertical="center"/>
    </xf>
    <xf numFmtId="0" fontId="13" fillId="0" borderId="8" xfId="0" applyFont="1" applyBorder="1" applyAlignment="1">
      <alignment horizontal="left" vertical="center"/>
    </xf>
    <xf numFmtId="0" fontId="13" fillId="0" borderId="3" xfId="0" applyFont="1" applyBorder="1" applyAlignment="1">
      <alignment horizontal="center" vertical="center"/>
    </xf>
    <xf numFmtId="0" fontId="13" fillId="0" borderId="4" xfId="0" applyFont="1" applyBorder="1" applyAlignment="1">
      <alignment horizontal="center" vertical="center"/>
    </xf>
    <xf numFmtId="0" fontId="13" fillId="0" borderId="5" xfId="0" applyFont="1" applyBorder="1" applyAlignment="1">
      <alignment horizontal="center" vertical="center"/>
    </xf>
    <xf numFmtId="0" fontId="15" fillId="0" borderId="6" xfId="0" applyFont="1" applyBorder="1" applyAlignment="1">
      <alignment horizontal="right" vertical="top" wrapText="1"/>
    </xf>
    <xf numFmtId="0" fontId="15" fillId="0" borderId="7" xfId="0" applyFont="1" applyBorder="1" applyAlignment="1">
      <alignment horizontal="right" vertical="top" wrapText="1"/>
    </xf>
    <xf numFmtId="0" fontId="15" fillId="0" borderId="8" xfId="0" applyFont="1" applyBorder="1" applyAlignment="1">
      <alignment horizontal="right" vertical="top" wrapText="1"/>
    </xf>
    <xf numFmtId="0" fontId="9" fillId="2" borderId="14" xfId="0" applyFont="1" applyFill="1" applyBorder="1" applyAlignment="1">
      <alignment horizontal="left" vertical="top"/>
    </xf>
    <xf numFmtId="0" fontId="13" fillId="0" borderId="2" xfId="0" applyFont="1" applyBorder="1" applyAlignment="1">
      <alignment horizontal="left" vertical="center" wrapText="1"/>
    </xf>
    <xf numFmtId="0" fontId="13" fillId="0" borderId="14" xfId="0" applyFont="1" applyBorder="1" applyAlignment="1">
      <alignment horizontal="center" vertical="center" wrapText="1"/>
    </xf>
    <xf numFmtId="0" fontId="13" fillId="0" borderId="5" xfId="0" applyFont="1" applyBorder="1" applyAlignment="1">
      <alignment horizontal="center" vertical="center" wrapText="1"/>
    </xf>
    <xf numFmtId="0" fontId="9" fillId="0" borderId="0" xfId="0" applyFont="1" applyAlignment="1">
      <alignment horizontal="left" wrapText="1"/>
    </xf>
    <xf numFmtId="0" fontId="9" fillId="0" borderId="2" xfId="0" applyFont="1" applyBorder="1" applyAlignment="1">
      <alignment horizontal="center" vertical="center"/>
    </xf>
    <xf numFmtId="0" fontId="10" fillId="0" borderId="12" xfId="0" applyFont="1" applyBorder="1" applyAlignment="1">
      <alignment horizontal="center"/>
    </xf>
    <xf numFmtId="0" fontId="10" fillId="0" borderId="2" xfId="0" applyFont="1" applyBorder="1" applyAlignment="1">
      <alignment horizontal="center"/>
    </xf>
    <xf numFmtId="0" fontId="9" fillId="2" borderId="6" xfId="0" applyFont="1" applyFill="1" applyBorder="1" applyAlignment="1">
      <alignment horizontal="left" vertical="top"/>
    </xf>
    <xf numFmtId="0" fontId="9" fillId="2" borderId="7" xfId="0" applyFont="1" applyFill="1" applyBorder="1" applyAlignment="1">
      <alignment horizontal="left" vertical="top"/>
    </xf>
    <xf numFmtId="0" fontId="9" fillId="2" borderId="8" xfId="0" applyFont="1" applyFill="1" applyBorder="1" applyAlignment="1">
      <alignment horizontal="left" vertical="top"/>
    </xf>
    <xf numFmtId="0" fontId="9" fillId="2" borderId="9" xfId="0" applyFont="1" applyFill="1" applyBorder="1" applyAlignment="1">
      <alignment horizontal="left" vertical="top"/>
    </xf>
    <xf numFmtId="0" fontId="9" fillId="2" borderId="0" xfId="0" applyFont="1" applyFill="1" applyAlignment="1">
      <alignment horizontal="left" vertical="top"/>
    </xf>
    <xf numFmtId="0" fontId="9" fillId="2" borderId="10" xfId="0" applyFont="1" applyFill="1" applyBorder="1" applyAlignment="1">
      <alignment horizontal="left" vertical="top"/>
    </xf>
    <xf numFmtId="0" fontId="9" fillId="2" borderId="11" xfId="0" applyFont="1" applyFill="1" applyBorder="1" applyAlignment="1">
      <alignment horizontal="left" vertical="top"/>
    </xf>
    <xf numFmtId="0" fontId="9" fillId="2" borderId="12" xfId="0" applyFont="1" applyFill="1" applyBorder="1" applyAlignment="1">
      <alignment horizontal="left" vertical="top"/>
    </xf>
    <xf numFmtId="0" fontId="9" fillId="2" borderId="13" xfId="0" applyFont="1" applyFill="1" applyBorder="1" applyAlignment="1">
      <alignment horizontal="left" vertical="top"/>
    </xf>
    <xf numFmtId="0" fontId="10" fillId="0" borderId="3" xfId="0" applyFont="1" applyBorder="1" applyAlignment="1">
      <alignment horizontal="left" vertical="top" wrapText="1"/>
    </xf>
    <xf numFmtId="0" fontId="10" fillId="0" borderId="4" xfId="0" applyFont="1" applyBorder="1" applyAlignment="1">
      <alignment horizontal="left" vertical="top" wrapText="1"/>
    </xf>
    <xf numFmtId="0" fontId="10" fillId="0" borderId="5" xfId="0" applyFont="1" applyBorder="1" applyAlignment="1">
      <alignment horizontal="left" vertical="top" wrapText="1"/>
    </xf>
    <xf numFmtId="0" fontId="9" fillId="2" borderId="6" xfId="0" applyFont="1" applyFill="1" applyBorder="1" applyAlignment="1">
      <alignment horizontal="left" vertical="top" wrapText="1"/>
    </xf>
    <xf numFmtId="0" fontId="9" fillId="2" borderId="7" xfId="0" applyFont="1" applyFill="1" applyBorder="1" applyAlignment="1">
      <alignment horizontal="left" vertical="top" wrapText="1"/>
    </xf>
    <xf numFmtId="0" fontId="9" fillId="2" borderId="8" xfId="0" applyFont="1" applyFill="1" applyBorder="1" applyAlignment="1">
      <alignment horizontal="left" vertical="top" wrapText="1"/>
    </xf>
    <xf numFmtId="0" fontId="9" fillId="2" borderId="9" xfId="0" applyFont="1" applyFill="1" applyBorder="1" applyAlignment="1">
      <alignment horizontal="left" vertical="top" wrapText="1"/>
    </xf>
    <xf numFmtId="0" fontId="9" fillId="2" borderId="0" xfId="0" applyFont="1" applyFill="1" applyAlignment="1">
      <alignment horizontal="left" vertical="top" wrapText="1"/>
    </xf>
    <xf numFmtId="0" fontId="9" fillId="2" borderId="10" xfId="0" applyFont="1" applyFill="1" applyBorder="1" applyAlignment="1">
      <alignment horizontal="left" vertical="top" wrapText="1"/>
    </xf>
    <xf numFmtId="0" fontId="9" fillId="2" borderId="11" xfId="0" applyFont="1" applyFill="1" applyBorder="1" applyAlignment="1">
      <alignment horizontal="left" vertical="top" wrapText="1"/>
    </xf>
    <xf numFmtId="0" fontId="9" fillId="2" borderId="12" xfId="0" applyFont="1" applyFill="1" applyBorder="1" applyAlignment="1">
      <alignment horizontal="left" vertical="top" wrapText="1"/>
    </xf>
    <xf numFmtId="0" fontId="9" fillId="2" borderId="13" xfId="0" applyFont="1" applyFill="1" applyBorder="1" applyAlignment="1">
      <alignment horizontal="left" vertical="top" wrapText="1"/>
    </xf>
    <xf numFmtId="14" fontId="18" fillId="0" borderId="12" xfId="0" applyNumberFormat="1" applyFont="1" applyBorder="1"/>
    <xf numFmtId="0" fontId="2" fillId="2" borderId="6" xfId="0" applyFont="1" applyFill="1" applyBorder="1" applyAlignment="1">
      <alignment horizontal="left"/>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90</c:v>
                </c:pt>
                <c:pt idx="1">
                  <c:v>90</c:v>
                </c:pt>
                <c:pt idx="2">
                  <c:v>90</c:v>
                </c:pt>
                <c:pt idx="3">
                  <c:v>90</c:v>
                </c:pt>
                <c:pt idx="4">
                  <c:v>90</c:v>
                </c:pt>
                <c:pt idx="5">
                  <c:v>90</c:v>
                </c:pt>
                <c:pt idx="6">
                  <c:v>90</c:v>
                </c:pt>
                <c:pt idx="7">
                  <c:v>90</c:v>
                </c:pt>
                <c:pt idx="8">
                  <c:v>90</c:v>
                </c:pt>
                <c:pt idx="9">
                  <c:v>90</c:v>
                </c:pt>
                <c:pt idx="10">
                  <c:v>90</c:v>
                </c:pt>
                <c:pt idx="11">
                  <c:v>90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1.7</c:v>
                </c:pt>
                <c:pt idx="1">
                  <c:v>1.1000000000000001</c:v>
                </c:pt>
                <c:pt idx="2">
                  <c:v>1.1000000000000001</c:v>
                </c:pt>
                <c:pt idx="3">
                  <c:v>1.1000000000000001</c:v>
                </c:pt>
                <c:pt idx="4">
                  <c:v>0.9</c:v>
                </c:pt>
                <c:pt idx="5">
                  <c:v>0.8</c:v>
                </c:pt>
                <c:pt idx="6">
                  <c:v>1.3</c:v>
                </c:pt>
                <c:pt idx="7">
                  <c:v>1.3</c:v>
                </c:pt>
                <c:pt idx="8">
                  <c:v>2.5</c:v>
                </c:pt>
                <c:pt idx="9">
                  <c:v>1</c:v>
                </c:pt>
                <c:pt idx="10">
                  <c:v>1</c:v>
                </c:pt>
                <c:pt idx="11">
                  <c:v>1</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123.9</c:v>
                </c:pt>
                <c:pt idx="1">
                  <c:v>12.8</c:v>
                </c:pt>
                <c:pt idx="2">
                  <c:v>3.1</c:v>
                </c:pt>
                <c:pt idx="3">
                  <c:v>2.8</c:v>
                </c:pt>
                <c:pt idx="4">
                  <c:v>1.3</c:v>
                </c:pt>
                <c:pt idx="5">
                  <c:v>1.6</c:v>
                </c:pt>
                <c:pt idx="6">
                  <c:v>2.9</c:v>
                </c:pt>
                <c:pt idx="7">
                  <c:v>2.5</c:v>
                </c:pt>
                <c:pt idx="8">
                  <c:v>6.2</c:v>
                </c:pt>
                <c:pt idx="9">
                  <c:v>2.2000000000000002</c:v>
                </c:pt>
                <c:pt idx="10">
                  <c:v>6.8</c:v>
                </c:pt>
                <c:pt idx="11">
                  <c:v>5</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15</c:v>
                </c:pt>
                <c:pt idx="1">
                  <c:v>15</c:v>
                </c:pt>
                <c:pt idx="2">
                  <c:v>15</c:v>
                </c:pt>
                <c:pt idx="3">
                  <c:v>15</c:v>
                </c:pt>
                <c:pt idx="4">
                  <c:v>15</c:v>
                </c:pt>
                <c:pt idx="5">
                  <c:v>15</c:v>
                </c:pt>
                <c:pt idx="6">
                  <c:v>15</c:v>
                </c:pt>
                <c:pt idx="7">
                  <c:v>15</c:v>
                </c:pt>
                <c:pt idx="8">
                  <c:v>15</c:v>
                </c:pt>
                <c:pt idx="9">
                  <c:v>15</c:v>
                </c:pt>
                <c:pt idx="10">
                  <c:v>15</c:v>
                </c:pt>
                <c:pt idx="11">
                  <c:v>15</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1.45</c:v>
                </c:pt>
                <c:pt idx="1">
                  <c:v>0.93</c:v>
                </c:pt>
                <c:pt idx="2">
                  <c:v>1.1200000000000001</c:v>
                </c:pt>
                <c:pt idx="3">
                  <c:v>1.08</c:v>
                </c:pt>
                <c:pt idx="4">
                  <c:v>0.9</c:v>
                </c:pt>
                <c:pt idx="5">
                  <c:v>0.81</c:v>
                </c:pt>
                <c:pt idx="6">
                  <c:v>1.24</c:v>
                </c:pt>
                <c:pt idx="7">
                  <c:v>1.28</c:v>
                </c:pt>
                <c:pt idx="8">
                  <c:v>2.48</c:v>
                </c:pt>
                <c:pt idx="9">
                  <c:v>1.04</c:v>
                </c:pt>
                <c:pt idx="10">
                  <c:v>1</c:v>
                </c:pt>
                <c:pt idx="11">
                  <c:v>0.96</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6.1</c:v>
                </c:pt>
                <c:pt idx="1">
                  <c:v>2.2999999999999998</c:v>
                </c:pt>
                <c:pt idx="2">
                  <c:v>2</c:v>
                </c:pt>
                <c:pt idx="3">
                  <c:v>1.7</c:v>
                </c:pt>
                <c:pt idx="4">
                  <c:v>1</c:v>
                </c:pt>
                <c:pt idx="5">
                  <c:v>1</c:v>
                </c:pt>
                <c:pt idx="6">
                  <c:v>2</c:v>
                </c:pt>
                <c:pt idx="7">
                  <c:v>1.8</c:v>
                </c:pt>
                <c:pt idx="8">
                  <c:v>4.5999999999999996</c:v>
                </c:pt>
                <c:pt idx="9">
                  <c:v>1.8</c:v>
                </c:pt>
                <c:pt idx="10">
                  <c:v>1.4</c:v>
                </c:pt>
                <c:pt idx="11">
                  <c:v>1.5</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9.6</c:v>
                </c:pt>
                <c:pt idx="1">
                  <c:v>8.4</c:v>
                </c:pt>
                <c:pt idx="2">
                  <c:v>8.6999999999999993</c:v>
                </c:pt>
                <c:pt idx="3">
                  <c:v>8.3000000000000007</c:v>
                </c:pt>
                <c:pt idx="4">
                  <c:v>7.9</c:v>
                </c:pt>
                <c:pt idx="5">
                  <c:v>7.8</c:v>
                </c:pt>
                <c:pt idx="6">
                  <c:v>8</c:v>
                </c:pt>
                <c:pt idx="7">
                  <c:v>8.1999999999999993</c:v>
                </c:pt>
                <c:pt idx="8">
                  <c:v>8.1</c:v>
                </c:pt>
                <c:pt idx="9">
                  <c:v>8.1999999999999993</c:v>
                </c:pt>
                <c:pt idx="10">
                  <c:v>8.6</c:v>
                </c:pt>
                <c:pt idx="11">
                  <c:v>8.1999999999999993</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351</c:v>
                </c:pt>
                <c:pt idx="1">
                  <c:v>32.1</c:v>
                </c:pt>
                <c:pt idx="2">
                  <c:v>57</c:v>
                </c:pt>
                <c:pt idx="3">
                  <c:v>45.3</c:v>
                </c:pt>
                <c:pt idx="4">
                  <c:v>15.6</c:v>
                </c:pt>
                <c:pt idx="5">
                  <c:v>27</c:v>
                </c:pt>
                <c:pt idx="6">
                  <c:v>33.4</c:v>
                </c:pt>
                <c:pt idx="7">
                  <c:v>23</c:v>
                </c:pt>
                <c:pt idx="8">
                  <c:v>56.2</c:v>
                </c:pt>
                <c:pt idx="9">
                  <c:v>34.1</c:v>
                </c:pt>
                <c:pt idx="10">
                  <c:v>63.1</c:v>
                </c:pt>
                <c:pt idx="11">
                  <c:v>17.7</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9.0500000000000007</c:v>
                </c:pt>
                <c:pt idx="1">
                  <c:v>8.4600000000000009</c:v>
                </c:pt>
                <c:pt idx="2">
                  <c:v>8.7100000000000009</c:v>
                </c:pt>
                <c:pt idx="3">
                  <c:v>8.39</c:v>
                </c:pt>
                <c:pt idx="4">
                  <c:v>7.92</c:v>
                </c:pt>
                <c:pt idx="5">
                  <c:v>8.08</c:v>
                </c:pt>
                <c:pt idx="6">
                  <c:v>8.18</c:v>
                </c:pt>
                <c:pt idx="7">
                  <c:v>8.16</c:v>
                </c:pt>
                <c:pt idx="8">
                  <c:v>8.14</c:v>
                </c:pt>
                <c:pt idx="9">
                  <c:v>8.27</c:v>
                </c:pt>
                <c:pt idx="10">
                  <c:v>8.6</c:v>
                </c:pt>
                <c:pt idx="11">
                  <c:v>8.23</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26.9</c:v>
                </c:pt>
                <c:pt idx="1">
                  <c:v>9.1</c:v>
                </c:pt>
                <c:pt idx="2">
                  <c:v>11.7</c:v>
                </c:pt>
                <c:pt idx="3">
                  <c:v>11.1</c:v>
                </c:pt>
                <c:pt idx="4">
                  <c:v>8.1999999999999993</c:v>
                </c:pt>
                <c:pt idx="5">
                  <c:v>9.1</c:v>
                </c:pt>
                <c:pt idx="6">
                  <c:v>8.6</c:v>
                </c:pt>
                <c:pt idx="7">
                  <c:v>8.6999999999999993</c:v>
                </c:pt>
                <c:pt idx="8">
                  <c:v>9.1999999999999993</c:v>
                </c:pt>
                <c:pt idx="9">
                  <c:v>9.3000000000000007</c:v>
                </c:pt>
                <c:pt idx="10">
                  <c:v>12.2</c:v>
                </c:pt>
                <c:pt idx="11">
                  <c:v>9.1999999999999993</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181.3</c:v>
                </c:pt>
                <c:pt idx="1">
                  <c:v>196.8</c:v>
                </c:pt>
                <c:pt idx="2">
                  <c:v>202.3</c:v>
                </c:pt>
                <c:pt idx="3">
                  <c:v>190</c:v>
                </c:pt>
                <c:pt idx="4">
                  <c:v>191.9</c:v>
                </c:pt>
                <c:pt idx="5">
                  <c:v>182.4</c:v>
                </c:pt>
                <c:pt idx="6">
                  <c:v>169.8</c:v>
                </c:pt>
                <c:pt idx="7">
                  <c:v>165.1</c:v>
                </c:pt>
                <c:pt idx="8">
                  <c:v>153.9</c:v>
                </c:pt>
                <c:pt idx="9">
                  <c:v>178.7</c:v>
                </c:pt>
                <c:pt idx="10">
                  <c:v>194.3</c:v>
                </c:pt>
                <c:pt idx="11">
                  <c:v>190.1</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256.89999999999998</c:v>
                </c:pt>
                <c:pt idx="1">
                  <c:v>296.10000000000002</c:v>
                </c:pt>
                <c:pt idx="2">
                  <c:v>337.9</c:v>
                </c:pt>
                <c:pt idx="3">
                  <c:v>384</c:v>
                </c:pt>
                <c:pt idx="4">
                  <c:v>263.7</c:v>
                </c:pt>
                <c:pt idx="5">
                  <c:v>262.8</c:v>
                </c:pt>
                <c:pt idx="6">
                  <c:v>255.4</c:v>
                </c:pt>
                <c:pt idx="7">
                  <c:v>247.6</c:v>
                </c:pt>
                <c:pt idx="8">
                  <c:v>222.5</c:v>
                </c:pt>
                <c:pt idx="9">
                  <c:v>290.7</c:v>
                </c:pt>
                <c:pt idx="10">
                  <c:v>462.5</c:v>
                </c:pt>
                <c:pt idx="11">
                  <c:v>254.6</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300</c:v>
                </c:pt>
                <c:pt idx="1">
                  <c:v>300</c:v>
                </c:pt>
                <c:pt idx="2">
                  <c:v>300</c:v>
                </c:pt>
                <c:pt idx="3">
                  <c:v>300</c:v>
                </c:pt>
                <c:pt idx="4">
                  <c:v>300</c:v>
                </c:pt>
                <c:pt idx="5">
                  <c:v>300</c:v>
                </c:pt>
                <c:pt idx="6">
                  <c:v>300</c:v>
                </c:pt>
                <c:pt idx="7">
                  <c:v>300</c:v>
                </c:pt>
                <c:pt idx="8">
                  <c:v>300</c:v>
                </c:pt>
                <c:pt idx="9">
                  <c:v>300</c:v>
                </c:pt>
                <c:pt idx="10">
                  <c:v>300</c:v>
                </c:pt>
                <c:pt idx="11">
                  <c:v>300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190.37</c:v>
                </c:pt>
                <c:pt idx="1">
                  <c:v>199.57</c:v>
                </c:pt>
                <c:pt idx="2">
                  <c:v>203.48</c:v>
                </c:pt>
                <c:pt idx="3">
                  <c:v>191.57</c:v>
                </c:pt>
                <c:pt idx="4">
                  <c:v>195.71</c:v>
                </c:pt>
                <c:pt idx="5">
                  <c:v>194.03</c:v>
                </c:pt>
                <c:pt idx="6">
                  <c:v>180.03</c:v>
                </c:pt>
                <c:pt idx="7">
                  <c:v>165.1</c:v>
                </c:pt>
                <c:pt idx="8">
                  <c:v>154.51</c:v>
                </c:pt>
                <c:pt idx="9">
                  <c:v>183.02</c:v>
                </c:pt>
                <c:pt idx="10">
                  <c:v>194.89</c:v>
                </c:pt>
                <c:pt idx="11">
                  <c:v>193.29</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209.2</c:v>
                </c:pt>
                <c:pt idx="1">
                  <c:v>208.3</c:v>
                </c:pt>
                <c:pt idx="2">
                  <c:v>211.8</c:v>
                </c:pt>
                <c:pt idx="3">
                  <c:v>240.7</c:v>
                </c:pt>
                <c:pt idx="4">
                  <c:v>200.7</c:v>
                </c:pt>
                <c:pt idx="5">
                  <c:v>198.3</c:v>
                </c:pt>
                <c:pt idx="6">
                  <c:v>199.4</c:v>
                </c:pt>
                <c:pt idx="7">
                  <c:v>247.6</c:v>
                </c:pt>
                <c:pt idx="8">
                  <c:v>196</c:v>
                </c:pt>
                <c:pt idx="9">
                  <c:v>202</c:v>
                </c:pt>
                <c:pt idx="10">
                  <c:v>214.7</c:v>
                </c:pt>
                <c:pt idx="11">
                  <c:v>197.5</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1.8</c:v>
                </c:pt>
                <c:pt idx="1">
                  <c:v>2.2999999999999998</c:v>
                </c:pt>
                <c:pt idx="2">
                  <c:v>2.5</c:v>
                </c:pt>
                <c:pt idx="3">
                  <c:v>1.7</c:v>
                </c:pt>
                <c:pt idx="4">
                  <c:v>1.7</c:v>
                </c:pt>
                <c:pt idx="5">
                  <c:v>1.6</c:v>
                </c:pt>
                <c:pt idx="6">
                  <c:v>1.3</c:v>
                </c:pt>
                <c:pt idx="7">
                  <c:v>1.7</c:v>
                </c:pt>
                <c:pt idx="8">
                  <c:v>1.7</c:v>
                </c:pt>
                <c:pt idx="9">
                  <c:v>2.5</c:v>
                </c:pt>
                <c:pt idx="10">
                  <c:v>2.5</c:v>
                </c:pt>
                <c:pt idx="11">
                  <c:v>2.5</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4.2</c:v>
                </c:pt>
                <c:pt idx="1">
                  <c:v>12.3</c:v>
                </c:pt>
                <c:pt idx="2">
                  <c:v>10.6</c:v>
                </c:pt>
                <c:pt idx="3">
                  <c:v>5</c:v>
                </c:pt>
                <c:pt idx="4">
                  <c:v>3.8</c:v>
                </c:pt>
                <c:pt idx="5">
                  <c:v>6.7</c:v>
                </c:pt>
                <c:pt idx="6">
                  <c:v>21.7</c:v>
                </c:pt>
                <c:pt idx="7">
                  <c:v>16.600000000000001</c:v>
                </c:pt>
                <c:pt idx="8">
                  <c:v>10.5</c:v>
                </c:pt>
                <c:pt idx="9">
                  <c:v>5.3</c:v>
                </c:pt>
                <c:pt idx="10">
                  <c:v>7.3</c:v>
                </c:pt>
                <c:pt idx="11">
                  <c:v>6.1</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15</c:v>
                </c:pt>
                <c:pt idx="1">
                  <c:v>15</c:v>
                </c:pt>
                <c:pt idx="2">
                  <c:v>15</c:v>
                </c:pt>
                <c:pt idx="3">
                  <c:v>15</c:v>
                </c:pt>
                <c:pt idx="4">
                  <c:v>15</c:v>
                </c:pt>
                <c:pt idx="5">
                  <c:v>15</c:v>
                </c:pt>
                <c:pt idx="6">
                  <c:v>15</c:v>
                </c:pt>
                <c:pt idx="7">
                  <c:v>15</c:v>
                </c:pt>
                <c:pt idx="8">
                  <c:v>15</c:v>
                </c:pt>
                <c:pt idx="9">
                  <c:v>15</c:v>
                </c:pt>
                <c:pt idx="10">
                  <c:v>15</c:v>
                </c:pt>
                <c:pt idx="11">
                  <c:v>15</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1.81</c:v>
                </c:pt>
                <c:pt idx="1">
                  <c:v>2.27</c:v>
                </c:pt>
                <c:pt idx="2">
                  <c:v>2.54</c:v>
                </c:pt>
                <c:pt idx="3">
                  <c:v>1.7</c:v>
                </c:pt>
                <c:pt idx="4">
                  <c:v>1.74</c:v>
                </c:pt>
                <c:pt idx="5">
                  <c:v>1.66</c:v>
                </c:pt>
                <c:pt idx="6">
                  <c:v>1.26</c:v>
                </c:pt>
                <c:pt idx="7">
                  <c:v>1.72</c:v>
                </c:pt>
                <c:pt idx="8">
                  <c:v>1.68</c:v>
                </c:pt>
                <c:pt idx="9">
                  <c:v>2.4900000000000002</c:v>
                </c:pt>
                <c:pt idx="10">
                  <c:v>2.52</c:v>
                </c:pt>
                <c:pt idx="11">
                  <c:v>2.5499999999999998</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2.2999999999999998</c:v>
                </c:pt>
                <c:pt idx="1">
                  <c:v>2.6</c:v>
                </c:pt>
                <c:pt idx="2">
                  <c:v>3.6</c:v>
                </c:pt>
                <c:pt idx="3">
                  <c:v>2.2999999999999998</c:v>
                </c:pt>
                <c:pt idx="4">
                  <c:v>2</c:v>
                </c:pt>
                <c:pt idx="5">
                  <c:v>2.1</c:v>
                </c:pt>
                <c:pt idx="6">
                  <c:v>1.7</c:v>
                </c:pt>
                <c:pt idx="7">
                  <c:v>2.2000000000000002</c:v>
                </c:pt>
                <c:pt idx="8">
                  <c:v>2.1</c:v>
                </c:pt>
                <c:pt idx="9">
                  <c:v>3.3</c:v>
                </c:pt>
                <c:pt idx="10">
                  <c:v>3.9</c:v>
                </c:pt>
                <c:pt idx="11">
                  <c:v>3.4</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45</c:v>
                </c:pt>
                <c:pt idx="1">
                  <c:v>45</c:v>
                </c:pt>
                <c:pt idx="2">
                  <c:v>45</c:v>
                </c:pt>
                <c:pt idx="3">
                  <c:v>45</c:v>
                </c:pt>
                <c:pt idx="4">
                  <c:v>45</c:v>
                </c:pt>
                <c:pt idx="5">
                  <c:v>45</c:v>
                </c:pt>
                <c:pt idx="6">
                  <c:v>45</c:v>
                </c:pt>
                <c:pt idx="7">
                  <c:v>45</c:v>
                </c:pt>
                <c:pt idx="8">
                  <c:v>45</c:v>
                </c:pt>
                <c:pt idx="9">
                  <c:v>45</c:v>
                </c:pt>
                <c:pt idx="10">
                  <c:v>45</c:v>
                </c:pt>
                <c:pt idx="11">
                  <c:v>45</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3.1</c:v>
                </c:pt>
                <c:pt idx="1">
                  <c:v>0.9</c:v>
                </c:pt>
                <c:pt idx="2">
                  <c:v>0.8</c:v>
                </c:pt>
                <c:pt idx="3">
                  <c:v>1.3</c:v>
                </c:pt>
                <c:pt idx="4">
                  <c:v>0.7</c:v>
                </c:pt>
                <c:pt idx="5">
                  <c:v>1.5</c:v>
                </c:pt>
                <c:pt idx="6">
                  <c:v>1.8</c:v>
                </c:pt>
                <c:pt idx="7">
                  <c:v>2.2000000000000002</c:v>
                </c:pt>
                <c:pt idx="8">
                  <c:v>1.7</c:v>
                </c:pt>
                <c:pt idx="9">
                  <c:v>1.9</c:v>
                </c:pt>
                <c:pt idx="10">
                  <c:v>1.4</c:v>
                </c:pt>
                <c:pt idx="11">
                  <c:v>1.4</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117.1</c:v>
                </c:pt>
                <c:pt idx="1">
                  <c:v>37.6</c:v>
                </c:pt>
                <c:pt idx="2">
                  <c:v>26.4</c:v>
                </c:pt>
                <c:pt idx="3">
                  <c:v>54</c:v>
                </c:pt>
                <c:pt idx="4">
                  <c:v>16.600000000000001</c:v>
                </c:pt>
                <c:pt idx="5">
                  <c:v>114.3</c:v>
                </c:pt>
                <c:pt idx="6">
                  <c:v>64.400000000000006</c:v>
                </c:pt>
                <c:pt idx="7">
                  <c:v>36.6</c:v>
                </c:pt>
                <c:pt idx="8">
                  <c:v>31.8</c:v>
                </c:pt>
                <c:pt idx="9">
                  <c:v>55.6</c:v>
                </c:pt>
                <c:pt idx="10">
                  <c:v>126.6</c:v>
                </c:pt>
                <c:pt idx="11">
                  <c:v>20.5</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15</c:v>
                </c:pt>
                <c:pt idx="1">
                  <c:v>15</c:v>
                </c:pt>
                <c:pt idx="2">
                  <c:v>15</c:v>
                </c:pt>
                <c:pt idx="3">
                  <c:v>15</c:v>
                </c:pt>
                <c:pt idx="4">
                  <c:v>15</c:v>
                </c:pt>
                <c:pt idx="5">
                  <c:v>15</c:v>
                </c:pt>
                <c:pt idx="6">
                  <c:v>15</c:v>
                </c:pt>
                <c:pt idx="7">
                  <c:v>15</c:v>
                </c:pt>
                <c:pt idx="8">
                  <c:v>15</c:v>
                </c:pt>
                <c:pt idx="9">
                  <c:v>15</c:v>
                </c:pt>
                <c:pt idx="10">
                  <c:v>15</c:v>
                </c:pt>
                <c:pt idx="11">
                  <c:v>15</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1.82</c:v>
                </c:pt>
                <c:pt idx="1">
                  <c:v>0.79</c:v>
                </c:pt>
                <c:pt idx="2">
                  <c:v>1.47</c:v>
                </c:pt>
                <c:pt idx="3">
                  <c:v>1.24</c:v>
                </c:pt>
                <c:pt idx="4">
                  <c:v>0.68</c:v>
                </c:pt>
                <c:pt idx="5">
                  <c:v>1.02</c:v>
                </c:pt>
                <c:pt idx="6">
                  <c:v>1.27</c:v>
                </c:pt>
                <c:pt idx="7">
                  <c:v>2.2200000000000002</c:v>
                </c:pt>
                <c:pt idx="8">
                  <c:v>1.63</c:v>
                </c:pt>
                <c:pt idx="9">
                  <c:v>1.8</c:v>
                </c:pt>
                <c:pt idx="10">
                  <c:v>1.38</c:v>
                </c:pt>
                <c:pt idx="11">
                  <c:v>1.29</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13.6</c:v>
                </c:pt>
                <c:pt idx="1">
                  <c:v>2</c:v>
                </c:pt>
                <c:pt idx="2">
                  <c:v>4.8</c:v>
                </c:pt>
                <c:pt idx="3">
                  <c:v>7.4</c:v>
                </c:pt>
                <c:pt idx="4">
                  <c:v>1.3</c:v>
                </c:pt>
                <c:pt idx="5">
                  <c:v>1.6</c:v>
                </c:pt>
                <c:pt idx="6">
                  <c:v>2.6</c:v>
                </c:pt>
                <c:pt idx="7">
                  <c:v>7.1</c:v>
                </c:pt>
                <c:pt idx="8">
                  <c:v>5</c:v>
                </c:pt>
                <c:pt idx="9">
                  <c:v>6.7</c:v>
                </c:pt>
                <c:pt idx="10">
                  <c:v>5.5</c:v>
                </c:pt>
                <c:pt idx="11">
                  <c:v>4.2</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5041612956"/>
          <c:y val="3.2881021451265958E-2"/>
          <c:w val="0.7236317969478907"/>
          <c:h val="0.67391304347826086"/>
        </c:manualLayout>
      </c:layout>
      <c:lineChart>
        <c:grouping val="standard"/>
        <c:varyColors val="0"/>
        <c:ser>
          <c:idx val="0"/>
          <c:order val="0"/>
          <c:tx>
            <c:strRef>
              <c:f>'CO &amp; CO 95% 10 min'!$B$6</c:f>
              <c:strCache>
                <c:ptCount val="1"/>
                <c:pt idx="0">
                  <c:v>95%ile 10-min avg CO ELV</c:v>
                </c:pt>
              </c:strCache>
            </c:strRef>
          </c:tx>
          <c:spPr>
            <a:ln>
              <a:prstDash val="dash"/>
            </a:ln>
          </c:spPr>
          <c:marker>
            <c:symbol val="none"/>
          </c:marker>
          <c:cat>
            <c:strRef>
              <c:f>'CO &amp; 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&amp; 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&amp; CO 95% 10 min'!$C$6</c:f>
              <c:strCache>
                <c:ptCount val="1"/>
                <c:pt idx="0">
                  <c:v>95%ile 10-min avg maximum</c:v>
                </c:pt>
              </c:strCache>
            </c:strRef>
          </c:tx>
          <c:spPr>
            <a:ln w="15875"/>
          </c:spPr>
          <c:marker>
            <c:symbol val="none"/>
          </c:marker>
          <c:cat>
            <c:strRef>
              <c:f>'CO &amp; 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&amp; CO 95% 10 min'!$C$7:$C$18</c:f>
              <c:numCache>
                <c:formatCode>General</c:formatCode>
                <c:ptCount val="12"/>
                <c:pt idx="0">
                  <c:v>116.8</c:v>
                </c:pt>
                <c:pt idx="1">
                  <c:v>123</c:v>
                </c:pt>
                <c:pt idx="2">
                  <c:v>76.2</c:v>
                </c:pt>
                <c:pt idx="3">
                  <c:v>72.599999999999994</c:v>
                </c:pt>
                <c:pt idx="4">
                  <c:v>85.5</c:v>
                </c:pt>
                <c:pt idx="5">
                  <c:v>71.7</c:v>
                </c:pt>
                <c:pt idx="6">
                  <c:v>95.4</c:v>
                </c:pt>
                <c:pt idx="7">
                  <c:v>123.7</c:v>
                </c:pt>
                <c:pt idx="8">
                  <c:v>127.6</c:v>
                </c:pt>
                <c:pt idx="9">
                  <c:v>112.9</c:v>
                </c:pt>
                <c:pt idx="10">
                  <c:v>108</c:v>
                </c:pt>
                <c:pt idx="11">
                  <c:v>134.69999999999999</c:v>
                </c:pt>
              </c:numCache>
            </c:numRef>
          </c:val>
          <c:smooth val="0"/>
          <c:extLst>
            <c:ext xmlns:c16="http://schemas.microsoft.com/office/drawing/2014/chart" uri="{C3380CC4-5D6E-409C-BE32-E72D297353CC}">
              <c16:uniqueId val="{00000001-9B29-4869-8D9E-3E39E3B46BDD}"/>
            </c:ext>
          </c:extLst>
        </c:ser>
        <c:ser>
          <c:idx val="2"/>
          <c:order val="2"/>
          <c:tx>
            <c:strRef>
              <c:f>'CO &amp; CO 95% 10 min'!$E$6</c:f>
              <c:strCache>
                <c:ptCount val="1"/>
                <c:pt idx="0">
                  <c:v>10-min avg maximum</c:v>
                </c:pt>
              </c:strCache>
            </c:strRef>
          </c:tx>
          <c:spPr>
            <a:ln>
              <a:noFill/>
            </a:ln>
          </c:spPr>
          <c:marker>
            <c:symbol val="square"/>
            <c:size val="5"/>
          </c:marker>
          <c:cat>
            <c:strRef>
              <c:f>'CO &amp; 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&amp; CO 95% 10 min'!$E$7:$E$18</c:f>
              <c:numCache>
                <c:formatCode>General</c:formatCode>
                <c:ptCount val="12"/>
                <c:pt idx="0">
                  <c:v>659.9</c:v>
                </c:pt>
                <c:pt idx="1">
                  <c:v>524.6</c:v>
                </c:pt>
                <c:pt idx="2">
                  <c:v>360.3</c:v>
                </c:pt>
                <c:pt idx="3">
                  <c:v>549.1</c:v>
                </c:pt>
                <c:pt idx="4">
                  <c:v>225</c:v>
                </c:pt>
                <c:pt idx="5">
                  <c:v>1134.0999999999999</c:v>
                </c:pt>
                <c:pt idx="6">
                  <c:v>1239.4000000000001</c:v>
                </c:pt>
                <c:pt idx="7">
                  <c:v>1145</c:v>
                </c:pt>
                <c:pt idx="8">
                  <c:v>942.3</c:v>
                </c:pt>
                <c:pt idx="9">
                  <c:v>452.9</c:v>
                </c:pt>
                <c:pt idx="10">
                  <c:v>1254.2</c:v>
                </c:pt>
                <c:pt idx="11">
                  <c:v>1322.5</c:v>
                </c:pt>
              </c:numCache>
            </c:numRef>
          </c:val>
          <c:smooth val="0"/>
          <c:extLst>
            <c:ext xmlns:c16="http://schemas.microsoft.com/office/drawing/2014/chart" uri="{C3380CC4-5D6E-409C-BE32-E72D297353CC}">
              <c16:uniqueId val="{00000002-9B29-4869-8D9E-3E39E3B46BDD}"/>
            </c:ext>
          </c:extLst>
        </c:ser>
        <c:ser>
          <c:idx val="3"/>
          <c:order val="3"/>
          <c:tx>
            <c:strRef>
              <c:f>'CO &amp; CO 95% 10 min'!$F$6</c:f>
              <c:strCache>
                <c:ptCount val="1"/>
                <c:pt idx="0">
                  <c:v>Daily CO ELV</c:v>
                </c:pt>
              </c:strCache>
            </c:strRef>
          </c:tx>
          <c:spPr>
            <a:ln>
              <a:prstDash val="dash"/>
            </a:ln>
          </c:spPr>
          <c:marker>
            <c:symbol val="none"/>
          </c:marker>
          <c:cat>
            <c:strRef>
              <c:f>'CO &amp; 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&amp; CO 95% 10 min'!$F$7:$F$18</c:f>
              <c:numCache>
                <c:formatCode>General</c:formatCode>
                <c:ptCount val="12"/>
                <c:pt idx="0">
                  <c:v>75</c:v>
                </c:pt>
                <c:pt idx="1">
                  <c:v>75</c:v>
                </c:pt>
                <c:pt idx="2">
                  <c:v>75</c:v>
                </c:pt>
                <c:pt idx="3">
                  <c:v>75</c:v>
                </c:pt>
                <c:pt idx="4">
                  <c:v>75</c:v>
                </c:pt>
                <c:pt idx="5">
                  <c:v>75</c:v>
                </c:pt>
                <c:pt idx="6">
                  <c:v>75</c:v>
                </c:pt>
                <c:pt idx="7">
                  <c:v>75</c:v>
                </c:pt>
                <c:pt idx="8">
                  <c:v>75</c:v>
                </c:pt>
                <c:pt idx="9">
                  <c:v>75</c:v>
                </c:pt>
                <c:pt idx="10">
                  <c:v>75</c:v>
                </c:pt>
                <c:pt idx="11">
                  <c:v>75</c:v>
                </c:pt>
              </c:numCache>
            </c:numRef>
          </c:val>
          <c:smooth val="0"/>
          <c:extLst>
            <c:ext xmlns:c16="http://schemas.microsoft.com/office/drawing/2014/chart" uri="{C3380CC4-5D6E-409C-BE32-E72D297353CC}">
              <c16:uniqueId val="{00000003-9B29-4869-8D9E-3E39E3B46BDD}"/>
            </c:ext>
          </c:extLst>
        </c:ser>
        <c:ser>
          <c:idx val="4"/>
          <c:order val="4"/>
          <c:tx>
            <c:strRef>
              <c:f>'CO &amp; CO 95% 10 min'!$G$6</c:f>
              <c:strCache>
                <c:ptCount val="1"/>
                <c:pt idx="0">
                  <c:v>Monthly daily mean</c:v>
                </c:pt>
              </c:strCache>
            </c:strRef>
          </c:tx>
          <c:spPr>
            <a:ln w="15875">
              <a:prstDash val="dash"/>
            </a:ln>
          </c:spPr>
          <c:marker>
            <c:symbol val="none"/>
          </c:marker>
          <c:cat>
            <c:strRef>
              <c:f>'CO &amp; 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&amp; CO 95% 10 min'!$G$7:$G$18</c:f>
              <c:numCache>
                <c:formatCode>General</c:formatCode>
                <c:ptCount val="12"/>
                <c:pt idx="0">
                  <c:v>33.96</c:v>
                </c:pt>
                <c:pt idx="1">
                  <c:v>26.33</c:v>
                </c:pt>
                <c:pt idx="2">
                  <c:v>25.66</c:v>
                </c:pt>
                <c:pt idx="3">
                  <c:v>27.22</c:v>
                </c:pt>
                <c:pt idx="4">
                  <c:v>22.11</c:v>
                </c:pt>
                <c:pt idx="5">
                  <c:v>27.85</c:v>
                </c:pt>
                <c:pt idx="6">
                  <c:v>35.06</c:v>
                </c:pt>
                <c:pt idx="7">
                  <c:v>37.619999999999997</c:v>
                </c:pt>
                <c:pt idx="8">
                  <c:v>33.57</c:v>
                </c:pt>
                <c:pt idx="9">
                  <c:v>38.31</c:v>
                </c:pt>
                <c:pt idx="10">
                  <c:v>37.69</c:v>
                </c:pt>
                <c:pt idx="11">
                  <c:v>37.5</c:v>
                </c:pt>
              </c:numCache>
            </c:numRef>
          </c:val>
          <c:smooth val="0"/>
          <c:extLst>
            <c:ext xmlns:c16="http://schemas.microsoft.com/office/drawing/2014/chart" uri="{C3380CC4-5D6E-409C-BE32-E72D297353CC}">
              <c16:uniqueId val="{00000004-9B29-4869-8D9E-3E39E3B46BDD}"/>
            </c:ext>
          </c:extLst>
        </c:ser>
        <c:ser>
          <c:idx val="5"/>
          <c:order val="5"/>
          <c:tx>
            <c:strRef>
              <c:f>'CO &amp; CO 95% 10 min'!$H$6</c:f>
              <c:strCache>
                <c:ptCount val="1"/>
                <c:pt idx="0">
                  <c:v>Highest daily maximum</c:v>
                </c:pt>
              </c:strCache>
            </c:strRef>
          </c:tx>
          <c:spPr>
            <a:ln w="12700">
              <a:noFill/>
              <a:prstDash val="solid"/>
            </a:ln>
          </c:spPr>
          <c:marker>
            <c:symbol val="triangle"/>
            <c:size val="5"/>
          </c:marker>
          <c:cat>
            <c:strRef>
              <c:f>'CO &amp; 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&amp; CO 95% 10 min'!$H$7:$H$18</c:f>
              <c:numCache>
                <c:formatCode>General</c:formatCode>
                <c:ptCount val="12"/>
                <c:pt idx="0">
                  <c:v>51.6</c:v>
                </c:pt>
                <c:pt idx="1">
                  <c:v>40.5</c:v>
                </c:pt>
                <c:pt idx="2">
                  <c:v>34.700000000000003</c:v>
                </c:pt>
                <c:pt idx="3">
                  <c:v>44.9</c:v>
                </c:pt>
                <c:pt idx="4">
                  <c:v>36.5</c:v>
                </c:pt>
                <c:pt idx="5">
                  <c:v>40.799999999999997</c:v>
                </c:pt>
                <c:pt idx="6">
                  <c:v>61.9</c:v>
                </c:pt>
                <c:pt idx="7">
                  <c:v>58.8</c:v>
                </c:pt>
                <c:pt idx="8">
                  <c:v>51.6</c:v>
                </c:pt>
                <c:pt idx="9">
                  <c:v>49.4</c:v>
                </c:pt>
                <c:pt idx="10">
                  <c:v>53.6</c:v>
                </c:pt>
                <c:pt idx="11">
                  <c:v>50.7</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1.4</c:v>
                </c:pt>
                <c:pt idx="1">
                  <c:v>2.1</c:v>
                </c:pt>
                <c:pt idx="2">
                  <c:v>0.6</c:v>
                </c:pt>
                <c:pt idx="3">
                  <c:v>0.5</c:v>
                </c:pt>
                <c:pt idx="4">
                  <c:v>0.5</c:v>
                </c:pt>
                <c:pt idx="5">
                  <c:v>0.6</c:v>
                </c:pt>
                <c:pt idx="6">
                  <c:v>0.7</c:v>
                </c:pt>
                <c:pt idx="7">
                  <c:v>0.6</c:v>
                </c:pt>
                <c:pt idx="8">
                  <c:v>0.4</c:v>
                </c:pt>
                <c:pt idx="9">
                  <c:v>0.5</c:v>
                </c:pt>
                <c:pt idx="10">
                  <c:v>0.3</c:v>
                </c:pt>
                <c:pt idx="11">
                  <c:v>0.7</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58.2</c:v>
                </c:pt>
                <c:pt idx="1">
                  <c:v>97.3</c:v>
                </c:pt>
                <c:pt idx="2">
                  <c:v>3.1</c:v>
                </c:pt>
                <c:pt idx="3">
                  <c:v>8</c:v>
                </c:pt>
                <c:pt idx="4">
                  <c:v>23.7</c:v>
                </c:pt>
                <c:pt idx="5">
                  <c:v>75.3</c:v>
                </c:pt>
                <c:pt idx="6">
                  <c:v>39.6</c:v>
                </c:pt>
                <c:pt idx="7">
                  <c:v>24.8</c:v>
                </c:pt>
                <c:pt idx="8">
                  <c:v>6.6</c:v>
                </c:pt>
                <c:pt idx="9">
                  <c:v>48.4</c:v>
                </c:pt>
                <c:pt idx="10">
                  <c:v>5.2</c:v>
                </c:pt>
                <c:pt idx="11">
                  <c:v>18.3</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1.1000000000000001</c:v>
                </c:pt>
                <c:pt idx="1">
                  <c:v>1.75</c:v>
                </c:pt>
                <c:pt idx="2">
                  <c:v>0.57999999999999996</c:v>
                </c:pt>
                <c:pt idx="3">
                  <c:v>0.49</c:v>
                </c:pt>
                <c:pt idx="4">
                  <c:v>0.33</c:v>
                </c:pt>
                <c:pt idx="5">
                  <c:v>0.3</c:v>
                </c:pt>
                <c:pt idx="6">
                  <c:v>0.37</c:v>
                </c:pt>
                <c:pt idx="7">
                  <c:v>0.61</c:v>
                </c:pt>
                <c:pt idx="8">
                  <c:v>0.38</c:v>
                </c:pt>
                <c:pt idx="9">
                  <c:v>0.32</c:v>
                </c:pt>
                <c:pt idx="10">
                  <c:v>0.32</c:v>
                </c:pt>
                <c:pt idx="11">
                  <c:v>0.56000000000000005</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3.2</c:v>
                </c:pt>
                <c:pt idx="1">
                  <c:v>3.2</c:v>
                </c:pt>
                <c:pt idx="2">
                  <c:v>1.6</c:v>
                </c:pt>
                <c:pt idx="3">
                  <c:v>1</c:v>
                </c:pt>
                <c:pt idx="4">
                  <c:v>0.4</c:v>
                </c:pt>
                <c:pt idx="5">
                  <c:v>0.4</c:v>
                </c:pt>
                <c:pt idx="6">
                  <c:v>1.2</c:v>
                </c:pt>
                <c:pt idx="7">
                  <c:v>2.9</c:v>
                </c:pt>
                <c:pt idx="8">
                  <c:v>1.7</c:v>
                </c:pt>
                <c:pt idx="9">
                  <c:v>0.7</c:v>
                </c:pt>
                <c:pt idx="10">
                  <c:v>0.5</c:v>
                </c:pt>
                <c:pt idx="11">
                  <c:v>1.2</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438150</xdr:colOff>
          <xdr:row>8</xdr:row>
          <xdr:rowOff>114300</xdr:rowOff>
        </xdr:from>
        <xdr:to>
          <xdr:col>15</xdr:col>
          <xdr:colOff>285750</xdr:colOff>
          <xdr:row>11</xdr:row>
          <xdr:rowOff>19050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5</xdr:row>
          <xdr:rowOff>104775</xdr:rowOff>
        </xdr:from>
        <xdr:to>
          <xdr:col>15</xdr:col>
          <xdr:colOff>295275</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3</xdr:col>
      <xdr:colOff>371475</xdr:colOff>
      <xdr:row>0</xdr:row>
      <xdr:rowOff>1</xdr:rowOff>
    </xdr:from>
    <xdr:to>
      <xdr:col>6</xdr:col>
      <xdr:colOff>228600</xdr:colOff>
      <xdr:row>6</xdr:row>
      <xdr:rowOff>11759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2581275" y="1"/>
          <a:ext cx="1714500" cy="1154758"/>
        </a:xfrm>
        <a:prstGeom prst="rect">
          <a:avLst/>
        </a:prstGeom>
      </xdr:spPr>
    </xdr:pic>
    <xdr:clientData/>
  </xdr:twoCellAnchor>
  <xdr:twoCellAnchor editAs="oneCell">
    <xdr:from>
      <xdr:col>1</xdr:col>
      <xdr:colOff>19050</xdr:colOff>
      <xdr:row>6</xdr:row>
      <xdr:rowOff>142876</xdr:rowOff>
    </xdr:from>
    <xdr:to>
      <xdr:col>8</xdr:col>
      <xdr:colOff>628649</xdr:colOff>
      <xdr:row>24</xdr:row>
      <xdr:rowOff>615</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8175" y="1285876"/>
          <a:ext cx="5295899" cy="32962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richardlaxton@jgpears.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showGridLines="0" tabSelected="1" zoomScaleNormal="100" workbookViewId="0">
      <selection activeCell="S10" sqref="S10"/>
    </sheetView>
  </sheetViews>
  <sheetFormatPr defaultColWidth="9.28515625" defaultRowHeight="15" x14ac:dyDescent="0.2"/>
  <cols>
    <col min="1" max="1" width="9.28515625" style="2" customWidth="1"/>
    <col min="2" max="2" width="14.5703125" style="2" bestFit="1" customWidth="1"/>
    <col min="3" max="8" width="9.28515625" style="2"/>
    <col min="9" max="9" width="12.140625" style="2" customWidth="1"/>
    <col min="10" max="10" width="11.5703125" style="2" customWidth="1"/>
    <col min="11" max="14" width="9.28515625" style="2"/>
    <col min="15" max="15" width="9.28515625" style="2" customWidth="1"/>
    <col min="16" max="16384" width="9.28515625" style="2"/>
  </cols>
  <sheetData>
    <row r="1" spans="2:16" x14ac:dyDescent="0.2">
      <c r="D1" s="192" t="s">
        <v>8</v>
      </c>
      <c r="E1" s="192"/>
      <c r="F1" s="192"/>
      <c r="G1" s="192"/>
    </row>
    <row r="2" spans="2:16" x14ac:dyDescent="0.2">
      <c r="D2" s="192"/>
      <c r="E2" s="192"/>
      <c r="F2" s="192"/>
      <c r="G2" s="192"/>
      <c r="N2" s="161" t="s">
        <v>355</v>
      </c>
      <c r="P2" s="146"/>
    </row>
    <row r="3" spans="2:16" x14ac:dyDescent="0.2">
      <c r="D3" s="192"/>
      <c r="E3" s="192"/>
      <c r="F3" s="192"/>
      <c r="G3" s="192"/>
      <c r="N3" s="146"/>
    </row>
    <row r="4" spans="2:16" x14ac:dyDescent="0.2">
      <c r="D4" s="192"/>
      <c r="E4" s="192"/>
      <c r="F4" s="192"/>
      <c r="G4" s="192"/>
    </row>
    <row r="5" spans="2:16" x14ac:dyDescent="0.2">
      <c r="D5" s="192"/>
      <c r="E5" s="192"/>
      <c r="F5" s="192"/>
      <c r="G5" s="192"/>
    </row>
    <row r="6" spans="2:16" x14ac:dyDescent="0.2">
      <c r="D6" s="192"/>
      <c r="E6" s="192"/>
      <c r="F6" s="192"/>
      <c r="G6" s="192"/>
    </row>
    <row r="8" spans="2:16" ht="15.75" customHeight="1" x14ac:dyDescent="0.2">
      <c r="B8" s="193" t="s">
        <v>9</v>
      </c>
      <c r="C8" s="193"/>
      <c r="D8" s="193"/>
      <c r="E8" s="193"/>
      <c r="F8" s="193"/>
      <c r="G8" s="193"/>
      <c r="H8" s="193"/>
      <c r="I8" s="193"/>
      <c r="N8" s="125"/>
    </row>
    <row r="9" spans="2:16" x14ac:dyDescent="0.2">
      <c r="B9" s="193"/>
      <c r="C9" s="193"/>
      <c r="D9" s="193"/>
      <c r="E9" s="193"/>
      <c r="F9" s="193"/>
      <c r="G9" s="193"/>
      <c r="H9" s="193"/>
      <c r="I9" s="193"/>
    </row>
    <row r="10" spans="2:16" x14ac:dyDescent="0.2">
      <c r="B10" s="193"/>
      <c r="C10" s="193"/>
      <c r="D10" s="193"/>
      <c r="E10" s="193"/>
      <c r="F10" s="193"/>
      <c r="G10" s="193"/>
      <c r="H10" s="193"/>
      <c r="I10" s="193"/>
    </row>
    <row r="11" spans="2:16" x14ac:dyDescent="0.2">
      <c r="B11" s="193"/>
      <c r="C11" s="193"/>
      <c r="D11" s="193"/>
      <c r="E11" s="193"/>
      <c r="F11" s="193"/>
      <c r="G11" s="193"/>
      <c r="H11" s="193"/>
      <c r="I11" s="193"/>
    </row>
    <row r="12" spans="2:16" x14ac:dyDescent="0.2">
      <c r="B12" s="193"/>
      <c r="C12" s="193"/>
      <c r="D12" s="193"/>
      <c r="E12" s="193"/>
      <c r="F12" s="193"/>
      <c r="G12" s="193"/>
      <c r="H12" s="193"/>
      <c r="I12" s="193"/>
    </row>
    <row r="13" spans="2:16" x14ac:dyDescent="0.2">
      <c r="B13" s="193"/>
      <c r="C13" s="193"/>
      <c r="D13" s="193"/>
      <c r="E13" s="193"/>
      <c r="F13" s="193"/>
      <c r="G13" s="193"/>
      <c r="H13" s="193"/>
      <c r="I13" s="193"/>
      <c r="N13" s="131" t="s">
        <v>290</v>
      </c>
      <c r="O13" s="129"/>
      <c r="P13" s="129"/>
    </row>
    <row r="14" spans="2:16" ht="15.6" customHeight="1" x14ac:dyDescent="0.2">
      <c r="B14" s="193"/>
      <c r="C14" s="193"/>
      <c r="D14" s="193"/>
      <c r="E14" s="193"/>
      <c r="F14" s="193"/>
      <c r="G14" s="193"/>
      <c r="H14" s="193"/>
      <c r="I14" s="193"/>
      <c r="N14" s="191" t="s">
        <v>294</v>
      </c>
      <c r="O14" s="191"/>
      <c r="P14" s="191"/>
    </row>
    <row r="15" spans="2:16" x14ac:dyDescent="0.2">
      <c r="B15" s="193"/>
      <c r="C15" s="193"/>
      <c r="D15" s="193"/>
      <c r="E15" s="193"/>
      <c r="F15" s="193"/>
      <c r="G15" s="193"/>
      <c r="H15" s="193"/>
      <c r="I15" s="193"/>
      <c r="N15" s="191"/>
      <c r="O15" s="191"/>
      <c r="P15" s="191"/>
    </row>
    <row r="16" spans="2:16" x14ac:dyDescent="0.2">
      <c r="B16" s="193"/>
      <c r="C16" s="193"/>
      <c r="D16" s="193"/>
      <c r="E16" s="193"/>
      <c r="F16" s="193"/>
      <c r="G16" s="193"/>
      <c r="H16" s="193"/>
      <c r="I16" s="193"/>
      <c r="N16" s="191"/>
      <c r="O16" s="191"/>
      <c r="P16" s="191"/>
    </row>
    <row r="17" spans="2:16" x14ac:dyDescent="0.2">
      <c r="B17" s="193"/>
      <c r="C17" s="193"/>
      <c r="D17" s="193"/>
      <c r="E17" s="193"/>
      <c r="F17" s="193"/>
      <c r="G17" s="193"/>
      <c r="H17" s="193"/>
      <c r="I17" s="193"/>
      <c r="N17" s="191"/>
      <c r="O17" s="191"/>
      <c r="P17" s="191"/>
    </row>
    <row r="18" spans="2:16" x14ac:dyDescent="0.2">
      <c r="B18" s="193"/>
      <c r="C18" s="193"/>
      <c r="D18" s="193"/>
      <c r="E18" s="193"/>
      <c r="F18" s="193"/>
      <c r="G18" s="193"/>
      <c r="H18" s="193"/>
      <c r="I18" s="193"/>
      <c r="N18" s="191"/>
      <c r="O18" s="191"/>
      <c r="P18" s="191"/>
    </row>
    <row r="19" spans="2:16" x14ac:dyDescent="0.2">
      <c r="B19" s="193"/>
      <c r="C19" s="193"/>
      <c r="D19" s="193"/>
      <c r="E19" s="193"/>
      <c r="F19" s="193"/>
      <c r="G19" s="193"/>
      <c r="H19" s="193"/>
      <c r="I19" s="193"/>
      <c r="N19" s="191"/>
      <c r="O19" s="191"/>
      <c r="P19" s="191"/>
    </row>
    <row r="20" spans="2:16" x14ac:dyDescent="0.2">
      <c r="B20" s="193"/>
      <c r="C20" s="193"/>
      <c r="D20" s="193"/>
      <c r="E20" s="193"/>
      <c r="F20" s="193"/>
      <c r="G20" s="193"/>
      <c r="H20" s="193"/>
      <c r="I20" s="193"/>
    </row>
    <row r="21" spans="2:16" x14ac:dyDescent="0.2">
      <c r="B21" s="193"/>
      <c r="C21" s="193"/>
      <c r="D21" s="193"/>
      <c r="E21" s="193"/>
      <c r="F21" s="193"/>
      <c r="G21" s="193"/>
      <c r="H21" s="193"/>
      <c r="I21" s="193"/>
    </row>
    <row r="22" spans="2:16" x14ac:dyDescent="0.2">
      <c r="B22" s="193"/>
      <c r="C22" s="193"/>
      <c r="D22" s="193"/>
      <c r="E22" s="193"/>
      <c r="F22" s="193"/>
      <c r="G22" s="193"/>
      <c r="H22" s="193"/>
      <c r="I22" s="193"/>
    </row>
    <row r="23" spans="2:16" x14ac:dyDescent="0.2">
      <c r="B23" s="193"/>
      <c r="C23" s="193"/>
      <c r="D23" s="193"/>
      <c r="E23" s="193"/>
      <c r="F23" s="193"/>
      <c r="G23" s="193"/>
      <c r="H23" s="193"/>
      <c r="I23" s="193"/>
    </row>
    <row r="24" spans="2:16" x14ac:dyDescent="0.2">
      <c r="B24" s="193"/>
      <c r="C24" s="193"/>
      <c r="D24" s="193"/>
      <c r="E24" s="193"/>
      <c r="F24" s="193"/>
      <c r="G24" s="193"/>
      <c r="H24" s="193"/>
      <c r="I24" s="193"/>
    </row>
    <row r="29" spans="2:16" ht="18" x14ac:dyDescent="0.25">
      <c r="B29" s="188" t="s">
        <v>357</v>
      </c>
      <c r="C29" s="188"/>
      <c r="D29" s="188"/>
      <c r="E29" s="188"/>
      <c r="F29" s="188"/>
      <c r="G29" s="188"/>
      <c r="H29" s="188"/>
      <c r="I29" s="188"/>
    </row>
    <row r="30" spans="2:16" ht="18" x14ac:dyDescent="0.25">
      <c r="C30" s="7"/>
      <c r="D30" s="8"/>
      <c r="E30" s="8"/>
      <c r="F30" s="8"/>
      <c r="G30" s="8"/>
      <c r="H30" s="8"/>
      <c r="I30" s="8"/>
    </row>
    <row r="31" spans="2:16" ht="18" x14ac:dyDescent="0.25">
      <c r="B31" s="188" t="s">
        <v>358</v>
      </c>
      <c r="C31" s="188"/>
      <c r="D31" s="188"/>
      <c r="E31" s="188"/>
      <c r="F31" s="188"/>
      <c r="G31" s="188"/>
      <c r="H31" s="188"/>
      <c r="I31" s="188"/>
    </row>
    <row r="32" spans="2:16" ht="18" x14ac:dyDescent="0.25">
      <c r="C32" s="7"/>
      <c r="D32" s="8"/>
      <c r="E32" s="8"/>
      <c r="F32" s="8"/>
      <c r="G32" s="8"/>
      <c r="H32" s="8"/>
      <c r="I32" s="8"/>
    </row>
    <row r="33" spans="2:9" ht="18" x14ac:dyDescent="0.25">
      <c r="B33" s="188" t="s">
        <v>359</v>
      </c>
      <c r="C33" s="188"/>
      <c r="D33" s="188"/>
      <c r="E33" s="188"/>
      <c r="F33" s="188"/>
      <c r="G33" s="188"/>
      <c r="H33" s="188"/>
      <c r="I33" s="188"/>
    </row>
    <row r="34" spans="2:9" ht="18" x14ac:dyDescent="0.25">
      <c r="C34" s="7"/>
      <c r="D34" s="8"/>
      <c r="E34" s="8"/>
      <c r="F34" s="8"/>
      <c r="G34" s="8"/>
      <c r="H34" s="8"/>
      <c r="I34" s="8"/>
    </row>
    <row r="35" spans="2:9" ht="18" x14ac:dyDescent="0.25">
      <c r="B35" s="188"/>
      <c r="C35" s="188"/>
      <c r="D35" s="188"/>
      <c r="E35" s="188"/>
      <c r="F35" s="188"/>
      <c r="G35" s="188"/>
      <c r="H35" s="188"/>
      <c r="I35" s="188"/>
    </row>
    <row r="37" spans="2:9" ht="18" x14ac:dyDescent="0.25">
      <c r="B37" s="188" t="s">
        <v>356</v>
      </c>
      <c r="C37" s="188"/>
      <c r="D37" s="188"/>
      <c r="E37" s="188"/>
      <c r="F37" s="188"/>
      <c r="G37" s="188"/>
      <c r="H37" s="188"/>
      <c r="I37" s="188"/>
    </row>
    <row r="39" spans="2:9" x14ac:dyDescent="0.2">
      <c r="B39" s="2" t="s">
        <v>10</v>
      </c>
      <c r="C39" s="9">
        <v>2022</v>
      </c>
    </row>
    <row r="40" spans="2:9" ht="14.25" customHeight="1" x14ac:dyDescent="0.2"/>
    <row r="41" spans="2:9" x14ac:dyDescent="0.2">
      <c r="B41" s="10" t="s">
        <v>11</v>
      </c>
      <c r="C41" s="189" t="s">
        <v>360</v>
      </c>
      <c r="D41" s="186"/>
      <c r="E41" s="186"/>
      <c r="F41" s="186"/>
      <c r="G41" s="186"/>
      <c r="H41" s="186"/>
      <c r="I41" s="186"/>
    </row>
    <row r="42" spans="2:9" x14ac:dyDescent="0.2">
      <c r="B42" s="10"/>
    </row>
    <row r="43" spans="2:9" x14ac:dyDescent="0.2">
      <c r="B43" s="10" t="s">
        <v>12</v>
      </c>
      <c r="C43" s="185" t="s">
        <v>364</v>
      </c>
      <c r="D43" s="186"/>
      <c r="E43" s="186"/>
    </row>
    <row r="44" spans="2:9" x14ac:dyDescent="0.2">
      <c r="B44" s="10"/>
    </row>
    <row r="45" spans="2:9" ht="15.75" x14ac:dyDescent="0.25">
      <c r="B45" s="10" t="s">
        <v>13</v>
      </c>
      <c r="C45" s="190" t="s">
        <v>363</v>
      </c>
      <c r="D45" s="186"/>
      <c r="E45" s="186"/>
    </row>
    <row r="46" spans="2:9" x14ac:dyDescent="0.2">
      <c r="B46" s="10"/>
    </row>
    <row r="47" spans="2:9" x14ac:dyDescent="0.2">
      <c r="B47" s="10" t="s">
        <v>14</v>
      </c>
      <c r="C47" s="185" t="s">
        <v>361</v>
      </c>
      <c r="D47" s="186"/>
      <c r="F47" s="2" t="s">
        <v>15</v>
      </c>
      <c r="G47" s="185" t="s">
        <v>410</v>
      </c>
      <c r="H47" s="186"/>
      <c r="I47" s="186"/>
    </row>
    <row r="48" spans="2:9" x14ac:dyDescent="0.2">
      <c r="B48" s="10"/>
    </row>
    <row r="49" spans="2:9" x14ac:dyDescent="0.2">
      <c r="B49" s="10" t="s">
        <v>16</v>
      </c>
      <c r="C49" s="185" t="s">
        <v>362</v>
      </c>
      <c r="D49" s="186"/>
      <c r="F49" s="2" t="s">
        <v>15</v>
      </c>
      <c r="G49" s="185" t="s">
        <v>411</v>
      </c>
      <c r="H49" s="186"/>
      <c r="I49" s="186"/>
    </row>
    <row r="50" spans="2:9" x14ac:dyDescent="0.2">
      <c r="B50" s="10"/>
    </row>
    <row r="51" spans="2:9" x14ac:dyDescent="0.2">
      <c r="B51" s="10" t="s">
        <v>17</v>
      </c>
      <c r="C51" s="9">
        <v>1</v>
      </c>
    </row>
    <row r="52" spans="2:9" x14ac:dyDescent="0.2">
      <c r="B52" s="10"/>
    </row>
    <row r="53" spans="2:9" x14ac:dyDescent="0.2">
      <c r="B53" s="10" t="s">
        <v>18</v>
      </c>
      <c r="C53" s="187">
        <v>44941</v>
      </c>
      <c r="D53" s="186"/>
    </row>
  </sheetData>
  <mergeCells count="16">
    <mergeCell ref="N14:P19"/>
    <mergeCell ref="B35:I35"/>
    <mergeCell ref="D1:G6"/>
    <mergeCell ref="B8:I24"/>
    <mergeCell ref="B29:I29"/>
    <mergeCell ref="B31:I31"/>
    <mergeCell ref="B33:I33"/>
    <mergeCell ref="C49:D49"/>
    <mergeCell ref="G49:I49"/>
    <mergeCell ref="C53:D53"/>
    <mergeCell ref="B37:I37"/>
    <mergeCell ref="C41:I41"/>
    <mergeCell ref="C43:E43"/>
    <mergeCell ref="C45:E45"/>
    <mergeCell ref="C47:D47"/>
    <mergeCell ref="G47:I47"/>
  </mergeCells>
  <hyperlinks>
    <hyperlink ref="C45" r:id="rId1" xr:uid="{73CE645B-80AB-4501-BE0A-34B46B19513D}"/>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438150</xdr:colOff>
                    <xdr:row>8</xdr:row>
                    <xdr:rowOff>114300</xdr:rowOff>
                  </from>
                  <to>
                    <xdr:col>15</xdr:col>
                    <xdr:colOff>285750</xdr:colOff>
                    <xdr:row>11</xdr:row>
                    <xdr:rowOff>19050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447675</xdr:colOff>
                    <xdr:row>5</xdr:row>
                    <xdr:rowOff>104775</xdr:rowOff>
                  </from>
                  <to>
                    <xdr:col>15</xdr:col>
                    <xdr:colOff>295275</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5"/>
  <sheetViews>
    <sheetView showGridLines="0" tabSelected="1" zoomScaleNormal="100" workbookViewId="0">
      <selection activeCell="S10" sqref="S10"/>
    </sheetView>
  </sheetViews>
  <sheetFormatPr defaultColWidth="9.28515625" defaultRowHeight="15" x14ac:dyDescent="0.2"/>
  <cols>
    <col min="1" max="1" width="9.28515625" style="2" customWidth="1"/>
    <col min="2" max="2" width="14.5703125" style="2" bestFit="1" customWidth="1"/>
    <col min="3" max="7" width="9.28515625" style="2"/>
    <col min="8" max="8" width="10.140625" style="2" bestFit="1" customWidth="1"/>
    <col min="9" max="9" width="9.28515625" style="2"/>
    <col min="10" max="10" width="11.5703125" style="2" customWidth="1"/>
    <col min="11" max="16384" width="9.28515625" style="2"/>
  </cols>
  <sheetData>
    <row r="1" spans="1:15" x14ac:dyDescent="0.2">
      <c r="A1" s="2" t="str">
        <f>+'Cover Page'!$B$29</f>
        <v>Annual Performance Report 2022</v>
      </c>
      <c r="E1" s="2" t="str">
        <f>+'Cover Page'!$B$33</f>
        <v>JG Pears CHP Plant</v>
      </c>
    </row>
    <row r="3" spans="1:15" ht="15.75" x14ac:dyDescent="0.25">
      <c r="A3" s="103" t="s">
        <v>19</v>
      </c>
      <c r="B3" s="101"/>
      <c r="C3" s="101"/>
      <c r="D3" s="101"/>
      <c r="E3" s="101"/>
      <c r="F3" s="101"/>
      <c r="G3" s="101"/>
      <c r="H3" s="102"/>
      <c r="K3" s="131" t="s">
        <v>290</v>
      </c>
    </row>
    <row r="4" spans="1:15" ht="15.75" x14ac:dyDescent="0.25">
      <c r="A4" s="5" t="s">
        <v>0</v>
      </c>
      <c r="B4" s="213" t="s">
        <v>1</v>
      </c>
      <c r="C4" s="213"/>
      <c r="D4" s="213"/>
      <c r="E4" s="213"/>
      <c r="F4" s="213"/>
      <c r="G4" s="213"/>
      <c r="H4" s="6" t="s">
        <v>2</v>
      </c>
      <c r="K4" s="129" t="s">
        <v>292</v>
      </c>
    </row>
    <row r="5" spans="1:15" ht="15.6" customHeight="1" x14ac:dyDescent="0.2">
      <c r="A5" s="4"/>
      <c r="B5" s="212" t="s">
        <v>267</v>
      </c>
      <c r="C5" s="212"/>
      <c r="D5" s="212"/>
      <c r="E5" s="212"/>
      <c r="F5" s="212"/>
      <c r="G5" s="212"/>
      <c r="H5" s="4">
        <v>3</v>
      </c>
      <c r="K5" s="191" t="s">
        <v>293</v>
      </c>
      <c r="L5" s="191"/>
      <c r="M5" s="191"/>
      <c r="N5" s="191"/>
      <c r="O5" s="191"/>
    </row>
    <row r="6" spans="1:15" x14ac:dyDescent="0.2">
      <c r="A6" s="4"/>
      <c r="B6" s="212" t="s">
        <v>26</v>
      </c>
      <c r="C6" s="212"/>
      <c r="D6" s="212"/>
      <c r="E6" s="212"/>
      <c r="F6" s="212"/>
      <c r="G6" s="212"/>
      <c r="H6" s="4">
        <v>4</v>
      </c>
      <c r="K6" s="191"/>
      <c r="L6" s="191"/>
      <c r="M6" s="191"/>
      <c r="N6" s="191"/>
      <c r="O6" s="191"/>
    </row>
    <row r="7" spans="1:15" ht="15.75" customHeight="1" x14ac:dyDescent="0.2">
      <c r="A7" s="4"/>
      <c r="B7" s="212" t="s">
        <v>268</v>
      </c>
      <c r="C7" s="212"/>
      <c r="D7" s="212"/>
      <c r="E7" s="212"/>
      <c r="F7" s="212"/>
      <c r="G7" s="212"/>
      <c r="H7" s="4">
        <v>5</v>
      </c>
      <c r="K7" s="191"/>
      <c r="L7" s="191"/>
      <c r="M7" s="191"/>
      <c r="N7" s="191"/>
      <c r="O7" s="191"/>
    </row>
    <row r="8" spans="1:15" x14ac:dyDescent="0.2">
      <c r="A8" s="4"/>
      <c r="B8" s="212" t="s">
        <v>269</v>
      </c>
      <c r="C8" s="212"/>
      <c r="D8" s="212"/>
      <c r="E8" s="212"/>
      <c r="F8" s="212"/>
      <c r="G8" s="212"/>
      <c r="H8" s="4">
        <v>6</v>
      </c>
      <c r="K8" s="191"/>
      <c r="L8" s="191"/>
      <c r="M8" s="191"/>
      <c r="N8" s="191"/>
      <c r="O8" s="191"/>
    </row>
    <row r="9" spans="1:15" x14ac:dyDescent="0.2">
      <c r="A9" s="4"/>
      <c r="B9" s="212" t="s">
        <v>270</v>
      </c>
      <c r="C9" s="212"/>
      <c r="D9" s="212"/>
      <c r="E9" s="212"/>
      <c r="F9" s="212"/>
      <c r="G9" s="212"/>
      <c r="H9" s="4">
        <v>7</v>
      </c>
    </row>
    <row r="10" spans="1:15" x14ac:dyDescent="0.2">
      <c r="A10" s="4"/>
      <c r="B10" s="212" t="s">
        <v>271</v>
      </c>
      <c r="C10" s="212"/>
      <c r="D10" s="212"/>
      <c r="E10" s="212"/>
      <c r="F10" s="212"/>
      <c r="G10" s="212"/>
      <c r="H10" s="4">
        <v>8</v>
      </c>
    </row>
    <row r="11" spans="1:15" x14ac:dyDescent="0.2">
      <c r="A11" s="4"/>
      <c r="B11" s="212" t="s">
        <v>272</v>
      </c>
      <c r="C11" s="212"/>
      <c r="D11" s="212"/>
      <c r="E11" s="212"/>
      <c r="F11" s="212"/>
      <c r="G11" s="212"/>
      <c r="H11" s="4">
        <v>9</v>
      </c>
    </row>
    <row r="12" spans="1:15" x14ac:dyDescent="0.2">
      <c r="A12" s="4"/>
      <c r="B12" s="212" t="s">
        <v>418</v>
      </c>
      <c r="C12" s="212"/>
      <c r="D12" s="212"/>
      <c r="E12" s="212"/>
      <c r="F12" s="212"/>
      <c r="G12" s="212"/>
      <c r="H12" s="4">
        <v>10</v>
      </c>
    </row>
    <row r="13" spans="1:15" x14ac:dyDescent="0.2">
      <c r="A13" s="4"/>
      <c r="B13" s="212" t="s">
        <v>286</v>
      </c>
      <c r="C13" s="212"/>
      <c r="D13" s="212"/>
      <c r="E13" s="212"/>
      <c r="F13" s="212"/>
      <c r="G13" s="212"/>
      <c r="H13" s="4">
        <v>11</v>
      </c>
    </row>
    <row r="14" spans="1:15" x14ac:dyDescent="0.2">
      <c r="A14" s="4"/>
      <c r="B14" s="212" t="s">
        <v>192</v>
      </c>
      <c r="C14" s="212"/>
      <c r="D14" s="212"/>
      <c r="E14" s="212"/>
      <c r="F14" s="212"/>
      <c r="G14" s="212"/>
      <c r="H14" s="4">
        <v>12</v>
      </c>
    </row>
    <row r="15" spans="1:15" x14ac:dyDescent="0.2">
      <c r="A15" s="4"/>
      <c r="B15" s="212" t="s">
        <v>273</v>
      </c>
      <c r="C15" s="212"/>
      <c r="D15" s="212"/>
      <c r="E15" s="212"/>
      <c r="F15" s="212"/>
      <c r="G15" s="212"/>
      <c r="H15" s="4">
        <v>13</v>
      </c>
    </row>
    <row r="16" spans="1:15" x14ac:dyDescent="0.2">
      <c r="A16" s="4"/>
      <c r="B16" s="212" t="s">
        <v>274</v>
      </c>
      <c r="C16" s="212"/>
      <c r="D16" s="212"/>
      <c r="E16" s="212"/>
      <c r="F16" s="212"/>
      <c r="G16" s="212"/>
      <c r="H16" s="4">
        <v>14</v>
      </c>
    </row>
    <row r="17" spans="1:8" x14ac:dyDescent="0.2">
      <c r="A17" s="4"/>
      <c r="B17" s="212" t="s">
        <v>391</v>
      </c>
      <c r="C17" s="212"/>
      <c r="D17" s="212"/>
      <c r="E17" s="212"/>
      <c r="F17" s="212"/>
      <c r="G17" s="212"/>
      <c r="H17" s="4">
        <v>15</v>
      </c>
    </row>
    <row r="18" spans="1:8" x14ac:dyDescent="0.2">
      <c r="A18" s="4"/>
      <c r="B18" s="212" t="s">
        <v>392</v>
      </c>
      <c r="C18" s="212"/>
      <c r="D18" s="212"/>
      <c r="E18" s="212"/>
      <c r="F18" s="212"/>
      <c r="G18" s="212"/>
      <c r="H18" s="4">
        <v>16</v>
      </c>
    </row>
    <row r="19" spans="1:8" x14ac:dyDescent="0.2">
      <c r="A19" s="4"/>
      <c r="B19" s="212" t="s">
        <v>275</v>
      </c>
      <c r="C19" s="212"/>
      <c r="D19" s="212"/>
      <c r="E19" s="212"/>
      <c r="F19" s="212"/>
      <c r="G19" s="212"/>
      <c r="H19" s="4">
        <v>17</v>
      </c>
    </row>
    <row r="20" spans="1:8" x14ac:dyDescent="0.2">
      <c r="A20" s="4"/>
      <c r="B20" s="212" t="s">
        <v>278</v>
      </c>
      <c r="C20" s="212"/>
      <c r="D20" s="212"/>
      <c r="E20" s="212"/>
      <c r="F20" s="212"/>
      <c r="G20" s="212"/>
      <c r="H20" s="4">
        <v>18</v>
      </c>
    </row>
    <row r="21" spans="1:8" x14ac:dyDescent="0.2">
      <c r="A21" s="4"/>
      <c r="B21" s="182" t="s">
        <v>276</v>
      </c>
      <c r="C21" s="183"/>
      <c r="D21" s="183"/>
      <c r="E21" s="183"/>
      <c r="F21" s="183"/>
      <c r="G21" s="184"/>
      <c r="H21" s="4">
        <v>19</v>
      </c>
    </row>
    <row r="22" spans="1:8" x14ac:dyDescent="0.2">
      <c r="A22" s="4"/>
      <c r="B22" s="204" t="s">
        <v>277</v>
      </c>
      <c r="C22" s="205"/>
      <c r="D22" s="205"/>
      <c r="E22" s="205"/>
      <c r="F22" s="205"/>
      <c r="G22" s="206"/>
      <c r="H22" s="4">
        <v>20</v>
      </c>
    </row>
    <row r="23" spans="1:8" x14ac:dyDescent="0.2">
      <c r="A23" s="4"/>
      <c r="B23" s="207"/>
      <c r="C23" s="207"/>
      <c r="D23" s="207"/>
      <c r="E23" s="207"/>
      <c r="F23" s="207"/>
      <c r="G23" s="207"/>
      <c r="H23" s="4"/>
    </row>
    <row r="24" spans="1:8" x14ac:dyDescent="0.2">
      <c r="A24" s="4"/>
      <c r="B24" s="207"/>
      <c r="C24" s="207"/>
      <c r="D24" s="207"/>
      <c r="E24" s="207"/>
      <c r="F24" s="207"/>
      <c r="G24" s="207"/>
      <c r="H24" s="4"/>
    </row>
    <row r="26" spans="1:8" ht="15.75" x14ac:dyDescent="0.25">
      <c r="A26" s="100" t="s">
        <v>20</v>
      </c>
      <c r="B26" s="101"/>
      <c r="C26" s="101"/>
      <c r="D26" s="101"/>
      <c r="E26" s="101"/>
      <c r="F26" s="101"/>
      <c r="G26" s="101"/>
      <c r="H26" s="102"/>
    </row>
    <row r="27" spans="1:8" x14ac:dyDescent="0.2">
      <c r="A27" s="12" t="s">
        <v>0</v>
      </c>
      <c r="B27" s="208" t="s">
        <v>3</v>
      </c>
      <c r="C27" s="208"/>
      <c r="D27" s="208"/>
      <c r="E27" s="208"/>
      <c r="F27" s="208"/>
      <c r="G27" s="208"/>
      <c r="H27" s="13" t="s">
        <v>4</v>
      </c>
    </row>
    <row r="28" spans="1:8" x14ac:dyDescent="0.2">
      <c r="A28" s="175" t="s">
        <v>394</v>
      </c>
      <c r="B28" s="209" t="s">
        <v>393</v>
      </c>
      <c r="C28" s="210"/>
      <c r="D28" s="210"/>
      <c r="E28" s="210"/>
      <c r="F28" s="210"/>
      <c r="G28" s="210"/>
      <c r="H28" s="174">
        <v>44662</v>
      </c>
    </row>
    <row r="29" spans="1:8" x14ac:dyDescent="0.2">
      <c r="A29" s="14"/>
      <c r="B29" s="210"/>
      <c r="C29" s="210"/>
      <c r="D29" s="210"/>
      <c r="E29" s="210"/>
      <c r="F29" s="210"/>
      <c r="G29" s="210"/>
      <c r="H29" s="14"/>
    </row>
    <row r="30" spans="1:8" x14ac:dyDescent="0.2">
      <c r="A30" s="14"/>
      <c r="B30" s="210"/>
      <c r="C30" s="210"/>
      <c r="D30" s="210"/>
      <c r="E30" s="210"/>
      <c r="F30" s="210"/>
      <c r="G30" s="210"/>
      <c r="H30" s="14"/>
    </row>
    <row r="31" spans="1:8" x14ac:dyDescent="0.2">
      <c r="A31" s="14"/>
      <c r="B31" s="210"/>
      <c r="C31" s="210"/>
      <c r="D31" s="210"/>
      <c r="E31" s="210"/>
      <c r="F31" s="210"/>
      <c r="G31" s="210"/>
      <c r="H31" s="14"/>
    </row>
    <row r="32" spans="1:8" x14ac:dyDescent="0.2">
      <c r="A32" s="14"/>
      <c r="B32" s="210"/>
      <c r="C32" s="210"/>
      <c r="D32" s="210"/>
      <c r="E32" s="210"/>
      <c r="F32" s="210"/>
      <c r="G32" s="210"/>
      <c r="H32" s="14"/>
    </row>
    <row r="34" spans="1:10" ht="14.25" customHeight="1" x14ac:dyDescent="0.25">
      <c r="A34" s="100" t="s">
        <v>21</v>
      </c>
      <c r="B34" s="101"/>
      <c r="C34" s="101"/>
      <c r="D34" s="101"/>
      <c r="E34" s="101"/>
      <c r="F34" s="101"/>
      <c r="G34" s="101"/>
      <c r="H34" s="102"/>
    </row>
    <row r="35" spans="1:10" x14ac:dyDescent="0.2">
      <c r="A35" s="17" t="s">
        <v>5</v>
      </c>
      <c r="B35" s="211" t="s">
        <v>6</v>
      </c>
      <c r="C35" s="211"/>
      <c r="D35" s="211"/>
      <c r="E35" s="211"/>
      <c r="F35" s="211"/>
      <c r="G35" s="211"/>
      <c r="H35" s="18" t="s">
        <v>7</v>
      </c>
    </row>
    <row r="36" spans="1:10" x14ac:dyDescent="0.2">
      <c r="A36" s="19"/>
      <c r="B36" s="203"/>
      <c r="C36" s="203"/>
      <c r="D36" s="203"/>
      <c r="E36" s="203"/>
      <c r="F36" s="203"/>
      <c r="G36" s="203"/>
      <c r="H36" s="19"/>
    </row>
    <row r="37" spans="1:10" x14ac:dyDescent="0.2">
      <c r="A37" s="19"/>
      <c r="B37" s="203"/>
      <c r="C37" s="203"/>
      <c r="D37" s="203"/>
      <c r="E37" s="203"/>
      <c r="F37" s="203"/>
      <c r="G37" s="203"/>
      <c r="H37" s="19"/>
    </row>
    <row r="38" spans="1:10" x14ac:dyDescent="0.2">
      <c r="A38" s="19"/>
      <c r="B38" s="203"/>
      <c r="C38" s="203"/>
      <c r="D38" s="203"/>
      <c r="E38" s="203"/>
      <c r="F38" s="203"/>
      <c r="G38" s="203"/>
      <c r="H38" s="19"/>
    </row>
    <row r="39" spans="1:10" x14ac:dyDescent="0.2">
      <c r="A39" s="19"/>
      <c r="B39" s="203"/>
      <c r="C39" s="203"/>
      <c r="D39" s="203"/>
      <c r="E39" s="203"/>
      <c r="F39" s="203"/>
      <c r="G39" s="203"/>
      <c r="H39" s="19"/>
    </row>
    <row r="40" spans="1:10" x14ac:dyDescent="0.2">
      <c r="A40" s="19"/>
      <c r="B40" s="203"/>
      <c r="C40" s="203"/>
      <c r="D40" s="203"/>
      <c r="E40" s="203"/>
      <c r="F40" s="203"/>
      <c r="G40" s="203"/>
      <c r="H40" s="19"/>
    </row>
    <row r="41" spans="1:10" x14ac:dyDescent="0.2">
      <c r="A41" s="19"/>
      <c r="B41" s="203"/>
      <c r="C41" s="203"/>
      <c r="D41" s="203"/>
      <c r="E41" s="203"/>
      <c r="F41" s="203"/>
      <c r="G41" s="203"/>
      <c r="H41" s="19"/>
    </row>
    <row r="42" spans="1:10" x14ac:dyDescent="0.2">
      <c r="A42" s="19"/>
      <c r="B42" s="203"/>
      <c r="C42" s="203"/>
      <c r="D42" s="203"/>
      <c r="E42" s="203"/>
      <c r="F42" s="203"/>
      <c r="G42" s="203"/>
      <c r="H42" s="19"/>
    </row>
    <row r="44" spans="1:10" x14ac:dyDescent="0.2">
      <c r="A44" s="194" t="s">
        <v>22</v>
      </c>
      <c r="B44" s="195"/>
      <c r="C44" s="195"/>
      <c r="D44" s="195"/>
      <c r="E44" s="195"/>
      <c r="F44" s="195"/>
      <c r="G44" s="195"/>
      <c r="H44" s="195"/>
      <c r="I44" s="195"/>
      <c r="J44" s="196"/>
    </row>
    <row r="45" spans="1:10" x14ac:dyDescent="0.2">
      <c r="A45" s="197"/>
      <c r="B45" s="198"/>
      <c r="C45" s="198"/>
      <c r="D45" s="198"/>
      <c r="E45" s="198"/>
      <c r="F45" s="198"/>
      <c r="G45" s="198"/>
      <c r="H45" s="198"/>
      <c r="I45" s="198"/>
      <c r="J45" s="199"/>
    </row>
    <row r="46" spans="1:10" x14ac:dyDescent="0.2">
      <c r="A46" s="197"/>
      <c r="B46" s="198"/>
      <c r="C46" s="198"/>
      <c r="D46" s="198"/>
      <c r="E46" s="198"/>
      <c r="F46" s="198"/>
      <c r="G46" s="198"/>
      <c r="H46" s="198"/>
      <c r="I46" s="198"/>
      <c r="J46" s="199"/>
    </row>
    <row r="47" spans="1:10" x14ac:dyDescent="0.2">
      <c r="A47" s="200"/>
      <c r="B47" s="201"/>
      <c r="C47" s="201"/>
      <c r="D47" s="201"/>
      <c r="E47" s="201"/>
      <c r="F47" s="201"/>
      <c r="G47" s="201"/>
      <c r="H47" s="201"/>
      <c r="I47" s="201"/>
      <c r="J47" s="202"/>
    </row>
    <row r="65" spans="6:6" x14ac:dyDescent="0.2">
      <c r="F65" s="3"/>
    </row>
  </sheetData>
  <mergeCells count="36">
    <mergeCell ref="K5:O8"/>
    <mergeCell ref="B9:G9"/>
    <mergeCell ref="B4:G4"/>
    <mergeCell ref="B5:G5"/>
    <mergeCell ref="B6:G6"/>
    <mergeCell ref="B7:G7"/>
    <mergeCell ref="B8:G8"/>
    <mergeCell ref="B10:G10"/>
    <mergeCell ref="B11:G11"/>
    <mergeCell ref="B12:G12"/>
    <mergeCell ref="B13:G13"/>
    <mergeCell ref="B14:G14"/>
    <mergeCell ref="B15:G15"/>
    <mergeCell ref="B16:G16"/>
    <mergeCell ref="B17:G17"/>
    <mergeCell ref="B18:G18"/>
    <mergeCell ref="B19:G19"/>
    <mergeCell ref="B20:G20"/>
    <mergeCell ref="B36:G36"/>
    <mergeCell ref="B22:G22"/>
    <mergeCell ref="B23:G23"/>
    <mergeCell ref="B24:G24"/>
    <mergeCell ref="B27:G27"/>
    <mergeCell ref="B28:G28"/>
    <mergeCell ref="B29:G29"/>
    <mergeCell ref="B30:G30"/>
    <mergeCell ref="B31:G31"/>
    <mergeCell ref="B32:G32"/>
    <mergeCell ref="B35:G35"/>
    <mergeCell ref="A44:J47"/>
    <mergeCell ref="B37:G37"/>
    <mergeCell ref="B38:G38"/>
    <mergeCell ref="B39:G39"/>
    <mergeCell ref="B40:G40"/>
    <mergeCell ref="B41:G41"/>
    <mergeCell ref="B42:G42"/>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showGridLines="0" tabSelected="1" zoomScaleNormal="100" workbookViewId="0">
      <selection activeCell="S10" sqref="S10"/>
    </sheetView>
  </sheetViews>
  <sheetFormatPr defaultColWidth="9.28515625" defaultRowHeight="15" x14ac:dyDescent="0.2"/>
  <cols>
    <col min="1" max="1" width="9.28515625" style="2" customWidth="1"/>
    <col min="2" max="2" width="14.5703125" style="2" bestFit="1" customWidth="1"/>
    <col min="3" max="9" width="9.28515625" style="2"/>
    <col min="10" max="10" width="11.5703125" style="2" customWidth="1"/>
    <col min="11" max="16384" width="9.28515625" style="2"/>
  </cols>
  <sheetData>
    <row r="1" spans="1:14" x14ac:dyDescent="0.2">
      <c r="A1" s="2" t="str">
        <f>+'Cover Page'!$B$29</f>
        <v>Annual Performance Report 2022</v>
      </c>
      <c r="E1" s="2" t="str">
        <f>+'Cover Page'!$B$33</f>
        <v>JG Pears CHP Plant</v>
      </c>
    </row>
    <row r="3" spans="1:14" ht="15.75" x14ac:dyDescent="0.25">
      <c r="A3" s="94" t="s">
        <v>23</v>
      </c>
      <c r="B3" s="95"/>
      <c r="C3" s="95"/>
      <c r="D3" s="95"/>
      <c r="E3" s="95"/>
      <c r="F3" s="95"/>
      <c r="G3" s="95"/>
      <c r="H3" s="95"/>
      <c r="I3" s="96"/>
      <c r="K3" s="137" t="s">
        <v>290</v>
      </c>
    </row>
    <row r="4" spans="1:14" x14ac:dyDescent="0.2">
      <c r="A4" s="97"/>
      <c r="B4" s="98"/>
      <c r="C4" s="98"/>
      <c r="D4" s="98"/>
      <c r="E4" s="98"/>
      <c r="F4" s="98"/>
      <c r="G4" s="98"/>
      <c r="H4" s="98"/>
      <c r="I4" s="99"/>
    </row>
    <row r="5" spans="1:14" ht="15.75" customHeight="1" x14ac:dyDescent="0.2">
      <c r="A5" s="214" t="s">
        <v>366</v>
      </c>
      <c r="B5" s="215"/>
      <c r="C5" s="215"/>
      <c r="D5" s="215"/>
      <c r="E5" s="215"/>
      <c r="F5" s="215"/>
      <c r="G5" s="215"/>
      <c r="H5" s="215"/>
      <c r="I5" s="216"/>
      <c r="K5" s="231" t="s">
        <v>316</v>
      </c>
      <c r="L5" s="231"/>
      <c r="M5" s="231"/>
      <c r="N5" s="231"/>
    </row>
    <row r="6" spans="1:14" x14ac:dyDescent="0.2">
      <c r="A6" s="217"/>
      <c r="B6" s="218"/>
      <c r="C6" s="218"/>
      <c r="D6" s="218"/>
      <c r="E6" s="218"/>
      <c r="F6" s="218"/>
      <c r="G6" s="218"/>
      <c r="H6" s="218"/>
      <c r="I6" s="219"/>
      <c r="K6" s="231"/>
      <c r="L6" s="231"/>
      <c r="M6" s="231"/>
      <c r="N6" s="231"/>
    </row>
    <row r="7" spans="1:14" x14ac:dyDescent="0.2">
      <c r="A7" s="217"/>
      <c r="B7" s="218"/>
      <c r="C7" s="218"/>
      <c r="D7" s="218"/>
      <c r="E7" s="218"/>
      <c r="F7" s="218"/>
      <c r="G7" s="218"/>
      <c r="H7" s="218"/>
      <c r="I7" s="219"/>
      <c r="K7" s="231"/>
      <c r="L7" s="231"/>
      <c r="M7" s="231"/>
      <c r="N7" s="231"/>
    </row>
    <row r="8" spans="1:14" ht="15.75" customHeight="1" x14ac:dyDescent="0.2">
      <c r="A8" s="217"/>
      <c r="B8" s="218"/>
      <c r="C8" s="218"/>
      <c r="D8" s="218"/>
      <c r="E8" s="218"/>
      <c r="F8" s="218"/>
      <c r="G8" s="218"/>
      <c r="H8" s="218"/>
      <c r="I8" s="219"/>
      <c r="K8" s="231"/>
      <c r="L8" s="231"/>
      <c r="M8" s="231"/>
      <c r="N8" s="231"/>
    </row>
    <row r="9" spans="1:14" x14ac:dyDescent="0.2">
      <c r="A9" s="217"/>
      <c r="B9" s="218"/>
      <c r="C9" s="218"/>
      <c r="D9" s="218"/>
      <c r="E9" s="218"/>
      <c r="F9" s="218"/>
      <c r="G9" s="218"/>
      <c r="H9" s="218"/>
      <c r="I9" s="219"/>
      <c r="K9" s="231"/>
      <c r="L9" s="231"/>
      <c r="M9" s="231"/>
      <c r="N9" s="231"/>
    </row>
    <row r="10" spans="1:14" x14ac:dyDescent="0.2">
      <c r="A10" s="217"/>
      <c r="B10" s="218"/>
      <c r="C10" s="218"/>
      <c r="D10" s="218"/>
      <c r="E10" s="218"/>
      <c r="F10" s="218"/>
      <c r="G10" s="218"/>
      <c r="H10" s="218"/>
      <c r="I10" s="219"/>
      <c r="K10" s="231"/>
      <c r="L10" s="231"/>
      <c r="M10" s="231"/>
      <c r="N10" s="231"/>
    </row>
    <row r="11" spans="1:14" x14ac:dyDescent="0.2">
      <c r="A11" s="217"/>
      <c r="B11" s="218"/>
      <c r="C11" s="218"/>
      <c r="D11" s="218"/>
      <c r="E11" s="218"/>
      <c r="F11" s="218"/>
      <c r="G11" s="218"/>
      <c r="H11" s="218"/>
      <c r="I11" s="219"/>
      <c r="K11" s="231"/>
      <c r="L11" s="231"/>
      <c r="M11" s="231"/>
      <c r="N11" s="231"/>
    </row>
    <row r="12" spans="1:14" x14ac:dyDescent="0.2">
      <c r="A12" s="217"/>
      <c r="B12" s="218"/>
      <c r="C12" s="218"/>
      <c r="D12" s="218"/>
      <c r="E12" s="218"/>
      <c r="F12" s="218"/>
      <c r="G12" s="218"/>
      <c r="H12" s="218"/>
      <c r="I12" s="219"/>
      <c r="K12" s="231"/>
      <c r="L12" s="231"/>
      <c r="M12" s="231"/>
      <c r="N12" s="231"/>
    </row>
    <row r="13" spans="1:14" x14ac:dyDescent="0.2">
      <c r="A13" s="217"/>
      <c r="B13" s="218"/>
      <c r="C13" s="218"/>
      <c r="D13" s="218"/>
      <c r="E13" s="218"/>
      <c r="F13" s="218"/>
      <c r="G13" s="218"/>
      <c r="H13" s="218"/>
      <c r="I13" s="219"/>
      <c r="K13" s="231"/>
      <c r="L13" s="231"/>
      <c r="M13" s="231"/>
      <c r="N13" s="231"/>
    </row>
    <row r="14" spans="1:14" x14ac:dyDescent="0.2">
      <c r="A14" s="217"/>
      <c r="B14" s="218"/>
      <c r="C14" s="218"/>
      <c r="D14" s="218"/>
      <c r="E14" s="218"/>
      <c r="F14" s="218"/>
      <c r="G14" s="218"/>
      <c r="H14" s="218"/>
      <c r="I14" s="219"/>
      <c r="K14" s="231"/>
      <c r="L14" s="231"/>
      <c r="M14" s="231"/>
      <c r="N14" s="231"/>
    </row>
    <row r="15" spans="1:14" x14ac:dyDescent="0.2">
      <c r="A15" s="217"/>
      <c r="B15" s="218"/>
      <c r="C15" s="218"/>
      <c r="D15" s="218"/>
      <c r="E15" s="218"/>
      <c r="F15" s="218"/>
      <c r="G15" s="218"/>
      <c r="H15" s="218"/>
      <c r="I15" s="219"/>
    </row>
    <row r="16" spans="1:14" x14ac:dyDescent="0.2">
      <c r="A16" s="217"/>
      <c r="B16" s="218"/>
      <c r="C16" s="218"/>
      <c r="D16" s="218"/>
      <c r="E16" s="218"/>
      <c r="F16" s="218"/>
      <c r="G16" s="218"/>
      <c r="H16" s="218"/>
      <c r="I16" s="219"/>
    </row>
    <row r="17" spans="1:14" x14ac:dyDescent="0.2">
      <c r="A17" s="217"/>
      <c r="B17" s="218"/>
      <c r="C17" s="218"/>
      <c r="D17" s="218"/>
      <c r="E17" s="218"/>
      <c r="F17" s="218"/>
      <c r="G17" s="218"/>
      <c r="H17" s="218"/>
      <c r="I17" s="219"/>
    </row>
    <row r="18" spans="1:14" x14ac:dyDescent="0.2">
      <c r="A18" s="220"/>
      <c r="B18" s="221"/>
      <c r="C18" s="221"/>
      <c r="D18" s="221"/>
      <c r="E18" s="221"/>
      <c r="F18" s="221"/>
      <c r="G18" s="221"/>
      <c r="H18" s="221"/>
      <c r="I18" s="222"/>
    </row>
    <row r="20" spans="1:14" ht="15.75" x14ac:dyDescent="0.25">
      <c r="A20" s="94" t="s">
        <v>24</v>
      </c>
      <c r="B20" s="95"/>
      <c r="C20" s="95"/>
      <c r="D20" s="95"/>
      <c r="E20" s="95"/>
      <c r="F20" s="95"/>
      <c r="G20" s="95"/>
      <c r="H20" s="95"/>
      <c r="I20" s="96"/>
    </row>
    <row r="21" spans="1:14" x14ac:dyDescent="0.2">
      <c r="A21" s="97"/>
      <c r="B21" s="98"/>
      <c r="C21" s="98"/>
      <c r="D21" s="98"/>
      <c r="E21" s="98"/>
      <c r="F21" s="98"/>
      <c r="G21" s="98"/>
      <c r="H21" s="98"/>
      <c r="I21" s="99"/>
    </row>
    <row r="22" spans="1:14" x14ac:dyDescent="0.2">
      <c r="A22" s="214" t="s">
        <v>365</v>
      </c>
      <c r="B22" s="223"/>
      <c r="C22" s="223"/>
      <c r="D22" s="223"/>
      <c r="E22" s="223"/>
      <c r="F22" s="223"/>
      <c r="G22" s="223"/>
      <c r="H22" s="223"/>
      <c r="I22" s="224"/>
      <c r="K22" s="231" t="s">
        <v>317</v>
      </c>
      <c r="L22" s="231"/>
      <c r="M22" s="231"/>
      <c r="N22" s="231"/>
    </row>
    <row r="23" spans="1:14" x14ac:dyDescent="0.2">
      <c r="A23" s="225"/>
      <c r="B23" s="226"/>
      <c r="C23" s="226"/>
      <c r="D23" s="226"/>
      <c r="E23" s="226"/>
      <c r="F23" s="226"/>
      <c r="G23" s="226"/>
      <c r="H23" s="226"/>
      <c r="I23" s="227"/>
      <c r="K23" s="231"/>
      <c r="L23" s="231"/>
      <c r="M23" s="231"/>
      <c r="N23" s="231"/>
    </row>
    <row r="24" spans="1:14" x14ac:dyDescent="0.2">
      <c r="A24" s="225"/>
      <c r="B24" s="226"/>
      <c r="C24" s="226"/>
      <c r="D24" s="226"/>
      <c r="E24" s="226"/>
      <c r="F24" s="226"/>
      <c r="G24" s="226"/>
      <c r="H24" s="226"/>
      <c r="I24" s="227"/>
      <c r="K24" s="231"/>
      <c r="L24" s="231"/>
      <c r="M24" s="231"/>
      <c r="N24" s="231"/>
    </row>
    <row r="25" spans="1:14" x14ac:dyDescent="0.2">
      <c r="A25" s="225"/>
      <c r="B25" s="226"/>
      <c r="C25" s="226"/>
      <c r="D25" s="226"/>
      <c r="E25" s="226"/>
      <c r="F25" s="226"/>
      <c r="G25" s="226"/>
      <c r="H25" s="226"/>
      <c r="I25" s="227"/>
      <c r="K25" s="231"/>
      <c r="L25" s="231"/>
      <c r="M25" s="231"/>
      <c r="N25" s="231"/>
    </row>
    <row r="26" spans="1:14" x14ac:dyDescent="0.2">
      <c r="A26" s="225"/>
      <c r="B26" s="226"/>
      <c r="C26" s="226"/>
      <c r="D26" s="226"/>
      <c r="E26" s="226"/>
      <c r="F26" s="226"/>
      <c r="G26" s="226"/>
      <c r="H26" s="226"/>
      <c r="I26" s="227"/>
      <c r="K26" s="231"/>
      <c r="L26" s="231"/>
      <c r="M26" s="231"/>
      <c r="N26" s="231"/>
    </row>
    <row r="27" spans="1:14" x14ac:dyDescent="0.2">
      <c r="A27" s="225"/>
      <c r="B27" s="226"/>
      <c r="C27" s="226"/>
      <c r="D27" s="226"/>
      <c r="E27" s="226"/>
      <c r="F27" s="226"/>
      <c r="G27" s="226"/>
      <c r="H27" s="226"/>
      <c r="I27" s="227"/>
      <c r="K27" s="231"/>
      <c r="L27" s="231"/>
      <c r="M27" s="231"/>
      <c r="N27" s="231"/>
    </row>
    <row r="28" spans="1:14" x14ac:dyDescent="0.2">
      <c r="A28" s="225"/>
      <c r="B28" s="226"/>
      <c r="C28" s="226"/>
      <c r="D28" s="226"/>
      <c r="E28" s="226"/>
      <c r="F28" s="226"/>
      <c r="G28" s="226"/>
      <c r="H28" s="226"/>
      <c r="I28" s="227"/>
      <c r="K28" s="231"/>
      <c r="L28" s="231"/>
      <c r="M28" s="231"/>
      <c r="N28" s="231"/>
    </row>
    <row r="29" spans="1:14" x14ac:dyDescent="0.2">
      <c r="A29" s="225"/>
      <c r="B29" s="226"/>
      <c r="C29" s="226"/>
      <c r="D29" s="226"/>
      <c r="E29" s="226"/>
      <c r="F29" s="226"/>
      <c r="G29" s="226"/>
      <c r="H29" s="226"/>
      <c r="I29" s="227"/>
      <c r="K29" s="231"/>
      <c r="L29" s="231"/>
      <c r="M29" s="231"/>
      <c r="N29" s="231"/>
    </row>
    <row r="30" spans="1:14" x14ac:dyDescent="0.2">
      <c r="A30" s="225"/>
      <c r="B30" s="226"/>
      <c r="C30" s="226"/>
      <c r="D30" s="226"/>
      <c r="E30" s="226"/>
      <c r="F30" s="226"/>
      <c r="G30" s="226"/>
      <c r="H30" s="226"/>
      <c r="I30" s="227"/>
      <c r="K30" s="231"/>
      <c r="L30" s="231"/>
      <c r="M30" s="231"/>
      <c r="N30" s="231"/>
    </row>
    <row r="31" spans="1:14" x14ac:dyDescent="0.2">
      <c r="A31" s="225"/>
      <c r="B31" s="226"/>
      <c r="C31" s="226"/>
      <c r="D31" s="226"/>
      <c r="E31" s="226"/>
      <c r="F31" s="226"/>
      <c r="G31" s="226"/>
      <c r="H31" s="226"/>
      <c r="I31" s="227"/>
      <c r="K31" s="231"/>
      <c r="L31" s="231"/>
      <c r="M31" s="231"/>
      <c r="N31" s="231"/>
    </row>
    <row r="32" spans="1:14" x14ac:dyDescent="0.2">
      <c r="A32" s="225"/>
      <c r="B32" s="226"/>
      <c r="C32" s="226"/>
      <c r="D32" s="226"/>
      <c r="E32" s="226"/>
      <c r="F32" s="226"/>
      <c r="G32" s="226"/>
      <c r="H32" s="226"/>
      <c r="I32" s="227"/>
    </row>
    <row r="33" spans="1:9" x14ac:dyDescent="0.2">
      <c r="A33" s="225"/>
      <c r="B33" s="226"/>
      <c r="C33" s="226"/>
      <c r="D33" s="226"/>
      <c r="E33" s="226"/>
      <c r="F33" s="226"/>
      <c r="G33" s="226"/>
      <c r="H33" s="226"/>
      <c r="I33" s="227"/>
    </row>
    <row r="34" spans="1:9" x14ac:dyDescent="0.2">
      <c r="A34" s="225"/>
      <c r="B34" s="226"/>
      <c r="C34" s="226"/>
      <c r="D34" s="226"/>
      <c r="E34" s="226"/>
      <c r="F34" s="226"/>
      <c r="G34" s="226"/>
      <c r="H34" s="226"/>
      <c r="I34" s="227"/>
    </row>
    <row r="35" spans="1:9" x14ac:dyDescent="0.2">
      <c r="A35" s="225"/>
      <c r="B35" s="226"/>
      <c r="C35" s="226"/>
      <c r="D35" s="226"/>
      <c r="E35" s="226"/>
      <c r="F35" s="226"/>
      <c r="G35" s="226"/>
      <c r="H35" s="226"/>
      <c r="I35" s="227"/>
    </row>
    <row r="36" spans="1:9" x14ac:dyDescent="0.2">
      <c r="A36" s="225"/>
      <c r="B36" s="226"/>
      <c r="C36" s="226"/>
      <c r="D36" s="226"/>
      <c r="E36" s="226"/>
      <c r="F36" s="226"/>
      <c r="G36" s="226"/>
      <c r="H36" s="226"/>
      <c r="I36" s="227"/>
    </row>
    <row r="37" spans="1:9" x14ac:dyDescent="0.2">
      <c r="A37" s="225"/>
      <c r="B37" s="226"/>
      <c r="C37" s="226"/>
      <c r="D37" s="226"/>
      <c r="E37" s="226"/>
      <c r="F37" s="226"/>
      <c r="G37" s="226"/>
      <c r="H37" s="226"/>
      <c r="I37" s="227"/>
    </row>
    <row r="38" spans="1:9" x14ac:dyDescent="0.2">
      <c r="A38" s="225"/>
      <c r="B38" s="226"/>
      <c r="C38" s="226"/>
      <c r="D38" s="226"/>
      <c r="E38" s="226"/>
      <c r="F38" s="226"/>
      <c r="G38" s="226"/>
      <c r="H38" s="226"/>
      <c r="I38" s="227"/>
    </row>
    <row r="39" spans="1:9" x14ac:dyDescent="0.2">
      <c r="A39" s="225"/>
      <c r="B39" s="226"/>
      <c r="C39" s="226"/>
      <c r="D39" s="226"/>
      <c r="E39" s="226"/>
      <c r="F39" s="226"/>
      <c r="G39" s="226"/>
      <c r="H39" s="226"/>
      <c r="I39" s="227"/>
    </row>
    <row r="40" spans="1:9" ht="14.25" customHeight="1" x14ac:dyDescent="0.2">
      <c r="A40" s="225"/>
      <c r="B40" s="226"/>
      <c r="C40" s="226"/>
      <c r="D40" s="226"/>
      <c r="E40" s="226"/>
      <c r="F40" s="226"/>
      <c r="G40" s="226"/>
      <c r="H40" s="226"/>
      <c r="I40" s="227"/>
    </row>
    <row r="41" spans="1:9" x14ac:dyDescent="0.2">
      <c r="A41" s="225"/>
      <c r="B41" s="226"/>
      <c r="C41" s="226"/>
      <c r="D41" s="226"/>
      <c r="E41" s="226"/>
      <c r="F41" s="226"/>
      <c r="G41" s="226"/>
      <c r="H41" s="226"/>
      <c r="I41" s="227"/>
    </row>
    <row r="42" spans="1:9" x14ac:dyDescent="0.2">
      <c r="A42" s="225"/>
      <c r="B42" s="226"/>
      <c r="C42" s="226"/>
      <c r="D42" s="226"/>
      <c r="E42" s="226"/>
      <c r="F42" s="226"/>
      <c r="G42" s="226"/>
      <c r="H42" s="226"/>
      <c r="I42" s="227"/>
    </row>
    <row r="43" spans="1:9" x14ac:dyDescent="0.2">
      <c r="A43" s="225"/>
      <c r="B43" s="226"/>
      <c r="C43" s="226"/>
      <c r="D43" s="226"/>
      <c r="E43" s="226"/>
      <c r="F43" s="226"/>
      <c r="G43" s="226"/>
      <c r="H43" s="226"/>
      <c r="I43" s="227"/>
    </row>
    <row r="44" spans="1:9" x14ac:dyDescent="0.2">
      <c r="A44" s="225"/>
      <c r="B44" s="226"/>
      <c r="C44" s="226"/>
      <c r="D44" s="226"/>
      <c r="E44" s="226"/>
      <c r="F44" s="226"/>
      <c r="G44" s="226"/>
      <c r="H44" s="226"/>
      <c r="I44" s="227"/>
    </row>
    <row r="45" spans="1:9" x14ac:dyDescent="0.2">
      <c r="A45" s="225"/>
      <c r="B45" s="226"/>
      <c r="C45" s="226"/>
      <c r="D45" s="226"/>
      <c r="E45" s="226"/>
      <c r="F45" s="226"/>
      <c r="G45" s="226"/>
      <c r="H45" s="226"/>
      <c r="I45" s="227"/>
    </row>
    <row r="46" spans="1:9" x14ac:dyDescent="0.2">
      <c r="A46" s="225"/>
      <c r="B46" s="226"/>
      <c r="C46" s="226"/>
      <c r="D46" s="226"/>
      <c r="E46" s="226"/>
      <c r="F46" s="226"/>
      <c r="G46" s="226"/>
      <c r="H46" s="226"/>
      <c r="I46" s="227"/>
    </row>
    <row r="47" spans="1:9" x14ac:dyDescent="0.2">
      <c r="A47" s="225"/>
      <c r="B47" s="226"/>
      <c r="C47" s="226"/>
      <c r="D47" s="226"/>
      <c r="E47" s="226"/>
      <c r="F47" s="226"/>
      <c r="G47" s="226"/>
      <c r="H47" s="226"/>
      <c r="I47" s="227"/>
    </row>
    <row r="48" spans="1:9" x14ac:dyDescent="0.2">
      <c r="A48" s="225"/>
      <c r="B48" s="226"/>
      <c r="C48" s="226"/>
      <c r="D48" s="226"/>
      <c r="E48" s="226"/>
      <c r="F48" s="226"/>
      <c r="G48" s="226"/>
      <c r="H48" s="226"/>
      <c r="I48" s="227"/>
    </row>
    <row r="49" spans="1:9" x14ac:dyDescent="0.2">
      <c r="A49" s="225"/>
      <c r="B49" s="226"/>
      <c r="C49" s="226"/>
      <c r="D49" s="226"/>
      <c r="E49" s="226"/>
      <c r="F49" s="226"/>
      <c r="G49" s="226"/>
      <c r="H49" s="226"/>
      <c r="I49" s="227"/>
    </row>
    <row r="50" spans="1:9" x14ac:dyDescent="0.2">
      <c r="A50" s="225"/>
      <c r="B50" s="226"/>
      <c r="C50" s="226"/>
      <c r="D50" s="226"/>
      <c r="E50" s="226"/>
      <c r="F50" s="226"/>
      <c r="G50" s="226"/>
      <c r="H50" s="226"/>
      <c r="I50" s="227"/>
    </row>
    <row r="51" spans="1:9" x14ac:dyDescent="0.2">
      <c r="A51" s="225"/>
      <c r="B51" s="226"/>
      <c r="C51" s="226"/>
      <c r="D51" s="226"/>
      <c r="E51" s="226"/>
      <c r="F51" s="226"/>
      <c r="G51" s="226"/>
      <c r="H51" s="226"/>
      <c r="I51" s="227"/>
    </row>
    <row r="52" spans="1:9" x14ac:dyDescent="0.2">
      <c r="A52" s="225"/>
      <c r="B52" s="226"/>
      <c r="C52" s="226"/>
      <c r="D52" s="226"/>
      <c r="E52" s="226"/>
      <c r="F52" s="226"/>
      <c r="G52" s="226"/>
      <c r="H52" s="226"/>
      <c r="I52" s="227"/>
    </row>
    <row r="53" spans="1:9" x14ac:dyDescent="0.2">
      <c r="A53" s="225"/>
      <c r="B53" s="226"/>
      <c r="C53" s="226"/>
      <c r="D53" s="226"/>
      <c r="E53" s="226"/>
      <c r="F53" s="226"/>
      <c r="G53" s="226"/>
      <c r="H53" s="226"/>
      <c r="I53" s="227"/>
    </row>
    <row r="54" spans="1:9" x14ac:dyDescent="0.2">
      <c r="A54" s="228"/>
      <c r="B54" s="229"/>
      <c r="C54" s="229"/>
      <c r="D54" s="229"/>
      <c r="E54" s="229"/>
      <c r="F54" s="229"/>
      <c r="G54" s="229"/>
      <c r="H54" s="229"/>
      <c r="I54" s="230"/>
    </row>
    <row r="66" spans="6:6" x14ac:dyDescent="0.2">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showGridLines="0" tabSelected="1" topLeftCell="A50" zoomScaleNormal="100" workbookViewId="0">
      <selection activeCell="S10" sqref="S10"/>
    </sheetView>
  </sheetViews>
  <sheetFormatPr defaultColWidth="9.28515625" defaultRowHeight="15" x14ac:dyDescent="0.2"/>
  <cols>
    <col min="1" max="1" width="9.28515625" style="2" customWidth="1"/>
    <col min="2" max="2" width="14.5703125" style="2" bestFit="1" customWidth="1"/>
    <col min="3" max="9" width="9.28515625" style="2"/>
    <col min="10" max="10" width="11.5703125" style="2" customWidth="1"/>
    <col min="11" max="16384" width="9.28515625" style="2"/>
  </cols>
  <sheetData>
    <row r="1" spans="1:14" x14ac:dyDescent="0.2">
      <c r="A1" s="2" t="str">
        <f>+'Cover Page'!$B$29</f>
        <v>Annual Performance Report 2022</v>
      </c>
      <c r="E1" s="2" t="str">
        <f>+'Cover Page'!$B$33</f>
        <v>JG Pears CHP Plant</v>
      </c>
    </row>
    <row r="3" spans="1:14" ht="15.75" x14ac:dyDescent="0.25">
      <c r="A3" s="94" t="s">
        <v>25</v>
      </c>
      <c r="B3" s="95"/>
      <c r="C3" s="95"/>
      <c r="D3" s="95"/>
      <c r="E3" s="95"/>
      <c r="F3" s="95"/>
      <c r="G3" s="95"/>
      <c r="H3" s="95"/>
      <c r="I3" s="96"/>
      <c r="K3" s="137" t="s">
        <v>290</v>
      </c>
    </row>
    <row r="4" spans="1:14" x14ac:dyDescent="0.2">
      <c r="A4" s="97"/>
      <c r="B4" s="98"/>
      <c r="C4" s="98"/>
      <c r="D4" s="98"/>
      <c r="E4" s="98"/>
      <c r="F4" s="98"/>
      <c r="G4" s="98"/>
      <c r="H4" s="98"/>
      <c r="I4" s="99"/>
    </row>
    <row r="5" spans="1:14" ht="15.75" customHeight="1" x14ac:dyDescent="0.2">
      <c r="A5" s="214" t="s">
        <v>412</v>
      </c>
      <c r="B5" s="215"/>
      <c r="C5" s="215"/>
      <c r="D5" s="215"/>
      <c r="E5" s="215"/>
      <c r="F5" s="215"/>
      <c r="G5" s="215"/>
      <c r="H5" s="215"/>
      <c r="I5" s="216"/>
      <c r="K5" s="246" t="s">
        <v>367</v>
      </c>
      <c r="L5" s="231"/>
      <c r="M5" s="231"/>
      <c r="N5" s="231"/>
    </row>
    <row r="6" spans="1:14" x14ac:dyDescent="0.2">
      <c r="A6" s="217"/>
      <c r="B6" s="218"/>
      <c r="C6" s="218"/>
      <c r="D6" s="218"/>
      <c r="E6" s="218"/>
      <c r="F6" s="218"/>
      <c r="G6" s="218"/>
      <c r="H6" s="218"/>
      <c r="I6" s="219"/>
      <c r="K6" s="231"/>
      <c r="L6" s="231"/>
      <c r="M6" s="231"/>
      <c r="N6" s="231"/>
    </row>
    <row r="7" spans="1:14" x14ac:dyDescent="0.2">
      <c r="A7" s="217"/>
      <c r="B7" s="218"/>
      <c r="C7" s="218"/>
      <c r="D7" s="218"/>
      <c r="E7" s="218"/>
      <c r="F7" s="218"/>
      <c r="G7" s="218"/>
      <c r="H7" s="218"/>
      <c r="I7" s="219"/>
      <c r="K7" s="231"/>
      <c r="L7" s="231"/>
      <c r="M7" s="231"/>
      <c r="N7" s="231"/>
    </row>
    <row r="8" spans="1:14" ht="15.75" customHeight="1" x14ac:dyDescent="0.2">
      <c r="A8" s="217"/>
      <c r="B8" s="218"/>
      <c r="C8" s="218"/>
      <c r="D8" s="218"/>
      <c r="E8" s="218"/>
      <c r="F8" s="218"/>
      <c r="G8" s="218"/>
      <c r="H8" s="218"/>
      <c r="I8" s="219"/>
      <c r="K8" s="231"/>
      <c r="L8" s="231"/>
      <c r="M8" s="231"/>
      <c r="N8" s="231"/>
    </row>
    <row r="9" spans="1:14" ht="15.75" customHeight="1" x14ac:dyDescent="0.2">
      <c r="A9" s="217"/>
      <c r="B9" s="218"/>
      <c r="C9" s="218"/>
      <c r="D9" s="218"/>
      <c r="E9" s="218"/>
      <c r="F9" s="218"/>
      <c r="G9" s="218"/>
      <c r="H9" s="218"/>
      <c r="I9" s="219"/>
      <c r="K9" s="231"/>
      <c r="L9" s="231"/>
      <c r="M9" s="231"/>
      <c r="N9" s="231"/>
    </row>
    <row r="10" spans="1:14" ht="15.75" customHeight="1" x14ac:dyDescent="0.2">
      <c r="A10" s="217"/>
      <c r="B10" s="218"/>
      <c r="C10" s="218"/>
      <c r="D10" s="218"/>
      <c r="E10" s="218"/>
      <c r="F10" s="218"/>
      <c r="G10" s="218"/>
      <c r="H10" s="218"/>
      <c r="I10" s="219"/>
      <c r="K10" s="231"/>
      <c r="L10" s="231"/>
      <c r="M10" s="231"/>
      <c r="N10" s="231"/>
    </row>
    <row r="11" spans="1:14" ht="15.75" customHeight="1" x14ac:dyDescent="0.2">
      <c r="A11" s="217"/>
      <c r="B11" s="218"/>
      <c r="C11" s="218"/>
      <c r="D11" s="218"/>
      <c r="E11" s="218"/>
      <c r="F11" s="218"/>
      <c r="G11" s="218"/>
      <c r="H11" s="218"/>
      <c r="I11" s="219"/>
      <c r="K11" s="231"/>
      <c r="L11" s="231"/>
      <c r="M11" s="231"/>
      <c r="N11" s="231"/>
    </row>
    <row r="12" spans="1:14" ht="15.75" customHeight="1" x14ac:dyDescent="0.2">
      <c r="A12" s="217"/>
      <c r="B12" s="218"/>
      <c r="C12" s="218"/>
      <c r="D12" s="218"/>
      <c r="E12" s="218"/>
      <c r="F12" s="218"/>
      <c r="G12" s="218"/>
      <c r="H12" s="218"/>
      <c r="I12" s="219"/>
      <c r="K12" s="231"/>
      <c r="L12" s="231"/>
      <c r="M12" s="231"/>
      <c r="N12" s="231"/>
    </row>
    <row r="13" spans="1:14" ht="15.75" customHeight="1" x14ac:dyDescent="0.2">
      <c r="A13" s="217"/>
      <c r="B13" s="218"/>
      <c r="C13" s="218"/>
      <c r="D13" s="218"/>
      <c r="E13" s="218"/>
      <c r="F13" s="218"/>
      <c r="G13" s="218"/>
      <c r="H13" s="218"/>
      <c r="I13" s="219"/>
      <c r="K13" s="231"/>
      <c r="L13" s="231"/>
      <c r="M13" s="231"/>
      <c r="N13" s="231"/>
    </row>
    <row r="14" spans="1:14" ht="15.75" customHeight="1" x14ac:dyDescent="0.2">
      <c r="A14" s="217"/>
      <c r="B14" s="218"/>
      <c r="C14" s="218"/>
      <c r="D14" s="218"/>
      <c r="E14" s="218"/>
      <c r="F14" s="218"/>
      <c r="G14" s="218"/>
      <c r="H14" s="218"/>
      <c r="I14" s="219"/>
      <c r="K14" s="231"/>
      <c r="L14" s="231"/>
      <c r="M14" s="231"/>
      <c r="N14" s="231"/>
    </row>
    <row r="15" spans="1:14" ht="15.75" customHeight="1" x14ac:dyDescent="0.2">
      <c r="A15" s="217"/>
      <c r="B15" s="218"/>
      <c r="C15" s="218"/>
      <c r="D15" s="218"/>
      <c r="E15" s="218"/>
      <c r="F15" s="218"/>
      <c r="G15" s="218"/>
      <c r="H15" s="218"/>
      <c r="I15" s="219"/>
    </row>
    <row r="16" spans="1:14" ht="15.75" customHeight="1" x14ac:dyDescent="0.2">
      <c r="A16" s="217"/>
      <c r="B16" s="218"/>
      <c r="C16" s="218"/>
      <c r="D16" s="218"/>
      <c r="E16" s="218"/>
      <c r="F16" s="218"/>
      <c r="G16" s="218"/>
      <c r="H16" s="218"/>
      <c r="I16" s="219"/>
    </row>
    <row r="17" spans="1:14" ht="15.75" customHeight="1" x14ac:dyDescent="0.2">
      <c r="A17" s="217"/>
      <c r="B17" s="218"/>
      <c r="C17" s="218"/>
      <c r="D17" s="218"/>
      <c r="E17" s="218"/>
      <c r="F17" s="218"/>
      <c r="G17" s="218"/>
      <c r="H17" s="218"/>
      <c r="I17" s="219"/>
    </row>
    <row r="18" spans="1:14" x14ac:dyDescent="0.2">
      <c r="A18" s="217"/>
      <c r="B18" s="218"/>
      <c r="C18" s="218"/>
      <c r="D18" s="218"/>
      <c r="E18" s="218"/>
      <c r="F18" s="218"/>
      <c r="G18" s="218"/>
      <c r="H18" s="218"/>
      <c r="I18" s="219"/>
    </row>
    <row r="19" spans="1:14" x14ac:dyDescent="0.2">
      <c r="A19" s="217"/>
      <c r="B19" s="218"/>
      <c r="C19" s="218"/>
      <c r="D19" s="218"/>
      <c r="E19" s="218"/>
      <c r="F19" s="218"/>
      <c r="G19" s="218"/>
      <c r="H19" s="218"/>
      <c r="I19" s="219"/>
    </row>
    <row r="20" spans="1:14" x14ac:dyDescent="0.2">
      <c r="A20" s="217"/>
      <c r="B20" s="218"/>
      <c r="C20" s="218"/>
      <c r="D20" s="218"/>
      <c r="E20" s="218"/>
      <c r="F20" s="218"/>
      <c r="G20" s="218"/>
      <c r="H20" s="218"/>
      <c r="I20" s="219"/>
    </row>
    <row r="21" spans="1:14" x14ac:dyDescent="0.2">
      <c r="A21" s="217"/>
      <c r="B21" s="218"/>
      <c r="C21" s="218"/>
      <c r="D21" s="218"/>
      <c r="E21" s="218"/>
      <c r="F21" s="218"/>
      <c r="G21" s="218"/>
      <c r="H21" s="218"/>
      <c r="I21" s="219"/>
    </row>
    <row r="22" spans="1:14" ht="15.4" customHeight="1" x14ac:dyDescent="0.2">
      <c r="A22" s="217"/>
      <c r="B22" s="218"/>
      <c r="C22" s="218"/>
      <c r="D22" s="218"/>
      <c r="E22" s="218"/>
      <c r="F22" s="218"/>
      <c r="G22" s="218"/>
      <c r="H22" s="218"/>
      <c r="I22" s="219"/>
      <c r="K22" s="138"/>
      <c r="L22" s="138"/>
      <c r="M22" s="138"/>
      <c r="N22" s="138"/>
    </row>
    <row r="23" spans="1:14" x14ac:dyDescent="0.2">
      <c r="A23" s="217"/>
      <c r="B23" s="218"/>
      <c r="C23" s="218"/>
      <c r="D23" s="218"/>
      <c r="E23" s="218"/>
      <c r="F23" s="218"/>
      <c r="G23" s="218"/>
      <c r="H23" s="218"/>
      <c r="I23" s="219"/>
      <c r="K23" s="138"/>
      <c r="L23" s="138"/>
      <c r="M23" s="138"/>
      <c r="N23" s="138"/>
    </row>
    <row r="24" spans="1:14" x14ac:dyDescent="0.2">
      <c r="A24" s="217"/>
      <c r="B24" s="218"/>
      <c r="C24" s="218"/>
      <c r="D24" s="218"/>
      <c r="E24" s="218"/>
      <c r="F24" s="218"/>
      <c r="G24" s="218"/>
      <c r="H24" s="218"/>
      <c r="I24" s="219"/>
      <c r="K24" s="138"/>
      <c r="L24" s="138"/>
      <c r="M24" s="138"/>
      <c r="N24" s="138"/>
    </row>
    <row r="25" spans="1:14" x14ac:dyDescent="0.2">
      <c r="A25" s="217"/>
      <c r="B25" s="218"/>
      <c r="C25" s="218"/>
      <c r="D25" s="218"/>
      <c r="E25" s="218"/>
      <c r="F25" s="218"/>
      <c r="G25" s="218"/>
      <c r="H25" s="218"/>
      <c r="I25" s="219"/>
      <c r="K25" s="138"/>
      <c r="L25" s="138"/>
      <c r="M25" s="138"/>
      <c r="N25" s="138"/>
    </row>
    <row r="26" spans="1:14" x14ac:dyDescent="0.2">
      <c r="A26" s="217"/>
      <c r="B26" s="218"/>
      <c r="C26" s="218"/>
      <c r="D26" s="218"/>
      <c r="E26" s="218"/>
      <c r="F26" s="218"/>
      <c r="G26" s="218"/>
      <c r="H26" s="218"/>
      <c r="I26" s="219"/>
      <c r="K26" s="138"/>
      <c r="L26" s="138"/>
      <c r="M26" s="138"/>
      <c r="N26" s="138"/>
    </row>
    <row r="27" spans="1:14" x14ac:dyDescent="0.2">
      <c r="A27" s="220"/>
      <c r="B27" s="221"/>
      <c r="C27" s="221"/>
      <c r="D27" s="221"/>
      <c r="E27" s="221"/>
      <c r="F27" s="221"/>
      <c r="G27" s="221"/>
      <c r="H27" s="221"/>
      <c r="I27" s="222"/>
      <c r="K27" s="138"/>
      <c r="L27" s="138"/>
      <c r="M27" s="138"/>
      <c r="N27" s="138"/>
    </row>
    <row r="28" spans="1:14" x14ac:dyDescent="0.2">
      <c r="K28" s="138"/>
      <c r="L28" s="138"/>
      <c r="M28" s="138"/>
      <c r="N28" s="138"/>
    </row>
    <row r="29" spans="1:14" ht="15.75" x14ac:dyDescent="0.25">
      <c r="A29" s="94" t="s">
        <v>191</v>
      </c>
      <c r="B29" s="95"/>
      <c r="C29" s="95"/>
      <c r="D29" s="95"/>
      <c r="E29" s="95"/>
      <c r="F29" s="95"/>
      <c r="G29" s="95"/>
      <c r="H29" s="95"/>
      <c r="I29" s="96"/>
      <c r="K29" s="138"/>
      <c r="L29" s="138"/>
      <c r="M29" s="138"/>
      <c r="N29" s="138"/>
    </row>
    <row r="30" spans="1:14" x14ac:dyDescent="0.2">
      <c r="A30" s="97"/>
      <c r="B30" s="98"/>
      <c r="C30" s="98"/>
      <c r="D30" s="98"/>
      <c r="E30" s="98"/>
      <c r="F30" s="98"/>
      <c r="G30" s="98"/>
      <c r="H30" s="98"/>
      <c r="I30" s="99"/>
      <c r="K30" s="138"/>
      <c r="L30" s="138"/>
      <c r="M30" s="138"/>
      <c r="N30" s="138"/>
    </row>
    <row r="31" spans="1:14" x14ac:dyDescent="0.2">
      <c r="A31" s="214" t="s">
        <v>413</v>
      </c>
      <c r="B31" s="223"/>
      <c r="C31" s="223"/>
      <c r="D31" s="223"/>
      <c r="E31" s="223"/>
      <c r="F31" s="223"/>
      <c r="G31" s="223"/>
      <c r="H31" s="223"/>
      <c r="I31" s="224"/>
      <c r="K31" s="231" t="s">
        <v>306</v>
      </c>
      <c r="L31" s="231"/>
      <c r="M31" s="231"/>
      <c r="N31" s="231"/>
    </row>
    <row r="32" spans="1:14" x14ac:dyDescent="0.2">
      <c r="A32" s="225"/>
      <c r="B32" s="226"/>
      <c r="C32" s="226"/>
      <c r="D32" s="226"/>
      <c r="E32" s="226"/>
      <c r="F32" s="226"/>
      <c r="G32" s="226"/>
      <c r="H32" s="226"/>
      <c r="I32" s="227"/>
      <c r="K32" s="231"/>
      <c r="L32" s="231"/>
      <c r="M32" s="231"/>
      <c r="N32" s="231"/>
    </row>
    <row r="33" spans="1:14" x14ac:dyDescent="0.2">
      <c r="A33" s="225"/>
      <c r="B33" s="226"/>
      <c r="C33" s="226"/>
      <c r="D33" s="226"/>
      <c r="E33" s="226"/>
      <c r="F33" s="226"/>
      <c r="G33" s="226"/>
      <c r="H33" s="226"/>
      <c r="I33" s="227"/>
      <c r="K33" s="231"/>
      <c r="L33" s="231"/>
      <c r="M33" s="231"/>
      <c r="N33" s="231"/>
    </row>
    <row r="34" spans="1:14" x14ac:dyDescent="0.2">
      <c r="A34" s="225"/>
      <c r="B34" s="226"/>
      <c r="C34" s="226"/>
      <c r="D34" s="226"/>
      <c r="E34" s="226"/>
      <c r="F34" s="226"/>
      <c r="G34" s="226"/>
      <c r="H34" s="226"/>
      <c r="I34" s="227"/>
      <c r="K34" s="231"/>
      <c r="L34" s="231"/>
      <c r="M34" s="231"/>
      <c r="N34" s="231"/>
    </row>
    <row r="35" spans="1:14" x14ac:dyDescent="0.2">
      <c r="A35" s="225"/>
      <c r="B35" s="226"/>
      <c r="C35" s="226"/>
      <c r="D35" s="226"/>
      <c r="E35" s="226"/>
      <c r="F35" s="226"/>
      <c r="G35" s="226"/>
      <c r="H35" s="226"/>
      <c r="I35" s="227"/>
      <c r="K35" s="231"/>
      <c r="L35" s="231"/>
      <c r="M35" s="231"/>
      <c r="N35" s="231"/>
    </row>
    <row r="36" spans="1:14" x14ac:dyDescent="0.2">
      <c r="A36" s="225"/>
      <c r="B36" s="226"/>
      <c r="C36" s="226"/>
      <c r="D36" s="226"/>
      <c r="E36" s="226"/>
      <c r="F36" s="226"/>
      <c r="G36" s="226"/>
      <c r="H36" s="226"/>
      <c r="I36" s="227"/>
      <c r="K36" s="231"/>
      <c r="L36" s="231"/>
      <c r="M36" s="231"/>
      <c r="N36" s="231"/>
    </row>
    <row r="37" spans="1:14" x14ac:dyDescent="0.2">
      <c r="A37" s="225"/>
      <c r="B37" s="226"/>
      <c r="C37" s="226"/>
      <c r="D37" s="226"/>
      <c r="E37" s="226"/>
      <c r="F37" s="226"/>
      <c r="G37" s="226"/>
      <c r="H37" s="226"/>
      <c r="I37" s="227"/>
      <c r="K37" s="231"/>
      <c r="L37" s="231"/>
      <c r="M37" s="231"/>
      <c r="N37" s="231"/>
    </row>
    <row r="38" spans="1:14" ht="14.25" customHeight="1" x14ac:dyDescent="0.2">
      <c r="A38" s="225"/>
      <c r="B38" s="226"/>
      <c r="C38" s="226"/>
      <c r="D38" s="226"/>
      <c r="E38" s="226"/>
      <c r="F38" s="226"/>
      <c r="G38" s="226"/>
      <c r="H38" s="226"/>
      <c r="I38" s="227"/>
      <c r="K38" s="231"/>
      <c r="L38" s="231"/>
      <c r="M38" s="231"/>
      <c r="N38" s="231"/>
    </row>
    <row r="39" spans="1:14" x14ac:dyDescent="0.2">
      <c r="A39" s="225"/>
      <c r="B39" s="226"/>
      <c r="C39" s="226"/>
      <c r="D39" s="226"/>
      <c r="E39" s="226"/>
      <c r="F39" s="226"/>
      <c r="G39" s="226"/>
      <c r="H39" s="226"/>
      <c r="I39" s="227"/>
      <c r="K39" s="231"/>
      <c r="L39" s="231"/>
      <c r="M39" s="231"/>
      <c r="N39" s="231"/>
    </row>
    <row r="40" spans="1:14" x14ac:dyDescent="0.2">
      <c r="A40" s="225"/>
      <c r="B40" s="226"/>
      <c r="C40" s="226"/>
      <c r="D40" s="226"/>
      <c r="E40" s="226"/>
      <c r="F40" s="226"/>
      <c r="G40" s="226"/>
      <c r="H40" s="226"/>
      <c r="I40" s="227"/>
      <c r="K40" s="231"/>
      <c r="L40" s="231"/>
      <c r="M40" s="231"/>
      <c r="N40" s="231"/>
    </row>
    <row r="41" spans="1:14" x14ac:dyDescent="0.2">
      <c r="A41" s="225"/>
      <c r="B41" s="226"/>
      <c r="C41" s="226"/>
      <c r="D41" s="226"/>
      <c r="E41" s="226"/>
      <c r="F41" s="226"/>
      <c r="G41" s="226"/>
      <c r="H41" s="226"/>
      <c r="I41" s="227"/>
    </row>
    <row r="42" spans="1:14" x14ac:dyDescent="0.2">
      <c r="A42" s="225"/>
      <c r="B42" s="226"/>
      <c r="C42" s="226"/>
      <c r="D42" s="226"/>
      <c r="E42" s="226"/>
      <c r="F42" s="226"/>
      <c r="G42" s="226"/>
      <c r="H42" s="226"/>
      <c r="I42" s="227"/>
    </row>
    <row r="43" spans="1:14" x14ac:dyDescent="0.2">
      <c r="A43" s="225"/>
      <c r="B43" s="226"/>
      <c r="C43" s="226"/>
      <c r="D43" s="226"/>
      <c r="E43" s="226"/>
      <c r="F43" s="226"/>
      <c r="G43" s="226"/>
      <c r="H43" s="226"/>
      <c r="I43" s="227"/>
    </row>
    <row r="44" spans="1:14" x14ac:dyDescent="0.2">
      <c r="A44" s="225"/>
      <c r="B44" s="226"/>
      <c r="C44" s="226"/>
      <c r="D44" s="226"/>
      <c r="E44" s="226"/>
      <c r="F44" s="226"/>
      <c r="G44" s="226"/>
      <c r="H44" s="226"/>
      <c r="I44" s="227"/>
    </row>
    <row r="45" spans="1:14" x14ac:dyDescent="0.2">
      <c r="A45" s="225"/>
      <c r="B45" s="226"/>
      <c r="C45" s="226"/>
      <c r="D45" s="226"/>
      <c r="E45" s="226"/>
      <c r="F45" s="226"/>
      <c r="G45" s="226"/>
      <c r="H45" s="226"/>
      <c r="I45" s="227"/>
    </row>
    <row r="46" spans="1:14" x14ac:dyDescent="0.2">
      <c r="A46" s="225"/>
      <c r="B46" s="226"/>
      <c r="C46" s="226"/>
      <c r="D46" s="226"/>
      <c r="E46" s="226"/>
      <c r="F46" s="226"/>
      <c r="G46" s="226"/>
      <c r="H46" s="226"/>
      <c r="I46" s="227"/>
    </row>
    <row r="47" spans="1:14" x14ac:dyDescent="0.2">
      <c r="A47" s="225"/>
      <c r="B47" s="226"/>
      <c r="C47" s="226"/>
      <c r="D47" s="226"/>
      <c r="E47" s="226"/>
      <c r="F47" s="226"/>
      <c r="G47" s="226"/>
      <c r="H47" s="226"/>
      <c r="I47" s="227"/>
    </row>
    <row r="48" spans="1:14" x14ac:dyDescent="0.2">
      <c r="A48" s="225"/>
      <c r="B48" s="226"/>
      <c r="C48" s="226"/>
      <c r="D48" s="226"/>
      <c r="E48" s="226"/>
      <c r="F48" s="226"/>
      <c r="G48" s="226"/>
      <c r="H48" s="226"/>
      <c r="I48" s="227"/>
    </row>
    <row r="49" spans="1:9" x14ac:dyDescent="0.2">
      <c r="A49" s="225"/>
      <c r="B49" s="226"/>
      <c r="C49" s="226"/>
      <c r="D49" s="226"/>
      <c r="E49" s="226"/>
      <c r="F49" s="226"/>
      <c r="G49" s="226"/>
      <c r="H49" s="226"/>
      <c r="I49" s="227"/>
    </row>
    <row r="50" spans="1:9" ht="183.75" customHeight="1" x14ac:dyDescent="0.2">
      <c r="A50" s="225"/>
      <c r="B50" s="226"/>
      <c r="C50" s="226"/>
      <c r="D50" s="226"/>
      <c r="E50" s="226"/>
      <c r="F50" s="226"/>
      <c r="G50" s="226"/>
      <c r="H50" s="226"/>
      <c r="I50" s="227"/>
    </row>
    <row r="51" spans="1:9" ht="229.5" customHeight="1" x14ac:dyDescent="0.2">
      <c r="A51" s="225"/>
      <c r="B51" s="226"/>
      <c r="C51" s="226"/>
      <c r="D51" s="226"/>
      <c r="E51" s="226"/>
      <c r="F51" s="226"/>
      <c r="G51" s="226"/>
      <c r="H51" s="226"/>
      <c r="I51" s="227"/>
    </row>
    <row r="52" spans="1:9" ht="273.75" customHeight="1" x14ac:dyDescent="0.2">
      <c r="A52" s="228"/>
      <c r="B52" s="229"/>
      <c r="C52" s="229"/>
      <c r="D52" s="229"/>
      <c r="E52" s="229"/>
      <c r="F52" s="229"/>
      <c r="G52" s="229"/>
      <c r="H52" s="229"/>
      <c r="I52" s="230"/>
    </row>
    <row r="66" spans="6:6" x14ac:dyDescent="0.2">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8"/>
  <sheetViews>
    <sheetView showGridLines="0" tabSelected="1" zoomScale="90" zoomScaleNormal="90" workbookViewId="0">
      <selection activeCell="S10" sqref="S10"/>
    </sheetView>
  </sheetViews>
  <sheetFormatPr defaultColWidth="9.28515625" defaultRowHeight="15" x14ac:dyDescent="0.2"/>
  <cols>
    <col min="1" max="1" width="28.42578125" style="2" customWidth="1"/>
    <col min="2" max="2" width="8.28515625" style="16" customWidth="1"/>
    <col min="3" max="4" width="11.28515625" style="16" customWidth="1"/>
    <col min="5" max="5" width="12.140625" style="16" customWidth="1"/>
    <col min="6" max="6" width="10.5703125" style="16" customWidth="1"/>
    <col min="7" max="7" width="12.7109375" style="20" customWidth="1"/>
    <col min="8" max="8" width="11.5703125" style="21" customWidth="1"/>
    <col min="9" max="10" width="9.28515625" style="2"/>
    <col min="11" max="11" width="38.42578125" style="2" customWidth="1"/>
    <col min="12" max="16384" width="9.28515625" style="2"/>
  </cols>
  <sheetData>
    <row r="1" spans="1:11" x14ac:dyDescent="0.2">
      <c r="A1" s="2" t="str">
        <f>+'Cover Page'!$B$29</f>
        <v>Annual Performance Report 2022</v>
      </c>
      <c r="B1" s="2"/>
      <c r="C1" s="2"/>
      <c r="D1" s="2"/>
      <c r="E1" s="2" t="str">
        <f>+'Cover Page'!$B$33</f>
        <v>JG Pears CHP Plant</v>
      </c>
      <c r="F1" s="2"/>
      <c r="G1" s="2"/>
      <c r="H1" s="2"/>
    </row>
    <row r="3" spans="1:11" ht="15.75" x14ac:dyDescent="0.25">
      <c r="A3" s="1" t="s">
        <v>268</v>
      </c>
      <c r="K3" s="137" t="s">
        <v>290</v>
      </c>
    </row>
    <row r="4" spans="1:11" x14ac:dyDescent="0.2">
      <c r="A4" s="23" t="s">
        <v>27</v>
      </c>
      <c r="B4" s="240">
        <v>75000</v>
      </c>
      <c r="C4" s="240"/>
      <c r="D4" s="25" t="s">
        <v>28</v>
      </c>
      <c r="E4" s="24">
        <v>42</v>
      </c>
      <c r="F4" s="25" t="s">
        <v>29</v>
      </c>
      <c r="G4" s="24">
        <v>11</v>
      </c>
      <c r="H4" s="124" t="s">
        <v>30</v>
      </c>
      <c r="K4" s="22" t="s">
        <v>343</v>
      </c>
    </row>
    <row r="5" spans="1:11" ht="15.75" x14ac:dyDescent="0.25">
      <c r="A5" s="26" t="s">
        <v>31</v>
      </c>
      <c r="B5" s="27">
        <v>1</v>
      </c>
      <c r="C5" s="28"/>
      <c r="D5" s="28" t="s">
        <v>32</v>
      </c>
      <c r="E5" s="28"/>
      <c r="F5" s="29">
        <v>1</v>
      </c>
      <c r="G5" s="30"/>
      <c r="H5" s="31"/>
      <c r="K5" s="22" t="s">
        <v>344</v>
      </c>
    </row>
    <row r="6" spans="1:11" x14ac:dyDescent="0.2">
      <c r="A6" s="3"/>
      <c r="K6" s="232" t="s">
        <v>345</v>
      </c>
    </row>
    <row r="7" spans="1:11" ht="15.75" x14ac:dyDescent="0.25">
      <c r="A7" s="11" t="s">
        <v>33</v>
      </c>
      <c r="B7" s="32" t="s">
        <v>34</v>
      </c>
      <c r="C7" s="33" t="s">
        <v>35</v>
      </c>
      <c r="D7" s="33" t="s">
        <v>36</v>
      </c>
      <c r="E7" s="33" t="s">
        <v>37</v>
      </c>
      <c r="F7" s="33" t="s">
        <v>38</v>
      </c>
      <c r="G7" s="34" t="s">
        <v>39</v>
      </c>
      <c r="H7" s="35" t="s">
        <v>40</v>
      </c>
      <c r="K7" s="232"/>
    </row>
    <row r="8" spans="1:11" ht="15.75" customHeight="1" x14ac:dyDescent="0.2">
      <c r="A8" s="36" t="s">
        <v>279</v>
      </c>
      <c r="B8" s="234" t="s">
        <v>41</v>
      </c>
      <c r="C8" s="37">
        <v>0</v>
      </c>
      <c r="D8" s="37">
        <v>0</v>
      </c>
      <c r="E8" s="37">
        <v>0</v>
      </c>
      <c r="F8" s="37">
        <v>0</v>
      </c>
      <c r="G8" s="38">
        <f>SUM(C8:F8)</f>
        <v>0</v>
      </c>
      <c r="H8" s="59" t="str">
        <f t="shared" ref="H8:H15" si="0">IF(G8&gt;0,G8/$G$18,"-")</f>
        <v>-</v>
      </c>
      <c r="K8" s="233" t="s">
        <v>346</v>
      </c>
    </row>
    <row r="9" spans="1:11" x14ac:dyDescent="0.2">
      <c r="A9" s="40" t="s">
        <v>42</v>
      </c>
      <c r="B9" s="235"/>
      <c r="C9" s="37">
        <v>0</v>
      </c>
      <c r="D9" s="37">
        <v>0</v>
      </c>
      <c r="E9" s="37">
        <v>0</v>
      </c>
      <c r="F9" s="37">
        <v>0</v>
      </c>
      <c r="G9" s="156">
        <f t="shared" ref="G9:G15" si="1">SUM(C9:F9)</f>
        <v>0</v>
      </c>
      <c r="H9" s="39" t="str">
        <f t="shared" si="0"/>
        <v>-</v>
      </c>
      <c r="K9" s="233"/>
    </row>
    <row r="10" spans="1:11" x14ac:dyDescent="0.2">
      <c r="A10" s="40" t="s">
        <v>43</v>
      </c>
      <c r="B10" s="235"/>
      <c r="C10" s="37">
        <v>0</v>
      </c>
      <c r="D10" s="37">
        <v>0</v>
      </c>
      <c r="E10" s="37">
        <v>0</v>
      </c>
      <c r="F10" s="37">
        <v>0</v>
      </c>
      <c r="G10" s="156">
        <f t="shared" si="1"/>
        <v>0</v>
      </c>
      <c r="H10" s="39" t="str">
        <f t="shared" si="0"/>
        <v>-</v>
      </c>
      <c r="K10" s="233"/>
    </row>
    <row r="11" spans="1:11" x14ac:dyDescent="0.2">
      <c r="A11" s="40" t="s">
        <v>44</v>
      </c>
      <c r="B11" s="235"/>
      <c r="C11" s="37">
        <v>0</v>
      </c>
      <c r="D11" s="37">
        <v>0</v>
      </c>
      <c r="E11" s="37">
        <v>0</v>
      </c>
      <c r="F11" s="37">
        <v>0</v>
      </c>
      <c r="G11" s="156">
        <f t="shared" si="1"/>
        <v>0</v>
      </c>
      <c r="H11" s="39" t="str">
        <f t="shared" si="0"/>
        <v>-</v>
      </c>
      <c r="K11" s="233"/>
    </row>
    <row r="12" spans="1:11" x14ac:dyDescent="0.2">
      <c r="A12" s="40" t="s">
        <v>45</v>
      </c>
      <c r="B12" s="235"/>
      <c r="C12" s="37">
        <v>0</v>
      </c>
      <c r="D12" s="37">
        <v>0</v>
      </c>
      <c r="E12" s="37">
        <v>0</v>
      </c>
      <c r="F12" s="37">
        <v>0</v>
      </c>
      <c r="G12" s="156">
        <f t="shared" si="1"/>
        <v>0</v>
      </c>
      <c r="H12" s="39" t="str">
        <f t="shared" si="0"/>
        <v>-</v>
      </c>
      <c r="K12" s="233"/>
    </row>
    <row r="13" spans="1:11" x14ac:dyDescent="0.2">
      <c r="A13" s="150" t="s">
        <v>340</v>
      </c>
      <c r="B13" s="235"/>
      <c r="C13" s="37">
        <v>0</v>
      </c>
      <c r="D13" s="37">
        <v>0</v>
      </c>
      <c r="E13" s="37">
        <v>0</v>
      </c>
      <c r="F13" s="37">
        <v>0</v>
      </c>
      <c r="G13" s="156">
        <f t="shared" ref="G13" si="2">SUM(C13:F13)</f>
        <v>0</v>
      </c>
      <c r="H13" s="39" t="str">
        <f t="shared" si="0"/>
        <v>-</v>
      </c>
      <c r="K13" s="233"/>
    </row>
    <row r="14" spans="1:11" x14ac:dyDescent="0.2">
      <c r="A14" s="150" t="s">
        <v>339</v>
      </c>
      <c r="B14" s="235"/>
      <c r="C14" s="37">
        <v>0</v>
      </c>
      <c r="D14" s="37">
        <v>0</v>
      </c>
      <c r="E14" s="37">
        <v>0</v>
      </c>
      <c r="F14" s="37">
        <v>0</v>
      </c>
      <c r="G14" s="156">
        <f t="shared" si="1"/>
        <v>0</v>
      </c>
      <c r="H14" s="39" t="str">
        <f t="shared" si="0"/>
        <v>-</v>
      </c>
      <c r="K14" s="233"/>
    </row>
    <row r="15" spans="1:11" x14ac:dyDescent="0.2">
      <c r="A15" s="176" t="s">
        <v>395</v>
      </c>
      <c r="B15" s="235"/>
      <c r="C15" s="126">
        <v>16872.629000000001</v>
      </c>
      <c r="D15" s="126">
        <v>11653.901</v>
      </c>
      <c r="E15" s="126">
        <v>15972.687</v>
      </c>
      <c r="F15" s="126">
        <v>16398.18</v>
      </c>
      <c r="G15" s="156">
        <f t="shared" si="1"/>
        <v>60897.396999999997</v>
      </c>
      <c r="H15" s="39">
        <f t="shared" si="0"/>
        <v>1</v>
      </c>
      <c r="K15" s="233"/>
    </row>
    <row r="16" spans="1:11" x14ac:dyDescent="0.2">
      <c r="A16" s="127" t="s">
        <v>280</v>
      </c>
      <c r="B16" s="235"/>
      <c r="C16" s="37">
        <v>0</v>
      </c>
      <c r="D16" s="37">
        <v>0</v>
      </c>
      <c r="E16" s="37">
        <v>0</v>
      </c>
      <c r="F16" s="37">
        <v>0</v>
      </c>
      <c r="G16" s="156"/>
      <c r="H16" s="39"/>
      <c r="K16" s="233"/>
    </row>
    <row r="17" spans="1:12" x14ac:dyDescent="0.2">
      <c r="A17" s="127" t="s">
        <v>280</v>
      </c>
      <c r="B17" s="235"/>
      <c r="C17" s="37">
        <v>0</v>
      </c>
      <c r="D17" s="37">
        <v>0</v>
      </c>
      <c r="E17" s="37">
        <v>0</v>
      </c>
      <c r="F17" s="37">
        <v>0</v>
      </c>
      <c r="G17" s="156"/>
      <c r="H17" s="39"/>
      <c r="K17" s="233"/>
    </row>
    <row r="18" spans="1:12" x14ac:dyDescent="0.2">
      <c r="A18" s="159" t="s">
        <v>354</v>
      </c>
      <c r="B18" s="235"/>
      <c r="C18" s="156">
        <f>SUM(C8:C17)</f>
        <v>16872.629000000001</v>
      </c>
      <c r="D18" s="156">
        <f>SUM(D8:D17)</f>
        <v>11653.901</v>
      </c>
      <c r="E18" s="156">
        <f>SUM(E8:E17)</f>
        <v>15972.687</v>
      </c>
      <c r="F18" s="156">
        <f>SUM(F8:F17)</f>
        <v>16398.18</v>
      </c>
      <c r="G18" s="156">
        <f>SUM(G8:G17)</f>
        <v>60897.396999999997</v>
      </c>
      <c r="H18" s="158">
        <v>1</v>
      </c>
      <c r="K18" s="233"/>
    </row>
    <row r="19" spans="1:12" x14ac:dyDescent="0.2">
      <c r="A19" s="40" t="s">
        <v>46</v>
      </c>
      <c r="B19" s="235"/>
      <c r="C19" s="126">
        <v>156</v>
      </c>
      <c r="D19" s="126"/>
      <c r="E19" s="126"/>
      <c r="F19" s="126">
        <v>12.86</v>
      </c>
      <c r="G19" s="156">
        <f t="shared" ref="G19" si="3">SUM(C19:F19)</f>
        <v>168.86</v>
      </c>
      <c r="H19" s="39">
        <f t="shared" ref="H19" si="4">IF(G19&gt;0,G19/$G$18,"-")</f>
        <v>2.7728607184967203E-3</v>
      </c>
      <c r="K19" s="233"/>
    </row>
    <row r="20" spans="1:12" x14ac:dyDescent="0.2">
      <c r="A20" s="150" t="s">
        <v>335</v>
      </c>
      <c r="B20" s="235"/>
      <c r="C20" s="126">
        <v>0</v>
      </c>
      <c r="D20" s="126">
        <v>0</v>
      </c>
      <c r="E20" s="126">
        <v>0</v>
      </c>
      <c r="F20" s="126">
        <v>0</v>
      </c>
      <c r="G20" s="156">
        <f t="shared" ref="G20" si="5">SUM(C20:F20)</f>
        <v>0</v>
      </c>
      <c r="H20" s="39" t="str">
        <f>IF(G20&gt;0,G20/$G$18,"-")</f>
        <v>-</v>
      </c>
    </row>
    <row r="21" spans="1:12" x14ac:dyDescent="0.2">
      <c r="A21" s="160" t="s">
        <v>336</v>
      </c>
      <c r="B21" s="155"/>
      <c r="C21" s="157">
        <f>C18-SUM(C19:C20)</f>
        <v>16716.629000000001</v>
      </c>
      <c r="D21" s="157">
        <f t="shared" ref="D21:F21" si="6">D18-SUM(D19:D20)</f>
        <v>11653.901</v>
      </c>
      <c r="E21" s="157">
        <f t="shared" si="6"/>
        <v>15972.687</v>
      </c>
      <c r="F21" s="157">
        <f t="shared" si="6"/>
        <v>16385.32</v>
      </c>
      <c r="G21" s="44">
        <f>SUM(C21:F21)</f>
        <v>60728.536999999997</v>
      </c>
      <c r="H21" s="61">
        <f>IF(G21&gt;0,G21/$G$18,"-")</f>
        <v>0.99722713928150331</v>
      </c>
    </row>
    <row r="22" spans="1:12" x14ac:dyDescent="0.2">
      <c r="A22" s="3"/>
      <c r="C22" s="21"/>
      <c r="D22" s="21"/>
      <c r="E22" s="21"/>
      <c r="F22" s="21"/>
      <c r="G22" s="45"/>
    </row>
    <row r="23" spans="1:12" ht="15.75" x14ac:dyDescent="0.25">
      <c r="A23" s="11" t="s">
        <v>368</v>
      </c>
      <c r="B23" s="32" t="s">
        <v>34</v>
      </c>
      <c r="C23" s="46" t="s">
        <v>35</v>
      </c>
      <c r="D23" s="46" t="s">
        <v>36</v>
      </c>
      <c r="E23" s="46" t="s">
        <v>37</v>
      </c>
      <c r="F23" s="46" t="s">
        <v>38</v>
      </c>
      <c r="G23" s="47" t="s">
        <v>39</v>
      </c>
      <c r="H23" s="48" t="s">
        <v>47</v>
      </c>
    </row>
    <row r="24" spans="1:12" ht="15" customHeight="1" x14ac:dyDescent="0.2">
      <c r="A24" s="49" t="s">
        <v>48</v>
      </c>
      <c r="B24" s="234" t="s">
        <v>49</v>
      </c>
      <c r="C24" s="162">
        <v>17434.575000000001</v>
      </c>
      <c r="D24" s="37">
        <v>13185</v>
      </c>
      <c r="E24" s="37">
        <v>16508</v>
      </c>
      <c r="F24" s="37">
        <v>17242</v>
      </c>
      <c r="G24" s="38">
        <f t="shared" ref="G24:G27" si="7">SUM(C24:F24)</f>
        <v>64369.574999999997</v>
      </c>
      <c r="H24" s="50">
        <f>IF(G24&gt;0,G24*1000/$G$21,"-")</f>
        <v>1059.9559643598857</v>
      </c>
    </row>
    <row r="25" spans="1:12" x14ac:dyDescent="0.2">
      <c r="A25" s="51" t="s">
        <v>50</v>
      </c>
      <c r="B25" s="235"/>
      <c r="C25" s="41">
        <v>11193</v>
      </c>
      <c r="D25" s="41">
        <v>8381</v>
      </c>
      <c r="E25" s="41">
        <v>10470</v>
      </c>
      <c r="F25" s="41">
        <v>10642</v>
      </c>
      <c r="G25" s="42">
        <f>SUM(C25:F25)</f>
        <v>40686</v>
      </c>
      <c r="H25" s="52">
        <f>IF(G25&gt;0,G25*1000/$G$21,"-")</f>
        <v>669.96509400514628</v>
      </c>
    </row>
    <row r="26" spans="1:12" x14ac:dyDescent="0.2">
      <c r="A26" s="51" t="s">
        <v>51</v>
      </c>
      <c r="B26" s="235"/>
      <c r="C26" s="41">
        <v>2293.3110000000001</v>
      </c>
      <c r="D26" s="41">
        <v>1861.78</v>
      </c>
      <c r="E26" s="41">
        <v>2313.54</v>
      </c>
      <c r="F26" s="41">
        <v>2283.069</v>
      </c>
      <c r="G26" s="42">
        <f>SUM(C26:F26)</f>
        <v>8751.7000000000007</v>
      </c>
      <c r="H26" s="52">
        <f>IF(G26&gt;0,G26*1000/$G$21,"-")</f>
        <v>144.1118201151462</v>
      </c>
    </row>
    <row r="27" spans="1:12" x14ac:dyDescent="0.2">
      <c r="A27" s="51" t="s">
        <v>52</v>
      </c>
      <c r="B27" s="235"/>
      <c r="C27" s="41">
        <v>292.70999999999998</v>
      </c>
      <c r="D27" s="41">
        <v>663.02</v>
      </c>
      <c r="E27" s="41">
        <v>347.39033999999998</v>
      </c>
      <c r="F27" s="41">
        <v>219.64338000000001</v>
      </c>
      <c r="G27" s="42">
        <f t="shared" si="7"/>
        <v>1522.7637199999999</v>
      </c>
      <c r="H27" s="52">
        <f>IF(G27&gt;0,G27*1000/$G$21,"-")</f>
        <v>25.074928447560001</v>
      </c>
    </row>
    <row r="28" spans="1:12" x14ac:dyDescent="0.2">
      <c r="A28" s="51" t="s">
        <v>53</v>
      </c>
      <c r="B28" s="53" t="s">
        <v>40</v>
      </c>
      <c r="C28" s="54">
        <f>IF(C24&gt;0,1-C25/(C24+C27),"-")</f>
        <v>0.36860043712277435</v>
      </c>
      <c r="D28" s="54">
        <f>IF(D24&gt;0,1-D25/(D24+D27),"-")</f>
        <v>0.39478712480195721</v>
      </c>
      <c r="E28" s="54">
        <f>IF(E24&gt;0,1-E25/(E24+E27),"-")</f>
        <v>0.37883372684918792</v>
      </c>
      <c r="F28" s="54">
        <f>IF(F24&gt;0,1-F25/(F24+F27),"-")</f>
        <v>0.39054991741561962</v>
      </c>
      <c r="G28" s="54">
        <f>IF(G24&gt;0,1-G25/(G24+G27),"-")</f>
        <v>0.3825382314491933</v>
      </c>
      <c r="H28" s="52"/>
    </row>
    <row r="29" spans="1:12" x14ac:dyDescent="0.2">
      <c r="A29" s="147" t="s">
        <v>341</v>
      </c>
      <c r="B29" s="241" t="s">
        <v>49</v>
      </c>
      <c r="C29" s="41">
        <v>1790741.3</v>
      </c>
      <c r="D29" s="41">
        <v>1896083.6</v>
      </c>
      <c r="E29" s="41">
        <v>2008672</v>
      </c>
      <c r="F29" s="41">
        <v>2138723.2000000002</v>
      </c>
      <c r="G29" s="42">
        <f t="shared" ref="G29:G30" si="8">SUM(C29:F29)</f>
        <v>7834220.1000000006</v>
      </c>
      <c r="H29" s="52">
        <f>IF(G29&gt;0,G29*1000/$G$21,"-")</f>
        <v>129003.93269806584</v>
      </c>
    </row>
    <row r="30" spans="1:12" x14ac:dyDescent="0.2">
      <c r="A30" s="147" t="s">
        <v>342</v>
      </c>
      <c r="B30" s="242"/>
      <c r="C30" s="41">
        <v>32285.585999999999</v>
      </c>
      <c r="D30" s="41">
        <v>24715.11</v>
      </c>
      <c r="E30" s="41">
        <v>29669.493999999999</v>
      </c>
      <c r="F30" s="41">
        <v>35596.627999999997</v>
      </c>
      <c r="G30" s="42">
        <f t="shared" si="8"/>
        <v>122266.818</v>
      </c>
      <c r="H30" s="52">
        <f>IF(G30&gt;0,G30*1000/$G$21,"-")</f>
        <v>2013.333830189257</v>
      </c>
      <c r="K30" s="22"/>
      <c r="L30" s="22"/>
    </row>
    <row r="31" spans="1:12" x14ac:dyDescent="0.2">
      <c r="A31" s="55" t="s">
        <v>55</v>
      </c>
      <c r="B31" s="56"/>
      <c r="C31" s="237"/>
      <c r="D31" s="237"/>
      <c r="E31" s="237"/>
      <c r="F31" s="237"/>
      <c r="G31" s="238" t="s">
        <v>56</v>
      </c>
      <c r="H31" s="239"/>
      <c r="L31" s="22"/>
    </row>
    <row r="32" spans="1:12" x14ac:dyDescent="0.2">
      <c r="A32" s="3"/>
      <c r="C32" s="21"/>
      <c r="D32" s="21"/>
      <c r="E32" s="21"/>
      <c r="F32" s="21"/>
      <c r="G32" s="45"/>
      <c r="L32" s="22"/>
    </row>
    <row r="33" spans="1:12" ht="15.75" x14ac:dyDescent="0.25">
      <c r="A33" s="11" t="s">
        <v>57</v>
      </c>
      <c r="B33" s="57" t="s">
        <v>34</v>
      </c>
      <c r="C33" s="46" t="s">
        <v>35</v>
      </c>
      <c r="D33" s="46" t="s">
        <v>36</v>
      </c>
      <c r="E33" s="46" t="s">
        <v>37</v>
      </c>
      <c r="F33" s="46" t="s">
        <v>38</v>
      </c>
      <c r="G33" s="47" t="s">
        <v>39</v>
      </c>
      <c r="H33" s="58" t="s">
        <v>58</v>
      </c>
      <c r="L33" s="22"/>
    </row>
    <row r="34" spans="1:12" ht="15" customHeight="1" x14ac:dyDescent="0.25">
      <c r="A34" s="49" t="s">
        <v>59</v>
      </c>
      <c r="B34" s="234" t="s">
        <v>41</v>
      </c>
      <c r="C34" s="181">
        <v>1237.42</v>
      </c>
      <c r="D34" s="181">
        <v>25.12</v>
      </c>
      <c r="E34" s="181">
        <v>14.48</v>
      </c>
      <c r="F34" s="181">
        <v>13.68</v>
      </c>
      <c r="G34" s="38">
        <f t="shared" ref="G34:G35" si="9">SUM(C34:F34)</f>
        <v>1290.7</v>
      </c>
      <c r="H34" s="59">
        <f>IF(G34&gt;0,G34/$G$21,"-")</f>
        <v>2.1253599440408059E-2</v>
      </c>
      <c r="K34" s="22"/>
      <c r="L34" s="22"/>
    </row>
    <row r="35" spans="1:12" ht="15" customHeight="1" x14ac:dyDescent="0.25">
      <c r="A35" s="51" t="s">
        <v>60</v>
      </c>
      <c r="B35" s="235"/>
      <c r="C35" s="180">
        <v>941.56</v>
      </c>
      <c r="D35" s="180">
        <v>54.94</v>
      </c>
      <c r="E35" s="180">
        <v>14.36</v>
      </c>
      <c r="F35" s="180">
        <v>16.7</v>
      </c>
      <c r="G35" s="42">
        <f t="shared" si="9"/>
        <v>1027.56</v>
      </c>
      <c r="H35" s="39">
        <f t="shared" ref="H35:H39" si="10">IF(G35&gt;0,G35/$G$21,"-")</f>
        <v>1.6920545937077324E-2</v>
      </c>
      <c r="K35" s="22"/>
      <c r="L35" s="22"/>
    </row>
    <row r="36" spans="1:12" ht="15" customHeight="1" x14ac:dyDescent="0.2">
      <c r="A36" s="167" t="s">
        <v>400</v>
      </c>
      <c r="B36" s="235"/>
      <c r="C36" s="41">
        <v>0.2</v>
      </c>
      <c r="D36" s="41">
        <v>0.2</v>
      </c>
      <c r="E36" s="41">
        <v>0.12</v>
      </c>
      <c r="F36" s="41"/>
      <c r="G36" s="42">
        <f t="shared" ref="G36:G39" si="11">SUM(C36:F36)</f>
        <v>0.52</v>
      </c>
      <c r="H36" s="39">
        <f t="shared" si="10"/>
        <v>8.5626959859085694E-6</v>
      </c>
    </row>
    <row r="37" spans="1:12" x14ac:dyDescent="0.2">
      <c r="A37" s="167" t="s">
        <v>402</v>
      </c>
      <c r="B37" s="235"/>
      <c r="C37" s="41">
        <v>0</v>
      </c>
      <c r="D37" s="41">
        <v>0</v>
      </c>
      <c r="E37" s="41">
        <v>6.0000000000000001E-3</v>
      </c>
      <c r="F37" s="41">
        <v>0</v>
      </c>
      <c r="G37" s="42">
        <f t="shared" ref="G37" si="12">SUM(C37:F37)</f>
        <v>6.0000000000000001E-3</v>
      </c>
      <c r="H37" s="39">
        <f t="shared" si="10"/>
        <v>9.8800338298945039E-8</v>
      </c>
      <c r="I37" s="161"/>
    </row>
    <row r="38" spans="1:12" x14ac:dyDescent="0.2">
      <c r="A38" s="167" t="s">
        <v>404</v>
      </c>
      <c r="B38" s="235"/>
      <c r="C38" s="41">
        <v>0</v>
      </c>
      <c r="D38" s="41">
        <v>0</v>
      </c>
      <c r="E38" s="41">
        <v>1.6E-2</v>
      </c>
      <c r="F38" s="41">
        <v>0</v>
      </c>
      <c r="G38" s="42">
        <f t="shared" si="11"/>
        <v>1.6E-2</v>
      </c>
      <c r="H38" s="39">
        <f t="shared" si="10"/>
        <v>2.6346756879718673E-7</v>
      </c>
    </row>
    <row r="39" spans="1:12" x14ac:dyDescent="0.2">
      <c r="A39" s="60" t="s">
        <v>61</v>
      </c>
      <c r="B39" s="236"/>
      <c r="C39" s="43">
        <v>0</v>
      </c>
      <c r="D39" s="43">
        <v>0</v>
      </c>
      <c r="E39" s="43">
        <v>0</v>
      </c>
      <c r="F39" s="43">
        <v>0</v>
      </c>
      <c r="G39" s="44">
        <f t="shared" si="11"/>
        <v>0</v>
      </c>
      <c r="H39" s="61" t="str">
        <f t="shared" si="10"/>
        <v>-</v>
      </c>
    </row>
    <row r="40" spans="1:12" x14ac:dyDescent="0.2">
      <c r="A40" s="16"/>
      <c r="C40" s="21"/>
      <c r="D40" s="21"/>
      <c r="E40" s="21"/>
      <c r="F40" s="21"/>
      <c r="G40" s="45"/>
    </row>
    <row r="41" spans="1:12" ht="15.75" x14ac:dyDescent="0.25">
      <c r="A41" s="11" t="s">
        <v>62</v>
      </c>
      <c r="B41" s="62" t="s">
        <v>34</v>
      </c>
      <c r="C41" s="33" t="s">
        <v>35</v>
      </c>
      <c r="D41" s="33" t="s">
        <v>36</v>
      </c>
      <c r="E41" s="33" t="s">
        <v>37</v>
      </c>
      <c r="F41" s="33" t="s">
        <v>38</v>
      </c>
      <c r="G41" s="34" t="s">
        <v>39</v>
      </c>
      <c r="H41" s="166" t="s">
        <v>371</v>
      </c>
    </row>
    <row r="42" spans="1:12" ht="15.6" customHeight="1" x14ac:dyDescent="0.2">
      <c r="A42" s="49" t="s">
        <v>63</v>
      </c>
      <c r="B42" s="163" t="s">
        <v>369</v>
      </c>
      <c r="C42" s="37">
        <v>47</v>
      </c>
      <c r="D42" s="37">
        <v>182</v>
      </c>
      <c r="E42" s="37">
        <v>184</v>
      </c>
      <c r="F42" s="37">
        <v>50</v>
      </c>
      <c r="G42" s="38">
        <f t="shared" ref="G42:G50" si="13">SUM(C42:F42)</f>
        <v>463</v>
      </c>
      <c r="H42" s="63">
        <f>IF(G42&gt;0,G42/$G$21,"-")</f>
        <v>7.6240927720685912E-3</v>
      </c>
    </row>
    <row r="43" spans="1:12" x14ac:dyDescent="0.2">
      <c r="A43" s="51" t="s">
        <v>65</v>
      </c>
      <c r="B43" s="163" t="s">
        <v>369</v>
      </c>
      <c r="C43" s="41">
        <v>11560</v>
      </c>
      <c r="D43" s="41">
        <v>9330</v>
      </c>
      <c r="E43" s="41">
        <v>11335</v>
      </c>
      <c r="F43" s="41">
        <v>10739</v>
      </c>
      <c r="G43" s="42">
        <f t="shared" si="13"/>
        <v>42964</v>
      </c>
      <c r="H43" s="63">
        <f t="shared" ref="H43:H50" si="14">IF(G43&gt;0,G43/$G$21,"-")</f>
        <v>0.70747628911264571</v>
      </c>
    </row>
    <row r="44" spans="1:12" ht="15.6" customHeight="1" x14ac:dyDescent="0.2">
      <c r="A44" s="147" t="s">
        <v>330</v>
      </c>
      <c r="B44" s="163" t="s">
        <v>369</v>
      </c>
      <c r="C44" s="41">
        <v>26</v>
      </c>
      <c r="D44" s="41">
        <v>23</v>
      </c>
      <c r="E44" s="41">
        <v>13</v>
      </c>
      <c r="F44" s="41">
        <v>32</v>
      </c>
      <c r="G44" s="42">
        <f t="shared" si="13"/>
        <v>94</v>
      </c>
      <c r="H44" s="63">
        <f t="shared" si="14"/>
        <v>1.5478719666834721E-3</v>
      </c>
    </row>
    <row r="45" spans="1:12" ht="15.6" customHeight="1" x14ac:dyDescent="0.2">
      <c r="A45" s="147" t="s">
        <v>331</v>
      </c>
      <c r="B45" s="53" t="s">
        <v>281</v>
      </c>
      <c r="C45" s="41">
        <v>0</v>
      </c>
      <c r="D45" s="41"/>
      <c r="E45" s="41"/>
      <c r="F45" s="41"/>
      <c r="G45" s="42">
        <f t="shared" ref="G45" si="15">SUM(C45:F45)</f>
        <v>0</v>
      </c>
      <c r="H45" s="63" t="str">
        <f t="shared" si="14"/>
        <v>-</v>
      </c>
    </row>
    <row r="46" spans="1:12" x14ac:dyDescent="0.2">
      <c r="A46" s="51" t="s">
        <v>66</v>
      </c>
      <c r="B46" s="53" t="s">
        <v>281</v>
      </c>
      <c r="C46" s="41">
        <v>0</v>
      </c>
      <c r="D46" s="41"/>
      <c r="E46" s="41"/>
      <c r="F46" s="41"/>
      <c r="G46" s="42">
        <f t="shared" si="13"/>
        <v>0</v>
      </c>
      <c r="H46" s="63" t="str">
        <f t="shared" si="14"/>
        <v>-</v>
      </c>
    </row>
    <row r="47" spans="1:12" x14ac:dyDescent="0.2">
      <c r="A47" s="51" t="s">
        <v>67</v>
      </c>
      <c r="B47" s="53" t="s">
        <v>281</v>
      </c>
      <c r="C47" s="41">
        <v>0</v>
      </c>
      <c r="D47" s="41"/>
      <c r="E47" s="41"/>
      <c r="F47" s="41"/>
      <c r="G47" s="42">
        <f t="shared" si="13"/>
        <v>0</v>
      </c>
      <c r="H47" s="63" t="str">
        <f t="shared" si="14"/>
        <v>-</v>
      </c>
    </row>
    <row r="48" spans="1:12" x14ac:dyDescent="0.2">
      <c r="A48" s="51" t="s">
        <v>68</v>
      </c>
      <c r="B48" s="53" t="s">
        <v>69</v>
      </c>
      <c r="C48" s="41">
        <v>0</v>
      </c>
      <c r="D48" s="41"/>
      <c r="E48" s="41"/>
      <c r="F48" s="41"/>
      <c r="G48" s="42">
        <f t="shared" si="13"/>
        <v>0</v>
      </c>
      <c r="H48" s="63" t="str">
        <f t="shared" si="14"/>
        <v>-</v>
      </c>
    </row>
    <row r="49" spans="1:10" x14ac:dyDescent="0.2">
      <c r="A49" s="51" t="s">
        <v>70</v>
      </c>
      <c r="B49" s="163" t="s">
        <v>369</v>
      </c>
      <c r="C49" s="41">
        <v>41051</v>
      </c>
      <c r="D49" s="41">
        <v>39109</v>
      </c>
      <c r="E49" s="41">
        <v>48830</v>
      </c>
      <c r="F49" s="41">
        <v>28375</v>
      </c>
      <c r="G49" s="42">
        <f t="shared" si="13"/>
        <v>157365</v>
      </c>
      <c r="H49" s="148"/>
    </row>
    <row r="50" spans="1:10" x14ac:dyDescent="0.2">
      <c r="A50" s="164" t="s">
        <v>370</v>
      </c>
      <c r="B50" s="165" t="s">
        <v>41</v>
      </c>
      <c r="C50" s="43">
        <v>711</v>
      </c>
      <c r="D50" s="43">
        <v>657</v>
      </c>
      <c r="E50" s="43">
        <v>662</v>
      </c>
      <c r="F50" s="43">
        <v>1025</v>
      </c>
      <c r="G50" s="44">
        <f t="shared" si="13"/>
        <v>3055</v>
      </c>
      <c r="H50" s="177">
        <f t="shared" si="14"/>
        <v>5.0305838917212846E-2</v>
      </c>
    </row>
    <row r="51" spans="1:10" x14ac:dyDescent="0.2">
      <c r="A51" s="16"/>
      <c r="C51" s="21"/>
      <c r="D51" s="21"/>
      <c r="E51" s="21"/>
      <c r="F51" s="21"/>
      <c r="G51" s="45"/>
    </row>
    <row r="52" spans="1:10" ht="15.75" x14ac:dyDescent="0.25">
      <c r="A52" s="11" t="s">
        <v>337</v>
      </c>
      <c r="B52" s="64" t="s">
        <v>285</v>
      </c>
      <c r="C52" s="46" t="s">
        <v>35</v>
      </c>
      <c r="D52" s="46" t="s">
        <v>36</v>
      </c>
      <c r="E52" s="46" t="s">
        <v>37</v>
      </c>
      <c r="F52" s="46" t="s">
        <v>38</v>
      </c>
      <c r="G52" s="47" t="s">
        <v>39</v>
      </c>
      <c r="H52" s="179" t="s">
        <v>40</v>
      </c>
      <c r="J52" s="151" t="s">
        <v>350</v>
      </c>
    </row>
    <row r="53" spans="1:10" ht="14.25" customHeight="1" x14ac:dyDescent="0.2">
      <c r="A53" s="243" t="s">
        <v>347</v>
      </c>
      <c r="B53" s="46">
        <f>+B5</f>
        <v>1</v>
      </c>
      <c r="C53" s="37">
        <v>1862</v>
      </c>
      <c r="D53" s="37">
        <v>1429</v>
      </c>
      <c r="E53" s="37">
        <v>1909</v>
      </c>
      <c r="F53" s="37">
        <v>1986</v>
      </c>
      <c r="G53" s="38">
        <f>AVERAGE(C53:F53)</f>
        <v>1796.5</v>
      </c>
      <c r="H53" s="178">
        <f>G53/$J$53</f>
        <v>0.20507990867579909</v>
      </c>
      <c r="J53" s="153">
        <v>8760</v>
      </c>
    </row>
    <row r="54" spans="1:10" ht="14.25" customHeight="1" x14ac:dyDescent="0.2">
      <c r="A54" s="244"/>
      <c r="B54" s="21">
        <v>2</v>
      </c>
      <c r="C54" s="126">
        <v>0</v>
      </c>
      <c r="D54" s="126">
        <v>0</v>
      </c>
      <c r="E54" s="126">
        <v>0</v>
      </c>
      <c r="F54" s="126">
        <v>0</v>
      </c>
      <c r="G54" s="42"/>
      <c r="H54" s="39"/>
    </row>
    <row r="55" spans="1:10" ht="14.25" customHeight="1" x14ac:dyDescent="0.2">
      <c r="A55" s="244"/>
      <c r="B55" s="21">
        <v>3</v>
      </c>
      <c r="C55" s="126">
        <v>0</v>
      </c>
      <c r="D55" s="126">
        <v>0</v>
      </c>
      <c r="E55" s="126">
        <v>0</v>
      </c>
      <c r="F55" s="126">
        <v>0</v>
      </c>
      <c r="G55" s="42"/>
      <c r="H55" s="39"/>
    </row>
    <row r="56" spans="1:10" ht="14.25" customHeight="1" x14ac:dyDescent="0.2">
      <c r="A56" s="244"/>
      <c r="B56" s="21">
        <v>4</v>
      </c>
      <c r="C56" s="126">
        <v>0</v>
      </c>
      <c r="D56" s="126">
        <v>0</v>
      </c>
      <c r="E56" s="126">
        <v>0</v>
      </c>
      <c r="F56" s="126">
        <v>0</v>
      </c>
      <c r="G56" s="42"/>
      <c r="H56" s="39"/>
    </row>
    <row r="57" spans="1:10" ht="14.25" customHeight="1" x14ac:dyDescent="0.2">
      <c r="A57" s="244"/>
      <c r="B57" s="21">
        <v>5</v>
      </c>
      <c r="C57" s="126">
        <v>0</v>
      </c>
      <c r="D57" s="126">
        <v>0</v>
      </c>
      <c r="E57" s="126">
        <v>0</v>
      </c>
      <c r="F57" s="126">
        <v>0</v>
      </c>
      <c r="G57" s="42"/>
      <c r="H57" s="39"/>
    </row>
    <row r="58" spans="1:10" ht="14.25" customHeight="1" x14ac:dyDescent="0.2">
      <c r="A58" s="152" t="s">
        <v>348</v>
      </c>
      <c r="B58" s="21"/>
      <c r="C58" s="126">
        <f>C53</f>
        <v>1862</v>
      </c>
      <c r="D58" s="126">
        <f t="shared" ref="D58:F58" si="16">D53</f>
        <v>1429</v>
      </c>
      <c r="E58" s="126">
        <f t="shared" si="16"/>
        <v>1909</v>
      </c>
      <c r="F58" s="126">
        <f t="shared" si="16"/>
        <v>1986</v>
      </c>
      <c r="G58" s="156">
        <f>G53</f>
        <v>1796.5</v>
      </c>
      <c r="H58" s="178">
        <f>G58/$J$53</f>
        <v>0.20507990867579909</v>
      </c>
    </row>
    <row r="59" spans="1:10" ht="14.25" customHeight="1" x14ac:dyDescent="0.2">
      <c r="A59" s="152" t="s">
        <v>349</v>
      </c>
      <c r="B59" s="21">
        <v>1</v>
      </c>
      <c r="C59" s="126">
        <v>1845</v>
      </c>
      <c r="D59" s="126">
        <v>1412</v>
      </c>
      <c r="E59" s="126">
        <v>1819</v>
      </c>
      <c r="F59" s="126">
        <v>1963</v>
      </c>
      <c r="G59" s="42">
        <f t="shared" ref="G59:G65" si="17">SUM(C59:F59)</f>
        <v>7039</v>
      </c>
      <c r="H59" s="178">
        <f>G59/$J$53</f>
        <v>0.80353881278538808</v>
      </c>
    </row>
    <row r="60" spans="1:10" x14ac:dyDescent="0.2">
      <c r="A60" s="152" t="s">
        <v>349</v>
      </c>
      <c r="B60" s="21">
        <v>2</v>
      </c>
      <c r="C60" s="41">
        <v>0</v>
      </c>
      <c r="D60" s="41">
        <v>0</v>
      </c>
      <c r="E60" s="41">
        <v>0</v>
      </c>
      <c r="F60" s="41">
        <v>0</v>
      </c>
      <c r="G60" s="42">
        <f t="shared" si="17"/>
        <v>0</v>
      </c>
      <c r="H60" s="39" t="s">
        <v>284</v>
      </c>
    </row>
    <row r="61" spans="1:10" x14ac:dyDescent="0.2">
      <c r="A61" s="51" t="s">
        <v>71</v>
      </c>
      <c r="B61" s="21"/>
      <c r="C61" s="41">
        <f>C53*($J$53/4)</f>
        <v>4077780</v>
      </c>
      <c r="D61" s="41">
        <f t="shared" ref="D61:F61" si="18">D53*($J$53/4)</f>
        <v>3129510</v>
      </c>
      <c r="E61" s="41">
        <f t="shared" si="18"/>
        <v>4180710</v>
      </c>
      <c r="F61" s="41">
        <f t="shared" si="18"/>
        <v>4349340</v>
      </c>
      <c r="G61" s="42">
        <f t="shared" si="17"/>
        <v>15737340</v>
      </c>
      <c r="H61" s="39" t="str">
        <f>IF(B61&gt;0,G60/J53,"n/a")</f>
        <v>n/a</v>
      </c>
    </row>
    <row r="62" spans="1:10" x14ac:dyDescent="0.2">
      <c r="A62" s="167" t="s">
        <v>372</v>
      </c>
      <c r="B62" s="149" t="s">
        <v>338</v>
      </c>
      <c r="C62" s="41">
        <v>20.157</v>
      </c>
      <c r="D62" s="41">
        <v>21.61</v>
      </c>
      <c r="E62" s="41">
        <v>20.696999999999999</v>
      </c>
      <c r="F62" s="41">
        <v>20.75</v>
      </c>
      <c r="G62" s="42"/>
      <c r="H62" s="154" t="s">
        <v>351</v>
      </c>
    </row>
    <row r="63" spans="1:10" x14ac:dyDescent="0.2">
      <c r="A63" s="51" t="s">
        <v>72</v>
      </c>
      <c r="B63" s="21" t="s">
        <v>73</v>
      </c>
      <c r="C63" s="41">
        <v>0</v>
      </c>
      <c r="D63" s="41"/>
      <c r="E63" s="41"/>
      <c r="F63" s="41"/>
      <c r="G63" s="42">
        <f t="shared" si="17"/>
        <v>0</v>
      </c>
      <c r="H63" s="52" t="str">
        <f>IF(G63&gt;0,"yes","no")</f>
        <v>no</v>
      </c>
    </row>
    <row r="64" spans="1:10" x14ac:dyDescent="0.2">
      <c r="A64" s="51" t="s">
        <v>74</v>
      </c>
      <c r="B64" s="21" t="s">
        <v>75</v>
      </c>
      <c r="C64" s="41">
        <v>0</v>
      </c>
      <c r="D64" s="41"/>
      <c r="E64" s="41"/>
      <c r="F64" s="41"/>
      <c r="G64" s="42">
        <f t="shared" si="17"/>
        <v>0</v>
      </c>
      <c r="H64" s="65">
        <f>+(G64)/J53</f>
        <v>0</v>
      </c>
    </row>
    <row r="65" spans="1:8" x14ac:dyDescent="0.2">
      <c r="A65" s="55" t="s">
        <v>76</v>
      </c>
      <c r="B65" s="66" t="s">
        <v>73</v>
      </c>
      <c r="C65" s="43">
        <v>0</v>
      </c>
      <c r="D65" s="43"/>
      <c r="E65" s="43"/>
      <c r="F65" s="43"/>
      <c r="G65" s="44">
        <f t="shared" si="17"/>
        <v>0</v>
      </c>
      <c r="H65" s="67" t="str">
        <f>IF(G65&gt;0,"yes","no")</f>
        <v>no</v>
      </c>
    </row>
    <row r="78" spans="1:8" x14ac:dyDescent="0.2">
      <c r="F78" s="3"/>
    </row>
  </sheetData>
  <mergeCells count="10">
    <mergeCell ref="B4:C4"/>
    <mergeCell ref="B8:B20"/>
    <mergeCell ref="B24:B27"/>
    <mergeCell ref="B29:B30"/>
    <mergeCell ref="A53:A57"/>
    <mergeCell ref="K6:K7"/>
    <mergeCell ref="K8:K19"/>
    <mergeCell ref="B34:B39"/>
    <mergeCell ref="C31:F31"/>
    <mergeCell ref="G31:H31"/>
  </mergeCells>
  <phoneticPr fontId="29" type="noConversion"/>
  <pageMargins left="0.7" right="0.7" top="0.75" bottom="0.75" header="0.3" footer="0.3"/>
  <pageSetup paperSize="9" scale="87" orientation="portrait" r:id="rId1"/>
  <headerFooter scaleWithDoc="0">
    <oddFooter>&amp;C&amp;"Arial,Regular"Page &amp;P</oddFooter>
  </headerFooter>
  <ignoredErrors>
    <ignoredError sqref="G59:G60" formulaRange="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P62"/>
  <sheetViews>
    <sheetView showGridLines="0" tabSelected="1" topLeftCell="A21" zoomScaleNormal="100" workbookViewId="0">
      <selection activeCell="S10" sqref="S10"/>
    </sheetView>
  </sheetViews>
  <sheetFormatPr defaultColWidth="9.28515625" defaultRowHeight="15" x14ac:dyDescent="0.2"/>
  <cols>
    <col min="1" max="7" width="9.28515625" style="2"/>
    <col min="8" max="8" width="11.28515625" style="2" bestFit="1" customWidth="1"/>
    <col min="9" max="16384" width="9.28515625" style="2"/>
  </cols>
  <sheetData>
    <row r="1" spans="1:10" ht="15.75" x14ac:dyDescent="0.25">
      <c r="A1" s="68">
        <f>+'Cover Page'!C39</f>
        <v>2022</v>
      </c>
      <c r="B1" s="69" t="s">
        <v>77</v>
      </c>
      <c r="C1" s="69"/>
      <c r="D1" s="69"/>
      <c r="E1" s="69"/>
      <c r="F1" s="69"/>
      <c r="G1" s="69"/>
      <c r="H1" s="69"/>
      <c r="I1" s="69"/>
      <c r="J1" s="69"/>
    </row>
    <row r="2" spans="1:10" ht="8.25" customHeight="1" x14ac:dyDescent="0.2"/>
    <row r="3" spans="1:10" s="3" customFormat="1" ht="14.25" x14ac:dyDescent="0.2">
      <c r="A3" s="289" t="str">
        <f>+'Cover Page'!B31</f>
        <v>Permit EPR/MP3235CC</v>
      </c>
      <c r="B3" s="289"/>
      <c r="C3" s="289"/>
      <c r="D3" s="289"/>
      <c r="E3" s="289"/>
      <c r="F3" s="3" t="s">
        <v>78</v>
      </c>
      <c r="G3" s="290" t="str">
        <f>+'Cover Page'!B37</f>
        <v>JG Pears Power (O&amp;M) Ltd</v>
      </c>
      <c r="H3" s="290"/>
      <c r="I3" s="290"/>
    </row>
    <row r="4" spans="1:10" s="3" customFormat="1" ht="14.25" x14ac:dyDescent="0.2">
      <c r="A4" s="3" t="s">
        <v>79</v>
      </c>
      <c r="B4" s="289" t="str">
        <f>+'Cover Page'!B33:I33</f>
        <v>JG Pears CHP Plant</v>
      </c>
      <c r="C4" s="289"/>
      <c r="D4" s="289"/>
      <c r="E4" s="289"/>
      <c r="F4" s="3" t="s">
        <v>80</v>
      </c>
      <c r="G4" s="3" t="s">
        <v>81</v>
      </c>
    </row>
    <row r="5" spans="1:10" s="3" customFormat="1" ht="6.75" customHeight="1" x14ac:dyDescent="0.2"/>
    <row r="6" spans="1:10" s="3" customFormat="1" ht="15.75" customHeight="1" x14ac:dyDescent="0.2">
      <c r="A6" s="3" t="s">
        <v>82</v>
      </c>
      <c r="D6" s="291">
        <v>44562</v>
      </c>
      <c r="E6" s="291"/>
      <c r="F6" s="70" t="s">
        <v>83</v>
      </c>
      <c r="G6" s="291">
        <v>44926</v>
      </c>
      <c r="H6" s="291"/>
    </row>
    <row r="7" spans="1:10" s="3" customFormat="1" ht="7.5" customHeight="1" x14ac:dyDescent="0.2"/>
    <row r="8" spans="1:10" s="3" customFormat="1" ht="15.75" x14ac:dyDescent="0.25">
      <c r="A8" s="11">
        <f>+A1</f>
        <v>2022</v>
      </c>
      <c r="B8" s="69" t="s">
        <v>84</v>
      </c>
      <c r="C8"/>
      <c r="D8"/>
      <c r="E8"/>
      <c r="F8"/>
      <c r="G8"/>
    </row>
    <row r="9" spans="1:10" s="3" customFormat="1" ht="28.5" customHeight="1" x14ac:dyDescent="0.2">
      <c r="A9" s="292" t="s">
        <v>85</v>
      </c>
      <c r="B9" s="292"/>
      <c r="C9" s="292" t="s">
        <v>86</v>
      </c>
      <c r="D9" s="292"/>
      <c r="E9" s="292" t="s">
        <v>87</v>
      </c>
      <c r="F9" s="292"/>
      <c r="G9" s="292" t="s">
        <v>88</v>
      </c>
      <c r="H9" s="292"/>
      <c r="I9" s="292" t="s">
        <v>89</v>
      </c>
      <c r="J9" s="292"/>
    </row>
    <row r="10" spans="1:10" s="3" customFormat="1" ht="14.25" customHeight="1" x14ac:dyDescent="0.2">
      <c r="A10" s="247" t="s">
        <v>90</v>
      </c>
      <c r="B10" s="247"/>
      <c r="C10" s="247"/>
      <c r="D10" s="247"/>
      <c r="E10" s="247"/>
      <c r="F10" s="247"/>
      <c r="G10" s="247"/>
      <c r="H10" s="247"/>
      <c r="I10" s="247"/>
      <c r="J10" s="247"/>
    </row>
    <row r="11" spans="1:10" s="3" customFormat="1" ht="30" customHeight="1" x14ac:dyDescent="0.2">
      <c r="A11" s="279" t="s">
        <v>400</v>
      </c>
      <c r="B11" s="247"/>
      <c r="C11" s="280" t="s">
        <v>401</v>
      </c>
      <c r="D11" s="281"/>
      <c r="E11" s="278">
        <v>0.22</v>
      </c>
      <c r="F11" s="278"/>
      <c r="G11" s="278">
        <v>0.93500000000000005</v>
      </c>
      <c r="H11" s="278"/>
      <c r="I11" s="276">
        <f>IF((E11+G11)&gt;0,(E11+G11)/'Operational Data'!$G$21, "-")</f>
        <v>1.9019065122546917E-5</v>
      </c>
      <c r="J11" s="276"/>
    </row>
    <row r="12" spans="1:10" s="3" customFormat="1" ht="30" customHeight="1" x14ac:dyDescent="0.2">
      <c r="A12" s="279" t="s">
        <v>402</v>
      </c>
      <c r="B12" s="247"/>
      <c r="C12" s="280" t="s">
        <v>403</v>
      </c>
      <c r="D12" s="281"/>
      <c r="E12" s="278">
        <v>6.0000000000000001E-3</v>
      </c>
      <c r="F12" s="278"/>
      <c r="G12" s="278">
        <v>0</v>
      </c>
      <c r="H12" s="278"/>
      <c r="I12" s="276">
        <f>IF((E12+G12)&gt;0,(E12+G12)/'Operational Data'!$G$21, "-")</f>
        <v>9.8800338298945039E-8</v>
      </c>
      <c r="J12" s="276"/>
    </row>
    <row r="13" spans="1:10" s="3" customFormat="1" ht="14.25" customHeight="1" x14ac:dyDescent="0.2">
      <c r="A13" s="285"/>
      <c r="B13" s="285"/>
      <c r="C13" s="274"/>
      <c r="D13" s="274"/>
      <c r="E13" s="275"/>
      <c r="F13" s="275"/>
      <c r="G13" s="275"/>
      <c r="H13" s="275"/>
      <c r="I13" s="276" t="str">
        <f>IF((E13+G13)&gt;0,(E13+G13)/'Operational Data'!$G$21, "-")</f>
        <v>-</v>
      </c>
      <c r="J13" s="276"/>
    </row>
    <row r="14" spans="1:10" s="3" customFormat="1" ht="14.25" customHeight="1" x14ac:dyDescent="0.2">
      <c r="A14" s="285"/>
      <c r="B14" s="285"/>
      <c r="C14" s="274"/>
      <c r="D14" s="274"/>
      <c r="E14" s="275"/>
      <c r="F14" s="275"/>
      <c r="G14" s="275"/>
      <c r="H14" s="275"/>
      <c r="I14" s="276" t="str">
        <f>IF((E14+G14)&gt;0,(E14+G14)/'Operational Data'!$G$21, "-")</f>
        <v>-</v>
      </c>
      <c r="J14" s="276"/>
    </row>
    <row r="15" spans="1:10" s="3" customFormat="1" ht="14.25" customHeight="1" x14ac:dyDescent="0.2">
      <c r="A15" s="286" t="s">
        <v>93</v>
      </c>
      <c r="B15" s="286"/>
      <c r="C15" s="286"/>
      <c r="D15" s="286"/>
      <c r="E15" s="278">
        <f>SUM(E11:F14)</f>
        <v>0.22600000000000001</v>
      </c>
      <c r="F15" s="278"/>
      <c r="G15" s="278">
        <f>SUM(G11:H14)</f>
        <v>0.93500000000000005</v>
      </c>
      <c r="H15" s="278"/>
      <c r="I15" s="276">
        <f>IF((E15+G15)&gt;0,(E15+G15)/'Operational Data'!$G$21, "-")</f>
        <v>1.9117865460845862E-5</v>
      </c>
      <c r="J15" s="276"/>
    </row>
    <row r="16" spans="1:10" s="3" customFormat="1" ht="14.25" customHeight="1" x14ac:dyDescent="0.2">
      <c r="A16" s="251"/>
      <c r="B16" s="252"/>
      <c r="C16" s="252"/>
      <c r="D16" s="252"/>
      <c r="E16" s="282"/>
      <c r="F16" s="282"/>
      <c r="G16" s="282"/>
      <c r="H16" s="282"/>
      <c r="I16" s="283"/>
      <c r="J16" s="255"/>
    </row>
    <row r="17" spans="1:16" s="3" customFormat="1" ht="14.25" customHeight="1" x14ac:dyDescent="0.2">
      <c r="A17" s="284" t="s">
        <v>94</v>
      </c>
      <c r="B17" s="284"/>
      <c r="C17" s="284"/>
      <c r="D17" s="284"/>
      <c r="E17" s="284"/>
      <c r="F17" s="284"/>
      <c r="G17" s="284"/>
      <c r="H17" s="284"/>
      <c r="I17" s="284"/>
      <c r="J17" s="284"/>
    </row>
    <row r="18" spans="1:16" ht="25.9" customHeight="1" x14ac:dyDescent="0.2">
      <c r="A18" s="247" t="s">
        <v>92</v>
      </c>
      <c r="B18" s="247"/>
      <c r="C18" s="280" t="s">
        <v>398</v>
      </c>
      <c r="D18" s="281"/>
      <c r="E18" s="278">
        <v>1027.56</v>
      </c>
      <c r="F18" s="278"/>
      <c r="G18" s="278">
        <v>9146.2289999999994</v>
      </c>
      <c r="H18" s="278"/>
      <c r="I18" s="276">
        <v>0</v>
      </c>
      <c r="J18" s="276"/>
      <c r="L18" s="287" t="s">
        <v>399</v>
      </c>
      <c r="M18" s="288"/>
      <c r="N18" s="288"/>
      <c r="O18" s="288"/>
      <c r="P18" s="288"/>
    </row>
    <row r="19" spans="1:16" s="3" customFormat="1" ht="27" customHeight="1" x14ac:dyDescent="0.2">
      <c r="A19" s="247" t="s">
        <v>91</v>
      </c>
      <c r="B19" s="247"/>
      <c r="C19" s="280" t="s">
        <v>398</v>
      </c>
      <c r="D19" s="281"/>
      <c r="E19" s="278">
        <v>1290.7</v>
      </c>
      <c r="F19" s="278"/>
      <c r="G19" s="278">
        <v>3279.6</v>
      </c>
      <c r="H19" s="278"/>
      <c r="I19" s="276">
        <v>0</v>
      </c>
      <c r="J19" s="276"/>
      <c r="L19" s="288"/>
      <c r="M19" s="288"/>
      <c r="N19" s="288"/>
      <c r="O19" s="288"/>
      <c r="P19" s="288"/>
    </row>
    <row r="20" spans="1:16" s="3" customFormat="1" ht="34.15" customHeight="1" x14ac:dyDescent="0.2">
      <c r="A20" s="279" t="s">
        <v>404</v>
      </c>
      <c r="B20" s="247"/>
      <c r="C20" s="280" t="s">
        <v>403</v>
      </c>
      <c r="D20" s="281"/>
      <c r="E20" s="278">
        <v>1.6E-2</v>
      </c>
      <c r="F20" s="278"/>
      <c r="G20" s="278">
        <v>0</v>
      </c>
      <c r="H20" s="278"/>
      <c r="I20" s="276">
        <f>IF((E20+G20)&gt;0,(E20+G20)/'Operational Data'!$G$21, "-")</f>
        <v>2.6346756879718673E-7</v>
      </c>
      <c r="J20" s="276"/>
    </row>
    <row r="21" spans="1:16" s="3" customFormat="1" ht="14.25" customHeight="1" x14ac:dyDescent="0.2">
      <c r="A21" s="274"/>
      <c r="B21" s="274"/>
      <c r="C21" s="274"/>
      <c r="D21" s="274"/>
      <c r="E21" s="275"/>
      <c r="F21" s="275"/>
      <c r="G21" s="275"/>
      <c r="H21" s="275"/>
      <c r="I21" s="276" t="str">
        <f>IF((E21+G21)&gt;0,(E21+G21)/'Operational Data'!$G$21, "-")</f>
        <v>-</v>
      </c>
      <c r="J21" s="276"/>
    </row>
    <row r="22" spans="1:16" s="3" customFormat="1" ht="14.25" customHeight="1" x14ac:dyDescent="0.2">
      <c r="A22" s="273"/>
      <c r="B22" s="273"/>
      <c r="C22" s="274"/>
      <c r="D22" s="274"/>
      <c r="E22" s="275"/>
      <c r="F22" s="275"/>
      <c r="G22" s="275"/>
      <c r="H22" s="275"/>
      <c r="I22" s="276" t="str">
        <f>IF((E22+G22)&gt;0,(E22+G22)/'Operational Data'!$G$21, "-")</f>
        <v>-</v>
      </c>
      <c r="J22" s="276"/>
    </row>
    <row r="23" spans="1:16" s="3" customFormat="1" ht="14.25" customHeight="1" x14ac:dyDescent="0.2">
      <c r="A23" s="277" t="s">
        <v>95</v>
      </c>
      <c r="B23" s="277"/>
      <c r="C23" s="277"/>
      <c r="D23" s="277"/>
      <c r="E23" s="278">
        <f>SUM(E18:F22)</f>
        <v>2318.2760000000003</v>
      </c>
      <c r="F23" s="278"/>
      <c r="G23" s="278">
        <f>SUM(G18:H22)</f>
        <v>12425.829</v>
      </c>
      <c r="H23" s="278"/>
      <c r="I23" s="276">
        <f>IF((E23+G23)&gt;0,(E23+G23)/'Operational Data'!$G$21, "-")</f>
        <v>0.24278709365252782</v>
      </c>
      <c r="J23" s="276"/>
    </row>
    <row r="24" spans="1:16" s="3" customFormat="1" ht="14.25" customHeight="1" x14ac:dyDescent="0.2">
      <c r="A24" s="270" t="s">
        <v>96</v>
      </c>
      <c r="B24" s="270"/>
      <c r="C24" s="270"/>
      <c r="D24" s="270"/>
      <c r="E24" s="271">
        <f>+E23+E15</f>
        <v>2318.5020000000004</v>
      </c>
      <c r="F24" s="271"/>
      <c r="G24" s="271">
        <f>+G23+G15</f>
        <v>12426.763999999999</v>
      </c>
      <c r="H24" s="271"/>
      <c r="I24" s="272">
        <f>IF((E24+G24)&gt;0,(E24+G24)/'Operational Data'!$G$21, "-")</f>
        <v>0.24280621151798865</v>
      </c>
      <c r="J24" s="272"/>
    </row>
    <row r="25" spans="1:16" s="3" customFormat="1" ht="8.25" customHeight="1" x14ac:dyDescent="0.25">
      <c r="A25" s="76"/>
      <c r="B25"/>
      <c r="C25"/>
      <c r="D25"/>
      <c r="E25"/>
      <c r="F25"/>
      <c r="G25"/>
    </row>
    <row r="26" spans="1:16" s="3" customFormat="1" ht="14.25" customHeight="1" x14ac:dyDescent="0.2">
      <c r="A26" s="248" t="s">
        <v>97</v>
      </c>
      <c r="B26" s="248"/>
      <c r="C26" s="248"/>
      <c r="D26" s="248"/>
      <c r="E26" s="248"/>
      <c r="F26" s="248"/>
      <c r="G26" s="248"/>
      <c r="H26" s="248"/>
      <c r="I26" s="248"/>
      <c r="J26" s="248"/>
    </row>
    <row r="27" spans="1:16" s="3" customFormat="1" ht="14.25" customHeight="1" x14ac:dyDescent="0.2">
      <c r="A27" s="249" t="s">
        <v>373</v>
      </c>
      <c r="B27" s="249"/>
      <c r="C27" s="249"/>
      <c r="D27" s="249"/>
      <c r="E27" s="249"/>
      <c r="F27" s="249"/>
      <c r="G27" s="249"/>
      <c r="H27" s="249"/>
      <c r="I27" s="249"/>
      <c r="J27" s="249"/>
    </row>
    <row r="28" spans="1:16" s="3" customFormat="1" ht="14.25" customHeight="1" x14ac:dyDescent="0.2">
      <c r="A28" s="249"/>
      <c r="B28" s="249"/>
      <c r="C28" s="249"/>
      <c r="D28" s="249"/>
      <c r="E28" s="249"/>
      <c r="F28" s="249"/>
      <c r="G28" s="249"/>
      <c r="H28" s="249"/>
      <c r="I28" s="249"/>
      <c r="J28" s="249"/>
    </row>
    <row r="29" spans="1:16" s="3" customFormat="1" ht="14.25" customHeight="1" x14ac:dyDescent="0.2">
      <c r="A29" s="249"/>
      <c r="B29" s="249"/>
      <c r="C29" s="249"/>
      <c r="D29" s="249"/>
      <c r="E29" s="249"/>
      <c r="F29" s="249"/>
      <c r="G29" s="249"/>
      <c r="H29" s="249"/>
      <c r="I29" s="249"/>
      <c r="J29" s="249"/>
    </row>
    <row r="30" spans="1:16" s="3" customFormat="1" ht="14.25" customHeight="1" x14ac:dyDescent="0.25">
      <c r="A30" s="76"/>
      <c r="B30"/>
      <c r="C30"/>
      <c r="D30"/>
      <c r="E30"/>
      <c r="F30"/>
      <c r="G30"/>
    </row>
    <row r="31" spans="1:16" s="3" customFormat="1" ht="14.25" customHeight="1" x14ac:dyDescent="0.25">
      <c r="A31" s="1">
        <f>+A1</f>
        <v>2022</v>
      </c>
      <c r="B31" s="69" t="s">
        <v>98</v>
      </c>
      <c r="C31" s="69"/>
      <c r="D31" s="69"/>
      <c r="E31" s="69"/>
      <c r="F31" s="69"/>
    </row>
    <row r="32" spans="1:16" s="3" customFormat="1" ht="24.75" customHeight="1" x14ac:dyDescent="0.2">
      <c r="A32" s="265" t="s">
        <v>99</v>
      </c>
      <c r="B32" s="266"/>
      <c r="C32" s="266"/>
      <c r="D32" s="267"/>
      <c r="E32" s="77" t="s">
        <v>100</v>
      </c>
      <c r="F32" s="78"/>
      <c r="G32" s="79" t="s">
        <v>34</v>
      </c>
      <c r="H32" s="268" t="s">
        <v>101</v>
      </c>
      <c r="I32" s="269"/>
      <c r="J32" s="80" t="s">
        <v>34</v>
      </c>
    </row>
    <row r="33" spans="1:10" s="3" customFormat="1" ht="14.25" customHeight="1" x14ac:dyDescent="0.2">
      <c r="A33" s="251" t="s">
        <v>63</v>
      </c>
      <c r="B33" s="252"/>
      <c r="C33" s="252"/>
      <c r="D33" s="253"/>
      <c r="E33" s="254">
        <f>+'Operational Data'!G42</f>
        <v>463</v>
      </c>
      <c r="F33" s="255"/>
      <c r="G33" s="81" t="s">
        <v>64</v>
      </c>
      <c r="H33" s="256">
        <f>IF(E33&gt;0,E33/'Operational Data'!$G$21,"-")</f>
        <v>7.6240927720685912E-3</v>
      </c>
      <c r="I33" s="257"/>
      <c r="J33" s="81" t="s">
        <v>102</v>
      </c>
    </row>
    <row r="34" spans="1:10" s="3" customFormat="1" ht="14.25" customHeight="1" x14ac:dyDescent="0.2">
      <c r="A34" s="251" t="s">
        <v>103</v>
      </c>
      <c r="B34" s="252"/>
      <c r="C34" s="252"/>
      <c r="D34" s="253"/>
      <c r="E34" s="254">
        <f>+'Operational Data'!G43+'Operational Data'!G42</f>
        <v>43427</v>
      </c>
      <c r="F34" s="255"/>
      <c r="G34" s="81" t="s">
        <v>64</v>
      </c>
      <c r="H34" s="256">
        <f>IF(E34&gt;0,E34/'Operational Data'!$G$21,"-")</f>
        <v>0.71510038188471425</v>
      </c>
      <c r="I34" s="257"/>
      <c r="J34" s="81" t="s">
        <v>102</v>
      </c>
    </row>
    <row r="35" spans="1:10" s="3" customFormat="1" ht="14.25" customHeight="1" x14ac:dyDescent="0.2">
      <c r="A35" s="251" t="s">
        <v>104</v>
      </c>
      <c r="B35" s="252"/>
      <c r="C35" s="252"/>
      <c r="D35" s="253"/>
      <c r="E35" s="254">
        <f>+'Operational Data'!G44</f>
        <v>94</v>
      </c>
      <c r="F35" s="255"/>
      <c r="G35" s="81" t="s">
        <v>105</v>
      </c>
      <c r="H35" s="256">
        <f>IF(E35&gt;0,E35/'Operational Data'!$G$21,"-")</f>
        <v>1.5478719666834721E-3</v>
      </c>
      <c r="I35" s="257"/>
      <c r="J35" s="81" t="s">
        <v>106</v>
      </c>
    </row>
    <row r="36" spans="1:10" s="3" customFormat="1" ht="14.25" customHeight="1" x14ac:dyDescent="0.2">
      <c r="A36" s="251" t="s">
        <v>66</v>
      </c>
      <c r="B36" s="252"/>
      <c r="C36" s="252"/>
      <c r="D36" s="253"/>
      <c r="E36" s="254">
        <f>+'Operational Data'!G46</f>
        <v>0</v>
      </c>
      <c r="F36" s="255"/>
      <c r="G36" s="81" t="s">
        <v>105</v>
      </c>
      <c r="H36" s="256" t="str">
        <f>IF(E36&gt;0,E36/'Operational Data'!$G$21,"-")</f>
        <v>-</v>
      </c>
      <c r="I36" s="257"/>
      <c r="J36" s="81" t="s">
        <v>106</v>
      </c>
    </row>
    <row r="37" spans="1:10" s="3" customFormat="1" ht="14.25" customHeight="1" x14ac:dyDescent="0.2">
      <c r="A37" s="251" t="s">
        <v>107</v>
      </c>
      <c r="B37" s="252"/>
      <c r="C37" s="252"/>
      <c r="D37" s="253"/>
      <c r="E37" s="254">
        <v>3055</v>
      </c>
      <c r="F37" s="255"/>
      <c r="G37" s="81" t="s">
        <v>105</v>
      </c>
      <c r="H37" s="256">
        <f>IF(E37&gt;0,E37/'Operational Data'!$G$21,"-")</f>
        <v>5.0305838917212846E-2</v>
      </c>
      <c r="I37" s="257"/>
      <c r="J37" s="81" t="s">
        <v>106</v>
      </c>
    </row>
    <row r="38" spans="1:10" s="3" customFormat="1" ht="14.25" customHeight="1" x14ac:dyDescent="0.2">
      <c r="A38" s="258"/>
      <c r="B38" s="259"/>
      <c r="C38" s="259"/>
      <c r="D38" s="260"/>
      <c r="E38" s="261"/>
      <c r="F38" s="262"/>
      <c r="G38" s="82"/>
      <c r="H38" s="263"/>
      <c r="I38" s="264"/>
      <c r="J38" s="82"/>
    </row>
    <row r="39" spans="1:10" s="3" customFormat="1" ht="14.25" customHeight="1" x14ac:dyDescent="0.2">
      <c r="A39" s="248" t="s">
        <v>97</v>
      </c>
      <c r="B39" s="248"/>
      <c r="C39" s="248"/>
      <c r="D39" s="248"/>
      <c r="E39" s="248"/>
      <c r="F39" s="248"/>
      <c r="G39" s="248"/>
      <c r="H39" s="248"/>
      <c r="I39" s="248"/>
      <c r="J39" s="248"/>
    </row>
    <row r="40" spans="1:10" s="3" customFormat="1" ht="14.25" customHeight="1" x14ac:dyDescent="0.2">
      <c r="A40" s="249"/>
      <c r="B40" s="249"/>
      <c r="C40" s="249"/>
      <c r="D40" s="249"/>
      <c r="E40" s="249"/>
      <c r="F40" s="249"/>
      <c r="G40" s="249"/>
      <c r="H40" s="249"/>
      <c r="I40" s="249"/>
      <c r="J40" s="249"/>
    </row>
    <row r="41" spans="1:10" s="3" customFormat="1" ht="14.25" customHeight="1" x14ac:dyDescent="0.2">
      <c r="A41" s="249"/>
      <c r="B41" s="249"/>
      <c r="C41" s="249"/>
      <c r="D41" s="249"/>
      <c r="E41" s="249"/>
      <c r="F41" s="249"/>
      <c r="G41" s="249"/>
      <c r="H41" s="249"/>
      <c r="I41" s="249"/>
      <c r="J41" s="249"/>
    </row>
    <row r="42" spans="1:10" s="3" customFormat="1" ht="14.25" customHeight="1" x14ac:dyDescent="0.2">
      <c r="A42" s="83"/>
      <c r="B42" s="83"/>
      <c r="C42" s="83"/>
      <c r="D42" s="83"/>
      <c r="E42" s="83"/>
      <c r="F42" s="83"/>
      <c r="G42" s="83"/>
      <c r="H42" s="83"/>
      <c r="I42" s="83"/>
      <c r="J42" s="83"/>
    </row>
    <row r="43" spans="1:10" s="3" customFormat="1" ht="14.25" customHeight="1" x14ac:dyDescent="0.2">
      <c r="A43" s="69">
        <f>+A31</f>
        <v>2022</v>
      </c>
      <c r="B43" s="69" t="s">
        <v>108</v>
      </c>
      <c r="C43" s="69"/>
      <c r="D43" s="69"/>
      <c r="E43" s="69"/>
      <c r="F43" s="69"/>
      <c r="G43" s="2"/>
    </row>
    <row r="44" spans="1:10" ht="14.25" customHeight="1" x14ac:dyDescent="0.2">
      <c r="A44" s="250" t="s">
        <v>109</v>
      </c>
      <c r="B44" s="250"/>
      <c r="C44" s="250" t="s">
        <v>299</v>
      </c>
      <c r="D44" s="250"/>
      <c r="E44" s="250"/>
      <c r="F44" s="250"/>
      <c r="G44" s="250"/>
      <c r="H44" s="250"/>
      <c r="I44" s="250"/>
      <c r="J44" s="250"/>
    </row>
    <row r="45" spans="1:10" ht="14.25" customHeight="1" x14ac:dyDescent="0.2">
      <c r="A45" s="84"/>
      <c r="B45" s="84"/>
      <c r="C45" s="71" t="s">
        <v>110</v>
      </c>
      <c r="D45" s="71" t="s">
        <v>111</v>
      </c>
      <c r="E45" s="71" t="s">
        <v>112</v>
      </c>
      <c r="F45" s="71" t="s">
        <v>113</v>
      </c>
      <c r="G45" s="71" t="s">
        <v>114</v>
      </c>
      <c r="H45" s="71"/>
      <c r="I45" s="71" t="s">
        <v>115</v>
      </c>
      <c r="J45" s="71" t="s">
        <v>116</v>
      </c>
    </row>
    <row r="46" spans="1:10" ht="31.5" customHeight="1" x14ac:dyDescent="0.2">
      <c r="A46" s="247" t="s">
        <v>190</v>
      </c>
      <c r="B46" s="247"/>
      <c r="C46" s="73">
        <v>7039</v>
      </c>
      <c r="D46" s="74"/>
      <c r="E46" s="74"/>
      <c r="F46" s="85"/>
      <c r="G46" s="85"/>
      <c r="H46" s="85"/>
      <c r="I46" s="85"/>
      <c r="J46" s="85"/>
    </row>
    <row r="47" spans="1:10" ht="43.5" customHeight="1" x14ac:dyDescent="0.2">
      <c r="A47" s="247" t="s">
        <v>117</v>
      </c>
      <c r="B47" s="247"/>
      <c r="C47" s="73">
        <v>2</v>
      </c>
      <c r="D47" s="74"/>
      <c r="E47" s="74"/>
      <c r="F47" s="85"/>
      <c r="G47" s="85"/>
      <c r="H47" s="85"/>
      <c r="I47" s="85"/>
      <c r="J47" s="85"/>
    </row>
    <row r="48" spans="1:10" ht="42.75" customHeight="1" x14ac:dyDescent="0.2">
      <c r="A48" s="247" t="s">
        <v>118</v>
      </c>
      <c r="B48" s="247"/>
      <c r="C48" s="73">
        <v>3.5</v>
      </c>
      <c r="D48" s="74"/>
      <c r="E48" s="74"/>
      <c r="F48" s="85"/>
      <c r="G48" s="85"/>
      <c r="H48" s="85"/>
      <c r="I48" s="85"/>
      <c r="J48" s="85"/>
    </row>
    <row r="49" spans="1:10" ht="8.25" customHeight="1" x14ac:dyDescent="0.2"/>
    <row r="50" spans="1:10" x14ac:dyDescent="0.2">
      <c r="A50" s="248" t="s">
        <v>97</v>
      </c>
      <c r="B50" s="248"/>
      <c r="C50" s="248"/>
      <c r="D50" s="248"/>
      <c r="E50" s="248"/>
      <c r="F50" s="248"/>
      <c r="G50" s="248"/>
      <c r="H50" s="248"/>
      <c r="I50" s="248"/>
      <c r="J50" s="248"/>
    </row>
    <row r="51" spans="1:10" x14ac:dyDescent="0.2">
      <c r="A51" s="249"/>
      <c r="B51" s="249"/>
      <c r="C51" s="249"/>
      <c r="D51" s="249"/>
      <c r="E51" s="249"/>
      <c r="F51" s="249"/>
      <c r="G51" s="249"/>
      <c r="H51" s="249"/>
      <c r="I51" s="249"/>
      <c r="J51" s="249"/>
    </row>
    <row r="52" spans="1:10" x14ac:dyDescent="0.2">
      <c r="A52" s="249"/>
      <c r="B52" s="249"/>
      <c r="C52" s="249"/>
      <c r="D52" s="249"/>
      <c r="E52" s="249"/>
      <c r="F52" s="249"/>
      <c r="G52" s="249"/>
      <c r="H52" s="249"/>
      <c r="I52" s="249"/>
      <c r="J52" s="249"/>
    </row>
    <row r="54" spans="1:10" x14ac:dyDescent="0.2">
      <c r="A54" s="3" t="s">
        <v>119</v>
      </c>
      <c r="B54" s="86" t="s">
        <v>361</v>
      </c>
      <c r="C54" s="86"/>
      <c r="D54" s="86"/>
      <c r="E54" s="86"/>
      <c r="F54" s="3"/>
      <c r="G54" s="3" t="s">
        <v>120</v>
      </c>
      <c r="H54" s="408">
        <v>44946</v>
      </c>
      <c r="I54" s="86"/>
    </row>
    <row r="62" spans="1:10" x14ac:dyDescent="0.2">
      <c r="F62" s="3"/>
    </row>
  </sheetData>
  <mergeCells count="106">
    <mergeCell ref="L18:P19"/>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s>
  <pageMargins left="0.7" right="0.7"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showGridLines="0" tabSelected="1" topLeftCell="A9" zoomScaleNormal="100" workbookViewId="0">
      <selection activeCell="S10" sqref="S10"/>
    </sheetView>
  </sheetViews>
  <sheetFormatPr defaultColWidth="9.28515625" defaultRowHeight="15" x14ac:dyDescent="0.2"/>
  <cols>
    <col min="1" max="1" width="9.42578125" style="2" bestFit="1" customWidth="1"/>
    <col min="2" max="7" width="9.28515625" style="2"/>
    <col min="8" max="8" width="11.28515625" style="2" bestFit="1" customWidth="1"/>
    <col min="9" max="16384" width="9.28515625" style="2"/>
  </cols>
  <sheetData>
    <row r="1" spans="1:10" ht="15.75" x14ac:dyDescent="0.25">
      <c r="A1" s="68">
        <f>+'Cover Page'!C39</f>
        <v>2022</v>
      </c>
      <c r="B1" s="69" t="s">
        <v>121</v>
      </c>
      <c r="C1" s="69"/>
      <c r="D1" s="69"/>
      <c r="E1" s="69"/>
      <c r="F1" s="69"/>
      <c r="G1" s="69"/>
      <c r="H1" s="69"/>
      <c r="I1" s="69"/>
      <c r="J1" s="69"/>
    </row>
    <row r="3" spans="1:10" s="3" customFormat="1" ht="15" customHeight="1" x14ac:dyDescent="0.2">
      <c r="A3" s="3" t="str">
        <f>+'Cover Page'!B31</f>
        <v>Permit EPR/MP3235CC</v>
      </c>
      <c r="F3" s="3" t="s">
        <v>78</v>
      </c>
      <c r="G3" s="298">
        <f>+'Cover Page'!B37:I37</f>
        <v>0</v>
      </c>
      <c r="H3" s="298"/>
      <c r="I3" s="298"/>
    </row>
    <row r="4" spans="1:10" s="3" customFormat="1" ht="14.25" x14ac:dyDescent="0.2"/>
    <row r="5" spans="1:10" s="3" customFormat="1" ht="14.25" x14ac:dyDescent="0.2">
      <c r="A5" s="3" t="s">
        <v>79</v>
      </c>
      <c r="B5" s="289" t="str">
        <f>+'Cover Page'!B33:I33</f>
        <v>JG Pears CHP Plant</v>
      </c>
      <c r="C5" s="289"/>
      <c r="D5" s="289"/>
      <c r="E5" s="289"/>
      <c r="F5" s="3" t="s">
        <v>80</v>
      </c>
      <c r="G5" s="3" t="s">
        <v>122</v>
      </c>
    </row>
    <row r="6" spans="1:10" s="3" customFormat="1" ht="14.25" x14ac:dyDescent="0.2"/>
    <row r="7" spans="1:10" s="3" customFormat="1" ht="15.75" customHeight="1" x14ac:dyDescent="0.2">
      <c r="A7" s="3" t="s">
        <v>82</v>
      </c>
      <c r="D7" s="299">
        <f>+'Perf. Form 1'!D6:E6</f>
        <v>44562</v>
      </c>
      <c r="E7" s="299"/>
      <c r="F7" s="70" t="s">
        <v>83</v>
      </c>
      <c r="G7" s="299">
        <f>+'Perf. Form 1'!G6:H6</f>
        <v>44926</v>
      </c>
      <c r="H7" s="299"/>
    </row>
    <row r="8" spans="1:10" s="3" customFormat="1" x14ac:dyDescent="0.25">
      <c r="B8"/>
      <c r="C8"/>
      <c r="D8"/>
    </row>
    <row r="9" spans="1:10" s="3" customFormat="1" ht="37.5" customHeight="1" x14ac:dyDescent="0.2">
      <c r="A9" s="250" t="s">
        <v>123</v>
      </c>
      <c r="B9" s="250"/>
      <c r="C9" s="250"/>
      <c r="D9" s="292" t="s">
        <v>124</v>
      </c>
      <c r="E9" s="292"/>
      <c r="F9" s="71" t="s">
        <v>34</v>
      </c>
      <c r="G9" s="250" t="s">
        <v>125</v>
      </c>
      <c r="H9" s="250"/>
      <c r="I9" s="250"/>
    </row>
    <row r="10" spans="1:10" s="3" customFormat="1" ht="24.75" customHeight="1" x14ac:dyDescent="0.2">
      <c r="A10" s="247" t="s">
        <v>126</v>
      </c>
      <c r="B10" s="247"/>
      <c r="C10" s="247"/>
      <c r="D10" s="294">
        <f>+'Operational Data'!G24</f>
        <v>64369.574999999997</v>
      </c>
      <c r="E10" s="294"/>
      <c r="F10" s="106" t="s">
        <v>49</v>
      </c>
      <c r="G10" s="295">
        <f>+'Operational Data'!H24</f>
        <v>1059.9559643598857</v>
      </c>
      <c r="H10" s="295"/>
      <c r="I10" s="295"/>
    </row>
    <row r="11" spans="1:10" s="3" customFormat="1" ht="24.75" customHeight="1" x14ac:dyDescent="0.2">
      <c r="A11" s="247" t="s">
        <v>127</v>
      </c>
      <c r="B11" s="247"/>
      <c r="C11" s="247"/>
      <c r="D11" s="281">
        <f>+'Operational Data'!G27</f>
        <v>1522.7637199999999</v>
      </c>
      <c r="E11" s="281"/>
      <c r="F11" s="106" t="s">
        <v>49</v>
      </c>
      <c r="G11" s="295">
        <f>+'Operational Data'!H27</f>
        <v>25.074928447560001</v>
      </c>
      <c r="H11" s="295"/>
      <c r="I11" s="295"/>
    </row>
    <row r="12" spans="1:10" s="3" customFormat="1" ht="24.75" customHeight="1" x14ac:dyDescent="0.2">
      <c r="A12" s="247" t="s">
        <v>128</v>
      </c>
      <c r="B12" s="247"/>
      <c r="C12" s="247"/>
      <c r="D12" s="294">
        <f>+'Operational Data'!G25</f>
        <v>40686</v>
      </c>
      <c r="E12" s="294"/>
      <c r="F12" s="106" t="s">
        <v>49</v>
      </c>
      <c r="G12" s="295">
        <f>+'Operational Data'!H25</f>
        <v>669.96509400514628</v>
      </c>
      <c r="H12" s="295"/>
      <c r="I12" s="295"/>
    </row>
    <row r="13" spans="1:10" s="3" customFormat="1" ht="24.75" customHeight="1" x14ac:dyDescent="0.2">
      <c r="A13" s="247" t="s">
        <v>129</v>
      </c>
      <c r="B13" s="247"/>
      <c r="C13" s="247"/>
      <c r="D13" s="296"/>
      <c r="E13" s="296"/>
      <c r="F13" s="106" t="s">
        <v>41</v>
      </c>
      <c r="G13" s="297"/>
      <c r="H13" s="297"/>
      <c r="I13" s="297"/>
    </row>
    <row r="14" spans="1:10" s="3" customFormat="1" ht="24.75" customHeight="1" x14ac:dyDescent="0.2">
      <c r="A14" s="247" t="s">
        <v>130</v>
      </c>
      <c r="B14" s="247"/>
      <c r="C14" s="247"/>
      <c r="D14" s="294">
        <f>+'Operational Data'!G30</f>
        <v>122266.818</v>
      </c>
      <c r="E14" s="294"/>
      <c r="F14" s="106" t="s">
        <v>54</v>
      </c>
      <c r="G14" s="295">
        <f>+'Operational Data'!H30</f>
        <v>2013.333830189257</v>
      </c>
      <c r="H14" s="295"/>
      <c r="I14" s="295"/>
    </row>
    <row r="15" spans="1:10" s="3" customFormat="1" ht="24.75" customHeight="1" x14ac:dyDescent="0.2">
      <c r="A15" s="285"/>
      <c r="B15" s="285"/>
      <c r="C15" s="285"/>
      <c r="D15" s="285"/>
      <c r="E15" s="285"/>
      <c r="F15" s="73"/>
      <c r="G15" s="210"/>
      <c r="H15" s="210"/>
      <c r="I15" s="210"/>
    </row>
    <row r="16" spans="1:10" s="3" customFormat="1" ht="24.75" customHeight="1" x14ac:dyDescent="0.2">
      <c r="A16" s="285"/>
      <c r="B16" s="285"/>
      <c r="C16" s="285"/>
      <c r="D16" s="285"/>
      <c r="E16" s="285"/>
      <c r="F16" s="73"/>
      <c r="G16" s="210"/>
      <c r="H16" s="210"/>
      <c r="I16" s="210"/>
    </row>
    <row r="17" spans="1:9" s="3" customFormat="1" x14ac:dyDescent="0.25">
      <c r="A17" s="87"/>
      <c r="B17"/>
      <c r="C17"/>
      <c r="D17"/>
    </row>
    <row r="18" spans="1:9" s="3" customFormat="1" ht="24" customHeight="1" x14ac:dyDescent="0.2">
      <c r="A18" s="248" t="s">
        <v>97</v>
      </c>
      <c r="B18" s="248"/>
      <c r="C18" s="248"/>
      <c r="D18" s="248"/>
      <c r="E18" s="248"/>
      <c r="F18" s="248"/>
      <c r="G18" s="248"/>
      <c r="H18" s="248"/>
      <c r="I18" s="248"/>
    </row>
    <row r="19" spans="1:9" s="3" customFormat="1" ht="14.25" x14ac:dyDescent="0.2">
      <c r="A19" s="293"/>
      <c r="B19" s="293"/>
      <c r="C19" s="293"/>
      <c r="D19" s="293"/>
      <c r="E19" s="293"/>
      <c r="F19" s="293"/>
      <c r="G19" s="293"/>
      <c r="H19" s="293"/>
      <c r="I19" s="293"/>
    </row>
    <row r="20" spans="1:9" s="3" customFormat="1" ht="14.25" x14ac:dyDescent="0.2">
      <c r="A20" s="293"/>
      <c r="B20" s="293"/>
      <c r="C20" s="293"/>
      <c r="D20" s="293"/>
      <c r="E20" s="293"/>
      <c r="F20" s="293"/>
      <c r="G20" s="293"/>
      <c r="H20" s="293"/>
      <c r="I20" s="293"/>
    </row>
    <row r="21" spans="1:9" s="3" customFormat="1" ht="14.25" x14ac:dyDescent="0.2">
      <c r="A21" s="293"/>
      <c r="B21" s="293"/>
      <c r="C21" s="293"/>
      <c r="D21" s="293"/>
      <c r="E21" s="293"/>
      <c r="F21" s="293"/>
      <c r="G21" s="293"/>
      <c r="H21" s="293"/>
      <c r="I21" s="293"/>
    </row>
    <row r="22" spans="1:9" s="3" customFormat="1" ht="14.25" x14ac:dyDescent="0.2">
      <c r="A22" s="293"/>
      <c r="B22" s="293"/>
      <c r="C22" s="293"/>
      <c r="D22" s="293"/>
      <c r="E22" s="293"/>
      <c r="F22" s="293"/>
      <c r="G22" s="293"/>
      <c r="H22" s="293"/>
      <c r="I22" s="293"/>
    </row>
    <row r="23" spans="1:9" s="3" customFormat="1" ht="14.25" x14ac:dyDescent="0.2">
      <c r="A23" s="293"/>
      <c r="B23" s="293"/>
      <c r="C23" s="293"/>
      <c r="D23" s="293"/>
      <c r="E23" s="293"/>
      <c r="F23" s="293"/>
      <c r="G23" s="293"/>
      <c r="H23" s="293"/>
      <c r="I23" s="293"/>
    </row>
    <row r="24" spans="1:9" s="3" customFormat="1" ht="14.25" x14ac:dyDescent="0.2">
      <c r="A24" s="293"/>
      <c r="B24" s="293"/>
      <c r="C24" s="293"/>
      <c r="D24" s="293"/>
      <c r="E24" s="293"/>
      <c r="F24" s="293"/>
      <c r="G24" s="293"/>
      <c r="H24" s="293"/>
      <c r="I24" s="293"/>
    </row>
    <row r="25" spans="1:9" s="3" customFormat="1" ht="14.25" x14ac:dyDescent="0.2">
      <c r="A25" s="293"/>
      <c r="B25" s="293"/>
      <c r="C25" s="293"/>
      <c r="D25" s="293"/>
      <c r="E25" s="293"/>
      <c r="F25" s="293"/>
      <c r="G25" s="293"/>
      <c r="H25" s="293"/>
      <c r="I25" s="293"/>
    </row>
    <row r="26" spans="1:9" s="3" customFormat="1" ht="14.25" x14ac:dyDescent="0.2">
      <c r="A26" s="83"/>
      <c r="B26" s="83"/>
      <c r="C26" s="83"/>
      <c r="D26" s="83"/>
      <c r="E26" s="83"/>
      <c r="F26" s="83"/>
      <c r="G26" s="83"/>
      <c r="H26" s="83"/>
      <c r="I26" s="83"/>
    </row>
    <row r="27" spans="1:9" s="3" customFormat="1" ht="14.25" x14ac:dyDescent="0.2"/>
    <row r="28" spans="1:9" s="3" customFormat="1" ht="14.25" x14ac:dyDescent="0.2"/>
    <row r="29" spans="1:9" s="3" customFormat="1" ht="14.25" x14ac:dyDescent="0.2">
      <c r="A29" s="3" t="s">
        <v>119</v>
      </c>
      <c r="B29" s="86" t="s">
        <v>361</v>
      </c>
      <c r="C29" s="86"/>
      <c r="D29" s="86"/>
      <c r="E29" s="86"/>
      <c r="G29" s="3" t="s">
        <v>120</v>
      </c>
      <c r="H29" s="408">
        <v>44946</v>
      </c>
      <c r="I29" s="86"/>
    </row>
    <row r="30" spans="1:9" s="3" customFormat="1" ht="14.25" x14ac:dyDescent="0.2"/>
    <row r="31" spans="1:9" ht="14.25" customHeight="1" x14ac:dyDescent="0.2">
      <c r="A31" s="3"/>
      <c r="B31" s="3"/>
      <c r="C31" s="3"/>
      <c r="D31" s="3"/>
      <c r="E31" s="3"/>
      <c r="F31" s="3"/>
      <c r="G31" s="3"/>
      <c r="H31" s="3"/>
      <c r="I31" s="3"/>
    </row>
    <row r="32" spans="1:9" s="3" customFormat="1" ht="14.25" x14ac:dyDescent="0.2"/>
    <row r="33" spans="1:9" s="3" customFormat="1" ht="14.25" x14ac:dyDescent="0.2"/>
    <row r="34" spans="1:9" s="3" customFormat="1" x14ac:dyDescent="0.2">
      <c r="A34" s="2"/>
      <c r="B34" s="2"/>
      <c r="C34" s="2"/>
      <c r="D34" s="2"/>
      <c r="E34" s="2"/>
      <c r="F34" s="2"/>
      <c r="G34" s="2"/>
      <c r="H34" s="2"/>
      <c r="I34" s="2"/>
    </row>
    <row r="35" spans="1:9" s="3" customFormat="1" ht="14.25" x14ac:dyDescent="0.2"/>
    <row r="36" spans="1:9" s="3" customFormat="1" ht="14.25" x14ac:dyDescent="0.2"/>
    <row r="37" spans="1:9" s="3" customFormat="1" ht="14.25" x14ac:dyDescent="0.2"/>
    <row r="38" spans="1:9" s="3" customFormat="1" ht="14.25" x14ac:dyDescent="0.2"/>
    <row r="39" spans="1:9" s="3" customFormat="1" ht="14.25" x14ac:dyDescent="0.2"/>
    <row r="40" spans="1:9" s="3" customFormat="1" ht="14.25" x14ac:dyDescent="0.2"/>
    <row r="41" spans="1:9" s="3" customFormat="1" ht="14.25" x14ac:dyDescent="0.2"/>
    <row r="42" spans="1:9" s="3" customFormat="1" ht="14.25" x14ac:dyDescent="0.2"/>
    <row r="43" spans="1:9" x14ac:dyDescent="0.2">
      <c r="A43" s="3"/>
      <c r="B43" s="3"/>
      <c r="C43" s="3"/>
      <c r="D43" s="3"/>
      <c r="E43" s="3"/>
      <c r="F43" s="3"/>
      <c r="G43" s="3"/>
      <c r="H43" s="3"/>
      <c r="I43" s="3"/>
    </row>
    <row r="44" spans="1:9" x14ac:dyDescent="0.2">
      <c r="A44" s="3"/>
      <c r="B44" s="3"/>
      <c r="C44" s="3"/>
      <c r="D44" s="3"/>
      <c r="E44" s="3"/>
      <c r="F44" s="3"/>
      <c r="G44" s="3"/>
      <c r="H44" s="3"/>
      <c r="I44" s="3"/>
    </row>
    <row r="45" spans="1:9" x14ac:dyDescent="0.2">
      <c r="A45" s="3"/>
      <c r="B45" s="3"/>
      <c r="C45" s="3"/>
      <c r="D45" s="3"/>
      <c r="E45" s="3"/>
      <c r="F45" s="3"/>
      <c r="G45" s="3"/>
      <c r="H45" s="3"/>
      <c r="I45" s="3"/>
    </row>
    <row r="64" spans="6:6" x14ac:dyDescent="0.2">
      <c r="F64" s="3"/>
    </row>
  </sheetData>
  <mergeCells count="30">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7"/>
  <sheetViews>
    <sheetView showGridLines="0" tabSelected="1" topLeftCell="A9" zoomScaleNormal="100" workbookViewId="0">
      <selection activeCell="S10" sqref="S10"/>
    </sheetView>
  </sheetViews>
  <sheetFormatPr defaultColWidth="9.28515625" defaultRowHeight="15" x14ac:dyDescent="0.2"/>
  <cols>
    <col min="1" max="1" width="12.28515625" style="2" customWidth="1"/>
    <col min="2" max="2" width="11.7109375" style="2" customWidth="1"/>
    <col min="3" max="3" width="18.28515625" style="2" bestFit="1" customWidth="1"/>
    <col min="4" max="4" width="12.5703125" style="2" bestFit="1" customWidth="1"/>
    <col min="5" max="5" width="3.28515625" style="2" customWidth="1"/>
    <col min="6" max="8" width="9.28515625" style="2"/>
    <col min="9" max="9" width="8.7109375" style="2" customWidth="1"/>
    <col min="10" max="10" width="9.28515625" style="2" hidden="1" customWidth="1"/>
    <col min="11" max="11" width="10.7109375" style="2" bestFit="1" customWidth="1"/>
    <col min="12" max="12" width="31.7109375" style="2" customWidth="1"/>
    <col min="13" max="16384" width="9.28515625" style="2"/>
  </cols>
  <sheetData>
    <row r="1" spans="1:15" x14ac:dyDescent="0.2">
      <c r="A1" s="2" t="str">
        <f>+'Cover Page'!$B$29</f>
        <v>Annual Performance Report 2022</v>
      </c>
      <c r="E1" s="2" t="str">
        <f>+'Cover Page'!$B$33</f>
        <v>JG Pears CHP Plant</v>
      </c>
    </row>
    <row r="3" spans="1:15" ht="15.75" x14ac:dyDescent="0.25">
      <c r="A3" s="1" t="s">
        <v>131</v>
      </c>
    </row>
    <row r="4" spans="1:15" ht="15.75" x14ac:dyDescent="0.25">
      <c r="A4" s="1"/>
    </row>
    <row r="5" spans="1:15" ht="15.75" x14ac:dyDescent="0.25">
      <c r="A5" s="11" t="s">
        <v>132</v>
      </c>
    </row>
    <row r="6" spans="1:15" ht="15.75" x14ac:dyDescent="0.25">
      <c r="A6" s="11"/>
    </row>
    <row r="7" spans="1:15" x14ac:dyDescent="0.2">
      <c r="A7" s="16" t="s">
        <v>133</v>
      </c>
    </row>
    <row r="8" spans="1:15" s="3" customFormat="1" ht="25.5" customHeight="1" x14ac:dyDescent="0.25">
      <c r="A8" s="312" t="s">
        <v>134</v>
      </c>
      <c r="B8" s="313"/>
      <c r="C8" s="312" t="s">
        <v>135</v>
      </c>
      <c r="D8" s="314"/>
      <c r="E8" s="314"/>
      <c r="F8" s="314"/>
      <c r="G8" s="314"/>
      <c r="H8" s="314"/>
      <c r="I8" s="313"/>
      <c r="L8" s="137" t="s">
        <v>290</v>
      </c>
    </row>
    <row r="9" spans="1:15" s="3" customFormat="1" ht="22.5" customHeight="1" x14ac:dyDescent="0.2">
      <c r="A9" s="315"/>
      <c r="B9" s="316"/>
      <c r="C9" s="317" t="s">
        <v>136</v>
      </c>
      <c r="D9" s="317"/>
      <c r="E9" s="317"/>
      <c r="F9" s="317" t="s">
        <v>137</v>
      </c>
      <c r="G9" s="317"/>
      <c r="H9" s="317"/>
      <c r="I9" s="317"/>
      <c r="L9" s="318" t="s">
        <v>353</v>
      </c>
      <c r="M9" s="231"/>
      <c r="N9" s="231"/>
      <c r="O9" s="231"/>
    </row>
    <row r="10" spans="1:15" s="3" customFormat="1" ht="22.5" customHeight="1" x14ac:dyDescent="0.2">
      <c r="A10" s="311" t="s">
        <v>138</v>
      </c>
      <c r="B10" s="311"/>
      <c r="C10" s="306" t="s">
        <v>375</v>
      </c>
      <c r="D10" s="307"/>
      <c r="E10" s="307"/>
      <c r="F10" s="310">
        <v>1</v>
      </c>
      <c r="G10" s="307"/>
      <c r="H10" s="307"/>
      <c r="I10" s="307"/>
      <c r="L10" s="231"/>
      <c r="M10" s="231"/>
      <c r="N10" s="231"/>
      <c r="O10" s="231"/>
    </row>
    <row r="11" spans="1:15" s="3" customFormat="1" ht="22.5" customHeight="1" x14ac:dyDescent="0.2">
      <c r="A11" s="311" t="s">
        <v>139</v>
      </c>
      <c r="B11" s="311"/>
      <c r="C11" s="306" t="s">
        <v>375</v>
      </c>
      <c r="D11" s="307"/>
      <c r="E11" s="307"/>
      <c r="F11" s="310">
        <v>1</v>
      </c>
      <c r="G11" s="307"/>
      <c r="H11" s="307"/>
      <c r="I11" s="307"/>
      <c r="L11" s="231"/>
      <c r="M11" s="231"/>
      <c r="N11" s="231"/>
      <c r="O11" s="231"/>
    </row>
    <row r="12" spans="1:15" s="3" customFormat="1" ht="22.5" customHeight="1" x14ac:dyDescent="0.2">
      <c r="A12" s="311" t="s">
        <v>140</v>
      </c>
      <c r="B12" s="311"/>
      <c r="C12" s="306" t="s">
        <v>375</v>
      </c>
      <c r="D12" s="307"/>
      <c r="E12" s="307"/>
      <c r="F12" s="310">
        <v>1</v>
      </c>
      <c r="G12" s="307"/>
      <c r="H12" s="307"/>
      <c r="I12" s="307"/>
      <c r="L12" s="231"/>
      <c r="M12" s="231"/>
      <c r="N12" s="231"/>
      <c r="O12" s="231"/>
    </row>
    <row r="13" spans="1:15" s="3" customFormat="1" ht="22.5" customHeight="1" x14ac:dyDescent="0.2">
      <c r="A13" s="311" t="s">
        <v>141</v>
      </c>
      <c r="B13" s="311"/>
      <c r="C13" s="306" t="s">
        <v>375</v>
      </c>
      <c r="D13" s="307"/>
      <c r="E13" s="307"/>
      <c r="F13" s="310">
        <v>1</v>
      </c>
      <c r="G13" s="307"/>
      <c r="H13" s="307"/>
      <c r="I13" s="307"/>
      <c r="L13" s="231"/>
      <c r="M13" s="231"/>
      <c r="N13" s="231"/>
      <c r="O13" s="231"/>
    </row>
    <row r="14" spans="1:15" s="3" customFormat="1" ht="22.5" customHeight="1" x14ac:dyDescent="0.2">
      <c r="A14" s="311" t="s">
        <v>142</v>
      </c>
      <c r="B14" s="311"/>
      <c r="C14" s="306" t="s">
        <v>375</v>
      </c>
      <c r="D14" s="307"/>
      <c r="E14" s="307"/>
      <c r="F14" s="310">
        <v>1</v>
      </c>
      <c r="G14" s="307"/>
      <c r="H14" s="307"/>
      <c r="I14" s="307"/>
      <c r="L14" s="231"/>
      <c r="M14" s="231"/>
      <c r="N14" s="231"/>
      <c r="O14" s="231"/>
    </row>
    <row r="15" spans="1:15" s="3" customFormat="1" ht="22.5" customHeight="1" x14ac:dyDescent="0.2">
      <c r="A15" s="311" t="s">
        <v>143</v>
      </c>
      <c r="B15" s="311"/>
      <c r="C15" s="306" t="s">
        <v>375</v>
      </c>
      <c r="D15" s="307"/>
      <c r="E15" s="307"/>
      <c r="F15" s="310">
        <v>1</v>
      </c>
      <c r="G15" s="307"/>
      <c r="H15" s="307"/>
      <c r="I15" s="307"/>
      <c r="L15" s="231"/>
      <c r="M15" s="231"/>
      <c r="N15" s="231"/>
      <c r="O15" s="231"/>
    </row>
    <row r="16" spans="1:15" s="3" customFormat="1" ht="22.5" customHeight="1" x14ac:dyDescent="0.2">
      <c r="A16" s="311" t="s">
        <v>144</v>
      </c>
      <c r="B16" s="311"/>
      <c r="C16" s="306" t="s">
        <v>375</v>
      </c>
      <c r="D16" s="307"/>
      <c r="E16" s="307"/>
      <c r="F16" s="307" t="s">
        <v>375</v>
      </c>
      <c r="G16" s="307"/>
      <c r="H16" s="307"/>
      <c r="I16" s="307"/>
      <c r="L16" s="231"/>
      <c r="M16" s="231"/>
      <c r="N16" s="231"/>
      <c r="O16" s="231"/>
    </row>
    <row r="17" spans="1:15" s="3" customFormat="1" ht="22.5" customHeight="1" x14ac:dyDescent="0.2">
      <c r="A17" s="308"/>
      <c r="B17" s="309"/>
      <c r="C17" s="306"/>
      <c r="D17" s="307"/>
      <c r="E17" s="307"/>
      <c r="F17" s="306"/>
      <c r="G17" s="307"/>
      <c r="H17" s="307"/>
      <c r="I17" s="307"/>
      <c r="L17" s="231"/>
      <c r="M17" s="231"/>
      <c r="N17" s="231"/>
      <c r="O17" s="231"/>
    </row>
    <row r="18" spans="1:15" s="3" customFormat="1" ht="14.25" x14ac:dyDescent="0.2">
      <c r="L18" s="231"/>
      <c r="M18" s="231"/>
      <c r="N18" s="231"/>
      <c r="O18" s="231"/>
    </row>
    <row r="19" spans="1:15" s="87" customFormat="1" ht="21.75" customHeight="1" x14ac:dyDescent="0.25">
      <c r="A19" s="300" t="s">
        <v>145</v>
      </c>
      <c r="B19" s="301"/>
      <c r="C19" s="301"/>
      <c r="D19" s="301"/>
      <c r="E19" s="301"/>
      <c r="F19" s="301"/>
      <c r="G19" s="301"/>
      <c r="H19" s="301"/>
      <c r="I19" s="301"/>
      <c r="J19" s="301"/>
      <c r="K19" s="302"/>
    </row>
    <row r="20" spans="1:15" s="3" customFormat="1" ht="38.25" customHeight="1" x14ac:dyDescent="0.2">
      <c r="A20" s="88" t="s">
        <v>4</v>
      </c>
      <c r="B20" s="304" t="s">
        <v>282</v>
      </c>
      <c r="C20" s="304"/>
      <c r="D20" s="304"/>
      <c r="E20" s="304" t="s">
        <v>146</v>
      </c>
      <c r="F20" s="304"/>
      <c r="G20" s="304"/>
      <c r="H20" s="304" t="s">
        <v>147</v>
      </c>
      <c r="I20" s="304"/>
      <c r="J20" s="305"/>
      <c r="K20" s="128"/>
    </row>
    <row r="21" spans="1:15" s="3" customFormat="1" ht="14.25" x14ac:dyDescent="0.2">
      <c r="A21" s="89"/>
      <c r="B21" s="210"/>
      <c r="C21" s="210"/>
      <c r="D21" s="210"/>
      <c r="E21" s="210"/>
      <c r="F21" s="210"/>
      <c r="G21" s="210"/>
      <c r="H21" s="210"/>
      <c r="I21" s="210"/>
      <c r="J21" s="303"/>
      <c r="K21" s="128"/>
    </row>
    <row r="22" spans="1:15" s="3" customFormat="1" ht="14.25" x14ac:dyDescent="0.2">
      <c r="A22" s="15"/>
      <c r="B22" s="210"/>
      <c r="C22" s="210"/>
      <c r="D22" s="210"/>
      <c r="E22" s="210"/>
      <c r="F22" s="210"/>
      <c r="G22" s="210"/>
      <c r="H22" s="210"/>
      <c r="I22" s="210"/>
      <c r="J22" s="303"/>
      <c r="K22" s="128"/>
    </row>
    <row r="23" spans="1:15" s="3" customFormat="1" ht="14.25" x14ac:dyDescent="0.2">
      <c r="A23" s="15"/>
      <c r="B23" s="210"/>
      <c r="C23" s="210"/>
      <c r="D23" s="210"/>
      <c r="E23" s="210"/>
      <c r="F23" s="210"/>
      <c r="G23" s="210"/>
      <c r="H23" s="210"/>
      <c r="I23" s="210"/>
      <c r="J23" s="303"/>
      <c r="K23" s="128"/>
    </row>
    <row r="24" spans="1:15" s="3" customFormat="1" ht="14.25" x14ac:dyDescent="0.2">
      <c r="A24" s="15"/>
      <c r="B24" s="210"/>
      <c r="C24" s="210"/>
      <c r="D24" s="210"/>
      <c r="E24" s="210"/>
      <c r="F24" s="210"/>
      <c r="G24" s="210"/>
      <c r="H24" s="210"/>
      <c r="I24" s="210"/>
      <c r="J24" s="303"/>
      <c r="K24" s="128"/>
    </row>
    <row r="25" spans="1:15" s="3" customFormat="1" ht="14.25" x14ac:dyDescent="0.2">
      <c r="A25" s="15"/>
      <c r="B25" s="210"/>
      <c r="C25" s="210"/>
      <c r="D25" s="210"/>
      <c r="E25" s="210"/>
      <c r="F25" s="210"/>
      <c r="G25" s="210"/>
      <c r="H25" s="210"/>
      <c r="I25" s="210"/>
      <c r="J25" s="303"/>
      <c r="K25" s="128"/>
    </row>
    <row r="26" spans="1:15" s="3" customFormat="1" ht="14.25" x14ac:dyDescent="0.2"/>
    <row r="27" spans="1:15" s="87" customFormat="1" ht="22.5" customHeight="1" x14ac:dyDescent="0.25">
      <c r="A27" s="300" t="s">
        <v>148</v>
      </c>
      <c r="B27" s="301"/>
      <c r="C27" s="301"/>
      <c r="D27" s="301"/>
      <c r="E27" s="301"/>
      <c r="F27" s="301"/>
      <c r="G27" s="301"/>
      <c r="H27" s="301"/>
      <c r="I27" s="301"/>
      <c r="J27" s="301"/>
      <c r="K27" s="302"/>
    </row>
    <row r="28" spans="1:15" s="3" customFormat="1" ht="39" customHeight="1" x14ac:dyDescent="0.2">
      <c r="A28" s="88" t="s">
        <v>4</v>
      </c>
      <c r="B28" s="304" t="s">
        <v>283</v>
      </c>
      <c r="C28" s="304"/>
      <c r="D28" s="304"/>
      <c r="E28" s="304" t="s">
        <v>149</v>
      </c>
      <c r="F28" s="304"/>
      <c r="G28" s="304"/>
      <c r="H28" s="304" t="s">
        <v>147</v>
      </c>
      <c r="I28" s="304"/>
      <c r="J28" s="305"/>
      <c r="K28" s="128"/>
    </row>
    <row r="29" spans="1:15" s="3" customFormat="1" ht="14.25" x14ac:dyDescent="0.2">
      <c r="A29" s="15"/>
      <c r="B29" s="210"/>
      <c r="C29" s="210"/>
      <c r="D29" s="210"/>
      <c r="E29" s="210"/>
      <c r="F29" s="210"/>
      <c r="G29" s="210"/>
      <c r="H29" s="210"/>
      <c r="I29" s="210"/>
      <c r="J29" s="303"/>
      <c r="K29" s="128"/>
    </row>
    <row r="30" spans="1:15" s="3" customFormat="1" ht="14.25" x14ac:dyDescent="0.2">
      <c r="A30" s="15"/>
      <c r="B30" s="210"/>
      <c r="C30" s="210"/>
      <c r="D30" s="210"/>
      <c r="E30" s="210"/>
      <c r="F30" s="210"/>
      <c r="G30" s="210"/>
      <c r="H30" s="210"/>
      <c r="I30" s="210"/>
      <c r="J30" s="303"/>
      <c r="K30" s="128"/>
    </row>
    <row r="31" spans="1:15" ht="14.25" customHeight="1" x14ac:dyDescent="0.2">
      <c r="A31" s="15"/>
      <c r="B31" s="210"/>
      <c r="C31" s="210"/>
      <c r="D31" s="210"/>
      <c r="E31" s="210"/>
      <c r="F31" s="210"/>
      <c r="G31" s="210"/>
      <c r="H31" s="210"/>
      <c r="I31" s="210"/>
      <c r="J31" s="303"/>
      <c r="K31" s="128"/>
    </row>
    <row r="32" spans="1:15" s="3" customFormat="1" ht="14.25" x14ac:dyDescent="0.2">
      <c r="A32" s="15"/>
      <c r="B32" s="210"/>
      <c r="C32" s="210"/>
      <c r="D32" s="210"/>
      <c r="E32" s="210"/>
      <c r="F32" s="210"/>
      <c r="G32" s="210"/>
      <c r="H32" s="210"/>
      <c r="I32" s="210"/>
      <c r="J32" s="303"/>
      <c r="K32" s="128"/>
    </row>
    <row r="33" spans="1:11" s="3" customFormat="1" ht="14.25" x14ac:dyDescent="0.2">
      <c r="A33" s="15"/>
      <c r="B33" s="210"/>
      <c r="C33" s="210"/>
      <c r="D33" s="210"/>
      <c r="E33" s="210"/>
      <c r="F33" s="210"/>
      <c r="G33" s="210"/>
      <c r="H33" s="210"/>
      <c r="I33" s="210"/>
      <c r="J33" s="303"/>
      <c r="K33" s="128"/>
    </row>
    <row r="34" spans="1:11" s="3" customFormat="1" ht="29.25" customHeight="1" x14ac:dyDescent="0.2">
      <c r="A34" s="16"/>
      <c r="E34" s="319" t="s">
        <v>150</v>
      </c>
      <c r="F34" s="319"/>
      <c r="G34" s="319"/>
      <c r="H34" s="319"/>
      <c r="I34" s="319"/>
      <c r="J34" s="16"/>
    </row>
    <row r="67" spans="6:6" x14ac:dyDescent="0.2">
      <c r="F67" s="3"/>
    </row>
  </sheetData>
  <mergeCells count="69">
    <mergeCell ref="L9:O18"/>
    <mergeCell ref="E34:I34"/>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A8:B8"/>
    <mergeCell ref="C8:I8"/>
    <mergeCell ref="A9:B9"/>
    <mergeCell ref="C9:E9"/>
    <mergeCell ref="F9:I9"/>
    <mergeCell ref="F14:I14"/>
    <mergeCell ref="A15:B15"/>
    <mergeCell ref="C15:E15"/>
    <mergeCell ref="F15:I15"/>
    <mergeCell ref="A16:B16"/>
    <mergeCell ref="C17:E17"/>
    <mergeCell ref="F17:I17"/>
    <mergeCell ref="C16:E16"/>
    <mergeCell ref="F16:I16"/>
    <mergeCell ref="A17:B17"/>
    <mergeCell ref="B20:D20"/>
    <mergeCell ref="E20:G20"/>
    <mergeCell ref="H20:J20"/>
    <mergeCell ref="B21:D21"/>
    <mergeCell ref="E21:G21"/>
    <mergeCell ref="H21:J21"/>
    <mergeCell ref="H25:J25"/>
    <mergeCell ref="B22:D22"/>
    <mergeCell ref="E22:G22"/>
    <mergeCell ref="H22:J22"/>
    <mergeCell ref="B23:D23"/>
    <mergeCell ref="E23:G23"/>
    <mergeCell ref="H23:J23"/>
    <mergeCell ref="B33:D33"/>
    <mergeCell ref="E33:G33"/>
    <mergeCell ref="H33:J33"/>
    <mergeCell ref="B30:D30"/>
    <mergeCell ref="E30:G30"/>
    <mergeCell ref="H30:J30"/>
    <mergeCell ref="B31:D31"/>
    <mergeCell ref="E31:G31"/>
    <mergeCell ref="H31:J31"/>
    <mergeCell ref="A27:K27"/>
    <mergeCell ref="A19:K19"/>
    <mergeCell ref="B32:D32"/>
    <mergeCell ref="E32:G32"/>
    <mergeCell ref="H32:J32"/>
    <mergeCell ref="B28:D28"/>
    <mergeCell ref="E28:G28"/>
    <mergeCell ref="H28:J28"/>
    <mergeCell ref="B29:D29"/>
    <mergeCell ref="E29:G29"/>
    <mergeCell ref="H29:J29"/>
    <mergeCell ref="B24:D24"/>
    <mergeCell ref="E24:G24"/>
    <mergeCell ref="H24:J24"/>
    <mergeCell ref="B25:D25"/>
    <mergeCell ref="E25:G25"/>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J66"/>
  <sheetViews>
    <sheetView showGridLines="0" tabSelected="1" topLeftCell="A20" zoomScaleNormal="100" workbookViewId="0">
      <selection activeCell="S10" sqref="S10"/>
    </sheetView>
  </sheetViews>
  <sheetFormatPr defaultColWidth="9.28515625" defaultRowHeight="15" x14ac:dyDescent="0.2"/>
  <cols>
    <col min="1" max="1" width="9.28515625" style="2" customWidth="1"/>
    <col min="2" max="2" width="14.5703125" style="2" bestFit="1" customWidth="1"/>
    <col min="3" max="9" width="9.28515625" style="2"/>
    <col min="10" max="10" width="11.5703125" style="2" customWidth="1"/>
    <col min="11" max="16384" width="9.28515625" style="2"/>
  </cols>
  <sheetData>
    <row r="1" spans="1:10" x14ac:dyDescent="0.2">
      <c r="A1" s="2" t="str">
        <f>+'Cover Page'!$B$29</f>
        <v>Annual Performance Report 2022</v>
      </c>
      <c r="E1" s="2" t="str">
        <f>+'Cover Page'!$B$33</f>
        <v>JG Pears CHP Plant</v>
      </c>
    </row>
    <row r="3" spans="1:10" ht="15.75" x14ac:dyDescent="0.25">
      <c r="A3" s="1" t="s">
        <v>151</v>
      </c>
    </row>
    <row r="4" spans="1:10" ht="15.75" x14ac:dyDescent="0.25">
      <c r="A4" s="1"/>
    </row>
    <row r="5" spans="1:10" s="3" customFormat="1" x14ac:dyDescent="0.2">
      <c r="A5" s="331" t="s">
        <v>152</v>
      </c>
      <c r="B5" s="332"/>
      <c r="C5" s="332"/>
      <c r="D5" s="332"/>
      <c r="E5" s="332"/>
      <c r="F5" s="332"/>
      <c r="G5" s="332"/>
      <c r="H5" s="332"/>
      <c r="I5" s="332"/>
      <c r="J5" s="333"/>
    </row>
    <row r="6" spans="1:10" s="3" customFormat="1" ht="15.75" customHeight="1" x14ac:dyDescent="0.2">
      <c r="A6" s="214" t="s">
        <v>414</v>
      </c>
      <c r="B6" s="223"/>
      <c r="C6" s="223"/>
      <c r="D6" s="223"/>
      <c r="E6" s="223"/>
      <c r="F6" s="223"/>
      <c r="G6" s="223"/>
      <c r="H6" s="223"/>
      <c r="I6" s="223"/>
      <c r="J6" s="224"/>
    </row>
    <row r="7" spans="1:10" s="3" customFormat="1" ht="15.75" customHeight="1" x14ac:dyDescent="0.2">
      <c r="A7" s="225"/>
      <c r="B7" s="226"/>
      <c r="C7" s="226"/>
      <c r="D7" s="226"/>
      <c r="E7" s="226"/>
      <c r="F7" s="226"/>
      <c r="G7" s="226"/>
      <c r="H7" s="226"/>
      <c r="I7" s="226"/>
      <c r="J7" s="227"/>
    </row>
    <row r="8" spans="1:10" s="3" customFormat="1" ht="15.75" customHeight="1" x14ac:dyDescent="0.2">
      <c r="A8" s="225"/>
      <c r="B8" s="226"/>
      <c r="C8" s="226"/>
      <c r="D8" s="226"/>
      <c r="E8" s="226"/>
      <c r="F8" s="226"/>
      <c r="G8" s="226"/>
      <c r="H8" s="226"/>
      <c r="I8" s="226"/>
      <c r="J8" s="227"/>
    </row>
    <row r="9" spans="1:10" s="3" customFormat="1" ht="15.75" customHeight="1" x14ac:dyDescent="0.2">
      <c r="A9" s="225"/>
      <c r="B9" s="226"/>
      <c r="C9" s="226"/>
      <c r="D9" s="226"/>
      <c r="E9" s="226"/>
      <c r="F9" s="226"/>
      <c r="G9" s="226"/>
      <c r="H9" s="226"/>
      <c r="I9" s="226"/>
      <c r="J9" s="227"/>
    </row>
    <row r="10" spans="1:10" s="3" customFormat="1" ht="15.75" customHeight="1" x14ac:dyDescent="0.2">
      <c r="A10" s="225"/>
      <c r="B10" s="226"/>
      <c r="C10" s="226"/>
      <c r="D10" s="226"/>
      <c r="E10" s="226"/>
      <c r="F10" s="226"/>
      <c r="G10" s="226"/>
      <c r="H10" s="226"/>
      <c r="I10" s="226"/>
      <c r="J10" s="227"/>
    </row>
    <row r="11" spans="1:10" s="3" customFormat="1" ht="15.75" customHeight="1" x14ac:dyDescent="0.2">
      <c r="A11" s="225"/>
      <c r="B11" s="226"/>
      <c r="C11" s="226"/>
      <c r="D11" s="226"/>
      <c r="E11" s="226"/>
      <c r="F11" s="226"/>
      <c r="G11" s="226"/>
      <c r="H11" s="226"/>
      <c r="I11" s="226"/>
      <c r="J11" s="227"/>
    </row>
    <row r="12" spans="1:10" s="3" customFormat="1" ht="15.75" customHeight="1" x14ac:dyDescent="0.2">
      <c r="A12" s="225"/>
      <c r="B12" s="226"/>
      <c r="C12" s="226"/>
      <c r="D12" s="226"/>
      <c r="E12" s="226"/>
      <c r="F12" s="226"/>
      <c r="G12" s="226"/>
      <c r="H12" s="226"/>
      <c r="I12" s="226"/>
      <c r="J12" s="227"/>
    </row>
    <row r="13" spans="1:10" s="3" customFormat="1" ht="15.75" customHeight="1" x14ac:dyDescent="0.2">
      <c r="A13" s="225"/>
      <c r="B13" s="226"/>
      <c r="C13" s="226"/>
      <c r="D13" s="226"/>
      <c r="E13" s="226"/>
      <c r="F13" s="226"/>
      <c r="G13" s="226"/>
      <c r="H13" s="226"/>
      <c r="I13" s="226"/>
      <c r="J13" s="227"/>
    </row>
    <row r="14" spans="1:10" s="3" customFormat="1" ht="15.75" customHeight="1" x14ac:dyDescent="0.2">
      <c r="A14" s="228"/>
      <c r="B14" s="229"/>
      <c r="C14" s="229"/>
      <c r="D14" s="229"/>
      <c r="E14" s="229"/>
      <c r="F14" s="229"/>
      <c r="G14" s="229"/>
      <c r="H14" s="229"/>
      <c r="I14" s="229"/>
      <c r="J14" s="230"/>
    </row>
    <row r="15" spans="1:10" s="3" customFormat="1" ht="14.25" x14ac:dyDescent="0.2"/>
    <row r="16" spans="1:10" s="90" customFormat="1" ht="33.75" customHeight="1" x14ac:dyDescent="0.25">
      <c r="A16" s="320" t="s">
        <v>153</v>
      </c>
      <c r="B16" s="321"/>
      <c r="C16" s="321"/>
      <c r="D16" s="321"/>
      <c r="E16" s="321"/>
      <c r="F16" s="321"/>
      <c r="G16" s="321"/>
      <c r="H16" s="321"/>
      <c r="I16" s="321"/>
      <c r="J16" s="322"/>
    </row>
    <row r="17" spans="1:10" ht="15.75" customHeight="1" x14ac:dyDescent="0.2">
      <c r="A17" s="335" t="s">
        <v>415</v>
      </c>
      <c r="B17" s="223"/>
      <c r="C17" s="223"/>
      <c r="D17" s="223"/>
      <c r="E17" s="223"/>
      <c r="F17" s="223"/>
      <c r="G17" s="223"/>
      <c r="H17" s="223"/>
      <c r="I17" s="223"/>
      <c r="J17" s="224"/>
    </row>
    <row r="18" spans="1:10" ht="15.75" customHeight="1" x14ac:dyDescent="0.2">
      <c r="A18" s="225"/>
      <c r="B18" s="226"/>
      <c r="C18" s="226"/>
      <c r="D18" s="226"/>
      <c r="E18" s="226"/>
      <c r="F18" s="226"/>
      <c r="G18" s="226"/>
      <c r="H18" s="226"/>
      <c r="I18" s="226"/>
      <c r="J18" s="227"/>
    </row>
    <row r="19" spans="1:10" ht="15.75" customHeight="1" x14ac:dyDescent="0.2">
      <c r="A19" s="225"/>
      <c r="B19" s="226"/>
      <c r="C19" s="226"/>
      <c r="D19" s="226"/>
      <c r="E19" s="226"/>
      <c r="F19" s="226"/>
      <c r="G19" s="226"/>
      <c r="H19" s="226"/>
      <c r="I19" s="226"/>
      <c r="J19" s="227"/>
    </row>
    <row r="20" spans="1:10" ht="15.75" customHeight="1" x14ac:dyDescent="0.2">
      <c r="A20" s="225"/>
      <c r="B20" s="226"/>
      <c r="C20" s="226"/>
      <c r="D20" s="226"/>
      <c r="E20" s="226"/>
      <c r="F20" s="226"/>
      <c r="G20" s="226"/>
      <c r="H20" s="226"/>
      <c r="I20" s="226"/>
      <c r="J20" s="227"/>
    </row>
    <row r="21" spans="1:10" ht="15.75" customHeight="1" x14ac:dyDescent="0.2">
      <c r="A21" s="225"/>
      <c r="B21" s="226"/>
      <c r="C21" s="226"/>
      <c r="D21" s="226"/>
      <c r="E21" s="226"/>
      <c r="F21" s="226"/>
      <c r="G21" s="226"/>
      <c r="H21" s="226"/>
      <c r="I21" s="226"/>
      <c r="J21" s="227"/>
    </row>
    <row r="22" spans="1:10" ht="15.75" customHeight="1" x14ac:dyDescent="0.2">
      <c r="A22" s="225"/>
      <c r="B22" s="226"/>
      <c r="C22" s="226"/>
      <c r="D22" s="226"/>
      <c r="E22" s="226"/>
      <c r="F22" s="226"/>
      <c r="G22" s="226"/>
      <c r="H22" s="226"/>
      <c r="I22" s="226"/>
      <c r="J22" s="227"/>
    </row>
    <row r="23" spans="1:10" ht="15.75" customHeight="1" x14ac:dyDescent="0.2">
      <c r="A23" s="225"/>
      <c r="B23" s="226"/>
      <c r="C23" s="226"/>
      <c r="D23" s="226"/>
      <c r="E23" s="226"/>
      <c r="F23" s="226"/>
      <c r="G23" s="226"/>
      <c r="H23" s="226"/>
      <c r="I23" s="226"/>
      <c r="J23" s="227"/>
    </row>
    <row r="24" spans="1:10" ht="15.75" customHeight="1" x14ac:dyDescent="0.2">
      <c r="A24" s="225"/>
      <c r="B24" s="226"/>
      <c r="C24" s="226"/>
      <c r="D24" s="226"/>
      <c r="E24" s="226"/>
      <c r="F24" s="226"/>
      <c r="G24" s="226"/>
      <c r="H24" s="226"/>
      <c r="I24" s="226"/>
      <c r="J24" s="227"/>
    </row>
    <row r="25" spans="1:10" ht="15.75" customHeight="1" x14ac:dyDescent="0.2">
      <c r="A25" s="228"/>
      <c r="B25" s="229"/>
      <c r="C25" s="229"/>
      <c r="D25" s="229"/>
      <c r="E25" s="229"/>
      <c r="F25" s="229"/>
      <c r="G25" s="229"/>
      <c r="H25" s="229"/>
      <c r="I25" s="229"/>
      <c r="J25" s="230"/>
    </row>
    <row r="26" spans="1:10" ht="15.75" x14ac:dyDescent="0.25">
      <c r="A26" s="1"/>
    </row>
    <row r="27" spans="1:10" ht="36.75" customHeight="1" x14ac:dyDescent="0.2">
      <c r="A27" s="320" t="s">
        <v>154</v>
      </c>
      <c r="B27" s="321"/>
      <c r="C27" s="321"/>
      <c r="D27" s="321"/>
      <c r="E27" s="321"/>
      <c r="F27" s="321"/>
      <c r="G27" s="321"/>
      <c r="H27" s="321"/>
      <c r="I27" s="321"/>
      <c r="J27" s="322"/>
    </row>
    <row r="28" spans="1:10" ht="15.75" customHeight="1" x14ac:dyDescent="0.2">
      <c r="A28" s="335" t="s">
        <v>415</v>
      </c>
      <c r="B28" s="223"/>
      <c r="C28" s="223"/>
      <c r="D28" s="223"/>
      <c r="E28" s="223"/>
      <c r="F28" s="223"/>
      <c r="G28" s="223"/>
      <c r="H28" s="223"/>
      <c r="I28" s="223"/>
      <c r="J28" s="224"/>
    </row>
    <row r="29" spans="1:10" ht="15.75" customHeight="1" x14ac:dyDescent="0.2">
      <c r="A29" s="225"/>
      <c r="B29" s="226"/>
      <c r="C29" s="226"/>
      <c r="D29" s="226"/>
      <c r="E29" s="226"/>
      <c r="F29" s="226"/>
      <c r="G29" s="226"/>
      <c r="H29" s="226"/>
      <c r="I29" s="226"/>
      <c r="J29" s="227"/>
    </row>
    <row r="30" spans="1:10" ht="15.75" customHeight="1" x14ac:dyDescent="0.2">
      <c r="A30" s="225"/>
      <c r="B30" s="226"/>
      <c r="C30" s="226"/>
      <c r="D30" s="226"/>
      <c r="E30" s="226"/>
      <c r="F30" s="226"/>
      <c r="G30" s="226"/>
      <c r="H30" s="226"/>
      <c r="I30" s="226"/>
      <c r="J30" s="227"/>
    </row>
    <row r="31" spans="1:10" ht="15.75" customHeight="1" x14ac:dyDescent="0.2">
      <c r="A31" s="225"/>
      <c r="B31" s="226"/>
      <c r="C31" s="226"/>
      <c r="D31" s="226"/>
      <c r="E31" s="226"/>
      <c r="F31" s="226"/>
      <c r="G31" s="226"/>
      <c r="H31" s="226"/>
      <c r="I31" s="226"/>
      <c r="J31" s="227"/>
    </row>
    <row r="32" spans="1:10" ht="15.75" customHeight="1" x14ac:dyDescent="0.2">
      <c r="A32" s="225"/>
      <c r="B32" s="226"/>
      <c r="C32" s="226"/>
      <c r="D32" s="226"/>
      <c r="E32" s="226"/>
      <c r="F32" s="226"/>
      <c r="G32" s="226"/>
      <c r="H32" s="226"/>
      <c r="I32" s="226"/>
      <c r="J32" s="227"/>
    </row>
    <row r="33" spans="1:10" ht="15.75" customHeight="1" x14ac:dyDescent="0.2">
      <c r="A33" s="225"/>
      <c r="B33" s="226"/>
      <c r="C33" s="226"/>
      <c r="D33" s="226"/>
      <c r="E33" s="226"/>
      <c r="F33" s="226"/>
      <c r="G33" s="226"/>
      <c r="H33" s="226"/>
      <c r="I33" s="226"/>
      <c r="J33" s="227"/>
    </row>
    <row r="34" spans="1:10" ht="15.75" customHeight="1" x14ac:dyDescent="0.2">
      <c r="A34" s="225"/>
      <c r="B34" s="226"/>
      <c r="C34" s="226"/>
      <c r="D34" s="226"/>
      <c r="E34" s="226"/>
      <c r="F34" s="226"/>
      <c r="G34" s="226"/>
      <c r="H34" s="226"/>
      <c r="I34" s="226"/>
      <c r="J34" s="227"/>
    </row>
    <row r="35" spans="1:10" ht="15.75" customHeight="1" x14ac:dyDescent="0.2">
      <c r="A35" s="225"/>
      <c r="B35" s="226"/>
      <c r="C35" s="226"/>
      <c r="D35" s="226"/>
      <c r="E35" s="226"/>
      <c r="F35" s="226"/>
      <c r="G35" s="226"/>
      <c r="H35" s="226"/>
      <c r="I35" s="226"/>
      <c r="J35" s="227"/>
    </row>
    <row r="36" spans="1:10" ht="15.75" customHeight="1" x14ac:dyDescent="0.2">
      <c r="A36" s="228"/>
      <c r="B36" s="229"/>
      <c r="C36" s="229"/>
      <c r="D36" s="229"/>
      <c r="E36" s="229"/>
      <c r="F36" s="229"/>
      <c r="G36" s="229"/>
      <c r="H36" s="229"/>
      <c r="I36" s="229"/>
      <c r="J36" s="230"/>
    </row>
    <row r="38" spans="1:10" ht="33" customHeight="1" x14ac:dyDescent="0.2">
      <c r="A38" s="320" t="s">
        <v>155</v>
      </c>
      <c r="B38" s="321"/>
      <c r="C38" s="321"/>
      <c r="D38" s="321"/>
      <c r="E38" s="321"/>
      <c r="F38" s="321"/>
      <c r="G38" s="321"/>
      <c r="H38" s="321"/>
      <c r="I38" s="321"/>
      <c r="J38" s="322"/>
    </row>
    <row r="39" spans="1:10" ht="15.75" customHeight="1" x14ac:dyDescent="0.2">
      <c r="A39" s="409" t="s">
        <v>416</v>
      </c>
      <c r="B39" s="323"/>
      <c r="C39" s="323"/>
      <c r="D39" s="323"/>
      <c r="E39" s="323"/>
      <c r="F39" s="323"/>
      <c r="G39" s="323"/>
      <c r="H39" s="323"/>
      <c r="I39" s="323"/>
      <c r="J39" s="324"/>
    </row>
    <row r="40" spans="1:10" ht="15.75" customHeight="1" x14ac:dyDescent="0.2">
      <c r="A40" s="325"/>
      <c r="B40" s="326"/>
      <c r="C40" s="326"/>
      <c r="D40" s="326"/>
      <c r="E40" s="326"/>
      <c r="F40" s="326"/>
      <c r="G40" s="326"/>
      <c r="H40" s="326"/>
      <c r="I40" s="326"/>
      <c r="J40" s="327"/>
    </row>
    <row r="41" spans="1:10" ht="15.75" customHeight="1" x14ac:dyDescent="0.2">
      <c r="A41" s="325"/>
      <c r="B41" s="326"/>
      <c r="C41" s="326"/>
      <c r="D41" s="326"/>
      <c r="E41" s="326"/>
      <c r="F41" s="326"/>
      <c r="G41" s="326"/>
      <c r="H41" s="326"/>
      <c r="I41" s="326"/>
      <c r="J41" s="327"/>
    </row>
    <row r="42" spans="1:10" ht="15.75" customHeight="1" x14ac:dyDescent="0.2">
      <c r="A42" s="325"/>
      <c r="B42" s="326"/>
      <c r="C42" s="326"/>
      <c r="D42" s="326"/>
      <c r="E42" s="326"/>
      <c r="F42" s="326"/>
      <c r="G42" s="326"/>
      <c r="H42" s="326"/>
      <c r="I42" s="326"/>
      <c r="J42" s="327"/>
    </row>
    <row r="43" spans="1:10" ht="15.75" customHeight="1" x14ac:dyDescent="0.2">
      <c r="A43" s="325"/>
      <c r="B43" s="326"/>
      <c r="C43" s="326"/>
      <c r="D43" s="326"/>
      <c r="E43" s="326"/>
      <c r="F43" s="326"/>
      <c r="G43" s="326"/>
      <c r="H43" s="326"/>
      <c r="I43" s="326"/>
      <c r="J43" s="327"/>
    </row>
    <row r="44" spans="1:10" ht="15.75" customHeight="1" x14ac:dyDescent="0.2">
      <c r="A44" s="325"/>
      <c r="B44" s="326"/>
      <c r="C44" s="326"/>
      <c r="D44" s="326"/>
      <c r="E44" s="326"/>
      <c r="F44" s="326"/>
      <c r="G44" s="326"/>
      <c r="H44" s="326"/>
      <c r="I44" s="326"/>
      <c r="J44" s="327"/>
    </row>
    <row r="45" spans="1:10" ht="15.75" customHeight="1" x14ac:dyDescent="0.2">
      <c r="A45" s="325"/>
      <c r="B45" s="326"/>
      <c r="C45" s="326"/>
      <c r="D45" s="326"/>
      <c r="E45" s="326"/>
      <c r="F45" s="326"/>
      <c r="G45" s="326"/>
      <c r="H45" s="326"/>
      <c r="I45" s="326"/>
      <c r="J45" s="327"/>
    </row>
    <row r="46" spans="1:10" ht="15.75" customHeight="1" x14ac:dyDescent="0.2">
      <c r="A46" s="325"/>
      <c r="B46" s="326"/>
      <c r="C46" s="326"/>
      <c r="D46" s="326"/>
      <c r="E46" s="326"/>
      <c r="F46" s="326"/>
      <c r="G46" s="326"/>
      <c r="H46" s="326"/>
      <c r="I46" s="326"/>
      <c r="J46" s="327"/>
    </row>
    <row r="47" spans="1:10" ht="15.75" customHeight="1" x14ac:dyDescent="0.2">
      <c r="A47" s="325"/>
      <c r="B47" s="326"/>
      <c r="C47" s="326"/>
      <c r="D47" s="326"/>
      <c r="E47" s="326"/>
      <c r="F47" s="326"/>
      <c r="G47" s="326"/>
      <c r="H47" s="326"/>
      <c r="I47" s="326"/>
      <c r="J47" s="327"/>
    </row>
    <row r="48" spans="1:10" ht="15.75" customHeight="1" x14ac:dyDescent="0.2">
      <c r="A48" s="328"/>
      <c r="B48" s="329"/>
      <c r="C48" s="329"/>
      <c r="D48" s="329"/>
      <c r="E48" s="329"/>
      <c r="F48" s="329"/>
      <c r="G48" s="329"/>
      <c r="H48" s="329"/>
      <c r="I48" s="329"/>
      <c r="J48" s="330"/>
    </row>
    <row r="66" spans="6:6" x14ac:dyDescent="0.2">
      <c r="F66" s="3"/>
    </row>
  </sheetData>
  <mergeCells count="8">
    <mergeCell ref="A38:J38"/>
    <mergeCell ref="A39:J48"/>
    <mergeCell ref="A5:J5"/>
    <mergeCell ref="A6:J14"/>
    <mergeCell ref="A16:J16"/>
    <mergeCell ref="A17:J25"/>
    <mergeCell ref="A27:J27"/>
    <mergeCell ref="A28:J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66"/>
  <sheetViews>
    <sheetView showGridLines="0" tabSelected="1" topLeftCell="A3" zoomScaleNormal="100" workbookViewId="0">
      <selection activeCell="S10" sqref="S10"/>
    </sheetView>
  </sheetViews>
  <sheetFormatPr defaultColWidth="9.28515625" defaultRowHeight="15" x14ac:dyDescent="0.2"/>
  <cols>
    <col min="1" max="1" width="9.28515625" style="2" customWidth="1"/>
    <col min="2" max="2" width="14.5703125" style="2" bestFit="1" customWidth="1"/>
    <col min="3" max="9" width="9.28515625" style="2"/>
    <col min="10" max="10" width="11.5703125" style="2" customWidth="1"/>
    <col min="11" max="16384" width="9.28515625" style="2"/>
  </cols>
  <sheetData>
    <row r="1" spans="1:10" x14ac:dyDescent="0.2">
      <c r="A1" s="2" t="str">
        <f>+'Cover Page'!$B$29</f>
        <v>Annual Performance Report 2022</v>
      </c>
      <c r="E1" s="2" t="str">
        <f>+'Cover Page'!$B$33</f>
        <v>JG Pears CHP Plant</v>
      </c>
    </row>
    <row r="3" spans="1:10" ht="15.75" x14ac:dyDescent="0.25">
      <c r="A3" s="1" t="s">
        <v>156</v>
      </c>
    </row>
    <row r="4" spans="1:10" ht="15.75" x14ac:dyDescent="0.25">
      <c r="A4" s="1"/>
    </row>
    <row r="5" spans="1:10" s="3" customFormat="1" ht="28.5" customHeight="1" x14ac:dyDescent="0.2">
      <c r="A5" s="91" t="s">
        <v>157</v>
      </c>
      <c r="B5" s="92"/>
      <c r="C5" s="92"/>
      <c r="D5" s="92"/>
      <c r="E5" s="92"/>
      <c r="F5" s="92"/>
      <c r="G5" s="92"/>
      <c r="H5" s="92"/>
      <c r="I5" s="92"/>
      <c r="J5" s="93"/>
    </row>
    <row r="6" spans="1:10" s="3" customFormat="1" ht="15.75" customHeight="1" x14ac:dyDescent="0.2">
      <c r="A6" s="331" t="s">
        <v>4</v>
      </c>
      <c r="B6" s="333"/>
      <c r="C6" s="331" t="s">
        <v>158</v>
      </c>
      <c r="D6" s="332"/>
      <c r="E6" s="332"/>
      <c r="F6" s="332"/>
      <c r="G6" s="332"/>
      <c r="H6" s="332"/>
      <c r="I6" s="332"/>
      <c r="J6" s="333"/>
    </row>
    <row r="7" spans="1:10" s="3" customFormat="1" ht="15.75" customHeight="1" x14ac:dyDescent="0.2">
      <c r="A7" s="334"/>
      <c r="B7" s="224"/>
      <c r="C7" s="335" t="s">
        <v>389</v>
      </c>
      <c r="D7" s="223"/>
      <c r="E7" s="223"/>
      <c r="F7" s="223"/>
      <c r="G7" s="223"/>
      <c r="H7" s="223"/>
      <c r="I7" s="223"/>
      <c r="J7" s="224"/>
    </row>
    <row r="8" spans="1:10" s="3" customFormat="1" ht="15.75" customHeight="1" x14ac:dyDescent="0.2">
      <c r="A8" s="228"/>
      <c r="B8" s="230"/>
      <c r="C8" s="228"/>
      <c r="D8" s="229"/>
      <c r="E8" s="229"/>
      <c r="F8" s="229"/>
      <c r="G8" s="229"/>
      <c r="H8" s="229"/>
      <c r="I8" s="229"/>
      <c r="J8" s="230"/>
    </row>
    <row r="9" spans="1:10" s="3" customFormat="1" ht="15.75" customHeight="1" x14ac:dyDescent="0.2">
      <c r="A9" s="336">
        <v>44646</v>
      </c>
      <c r="B9" s="224"/>
      <c r="C9" s="335" t="s">
        <v>397</v>
      </c>
      <c r="D9" s="223"/>
      <c r="E9" s="223"/>
      <c r="F9" s="223"/>
      <c r="G9" s="223"/>
      <c r="H9" s="223"/>
      <c r="I9" s="223"/>
      <c r="J9" s="224"/>
    </row>
    <row r="10" spans="1:10" s="3" customFormat="1" ht="15.75" customHeight="1" x14ac:dyDescent="0.2">
      <c r="A10" s="228"/>
      <c r="B10" s="230"/>
      <c r="C10" s="228"/>
      <c r="D10" s="229"/>
      <c r="E10" s="229"/>
      <c r="F10" s="229"/>
      <c r="G10" s="229"/>
      <c r="H10" s="229"/>
      <c r="I10" s="229"/>
      <c r="J10" s="230"/>
    </row>
    <row r="11" spans="1:10" s="3" customFormat="1" ht="15.75" customHeight="1" x14ac:dyDescent="0.2">
      <c r="A11" s="334"/>
      <c r="B11" s="224"/>
      <c r="C11" s="334"/>
      <c r="D11" s="223"/>
      <c r="E11" s="223"/>
      <c r="F11" s="223"/>
      <c r="G11" s="223"/>
      <c r="H11" s="223"/>
      <c r="I11" s="223"/>
      <c r="J11" s="224"/>
    </row>
    <row r="12" spans="1:10" s="3" customFormat="1" ht="15.75" customHeight="1" x14ac:dyDescent="0.2">
      <c r="A12" s="228"/>
      <c r="B12" s="230"/>
      <c r="C12" s="228"/>
      <c r="D12" s="229"/>
      <c r="E12" s="229"/>
      <c r="F12" s="229"/>
      <c r="G12" s="229"/>
      <c r="H12" s="229"/>
      <c r="I12" s="229"/>
      <c r="J12" s="230"/>
    </row>
    <row r="13" spans="1:10" s="3" customFormat="1" ht="15.75" customHeight="1" x14ac:dyDescent="0.2">
      <c r="A13" s="334"/>
      <c r="B13" s="224"/>
      <c r="C13" s="334"/>
      <c r="D13" s="223"/>
      <c r="E13" s="223"/>
      <c r="F13" s="223"/>
      <c r="G13" s="223"/>
      <c r="H13" s="223"/>
      <c r="I13" s="223"/>
      <c r="J13" s="224"/>
    </row>
    <row r="14" spans="1:10" s="3" customFormat="1" ht="15.75" customHeight="1" x14ac:dyDescent="0.2">
      <c r="A14" s="228"/>
      <c r="B14" s="230"/>
      <c r="C14" s="228"/>
      <c r="D14" s="229"/>
      <c r="E14" s="229"/>
      <c r="F14" s="229"/>
      <c r="G14" s="229"/>
      <c r="H14" s="229"/>
      <c r="I14" s="229"/>
      <c r="J14" s="230"/>
    </row>
    <row r="15" spans="1:10" s="3" customFormat="1" ht="14.25" x14ac:dyDescent="0.2"/>
    <row r="16" spans="1:10" s="90" customFormat="1" ht="33.75" customHeight="1" x14ac:dyDescent="0.25">
      <c r="A16" s="320" t="s">
        <v>159</v>
      </c>
      <c r="B16" s="321"/>
      <c r="C16" s="321"/>
      <c r="D16" s="321"/>
      <c r="E16" s="321"/>
      <c r="F16" s="321"/>
      <c r="G16" s="321"/>
      <c r="H16" s="321"/>
      <c r="I16" s="321"/>
      <c r="J16" s="322"/>
    </row>
    <row r="17" spans="1:10" ht="15.75" customHeight="1" x14ac:dyDescent="0.2">
      <c r="A17" s="331" t="s">
        <v>4</v>
      </c>
      <c r="B17" s="333"/>
      <c r="C17" s="331" t="s">
        <v>158</v>
      </c>
      <c r="D17" s="332"/>
      <c r="E17" s="332"/>
      <c r="F17" s="332"/>
      <c r="G17" s="332"/>
      <c r="H17" s="332"/>
      <c r="I17" s="332"/>
      <c r="J17" s="332"/>
    </row>
    <row r="18" spans="1:10" ht="15.75" customHeight="1" x14ac:dyDescent="0.2">
      <c r="A18" s="334"/>
      <c r="B18" s="224"/>
      <c r="C18" s="335" t="s">
        <v>389</v>
      </c>
      <c r="D18" s="223"/>
      <c r="E18" s="223"/>
      <c r="F18" s="223"/>
      <c r="G18" s="223"/>
      <c r="H18" s="223"/>
      <c r="I18" s="223"/>
      <c r="J18" s="224"/>
    </row>
    <row r="19" spans="1:10" ht="15.75" customHeight="1" x14ac:dyDescent="0.2">
      <c r="A19" s="228"/>
      <c r="B19" s="230"/>
      <c r="C19" s="228"/>
      <c r="D19" s="229"/>
      <c r="E19" s="229"/>
      <c r="F19" s="229"/>
      <c r="G19" s="229"/>
      <c r="H19" s="229"/>
      <c r="I19" s="229"/>
      <c r="J19" s="230"/>
    </row>
    <row r="20" spans="1:10" ht="15.75" customHeight="1" x14ac:dyDescent="0.2">
      <c r="A20" s="334"/>
      <c r="B20" s="224"/>
      <c r="C20" s="334"/>
      <c r="D20" s="223"/>
      <c r="E20" s="223"/>
      <c r="F20" s="223"/>
      <c r="G20" s="223"/>
      <c r="H20" s="223"/>
      <c r="I20" s="223"/>
      <c r="J20" s="224"/>
    </row>
    <row r="21" spans="1:10" ht="15.75" customHeight="1" x14ac:dyDescent="0.2">
      <c r="A21" s="228"/>
      <c r="B21" s="230"/>
      <c r="C21" s="228"/>
      <c r="D21" s="229"/>
      <c r="E21" s="229"/>
      <c r="F21" s="229"/>
      <c r="G21" s="229"/>
      <c r="H21" s="229"/>
      <c r="I21" s="229"/>
      <c r="J21" s="230"/>
    </row>
    <row r="22" spans="1:10" ht="15.75" customHeight="1" x14ac:dyDescent="0.2">
      <c r="A22" s="334"/>
      <c r="B22" s="224"/>
      <c r="C22" s="334"/>
      <c r="D22" s="223"/>
      <c r="E22" s="223"/>
      <c r="F22" s="223"/>
      <c r="G22" s="223"/>
      <c r="H22" s="223"/>
      <c r="I22" s="223"/>
      <c r="J22" s="224"/>
    </row>
    <row r="23" spans="1:10" ht="15.75" customHeight="1" x14ac:dyDescent="0.2">
      <c r="A23" s="228"/>
      <c r="B23" s="230"/>
      <c r="C23" s="228"/>
      <c r="D23" s="229"/>
      <c r="E23" s="229"/>
      <c r="F23" s="229"/>
      <c r="G23" s="229"/>
      <c r="H23" s="229"/>
      <c r="I23" s="229"/>
      <c r="J23" s="230"/>
    </row>
    <row r="24" spans="1:10" ht="15.75" customHeight="1" x14ac:dyDescent="0.2">
      <c r="A24" s="334"/>
      <c r="B24" s="224"/>
      <c r="C24" s="334"/>
      <c r="D24" s="223"/>
      <c r="E24" s="223"/>
      <c r="F24" s="223"/>
      <c r="G24" s="223"/>
      <c r="H24" s="223"/>
      <c r="I24" s="223"/>
      <c r="J24" s="224"/>
    </row>
    <row r="25" spans="1:10" ht="15.75" customHeight="1" x14ac:dyDescent="0.2">
      <c r="A25" s="228"/>
      <c r="B25" s="230"/>
      <c r="C25" s="228"/>
      <c r="D25" s="229"/>
      <c r="E25" s="229"/>
      <c r="F25" s="229"/>
      <c r="G25" s="229"/>
      <c r="H25" s="229"/>
      <c r="I25" s="229"/>
      <c r="J25" s="230"/>
    </row>
    <row r="26" spans="1:10" ht="15.75" customHeight="1" x14ac:dyDescent="0.2">
      <c r="A26" s="334"/>
      <c r="B26" s="224"/>
      <c r="C26" s="334"/>
      <c r="D26" s="223"/>
      <c r="E26" s="223"/>
      <c r="F26" s="223"/>
      <c r="G26" s="223"/>
      <c r="H26" s="223"/>
      <c r="I26" s="223"/>
      <c r="J26" s="224"/>
    </row>
    <row r="27" spans="1:10" ht="15.75" customHeight="1" x14ac:dyDescent="0.2">
      <c r="A27" s="228"/>
      <c r="B27" s="230"/>
      <c r="C27" s="228"/>
      <c r="D27" s="229"/>
      <c r="E27" s="229"/>
      <c r="F27" s="229"/>
      <c r="G27" s="229"/>
      <c r="H27" s="229"/>
      <c r="I27" s="229"/>
      <c r="J27" s="230"/>
    </row>
    <row r="28" spans="1:10" ht="15.75" x14ac:dyDescent="0.25">
      <c r="A28" s="1"/>
    </row>
    <row r="29" spans="1:10" ht="36.75" customHeight="1" x14ac:dyDescent="0.2">
      <c r="A29" s="320" t="s">
        <v>390</v>
      </c>
      <c r="B29" s="321"/>
      <c r="C29" s="321"/>
      <c r="D29" s="321"/>
      <c r="E29" s="321"/>
      <c r="F29" s="321"/>
      <c r="G29" s="321"/>
      <c r="H29" s="321"/>
      <c r="I29" s="321"/>
      <c r="J29" s="322"/>
    </row>
    <row r="66" spans="6:6" x14ac:dyDescent="0.2">
      <c r="F66" s="3"/>
    </row>
  </sheetData>
  <mergeCells count="24">
    <mergeCell ref="A17:B17"/>
    <mergeCell ref="C17:J17"/>
    <mergeCell ref="A6:B6"/>
    <mergeCell ref="C6:J6"/>
    <mergeCell ref="A7:B8"/>
    <mergeCell ref="C7:J8"/>
    <mergeCell ref="A9:B10"/>
    <mergeCell ref="C9:J10"/>
    <mergeCell ref="A11:B12"/>
    <mergeCell ref="C11:J12"/>
    <mergeCell ref="A13:B14"/>
    <mergeCell ref="C13:J14"/>
    <mergeCell ref="A16:J16"/>
    <mergeCell ref="A18:B19"/>
    <mergeCell ref="C18:J19"/>
    <mergeCell ref="A20:B21"/>
    <mergeCell ref="C20:J21"/>
    <mergeCell ref="A22:B23"/>
    <mergeCell ref="C22:J23"/>
    <mergeCell ref="A24:B25"/>
    <mergeCell ref="C24:J25"/>
    <mergeCell ref="A26:B27"/>
    <mergeCell ref="C26:J27"/>
    <mergeCell ref="A29:J29"/>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showGridLines="0" tabSelected="1" topLeftCell="A4" zoomScaleNormal="100" workbookViewId="0">
      <selection activeCell="S10" sqref="S10"/>
    </sheetView>
  </sheetViews>
  <sheetFormatPr defaultColWidth="9.28515625" defaultRowHeight="15" x14ac:dyDescent="0.2"/>
  <cols>
    <col min="1" max="1" width="9.28515625" style="2" customWidth="1"/>
    <col min="2" max="2" width="14.5703125" style="2" bestFit="1" customWidth="1"/>
    <col min="3" max="9" width="9.28515625" style="2"/>
    <col min="10" max="10" width="10.42578125" style="2" customWidth="1"/>
    <col min="11" max="16384" width="9.28515625" style="2"/>
  </cols>
  <sheetData>
    <row r="1" spans="1:16" x14ac:dyDescent="0.2">
      <c r="A1" s="2" t="str">
        <f>+'Cover Page'!$B$29</f>
        <v>Annual Performance Report 2022</v>
      </c>
      <c r="E1" s="2" t="str">
        <f>+'Cover Page'!$B$33</f>
        <v>JG Pears CHP Plant</v>
      </c>
    </row>
    <row r="2" spans="1:16" ht="7.5" customHeight="1" x14ac:dyDescent="0.2"/>
    <row r="3" spans="1:16" ht="15.75" x14ac:dyDescent="0.25">
      <c r="A3" s="1" t="s">
        <v>209</v>
      </c>
    </row>
    <row r="4" spans="1:16" ht="9.75" customHeight="1" x14ac:dyDescent="0.25">
      <c r="A4" s="1"/>
    </row>
    <row r="5" spans="1:16" s="3" customFormat="1" ht="21.75" customHeight="1" x14ac:dyDescent="0.2">
      <c r="A5" s="91" t="s">
        <v>246</v>
      </c>
      <c r="B5" s="92"/>
      <c r="C5" s="92"/>
      <c r="D5" s="92"/>
      <c r="E5" s="92"/>
      <c r="F5" s="92"/>
      <c r="G5" s="92"/>
      <c r="H5" s="92"/>
      <c r="I5" s="92"/>
      <c r="J5" s="93"/>
      <c r="M5" s="139" t="s">
        <v>290</v>
      </c>
    </row>
    <row r="6" spans="1:16" s="3" customFormat="1" ht="15.75" customHeight="1" x14ac:dyDescent="0.2">
      <c r="A6" s="214" t="s">
        <v>377</v>
      </c>
      <c r="B6" s="215"/>
      <c r="C6" s="215"/>
      <c r="D6" s="215"/>
      <c r="E6" s="215"/>
      <c r="F6" s="215"/>
      <c r="G6" s="215"/>
      <c r="H6" s="215"/>
      <c r="I6" s="215"/>
      <c r="J6" s="216"/>
      <c r="M6" s="351" t="s">
        <v>307</v>
      </c>
      <c r="N6" s="351"/>
      <c r="O6" s="351"/>
      <c r="P6" s="351"/>
    </row>
    <row r="7" spans="1:16" s="3" customFormat="1" ht="15.75" customHeight="1" x14ac:dyDescent="0.2">
      <c r="A7" s="220"/>
      <c r="B7" s="221"/>
      <c r="C7" s="221"/>
      <c r="D7" s="221"/>
      <c r="E7" s="221"/>
      <c r="F7" s="221"/>
      <c r="G7" s="221"/>
      <c r="H7" s="221"/>
      <c r="I7" s="221"/>
      <c r="J7" s="222"/>
      <c r="M7" s="351"/>
      <c r="N7" s="351"/>
      <c r="O7" s="351"/>
      <c r="P7" s="351"/>
    </row>
    <row r="8" spans="1:16" s="3" customFormat="1" ht="14.25" x14ac:dyDescent="0.2">
      <c r="M8" s="351"/>
      <c r="N8" s="351"/>
      <c r="O8" s="351"/>
      <c r="P8" s="351"/>
    </row>
    <row r="9" spans="1:16" s="109" customFormat="1" ht="16.5" customHeight="1" x14ac:dyDescent="0.2">
      <c r="A9" s="352" t="s">
        <v>210</v>
      </c>
      <c r="B9" s="352"/>
      <c r="C9" s="352"/>
      <c r="D9" s="352"/>
      <c r="E9" s="352"/>
      <c r="F9" s="352"/>
      <c r="G9" s="352"/>
      <c r="H9" s="352"/>
      <c r="I9" s="352"/>
      <c r="J9" s="352"/>
      <c r="M9" s="351"/>
      <c r="N9" s="351"/>
      <c r="O9" s="351"/>
      <c r="P9" s="351"/>
    </row>
    <row r="10" spans="1:16" s="109" customFormat="1" ht="16.5" customHeight="1" x14ac:dyDescent="0.2">
      <c r="A10" s="338" t="s">
        <v>134</v>
      </c>
      <c r="B10" s="339"/>
      <c r="C10" s="349" t="s">
        <v>245</v>
      </c>
      <c r="D10" s="345" t="s">
        <v>244</v>
      </c>
      <c r="E10" s="346"/>
      <c r="F10" s="342" t="s">
        <v>198</v>
      </c>
      <c r="G10" s="343"/>
      <c r="H10" s="343"/>
      <c r="I10" s="343"/>
      <c r="J10" s="344"/>
      <c r="M10" s="351" t="s">
        <v>308</v>
      </c>
      <c r="N10" s="351"/>
      <c r="O10" s="351"/>
      <c r="P10" s="351"/>
    </row>
    <row r="11" spans="1:16" s="16" customFormat="1" ht="17.25" customHeight="1" x14ac:dyDescent="0.2">
      <c r="A11" s="340"/>
      <c r="B11" s="341"/>
      <c r="C11" s="350"/>
      <c r="D11" s="347"/>
      <c r="E11" s="348"/>
      <c r="F11" s="88" t="s">
        <v>110</v>
      </c>
      <c r="G11" s="88" t="s">
        <v>111</v>
      </c>
      <c r="H11" s="88" t="s">
        <v>112</v>
      </c>
      <c r="I11" s="88" t="s">
        <v>113</v>
      </c>
      <c r="J11" s="88" t="s">
        <v>114</v>
      </c>
      <c r="M11" s="351"/>
      <c r="N11" s="351"/>
      <c r="O11" s="351"/>
      <c r="P11" s="351"/>
    </row>
    <row r="12" spans="1:16" s="16" customFormat="1" ht="23.25" customHeight="1" x14ac:dyDescent="0.2">
      <c r="A12" s="247" t="s">
        <v>144</v>
      </c>
      <c r="B12" s="247"/>
      <c r="C12" s="104" t="s">
        <v>237</v>
      </c>
      <c r="D12" s="280" t="s">
        <v>405</v>
      </c>
      <c r="E12" s="281"/>
      <c r="F12" s="107">
        <v>0.09</v>
      </c>
      <c r="G12" s="107"/>
      <c r="H12" s="107"/>
      <c r="I12" s="107"/>
      <c r="J12" s="107"/>
      <c r="M12" s="351"/>
      <c r="N12" s="351"/>
      <c r="O12" s="351"/>
      <c r="P12" s="351"/>
    </row>
    <row r="13" spans="1:16" s="16" customFormat="1" ht="23.25" customHeight="1" x14ac:dyDescent="0.2">
      <c r="A13" s="247" t="s">
        <v>211</v>
      </c>
      <c r="B13" s="247"/>
      <c r="C13" s="104" t="s">
        <v>287</v>
      </c>
      <c r="D13" s="281" t="s">
        <v>239</v>
      </c>
      <c r="E13" s="281"/>
      <c r="F13" s="170" t="s">
        <v>406</v>
      </c>
      <c r="G13" s="107"/>
      <c r="H13" s="107"/>
      <c r="I13" s="107"/>
      <c r="J13" s="107"/>
    </row>
    <row r="14" spans="1:16" s="16" customFormat="1" ht="23.25" customHeight="1" x14ac:dyDescent="0.2">
      <c r="A14" s="247" t="s">
        <v>212</v>
      </c>
      <c r="B14" s="247"/>
      <c r="C14" s="104" t="s">
        <v>287</v>
      </c>
      <c r="D14" s="281" t="s">
        <v>239</v>
      </c>
      <c r="E14" s="281"/>
      <c r="F14" s="107">
        <v>1E-3</v>
      </c>
      <c r="G14" s="107"/>
      <c r="H14" s="107"/>
      <c r="I14" s="107"/>
      <c r="J14" s="107"/>
    </row>
    <row r="15" spans="1:16" s="16" customFormat="1" ht="23.25" customHeight="1" x14ac:dyDescent="0.2">
      <c r="A15" s="247" t="s">
        <v>213</v>
      </c>
      <c r="B15" s="247"/>
      <c r="C15" s="104" t="s">
        <v>287</v>
      </c>
      <c r="D15" s="281" t="s">
        <v>240</v>
      </c>
      <c r="E15" s="281"/>
      <c r="F15" s="107">
        <v>0.03</v>
      </c>
      <c r="G15" s="107"/>
      <c r="H15" s="107"/>
      <c r="I15" s="107"/>
      <c r="J15" s="107"/>
    </row>
    <row r="16" spans="1:16" s="16" customFormat="1" ht="23.25" customHeight="1" x14ac:dyDescent="0.2">
      <c r="A16" s="247" t="s">
        <v>214</v>
      </c>
      <c r="B16" s="247"/>
      <c r="C16" s="104" t="s">
        <v>287</v>
      </c>
      <c r="D16" s="281" t="s">
        <v>241</v>
      </c>
      <c r="E16" s="281"/>
      <c r="F16" s="107">
        <v>2E-3</v>
      </c>
      <c r="G16" s="107"/>
      <c r="H16" s="107"/>
      <c r="I16" s="107"/>
      <c r="J16" s="107"/>
    </row>
    <row r="17" spans="1:10" s="16" customFormat="1" ht="23.25" customHeight="1" x14ac:dyDescent="0.2">
      <c r="A17" s="247" t="s">
        <v>215</v>
      </c>
      <c r="B17" s="247"/>
      <c r="C17" s="104" t="s">
        <v>287</v>
      </c>
      <c r="D17" s="281" t="s">
        <v>242</v>
      </c>
      <c r="E17" s="281"/>
      <c r="F17" s="107">
        <v>2E-3</v>
      </c>
      <c r="G17" s="107"/>
      <c r="H17" s="107"/>
      <c r="I17" s="107"/>
      <c r="J17" s="107"/>
    </row>
    <row r="18" spans="1:10" s="16" customFormat="1" ht="23.25" customHeight="1" x14ac:dyDescent="0.2">
      <c r="A18" s="247" t="s">
        <v>216</v>
      </c>
      <c r="B18" s="247"/>
      <c r="C18" s="104" t="s">
        <v>287</v>
      </c>
      <c r="D18" s="281" t="s">
        <v>242</v>
      </c>
      <c r="E18" s="281"/>
      <c r="F18" s="107">
        <v>2.0999999999999999E-3</v>
      </c>
      <c r="G18" s="107"/>
      <c r="H18" s="107"/>
      <c r="I18" s="107"/>
      <c r="J18" s="107"/>
    </row>
    <row r="19" spans="1:10" s="16" customFormat="1" ht="23.25" customHeight="1" x14ac:dyDescent="0.2">
      <c r="A19" s="247" t="s">
        <v>217</v>
      </c>
      <c r="B19" s="247"/>
      <c r="C19" s="104" t="s">
        <v>287</v>
      </c>
      <c r="D19" s="281" t="s">
        <v>242</v>
      </c>
      <c r="E19" s="281"/>
      <c r="F19" s="107">
        <v>4.1000000000000003E-3</v>
      </c>
      <c r="G19" s="107"/>
      <c r="H19" s="107"/>
      <c r="I19" s="107"/>
      <c r="J19" s="107"/>
    </row>
    <row r="20" spans="1:10" s="16" customFormat="1" ht="23.25" customHeight="1" x14ac:dyDescent="0.2">
      <c r="A20" s="247" t="s">
        <v>218</v>
      </c>
      <c r="B20" s="247"/>
      <c r="C20" s="104" t="s">
        <v>287</v>
      </c>
      <c r="D20" s="281" t="s">
        <v>242</v>
      </c>
      <c r="E20" s="281"/>
      <c r="F20" s="107">
        <v>1.1000000000000001E-3</v>
      </c>
      <c r="G20" s="107"/>
      <c r="H20" s="107"/>
      <c r="I20" s="107"/>
      <c r="J20" s="107"/>
    </row>
    <row r="21" spans="1:10" s="16" customFormat="1" ht="23.25" customHeight="1" x14ac:dyDescent="0.2">
      <c r="A21" s="247" t="s">
        <v>219</v>
      </c>
      <c r="B21" s="247"/>
      <c r="C21" s="104" t="s">
        <v>287</v>
      </c>
      <c r="D21" s="281" t="s">
        <v>242</v>
      </c>
      <c r="E21" s="281"/>
      <c r="F21" s="107">
        <v>1.1999999999999999E-3</v>
      </c>
      <c r="G21" s="107"/>
      <c r="H21" s="107"/>
      <c r="I21" s="107"/>
      <c r="J21" s="107"/>
    </row>
    <row r="22" spans="1:10" s="16" customFormat="1" ht="23.25" customHeight="1" x14ac:dyDescent="0.2">
      <c r="A22" s="247" t="s">
        <v>220</v>
      </c>
      <c r="B22" s="247"/>
      <c r="C22" s="104" t="s">
        <v>287</v>
      </c>
      <c r="D22" s="281" t="s">
        <v>242</v>
      </c>
      <c r="E22" s="281"/>
      <c r="F22" s="107">
        <v>4.1000000000000003E-3</v>
      </c>
      <c r="G22" s="107"/>
      <c r="H22" s="107"/>
      <c r="I22" s="107"/>
      <c r="J22" s="107"/>
    </row>
    <row r="23" spans="1:10" s="16" customFormat="1" ht="23.25" customHeight="1" x14ac:dyDescent="0.2">
      <c r="A23" s="247" t="s">
        <v>221</v>
      </c>
      <c r="B23" s="247"/>
      <c r="C23" s="104" t="s">
        <v>287</v>
      </c>
      <c r="D23" s="281" t="s">
        <v>243</v>
      </c>
      <c r="E23" s="281"/>
      <c r="F23" s="170" t="s">
        <v>407</v>
      </c>
      <c r="G23" s="107"/>
      <c r="H23" s="107"/>
      <c r="I23" s="107"/>
      <c r="J23" s="107"/>
    </row>
    <row r="24" spans="1:10" s="16" customFormat="1" ht="23.25" customHeight="1" x14ac:dyDescent="0.2">
      <c r="A24" s="247" t="s">
        <v>222</v>
      </c>
      <c r="B24" s="247"/>
      <c r="C24" s="104" t="s">
        <v>287</v>
      </c>
      <c r="D24" s="281" t="s">
        <v>243</v>
      </c>
      <c r="E24" s="281"/>
      <c r="F24" s="107">
        <v>2.46E-2</v>
      </c>
      <c r="G24" s="107"/>
      <c r="H24" s="107"/>
      <c r="I24" s="107"/>
      <c r="J24" s="107"/>
    </row>
    <row r="25" spans="1:10" s="16" customFormat="1" ht="23.25" customHeight="1" x14ac:dyDescent="0.2">
      <c r="A25" s="247" t="s">
        <v>223</v>
      </c>
      <c r="B25" s="247"/>
      <c r="C25" s="104" t="s">
        <v>287</v>
      </c>
      <c r="D25" s="281" t="s">
        <v>243</v>
      </c>
      <c r="E25" s="281"/>
      <c r="F25" s="107">
        <v>2.8E-3</v>
      </c>
      <c r="G25" s="107"/>
      <c r="H25" s="107"/>
      <c r="I25" s="107"/>
      <c r="J25" s="107"/>
    </row>
    <row r="26" spans="1:10" s="16" customFormat="1" ht="23.25" customHeight="1" x14ac:dyDescent="0.2">
      <c r="A26" s="247" t="s">
        <v>224</v>
      </c>
      <c r="B26" s="247"/>
      <c r="C26" s="104" t="s">
        <v>287</v>
      </c>
      <c r="D26" s="281" t="s">
        <v>243</v>
      </c>
      <c r="E26" s="281"/>
      <c r="F26" s="107">
        <v>1.23E-2</v>
      </c>
      <c r="G26" s="107"/>
      <c r="H26" s="107"/>
      <c r="I26" s="107"/>
      <c r="J26" s="107"/>
    </row>
    <row r="27" spans="1:10" s="16" customFormat="1" ht="23.25" customHeight="1" x14ac:dyDescent="0.2">
      <c r="A27" s="247" t="s">
        <v>225</v>
      </c>
      <c r="B27" s="247"/>
      <c r="C27" s="104" t="s">
        <v>287</v>
      </c>
      <c r="D27" s="281" t="s">
        <v>243</v>
      </c>
      <c r="E27" s="281"/>
      <c r="F27" s="107">
        <v>2.0500000000000001E-2</v>
      </c>
      <c r="G27" s="107"/>
      <c r="H27" s="107"/>
      <c r="I27" s="107"/>
      <c r="J27" s="107"/>
    </row>
    <row r="28" spans="1:10" s="16" customFormat="1" ht="23.25" customHeight="1" x14ac:dyDescent="0.2">
      <c r="A28" s="247" t="s">
        <v>226</v>
      </c>
      <c r="B28" s="247"/>
      <c r="C28" s="104" t="s">
        <v>287</v>
      </c>
      <c r="D28" s="281" t="s">
        <v>243</v>
      </c>
      <c r="E28" s="281"/>
      <c r="F28" s="107">
        <v>7.6E-3</v>
      </c>
      <c r="G28" s="107"/>
      <c r="H28" s="107"/>
      <c r="I28" s="107"/>
      <c r="J28" s="107"/>
    </row>
    <row r="29" spans="1:10" s="16" customFormat="1" ht="23.25" customHeight="1" x14ac:dyDescent="0.2">
      <c r="A29" s="247" t="s">
        <v>227</v>
      </c>
      <c r="B29" s="247"/>
      <c r="C29" s="104" t="s">
        <v>287</v>
      </c>
      <c r="D29" s="281" t="s">
        <v>243</v>
      </c>
      <c r="E29" s="281"/>
      <c r="F29" s="107">
        <v>3.7000000000000002E-3</v>
      </c>
      <c r="G29" s="107"/>
      <c r="H29" s="107"/>
      <c r="I29" s="107"/>
      <c r="J29" s="107"/>
    </row>
    <row r="30" spans="1:10" s="16" customFormat="1" ht="23.25" customHeight="1" x14ac:dyDescent="0.2">
      <c r="A30" s="247" t="s">
        <v>228</v>
      </c>
      <c r="B30" s="247"/>
      <c r="C30" s="104" t="s">
        <v>287</v>
      </c>
      <c r="D30" s="281" t="s">
        <v>243</v>
      </c>
      <c r="E30" s="281"/>
      <c r="F30" s="107">
        <v>5.1999999999999998E-3</v>
      </c>
      <c r="G30" s="107"/>
      <c r="H30" s="107"/>
      <c r="I30" s="107"/>
      <c r="J30" s="107"/>
    </row>
    <row r="31" spans="1:10" s="16" customFormat="1" ht="23.25" customHeight="1" x14ac:dyDescent="0.2">
      <c r="A31" s="247" t="s">
        <v>229</v>
      </c>
      <c r="B31" s="247"/>
      <c r="C31" s="104" t="s">
        <v>287</v>
      </c>
      <c r="D31" s="281" t="s">
        <v>243</v>
      </c>
      <c r="E31" s="281"/>
      <c r="F31" s="170" t="s">
        <v>407</v>
      </c>
      <c r="G31" s="107"/>
      <c r="H31" s="107"/>
      <c r="I31" s="107"/>
      <c r="J31" s="107"/>
    </row>
    <row r="32" spans="1:10" s="16" customFormat="1" ht="23.25" customHeight="1" x14ac:dyDescent="0.2">
      <c r="A32" s="247" t="s">
        <v>230</v>
      </c>
      <c r="B32" s="247"/>
      <c r="C32" s="104" t="s">
        <v>287</v>
      </c>
      <c r="D32" s="281" t="s">
        <v>243</v>
      </c>
      <c r="E32" s="281"/>
      <c r="F32" s="107">
        <v>5.33E-2</v>
      </c>
      <c r="G32" s="107"/>
      <c r="H32" s="107"/>
      <c r="I32" s="107"/>
      <c r="J32" s="107"/>
    </row>
    <row r="33" spans="1:10" s="16" customFormat="1" ht="23.25" customHeight="1" x14ac:dyDescent="0.2">
      <c r="A33" s="247" t="s">
        <v>231</v>
      </c>
      <c r="B33" s="247"/>
      <c r="C33" s="104" t="s">
        <v>287</v>
      </c>
      <c r="D33" s="281" t="s">
        <v>243</v>
      </c>
      <c r="E33" s="281"/>
      <c r="F33" s="107">
        <v>0.01</v>
      </c>
      <c r="G33" s="107"/>
      <c r="H33" s="107"/>
      <c r="I33" s="107"/>
      <c r="J33" s="107"/>
    </row>
    <row r="34" spans="1:10" s="16" customFormat="1" ht="23.25" customHeight="1" x14ac:dyDescent="0.2">
      <c r="A34" s="247" t="s">
        <v>232</v>
      </c>
      <c r="B34" s="247"/>
      <c r="C34" s="104" t="s">
        <v>287</v>
      </c>
      <c r="D34" s="281" t="s">
        <v>243</v>
      </c>
      <c r="E34" s="281"/>
      <c r="F34" s="170" t="s">
        <v>407</v>
      </c>
      <c r="G34" s="107"/>
      <c r="H34" s="107"/>
      <c r="I34" s="107"/>
      <c r="J34" s="107"/>
    </row>
    <row r="35" spans="1:10" s="16" customFormat="1" ht="23.25" customHeight="1" x14ac:dyDescent="0.2">
      <c r="A35" s="247" t="s">
        <v>233</v>
      </c>
      <c r="B35" s="247"/>
      <c r="C35" s="104" t="s">
        <v>287</v>
      </c>
      <c r="D35" s="281" t="s">
        <v>243</v>
      </c>
      <c r="E35" s="281"/>
      <c r="F35" s="170" t="s">
        <v>407</v>
      </c>
      <c r="G35" s="107"/>
      <c r="H35" s="107"/>
      <c r="I35" s="107"/>
      <c r="J35" s="107"/>
    </row>
    <row r="36" spans="1:10" s="16" customFormat="1" ht="23.25" customHeight="1" x14ac:dyDescent="0.2">
      <c r="A36" s="247" t="s">
        <v>234</v>
      </c>
      <c r="B36" s="247"/>
      <c r="C36" s="104" t="s">
        <v>287</v>
      </c>
      <c r="D36" s="281" t="s">
        <v>243</v>
      </c>
      <c r="E36" s="281"/>
      <c r="F36" s="107">
        <v>1.0966</v>
      </c>
      <c r="G36" s="107"/>
      <c r="H36" s="107"/>
      <c r="I36" s="107"/>
      <c r="J36" s="107"/>
    </row>
    <row r="37" spans="1:10" s="16" customFormat="1" ht="23.25" customHeight="1" x14ac:dyDescent="0.2">
      <c r="A37" s="247" t="s">
        <v>235</v>
      </c>
      <c r="B37" s="247"/>
      <c r="C37" s="104" t="s">
        <v>287</v>
      </c>
      <c r="D37" s="281" t="s">
        <v>243</v>
      </c>
      <c r="E37" s="281"/>
      <c r="F37" s="107">
        <v>2.8E-3</v>
      </c>
      <c r="G37" s="107"/>
      <c r="H37" s="107"/>
      <c r="I37" s="107"/>
      <c r="J37" s="107"/>
    </row>
    <row r="38" spans="1:10" s="16" customFormat="1" ht="23.25" customHeight="1" x14ac:dyDescent="0.2">
      <c r="A38" s="247" t="s">
        <v>236</v>
      </c>
      <c r="B38" s="247"/>
      <c r="C38" s="104" t="s">
        <v>287</v>
      </c>
      <c r="D38" s="281" t="s">
        <v>243</v>
      </c>
      <c r="E38" s="281"/>
      <c r="F38" s="107">
        <v>1.1869000000000001</v>
      </c>
      <c r="G38" s="107"/>
      <c r="H38" s="107"/>
      <c r="I38" s="107"/>
      <c r="J38" s="107"/>
    </row>
    <row r="39" spans="1:10" x14ac:dyDescent="0.2">
      <c r="A39" s="248" t="s">
        <v>208</v>
      </c>
      <c r="B39" s="248"/>
      <c r="C39" s="248"/>
      <c r="D39" s="248"/>
      <c r="E39" s="248"/>
      <c r="F39" s="248"/>
      <c r="G39" s="248"/>
      <c r="H39" s="248"/>
      <c r="I39" s="248"/>
      <c r="J39" s="248"/>
    </row>
    <row r="40" spans="1:10" x14ac:dyDescent="0.2">
      <c r="A40" s="337"/>
      <c r="B40" s="337"/>
      <c r="C40" s="337"/>
      <c r="D40" s="337"/>
      <c r="E40" s="337"/>
      <c r="F40" s="337"/>
      <c r="G40" s="337"/>
      <c r="H40" s="337"/>
      <c r="I40" s="337"/>
      <c r="J40" s="337"/>
    </row>
    <row r="41" spans="1:10" x14ac:dyDescent="0.2">
      <c r="A41" s="337"/>
      <c r="B41" s="337"/>
      <c r="C41" s="337"/>
      <c r="D41" s="337"/>
      <c r="E41" s="337"/>
      <c r="F41" s="337"/>
      <c r="G41" s="337"/>
      <c r="H41" s="337"/>
      <c r="I41" s="337"/>
      <c r="J41" s="337"/>
    </row>
    <row r="64" spans="6:6" x14ac:dyDescent="0.2">
      <c r="F64" s="3"/>
    </row>
  </sheetData>
  <mergeCells count="64">
    <mergeCell ref="M6:P9"/>
    <mergeCell ref="M10:P12"/>
    <mergeCell ref="A9:J9"/>
    <mergeCell ref="A6:J7"/>
    <mergeCell ref="A12:B12"/>
    <mergeCell ref="A13:B13"/>
    <mergeCell ref="D12:E12"/>
    <mergeCell ref="D13:E13"/>
    <mergeCell ref="A10:B11"/>
    <mergeCell ref="F10:J10"/>
    <mergeCell ref="D10:E11"/>
    <mergeCell ref="C10:C11"/>
    <mergeCell ref="A17:B17"/>
    <mergeCell ref="A18:B18"/>
    <mergeCell ref="A19:B19"/>
    <mergeCell ref="A14:B14"/>
    <mergeCell ref="A15:B15"/>
    <mergeCell ref="A16:B16"/>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39:J39"/>
    <mergeCell ref="A20:B20"/>
    <mergeCell ref="A21:B21"/>
    <mergeCell ref="A22:B22"/>
    <mergeCell ref="D35:E35"/>
    <mergeCell ref="D36:E36"/>
    <mergeCell ref="A34:B34"/>
    <mergeCell ref="A35:B35"/>
    <mergeCell ref="A36:B36"/>
    <mergeCell ref="A37:B37"/>
    <mergeCell ref="A25:B25"/>
    <mergeCell ref="D33:E33"/>
    <mergeCell ref="D14:E14"/>
    <mergeCell ref="D15:E15"/>
    <mergeCell ref="D16:E16"/>
    <mergeCell ref="D17:E17"/>
    <mergeCell ref="D18:E18"/>
    <mergeCell ref="D19:E19"/>
    <mergeCell ref="D28:E28"/>
    <mergeCell ref="D34:E34"/>
    <mergeCell ref="D20:E20"/>
    <mergeCell ref="D21:E21"/>
    <mergeCell ref="D22:E22"/>
    <mergeCell ref="D23:E23"/>
    <mergeCell ref="D24:E24"/>
    <mergeCell ref="D25:E25"/>
    <mergeCell ref="D32:E32"/>
    <mergeCell ref="D26:E26"/>
    <mergeCell ref="D27:E27"/>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B0C55-0423-470F-8905-37F67CCEDE25}">
  <sheetPr codeName="Sheet23">
    <tabColor rgb="FF92D050"/>
  </sheetPr>
  <dimension ref="A1:P64"/>
  <sheetViews>
    <sheetView showGridLines="0" tabSelected="1" zoomScaleNormal="100" workbookViewId="0">
      <selection activeCell="S10" sqref="S10"/>
    </sheetView>
  </sheetViews>
  <sheetFormatPr defaultColWidth="9.28515625" defaultRowHeight="15" x14ac:dyDescent="0.2"/>
  <cols>
    <col min="1" max="1" width="9.28515625" style="2" customWidth="1"/>
    <col min="2" max="2" width="14.5703125" style="2" bestFit="1" customWidth="1"/>
    <col min="3" max="9" width="9.28515625" style="2"/>
    <col min="10" max="10" width="10.42578125" style="2" customWidth="1"/>
    <col min="11" max="16384" width="9.28515625" style="2"/>
  </cols>
  <sheetData>
    <row r="1" spans="1:16" x14ac:dyDescent="0.2">
      <c r="A1" s="2" t="str">
        <f>+'Cover Page'!$B$29</f>
        <v>Annual Performance Report 2022</v>
      </c>
      <c r="E1" s="2" t="str">
        <f>+'Cover Page'!$B$33</f>
        <v>JG Pears CHP Plant</v>
      </c>
    </row>
    <row r="2" spans="1:16" ht="7.5" customHeight="1" x14ac:dyDescent="0.2"/>
    <row r="3" spans="1:16" ht="15.75" x14ac:dyDescent="0.25">
      <c r="A3" s="1" t="s">
        <v>209</v>
      </c>
    </row>
    <row r="4" spans="1:16" ht="9.75" customHeight="1" x14ac:dyDescent="0.25">
      <c r="A4" s="1"/>
    </row>
    <row r="5" spans="1:16" s="3" customFormat="1" ht="21.75" customHeight="1" x14ac:dyDescent="0.2">
      <c r="A5" s="91" t="s">
        <v>246</v>
      </c>
      <c r="B5" s="92"/>
      <c r="C5" s="92"/>
      <c r="D5" s="92"/>
      <c r="E5" s="92"/>
      <c r="F5" s="92"/>
      <c r="G5" s="92"/>
      <c r="H5" s="92"/>
      <c r="I5" s="92"/>
      <c r="J5" s="93"/>
      <c r="M5" s="139" t="s">
        <v>290</v>
      </c>
    </row>
    <row r="6" spans="1:16" s="3" customFormat="1" ht="15.75" customHeight="1" x14ac:dyDescent="0.2">
      <c r="A6" s="214" t="s">
        <v>377</v>
      </c>
      <c r="B6" s="215"/>
      <c r="C6" s="215"/>
      <c r="D6" s="215"/>
      <c r="E6" s="215"/>
      <c r="F6" s="215"/>
      <c r="G6" s="215"/>
      <c r="H6" s="215"/>
      <c r="I6" s="215"/>
      <c r="J6" s="216"/>
      <c r="M6" s="351" t="s">
        <v>307</v>
      </c>
      <c r="N6" s="351"/>
      <c r="O6" s="351"/>
      <c r="P6" s="351"/>
    </row>
    <row r="7" spans="1:16" s="3" customFormat="1" ht="15.75" customHeight="1" x14ac:dyDescent="0.2">
      <c r="A7" s="220"/>
      <c r="B7" s="221"/>
      <c r="C7" s="221"/>
      <c r="D7" s="221"/>
      <c r="E7" s="221"/>
      <c r="F7" s="221"/>
      <c r="G7" s="221"/>
      <c r="H7" s="221"/>
      <c r="I7" s="221"/>
      <c r="J7" s="222"/>
      <c r="M7" s="351"/>
      <c r="N7" s="351"/>
      <c r="O7" s="351"/>
      <c r="P7" s="351"/>
    </row>
    <row r="8" spans="1:16" s="3" customFormat="1" ht="14.25" x14ac:dyDescent="0.2">
      <c r="M8" s="351"/>
      <c r="N8" s="351"/>
      <c r="O8" s="351"/>
      <c r="P8" s="351"/>
    </row>
    <row r="9" spans="1:16" s="109" customFormat="1" ht="16.5" customHeight="1" x14ac:dyDescent="0.2">
      <c r="A9" s="352" t="s">
        <v>210</v>
      </c>
      <c r="B9" s="352"/>
      <c r="C9" s="352"/>
      <c r="D9" s="352"/>
      <c r="E9" s="352"/>
      <c r="F9" s="352"/>
      <c r="G9" s="352"/>
      <c r="H9" s="352"/>
      <c r="I9" s="352"/>
      <c r="J9" s="352"/>
      <c r="M9" s="351"/>
      <c r="N9" s="351"/>
      <c r="O9" s="351"/>
      <c r="P9" s="351"/>
    </row>
    <row r="10" spans="1:16" s="109" customFormat="1" ht="16.5" customHeight="1" x14ac:dyDescent="0.2">
      <c r="A10" s="338" t="s">
        <v>134</v>
      </c>
      <c r="B10" s="339"/>
      <c r="C10" s="349" t="s">
        <v>245</v>
      </c>
      <c r="D10" s="345" t="s">
        <v>244</v>
      </c>
      <c r="E10" s="346"/>
      <c r="F10" s="342" t="s">
        <v>198</v>
      </c>
      <c r="G10" s="343"/>
      <c r="H10" s="343"/>
      <c r="I10" s="343"/>
      <c r="J10" s="344"/>
      <c r="M10" s="351" t="s">
        <v>308</v>
      </c>
      <c r="N10" s="351"/>
      <c r="O10" s="351"/>
      <c r="P10" s="351"/>
    </row>
    <row r="11" spans="1:16" s="16" customFormat="1" ht="17.25" customHeight="1" x14ac:dyDescent="0.2">
      <c r="A11" s="340"/>
      <c r="B11" s="341"/>
      <c r="C11" s="350"/>
      <c r="D11" s="347"/>
      <c r="E11" s="348"/>
      <c r="F11" s="88" t="s">
        <v>110</v>
      </c>
      <c r="G11" s="88" t="s">
        <v>111</v>
      </c>
      <c r="H11" s="88" t="s">
        <v>112</v>
      </c>
      <c r="I11" s="88" t="s">
        <v>113</v>
      </c>
      <c r="J11" s="88" t="s">
        <v>114</v>
      </c>
      <c r="M11" s="351"/>
      <c r="N11" s="351"/>
      <c r="O11" s="351"/>
      <c r="P11" s="351"/>
    </row>
    <row r="12" spans="1:16" s="16" customFormat="1" ht="23.25" customHeight="1" x14ac:dyDescent="0.2">
      <c r="A12" s="247" t="s">
        <v>144</v>
      </c>
      <c r="B12" s="247"/>
      <c r="C12" s="104" t="s">
        <v>237</v>
      </c>
      <c r="D12" s="281" t="s">
        <v>238</v>
      </c>
      <c r="E12" s="281"/>
      <c r="F12" s="107">
        <v>0.06</v>
      </c>
      <c r="G12" s="107"/>
      <c r="H12" s="107"/>
      <c r="I12" s="107"/>
      <c r="J12" s="107"/>
      <c r="M12" s="351"/>
      <c r="N12" s="351"/>
      <c r="O12" s="351"/>
      <c r="P12" s="351"/>
    </row>
    <row r="13" spans="1:16" s="16" customFormat="1" ht="23.25" customHeight="1" x14ac:dyDescent="0.2">
      <c r="A13" s="247" t="s">
        <v>211</v>
      </c>
      <c r="B13" s="247"/>
      <c r="C13" s="104" t="s">
        <v>287</v>
      </c>
      <c r="D13" s="281" t="s">
        <v>239</v>
      </c>
      <c r="E13" s="281"/>
      <c r="F13" s="170" t="s">
        <v>408</v>
      </c>
      <c r="G13" s="107"/>
      <c r="H13" s="107"/>
      <c r="I13" s="107"/>
      <c r="J13" s="107"/>
    </row>
    <row r="14" spans="1:16" s="16" customFormat="1" ht="23.25" customHeight="1" x14ac:dyDescent="0.2">
      <c r="A14" s="247" t="s">
        <v>212</v>
      </c>
      <c r="B14" s="247"/>
      <c r="C14" s="104" t="s">
        <v>287</v>
      </c>
      <c r="D14" s="281" t="s">
        <v>239</v>
      </c>
      <c r="E14" s="281"/>
      <c r="F14" s="107">
        <v>1E-3</v>
      </c>
      <c r="G14" s="107"/>
      <c r="H14" s="107"/>
      <c r="I14" s="107"/>
      <c r="J14" s="107"/>
    </row>
    <row r="15" spans="1:16" s="16" customFormat="1" ht="23.25" customHeight="1" x14ac:dyDescent="0.2">
      <c r="A15" s="247" t="s">
        <v>213</v>
      </c>
      <c r="B15" s="247"/>
      <c r="C15" s="104" t="s">
        <v>287</v>
      </c>
      <c r="D15" s="281" t="s">
        <v>240</v>
      </c>
      <c r="E15" s="281"/>
      <c r="F15" s="107">
        <v>6.3E-2</v>
      </c>
      <c r="G15" s="107"/>
      <c r="H15" s="107"/>
      <c r="I15" s="107"/>
      <c r="J15" s="107"/>
    </row>
    <row r="16" spans="1:16" s="16" customFormat="1" ht="23.25" customHeight="1" x14ac:dyDescent="0.2">
      <c r="A16" s="247" t="s">
        <v>214</v>
      </c>
      <c r="B16" s="247"/>
      <c r="C16" s="104" t="s">
        <v>287</v>
      </c>
      <c r="D16" s="281" t="s">
        <v>241</v>
      </c>
      <c r="E16" s="281"/>
      <c r="F16" s="107">
        <v>1.4999999999999999E-2</v>
      </c>
      <c r="G16" s="107"/>
      <c r="H16" s="107"/>
      <c r="I16" s="107"/>
      <c r="J16" s="107"/>
    </row>
    <row r="17" spans="1:10" s="16" customFormat="1" ht="23.25" customHeight="1" x14ac:dyDescent="0.2">
      <c r="A17" s="247" t="s">
        <v>215</v>
      </c>
      <c r="B17" s="247"/>
      <c r="C17" s="104" t="s">
        <v>287</v>
      </c>
      <c r="D17" s="281" t="s">
        <v>242</v>
      </c>
      <c r="E17" s="281"/>
      <c r="F17" s="107">
        <v>1.4999999999999999E-2</v>
      </c>
      <c r="G17" s="107"/>
      <c r="H17" s="107"/>
      <c r="I17" s="107"/>
      <c r="J17" s="107"/>
    </row>
    <row r="18" spans="1:10" s="16" customFormat="1" ht="23.25" customHeight="1" x14ac:dyDescent="0.2">
      <c r="A18" s="247" t="s">
        <v>216</v>
      </c>
      <c r="B18" s="247"/>
      <c r="C18" s="104" t="s">
        <v>287</v>
      </c>
      <c r="D18" s="281" t="s">
        <v>242</v>
      </c>
      <c r="E18" s="281"/>
      <c r="F18" s="107">
        <v>1.6E-2</v>
      </c>
      <c r="G18" s="107"/>
      <c r="H18" s="107"/>
      <c r="I18" s="107"/>
      <c r="J18" s="107"/>
    </row>
    <row r="19" spans="1:10" s="16" customFormat="1" ht="23.25" customHeight="1" x14ac:dyDescent="0.2">
      <c r="A19" s="247" t="s">
        <v>217</v>
      </c>
      <c r="B19" s="247"/>
      <c r="C19" s="104" t="s">
        <v>287</v>
      </c>
      <c r="D19" s="281" t="s">
        <v>242</v>
      </c>
      <c r="E19" s="281"/>
      <c r="F19" s="107">
        <v>2.8000000000000001E-2</v>
      </c>
      <c r="G19" s="107"/>
      <c r="H19" s="107"/>
      <c r="I19" s="107"/>
      <c r="J19" s="107"/>
    </row>
    <row r="20" spans="1:10" s="16" customFormat="1" ht="23.25" customHeight="1" x14ac:dyDescent="0.2">
      <c r="A20" s="247" t="s">
        <v>218</v>
      </c>
      <c r="B20" s="247"/>
      <c r="C20" s="104" t="s">
        <v>287</v>
      </c>
      <c r="D20" s="281" t="s">
        <v>242</v>
      </c>
      <c r="E20" s="281"/>
      <c r="F20" s="107">
        <v>1.4E-2</v>
      </c>
      <c r="G20" s="107"/>
      <c r="H20" s="107"/>
      <c r="I20" s="107"/>
      <c r="J20" s="107"/>
    </row>
    <row r="21" spans="1:10" s="16" customFormat="1" ht="23.25" customHeight="1" x14ac:dyDescent="0.2">
      <c r="A21" s="247" t="s">
        <v>219</v>
      </c>
      <c r="B21" s="247"/>
      <c r="C21" s="104" t="s">
        <v>287</v>
      </c>
      <c r="D21" s="281" t="s">
        <v>242</v>
      </c>
      <c r="E21" s="281"/>
      <c r="F21" s="107">
        <v>1.6E-2</v>
      </c>
      <c r="G21" s="107"/>
      <c r="H21" s="107"/>
      <c r="I21" s="107"/>
      <c r="J21" s="107"/>
    </row>
    <row r="22" spans="1:10" s="16" customFormat="1" ht="23.25" customHeight="1" x14ac:dyDescent="0.2">
      <c r="A22" s="247" t="s">
        <v>220</v>
      </c>
      <c r="B22" s="247"/>
      <c r="C22" s="104" t="s">
        <v>287</v>
      </c>
      <c r="D22" s="281" t="s">
        <v>242</v>
      </c>
      <c r="E22" s="281"/>
      <c r="F22" s="107">
        <v>2.7E-2</v>
      </c>
      <c r="G22" s="107"/>
      <c r="H22" s="107"/>
      <c r="I22" s="107"/>
      <c r="J22" s="107"/>
    </row>
    <row r="23" spans="1:10" s="16" customFormat="1" ht="23.25" customHeight="1" x14ac:dyDescent="0.2">
      <c r="A23" s="247" t="s">
        <v>221</v>
      </c>
      <c r="B23" s="247"/>
      <c r="C23" s="104" t="s">
        <v>287</v>
      </c>
      <c r="D23" s="281" t="s">
        <v>243</v>
      </c>
      <c r="E23" s="281"/>
      <c r="F23" s="170" t="s">
        <v>409</v>
      </c>
      <c r="G23" s="107"/>
      <c r="H23" s="107"/>
      <c r="I23" s="107"/>
      <c r="J23" s="107"/>
    </row>
    <row r="24" spans="1:10" s="16" customFormat="1" ht="23.25" customHeight="1" x14ac:dyDescent="0.2">
      <c r="A24" s="247" t="s">
        <v>222</v>
      </c>
      <c r="B24" s="247"/>
      <c r="C24" s="104" t="s">
        <v>287</v>
      </c>
      <c r="D24" s="281" t="s">
        <v>243</v>
      </c>
      <c r="E24" s="281"/>
      <c r="F24" s="107">
        <v>2.8E-3</v>
      </c>
      <c r="G24" s="107"/>
      <c r="H24" s="107"/>
      <c r="I24" s="107"/>
      <c r="J24" s="107"/>
    </row>
    <row r="25" spans="1:10" s="16" customFormat="1" ht="23.25" customHeight="1" x14ac:dyDescent="0.2">
      <c r="A25" s="247" t="s">
        <v>223</v>
      </c>
      <c r="B25" s="247"/>
      <c r="C25" s="104" t="s">
        <v>287</v>
      </c>
      <c r="D25" s="281" t="s">
        <v>243</v>
      </c>
      <c r="E25" s="281"/>
      <c r="F25" s="107">
        <v>2E-3</v>
      </c>
      <c r="G25" s="107"/>
      <c r="H25" s="107"/>
      <c r="I25" s="107"/>
      <c r="J25" s="107"/>
    </row>
    <row r="26" spans="1:10" s="16" customFormat="1" ht="23.25" customHeight="1" x14ac:dyDescent="0.2">
      <c r="A26" s="247" t="s">
        <v>224</v>
      </c>
      <c r="B26" s="247"/>
      <c r="C26" s="104" t="s">
        <v>287</v>
      </c>
      <c r="D26" s="281" t="s">
        <v>243</v>
      </c>
      <c r="E26" s="281"/>
      <c r="F26" s="107">
        <v>3.8999999999999998E-3</v>
      </c>
      <c r="G26" s="107"/>
      <c r="H26" s="107"/>
      <c r="I26" s="107"/>
      <c r="J26" s="107"/>
    </row>
    <row r="27" spans="1:10" s="16" customFormat="1" ht="23.25" customHeight="1" x14ac:dyDescent="0.2">
      <c r="A27" s="247" t="s">
        <v>225</v>
      </c>
      <c r="B27" s="247"/>
      <c r="C27" s="104" t="s">
        <v>287</v>
      </c>
      <c r="D27" s="281" t="s">
        <v>243</v>
      </c>
      <c r="E27" s="281"/>
      <c r="F27" s="170" t="s">
        <v>409</v>
      </c>
      <c r="G27" s="107"/>
      <c r="H27" s="107"/>
      <c r="I27" s="107"/>
      <c r="J27" s="107"/>
    </row>
    <row r="28" spans="1:10" s="16" customFormat="1" ht="23.25" customHeight="1" x14ac:dyDescent="0.2">
      <c r="A28" s="247" t="s">
        <v>226</v>
      </c>
      <c r="B28" s="247"/>
      <c r="C28" s="104" t="s">
        <v>287</v>
      </c>
      <c r="D28" s="281" t="s">
        <v>243</v>
      </c>
      <c r="E28" s="281"/>
      <c r="F28" s="170" t="s">
        <v>409</v>
      </c>
      <c r="G28" s="107"/>
      <c r="H28" s="107"/>
      <c r="I28" s="107"/>
      <c r="J28" s="107"/>
    </row>
    <row r="29" spans="1:10" s="16" customFormat="1" ht="23.25" customHeight="1" x14ac:dyDescent="0.2">
      <c r="A29" s="247" t="s">
        <v>227</v>
      </c>
      <c r="B29" s="247"/>
      <c r="C29" s="104" t="s">
        <v>287</v>
      </c>
      <c r="D29" s="281" t="s">
        <v>243</v>
      </c>
      <c r="E29" s="281"/>
      <c r="F29" s="107">
        <v>2.7000000000000001E-3</v>
      </c>
      <c r="G29" s="107"/>
      <c r="H29" s="107"/>
      <c r="I29" s="107"/>
      <c r="J29" s="107"/>
    </row>
    <row r="30" spans="1:10" s="16" customFormat="1" ht="23.25" customHeight="1" x14ac:dyDescent="0.2">
      <c r="A30" s="247" t="s">
        <v>228</v>
      </c>
      <c r="B30" s="247"/>
      <c r="C30" s="104" t="s">
        <v>287</v>
      </c>
      <c r="D30" s="281" t="s">
        <v>243</v>
      </c>
      <c r="E30" s="281"/>
      <c r="F30" s="170" t="s">
        <v>409</v>
      </c>
      <c r="G30" s="107"/>
      <c r="H30" s="107"/>
      <c r="I30" s="107"/>
      <c r="J30" s="107"/>
    </row>
    <row r="31" spans="1:10" s="16" customFormat="1" ht="23.25" customHeight="1" x14ac:dyDescent="0.2">
      <c r="A31" s="247" t="s">
        <v>229</v>
      </c>
      <c r="B31" s="247"/>
      <c r="C31" s="104" t="s">
        <v>287</v>
      </c>
      <c r="D31" s="281" t="s">
        <v>243</v>
      </c>
      <c r="E31" s="281"/>
      <c r="F31" s="170" t="s">
        <v>409</v>
      </c>
      <c r="G31" s="107"/>
      <c r="H31" s="107"/>
      <c r="I31" s="107"/>
      <c r="J31" s="107"/>
    </row>
    <row r="32" spans="1:10" s="16" customFormat="1" ht="23.25" customHeight="1" x14ac:dyDescent="0.2">
      <c r="A32" s="247" t="s">
        <v>230</v>
      </c>
      <c r="B32" s="247"/>
      <c r="C32" s="104" t="s">
        <v>287</v>
      </c>
      <c r="D32" s="281" t="s">
        <v>243</v>
      </c>
      <c r="E32" s="281"/>
      <c r="F32" s="107">
        <v>4.0000000000000001E-3</v>
      </c>
      <c r="G32" s="107"/>
      <c r="H32" s="107"/>
      <c r="I32" s="107"/>
      <c r="J32" s="107"/>
    </row>
    <row r="33" spans="1:10" s="16" customFormat="1" ht="23.25" customHeight="1" x14ac:dyDescent="0.2">
      <c r="A33" s="247" t="s">
        <v>231</v>
      </c>
      <c r="B33" s="247"/>
      <c r="C33" s="104" t="s">
        <v>287</v>
      </c>
      <c r="D33" s="281" t="s">
        <v>243</v>
      </c>
      <c r="E33" s="281"/>
      <c r="F33" s="170" t="s">
        <v>409</v>
      </c>
      <c r="G33" s="107"/>
      <c r="H33" s="107"/>
      <c r="I33" s="107"/>
      <c r="J33" s="107"/>
    </row>
    <row r="34" spans="1:10" s="16" customFormat="1" ht="23.25" customHeight="1" x14ac:dyDescent="0.2">
      <c r="A34" s="247" t="s">
        <v>232</v>
      </c>
      <c r="B34" s="247"/>
      <c r="C34" s="104" t="s">
        <v>287</v>
      </c>
      <c r="D34" s="281" t="s">
        <v>243</v>
      </c>
      <c r="E34" s="281"/>
      <c r="F34" s="170" t="s">
        <v>409</v>
      </c>
      <c r="G34" s="107"/>
      <c r="H34" s="107"/>
      <c r="I34" s="107"/>
      <c r="J34" s="107"/>
    </row>
    <row r="35" spans="1:10" s="16" customFormat="1" ht="23.25" customHeight="1" x14ac:dyDescent="0.2">
      <c r="A35" s="247" t="s">
        <v>233</v>
      </c>
      <c r="B35" s="247"/>
      <c r="C35" s="104" t="s">
        <v>287</v>
      </c>
      <c r="D35" s="281" t="s">
        <v>243</v>
      </c>
      <c r="E35" s="281"/>
      <c r="F35" s="170" t="s">
        <v>409</v>
      </c>
      <c r="G35" s="107"/>
      <c r="H35" s="107"/>
      <c r="I35" s="107"/>
      <c r="J35" s="107"/>
    </row>
    <row r="36" spans="1:10" s="16" customFormat="1" ht="23.25" customHeight="1" x14ac:dyDescent="0.2">
      <c r="A36" s="247" t="s">
        <v>234</v>
      </c>
      <c r="B36" s="247"/>
      <c r="C36" s="104" t="s">
        <v>287</v>
      </c>
      <c r="D36" s="281" t="s">
        <v>243</v>
      </c>
      <c r="E36" s="281"/>
      <c r="F36" s="107">
        <v>8.6800000000000002E-2</v>
      </c>
      <c r="G36" s="107"/>
      <c r="H36" s="107"/>
      <c r="I36" s="107"/>
      <c r="J36" s="107"/>
    </row>
    <row r="37" spans="1:10" s="16" customFormat="1" ht="23.25" customHeight="1" x14ac:dyDescent="0.2">
      <c r="A37" s="247" t="s">
        <v>235</v>
      </c>
      <c r="B37" s="247"/>
      <c r="C37" s="104" t="s">
        <v>287</v>
      </c>
      <c r="D37" s="281" t="s">
        <v>243</v>
      </c>
      <c r="E37" s="281"/>
      <c r="F37" s="107">
        <v>4.4999999999999997E-3</v>
      </c>
      <c r="G37" s="107"/>
      <c r="H37" s="107"/>
      <c r="I37" s="107"/>
      <c r="J37" s="107"/>
    </row>
    <row r="38" spans="1:10" s="16" customFormat="1" ht="23.25" customHeight="1" x14ac:dyDescent="0.2">
      <c r="A38" s="247" t="s">
        <v>236</v>
      </c>
      <c r="B38" s="247"/>
      <c r="C38" s="104" t="s">
        <v>287</v>
      </c>
      <c r="D38" s="281" t="s">
        <v>243</v>
      </c>
      <c r="E38" s="281"/>
      <c r="F38" s="107">
        <v>1.3225</v>
      </c>
      <c r="G38" s="107"/>
      <c r="H38" s="107"/>
      <c r="I38" s="107"/>
      <c r="J38" s="107"/>
    </row>
    <row r="39" spans="1:10" x14ac:dyDescent="0.2">
      <c r="A39" s="248" t="s">
        <v>208</v>
      </c>
      <c r="B39" s="248"/>
      <c r="C39" s="248"/>
      <c r="D39" s="248"/>
      <c r="E39" s="248"/>
      <c r="F39" s="248"/>
      <c r="G39" s="248"/>
      <c r="H39" s="248"/>
      <c r="I39" s="248"/>
      <c r="J39" s="248"/>
    </row>
    <row r="40" spans="1:10" x14ac:dyDescent="0.2">
      <c r="A40" s="337"/>
      <c r="B40" s="337"/>
      <c r="C40" s="337"/>
      <c r="D40" s="337"/>
      <c r="E40" s="337"/>
      <c r="F40" s="337"/>
      <c r="G40" s="337"/>
      <c r="H40" s="337"/>
      <c r="I40" s="337"/>
      <c r="J40" s="337"/>
    </row>
    <row r="41" spans="1:10" x14ac:dyDescent="0.2">
      <c r="A41" s="337"/>
      <c r="B41" s="337"/>
      <c r="C41" s="337"/>
      <c r="D41" s="337"/>
      <c r="E41" s="337"/>
      <c r="F41" s="337"/>
      <c r="G41" s="337"/>
      <c r="H41" s="337"/>
      <c r="I41" s="337"/>
      <c r="J41" s="337"/>
    </row>
    <row r="64" spans="6:6" x14ac:dyDescent="0.2">
      <c r="F64" s="3"/>
    </row>
  </sheetData>
  <mergeCells count="64">
    <mergeCell ref="A6:J7"/>
    <mergeCell ref="M6:P9"/>
    <mergeCell ref="A9:J9"/>
    <mergeCell ref="A10:B11"/>
    <mergeCell ref="C10:C11"/>
    <mergeCell ref="D10:E11"/>
    <mergeCell ref="F10:J10"/>
    <mergeCell ref="M10:P12"/>
    <mergeCell ref="A12:B12"/>
    <mergeCell ref="D12:E12"/>
    <mergeCell ref="A13:B13"/>
    <mergeCell ref="D13:E13"/>
    <mergeCell ref="A14:B14"/>
    <mergeCell ref="D14:E14"/>
    <mergeCell ref="A15:B15"/>
    <mergeCell ref="D15:E15"/>
    <mergeCell ref="A16:B16"/>
    <mergeCell ref="D16:E16"/>
    <mergeCell ref="A17:B17"/>
    <mergeCell ref="D17:E17"/>
    <mergeCell ref="A18:B18"/>
    <mergeCell ref="D18:E18"/>
    <mergeCell ref="A19:B19"/>
    <mergeCell ref="D19:E19"/>
    <mergeCell ref="A20:B20"/>
    <mergeCell ref="D20:E20"/>
    <mergeCell ref="A21:B21"/>
    <mergeCell ref="D21:E21"/>
    <mergeCell ref="A22:B22"/>
    <mergeCell ref="D22:E22"/>
    <mergeCell ref="A23:B23"/>
    <mergeCell ref="D23:E23"/>
    <mergeCell ref="A24:B24"/>
    <mergeCell ref="D24:E24"/>
    <mergeCell ref="A25:B25"/>
    <mergeCell ref="D25:E25"/>
    <mergeCell ref="A26:B26"/>
    <mergeCell ref="D26:E26"/>
    <mergeCell ref="A27:B27"/>
    <mergeCell ref="D27:E27"/>
    <mergeCell ref="A28:B28"/>
    <mergeCell ref="D28:E28"/>
    <mergeCell ref="A29:B29"/>
    <mergeCell ref="D29:E29"/>
    <mergeCell ref="A30:B30"/>
    <mergeCell ref="D30:E30"/>
    <mergeCell ref="A31:B31"/>
    <mergeCell ref="D31:E31"/>
    <mergeCell ref="A32:B32"/>
    <mergeCell ref="D32:E32"/>
    <mergeCell ref="A33:B33"/>
    <mergeCell ref="D33:E33"/>
    <mergeCell ref="A40:J41"/>
    <mergeCell ref="A34:B34"/>
    <mergeCell ref="D34:E34"/>
    <mergeCell ref="A35:B35"/>
    <mergeCell ref="D35:E35"/>
    <mergeCell ref="A36:B36"/>
    <mergeCell ref="D36:E36"/>
    <mergeCell ref="A37:B37"/>
    <mergeCell ref="D37:E37"/>
    <mergeCell ref="A38:B38"/>
    <mergeCell ref="D38:E38"/>
    <mergeCell ref="A39:J39"/>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showGridLines="0" tabSelected="1" zoomScaleNormal="100" workbookViewId="0">
      <selection activeCell="S10" sqref="S10"/>
    </sheetView>
  </sheetViews>
  <sheetFormatPr defaultColWidth="9.28515625" defaultRowHeight="15" x14ac:dyDescent="0.2"/>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x14ac:dyDescent="0.2">
      <c r="A1" s="2" t="str">
        <f>+'Cover Page'!$B$29</f>
        <v>Annual Performance Report 2022</v>
      </c>
      <c r="E1" s="2" t="str">
        <f>+'Cover Page'!$B$33</f>
        <v>JG Pears CHP Plant</v>
      </c>
    </row>
    <row r="3" spans="1:7" ht="15.75" x14ac:dyDescent="0.25">
      <c r="A3" s="1" t="s">
        <v>200</v>
      </c>
    </row>
    <row r="4" spans="1:7" ht="15.75" x14ac:dyDescent="0.25">
      <c r="A4" s="1"/>
    </row>
    <row r="5" spans="1:7" s="3" customFormat="1" ht="21.75" customHeight="1" x14ac:dyDescent="0.2">
      <c r="A5" s="91" t="s">
        <v>193</v>
      </c>
      <c r="B5" s="92"/>
      <c r="C5" s="92"/>
      <c r="D5" s="92"/>
      <c r="E5" s="92"/>
      <c r="F5" s="92"/>
      <c r="G5" s="93"/>
    </row>
    <row r="6" spans="1:7" s="3" customFormat="1" ht="15.75" customHeight="1" x14ac:dyDescent="0.2">
      <c r="A6" s="335" t="s">
        <v>387</v>
      </c>
      <c r="B6" s="223"/>
      <c r="C6" s="223"/>
      <c r="D6" s="223"/>
      <c r="E6" s="223"/>
      <c r="F6" s="223"/>
      <c r="G6" s="224"/>
    </row>
    <row r="7" spans="1:7" s="3" customFormat="1" ht="15.75" customHeight="1" x14ac:dyDescent="0.2">
      <c r="A7" s="228"/>
      <c r="B7" s="229"/>
      <c r="C7" s="229"/>
      <c r="D7" s="229"/>
      <c r="E7" s="229"/>
      <c r="F7" s="229"/>
      <c r="G7" s="230"/>
    </row>
    <row r="8" spans="1:7" s="3" customFormat="1" ht="15.75" customHeight="1" x14ac:dyDescent="0.2">
      <c r="A8" s="214" t="s">
        <v>388</v>
      </c>
      <c r="B8" s="215"/>
      <c r="C8" s="215"/>
      <c r="D8" s="215"/>
      <c r="E8" s="215"/>
      <c r="F8" s="215"/>
      <c r="G8" s="216"/>
    </row>
    <row r="9" spans="1:7" s="3" customFormat="1" ht="15.75" customHeight="1" x14ac:dyDescent="0.2">
      <c r="A9" s="220"/>
      <c r="B9" s="221"/>
      <c r="C9" s="221"/>
      <c r="D9" s="221"/>
      <c r="E9" s="221"/>
      <c r="F9" s="221"/>
      <c r="G9" s="222"/>
    </row>
    <row r="10" spans="1:7" s="3" customFormat="1" ht="15.75" customHeight="1" x14ac:dyDescent="0.2">
      <c r="A10" s="245"/>
      <c r="B10" s="215"/>
      <c r="C10" s="215"/>
      <c r="D10" s="215"/>
      <c r="E10" s="215"/>
      <c r="F10" s="215"/>
      <c r="G10" s="216"/>
    </row>
    <row r="11" spans="1:7" s="3" customFormat="1" ht="15.75" customHeight="1" x14ac:dyDescent="0.2">
      <c r="A11" s="220"/>
      <c r="B11" s="221"/>
      <c r="C11" s="221"/>
      <c r="D11" s="221"/>
      <c r="E11" s="221"/>
      <c r="F11" s="221"/>
      <c r="G11" s="222"/>
    </row>
    <row r="12" spans="1:7" s="3" customFormat="1" ht="14.25" x14ac:dyDescent="0.2"/>
    <row r="13" spans="1:7" s="90" customFormat="1" ht="33.75" customHeight="1" x14ac:dyDescent="0.25">
      <c r="A13" s="320" t="s">
        <v>194</v>
      </c>
      <c r="B13" s="321"/>
      <c r="C13" s="321"/>
      <c r="D13" s="321"/>
      <c r="E13" s="321"/>
      <c r="F13" s="321"/>
      <c r="G13" s="322"/>
    </row>
    <row r="14" spans="1:7" ht="15.75" customHeight="1" x14ac:dyDescent="0.2">
      <c r="A14" s="331" t="s">
        <v>201</v>
      </c>
      <c r="B14" s="333"/>
      <c r="C14" s="331" t="s">
        <v>158</v>
      </c>
      <c r="D14" s="332"/>
      <c r="E14" s="332"/>
      <c r="F14" s="332"/>
      <c r="G14" s="332"/>
    </row>
    <row r="15" spans="1:7" ht="15.75" customHeight="1" x14ac:dyDescent="0.2">
      <c r="A15" s="245"/>
      <c r="B15" s="216"/>
      <c r="C15" s="334"/>
      <c r="D15" s="223"/>
      <c r="E15" s="223"/>
      <c r="F15" s="223"/>
      <c r="G15" s="224"/>
    </row>
    <row r="16" spans="1:7" ht="15.75" customHeight="1" x14ac:dyDescent="0.2">
      <c r="A16" s="220"/>
      <c r="B16" s="222"/>
      <c r="C16" s="228"/>
      <c r="D16" s="229"/>
      <c r="E16" s="229"/>
      <c r="F16" s="229"/>
      <c r="G16" s="230"/>
    </row>
    <row r="17" spans="1:11" ht="15.75" customHeight="1" x14ac:dyDescent="0.2">
      <c r="A17" s="334"/>
      <c r="B17" s="224"/>
      <c r="C17" s="334"/>
      <c r="D17" s="223"/>
      <c r="E17" s="223"/>
      <c r="F17" s="223"/>
      <c r="G17" s="224"/>
    </row>
    <row r="18" spans="1:11" ht="15.75" customHeight="1" x14ac:dyDescent="0.2">
      <c r="A18" s="228"/>
      <c r="B18" s="230"/>
      <c r="C18" s="228"/>
      <c r="D18" s="229"/>
      <c r="E18" s="229"/>
      <c r="F18" s="229"/>
      <c r="G18" s="230"/>
    </row>
    <row r="19" spans="1:11" ht="15.75" customHeight="1" x14ac:dyDescent="0.2">
      <c r="A19" s="334"/>
      <c r="B19" s="224"/>
      <c r="C19" s="334"/>
      <c r="D19" s="223"/>
      <c r="E19" s="223"/>
      <c r="F19" s="223"/>
      <c r="G19" s="224"/>
    </row>
    <row r="20" spans="1:11" ht="15.75" customHeight="1" x14ac:dyDescent="0.2">
      <c r="A20" s="228"/>
      <c r="B20" s="230"/>
      <c r="C20" s="228"/>
      <c r="D20" s="229"/>
      <c r="E20" s="229"/>
      <c r="F20" s="229"/>
      <c r="G20" s="230"/>
    </row>
    <row r="21" spans="1:11" ht="15.75" customHeight="1" x14ac:dyDescent="0.2">
      <c r="A21" s="334"/>
      <c r="B21" s="224"/>
      <c r="C21" s="334"/>
      <c r="D21" s="223"/>
      <c r="E21" s="223"/>
      <c r="F21" s="223"/>
      <c r="G21" s="224"/>
    </row>
    <row r="22" spans="1:11" ht="15.75" customHeight="1" x14ac:dyDescent="0.2">
      <c r="A22" s="228"/>
      <c r="B22" s="230"/>
      <c r="C22" s="228"/>
      <c r="D22" s="229"/>
      <c r="E22" s="229"/>
      <c r="F22" s="229"/>
      <c r="G22" s="230"/>
    </row>
    <row r="23" spans="1:11" ht="15.75" customHeight="1" x14ac:dyDescent="0.2">
      <c r="A23" s="334"/>
      <c r="B23" s="224"/>
      <c r="C23" s="334"/>
      <c r="D23" s="223"/>
      <c r="E23" s="223"/>
      <c r="F23" s="223"/>
      <c r="G23" s="224"/>
    </row>
    <row r="24" spans="1:11" ht="15.75" customHeight="1" x14ac:dyDescent="0.2">
      <c r="A24" s="228"/>
      <c r="B24" s="230"/>
      <c r="C24" s="228"/>
      <c r="D24" s="229"/>
      <c r="E24" s="229"/>
      <c r="F24" s="229"/>
      <c r="G24" s="230"/>
    </row>
    <row r="26" spans="1:11" x14ac:dyDescent="0.2">
      <c r="A26" s="16"/>
      <c r="B26" s="16"/>
      <c r="C26" s="16"/>
      <c r="D26" s="16"/>
      <c r="E26" s="16"/>
      <c r="F26" s="16"/>
      <c r="G26" s="16"/>
    </row>
    <row r="27" spans="1:11" s="109" customFormat="1" ht="16.5" customHeight="1" x14ac:dyDescent="0.2">
      <c r="A27" s="352" t="s">
        <v>207</v>
      </c>
      <c r="B27" s="352"/>
      <c r="C27" s="352"/>
      <c r="D27" s="352"/>
      <c r="E27" s="352"/>
      <c r="F27" s="352"/>
      <c r="G27" s="352"/>
    </row>
    <row r="28" spans="1:11" s="16" customFormat="1" ht="17.25" customHeight="1" x14ac:dyDescent="0.2">
      <c r="A28" s="353" t="s">
        <v>205</v>
      </c>
      <c r="B28" s="353"/>
      <c r="C28" s="304" t="s">
        <v>196</v>
      </c>
      <c r="D28" s="304" t="s">
        <v>202</v>
      </c>
      <c r="E28" s="304"/>
      <c r="F28" s="304"/>
      <c r="G28" s="304"/>
    </row>
    <row r="29" spans="1:11" s="16" customFormat="1" ht="17.25" customHeight="1" x14ac:dyDescent="0.2">
      <c r="A29" s="353"/>
      <c r="B29" s="353"/>
      <c r="C29" s="304"/>
      <c r="D29" s="304" t="s">
        <v>203</v>
      </c>
      <c r="E29" s="304"/>
      <c r="F29" s="304" t="s">
        <v>91</v>
      </c>
      <c r="G29" s="304"/>
    </row>
    <row r="30" spans="1:11" s="76" customFormat="1" ht="38.1" customHeight="1" x14ac:dyDescent="0.2">
      <c r="A30" s="354" t="s">
        <v>332</v>
      </c>
      <c r="B30" s="247"/>
      <c r="C30" s="110" t="s">
        <v>206</v>
      </c>
      <c r="D30" s="355" t="s">
        <v>396</v>
      </c>
      <c r="E30" s="296"/>
      <c r="F30" s="356"/>
      <c r="G30" s="357"/>
      <c r="J30" s="16"/>
      <c r="K30" s="16"/>
    </row>
    <row r="31" spans="1:11" s="76" customFormat="1" ht="38.1" customHeight="1" x14ac:dyDescent="0.2">
      <c r="A31" s="279" t="s">
        <v>352</v>
      </c>
      <c r="B31" s="247"/>
      <c r="C31" s="106" t="s">
        <v>288</v>
      </c>
      <c r="D31" s="296"/>
      <c r="E31" s="296"/>
      <c r="F31" s="356"/>
      <c r="G31" s="357"/>
      <c r="J31" s="16"/>
      <c r="K31" s="16"/>
    </row>
    <row r="32" spans="1:11" s="76" customFormat="1" ht="38.1" customHeight="1" x14ac:dyDescent="0.2">
      <c r="A32" s="247" t="s">
        <v>289</v>
      </c>
      <c r="B32" s="247"/>
      <c r="C32" s="106" t="s">
        <v>204</v>
      </c>
      <c r="D32" s="296">
        <v>4</v>
      </c>
      <c r="E32" s="296"/>
      <c r="F32" s="358">
        <v>12</v>
      </c>
      <c r="G32" s="359"/>
      <c r="J32" s="16"/>
      <c r="K32" s="16"/>
    </row>
    <row r="33" spans="1:7" s="76" customFormat="1" ht="38.1" customHeight="1" x14ac:dyDescent="0.25">
      <c r="A33" s="354" t="s">
        <v>329</v>
      </c>
      <c r="B33" s="247"/>
      <c r="C33" s="106" t="s">
        <v>204</v>
      </c>
      <c r="D33" s="296">
        <v>0</v>
      </c>
      <c r="E33" s="296"/>
      <c r="F33" s="356"/>
      <c r="G33" s="357"/>
    </row>
    <row r="35" spans="1:7" x14ac:dyDescent="0.2">
      <c r="A35" s="248" t="s">
        <v>208</v>
      </c>
      <c r="B35" s="248"/>
      <c r="C35" s="248"/>
      <c r="D35" s="248"/>
      <c r="E35" s="248"/>
      <c r="F35" s="248"/>
      <c r="G35" s="248"/>
    </row>
    <row r="36" spans="1:7" x14ac:dyDescent="0.2">
      <c r="A36" s="337" t="s">
        <v>417</v>
      </c>
      <c r="B36" s="337"/>
      <c r="C36" s="337"/>
      <c r="D36" s="337"/>
      <c r="E36" s="337"/>
      <c r="F36" s="337"/>
      <c r="G36" s="337"/>
    </row>
    <row r="37" spans="1:7" x14ac:dyDescent="0.2">
      <c r="A37" s="337"/>
      <c r="B37" s="337"/>
      <c r="C37" s="337"/>
      <c r="D37" s="337"/>
      <c r="E37" s="337"/>
      <c r="F37" s="337"/>
      <c r="G37" s="337"/>
    </row>
    <row r="38" spans="1:7" x14ac:dyDescent="0.2">
      <c r="A38" s="337"/>
      <c r="B38" s="337"/>
      <c r="C38" s="337"/>
      <c r="D38" s="337"/>
      <c r="E38" s="337"/>
      <c r="F38" s="337"/>
      <c r="G38" s="337"/>
    </row>
    <row r="39" spans="1:7" x14ac:dyDescent="0.2">
      <c r="A39" s="337"/>
      <c r="B39" s="337"/>
      <c r="C39" s="337"/>
      <c r="D39" s="337"/>
      <c r="E39" s="337"/>
      <c r="F39" s="337"/>
      <c r="G39" s="337"/>
    </row>
    <row r="40" spans="1:7" x14ac:dyDescent="0.2">
      <c r="A40" s="337"/>
      <c r="B40" s="337"/>
      <c r="C40" s="337"/>
      <c r="D40" s="337"/>
      <c r="E40" s="337"/>
      <c r="F40" s="337"/>
      <c r="G40" s="337"/>
    </row>
    <row r="41" spans="1:7" x14ac:dyDescent="0.2">
      <c r="A41" s="337"/>
      <c r="B41" s="337"/>
      <c r="C41" s="337"/>
      <c r="D41" s="337"/>
      <c r="E41" s="337"/>
      <c r="F41" s="337"/>
      <c r="G41" s="337"/>
    </row>
    <row r="56" spans="6:6" x14ac:dyDescent="0.2">
      <c r="F56" s="3"/>
    </row>
  </sheetData>
  <mergeCells count="36">
    <mergeCell ref="A17:B18"/>
    <mergeCell ref="C17:G18"/>
    <mergeCell ref="A19:B20"/>
    <mergeCell ref="C19:G20"/>
    <mergeCell ref="A13:G13"/>
    <mergeCell ref="A14:B14"/>
    <mergeCell ref="C14:G14"/>
    <mergeCell ref="A6:G7"/>
    <mergeCell ref="A8:G9"/>
    <mergeCell ref="A10:G11"/>
    <mergeCell ref="A15:B16"/>
    <mergeCell ref="C15:G16"/>
    <mergeCell ref="A21:B22"/>
    <mergeCell ref="C21:G22"/>
    <mergeCell ref="A23:B24"/>
    <mergeCell ref="C23:G24"/>
    <mergeCell ref="D32:E32"/>
    <mergeCell ref="C28:C29"/>
    <mergeCell ref="D29:E29"/>
    <mergeCell ref="F29:G29"/>
    <mergeCell ref="D28:G28"/>
    <mergeCell ref="A27:G27"/>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J66"/>
  <sheetViews>
    <sheetView showGridLines="0" tabSelected="1" zoomScaleNormal="100" workbookViewId="0">
      <selection activeCell="S10" sqref="S10"/>
    </sheetView>
  </sheetViews>
  <sheetFormatPr defaultColWidth="9.28515625" defaultRowHeight="15" x14ac:dyDescent="0.2"/>
  <cols>
    <col min="1" max="1" width="9.28515625" style="2" customWidth="1"/>
    <col min="2" max="2" width="14.5703125" style="2" bestFit="1" customWidth="1"/>
    <col min="3" max="9" width="9.28515625" style="2"/>
    <col min="10" max="10" width="11.5703125" style="2" customWidth="1"/>
    <col min="11" max="16384" width="9.28515625" style="2"/>
  </cols>
  <sheetData>
    <row r="1" spans="1:10" x14ac:dyDescent="0.2">
      <c r="A1" s="2" t="str">
        <f>+'Cover Page'!$B$29</f>
        <v>Annual Performance Report 2022</v>
      </c>
      <c r="E1" s="2" t="str">
        <f>+'Cover Page'!$B$33</f>
        <v>JG Pears CHP Plant</v>
      </c>
    </row>
    <row r="3" spans="1:10" ht="15.75" x14ac:dyDescent="0.25">
      <c r="A3" s="1" t="s">
        <v>192</v>
      </c>
    </row>
    <row r="4" spans="1:10" ht="15.75" x14ac:dyDescent="0.25">
      <c r="A4" s="1"/>
    </row>
    <row r="5" spans="1:10" s="3" customFormat="1" ht="21.75" customHeight="1" x14ac:dyDescent="0.2">
      <c r="A5" s="91" t="s">
        <v>193</v>
      </c>
      <c r="B5" s="92"/>
      <c r="C5" s="92"/>
      <c r="D5" s="92"/>
      <c r="E5" s="92"/>
      <c r="F5" s="92"/>
      <c r="G5" s="92"/>
      <c r="H5" s="92"/>
      <c r="I5" s="92"/>
      <c r="J5" s="93"/>
    </row>
    <row r="6" spans="1:10" s="3" customFormat="1" ht="15.75" customHeight="1" x14ac:dyDescent="0.2">
      <c r="A6" s="335" t="s">
        <v>374</v>
      </c>
      <c r="B6" s="223"/>
      <c r="C6" s="223"/>
      <c r="D6" s="223"/>
      <c r="E6" s="223"/>
      <c r="F6" s="223"/>
      <c r="G6" s="223"/>
      <c r="H6" s="223"/>
      <c r="I6" s="223"/>
      <c r="J6" s="224"/>
    </row>
    <row r="7" spans="1:10" s="3" customFormat="1" ht="15.75" customHeight="1" x14ac:dyDescent="0.2">
      <c r="A7" s="228"/>
      <c r="B7" s="229"/>
      <c r="C7" s="229"/>
      <c r="D7" s="229"/>
      <c r="E7" s="229"/>
      <c r="F7" s="229"/>
      <c r="G7" s="229"/>
      <c r="H7" s="229"/>
      <c r="I7" s="229"/>
      <c r="J7" s="230"/>
    </row>
    <row r="8" spans="1:10" s="3" customFormat="1" ht="15.75" customHeight="1" x14ac:dyDescent="0.2">
      <c r="A8" s="245"/>
      <c r="B8" s="215"/>
      <c r="C8" s="215"/>
      <c r="D8" s="215"/>
      <c r="E8" s="215"/>
      <c r="F8" s="215"/>
      <c r="G8" s="215"/>
      <c r="H8" s="215"/>
      <c r="I8" s="215"/>
      <c r="J8" s="216"/>
    </row>
    <row r="9" spans="1:10" s="3" customFormat="1" ht="15.75" customHeight="1" x14ac:dyDescent="0.2">
      <c r="A9" s="220"/>
      <c r="B9" s="221"/>
      <c r="C9" s="221"/>
      <c r="D9" s="221"/>
      <c r="E9" s="221"/>
      <c r="F9" s="221"/>
      <c r="G9" s="221"/>
      <c r="H9" s="221"/>
      <c r="I9" s="221"/>
      <c r="J9" s="222"/>
    </row>
    <row r="10" spans="1:10" s="3" customFormat="1" ht="15.75" customHeight="1" x14ac:dyDescent="0.2">
      <c r="A10" s="245"/>
      <c r="B10" s="215"/>
      <c r="C10" s="215"/>
      <c r="D10" s="215"/>
      <c r="E10" s="215"/>
      <c r="F10" s="215"/>
      <c r="G10" s="215"/>
      <c r="H10" s="215"/>
      <c r="I10" s="215"/>
      <c r="J10" s="216"/>
    </row>
    <row r="11" spans="1:10" s="3" customFormat="1" ht="15.75" customHeight="1" x14ac:dyDescent="0.2">
      <c r="A11" s="220"/>
      <c r="B11" s="221"/>
      <c r="C11" s="221"/>
      <c r="D11" s="221"/>
      <c r="E11" s="221"/>
      <c r="F11" s="221"/>
      <c r="G11" s="221"/>
      <c r="H11" s="221"/>
      <c r="I11" s="221"/>
      <c r="J11" s="222"/>
    </row>
    <row r="12" spans="1:10" s="3" customFormat="1" ht="14.25" x14ac:dyDescent="0.2"/>
    <row r="13" spans="1:10" s="90" customFormat="1" ht="33.75" customHeight="1" x14ac:dyDescent="0.25">
      <c r="A13" s="320" t="s">
        <v>194</v>
      </c>
      <c r="B13" s="321"/>
      <c r="C13" s="321"/>
      <c r="D13" s="321"/>
      <c r="E13" s="321"/>
      <c r="F13" s="321"/>
      <c r="G13" s="321"/>
      <c r="H13" s="321"/>
      <c r="I13" s="321"/>
      <c r="J13" s="322"/>
    </row>
    <row r="14" spans="1:10" ht="15.75" customHeight="1" x14ac:dyDescent="0.2">
      <c r="A14" s="331" t="s">
        <v>201</v>
      </c>
      <c r="B14" s="333"/>
      <c r="C14" s="331" t="s">
        <v>158</v>
      </c>
      <c r="D14" s="332"/>
      <c r="E14" s="332"/>
      <c r="F14" s="332"/>
      <c r="G14" s="332"/>
      <c r="H14" s="332"/>
      <c r="I14" s="332"/>
      <c r="J14" s="332"/>
    </row>
    <row r="15" spans="1:10" ht="15.75" customHeight="1" x14ac:dyDescent="0.2">
      <c r="A15" s="214" t="s">
        <v>375</v>
      </c>
      <c r="B15" s="216"/>
      <c r="C15" s="335" t="s">
        <v>375</v>
      </c>
      <c r="D15" s="223"/>
      <c r="E15" s="223"/>
      <c r="F15" s="223"/>
      <c r="G15" s="223"/>
      <c r="H15" s="223"/>
      <c r="I15" s="223"/>
      <c r="J15" s="224"/>
    </row>
    <row r="16" spans="1:10" ht="15.75" customHeight="1" x14ac:dyDescent="0.2">
      <c r="A16" s="220"/>
      <c r="B16" s="222"/>
      <c r="C16" s="228"/>
      <c r="D16" s="229"/>
      <c r="E16" s="229"/>
      <c r="F16" s="229"/>
      <c r="G16" s="229"/>
      <c r="H16" s="229"/>
      <c r="I16" s="229"/>
      <c r="J16" s="230"/>
    </row>
    <row r="17" spans="1:10" ht="15.75" customHeight="1" x14ac:dyDescent="0.2">
      <c r="A17" s="334"/>
      <c r="B17" s="224"/>
      <c r="C17" s="334"/>
      <c r="D17" s="223"/>
      <c r="E17" s="223"/>
      <c r="F17" s="223"/>
      <c r="G17" s="223"/>
      <c r="H17" s="223"/>
      <c r="I17" s="223"/>
      <c r="J17" s="224"/>
    </row>
    <row r="18" spans="1:10" ht="15.75" customHeight="1" x14ac:dyDescent="0.2">
      <c r="A18" s="228"/>
      <c r="B18" s="230"/>
      <c r="C18" s="228"/>
      <c r="D18" s="229"/>
      <c r="E18" s="229"/>
      <c r="F18" s="229"/>
      <c r="G18" s="229"/>
      <c r="H18" s="229"/>
      <c r="I18" s="229"/>
      <c r="J18" s="230"/>
    </row>
    <row r="19" spans="1:10" ht="15.75" customHeight="1" x14ac:dyDescent="0.2">
      <c r="A19" s="334"/>
      <c r="B19" s="224"/>
      <c r="C19" s="334"/>
      <c r="D19" s="223"/>
      <c r="E19" s="223"/>
      <c r="F19" s="223"/>
      <c r="G19" s="223"/>
      <c r="H19" s="223"/>
      <c r="I19" s="223"/>
      <c r="J19" s="224"/>
    </row>
    <row r="20" spans="1:10" ht="15.75" customHeight="1" x14ac:dyDescent="0.2">
      <c r="A20" s="228"/>
      <c r="B20" s="230"/>
      <c r="C20" s="228"/>
      <c r="D20" s="229"/>
      <c r="E20" s="229"/>
      <c r="F20" s="229"/>
      <c r="G20" s="229"/>
      <c r="H20" s="229"/>
      <c r="I20" s="229"/>
      <c r="J20" s="230"/>
    </row>
    <row r="22" spans="1:10" ht="22.5" customHeight="1" x14ac:dyDescent="0.2">
      <c r="A22" s="368" t="s">
        <v>298</v>
      </c>
      <c r="B22" s="369"/>
      <c r="C22" s="369"/>
      <c r="D22" s="369"/>
      <c r="E22" s="369"/>
      <c r="F22" s="369"/>
      <c r="G22" s="369"/>
      <c r="H22" s="369"/>
      <c r="I22" s="369"/>
      <c r="J22" s="369"/>
    </row>
    <row r="23" spans="1:10" ht="19.5" customHeight="1" x14ac:dyDescent="0.2">
      <c r="A23" s="370" t="s">
        <v>109</v>
      </c>
      <c r="B23" s="371"/>
      <c r="C23" s="372"/>
      <c r="D23" s="373" t="s">
        <v>195</v>
      </c>
      <c r="E23" s="374"/>
      <c r="F23" s="375"/>
      <c r="G23" s="105" t="s">
        <v>196</v>
      </c>
      <c r="H23" s="105" t="s">
        <v>197</v>
      </c>
      <c r="I23" s="105" t="s">
        <v>199</v>
      </c>
      <c r="J23" s="105" t="s">
        <v>198</v>
      </c>
    </row>
    <row r="24" spans="1:10" x14ac:dyDescent="0.2">
      <c r="A24" s="367" t="s">
        <v>376</v>
      </c>
      <c r="B24" s="365"/>
      <c r="C24" s="366"/>
      <c r="D24" s="361"/>
      <c r="E24" s="362"/>
      <c r="F24" s="363"/>
      <c r="G24" s="107"/>
      <c r="H24" s="107"/>
      <c r="I24" s="107"/>
      <c r="J24" s="107"/>
    </row>
    <row r="25" spans="1:10" x14ac:dyDescent="0.2">
      <c r="A25" s="364"/>
      <c r="B25" s="365"/>
      <c r="C25" s="366"/>
      <c r="D25" s="361"/>
      <c r="E25" s="362"/>
      <c r="F25" s="363"/>
      <c r="G25" s="107"/>
      <c r="H25" s="107"/>
      <c r="I25" s="107"/>
      <c r="J25" s="107"/>
    </row>
    <row r="26" spans="1:10" x14ac:dyDescent="0.2">
      <c r="A26" s="364"/>
      <c r="B26" s="365"/>
      <c r="C26" s="366"/>
      <c r="D26" s="361"/>
      <c r="E26" s="362"/>
      <c r="F26" s="363"/>
      <c r="G26" s="107"/>
      <c r="H26" s="107"/>
      <c r="I26" s="107"/>
      <c r="J26" s="107"/>
    </row>
    <row r="27" spans="1:10" x14ac:dyDescent="0.2">
      <c r="A27" s="364"/>
      <c r="B27" s="365"/>
      <c r="C27" s="366"/>
      <c r="D27" s="361"/>
      <c r="E27" s="362"/>
      <c r="F27" s="363"/>
      <c r="G27" s="107"/>
      <c r="H27" s="107"/>
      <c r="I27" s="107"/>
      <c r="J27" s="107"/>
    </row>
    <row r="28" spans="1:10" x14ac:dyDescent="0.2">
      <c r="A28" s="364"/>
      <c r="B28" s="365"/>
      <c r="C28" s="366"/>
      <c r="D28" s="361"/>
      <c r="E28" s="362"/>
      <c r="F28" s="363"/>
      <c r="G28" s="107"/>
      <c r="H28" s="107"/>
      <c r="I28" s="107"/>
      <c r="J28" s="107"/>
    </row>
    <row r="29" spans="1:10" x14ac:dyDescent="0.2">
      <c r="A29" s="364"/>
      <c r="B29" s="365"/>
      <c r="C29" s="366"/>
      <c r="D29" s="361"/>
      <c r="E29" s="362"/>
      <c r="F29" s="363"/>
      <c r="G29" s="107"/>
      <c r="H29" s="107"/>
      <c r="I29" s="107"/>
      <c r="J29" s="107"/>
    </row>
    <row r="30" spans="1:10" x14ac:dyDescent="0.2">
      <c r="A30" s="360"/>
      <c r="B30" s="360"/>
      <c r="C30" s="360"/>
      <c r="D30" s="361"/>
      <c r="E30" s="362"/>
      <c r="F30" s="363"/>
      <c r="G30" s="107"/>
      <c r="H30" s="107"/>
      <c r="I30" s="107"/>
      <c r="J30" s="107"/>
    </row>
    <row r="31" spans="1:10" x14ac:dyDescent="0.2">
      <c r="A31" s="16"/>
      <c r="B31" s="16"/>
      <c r="C31" s="16"/>
      <c r="D31" s="16"/>
      <c r="E31" s="16"/>
      <c r="F31" s="16"/>
      <c r="G31" s="16"/>
      <c r="H31" s="16"/>
      <c r="I31" s="16"/>
      <c r="J31" s="16"/>
    </row>
    <row r="32" spans="1:10" x14ac:dyDescent="0.2">
      <c r="A32" s="16"/>
      <c r="B32" s="16"/>
      <c r="C32" s="16"/>
      <c r="D32" s="16"/>
      <c r="E32" s="16"/>
      <c r="F32" s="16"/>
      <c r="G32" s="16"/>
      <c r="H32" s="16"/>
      <c r="I32" s="16"/>
      <c r="J32" s="16"/>
    </row>
    <row r="33" spans="1:10" x14ac:dyDescent="0.2">
      <c r="A33" s="16"/>
      <c r="B33" s="16"/>
      <c r="C33" s="16"/>
      <c r="D33" s="16"/>
      <c r="E33" s="16"/>
      <c r="F33" s="16"/>
      <c r="G33" s="16"/>
      <c r="H33" s="16"/>
      <c r="I33" s="16"/>
      <c r="J33" s="16"/>
    </row>
    <row r="66" spans="6:6" x14ac:dyDescent="0.2">
      <c r="F66" s="3"/>
    </row>
  </sheetData>
  <mergeCells count="29">
    <mergeCell ref="A6:J7"/>
    <mergeCell ref="A8:J9"/>
    <mergeCell ref="A10:J11"/>
    <mergeCell ref="A13:J13"/>
    <mergeCell ref="A14:B14"/>
    <mergeCell ref="C14:J14"/>
    <mergeCell ref="A22:J22"/>
    <mergeCell ref="A23:C23"/>
    <mergeCell ref="D23:F23"/>
    <mergeCell ref="A15:B16"/>
    <mergeCell ref="C15:J16"/>
    <mergeCell ref="A17:B18"/>
    <mergeCell ref="C17:J18"/>
    <mergeCell ref="A19:B20"/>
    <mergeCell ref="C19:J20"/>
    <mergeCell ref="A24:C24"/>
    <mergeCell ref="D24:F24"/>
    <mergeCell ref="A25:C25"/>
    <mergeCell ref="D25:F25"/>
    <mergeCell ref="A26:C26"/>
    <mergeCell ref="D26:F26"/>
    <mergeCell ref="A30:C30"/>
    <mergeCell ref="D30:F30"/>
    <mergeCell ref="A27:C27"/>
    <mergeCell ref="D27:F27"/>
    <mergeCell ref="A28:C28"/>
    <mergeCell ref="D28:F28"/>
    <mergeCell ref="A29:C29"/>
    <mergeCell ref="D29:F29"/>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showGridLines="0" tabSelected="1" zoomScale="90" zoomScaleNormal="90" workbookViewId="0">
      <selection activeCell="S10" sqref="S10"/>
    </sheetView>
  </sheetViews>
  <sheetFormatPr defaultColWidth="9.28515625" defaultRowHeight="15" x14ac:dyDescent="0.2"/>
  <cols>
    <col min="1" max="1" width="21.28515625" style="2" customWidth="1"/>
    <col min="2" max="2" width="13.7109375" style="2" customWidth="1"/>
    <col min="3" max="3" width="16.28515625" style="2" customWidth="1"/>
    <col min="4" max="12" width="9.28515625" style="2"/>
    <col min="13" max="13" width="10.42578125" style="2" customWidth="1"/>
    <col min="14" max="16384" width="9.28515625" style="2"/>
  </cols>
  <sheetData>
    <row r="1" spans="1:16" x14ac:dyDescent="0.2">
      <c r="A1" s="2" t="str">
        <f>+'Cover Page'!$B$29</f>
        <v>Annual Performance Report 2022</v>
      </c>
      <c r="I1" s="2" t="str">
        <f>+'Cover Page'!$B$33</f>
        <v>JG Pears CHP Plant</v>
      </c>
    </row>
    <row r="3" spans="1:16" ht="15.75" x14ac:dyDescent="0.25">
      <c r="A3" s="1" t="s">
        <v>247</v>
      </c>
    </row>
    <row r="4" spans="1:16" ht="15.75" x14ac:dyDescent="0.25">
      <c r="A4" s="1"/>
      <c r="P4" s="129" t="s">
        <v>290</v>
      </c>
    </row>
    <row r="5" spans="1:16" s="3" customFormat="1" ht="21.75" customHeight="1" x14ac:dyDescent="0.2">
      <c r="A5" s="91" t="s">
        <v>246</v>
      </c>
      <c r="B5" s="92"/>
      <c r="C5" s="92"/>
      <c r="D5" s="92"/>
      <c r="E5" s="92"/>
      <c r="F5" s="92"/>
      <c r="G5" s="92"/>
      <c r="H5" s="92"/>
      <c r="I5" s="92"/>
      <c r="J5" s="92"/>
      <c r="K5" s="92"/>
      <c r="L5" s="92"/>
      <c r="M5" s="93"/>
      <c r="P5" s="130" t="s">
        <v>291</v>
      </c>
    </row>
    <row r="6" spans="1:16" s="3" customFormat="1" ht="15.75" customHeight="1" x14ac:dyDescent="0.2">
      <c r="A6" s="214" t="s">
        <v>386</v>
      </c>
      <c r="B6" s="223"/>
      <c r="C6" s="223"/>
      <c r="D6" s="223"/>
      <c r="E6" s="223"/>
      <c r="F6" s="223"/>
      <c r="G6" s="223"/>
      <c r="H6" s="223"/>
      <c r="I6" s="223"/>
      <c r="J6" s="223"/>
      <c r="K6" s="223"/>
      <c r="L6" s="223"/>
      <c r="M6" s="224"/>
      <c r="P6" s="3" t="s">
        <v>334</v>
      </c>
    </row>
    <row r="7" spans="1:16" s="3" customFormat="1" ht="27.75" customHeight="1" x14ac:dyDescent="0.2">
      <c r="A7" s="228"/>
      <c r="B7" s="229"/>
      <c r="C7" s="229"/>
      <c r="D7" s="229"/>
      <c r="E7" s="229"/>
      <c r="F7" s="229"/>
      <c r="G7" s="229"/>
      <c r="H7" s="229"/>
      <c r="I7" s="229"/>
      <c r="J7" s="229"/>
      <c r="K7" s="229"/>
      <c r="L7" s="229"/>
      <c r="M7" s="230"/>
    </row>
    <row r="8" spans="1:16" s="3" customFormat="1" ht="15.75" customHeight="1" x14ac:dyDescent="0.2">
      <c r="A8" s="245"/>
      <c r="B8" s="215"/>
      <c r="C8" s="215"/>
      <c r="D8" s="215"/>
      <c r="E8" s="215"/>
      <c r="F8" s="215"/>
      <c r="G8" s="215"/>
      <c r="H8" s="215"/>
      <c r="I8" s="215"/>
      <c r="J8" s="215"/>
      <c r="K8" s="215"/>
      <c r="L8" s="215"/>
      <c r="M8" s="216"/>
    </row>
    <row r="9" spans="1:16" s="3" customFormat="1" ht="15.75" customHeight="1" x14ac:dyDescent="0.2">
      <c r="A9" s="220"/>
      <c r="B9" s="221"/>
      <c r="C9" s="221"/>
      <c r="D9" s="221"/>
      <c r="E9" s="221"/>
      <c r="F9" s="221"/>
      <c r="G9" s="221"/>
      <c r="H9" s="221"/>
      <c r="I9" s="221"/>
      <c r="J9" s="221"/>
      <c r="K9" s="221"/>
      <c r="L9" s="221"/>
      <c r="M9" s="222"/>
    </row>
    <row r="10" spans="1:16" s="3" customFormat="1" ht="14.25" x14ac:dyDescent="0.2"/>
    <row r="11" spans="1:16" s="109" customFormat="1" ht="16.5" customHeight="1" x14ac:dyDescent="0.2">
      <c r="A11" s="352" t="s">
        <v>333</v>
      </c>
      <c r="B11" s="352"/>
      <c r="C11" s="352"/>
      <c r="D11" s="352"/>
      <c r="E11" s="352"/>
      <c r="F11" s="352"/>
      <c r="G11" s="352"/>
      <c r="H11" s="352"/>
      <c r="I11" s="352"/>
      <c r="J11" s="352"/>
      <c r="K11" s="352"/>
      <c r="L11" s="352"/>
      <c r="M11" s="352"/>
    </row>
    <row r="12" spans="1:16" s="109" customFormat="1" ht="16.5" customHeight="1" x14ac:dyDescent="0.2">
      <c r="A12" s="380" t="s">
        <v>134</v>
      </c>
      <c r="B12" s="349" t="s">
        <v>256</v>
      </c>
      <c r="C12" s="304" t="s">
        <v>244</v>
      </c>
      <c r="D12" s="305" t="s">
        <v>110</v>
      </c>
      <c r="E12" s="382"/>
      <c r="F12" s="305" t="s">
        <v>111</v>
      </c>
      <c r="G12" s="382"/>
      <c r="H12" s="305" t="s">
        <v>112</v>
      </c>
      <c r="I12" s="382"/>
      <c r="J12" s="305" t="s">
        <v>113</v>
      </c>
      <c r="K12" s="382"/>
      <c r="L12" s="305" t="s">
        <v>114</v>
      </c>
      <c r="M12" s="382"/>
    </row>
    <row r="13" spans="1:16" s="16" customFormat="1" ht="17.25" customHeight="1" x14ac:dyDescent="0.2">
      <c r="A13" s="380"/>
      <c r="B13" s="381"/>
      <c r="C13" s="304"/>
      <c r="D13" s="88" t="s">
        <v>199</v>
      </c>
      <c r="E13" s="111" t="s">
        <v>248</v>
      </c>
      <c r="F13" s="88" t="s">
        <v>199</v>
      </c>
      <c r="G13" s="111" t="s">
        <v>248</v>
      </c>
      <c r="H13" s="88" t="s">
        <v>199</v>
      </c>
      <c r="I13" s="111" t="s">
        <v>248</v>
      </c>
      <c r="J13" s="88" t="s">
        <v>199</v>
      </c>
      <c r="K13" s="111" t="s">
        <v>248</v>
      </c>
      <c r="L13" s="88" t="s">
        <v>199</v>
      </c>
      <c r="M13" s="111" t="s">
        <v>248</v>
      </c>
    </row>
    <row r="14" spans="1:16" s="16" customFormat="1" ht="23.25" customHeight="1" x14ac:dyDescent="0.2">
      <c r="A14" s="247" t="s">
        <v>139</v>
      </c>
      <c r="B14" s="106" t="s">
        <v>249</v>
      </c>
      <c r="C14" s="169" t="s">
        <v>378</v>
      </c>
      <c r="D14" s="171">
        <f>NOx!O19</f>
        <v>247.6</v>
      </c>
      <c r="E14" s="171">
        <f>NOx!N19</f>
        <v>187.1308333333333</v>
      </c>
      <c r="F14" s="107"/>
      <c r="G14" s="107"/>
      <c r="H14" s="107"/>
      <c r="I14" s="107"/>
      <c r="J14" s="107"/>
      <c r="K14" s="107"/>
      <c r="L14" s="107"/>
      <c r="M14" s="107"/>
    </row>
    <row r="15" spans="1:16" s="16" customFormat="1" ht="23.25" customHeight="1" x14ac:dyDescent="0.2">
      <c r="A15" s="247"/>
      <c r="B15" s="106" t="s">
        <v>250</v>
      </c>
      <c r="C15" s="169" t="s">
        <v>379</v>
      </c>
      <c r="D15" s="171">
        <f>NOx!M19</f>
        <v>462.5</v>
      </c>
      <c r="E15" s="171">
        <f>NOx!L19</f>
        <v>183.04999999999998</v>
      </c>
      <c r="F15" s="107"/>
      <c r="G15" s="107"/>
      <c r="H15" s="107"/>
      <c r="I15" s="107"/>
      <c r="J15" s="107"/>
      <c r="K15" s="107"/>
      <c r="L15" s="107"/>
      <c r="M15" s="107"/>
    </row>
    <row r="16" spans="1:16" s="16" customFormat="1" ht="23.25" customHeight="1" x14ac:dyDescent="0.2">
      <c r="A16" s="72" t="s">
        <v>138</v>
      </c>
      <c r="B16" s="75" t="s">
        <v>249</v>
      </c>
      <c r="C16" s="169" t="s">
        <v>380</v>
      </c>
      <c r="D16" s="171">
        <f>Particulates!O19</f>
        <v>13.6</v>
      </c>
      <c r="E16" s="171">
        <f>Particulates!N19</f>
        <v>1.3841666666666665</v>
      </c>
      <c r="F16" s="107"/>
      <c r="G16" s="107"/>
      <c r="H16" s="107"/>
      <c r="I16" s="107"/>
      <c r="J16" s="107"/>
      <c r="K16" s="107"/>
      <c r="L16" s="107"/>
      <c r="M16" s="107"/>
    </row>
    <row r="17" spans="1:13" s="16" customFormat="1" ht="23.25" customHeight="1" x14ac:dyDescent="0.2">
      <c r="A17" s="72"/>
      <c r="B17" s="106" t="s">
        <v>250</v>
      </c>
      <c r="C17" s="169" t="s">
        <v>381</v>
      </c>
      <c r="D17" s="171">
        <f>Particulates!M19</f>
        <v>126.6</v>
      </c>
      <c r="E17" s="171">
        <f>Particulates!L19</f>
        <v>1.5583333333333333</v>
      </c>
      <c r="F17" s="107"/>
      <c r="G17" s="107"/>
      <c r="H17" s="107"/>
      <c r="I17" s="107"/>
      <c r="J17" s="107"/>
      <c r="K17" s="107"/>
      <c r="L17" s="107"/>
      <c r="M17" s="107"/>
    </row>
    <row r="18" spans="1:13" s="16" customFormat="1" ht="23.25" customHeight="1" x14ac:dyDescent="0.2">
      <c r="A18" s="72" t="s">
        <v>255</v>
      </c>
      <c r="B18" s="106" t="s">
        <v>249</v>
      </c>
      <c r="C18" s="169" t="s">
        <v>382</v>
      </c>
      <c r="D18" s="171">
        <f>TOC!O19</f>
        <v>3.9</v>
      </c>
      <c r="E18" s="171">
        <f>TOC!N19</f>
        <v>1.9950000000000003</v>
      </c>
      <c r="F18" s="107"/>
      <c r="G18" s="107"/>
      <c r="H18" s="107"/>
      <c r="I18" s="107"/>
      <c r="J18" s="107"/>
      <c r="K18" s="107"/>
      <c r="L18" s="107"/>
      <c r="M18" s="107"/>
    </row>
    <row r="19" spans="1:13" s="16" customFormat="1" ht="23.25" customHeight="1" x14ac:dyDescent="0.2">
      <c r="A19" s="72"/>
      <c r="B19" s="106" t="s">
        <v>250</v>
      </c>
      <c r="C19" s="169" t="s">
        <v>254</v>
      </c>
      <c r="D19" s="171">
        <f>TOC!M19</f>
        <v>21.7</v>
      </c>
      <c r="E19" s="171">
        <f>TOC!L19</f>
        <v>1.9833333333333332</v>
      </c>
      <c r="F19" s="107"/>
      <c r="G19" s="107"/>
      <c r="H19" s="107"/>
      <c r="I19" s="107"/>
      <c r="J19" s="107"/>
      <c r="K19" s="107"/>
      <c r="L19" s="107"/>
      <c r="M19" s="107"/>
    </row>
    <row r="20" spans="1:13" s="16" customFormat="1" ht="23.25" customHeight="1" x14ac:dyDescent="0.2">
      <c r="A20" s="72" t="s">
        <v>251</v>
      </c>
      <c r="B20" s="106" t="s">
        <v>249</v>
      </c>
      <c r="C20" s="169" t="s">
        <v>382</v>
      </c>
      <c r="D20" s="171">
        <f>HCl!O19</f>
        <v>6.1</v>
      </c>
      <c r="E20" s="171">
        <f>HCl!N19</f>
        <v>1.1908333333333336</v>
      </c>
      <c r="F20" s="107"/>
      <c r="G20" s="107"/>
      <c r="H20" s="107"/>
      <c r="I20" s="107"/>
      <c r="J20" s="107"/>
      <c r="K20" s="107"/>
      <c r="L20" s="107"/>
      <c r="M20" s="107"/>
    </row>
    <row r="21" spans="1:13" s="16" customFormat="1" ht="23.25" customHeight="1" x14ac:dyDescent="0.2">
      <c r="A21" s="72"/>
      <c r="B21" s="106" t="s">
        <v>250</v>
      </c>
      <c r="C21" s="169" t="s">
        <v>383</v>
      </c>
      <c r="D21" s="171">
        <f>HCl!M19</f>
        <v>123.9</v>
      </c>
      <c r="E21" s="171">
        <f>HCl!L19</f>
        <v>1.2333333333333334</v>
      </c>
      <c r="F21" s="107"/>
      <c r="G21" s="107"/>
      <c r="H21" s="107"/>
      <c r="I21" s="107"/>
      <c r="J21" s="107"/>
      <c r="K21" s="107"/>
      <c r="L21" s="107"/>
      <c r="M21" s="107"/>
    </row>
    <row r="22" spans="1:13" s="16" customFormat="1" ht="23.25" customHeight="1" x14ac:dyDescent="0.2">
      <c r="A22" s="72" t="s">
        <v>140</v>
      </c>
      <c r="B22" s="106" t="s">
        <v>249</v>
      </c>
      <c r="C22" s="169" t="s">
        <v>384</v>
      </c>
      <c r="D22" s="171">
        <f>'SO2'!O19</f>
        <v>26.9</v>
      </c>
      <c r="E22" s="171">
        <f>'SO2'!N19</f>
        <v>8.3491666666666671</v>
      </c>
      <c r="F22" s="107"/>
      <c r="G22" s="107"/>
      <c r="H22" s="107"/>
      <c r="I22" s="107"/>
      <c r="J22" s="107"/>
      <c r="K22" s="107"/>
      <c r="L22" s="107"/>
      <c r="M22" s="107"/>
    </row>
    <row r="23" spans="1:13" s="16" customFormat="1" ht="23.25" customHeight="1" x14ac:dyDescent="0.2">
      <c r="A23" s="72"/>
      <c r="B23" s="106" t="s">
        <v>250</v>
      </c>
      <c r="C23" s="169" t="s">
        <v>378</v>
      </c>
      <c r="D23" s="171">
        <f>'SO2'!M19</f>
        <v>351</v>
      </c>
      <c r="E23" s="171">
        <f>'SO2'!L19</f>
        <v>8.3333333333333321</v>
      </c>
      <c r="F23" s="107"/>
      <c r="G23" s="107"/>
      <c r="H23" s="107"/>
      <c r="I23" s="107"/>
      <c r="J23" s="107"/>
      <c r="K23" s="107"/>
      <c r="L23" s="107"/>
      <c r="M23" s="107"/>
    </row>
    <row r="24" spans="1:13" s="16" customFormat="1" ht="23.25" customHeight="1" x14ac:dyDescent="0.2">
      <c r="A24" s="72" t="s">
        <v>186</v>
      </c>
      <c r="B24" s="106" t="s">
        <v>249</v>
      </c>
      <c r="C24" s="169" t="s">
        <v>384</v>
      </c>
      <c r="D24" s="171">
        <f>'CO &amp; CO 95% 10 min'!Q19</f>
        <v>61.9</v>
      </c>
      <c r="E24" s="171">
        <f>'CO &amp; CO 95% 10 min'!P19</f>
        <v>31.906666666666666</v>
      </c>
      <c r="F24" s="107"/>
      <c r="G24" s="107"/>
      <c r="H24" s="107"/>
      <c r="I24" s="107"/>
      <c r="J24" s="107"/>
      <c r="K24" s="107"/>
      <c r="L24" s="107"/>
      <c r="M24" s="107"/>
    </row>
    <row r="25" spans="1:13" s="16" customFormat="1" ht="23.25" customHeight="1" x14ac:dyDescent="0.2">
      <c r="A25" s="72"/>
      <c r="B25" s="107" t="s">
        <v>309</v>
      </c>
      <c r="C25" s="170" t="s">
        <v>375</v>
      </c>
      <c r="D25" s="172" t="s">
        <v>375</v>
      </c>
      <c r="E25" s="172" t="s">
        <v>375</v>
      </c>
      <c r="F25" s="107"/>
      <c r="G25" s="107"/>
      <c r="H25" s="107"/>
      <c r="I25" s="107"/>
      <c r="J25" s="107"/>
      <c r="K25" s="107"/>
      <c r="L25" s="107"/>
      <c r="M25" s="107"/>
    </row>
    <row r="26" spans="1:13" s="16" customFormat="1" ht="23.25" customHeight="1" x14ac:dyDescent="0.2">
      <c r="A26" s="72"/>
      <c r="B26" s="107" t="s">
        <v>318</v>
      </c>
      <c r="C26" s="107" t="s">
        <v>310</v>
      </c>
      <c r="D26" s="171">
        <f>'CO &amp; CO 95% 10 min'!O19</f>
        <v>1322.5</v>
      </c>
      <c r="E26" s="171">
        <f>'CO &amp; CO 95% 10 min'!M19</f>
        <v>104.00833333333334</v>
      </c>
      <c r="F26" s="107"/>
      <c r="G26" s="107"/>
      <c r="H26" s="107"/>
      <c r="I26" s="107"/>
      <c r="J26" s="107"/>
      <c r="K26" s="107"/>
      <c r="L26" s="107"/>
      <c r="M26" s="107"/>
    </row>
    <row r="27" spans="1:13" s="16" customFormat="1" ht="23.25" customHeight="1" x14ac:dyDescent="0.2">
      <c r="A27" s="140" t="s">
        <v>252</v>
      </c>
      <c r="B27" s="141" t="s">
        <v>249</v>
      </c>
      <c r="C27" s="141" t="s">
        <v>253</v>
      </c>
      <c r="D27" s="173">
        <f>'NH3'!O19</f>
        <v>3.2</v>
      </c>
      <c r="E27" s="173">
        <f>'NH3'!N19</f>
        <v>0.59250000000000014</v>
      </c>
      <c r="F27" s="142"/>
      <c r="G27" s="142"/>
      <c r="H27" s="142"/>
      <c r="I27" s="142"/>
      <c r="J27" s="142"/>
      <c r="K27" s="142"/>
      <c r="L27" s="142"/>
      <c r="M27" s="142"/>
    </row>
    <row r="28" spans="1:13" x14ac:dyDescent="0.2">
      <c r="A28" s="376" t="s">
        <v>311</v>
      </c>
      <c r="B28" s="377"/>
      <c r="C28" s="377"/>
      <c r="D28" s="377"/>
      <c r="E28" s="377"/>
      <c r="F28" s="377"/>
      <c r="G28" s="377"/>
      <c r="H28" s="377"/>
      <c r="I28" s="377"/>
      <c r="J28" s="377"/>
      <c r="K28" s="377"/>
      <c r="L28" s="377"/>
      <c r="M28" s="378"/>
    </row>
    <row r="29" spans="1:13" x14ac:dyDescent="0.2">
      <c r="A29" s="143" t="s">
        <v>208</v>
      </c>
      <c r="B29" s="144"/>
      <c r="C29" s="144"/>
      <c r="D29" s="144"/>
      <c r="E29" s="144"/>
      <c r="F29" s="144"/>
      <c r="G29" s="144"/>
      <c r="H29" s="144"/>
      <c r="I29" s="144"/>
      <c r="J29" s="144"/>
      <c r="K29" s="144"/>
      <c r="L29" s="144"/>
      <c r="M29" s="145"/>
    </row>
    <row r="30" spans="1:13" x14ac:dyDescent="0.2">
      <c r="A30" s="379"/>
      <c r="B30" s="379"/>
      <c r="C30" s="379"/>
      <c r="D30" s="379"/>
      <c r="E30" s="379"/>
      <c r="F30" s="379"/>
      <c r="G30" s="379"/>
      <c r="H30" s="379"/>
      <c r="I30" s="379"/>
      <c r="J30" s="379"/>
      <c r="K30" s="379"/>
      <c r="L30" s="379"/>
      <c r="M30" s="379"/>
    </row>
    <row r="31" spans="1:13" x14ac:dyDescent="0.2">
      <c r="A31" s="337"/>
      <c r="B31" s="337"/>
      <c r="C31" s="337"/>
      <c r="D31" s="337"/>
      <c r="E31" s="337"/>
      <c r="F31" s="337"/>
      <c r="G31" s="337"/>
      <c r="H31" s="337"/>
      <c r="I31" s="337"/>
      <c r="J31" s="337"/>
      <c r="K31" s="337"/>
      <c r="L31" s="337"/>
      <c r="M31" s="337"/>
    </row>
    <row r="68" spans="6:6" x14ac:dyDescent="0.2">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showGridLines="0" tabSelected="1" zoomScale="90" zoomScaleNormal="90" workbookViewId="0">
      <selection activeCell="S10" sqref="S10"/>
    </sheetView>
  </sheetViews>
  <sheetFormatPr defaultRowHeight="14.25" x14ac:dyDescent="0.2"/>
  <cols>
    <col min="1" max="1" width="14" style="3" customWidth="1"/>
    <col min="2" max="7" width="17" style="70"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JG Pears CHP Plant</v>
      </c>
      <c r="F1" s="2"/>
      <c r="G1" s="2"/>
    </row>
    <row r="3" spans="1:19" ht="15" x14ac:dyDescent="0.25">
      <c r="A3" s="114" t="s">
        <v>297</v>
      </c>
      <c r="D3" s="132" t="s">
        <v>295</v>
      </c>
      <c r="G3" s="136" t="s">
        <v>302</v>
      </c>
      <c r="J3" s="11" t="str">
        <f>+A3</f>
        <v>Monitoring of Hydrogen Chloride emissions</v>
      </c>
      <c r="L3" s="11"/>
      <c r="N3" s="11" t="s">
        <v>296</v>
      </c>
      <c r="Q3" s="135" t="s">
        <v>290</v>
      </c>
      <c r="R3" s="130"/>
      <c r="S3" s="130"/>
    </row>
    <row r="4" spans="1:19" ht="13.9" customHeight="1" x14ac:dyDescent="0.2">
      <c r="Q4" s="351" t="s">
        <v>300</v>
      </c>
      <c r="R4" s="351"/>
      <c r="S4" s="351"/>
    </row>
    <row r="5" spans="1:19" ht="17.25" x14ac:dyDescent="0.25">
      <c r="A5" s="122" t="s">
        <v>260</v>
      </c>
      <c r="B5" s="386" t="s">
        <v>258</v>
      </c>
      <c r="C5" s="386"/>
      <c r="D5" s="386"/>
      <c r="E5" s="386" t="s">
        <v>257</v>
      </c>
      <c r="F5" s="386"/>
      <c r="G5" s="386"/>
      <c r="J5" s="385"/>
      <c r="K5" s="385"/>
      <c r="L5" s="385"/>
      <c r="M5" s="385"/>
      <c r="N5" s="385"/>
      <c r="O5" s="385"/>
      <c r="Q5" s="351"/>
      <c r="R5" s="351"/>
      <c r="S5" s="351"/>
    </row>
    <row r="6" spans="1:19" s="112" customFormat="1" ht="37.5" customHeight="1" x14ac:dyDescent="0.25">
      <c r="A6" s="119">
        <f>+'Cover Page'!C39</f>
        <v>2022</v>
      </c>
      <c r="B6" s="108" t="s">
        <v>160</v>
      </c>
      <c r="C6" s="108" t="s">
        <v>161</v>
      </c>
      <c r="D6" s="108" t="s">
        <v>312</v>
      </c>
      <c r="E6" s="108" t="s">
        <v>163</v>
      </c>
      <c r="F6" s="108" t="s">
        <v>164</v>
      </c>
      <c r="G6" s="108" t="s">
        <v>313</v>
      </c>
      <c r="H6" s="113"/>
      <c r="J6" s="115">
        <f>+A6</f>
        <v>2022</v>
      </c>
      <c r="K6" s="115" t="s">
        <v>259</v>
      </c>
      <c r="L6" s="121" t="s">
        <v>161</v>
      </c>
      <c r="M6" s="121" t="s">
        <v>162</v>
      </c>
      <c r="N6" s="121" t="s">
        <v>164</v>
      </c>
      <c r="O6" s="121" t="s">
        <v>165</v>
      </c>
      <c r="Q6" s="351"/>
      <c r="R6" s="351"/>
      <c r="S6" s="351"/>
    </row>
    <row r="7" spans="1:19" ht="13.9" customHeight="1" x14ac:dyDescent="0.2">
      <c r="A7" s="120" t="s">
        <v>166</v>
      </c>
      <c r="B7" s="117">
        <v>90</v>
      </c>
      <c r="C7" s="118">
        <v>1.7</v>
      </c>
      <c r="D7" s="118">
        <v>123.9</v>
      </c>
      <c r="E7" s="117">
        <v>15</v>
      </c>
      <c r="F7" s="118">
        <v>1.45</v>
      </c>
      <c r="G7" s="118">
        <v>6.1</v>
      </c>
      <c r="J7" s="384" t="s">
        <v>110</v>
      </c>
      <c r="K7" s="120" t="s">
        <v>166</v>
      </c>
      <c r="L7" s="118">
        <f>C7</f>
        <v>1.7</v>
      </c>
      <c r="M7" s="118">
        <f>D7</f>
        <v>123.9</v>
      </c>
      <c r="N7" s="118">
        <f>F7</f>
        <v>1.45</v>
      </c>
      <c r="O7" s="118">
        <f>G7</f>
        <v>6.1</v>
      </c>
      <c r="Q7" s="351"/>
      <c r="R7" s="351"/>
      <c r="S7" s="351"/>
    </row>
    <row r="8" spans="1:19" x14ac:dyDescent="0.2">
      <c r="A8" s="120" t="s">
        <v>167</v>
      </c>
      <c r="B8" s="117">
        <v>90</v>
      </c>
      <c r="C8" s="118">
        <v>1.1000000000000001</v>
      </c>
      <c r="D8" s="118">
        <v>12.8</v>
      </c>
      <c r="E8" s="117">
        <v>15</v>
      </c>
      <c r="F8" s="118">
        <v>0.93</v>
      </c>
      <c r="G8" s="118">
        <v>2.2999999999999998</v>
      </c>
      <c r="J8" s="384"/>
      <c r="K8" s="120" t="s">
        <v>167</v>
      </c>
      <c r="L8" s="118">
        <f t="shared" ref="L8:L18" si="0">C8</f>
        <v>1.1000000000000001</v>
      </c>
      <c r="M8" s="118">
        <f t="shared" ref="M8:M18" si="1">D8</f>
        <v>12.8</v>
      </c>
      <c r="N8" s="118">
        <f t="shared" ref="N8:N13" si="2">F8</f>
        <v>0.93</v>
      </c>
      <c r="O8" s="118">
        <f t="shared" ref="O8:O18" si="3">G8</f>
        <v>2.2999999999999998</v>
      </c>
      <c r="Q8" s="351"/>
      <c r="R8" s="351"/>
      <c r="S8" s="351"/>
    </row>
    <row r="9" spans="1:19" ht="15" x14ac:dyDescent="0.25">
      <c r="A9" s="120" t="s">
        <v>168</v>
      </c>
      <c r="B9" s="117">
        <v>90</v>
      </c>
      <c r="C9" s="118">
        <v>1.1000000000000001</v>
      </c>
      <c r="D9" s="118">
        <v>3.1</v>
      </c>
      <c r="E9" s="117">
        <v>15</v>
      </c>
      <c r="F9" s="118">
        <v>1.1200000000000001</v>
      </c>
      <c r="G9" s="118">
        <v>2</v>
      </c>
      <c r="J9" s="384"/>
      <c r="K9" s="120" t="s">
        <v>168</v>
      </c>
      <c r="L9" s="118">
        <f t="shared" si="0"/>
        <v>1.1000000000000001</v>
      </c>
      <c r="M9" s="118">
        <f t="shared" si="1"/>
        <v>3.1</v>
      </c>
      <c r="N9" s="118">
        <f t="shared" si="2"/>
        <v>1.1200000000000001</v>
      </c>
      <c r="O9" s="118">
        <f t="shared" si="3"/>
        <v>2</v>
      </c>
      <c r="Q9" s="134" t="s">
        <v>301</v>
      </c>
    </row>
    <row r="10" spans="1:19" ht="13.9" customHeight="1" x14ac:dyDescent="0.2">
      <c r="A10" s="120" t="s">
        <v>169</v>
      </c>
      <c r="B10" s="117">
        <v>90</v>
      </c>
      <c r="C10" s="118">
        <v>1.1000000000000001</v>
      </c>
      <c r="D10" s="118">
        <v>2.8</v>
      </c>
      <c r="E10" s="117">
        <v>15</v>
      </c>
      <c r="F10" s="118">
        <v>1.08</v>
      </c>
      <c r="G10" s="118">
        <v>1.7</v>
      </c>
      <c r="J10" s="384"/>
      <c r="K10" s="120" t="s">
        <v>169</v>
      </c>
      <c r="L10" s="118">
        <f t="shared" si="0"/>
        <v>1.1000000000000001</v>
      </c>
      <c r="M10" s="118">
        <f t="shared" si="1"/>
        <v>2.8</v>
      </c>
      <c r="N10" s="118">
        <f t="shared" si="2"/>
        <v>1.08</v>
      </c>
      <c r="O10" s="118">
        <f t="shared" si="3"/>
        <v>1.7</v>
      </c>
      <c r="Q10" s="383" t="s">
        <v>319</v>
      </c>
      <c r="R10" s="383"/>
      <c r="S10" s="383"/>
    </row>
    <row r="11" spans="1:19" x14ac:dyDescent="0.2">
      <c r="A11" s="120" t="s">
        <v>170</v>
      </c>
      <c r="B11" s="117">
        <v>90</v>
      </c>
      <c r="C11" s="118">
        <v>0.9</v>
      </c>
      <c r="D11" s="118">
        <v>1.3</v>
      </c>
      <c r="E11" s="117">
        <v>15</v>
      </c>
      <c r="F11" s="118">
        <v>0.9</v>
      </c>
      <c r="G11" s="118">
        <v>1</v>
      </c>
      <c r="J11" s="384"/>
      <c r="K11" s="120" t="s">
        <v>170</v>
      </c>
      <c r="L11" s="118">
        <f t="shared" si="0"/>
        <v>0.9</v>
      </c>
      <c r="M11" s="118">
        <f t="shared" si="1"/>
        <v>1.3</v>
      </c>
      <c r="N11" s="118">
        <f t="shared" si="2"/>
        <v>0.9</v>
      </c>
      <c r="O11" s="118">
        <f t="shared" si="3"/>
        <v>1</v>
      </c>
      <c r="Q11" s="383"/>
      <c r="R11" s="383"/>
      <c r="S11" s="383"/>
    </row>
    <row r="12" spans="1:19" x14ac:dyDescent="0.2">
      <c r="A12" s="120" t="s">
        <v>171</v>
      </c>
      <c r="B12" s="117">
        <v>90</v>
      </c>
      <c r="C12" s="118">
        <v>0.8</v>
      </c>
      <c r="D12" s="118">
        <v>1.6</v>
      </c>
      <c r="E12" s="117">
        <v>15</v>
      </c>
      <c r="F12" s="118">
        <v>0.81</v>
      </c>
      <c r="G12" s="118">
        <v>1</v>
      </c>
      <c r="J12" s="384"/>
      <c r="K12" s="120" t="s">
        <v>171</v>
      </c>
      <c r="L12" s="118">
        <f t="shared" si="0"/>
        <v>0.8</v>
      </c>
      <c r="M12" s="118">
        <f t="shared" si="1"/>
        <v>1.6</v>
      </c>
      <c r="N12" s="118">
        <f t="shared" si="2"/>
        <v>0.81</v>
      </c>
      <c r="O12" s="118">
        <f t="shared" si="3"/>
        <v>1</v>
      </c>
      <c r="Q12" s="383"/>
      <c r="R12" s="383"/>
      <c r="S12" s="383"/>
    </row>
    <row r="13" spans="1:19" ht="13.9" customHeight="1" x14ac:dyDescent="0.2">
      <c r="A13" s="120" t="s">
        <v>172</v>
      </c>
      <c r="B13" s="117">
        <v>90</v>
      </c>
      <c r="C13" s="118">
        <v>1.3</v>
      </c>
      <c r="D13" s="118">
        <v>2.9</v>
      </c>
      <c r="E13" s="117">
        <v>15</v>
      </c>
      <c r="F13" s="118">
        <v>1.24</v>
      </c>
      <c r="G13" s="118">
        <v>2</v>
      </c>
      <c r="J13" s="384"/>
      <c r="K13" s="120" t="s">
        <v>172</v>
      </c>
      <c r="L13" s="118">
        <f t="shared" si="0"/>
        <v>1.3</v>
      </c>
      <c r="M13" s="118">
        <f t="shared" si="1"/>
        <v>2.9</v>
      </c>
      <c r="N13" s="118">
        <f t="shared" si="2"/>
        <v>1.24</v>
      </c>
      <c r="O13" s="118">
        <f t="shared" si="3"/>
        <v>2</v>
      </c>
      <c r="Q13" s="383" t="s">
        <v>325</v>
      </c>
      <c r="R13" s="383"/>
      <c r="S13" s="383"/>
    </row>
    <row r="14" spans="1:19" x14ac:dyDescent="0.2">
      <c r="A14" s="120" t="s">
        <v>173</v>
      </c>
      <c r="B14" s="117">
        <v>90</v>
      </c>
      <c r="C14" s="118">
        <v>1.3</v>
      </c>
      <c r="D14" s="118">
        <v>2.5</v>
      </c>
      <c r="E14" s="117">
        <v>15</v>
      </c>
      <c r="F14" s="118">
        <v>1.28</v>
      </c>
      <c r="G14" s="118">
        <v>1.8</v>
      </c>
      <c r="J14" s="384"/>
      <c r="K14" s="120" t="s">
        <v>173</v>
      </c>
      <c r="L14" s="118">
        <f t="shared" si="0"/>
        <v>1.3</v>
      </c>
      <c r="M14" s="118">
        <f t="shared" si="1"/>
        <v>2.5</v>
      </c>
      <c r="N14" s="118">
        <v>1.28</v>
      </c>
      <c r="O14" s="118">
        <f t="shared" si="3"/>
        <v>1.8</v>
      </c>
      <c r="Q14" s="383"/>
      <c r="R14" s="383"/>
      <c r="S14" s="383"/>
    </row>
    <row r="15" spans="1:19" x14ac:dyDescent="0.2">
      <c r="A15" s="120" t="s">
        <v>174</v>
      </c>
      <c r="B15" s="117">
        <v>90</v>
      </c>
      <c r="C15" s="118">
        <v>2.5</v>
      </c>
      <c r="D15" s="118">
        <v>6.2</v>
      </c>
      <c r="E15" s="117">
        <v>15</v>
      </c>
      <c r="F15" s="118">
        <v>2.48</v>
      </c>
      <c r="G15" s="118">
        <v>4.5999999999999996</v>
      </c>
      <c r="J15" s="384"/>
      <c r="K15" s="120" t="s">
        <v>174</v>
      </c>
      <c r="L15" s="118">
        <f t="shared" si="0"/>
        <v>2.5</v>
      </c>
      <c r="M15" s="118">
        <f t="shared" si="1"/>
        <v>6.2</v>
      </c>
      <c r="N15" s="118">
        <v>2.48</v>
      </c>
      <c r="O15" s="118">
        <f t="shared" si="3"/>
        <v>4.5999999999999996</v>
      </c>
      <c r="Q15" s="383"/>
      <c r="R15" s="383"/>
      <c r="S15" s="383"/>
    </row>
    <row r="16" spans="1:19" x14ac:dyDescent="0.2">
      <c r="A16" s="120" t="s">
        <v>175</v>
      </c>
      <c r="B16" s="117">
        <v>90</v>
      </c>
      <c r="C16" s="118">
        <v>1</v>
      </c>
      <c r="D16" s="118">
        <v>2.2000000000000002</v>
      </c>
      <c r="E16" s="117">
        <v>15</v>
      </c>
      <c r="F16" s="118">
        <v>1.04</v>
      </c>
      <c r="G16" s="118">
        <v>1.8</v>
      </c>
      <c r="J16" s="384"/>
      <c r="K16" s="120" t="s">
        <v>175</v>
      </c>
      <c r="L16" s="118">
        <f t="shared" si="0"/>
        <v>1</v>
      </c>
      <c r="M16" s="118">
        <f t="shared" si="1"/>
        <v>2.2000000000000002</v>
      </c>
      <c r="N16" s="118">
        <v>1.04</v>
      </c>
      <c r="O16" s="118">
        <f t="shared" si="3"/>
        <v>1.8</v>
      </c>
      <c r="Q16" s="383"/>
      <c r="R16" s="383"/>
      <c r="S16" s="383"/>
    </row>
    <row r="17" spans="1:15" x14ac:dyDescent="0.2">
      <c r="A17" s="120" t="s">
        <v>176</v>
      </c>
      <c r="B17" s="117">
        <v>90</v>
      </c>
      <c r="C17" s="118">
        <v>1</v>
      </c>
      <c r="D17" s="118">
        <v>6.8</v>
      </c>
      <c r="E17" s="117">
        <v>15</v>
      </c>
      <c r="F17" s="118">
        <v>1</v>
      </c>
      <c r="G17" s="118">
        <v>1.4</v>
      </c>
      <c r="J17" s="384"/>
      <c r="K17" s="120" t="s">
        <v>176</v>
      </c>
      <c r="L17" s="118">
        <f t="shared" si="0"/>
        <v>1</v>
      </c>
      <c r="M17" s="118">
        <f t="shared" si="1"/>
        <v>6.8</v>
      </c>
      <c r="N17" s="118">
        <v>1</v>
      </c>
      <c r="O17" s="118">
        <f t="shared" si="3"/>
        <v>1.4</v>
      </c>
    </row>
    <row r="18" spans="1:15" x14ac:dyDescent="0.2">
      <c r="A18" s="120" t="s">
        <v>177</v>
      </c>
      <c r="B18" s="117">
        <v>90</v>
      </c>
      <c r="C18" s="118">
        <v>1</v>
      </c>
      <c r="D18" s="118">
        <v>5</v>
      </c>
      <c r="E18" s="117">
        <v>15</v>
      </c>
      <c r="F18" s="118">
        <v>0.96</v>
      </c>
      <c r="G18" s="118">
        <v>1.5</v>
      </c>
      <c r="J18" s="384"/>
      <c r="K18" s="120" t="s">
        <v>177</v>
      </c>
      <c r="L18" s="118">
        <f t="shared" si="0"/>
        <v>1</v>
      </c>
      <c r="M18" s="118">
        <f t="shared" si="1"/>
        <v>5</v>
      </c>
      <c r="N18" s="118">
        <v>0.96</v>
      </c>
      <c r="O18" s="118">
        <f t="shared" si="3"/>
        <v>1.5</v>
      </c>
    </row>
    <row r="19" spans="1:15" x14ac:dyDescent="0.2">
      <c r="J19" s="384"/>
      <c r="K19" s="116" t="s">
        <v>261</v>
      </c>
      <c r="L19" s="168">
        <f>AVERAGE(L7:L18)</f>
        <v>1.2333333333333334</v>
      </c>
      <c r="M19" s="168">
        <f>MAX(M7:M18)</f>
        <v>123.9</v>
      </c>
      <c r="N19" s="168">
        <f>AVERAGE(N7:N18)</f>
        <v>1.1908333333333336</v>
      </c>
      <c r="O19" s="168">
        <f>MAX(O7:O18)</f>
        <v>6.1</v>
      </c>
    </row>
    <row r="21" spans="1:15" ht="30" x14ac:dyDescent="0.2">
      <c r="J21" s="115">
        <f>+A6</f>
        <v>2022</v>
      </c>
      <c r="K21" s="115" t="s">
        <v>259</v>
      </c>
      <c r="L21" s="121" t="s">
        <v>161</v>
      </c>
      <c r="M21" s="121" t="s">
        <v>162</v>
      </c>
      <c r="N21" s="121" t="s">
        <v>164</v>
      </c>
      <c r="O21" s="121" t="s">
        <v>165</v>
      </c>
    </row>
    <row r="22" spans="1:15" x14ac:dyDescent="0.2">
      <c r="J22" s="384" t="s">
        <v>111</v>
      </c>
      <c r="K22" s="120" t="s">
        <v>166</v>
      </c>
      <c r="L22" s="118"/>
      <c r="M22" s="118"/>
      <c r="N22" s="118"/>
      <c r="O22" s="118"/>
    </row>
    <row r="23" spans="1:15" x14ac:dyDescent="0.2">
      <c r="J23" s="384"/>
      <c r="K23" s="120" t="s">
        <v>167</v>
      </c>
      <c r="L23" s="118"/>
      <c r="M23" s="118"/>
      <c r="N23" s="118"/>
      <c r="O23" s="118"/>
    </row>
    <row r="24" spans="1:15" x14ac:dyDescent="0.2">
      <c r="J24" s="384"/>
      <c r="K24" s="120" t="s">
        <v>168</v>
      </c>
      <c r="L24" s="118"/>
      <c r="M24" s="118"/>
      <c r="N24" s="118"/>
      <c r="O24" s="118"/>
    </row>
    <row r="25" spans="1:15" x14ac:dyDescent="0.2">
      <c r="J25" s="384"/>
      <c r="K25" s="120" t="s">
        <v>169</v>
      </c>
      <c r="L25" s="118"/>
      <c r="M25" s="118"/>
      <c r="N25" s="118"/>
      <c r="O25" s="118"/>
    </row>
    <row r="26" spans="1:15" x14ac:dyDescent="0.2">
      <c r="J26" s="384"/>
      <c r="K26" s="120" t="s">
        <v>170</v>
      </c>
      <c r="L26" s="118"/>
      <c r="M26" s="118"/>
      <c r="N26" s="118"/>
      <c r="O26" s="118"/>
    </row>
    <row r="27" spans="1:15" x14ac:dyDescent="0.2">
      <c r="J27" s="384"/>
      <c r="K27" s="120" t="s">
        <v>171</v>
      </c>
      <c r="L27" s="118"/>
      <c r="M27" s="118"/>
      <c r="N27" s="118"/>
      <c r="O27" s="118"/>
    </row>
    <row r="28" spans="1:15" x14ac:dyDescent="0.2">
      <c r="J28" s="384"/>
      <c r="K28" s="120" t="s">
        <v>172</v>
      </c>
      <c r="L28" s="118"/>
      <c r="M28" s="118"/>
      <c r="N28" s="118"/>
      <c r="O28" s="118"/>
    </row>
    <row r="29" spans="1:15" x14ac:dyDescent="0.2">
      <c r="J29" s="384"/>
      <c r="K29" s="120" t="s">
        <v>173</v>
      </c>
      <c r="L29" s="118"/>
      <c r="M29" s="118"/>
      <c r="N29" s="118"/>
      <c r="O29" s="118"/>
    </row>
    <row r="30" spans="1:15" x14ac:dyDescent="0.2">
      <c r="J30" s="384"/>
      <c r="K30" s="120" t="s">
        <v>174</v>
      </c>
      <c r="L30" s="118"/>
      <c r="M30" s="118"/>
      <c r="N30" s="118"/>
      <c r="O30" s="118"/>
    </row>
    <row r="31" spans="1:15" x14ac:dyDescent="0.2">
      <c r="J31" s="384"/>
      <c r="K31" s="120" t="s">
        <v>175</v>
      </c>
      <c r="L31" s="118"/>
      <c r="M31" s="118"/>
      <c r="N31" s="118"/>
      <c r="O31" s="118"/>
    </row>
    <row r="32" spans="1:15" x14ac:dyDescent="0.2">
      <c r="J32" s="384"/>
      <c r="K32" s="120" t="s">
        <v>176</v>
      </c>
      <c r="L32" s="118"/>
      <c r="M32" s="118"/>
      <c r="N32" s="118"/>
      <c r="O32" s="118"/>
    </row>
    <row r="33" spans="1:15" x14ac:dyDescent="0.2">
      <c r="J33" s="384"/>
      <c r="K33" s="120" t="s">
        <v>177</v>
      </c>
      <c r="L33" s="118"/>
      <c r="M33" s="118"/>
      <c r="N33" s="118"/>
      <c r="O33" s="118"/>
    </row>
    <row r="34" spans="1:15" x14ac:dyDescent="0.2">
      <c r="J34" s="384"/>
      <c r="K34" s="116" t="s">
        <v>261</v>
      </c>
      <c r="L34" s="116" t="e">
        <f>AVERAGE(L22:L33)</f>
        <v>#DIV/0!</v>
      </c>
      <c r="M34" s="116">
        <f>MAX(M22:M33)</f>
        <v>0</v>
      </c>
      <c r="N34" s="116" t="e">
        <f>AVERAGE(N22:N33)</f>
        <v>#DIV/0!</v>
      </c>
      <c r="O34" s="116">
        <f>MAX(O22:O33)</f>
        <v>0</v>
      </c>
    </row>
    <row r="36" spans="1:15" ht="30" x14ac:dyDescent="0.2">
      <c r="J36" s="115">
        <f>+A6</f>
        <v>2022</v>
      </c>
      <c r="K36" s="115" t="s">
        <v>259</v>
      </c>
      <c r="L36" s="121" t="s">
        <v>161</v>
      </c>
      <c r="M36" s="121" t="s">
        <v>162</v>
      </c>
      <c r="N36" s="121" t="s">
        <v>164</v>
      </c>
      <c r="O36" s="121" t="s">
        <v>165</v>
      </c>
    </row>
    <row r="37" spans="1:15" x14ac:dyDescent="0.2">
      <c r="J37" s="384" t="s">
        <v>112</v>
      </c>
      <c r="K37" s="120" t="s">
        <v>166</v>
      </c>
      <c r="L37" s="118"/>
      <c r="M37" s="118"/>
      <c r="N37" s="118"/>
      <c r="O37" s="118"/>
    </row>
    <row r="38" spans="1:15" x14ac:dyDescent="0.2">
      <c r="J38" s="384"/>
      <c r="K38" s="120" t="s">
        <v>167</v>
      </c>
      <c r="L38" s="118"/>
      <c r="M38" s="118"/>
      <c r="N38" s="118"/>
      <c r="O38" s="118"/>
    </row>
    <row r="39" spans="1:15" x14ac:dyDescent="0.2">
      <c r="J39" s="384"/>
      <c r="K39" s="120" t="s">
        <v>168</v>
      </c>
      <c r="L39" s="118"/>
      <c r="M39" s="118"/>
      <c r="N39" s="118"/>
      <c r="O39" s="118"/>
    </row>
    <row r="40" spans="1:15" x14ac:dyDescent="0.2">
      <c r="J40" s="384"/>
      <c r="K40" s="120" t="s">
        <v>169</v>
      </c>
      <c r="L40" s="118"/>
      <c r="M40" s="118"/>
      <c r="N40" s="118"/>
      <c r="O40" s="118"/>
    </row>
    <row r="41" spans="1:15" x14ac:dyDescent="0.2">
      <c r="J41" s="384"/>
      <c r="K41" s="120" t="s">
        <v>170</v>
      </c>
      <c r="L41" s="118"/>
      <c r="M41" s="118"/>
      <c r="N41" s="118"/>
      <c r="O41" s="118"/>
    </row>
    <row r="42" spans="1:15" x14ac:dyDescent="0.2">
      <c r="J42" s="384"/>
      <c r="K42" s="120" t="s">
        <v>171</v>
      </c>
      <c r="L42" s="118"/>
      <c r="M42" s="118"/>
      <c r="N42" s="118"/>
      <c r="O42" s="118"/>
    </row>
    <row r="43" spans="1:15" x14ac:dyDescent="0.2">
      <c r="J43" s="384"/>
      <c r="K43" s="120" t="s">
        <v>172</v>
      </c>
      <c r="L43" s="118"/>
      <c r="M43" s="118"/>
      <c r="N43" s="118"/>
      <c r="O43" s="118"/>
    </row>
    <row r="44" spans="1:15" x14ac:dyDescent="0.2">
      <c r="J44" s="384"/>
      <c r="K44" s="120" t="s">
        <v>173</v>
      </c>
      <c r="L44" s="118"/>
      <c r="M44" s="118"/>
      <c r="N44" s="118"/>
      <c r="O44" s="118"/>
    </row>
    <row r="45" spans="1:15" x14ac:dyDescent="0.2">
      <c r="J45" s="384"/>
      <c r="K45" s="120" t="s">
        <v>174</v>
      </c>
      <c r="L45" s="118"/>
      <c r="M45" s="118"/>
      <c r="N45" s="118"/>
      <c r="O45" s="118"/>
    </row>
    <row r="46" spans="1:15" x14ac:dyDescent="0.2">
      <c r="J46" s="384"/>
      <c r="K46" s="120" t="s">
        <v>175</v>
      </c>
      <c r="L46" s="118"/>
      <c r="M46" s="118"/>
      <c r="N46" s="118"/>
      <c r="O46" s="118"/>
    </row>
    <row r="47" spans="1:15" x14ac:dyDescent="0.2">
      <c r="J47" s="384"/>
      <c r="K47" s="120" t="s">
        <v>176</v>
      </c>
      <c r="L47" s="118"/>
      <c r="M47" s="118"/>
      <c r="N47" s="118"/>
      <c r="O47" s="118"/>
    </row>
    <row r="48" spans="1:15" ht="15" x14ac:dyDescent="0.2">
      <c r="A48" s="396" t="s">
        <v>208</v>
      </c>
      <c r="B48" s="397"/>
      <c r="C48" s="397"/>
      <c r="D48" s="397"/>
      <c r="E48" s="397"/>
      <c r="F48" s="397"/>
      <c r="G48" s="398"/>
      <c r="J48" s="384"/>
      <c r="K48" s="120" t="s">
        <v>177</v>
      </c>
      <c r="L48" s="118"/>
      <c r="M48" s="118"/>
      <c r="N48" s="118"/>
      <c r="O48" s="118"/>
    </row>
    <row r="49" spans="1:15" x14ac:dyDescent="0.2">
      <c r="A49" s="387"/>
      <c r="B49" s="388"/>
      <c r="C49" s="388"/>
      <c r="D49" s="388"/>
      <c r="E49" s="388"/>
      <c r="F49" s="388"/>
      <c r="G49" s="389"/>
      <c r="J49" s="384"/>
      <c r="K49" s="116" t="s">
        <v>261</v>
      </c>
      <c r="L49" s="116" t="e">
        <f>AVERAGE(L37:L48)</f>
        <v>#DIV/0!</v>
      </c>
      <c r="M49" s="116">
        <f>MAX(M37:M48)</f>
        <v>0</v>
      </c>
      <c r="N49" s="116" t="e">
        <f>AVERAGE(N37:N48)</f>
        <v>#DIV/0!</v>
      </c>
      <c r="O49" s="116">
        <f>MAX(O37:O48)</f>
        <v>0</v>
      </c>
    </row>
    <row r="50" spans="1:15" x14ac:dyDescent="0.2">
      <c r="A50" s="390"/>
      <c r="B50" s="391"/>
      <c r="C50" s="391"/>
      <c r="D50" s="391"/>
      <c r="E50" s="391"/>
      <c r="F50" s="391"/>
      <c r="G50" s="392"/>
    </row>
    <row r="51" spans="1:15" ht="30" x14ac:dyDescent="0.2">
      <c r="A51" s="390"/>
      <c r="B51" s="391"/>
      <c r="C51" s="391"/>
      <c r="D51" s="391"/>
      <c r="E51" s="391"/>
      <c r="F51" s="391"/>
      <c r="G51" s="392"/>
      <c r="J51" s="115">
        <f>+A6</f>
        <v>2022</v>
      </c>
      <c r="K51" s="115" t="s">
        <v>259</v>
      </c>
      <c r="L51" s="121" t="s">
        <v>161</v>
      </c>
      <c r="M51" s="121" t="s">
        <v>162</v>
      </c>
      <c r="N51" s="121" t="s">
        <v>164</v>
      </c>
      <c r="O51" s="121" t="s">
        <v>165</v>
      </c>
    </row>
    <row r="52" spans="1:15" x14ac:dyDescent="0.2">
      <c r="A52" s="393"/>
      <c r="B52" s="394"/>
      <c r="C52" s="394"/>
      <c r="D52" s="394"/>
      <c r="E52" s="394"/>
      <c r="F52" s="394"/>
      <c r="G52" s="395"/>
      <c r="J52" s="384" t="s">
        <v>113</v>
      </c>
      <c r="K52" s="120" t="s">
        <v>166</v>
      </c>
      <c r="L52" s="118"/>
      <c r="M52" s="118"/>
      <c r="N52" s="118"/>
      <c r="O52" s="118"/>
    </row>
    <row r="53" spans="1:15" x14ac:dyDescent="0.2">
      <c r="J53" s="384"/>
      <c r="K53" s="120" t="s">
        <v>167</v>
      </c>
      <c r="L53" s="118"/>
      <c r="M53" s="118"/>
      <c r="N53" s="118"/>
      <c r="O53" s="118"/>
    </row>
    <row r="54" spans="1:15" x14ac:dyDescent="0.2">
      <c r="J54" s="384"/>
      <c r="K54" s="120" t="s">
        <v>168</v>
      </c>
      <c r="L54" s="118"/>
      <c r="M54" s="118"/>
      <c r="N54" s="118"/>
      <c r="O54" s="118"/>
    </row>
    <row r="55" spans="1:15" x14ac:dyDescent="0.2">
      <c r="J55" s="384"/>
      <c r="K55" s="120" t="s">
        <v>169</v>
      </c>
      <c r="L55" s="118"/>
      <c r="M55" s="118"/>
      <c r="N55" s="118"/>
      <c r="O55" s="118"/>
    </row>
    <row r="56" spans="1:15" x14ac:dyDescent="0.2">
      <c r="J56" s="384"/>
      <c r="K56" s="120" t="s">
        <v>170</v>
      </c>
      <c r="L56" s="118"/>
      <c r="M56" s="118"/>
      <c r="N56" s="118"/>
      <c r="O56" s="118"/>
    </row>
    <row r="57" spans="1:15" x14ac:dyDescent="0.2">
      <c r="J57" s="384"/>
      <c r="K57" s="120" t="s">
        <v>171</v>
      </c>
      <c r="L57" s="118"/>
      <c r="M57" s="118"/>
      <c r="N57" s="118"/>
      <c r="O57" s="118"/>
    </row>
    <row r="58" spans="1:15" x14ac:dyDescent="0.2">
      <c r="J58" s="384"/>
      <c r="K58" s="120" t="s">
        <v>172</v>
      </c>
      <c r="L58" s="118"/>
      <c r="M58" s="118"/>
      <c r="N58" s="118"/>
      <c r="O58" s="118"/>
    </row>
    <row r="59" spans="1:15" x14ac:dyDescent="0.2">
      <c r="J59" s="384"/>
      <c r="K59" s="120" t="s">
        <v>173</v>
      </c>
      <c r="L59" s="118"/>
      <c r="M59" s="118"/>
      <c r="N59" s="118"/>
      <c r="O59" s="118"/>
    </row>
    <row r="60" spans="1:15" x14ac:dyDescent="0.2">
      <c r="J60" s="384"/>
      <c r="K60" s="120" t="s">
        <v>174</v>
      </c>
      <c r="L60" s="118"/>
      <c r="M60" s="118"/>
      <c r="N60" s="118"/>
      <c r="O60" s="118"/>
    </row>
    <row r="61" spans="1:15" x14ac:dyDescent="0.2">
      <c r="J61" s="384"/>
      <c r="K61" s="120" t="s">
        <v>175</v>
      </c>
      <c r="L61" s="118"/>
      <c r="M61" s="118"/>
      <c r="N61" s="118"/>
      <c r="O61" s="118"/>
    </row>
    <row r="62" spans="1:15" x14ac:dyDescent="0.2">
      <c r="J62" s="384"/>
      <c r="K62" s="120" t="s">
        <v>176</v>
      </c>
      <c r="L62" s="118"/>
      <c r="M62" s="118"/>
      <c r="N62" s="118"/>
      <c r="O62" s="118"/>
    </row>
    <row r="63" spans="1:15" x14ac:dyDescent="0.2">
      <c r="J63" s="384"/>
      <c r="K63" s="120" t="s">
        <v>177</v>
      </c>
      <c r="L63" s="118"/>
      <c r="M63" s="118"/>
      <c r="N63" s="118"/>
      <c r="O63" s="118"/>
    </row>
    <row r="64" spans="1:15" x14ac:dyDescent="0.2">
      <c r="J64" s="384"/>
      <c r="K64" s="116" t="s">
        <v>261</v>
      </c>
      <c r="L64" s="116" t="e">
        <f>AVERAGE(L52:L63)</f>
        <v>#DIV/0!</v>
      </c>
      <c r="M64" s="116">
        <f>MAX(M52:M63)</f>
        <v>0</v>
      </c>
      <c r="N64" s="116" t="e">
        <f>AVERAGE(N52:N63)</f>
        <v>#DIV/0!</v>
      </c>
      <c r="O64" s="116">
        <f>MAX(O52:O63)</f>
        <v>0</v>
      </c>
    </row>
    <row r="66" spans="10:15" ht="30" x14ac:dyDescent="0.2">
      <c r="J66" s="115">
        <f>+A6</f>
        <v>2022</v>
      </c>
      <c r="K66" s="115" t="s">
        <v>259</v>
      </c>
      <c r="L66" s="121" t="s">
        <v>161</v>
      </c>
      <c r="M66" s="121" t="s">
        <v>162</v>
      </c>
      <c r="N66" s="121" t="s">
        <v>164</v>
      </c>
      <c r="O66" s="121" t="s">
        <v>165</v>
      </c>
    </row>
    <row r="67" spans="10:15" x14ac:dyDescent="0.2">
      <c r="J67" s="384" t="s">
        <v>114</v>
      </c>
      <c r="K67" s="120" t="s">
        <v>166</v>
      </c>
      <c r="L67" s="118"/>
      <c r="M67" s="118"/>
      <c r="N67" s="118"/>
      <c r="O67" s="118"/>
    </row>
    <row r="68" spans="10:15" x14ac:dyDescent="0.2">
      <c r="J68" s="384"/>
      <c r="K68" s="120" t="s">
        <v>167</v>
      </c>
      <c r="L68" s="118"/>
      <c r="M68" s="118"/>
      <c r="N68" s="118"/>
      <c r="O68" s="118"/>
    </row>
    <row r="69" spans="10:15" x14ac:dyDescent="0.2">
      <c r="J69" s="384"/>
      <c r="K69" s="120" t="s">
        <v>168</v>
      </c>
      <c r="L69" s="118"/>
      <c r="M69" s="118"/>
      <c r="N69" s="118"/>
      <c r="O69" s="118"/>
    </row>
    <row r="70" spans="10:15" x14ac:dyDescent="0.2">
      <c r="J70" s="384"/>
      <c r="K70" s="120" t="s">
        <v>169</v>
      </c>
      <c r="L70" s="118"/>
      <c r="M70" s="118"/>
      <c r="N70" s="118"/>
      <c r="O70" s="118"/>
    </row>
    <row r="71" spans="10:15" x14ac:dyDescent="0.2">
      <c r="J71" s="384"/>
      <c r="K71" s="120" t="s">
        <v>170</v>
      </c>
      <c r="L71" s="118"/>
      <c r="M71" s="118"/>
      <c r="N71" s="118"/>
      <c r="O71" s="118"/>
    </row>
    <row r="72" spans="10:15" x14ac:dyDescent="0.2">
      <c r="J72" s="384"/>
      <c r="K72" s="120" t="s">
        <v>171</v>
      </c>
      <c r="L72" s="118"/>
      <c r="M72" s="118"/>
      <c r="N72" s="118"/>
      <c r="O72" s="118"/>
    </row>
    <row r="73" spans="10:15" x14ac:dyDescent="0.2">
      <c r="J73" s="384"/>
      <c r="K73" s="120" t="s">
        <v>172</v>
      </c>
      <c r="L73" s="118"/>
      <c r="M73" s="118"/>
      <c r="N73" s="118"/>
      <c r="O73" s="118"/>
    </row>
    <row r="74" spans="10:15" x14ac:dyDescent="0.2">
      <c r="J74" s="384"/>
      <c r="K74" s="120" t="s">
        <v>173</v>
      </c>
      <c r="L74" s="118"/>
      <c r="M74" s="118"/>
      <c r="N74" s="118"/>
      <c r="O74" s="118"/>
    </row>
    <row r="75" spans="10:15" x14ac:dyDescent="0.2">
      <c r="J75" s="384"/>
      <c r="K75" s="120" t="s">
        <v>174</v>
      </c>
      <c r="L75" s="118"/>
      <c r="M75" s="118"/>
      <c r="N75" s="118"/>
      <c r="O75" s="118"/>
    </row>
    <row r="76" spans="10:15" x14ac:dyDescent="0.2">
      <c r="J76" s="384"/>
      <c r="K76" s="120" t="s">
        <v>175</v>
      </c>
      <c r="L76" s="118"/>
      <c r="M76" s="118"/>
      <c r="N76" s="118"/>
      <c r="O76" s="118"/>
    </row>
    <row r="77" spans="10:15" x14ac:dyDescent="0.2">
      <c r="J77" s="384"/>
      <c r="K77" s="120" t="s">
        <v>176</v>
      </c>
      <c r="L77" s="118"/>
      <c r="M77" s="118"/>
      <c r="N77" s="118"/>
      <c r="O77" s="118"/>
    </row>
    <row r="78" spans="10:15" x14ac:dyDescent="0.2">
      <c r="J78" s="384"/>
      <c r="K78" s="120" t="s">
        <v>177</v>
      </c>
      <c r="L78" s="118"/>
      <c r="M78" s="118"/>
      <c r="N78" s="118"/>
      <c r="O78" s="118"/>
    </row>
    <row r="79" spans="10:15" x14ac:dyDescent="0.2">
      <c r="J79" s="384"/>
      <c r="K79" s="116" t="s">
        <v>261</v>
      </c>
      <c r="L79" s="116" t="e">
        <f>AVERAGE(L67:L78)</f>
        <v>#DIV/0!</v>
      </c>
      <c r="M79" s="116">
        <f>MAX(M67:M78)</f>
        <v>0</v>
      </c>
      <c r="N79" s="116" t="e">
        <f>AVERAGE(N67:N78)</f>
        <v>#DIV/0!</v>
      </c>
      <c r="O79" s="116">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showGridLines="0" tabSelected="1" topLeftCell="A3" zoomScale="80" zoomScaleNormal="80" workbookViewId="0">
      <selection activeCell="S10" sqref="S10"/>
    </sheetView>
  </sheetViews>
  <sheetFormatPr defaultRowHeight="14.25" x14ac:dyDescent="0.2"/>
  <cols>
    <col min="1" max="1" width="14" style="3" customWidth="1"/>
    <col min="2" max="4" width="17" style="70" customWidth="1"/>
    <col min="5" max="5" width="14.7109375" style="70" customWidth="1"/>
    <col min="6" max="7" width="17" style="70"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JG Pears CHP Plant</v>
      </c>
      <c r="F1" s="2"/>
      <c r="G1" s="2"/>
    </row>
    <row r="3" spans="1:19" ht="15" x14ac:dyDescent="0.25">
      <c r="A3" s="114" t="s">
        <v>262</v>
      </c>
      <c r="D3" s="132" t="s">
        <v>295</v>
      </c>
      <c r="G3" s="136" t="s">
        <v>302</v>
      </c>
      <c r="J3" s="11" t="str">
        <f>+A3</f>
        <v>Monitoring of Sulphur dioxide emissions</v>
      </c>
      <c r="L3" s="11"/>
      <c r="N3" s="11" t="s">
        <v>296</v>
      </c>
      <c r="Q3" s="135" t="s">
        <v>290</v>
      </c>
      <c r="R3" s="130"/>
      <c r="S3" s="130"/>
    </row>
    <row r="4" spans="1:19" ht="13.9" customHeight="1" x14ac:dyDescent="0.2">
      <c r="Q4" s="351" t="s">
        <v>300</v>
      </c>
      <c r="R4" s="351"/>
      <c r="S4" s="351"/>
    </row>
    <row r="5" spans="1:19" ht="17.25" x14ac:dyDescent="0.25">
      <c r="A5" s="122" t="s">
        <v>260</v>
      </c>
      <c r="B5" s="386" t="s">
        <v>258</v>
      </c>
      <c r="C5" s="386"/>
      <c r="D5" s="386"/>
      <c r="E5" s="386" t="s">
        <v>257</v>
      </c>
      <c r="F5" s="386"/>
      <c r="G5" s="386"/>
      <c r="J5" s="385"/>
      <c r="K5" s="385"/>
      <c r="L5" s="385"/>
      <c r="M5" s="385"/>
      <c r="N5" s="385"/>
      <c r="O5" s="385"/>
      <c r="Q5" s="351"/>
      <c r="R5" s="351"/>
      <c r="S5" s="351"/>
    </row>
    <row r="6" spans="1:19" s="112" customFormat="1" ht="37.5" customHeight="1" x14ac:dyDescent="0.25">
      <c r="A6" s="119">
        <f>+'Cover Page'!C39</f>
        <v>2022</v>
      </c>
      <c r="B6" s="108" t="s">
        <v>178</v>
      </c>
      <c r="C6" s="108" t="s">
        <v>161</v>
      </c>
      <c r="D6" s="108" t="s">
        <v>312</v>
      </c>
      <c r="E6" s="108" t="s">
        <v>179</v>
      </c>
      <c r="F6" s="108" t="s">
        <v>164</v>
      </c>
      <c r="G6" s="108" t="s">
        <v>313</v>
      </c>
      <c r="H6" s="113"/>
      <c r="J6" s="115">
        <f>+A6</f>
        <v>2022</v>
      </c>
      <c r="K6" s="115" t="s">
        <v>259</v>
      </c>
      <c r="L6" s="121" t="s">
        <v>161</v>
      </c>
      <c r="M6" s="121" t="s">
        <v>162</v>
      </c>
      <c r="N6" s="121" t="s">
        <v>164</v>
      </c>
      <c r="O6" s="121" t="s">
        <v>165</v>
      </c>
      <c r="Q6" s="351"/>
      <c r="R6" s="351"/>
      <c r="S6" s="351"/>
    </row>
    <row r="7" spans="1:19" x14ac:dyDescent="0.2">
      <c r="A7" s="120" t="s">
        <v>166</v>
      </c>
      <c r="B7" s="117">
        <v>200</v>
      </c>
      <c r="C7" s="118">
        <v>9.6</v>
      </c>
      <c r="D7" s="118">
        <v>351</v>
      </c>
      <c r="E7" s="117">
        <v>100</v>
      </c>
      <c r="F7" s="118">
        <v>9.0500000000000007</v>
      </c>
      <c r="G7" s="118">
        <v>26.9</v>
      </c>
      <c r="J7" s="384" t="s">
        <v>110</v>
      </c>
      <c r="K7" s="120" t="s">
        <v>166</v>
      </c>
      <c r="L7" s="118">
        <v>9.6</v>
      </c>
      <c r="M7" s="118">
        <v>351</v>
      </c>
      <c r="N7" s="118">
        <v>9.0500000000000007</v>
      </c>
      <c r="O7" s="118">
        <v>26.9</v>
      </c>
      <c r="Q7" s="351"/>
      <c r="R7" s="351"/>
      <c r="S7" s="351"/>
    </row>
    <row r="8" spans="1:19" x14ac:dyDescent="0.2">
      <c r="A8" s="120" t="s">
        <v>167</v>
      </c>
      <c r="B8" s="117">
        <v>200</v>
      </c>
      <c r="C8" s="118">
        <v>8.4</v>
      </c>
      <c r="D8" s="118">
        <v>32.1</v>
      </c>
      <c r="E8" s="117">
        <v>100</v>
      </c>
      <c r="F8" s="118">
        <v>8.4600000000000009</v>
      </c>
      <c r="G8" s="118">
        <v>9.1</v>
      </c>
      <c r="J8" s="384"/>
      <c r="K8" s="120" t="s">
        <v>167</v>
      </c>
      <c r="L8" s="118">
        <v>8.4</v>
      </c>
      <c r="M8" s="118">
        <v>32.1</v>
      </c>
      <c r="N8" s="118">
        <v>8.4600000000000009</v>
      </c>
      <c r="O8" s="118">
        <v>9.1</v>
      </c>
      <c r="Q8" s="351"/>
      <c r="R8" s="351"/>
      <c r="S8" s="351"/>
    </row>
    <row r="9" spans="1:19" ht="15" x14ac:dyDescent="0.25">
      <c r="A9" s="120" t="s">
        <v>168</v>
      </c>
      <c r="B9" s="117">
        <v>200</v>
      </c>
      <c r="C9" s="118">
        <v>8.6999999999999993</v>
      </c>
      <c r="D9" s="118">
        <v>57</v>
      </c>
      <c r="E9" s="117">
        <v>100</v>
      </c>
      <c r="F9" s="118">
        <v>8.7100000000000009</v>
      </c>
      <c r="G9" s="118">
        <v>11.7</v>
      </c>
      <c r="J9" s="384"/>
      <c r="K9" s="120" t="s">
        <v>168</v>
      </c>
      <c r="L9" s="118">
        <v>8.6999999999999993</v>
      </c>
      <c r="M9" s="118">
        <v>57</v>
      </c>
      <c r="N9" s="118">
        <v>8.7100000000000009</v>
      </c>
      <c r="O9" s="118">
        <v>11.7</v>
      </c>
      <c r="Q9" s="134" t="s">
        <v>301</v>
      </c>
    </row>
    <row r="10" spans="1:19" ht="14.25" customHeight="1" x14ac:dyDescent="0.2">
      <c r="A10" s="120" t="s">
        <v>169</v>
      </c>
      <c r="B10" s="117">
        <v>200</v>
      </c>
      <c r="C10" s="118">
        <v>8.3000000000000007</v>
      </c>
      <c r="D10" s="118">
        <v>45.3</v>
      </c>
      <c r="E10" s="117">
        <v>100</v>
      </c>
      <c r="F10" s="118">
        <v>8.39</v>
      </c>
      <c r="G10" s="118">
        <v>11.1</v>
      </c>
      <c r="J10" s="384"/>
      <c r="K10" s="120" t="s">
        <v>169</v>
      </c>
      <c r="L10" s="118">
        <v>8.3000000000000007</v>
      </c>
      <c r="M10" s="118">
        <v>45.3</v>
      </c>
      <c r="N10" s="118">
        <v>8.39</v>
      </c>
      <c r="O10" s="118">
        <v>11.1</v>
      </c>
      <c r="Q10" s="383" t="s">
        <v>319</v>
      </c>
      <c r="R10" s="383"/>
      <c r="S10" s="383"/>
    </row>
    <row r="11" spans="1:19" x14ac:dyDescent="0.2">
      <c r="A11" s="120" t="s">
        <v>170</v>
      </c>
      <c r="B11" s="117">
        <v>200</v>
      </c>
      <c r="C11" s="118">
        <v>7.9</v>
      </c>
      <c r="D11" s="118">
        <v>15.6</v>
      </c>
      <c r="E11" s="117">
        <v>100</v>
      </c>
      <c r="F11" s="118">
        <v>7.92</v>
      </c>
      <c r="G11" s="118">
        <v>8.1999999999999993</v>
      </c>
      <c r="J11" s="384"/>
      <c r="K11" s="120" t="s">
        <v>170</v>
      </c>
      <c r="L11" s="118">
        <v>7.9</v>
      </c>
      <c r="M11" s="118">
        <v>15.6</v>
      </c>
      <c r="N11" s="118">
        <v>7.92</v>
      </c>
      <c r="O11" s="118">
        <v>8.1999999999999993</v>
      </c>
      <c r="Q11" s="383"/>
      <c r="R11" s="383"/>
      <c r="S11" s="383"/>
    </row>
    <row r="12" spans="1:19" x14ac:dyDescent="0.2">
      <c r="A12" s="120" t="s">
        <v>171</v>
      </c>
      <c r="B12" s="117">
        <v>200</v>
      </c>
      <c r="C12" s="118">
        <v>7.8</v>
      </c>
      <c r="D12" s="118">
        <v>27</v>
      </c>
      <c r="E12" s="117">
        <v>100</v>
      </c>
      <c r="F12" s="118">
        <v>8.08</v>
      </c>
      <c r="G12" s="118">
        <v>9.1</v>
      </c>
      <c r="J12" s="384"/>
      <c r="K12" s="120" t="s">
        <v>171</v>
      </c>
      <c r="L12" s="118">
        <v>7.8</v>
      </c>
      <c r="M12" s="118">
        <v>27</v>
      </c>
      <c r="N12" s="118">
        <v>8.08</v>
      </c>
      <c r="O12" s="118">
        <v>9.1</v>
      </c>
      <c r="Q12" s="383"/>
      <c r="R12" s="383"/>
      <c r="S12" s="383"/>
    </row>
    <row r="13" spans="1:19" ht="14.25" customHeight="1" x14ac:dyDescent="0.2">
      <c r="A13" s="120" t="s">
        <v>172</v>
      </c>
      <c r="B13" s="117">
        <v>200</v>
      </c>
      <c r="C13" s="118">
        <v>8</v>
      </c>
      <c r="D13" s="118">
        <v>33.4</v>
      </c>
      <c r="E13" s="117">
        <v>100</v>
      </c>
      <c r="F13" s="118">
        <v>8.18</v>
      </c>
      <c r="G13" s="118">
        <v>8.6</v>
      </c>
      <c r="J13" s="384"/>
      <c r="K13" s="120" t="s">
        <v>172</v>
      </c>
      <c r="L13" s="118">
        <v>8</v>
      </c>
      <c r="M13" s="118">
        <v>33.4</v>
      </c>
      <c r="N13" s="118">
        <v>8.18</v>
      </c>
      <c r="O13" s="118">
        <v>8.6</v>
      </c>
      <c r="Q13" s="383" t="s">
        <v>325</v>
      </c>
      <c r="R13" s="383"/>
      <c r="S13" s="383"/>
    </row>
    <row r="14" spans="1:19" x14ac:dyDescent="0.2">
      <c r="A14" s="120" t="s">
        <v>173</v>
      </c>
      <c r="B14" s="117">
        <v>200</v>
      </c>
      <c r="C14" s="118">
        <v>8.1999999999999993</v>
      </c>
      <c r="D14" s="118">
        <v>23</v>
      </c>
      <c r="E14" s="117">
        <v>100</v>
      </c>
      <c r="F14" s="118">
        <v>8.16</v>
      </c>
      <c r="G14" s="118">
        <v>8.6999999999999993</v>
      </c>
      <c r="J14" s="384"/>
      <c r="K14" s="120" t="s">
        <v>173</v>
      </c>
      <c r="L14" s="118">
        <v>8.1999999999999993</v>
      </c>
      <c r="M14" s="118">
        <v>23</v>
      </c>
      <c r="N14" s="118">
        <v>8.16</v>
      </c>
      <c r="O14" s="118">
        <v>8.6999999999999993</v>
      </c>
      <c r="Q14" s="383"/>
      <c r="R14" s="383"/>
      <c r="S14" s="383"/>
    </row>
    <row r="15" spans="1:19" x14ac:dyDescent="0.2">
      <c r="A15" s="120" t="s">
        <v>174</v>
      </c>
      <c r="B15" s="117">
        <v>200</v>
      </c>
      <c r="C15" s="118">
        <v>8.1</v>
      </c>
      <c r="D15" s="118">
        <v>56.2</v>
      </c>
      <c r="E15" s="117">
        <v>100</v>
      </c>
      <c r="F15" s="118">
        <v>8.14</v>
      </c>
      <c r="G15" s="118">
        <v>9.1999999999999993</v>
      </c>
      <c r="J15" s="384"/>
      <c r="K15" s="120" t="s">
        <v>174</v>
      </c>
      <c r="L15" s="118">
        <v>8.1</v>
      </c>
      <c r="M15" s="118">
        <v>56.2</v>
      </c>
      <c r="N15" s="118">
        <v>8.14</v>
      </c>
      <c r="O15" s="118">
        <v>9.1999999999999993</v>
      </c>
      <c r="Q15" s="383"/>
      <c r="R15" s="383"/>
      <c r="S15" s="383"/>
    </row>
    <row r="16" spans="1:19" x14ac:dyDescent="0.2">
      <c r="A16" s="120" t="s">
        <v>175</v>
      </c>
      <c r="B16" s="117">
        <v>200</v>
      </c>
      <c r="C16" s="118">
        <v>8.1999999999999993</v>
      </c>
      <c r="D16" s="118">
        <v>34.1</v>
      </c>
      <c r="E16" s="117">
        <v>100</v>
      </c>
      <c r="F16" s="118">
        <v>8.27</v>
      </c>
      <c r="G16" s="118">
        <v>9.3000000000000007</v>
      </c>
      <c r="J16" s="384"/>
      <c r="K16" s="120" t="s">
        <v>175</v>
      </c>
      <c r="L16" s="118">
        <v>8.1999999999999993</v>
      </c>
      <c r="M16" s="118">
        <v>34.1</v>
      </c>
      <c r="N16" s="118">
        <v>8.27</v>
      </c>
      <c r="O16" s="118">
        <v>9.3000000000000007</v>
      </c>
      <c r="Q16" s="383"/>
      <c r="R16" s="383"/>
      <c r="S16" s="383"/>
    </row>
    <row r="17" spans="1:15" x14ac:dyDescent="0.2">
      <c r="A17" s="120" t="s">
        <v>176</v>
      </c>
      <c r="B17" s="117">
        <v>200</v>
      </c>
      <c r="C17" s="118">
        <v>8.6</v>
      </c>
      <c r="D17" s="118">
        <v>63.1</v>
      </c>
      <c r="E17" s="117">
        <v>100</v>
      </c>
      <c r="F17" s="118">
        <v>8.6</v>
      </c>
      <c r="G17" s="118">
        <v>12.2</v>
      </c>
      <c r="J17" s="384"/>
      <c r="K17" s="120" t="s">
        <v>176</v>
      </c>
      <c r="L17" s="118">
        <v>8.6</v>
      </c>
      <c r="M17" s="118">
        <v>63.1</v>
      </c>
      <c r="N17" s="118">
        <v>8.6</v>
      </c>
      <c r="O17" s="118">
        <v>12.2</v>
      </c>
    </row>
    <row r="18" spans="1:15" x14ac:dyDescent="0.2">
      <c r="A18" s="120" t="s">
        <v>177</v>
      </c>
      <c r="B18" s="117">
        <v>200</v>
      </c>
      <c r="C18" s="118">
        <v>8.1999999999999993</v>
      </c>
      <c r="D18" s="118">
        <v>17.7</v>
      </c>
      <c r="E18" s="117">
        <v>100</v>
      </c>
      <c r="F18" s="118">
        <v>8.23</v>
      </c>
      <c r="G18" s="118">
        <v>9.1999999999999993</v>
      </c>
      <c r="J18" s="384"/>
      <c r="K18" s="120" t="s">
        <v>177</v>
      </c>
      <c r="L18" s="118">
        <v>8.1999999999999993</v>
      </c>
      <c r="M18" s="118">
        <v>17.7</v>
      </c>
      <c r="N18" s="118">
        <v>8.23</v>
      </c>
      <c r="O18" s="118">
        <v>9.1999999999999993</v>
      </c>
    </row>
    <row r="19" spans="1:15" x14ac:dyDescent="0.2">
      <c r="J19" s="384"/>
      <c r="K19" s="116" t="s">
        <v>261</v>
      </c>
      <c r="L19" s="168">
        <f>AVERAGE(L7:L18)</f>
        <v>8.3333333333333321</v>
      </c>
      <c r="M19" s="168">
        <f>MAX(M7:M18)</f>
        <v>351</v>
      </c>
      <c r="N19" s="168">
        <f>AVERAGE(N7:N18)</f>
        <v>8.3491666666666671</v>
      </c>
      <c r="O19" s="168">
        <f>MAX(O7:O18)</f>
        <v>26.9</v>
      </c>
    </row>
    <row r="21" spans="1:15" ht="30" x14ac:dyDescent="0.2">
      <c r="J21" s="115">
        <f>+A6</f>
        <v>2022</v>
      </c>
      <c r="K21" s="115" t="s">
        <v>259</v>
      </c>
      <c r="L21" s="121" t="s">
        <v>161</v>
      </c>
      <c r="M21" s="121" t="s">
        <v>162</v>
      </c>
      <c r="N21" s="121" t="s">
        <v>164</v>
      </c>
      <c r="O21" s="121" t="s">
        <v>165</v>
      </c>
    </row>
    <row r="22" spans="1:15" x14ac:dyDescent="0.2">
      <c r="J22" s="384" t="s">
        <v>111</v>
      </c>
      <c r="K22" s="120" t="s">
        <v>166</v>
      </c>
      <c r="L22" s="118"/>
      <c r="M22" s="118"/>
      <c r="N22" s="118"/>
      <c r="O22" s="118"/>
    </row>
    <row r="23" spans="1:15" x14ac:dyDescent="0.2">
      <c r="J23" s="384"/>
      <c r="K23" s="120" t="s">
        <v>167</v>
      </c>
      <c r="L23" s="118"/>
      <c r="M23" s="118"/>
      <c r="N23" s="118"/>
      <c r="O23" s="118"/>
    </row>
    <row r="24" spans="1:15" x14ac:dyDescent="0.2">
      <c r="J24" s="384"/>
      <c r="K24" s="120" t="s">
        <v>168</v>
      </c>
      <c r="L24" s="118"/>
      <c r="M24" s="118"/>
      <c r="N24" s="118"/>
      <c r="O24" s="118"/>
    </row>
    <row r="25" spans="1:15" x14ac:dyDescent="0.2">
      <c r="J25" s="384"/>
      <c r="K25" s="120" t="s">
        <v>169</v>
      </c>
      <c r="L25" s="118"/>
      <c r="M25" s="118"/>
      <c r="N25" s="118"/>
      <c r="O25" s="118"/>
    </row>
    <row r="26" spans="1:15" x14ac:dyDescent="0.2">
      <c r="J26" s="384"/>
      <c r="K26" s="120" t="s">
        <v>170</v>
      </c>
      <c r="L26" s="118"/>
      <c r="M26" s="118"/>
      <c r="N26" s="118"/>
      <c r="O26" s="118"/>
    </row>
    <row r="27" spans="1:15" x14ac:dyDescent="0.2">
      <c r="J27" s="384"/>
      <c r="K27" s="120" t="s">
        <v>171</v>
      </c>
      <c r="L27" s="118"/>
      <c r="M27" s="118"/>
      <c r="N27" s="118"/>
      <c r="O27" s="118"/>
    </row>
    <row r="28" spans="1:15" x14ac:dyDescent="0.2">
      <c r="J28" s="384"/>
      <c r="K28" s="120" t="s">
        <v>172</v>
      </c>
      <c r="L28" s="118"/>
      <c r="M28" s="118"/>
      <c r="N28" s="118"/>
      <c r="O28" s="118"/>
    </row>
    <row r="29" spans="1:15" x14ac:dyDescent="0.2">
      <c r="J29" s="384"/>
      <c r="K29" s="120" t="s">
        <v>173</v>
      </c>
      <c r="L29" s="118"/>
      <c r="M29" s="118"/>
      <c r="N29" s="118"/>
      <c r="O29" s="118"/>
    </row>
    <row r="30" spans="1:15" x14ac:dyDescent="0.2">
      <c r="J30" s="384"/>
      <c r="K30" s="120" t="s">
        <v>174</v>
      </c>
      <c r="L30" s="118"/>
      <c r="M30" s="118"/>
      <c r="N30" s="118"/>
      <c r="O30" s="118"/>
    </row>
    <row r="31" spans="1:15" x14ac:dyDescent="0.2">
      <c r="J31" s="384"/>
      <c r="K31" s="120" t="s">
        <v>175</v>
      </c>
      <c r="L31" s="118"/>
      <c r="M31" s="118"/>
      <c r="N31" s="118"/>
      <c r="O31" s="118"/>
    </row>
    <row r="32" spans="1:15" x14ac:dyDescent="0.2">
      <c r="J32" s="384"/>
      <c r="K32" s="120" t="s">
        <v>176</v>
      </c>
      <c r="L32" s="118"/>
      <c r="M32" s="118"/>
      <c r="N32" s="118"/>
      <c r="O32" s="118"/>
    </row>
    <row r="33" spans="1:15" x14ac:dyDescent="0.2">
      <c r="J33" s="384"/>
      <c r="K33" s="120" t="s">
        <v>177</v>
      </c>
      <c r="L33" s="118"/>
      <c r="M33" s="118"/>
      <c r="N33" s="118"/>
      <c r="O33" s="118"/>
    </row>
    <row r="34" spans="1:15" x14ac:dyDescent="0.2">
      <c r="J34" s="384"/>
      <c r="K34" s="116" t="s">
        <v>261</v>
      </c>
      <c r="L34" s="116" t="e">
        <f>AVERAGE(L22:L33)</f>
        <v>#DIV/0!</v>
      </c>
      <c r="M34" s="116">
        <f>MAX(M22:M33)</f>
        <v>0</v>
      </c>
      <c r="N34" s="116" t="e">
        <f>AVERAGE(N22:N33)</f>
        <v>#DIV/0!</v>
      </c>
      <c r="O34" s="116">
        <f>MAX(O22:O33)</f>
        <v>0</v>
      </c>
    </row>
    <row r="36" spans="1:15" ht="30" x14ac:dyDescent="0.2">
      <c r="J36" s="115">
        <f>+A6</f>
        <v>2022</v>
      </c>
      <c r="K36" s="115" t="s">
        <v>259</v>
      </c>
      <c r="L36" s="121" t="s">
        <v>161</v>
      </c>
      <c r="M36" s="121" t="s">
        <v>162</v>
      </c>
      <c r="N36" s="121" t="s">
        <v>164</v>
      </c>
      <c r="O36" s="121" t="s">
        <v>165</v>
      </c>
    </row>
    <row r="37" spans="1:15" x14ac:dyDescent="0.2">
      <c r="J37" s="384" t="s">
        <v>112</v>
      </c>
      <c r="K37" s="120" t="s">
        <v>166</v>
      </c>
      <c r="L37" s="118"/>
      <c r="M37" s="118"/>
      <c r="N37" s="118"/>
      <c r="O37" s="118"/>
    </row>
    <row r="38" spans="1:15" x14ac:dyDescent="0.2">
      <c r="J38" s="384"/>
      <c r="K38" s="120" t="s">
        <v>167</v>
      </c>
      <c r="L38" s="118"/>
      <c r="M38" s="118"/>
      <c r="N38" s="118"/>
      <c r="O38" s="118"/>
    </row>
    <row r="39" spans="1:15" x14ac:dyDescent="0.2">
      <c r="J39" s="384"/>
      <c r="K39" s="120" t="s">
        <v>168</v>
      </c>
      <c r="L39" s="118"/>
      <c r="M39" s="118"/>
      <c r="N39" s="118"/>
      <c r="O39" s="118"/>
    </row>
    <row r="40" spans="1:15" x14ac:dyDescent="0.2">
      <c r="J40" s="384"/>
      <c r="K40" s="120" t="s">
        <v>169</v>
      </c>
      <c r="L40" s="118"/>
      <c r="M40" s="118"/>
      <c r="N40" s="118"/>
      <c r="O40" s="118"/>
    </row>
    <row r="41" spans="1:15" x14ac:dyDescent="0.2">
      <c r="J41" s="384"/>
      <c r="K41" s="120" t="s">
        <v>170</v>
      </c>
      <c r="L41" s="118"/>
      <c r="M41" s="118"/>
      <c r="N41" s="118"/>
      <c r="O41" s="118"/>
    </row>
    <row r="42" spans="1:15" x14ac:dyDescent="0.2">
      <c r="J42" s="384"/>
      <c r="K42" s="120" t="s">
        <v>171</v>
      </c>
      <c r="L42" s="118"/>
      <c r="M42" s="118"/>
      <c r="N42" s="118"/>
      <c r="O42" s="118"/>
    </row>
    <row r="43" spans="1:15" x14ac:dyDescent="0.2">
      <c r="J43" s="384"/>
      <c r="K43" s="120" t="s">
        <v>172</v>
      </c>
      <c r="L43" s="118"/>
      <c r="M43" s="118"/>
      <c r="N43" s="118"/>
      <c r="O43" s="118"/>
    </row>
    <row r="44" spans="1:15" x14ac:dyDescent="0.2">
      <c r="J44" s="384"/>
      <c r="K44" s="120" t="s">
        <v>173</v>
      </c>
      <c r="L44" s="118"/>
      <c r="M44" s="118"/>
      <c r="N44" s="118"/>
      <c r="O44" s="118"/>
    </row>
    <row r="45" spans="1:15" x14ac:dyDescent="0.2">
      <c r="J45" s="384"/>
      <c r="K45" s="120" t="s">
        <v>174</v>
      </c>
      <c r="L45" s="118"/>
      <c r="M45" s="118"/>
      <c r="N45" s="118"/>
      <c r="O45" s="118"/>
    </row>
    <row r="46" spans="1:15" x14ac:dyDescent="0.2">
      <c r="J46" s="384"/>
      <c r="K46" s="120" t="s">
        <v>175</v>
      </c>
      <c r="L46" s="118"/>
      <c r="M46" s="118"/>
      <c r="N46" s="118"/>
      <c r="O46" s="118"/>
    </row>
    <row r="47" spans="1:15" x14ac:dyDescent="0.2">
      <c r="J47" s="384"/>
      <c r="K47" s="120" t="s">
        <v>176</v>
      </c>
      <c r="L47" s="118"/>
      <c r="M47" s="118"/>
      <c r="N47" s="118"/>
      <c r="O47" s="118"/>
    </row>
    <row r="48" spans="1:15" ht="15" x14ac:dyDescent="0.2">
      <c r="A48" s="396" t="s">
        <v>208</v>
      </c>
      <c r="B48" s="397"/>
      <c r="C48" s="397"/>
      <c r="D48" s="397"/>
      <c r="E48" s="397"/>
      <c r="F48" s="397"/>
      <c r="G48" s="398"/>
      <c r="J48" s="384"/>
      <c r="K48" s="120" t="s">
        <v>177</v>
      </c>
      <c r="L48" s="118"/>
      <c r="M48" s="118"/>
      <c r="N48" s="118"/>
      <c r="O48" s="118"/>
    </row>
    <row r="49" spans="1:15" x14ac:dyDescent="0.2">
      <c r="A49" s="387"/>
      <c r="B49" s="388"/>
      <c r="C49" s="388"/>
      <c r="D49" s="388"/>
      <c r="E49" s="388"/>
      <c r="F49" s="388"/>
      <c r="G49" s="389"/>
      <c r="J49" s="384"/>
      <c r="K49" s="116" t="s">
        <v>261</v>
      </c>
      <c r="L49" s="116" t="e">
        <f>AVERAGE(L37:L48)</f>
        <v>#DIV/0!</v>
      </c>
      <c r="M49" s="116">
        <f>MAX(M37:M48)</f>
        <v>0</v>
      </c>
      <c r="N49" s="116" t="e">
        <f>AVERAGE(N37:N48)</f>
        <v>#DIV/0!</v>
      </c>
      <c r="O49" s="116">
        <f>MAX(O37:O48)</f>
        <v>0</v>
      </c>
    </row>
    <row r="50" spans="1:15" x14ac:dyDescent="0.2">
      <c r="A50" s="390"/>
      <c r="B50" s="391"/>
      <c r="C50" s="391"/>
      <c r="D50" s="391"/>
      <c r="E50" s="391"/>
      <c r="F50" s="391"/>
      <c r="G50" s="392"/>
    </row>
    <row r="51" spans="1:15" ht="30" x14ac:dyDescent="0.2">
      <c r="A51" s="390"/>
      <c r="B51" s="391"/>
      <c r="C51" s="391"/>
      <c r="D51" s="391"/>
      <c r="E51" s="391"/>
      <c r="F51" s="391"/>
      <c r="G51" s="392"/>
      <c r="J51" s="115">
        <f>+A6</f>
        <v>2022</v>
      </c>
      <c r="K51" s="115" t="s">
        <v>259</v>
      </c>
      <c r="L51" s="121" t="s">
        <v>161</v>
      </c>
      <c r="M51" s="121" t="s">
        <v>162</v>
      </c>
      <c r="N51" s="121" t="s">
        <v>164</v>
      </c>
      <c r="O51" s="121" t="s">
        <v>165</v>
      </c>
    </row>
    <row r="52" spans="1:15" x14ac:dyDescent="0.2">
      <c r="A52" s="393"/>
      <c r="B52" s="394"/>
      <c r="C52" s="394"/>
      <c r="D52" s="394"/>
      <c r="E52" s="394"/>
      <c r="F52" s="394"/>
      <c r="G52" s="395"/>
      <c r="J52" s="384" t="s">
        <v>113</v>
      </c>
      <c r="K52" s="120" t="s">
        <v>166</v>
      </c>
      <c r="L52" s="118"/>
      <c r="M52" s="118"/>
      <c r="N52" s="118"/>
      <c r="O52" s="118"/>
    </row>
    <row r="53" spans="1:15" x14ac:dyDescent="0.2">
      <c r="J53" s="384"/>
      <c r="K53" s="120" t="s">
        <v>167</v>
      </c>
      <c r="L53" s="118"/>
      <c r="M53" s="118"/>
      <c r="N53" s="118"/>
      <c r="O53" s="118"/>
    </row>
    <row r="54" spans="1:15" x14ac:dyDescent="0.2">
      <c r="J54" s="384"/>
      <c r="K54" s="120" t="s">
        <v>168</v>
      </c>
      <c r="L54" s="118"/>
      <c r="M54" s="118"/>
      <c r="N54" s="118"/>
      <c r="O54" s="118"/>
    </row>
    <row r="55" spans="1:15" x14ac:dyDescent="0.2">
      <c r="J55" s="384"/>
      <c r="K55" s="120" t="s">
        <v>169</v>
      </c>
      <c r="L55" s="118"/>
      <c r="M55" s="118"/>
      <c r="N55" s="118"/>
      <c r="O55" s="118"/>
    </row>
    <row r="56" spans="1:15" x14ac:dyDescent="0.2">
      <c r="J56" s="384"/>
      <c r="K56" s="120" t="s">
        <v>170</v>
      </c>
      <c r="L56" s="118"/>
      <c r="M56" s="118"/>
      <c r="N56" s="118"/>
      <c r="O56" s="118"/>
    </row>
    <row r="57" spans="1:15" x14ac:dyDescent="0.2">
      <c r="J57" s="384"/>
      <c r="K57" s="120" t="s">
        <v>171</v>
      </c>
      <c r="L57" s="118"/>
      <c r="M57" s="118"/>
      <c r="N57" s="118"/>
      <c r="O57" s="118"/>
    </row>
    <row r="58" spans="1:15" x14ac:dyDescent="0.2">
      <c r="J58" s="384"/>
      <c r="K58" s="120" t="s">
        <v>172</v>
      </c>
      <c r="L58" s="118"/>
      <c r="M58" s="118"/>
      <c r="N58" s="118"/>
      <c r="O58" s="118"/>
    </row>
    <row r="59" spans="1:15" x14ac:dyDescent="0.2">
      <c r="J59" s="384"/>
      <c r="K59" s="120" t="s">
        <v>173</v>
      </c>
      <c r="L59" s="118"/>
      <c r="M59" s="118"/>
      <c r="N59" s="118"/>
      <c r="O59" s="118"/>
    </row>
    <row r="60" spans="1:15" x14ac:dyDescent="0.2">
      <c r="J60" s="384"/>
      <c r="K60" s="120" t="s">
        <v>174</v>
      </c>
      <c r="L60" s="118"/>
      <c r="M60" s="118"/>
      <c r="N60" s="118"/>
      <c r="O60" s="118"/>
    </row>
    <row r="61" spans="1:15" x14ac:dyDescent="0.2">
      <c r="J61" s="384"/>
      <c r="K61" s="120" t="s">
        <v>175</v>
      </c>
      <c r="L61" s="118"/>
      <c r="M61" s="118"/>
      <c r="N61" s="118"/>
      <c r="O61" s="118"/>
    </row>
    <row r="62" spans="1:15" x14ac:dyDescent="0.2">
      <c r="J62" s="384"/>
      <c r="K62" s="120" t="s">
        <v>176</v>
      </c>
      <c r="L62" s="118"/>
      <c r="M62" s="118"/>
      <c r="N62" s="118"/>
      <c r="O62" s="118"/>
    </row>
    <row r="63" spans="1:15" x14ac:dyDescent="0.2">
      <c r="J63" s="384"/>
      <c r="K63" s="120" t="s">
        <v>177</v>
      </c>
      <c r="L63" s="118"/>
      <c r="M63" s="118"/>
      <c r="N63" s="118"/>
      <c r="O63" s="118"/>
    </row>
    <row r="64" spans="1:15" x14ac:dyDescent="0.2">
      <c r="J64" s="384"/>
      <c r="K64" s="116" t="s">
        <v>261</v>
      </c>
      <c r="L64" s="116" t="e">
        <f>AVERAGE(L52:L63)</f>
        <v>#DIV/0!</v>
      </c>
      <c r="M64" s="116">
        <f>MAX(M52:M63)</f>
        <v>0</v>
      </c>
      <c r="N64" s="116" t="e">
        <f>AVERAGE(N52:N63)</f>
        <v>#DIV/0!</v>
      </c>
      <c r="O64" s="116">
        <f>MAX(O52:O63)</f>
        <v>0</v>
      </c>
    </row>
    <row r="66" spans="10:15" ht="30" x14ac:dyDescent="0.2">
      <c r="J66" s="115">
        <f>+A6</f>
        <v>2022</v>
      </c>
      <c r="K66" s="115" t="s">
        <v>259</v>
      </c>
      <c r="L66" s="121" t="s">
        <v>161</v>
      </c>
      <c r="M66" s="121" t="s">
        <v>162</v>
      </c>
      <c r="N66" s="121" t="s">
        <v>164</v>
      </c>
      <c r="O66" s="121" t="s">
        <v>165</v>
      </c>
    </row>
    <row r="67" spans="10:15" x14ac:dyDescent="0.2">
      <c r="J67" s="384" t="s">
        <v>114</v>
      </c>
      <c r="K67" s="120" t="s">
        <v>166</v>
      </c>
      <c r="L67" s="118"/>
      <c r="M67" s="118"/>
      <c r="N67" s="118"/>
      <c r="O67" s="118"/>
    </row>
    <row r="68" spans="10:15" x14ac:dyDescent="0.2">
      <c r="J68" s="384"/>
      <c r="K68" s="120" t="s">
        <v>167</v>
      </c>
      <c r="L68" s="118"/>
      <c r="M68" s="118"/>
      <c r="N68" s="118"/>
      <c r="O68" s="118"/>
    </row>
    <row r="69" spans="10:15" x14ac:dyDescent="0.2">
      <c r="J69" s="384"/>
      <c r="K69" s="120" t="s">
        <v>168</v>
      </c>
      <c r="L69" s="118"/>
      <c r="M69" s="118"/>
      <c r="N69" s="118"/>
      <c r="O69" s="118"/>
    </row>
    <row r="70" spans="10:15" x14ac:dyDescent="0.2">
      <c r="J70" s="384"/>
      <c r="K70" s="120" t="s">
        <v>169</v>
      </c>
      <c r="L70" s="118"/>
      <c r="M70" s="118"/>
      <c r="N70" s="118"/>
      <c r="O70" s="118"/>
    </row>
    <row r="71" spans="10:15" x14ac:dyDescent="0.2">
      <c r="J71" s="384"/>
      <c r="K71" s="120" t="s">
        <v>170</v>
      </c>
      <c r="L71" s="118"/>
      <c r="M71" s="118"/>
      <c r="N71" s="118"/>
      <c r="O71" s="118"/>
    </row>
    <row r="72" spans="10:15" x14ac:dyDescent="0.2">
      <c r="J72" s="384"/>
      <c r="K72" s="120" t="s">
        <v>171</v>
      </c>
      <c r="L72" s="118"/>
      <c r="M72" s="118"/>
      <c r="N72" s="118"/>
      <c r="O72" s="118"/>
    </row>
    <row r="73" spans="10:15" x14ac:dyDescent="0.2">
      <c r="J73" s="384"/>
      <c r="K73" s="120" t="s">
        <v>172</v>
      </c>
      <c r="L73" s="118"/>
      <c r="M73" s="118"/>
      <c r="N73" s="118"/>
      <c r="O73" s="118"/>
    </row>
    <row r="74" spans="10:15" x14ac:dyDescent="0.2">
      <c r="J74" s="384"/>
      <c r="K74" s="120" t="s">
        <v>173</v>
      </c>
      <c r="L74" s="118"/>
      <c r="M74" s="118"/>
      <c r="N74" s="118"/>
      <c r="O74" s="118"/>
    </row>
    <row r="75" spans="10:15" x14ac:dyDescent="0.2">
      <c r="J75" s="384"/>
      <c r="K75" s="120" t="s">
        <v>174</v>
      </c>
      <c r="L75" s="118"/>
      <c r="M75" s="118"/>
      <c r="N75" s="118"/>
      <c r="O75" s="118"/>
    </row>
    <row r="76" spans="10:15" x14ac:dyDescent="0.2">
      <c r="J76" s="384"/>
      <c r="K76" s="120" t="s">
        <v>175</v>
      </c>
      <c r="L76" s="118"/>
      <c r="M76" s="118"/>
      <c r="N76" s="118"/>
      <c r="O76" s="118"/>
    </row>
    <row r="77" spans="10:15" x14ac:dyDescent="0.2">
      <c r="J77" s="384"/>
      <c r="K77" s="120" t="s">
        <v>176</v>
      </c>
      <c r="L77" s="118"/>
      <c r="M77" s="118"/>
      <c r="N77" s="118"/>
      <c r="O77" s="118"/>
    </row>
    <row r="78" spans="10:15" x14ac:dyDescent="0.2">
      <c r="J78" s="384"/>
      <c r="K78" s="120" t="s">
        <v>177</v>
      </c>
      <c r="L78" s="118"/>
      <c r="M78" s="118"/>
      <c r="N78" s="118"/>
      <c r="O78" s="118"/>
    </row>
    <row r="79" spans="10:15" x14ac:dyDescent="0.2">
      <c r="J79" s="384"/>
      <c r="K79" s="116" t="s">
        <v>261</v>
      </c>
      <c r="L79" s="116" t="e">
        <f>AVERAGE(L67:L78)</f>
        <v>#DIV/0!</v>
      </c>
      <c r="M79" s="116">
        <f>MAX(M67:M78)</f>
        <v>0</v>
      </c>
      <c r="N79" s="116" t="e">
        <f>AVERAGE(N67:N78)</f>
        <v>#DIV/0!</v>
      </c>
      <c r="O79" s="116">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showGridLines="0" tabSelected="1" topLeftCell="A5" zoomScale="80" zoomScaleNormal="80" workbookViewId="0">
      <selection activeCell="S10" sqref="S10"/>
    </sheetView>
  </sheetViews>
  <sheetFormatPr defaultRowHeight="14.25" x14ac:dyDescent="0.2"/>
  <cols>
    <col min="1" max="1" width="14" style="3" customWidth="1"/>
    <col min="2" max="4" width="17" style="70" customWidth="1"/>
    <col min="5" max="5" width="14.7109375" style="70" customWidth="1"/>
    <col min="6" max="7" width="17" style="70"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JG Pears CHP Plant</v>
      </c>
      <c r="F1" s="2"/>
    </row>
    <row r="3" spans="1:19" ht="15" x14ac:dyDescent="0.25">
      <c r="A3" s="114" t="s">
        <v>263</v>
      </c>
      <c r="D3" s="132" t="s">
        <v>295</v>
      </c>
      <c r="G3" s="136" t="s">
        <v>302</v>
      </c>
      <c r="J3" s="11" t="str">
        <f>+A3</f>
        <v>Monitoring of Oxides of Nitrogen emissions</v>
      </c>
      <c r="L3" s="11"/>
      <c r="N3" s="11" t="s">
        <v>296</v>
      </c>
      <c r="Q3" s="135" t="s">
        <v>290</v>
      </c>
      <c r="R3" s="130"/>
      <c r="S3" s="130"/>
    </row>
    <row r="4" spans="1:19" ht="13.9" customHeight="1" x14ac:dyDescent="0.2">
      <c r="Q4" s="351" t="s">
        <v>300</v>
      </c>
      <c r="R4" s="351"/>
      <c r="S4" s="351"/>
    </row>
    <row r="5" spans="1:19" ht="17.25" x14ac:dyDescent="0.25">
      <c r="A5" s="122" t="s">
        <v>260</v>
      </c>
      <c r="B5" s="386" t="s">
        <v>258</v>
      </c>
      <c r="C5" s="386"/>
      <c r="D5" s="386"/>
      <c r="E5" s="386" t="s">
        <v>257</v>
      </c>
      <c r="F5" s="386"/>
      <c r="G5" s="386"/>
      <c r="J5" s="385"/>
      <c r="K5" s="385"/>
      <c r="L5" s="385"/>
      <c r="M5" s="385"/>
      <c r="N5" s="385"/>
      <c r="O5" s="385"/>
      <c r="Q5" s="351"/>
      <c r="R5" s="351"/>
      <c r="S5" s="351"/>
    </row>
    <row r="6" spans="1:19" s="112" customFormat="1" ht="37.5" customHeight="1" x14ac:dyDescent="0.25">
      <c r="A6" s="119">
        <f>+'Cover Page'!C39</f>
        <v>2022</v>
      </c>
      <c r="B6" s="108" t="s">
        <v>180</v>
      </c>
      <c r="C6" s="108" t="s">
        <v>161</v>
      </c>
      <c r="D6" s="108" t="s">
        <v>312</v>
      </c>
      <c r="E6" s="108" t="s">
        <v>181</v>
      </c>
      <c r="F6" s="108" t="s">
        <v>164</v>
      </c>
      <c r="G6" s="108" t="s">
        <v>313</v>
      </c>
      <c r="H6" s="113"/>
      <c r="J6" s="115">
        <f>+A6</f>
        <v>2022</v>
      </c>
      <c r="K6" s="115" t="s">
        <v>259</v>
      </c>
      <c r="L6" s="121" t="s">
        <v>161</v>
      </c>
      <c r="M6" s="121" t="s">
        <v>162</v>
      </c>
      <c r="N6" s="121" t="s">
        <v>164</v>
      </c>
      <c r="O6" s="121" t="s">
        <v>165</v>
      </c>
      <c r="Q6" s="351"/>
      <c r="R6" s="351"/>
      <c r="S6" s="351"/>
    </row>
    <row r="7" spans="1:19" x14ac:dyDescent="0.2">
      <c r="A7" s="120" t="s">
        <v>166</v>
      </c>
      <c r="B7" s="117">
        <v>400</v>
      </c>
      <c r="C7" s="118">
        <v>181.3</v>
      </c>
      <c r="D7" s="118">
        <v>256.89999999999998</v>
      </c>
      <c r="E7" s="117">
        <v>300</v>
      </c>
      <c r="F7" s="118">
        <v>190.37</v>
      </c>
      <c r="G7" s="118">
        <v>209.2</v>
      </c>
      <c r="J7" s="384" t="s">
        <v>110</v>
      </c>
      <c r="K7" s="120" t="s">
        <v>166</v>
      </c>
      <c r="L7" s="118">
        <v>181.3</v>
      </c>
      <c r="M7" s="118">
        <v>256.89999999999998</v>
      </c>
      <c r="N7" s="118">
        <v>190.37</v>
      </c>
      <c r="O7" s="118">
        <v>209.2</v>
      </c>
      <c r="Q7" s="351"/>
      <c r="R7" s="351"/>
      <c r="S7" s="351"/>
    </row>
    <row r="8" spans="1:19" x14ac:dyDescent="0.2">
      <c r="A8" s="120" t="s">
        <v>167</v>
      </c>
      <c r="B8" s="117">
        <v>400</v>
      </c>
      <c r="C8" s="118">
        <v>196.8</v>
      </c>
      <c r="D8" s="118">
        <v>296.10000000000002</v>
      </c>
      <c r="E8" s="117">
        <v>300</v>
      </c>
      <c r="F8" s="118">
        <v>199.57</v>
      </c>
      <c r="G8" s="118">
        <v>208.3</v>
      </c>
      <c r="J8" s="384"/>
      <c r="K8" s="120" t="s">
        <v>167</v>
      </c>
      <c r="L8" s="118">
        <v>196.8</v>
      </c>
      <c r="M8" s="118">
        <v>296.10000000000002</v>
      </c>
      <c r="N8" s="118">
        <v>199.57</v>
      </c>
      <c r="O8" s="118">
        <v>208.3</v>
      </c>
      <c r="Q8" s="351"/>
      <c r="R8" s="351"/>
      <c r="S8" s="351"/>
    </row>
    <row r="9" spans="1:19" ht="15" x14ac:dyDescent="0.25">
      <c r="A9" s="120" t="s">
        <v>168</v>
      </c>
      <c r="B9" s="117">
        <v>400</v>
      </c>
      <c r="C9" s="118">
        <v>202.3</v>
      </c>
      <c r="D9" s="118">
        <v>337.9</v>
      </c>
      <c r="E9" s="117">
        <v>300</v>
      </c>
      <c r="F9" s="118">
        <v>203.48</v>
      </c>
      <c r="G9" s="118">
        <v>211.8</v>
      </c>
      <c r="J9" s="384"/>
      <c r="K9" s="120" t="s">
        <v>168</v>
      </c>
      <c r="L9" s="118">
        <v>202.3</v>
      </c>
      <c r="M9" s="118">
        <v>337.9</v>
      </c>
      <c r="N9" s="118">
        <v>203.48</v>
      </c>
      <c r="O9" s="118">
        <v>211.8</v>
      </c>
      <c r="Q9" s="134" t="s">
        <v>301</v>
      </c>
    </row>
    <row r="10" spans="1:19" ht="14.25" customHeight="1" x14ac:dyDescent="0.2">
      <c r="A10" s="120" t="s">
        <v>169</v>
      </c>
      <c r="B10" s="117">
        <v>400</v>
      </c>
      <c r="C10" s="118">
        <v>190</v>
      </c>
      <c r="D10" s="118">
        <v>384</v>
      </c>
      <c r="E10" s="117">
        <v>300</v>
      </c>
      <c r="F10" s="118">
        <v>191.57</v>
      </c>
      <c r="G10" s="118">
        <v>240.7</v>
      </c>
      <c r="J10" s="384"/>
      <c r="K10" s="120" t="s">
        <v>169</v>
      </c>
      <c r="L10" s="118">
        <v>190</v>
      </c>
      <c r="M10" s="118">
        <v>384</v>
      </c>
      <c r="N10" s="118">
        <v>191.57</v>
      </c>
      <c r="O10" s="118">
        <v>240.7</v>
      </c>
      <c r="Q10" s="383" t="s">
        <v>319</v>
      </c>
      <c r="R10" s="383"/>
      <c r="S10" s="383"/>
    </row>
    <row r="11" spans="1:19" x14ac:dyDescent="0.2">
      <c r="A11" s="120" t="s">
        <v>170</v>
      </c>
      <c r="B11" s="117">
        <v>400</v>
      </c>
      <c r="C11" s="118">
        <v>191.9</v>
      </c>
      <c r="D11" s="118">
        <v>263.7</v>
      </c>
      <c r="E11" s="117">
        <v>300</v>
      </c>
      <c r="F11" s="118">
        <v>195.71</v>
      </c>
      <c r="G11" s="118">
        <v>200.7</v>
      </c>
      <c r="J11" s="384"/>
      <c r="K11" s="120" t="s">
        <v>170</v>
      </c>
      <c r="L11" s="118">
        <v>191.9</v>
      </c>
      <c r="M11" s="118">
        <v>263.7</v>
      </c>
      <c r="N11" s="118">
        <v>195.71</v>
      </c>
      <c r="O11" s="118">
        <v>200.7</v>
      </c>
      <c r="Q11" s="383"/>
      <c r="R11" s="383"/>
      <c r="S11" s="383"/>
    </row>
    <row r="12" spans="1:19" x14ac:dyDescent="0.2">
      <c r="A12" s="120" t="s">
        <v>171</v>
      </c>
      <c r="B12" s="117">
        <v>400</v>
      </c>
      <c r="C12" s="118">
        <v>182.4</v>
      </c>
      <c r="D12" s="118">
        <v>262.8</v>
      </c>
      <c r="E12" s="117">
        <v>300</v>
      </c>
      <c r="F12" s="118">
        <v>194.03</v>
      </c>
      <c r="G12" s="118">
        <v>198.3</v>
      </c>
      <c r="J12" s="384"/>
      <c r="K12" s="120" t="s">
        <v>171</v>
      </c>
      <c r="L12" s="118">
        <v>182.4</v>
      </c>
      <c r="M12" s="118">
        <v>262.8</v>
      </c>
      <c r="N12" s="118">
        <v>194.03</v>
      </c>
      <c r="O12" s="118">
        <v>198.3</v>
      </c>
      <c r="Q12" s="383"/>
      <c r="R12" s="383"/>
      <c r="S12" s="383"/>
    </row>
    <row r="13" spans="1:19" ht="14.25" customHeight="1" x14ac:dyDescent="0.2">
      <c r="A13" s="120" t="s">
        <v>172</v>
      </c>
      <c r="B13" s="117">
        <v>400</v>
      </c>
      <c r="C13" s="118">
        <v>169.8</v>
      </c>
      <c r="D13" s="118">
        <v>255.4</v>
      </c>
      <c r="E13" s="117">
        <v>300</v>
      </c>
      <c r="F13" s="118">
        <v>180.03</v>
      </c>
      <c r="G13" s="118">
        <v>199.4</v>
      </c>
      <c r="J13" s="384"/>
      <c r="K13" s="120" t="s">
        <v>172</v>
      </c>
      <c r="L13" s="118">
        <v>169.8</v>
      </c>
      <c r="M13" s="118">
        <v>255.4</v>
      </c>
      <c r="N13" s="118">
        <v>180.03</v>
      </c>
      <c r="O13" s="118">
        <v>199.4</v>
      </c>
      <c r="Q13" s="383" t="s">
        <v>325</v>
      </c>
      <c r="R13" s="383"/>
      <c r="S13" s="383"/>
    </row>
    <row r="14" spans="1:19" x14ac:dyDescent="0.2">
      <c r="A14" s="120" t="s">
        <v>173</v>
      </c>
      <c r="B14" s="117">
        <v>400</v>
      </c>
      <c r="C14" s="118">
        <v>165.1</v>
      </c>
      <c r="D14" s="118">
        <v>247.6</v>
      </c>
      <c r="E14" s="117">
        <v>300</v>
      </c>
      <c r="F14" s="118">
        <v>165.1</v>
      </c>
      <c r="G14" s="118">
        <v>247.6</v>
      </c>
      <c r="J14" s="384"/>
      <c r="K14" s="120" t="s">
        <v>173</v>
      </c>
      <c r="L14" s="118">
        <v>165.1</v>
      </c>
      <c r="M14" s="118">
        <v>247.6</v>
      </c>
      <c r="N14" s="118">
        <v>165.1</v>
      </c>
      <c r="O14" s="118">
        <v>247.6</v>
      </c>
      <c r="Q14" s="383"/>
      <c r="R14" s="383"/>
      <c r="S14" s="383"/>
    </row>
    <row r="15" spans="1:19" x14ac:dyDescent="0.2">
      <c r="A15" s="120" t="s">
        <v>174</v>
      </c>
      <c r="B15" s="117">
        <v>400</v>
      </c>
      <c r="C15" s="118">
        <v>153.9</v>
      </c>
      <c r="D15" s="118">
        <v>222.5</v>
      </c>
      <c r="E15" s="117">
        <v>300</v>
      </c>
      <c r="F15" s="118">
        <v>154.51</v>
      </c>
      <c r="G15" s="118">
        <v>196</v>
      </c>
      <c r="J15" s="384"/>
      <c r="K15" s="120" t="s">
        <v>174</v>
      </c>
      <c r="L15" s="118">
        <v>153.9</v>
      </c>
      <c r="M15" s="118">
        <v>222.5</v>
      </c>
      <c r="N15" s="118">
        <v>154.51</v>
      </c>
      <c r="O15" s="118">
        <v>196</v>
      </c>
      <c r="Q15" s="383"/>
      <c r="R15" s="383"/>
      <c r="S15" s="383"/>
    </row>
    <row r="16" spans="1:19" x14ac:dyDescent="0.2">
      <c r="A16" s="120" t="s">
        <v>175</v>
      </c>
      <c r="B16" s="117">
        <v>400</v>
      </c>
      <c r="C16" s="118">
        <v>178.7</v>
      </c>
      <c r="D16" s="118">
        <v>290.7</v>
      </c>
      <c r="E16" s="117">
        <v>300</v>
      </c>
      <c r="F16" s="118">
        <v>183.02</v>
      </c>
      <c r="G16" s="118">
        <v>202</v>
      </c>
      <c r="J16" s="384"/>
      <c r="K16" s="120" t="s">
        <v>175</v>
      </c>
      <c r="L16" s="118">
        <v>178.7</v>
      </c>
      <c r="M16" s="118">
        <v>290.7</v>
      </c>
      <c r="N16" s="118">
        <v>183.02</v>
      </c>
      <c r="O16" s="118">
        <v>202</v>
      </c>
      <c r="Q16" s="383"/>
      <c r="R16" s="383"/>
      <c r="S16" s="383"/>
    </row>
    <row r="17" spans="1:15" x14ac:dyDescent="0.2">
      <c r="A17" s="120" t="s">
        <v>176</v>
      </c>
      <c r="B17" s="117">
        <v>400</v>
      </c>
      <c r="C17" s="118">
        <v>194.3</v>
      </c>
      <c r="D17" s="118">
        <v>462.5</v>
      </c>
      <c r="E17" s="117">
        <v>300</v>
      </c>
      <c r="F17" s="118">
        <v>194.89</v>
      </c>
      <c r="G17" s="118">
        <v>214.7</v>
      </c>
      <c r="J17" s="384"/>
      <c r="K17" s="120" t="s">
        <v>176</v>
      </c>
      <c r="L17" s="118">
        <v>194.3</v>
      </c>
      <c r="M17" s="118">
        <v>462.5</v>
      </c>
      <c r="N17" s="118">
        <v>194.89</v>
      </c>
      <c r="O17" s="118">
        <v>214.7</v>
      </c>
    </row>
    <row r="18" spans="1:15" x14ac:dyDescent="0.2">
      <c r="A18" s="120" t="s">
        <v>177</v>
      </c>
      <c r="B18" s="117">
        <v>400</v>
      </c>
      <c r="C18" s="118">
        <v>190.1</v>
      </c>
      <c r="D18" s="118">
        <v>254.6</v>
      </c>
      <c r="E18" s="117">
        <v>300</v>
      </c>
      <c r="F18" s="118">
        <v>193.29</v>
      </c>
      <c r="G18" s="118">
        <v>197.5</v>
      </c>
      <c r="J18" s="384"/>
      <c r="K18" s="120" t="s">
        <v>177</v>
      </c>
      <c r="L18" s="118">
        <v>190.1</v>
      </c>
      <c r="M18" s="118">
        <v>254.6</v>
      </c>
      <c r="N18" s="118">
        <v>193.29</v>
      </c>
      <c r="O18" s="118">
        <v>197.5</v>
      </c>
    </row>
    <row r="19" spans="1:15" x14ac:dyDescent="0.2">
      <c r="J19" s="384"/>
      <c r="K19" s="116" t="s">
        <v>261</v>
      </c>
      <c r="L19" s="168">
        <f>AVERAGE(L7:L18)</f>
        <v>183.04999999999998</v>
      </c>
      <c r="M19" s="168">
        <f>MAX(M7:M18)</f>
        <v>462.5</v>
      </c>
      <c r="N19" s="168">
        <f>AVERAGE(N7:N18)</f>
        <v>187.1308333333333</v>
      </c>
      <c r="O19" s="168">
        <f>MAX(O7:O18)</f>
        <v>247.6</v>
      </c>
    </row>
    <row r="21" spans="1:15" ht="30" x14ac:dyDescent="0.2">
      <c r="J21" s="115">
        <f>+A6</f>
        <v>2022</v>
      </c>
      <c r="K21" s="115" t="s">
        <v>259</v>
      </c>
      <c r="L21" s="121" t="s">
        <v>161</v>
      </c>
      <c r="M21" s="121" t="s">
        <v>162</v>
      </c>
      <c r="N21" s="121" t="s">
        <v>164</v>
      </c>
      <c r="O21" s="121" t="s">
        <v>165</v>
      </c>
    </row>
    <row r="22" spans="1:15" x14ac:dyDescent="0.2">
      <c r="J22" s="384" t="s">
        <v>111</v>
      </c>
      <c r="K22" s="120" t="s">
        <v>166</v>
      </c>
      <c r="L22" s="118"/>
      <c r="M22" s="118"/>
      <c r="N22" s="118"/>
      <c r="O22" s="118"/>
    </row>
    <row r="23" spans="1:15" x14ac:dyDescent="0.2">
      <c r="J23" s="384"/>
      <c r="K23" s="120" t="s">
        <v>167</v>
      </c>
      <c r="L23" s="118"/>
      <c r="M23" s="118"/>
      <c r="N23" s="118"/>
      <c r="O23" s="118"/>
    </row>
    <row r="24" spans="1:15" x14ac:dyDescent="0.2">
      <c r="J24" s="384"/>
      <c r="K24" s="120" t="s">
        <v>168</v>
      </c>
      <c r="L24" s="118"/>
      <c r="M24" s="118"/>
      <c r="N24" s="118"/>
      <c r="O24" s="118"/>
    </row>
    <row r="25" spans="1:15" x14ac:dyDescent="0.2">
      <c r="J25" s="384"/>
      <c r="K25" s="120" t="s">
        <v>169</v>
      </c>
      <c r="L25" s="118"/>
      <c r="M25" s="118"/>
      <c r="N25" s="118"/>
      <c r="O25" s="118"/>
    </row>
    <row r="26" spans="1:15" x14ac:dyDescent="0.2">
      <c r="J26" s="384"/>
      <c r="K26" s="120" t="s">
        <v>170</v>
      </c>
      <c r="L26" s="118"/>
      <c r="M26" s="118"/>
      <c r="N26" s="118"/>
      <c r="O26" s="118"/>
    </row>
    <row r="27" spans="1:15" x14ac:dyDescent="0.2">
      <c r="J27" s="384"/>
      <c r="K27" s="120" t="s">
        <v>171</v>
      </c>
      <c r="L27" s="118"/>
      <c r="M27" s="118"/>
      <c r="N27" s="118"/>
      <c r="O27" s="118"/>
    </row>
    <row r="28" spans="1:15" x14ac:dyDescent="0.2">
      <c r="J28" s="384"/>
      <c r="K28" s="120" t="s">
        <v>172</v>
      </c>
      <c r="L28" s="118"/>
      <c r="M28" s="118"/>
      <c r="N28" s="118"/>
      <c r="O28" s="118"/>
    </row>
    <row r="29" spans="1:15" x14ac:dyDescent="0.2">
      <c r="J29" s="384"/>
      <c r="K29" s="120" t="s">
        <v>173</v>
      </c>
      <c r="L29" s="118"/>
      <c r="M29" s="118"/>
      <c r="N29" s="118"/>
      <c r="O29" s="118"/>
    </row>
    <row r="30" spans="1:15" x14ac:dyDescent="0.2">
      <c r="J30" s="384"/>
      <c r="K30" s="120" t="s">
        <v>174</v>
      </c>
      <c r="L30" s="118"/>
      <c r="M30" s="118"/>
      <c r="N30" s="118"/>
      <c r="O30" s="118"/>
    </row>
    <row r="31" spans="1:15" x14ac:dyDescent="0.2">
      <c r="J31" s="384"/>
      <c r="K31" s="120" t="s">
        <v>175</v>
      </c>
      <c r="L31" s="118"/>
      <c r="M31" s="118"/>
      <c r="N31" s="118"/>
      <c r="O31" s="118"/>
    </row>
    <row r="32" spans="1:15" x14ac:dyDescent="0.2">
      <c r="J32" s="384"/>
      <c r="K32" s="120" t="s">
        <v>176</v>
      </c>
      <c r="L32" s="118"/>
      <c r="M32" s="118"/>
      <c r="N32" s="118"/>
      <c r="O32" s="118"/>
    </row>
    <row r="33" spans="1:15" x14ac:dyDescent="0.2">
      <c r="J33" s="384"/>
      <c r="K33" s="120" t="s">
        <v>177</v>
      </c>
      <c r="L33" s="118"/>
      <c r="M33" s="118"/>
      <c r="N33" s="118"/>
      <c r="O33" s="118"/>
    </row>
    <row r="34" spans="1:15" x14ac:dyDescent="0.2">
      <c r="J34" s="384"/>
      <c r="K34" s="116" t="s">
        <v>261</v>
      </c>
      <c r="L34" s="116" t="e">
        <f>AVERAGE(L22:L33)</f>
        <v>#DIV/0!</v>
      </c>
      <c r="M34" s="116">
        <f>MAX(M22:M33)</f>
        <v>0</v>
      </c>
      <c r="N34" s="116" t="e">
        <f>AVERAGE(N22:N33)</f>
        <v>#DIV/0!</v>
      </c>
      <c r="O34" s="116">
        <f>MAX(O22:O33)</f>
        <v>0</v>
      </c>
    </row>
    <row r="36" spans="1:15" ht="30" x14ac:dyDescent="0.2">
      <c r="J36" s="115">
        <f>+A6</f>
        <v>2022</v>
      </c>
      <c r="K36" s="115" t="s">
        <v>259</v>
      </c>
      <c r="L36" s="121" t="s">
        <v>161</v>
      </c>
      <c r="M36" s="121" t="s">
        <v>162</v>
      </c>
      <c r="N36" s="121" t="s">
        <v>164</v>
      </c>
      <c r="O36" s="121" t="s">
        <v>165</v>
      </c>
    </row>
    <row r="37" spans="1:15" x14ac:dyDescent="0.2">
      <c r="J37" s="384" t="s">
        <v>112</v>
      </c>
      <c r="K37" s="120" t="s">
        <v>166</v>
      </c>
      <c r="L37" s="118"/>
      <c r="M37" s="118"/>
      <c r="N37" s="118"/>
      <c r="O37" s="118"/>
    </row>
    <row r="38" spans="1:15" x14ac:dyDescent="0.2">
      <c r="J38" s="384"/>
      <c r="K38" s="120" t="s">
        <v>167</v>
      </c>
      <c r="L38" s="118"/>
      <c r="M38" s="118"/>
      <c r="N38" s="118"/>
      <c r="O38" s="118"/>
    </row>
    <row r="39" spans="1:15" x14ac:dyDescent="0.2">
      <c r="J39" s="384"/>
      <c r="K39" s="120" t="s">
        <v>168</v>
      </c>
      <c r="L39" s="118"/>
      <c r="M39" s="118"/>
      <c r="N39" s="118"/>
      <c r="O39" s="118"/>
    </row>
    <row r="40" spans="1:15" x14ac:dyDescent="0.2">
      <c r="J40" s="384"/>
      <c r="K40" s="120" t="s">
        <v>169</v>
      </c>
      <c r="L40" s="118"/>
      <c r="M40" s="118"/>
      <c r="N40" s="118"/>
      <c r="O40" s="118"/>
    </row>
    <row r="41" spans="1:15" x14ac:dyDescent="0.2">
      <c r="J41" s="384"/>
      <c r="K41" s="120" t="s">
        <v>170</v>
      </c>
      <c r="L41" s="118"/>
      <c r="M41" s="118"/>
      <c r="N41" s="118"/>
      <c r="O41" s="118"/>
    </row>
    <row r="42" spans="1:15" x14ac:dyDescent="0.2">
      <c r="J42" s="384"/>
      <c r="K42" s="120" t="s">
        <v>171</v>
      </c>
      <c r="L42" s="118"/>
      <c r="M42" s="118"/>
      <c r="N42" s="118"/>
      <c r="O42" s="118"/>
    </row>
    <row r="43" spans="1:15" x14ac:dyDescent="0.2">
      <c r="J43" s="384"/>
      <c r="K43" s="120" t="s">
        <v>172</v>
      </c>
      <c r="L43" s="118"/>
      <c r="M43" s="118"/>
      <c r="N43" s="118"/>
      <c r="O43" s="118"/>
    </row>
    <row r="44" spans="1:15" x14ac:dyDescent="0.2">
      <c r="J44" s="384"/>
      <c r="K44" s="120" t="s">
        <v>173</v>
      </c>
      <c r="L44" s="118"/>
      <c r="M44" s="118"/>
      <c r="N44" s="118"/>
      <c r="O44" s="118"/>
    </row>
    <row r="45" spans="1:15" x14ac:dyDescent="0.2">
      <c r="J45" s="384"/>
      <c r="K45" s="120" t="s">
        <v>174</v>
      </c>
      <c r="L45" s="118"/>
      <c r="M45" s="118"/>
      <c r="N45" s="118"/>
      <c r="O45" s="118"/>
    </row>
    <row r="46" spans="1:15" x14ac:dyDescent="0.2">
      <c r="J46" s="384"/>
      <c r="K46" s="120" t="s">
        <v>175</v>
      </c>
      <c r="L46" s="118"/>
      <c r="M46" s="118"/>
      <c r="N46" s="118"/>
      <c r="O46" s="118"/>
    </row>
    <row r="47" spans="1:15" x14ac:dyDescent="0.2">
      <c r="J47" s="384"/>
      <c r="K47" s="120" t="s">
        <v>176</v>
      </c>
      <c r="L47" s="118"/>
      <c r="M47" s="118"/>
      <c r="N47" s="118"/>
      <c r="O47" s="118"/>
    </row>
    <row r="48" spans="1:15" ht="15" x14ac:dyDescent="0.2">
      <c r="A48" s="396" t="s">
        <v>208</v>
      </c>
      <c r="B48" s="397"/>
      <c r="C48" s="397"/>
      <c r="D48" s="397"/>
      <c r="E48" s="397"/>
      <c r="F48" s="397"/>
      <c r="G48" s="398"/>
      <c r="J48" s="384"/>
      <c r="K48" s="120" t="s">
        <v>177</v>
      </c>
      <c r="L48" s="118"/>
      <c r="M48" s="118"/>
      <c r="N48" s="118"/>
      <c r="O48" s="118"/>
    </row>
    <row r="49" spans="1:15" x14ac:dyDescent="0.2">
      <c r="A49" s="387"/>
      <c r="B49" s="388"/>
      <c r="C49" s="388"/>
      <c r="D49" s="388"/>
      <c r="E49" s="388"/>
      <c r="F49" s="388"/>
      <c r="G49" s="389"/>
      <c r="J49" s="384"/>
      <c r="K49" s="116" t="s">
        <v>261</v>
      </c>
      <c r="L49" s="116" t="e">
        <f>AVERAGE(L37:L48)</f>
        <v>#DIV/0!</v>
      </c>
      <c r="M49" s="116">
        <f>MAX(M37:M48)</f>
        <v>0</v>
      </c>
      <c r="N49" s="116" t="e">
        <f>AVERAGE(N37:N48)</f>
        <v>#DIV/0!</v>
      </c>
      <c r="O49" s="116">
        <f>MAX(O37:O48)</f>
        <v>0</v>
      </c>
    </row>
    <row r="50" spans="1:15" x14ac:dyDescent="0.2">
      <c r="A50" s="390"/>
      <c r="B50" s="391"/>
      <c r="C50" s="391"/>
      <c r="D50" s="391"/>
      <c r="E50" s="391"/>
      <c r="F50" s="391"/>
      <c r="G50" s="392"/>
    </row>
    <row r="51" spans="1:15" ht="30" x14ac:dyDescent="0.2">
      <c r="A51" s="390"/>
      <c r="B51" s="391"/>
      <c r="C51" s="391"/>
      <c r="D51" s="391"/>
      <c r="E51" s="391"/>
      <c r="F51" s="391"/>
      <c r="G51" s="392"/>
      <c r="J51" s="115">
        <f>+A6</f>
        <v>2022</v>
      </c>
      <c r="K51" s="115" t="s">
        <v>259</v>
      </c>
      <c r="L51" s="121" t="s">
        <v>161</v>
      </c>
      <c r="M51" s="121" t="s">
        <v>162</v>
      </c>
      <c r="N51" s="121" t="s">
        <v>164</v>
      </c>
      <c r="O51" s="121" t="s">
        <v>165</v>
      </c>
    </row>
    <row r="52" spans="1:15" x14ac:dyDescent="0.2">
      <c r="A52" s="393"/>
      <c r="B52" s="394"/>
      <c r="C52" s="394"/>
      <c r="D52" s="394"/>
      <c r="E52" s="394"/>
      <c r="F52" s="394"/>
      <c r="G52" s="395"/>
      <c r="J52" s="384" t="s">
        <v>113</v>
      </c>
      <c r="K52" s="120" t="s">
        <v>166</v>
      </c>
      <c r="L52" s="118"/>
      <c r="M52" s="118"/>
      <c r="N52" s="118"/>
      <c r="O52" s="118"/>
    </row>
    <row r="53" spans="1:15" x14ac:dyDescent="0.2">
      <c r="J53" s="384"/>
      <c r="K53" s="120" t="s">
        <v>167</v>
      </c>
      <c r="L53" s="118"/>
      <c r="M53" s="118"/>
      <c r="N53" s="118"/>
      <c r="O53" s="118"/>
    </row>
    <row r="54" spans="1:15" x14ac:dyDescent="0.2">
      <c r="J54" s="384"/>
      <c r="K54" s="120" t="s">
        <v>168</v>
      </c>
      <c r="L54" s="118"/>
      <c r="M54" s="118"/>
      <c r="N54" s="118"/>
      <c r="O54" s="118"/>
    </row>
    <row r="55" spans="1:15" x14ac:dyDescent="0.2">
      <c r="J55" s="384"/>
      <c r="K55" s="120" t="s">
        <v>169</v>
      </c>
      <c r="L55" s="118"/>
      <c r="M55" s="118"/>
      <c r="N55" s="118"/>
      <c r="O55" s="118"/>
    </row>
    <row r="56" spans="1:15" x14ac:dyDescent="0.2">
      <c r="J56" s="384"/>
      <c r="K56" s="120" t="s">
        <v>170</v>
      </c>
      <c r="L56" s="118"/>
      <c r="M56" s="118"/>
      <c r="N56" s="118"/>
      <c r="O56" s="118"/>
    </row>
    <row r="57" spans="1:15" x14ac:dyDescent="0.2">
      <c r="J57" s="384"/>
      <c r="K57" s="120" t="s">
        <v>171</v>
      </c>
      <c r="L57" s="118"/>
      <c r="M57" s="118"/>
      <c r="N57" s="118"/>
      <c r="O57" s="118"/>
    </row>
    <row r="58" spans="1:15" x14ac:dyDescent="0.2">
      <c r="J58" s="384"/>
      <c r="K58" s="120" t="s">
        <v>172</v>
      </c>
      <c r="L58" s="118"/>
      <c r="M58" s="118"/>
      <c r="N58" s="118"/>
      <c r="O58" s="118"/>
    </row>
    <row r="59" spans="1:15" x14ac:dyDescent="0.2">
      <c r="J59" s="384"/>
      <c r="K59" s="120" t="s">
        <v>173</v>
      </c>
      <c r="L59" s="118"/>
      <c r="M59" s="118"/>
      <c r="N59" s="118"/>
      <c r="O59" s="118"/>
    </row>
    <row r="60" spans="1:15" x14ac:dyDescent="0.2">
      <c r="J60" s="384"/>
      <c r="K60" s="120" t="s">
        <v>174</v>
      </c>
      <c r="L60" s="118"/>
      <c r="M60" s="118"/>
      <c r="N60" s="118"/>
      <c r="O60" s="118"/>
    </row>
    <row r="61" spans="1:15" x14ac:dyDescent="0.2">
      <c r="J61" s="384"/>
      <c r="K61" s="120" t="s">
        <v>175</v>
      </c>
      <c r="L61" s="118"/>
      <c r="M61" s="118"/>
      <c r="N61" s="118"/>
      <c r="O61" s="118"/>
    </row>
    <row r="62" spans="1:15" x14ac:dyDescent="0.2">
      <c r="J62" s="384"/>
      <c r="K62" s="120" t="s">
        <v>176</v>
      </c>
      <c r="L62" s="118"/>
      <c r="M62" s="118"/>
      <c r="N62" s="118"/>
      <c r="O62" s="118"/>
    </row>
    <row r="63" spans="1:15" x14ac:dyDescent="0.2">
      <c r="J63" s="384"/>
      <c r="K63" s="120" t="s">
        <v>177</v>
      </c>
      <c r="L63" s="118"/>
      <c r="M63" s="118"/>
      <c r="N63" s="118"/>
      <c r="O63" s="118"/>
    </row>
    <row r="64" spans="1:15" x14ac:dyDescent="0.2">
      <c r="J64" s="384"/>
      <c r="K64" s="116" t="s">
        <v>261</v>
      </c>
      <c r="L64" s="116" t="e">
        <f>AVERAGE(L52:L63)</f>
        <v>#DIV/0!</v>
      </c>
      <c r="M64" s="116">
        <f>MAX(M52:M63)</f>
        <v>0</v>
      </c>
      <c r="N64" s="116" t="e">
        <f>AVERAGE(N52:N63)</f>
        <v>#DIV/0!</v>
      </c>
      <c r="O64" s="116">
        <f>MAX(O52:O63)</f>
        <v>0</v>
      </c>
    </row>
    <row r="66" spans="10:15" ht="30" x14ac:dyDescent="0.2">
      <c r="J66" s="115">
        <f>+A6</f>
        <v>2022</v>
      </c>
      <c r="K66" s="115" t="s">
        <v>259</v>
      </c>
      <c r="L66" s="121" t="s">
        <v>161</v>
      </c>
      <c r="M66" s="121" t="s">
        <v>162</v>
      </c>
      <c r="N66" s="121" t="s">
        <v>164</v>
      </c>
      <c r="O66" s="121" t="s">
        <v>165</v>
      </c>
    </row>
    <row r="67" spans="10:15" x14ac:dyDescent="0.2">
      <c r="J67" s="384" t="s">
        <v>114</v>
      </c>
      <c r="K67" s="120" t="s">
        <v>166</v>
      </c>
      <c r="L67" s="118"/>
      <c r="M67" s="118"/>
      <c r="N67" s="118"/>
      <c r="O67" s="118"/>
    </row>
    <row r="68" spans="10:15" x14ac:dyDescent="0.2">
      <c r="J68" s="384"/>
      <c r="K68" s="120" t="s">
        <v>167</v>
      </c>
      <c r="L68" s="118"/>
      <c r="M68" s="118"/>
      <c r="N68" s="118"/>
      <c r="O68" s="118"/>
    </row>
    <row r="69" spans="10:15" x14ac:dyDescent="0.2">
      <c r="J69" s="384"/>
      <c r="K69" s="120" t="s">
        <v>168</v>
      </c>
      <c r="L69" s="118"/>
      <c r="M69" s="118"/>
      <c r="N69" s="118"/>
      <c r="O69" s="118"/>
    </row>
    <row r="70" spans="10:15" x14ac:dyDescent="0.2">
      <c r="J70" s="384"/>
      <c r="K70" s="120" t="s">
        <v>169</v>
      </c>
      <c r="L70" s="118"/>
      <c r="M70" s="118"/>
      <c r="N70" s="118"/>
      <c r="O70" s="118"/>
    </row>
    <row r="71" spans="10:15" x14ac:dyDescent="0.2">
      <c r="J71" s="384"/>
      <c r="K71" s="120" t="s">
        <v>170</v>
      </c>
      <c r="L71" s="118"/>
      <c r="M71" s="118"/>
      <c r="N71" s="118"/>
      <c r="O71" s="118"/>
    </row>
    <row r="72" spans="10:15" x14ac:dyDescent="0.2">
      <c r="J72" s="384"/>
      <c r="K72" s="120" t="s">
        <v>171</v>
      </c>
      <c r="L72" s="118"/>
      <c r="M72" s="118"/>
      <c r="N72" s="118"/>
      <c r="O72" s="118"/>
    </row>
    <row r="73" spans="10:15" x14ac:dyDescent="0.2">
      <c r="J73" s="384"/>
      <c r="K73" s="120" t="s">
        <v>172</v>
      </c>
      <c r="L73" s="118"/>
      <c r="M73" s="118"/>
      <c r="N73" s="118"/>
      <c r="O73" s="118"/>
    </row>
    <row r="74" spans="10:15" x14ac:dyDescent="0.2">
      <c r="J74" s="384"/>
      <c r="K74" s="120" t="s">
        <v>173</v>
      </c>
      <c r="L74" s="118"/>
      <c r="M74" s="118"/>
      <c r="N74" s="118"/>
      <c r="O74" s="118"/>
    </row>
    <row r="75" spans="10:15" x14ac:dyDescent="0.2">
      <c r="J75" s="384"/>
      <c r="K75" s="120" t="s">
        <v>174</v>
      </c>
      <c r="L75" s="118"/>
      <c r="M75" s="118"/>
      <c r="N75" s="118"/>
      <c r="O75" s="118"/>
    </row>
    <row r="76" spans="10:15" x14ac:dyDescent="0.2">
      <c r="J76" s="384"/>
      <c r="K76" s="120" t="s">
        <v>175</v>
      </c>
      <c r="L76" s="118"/>
      <c r="M76" s="118"/>
      <c r="N76" s="118"/>
      <c r="O76" s="118"/>
    </row>
    <row r="77" spans="10:15" x14ac:dyDescent="0.2">
      <c r="J77" s="384"/>
      <c r="K77" s="120" t="s">
        <v>176</v>
      </c>
      <c r="L77" s="118"/>
      <c r="M77" s="118"/>
      <c r="N77" s="118"/>
      <c r="O77" s="118"/>
    </row>
    <row r="78" spans="10:15" x14ac:dyDescent="0.2">
      <c r="J78" s="384"/>
      <c r="K78" s="120" t="s">
        <v>177</v>
      </c>
      <c r="L78" s="118"/>
      <c r="M78" s="118"/>
      <c r="N78" s="118"/>
      <c r="O78" s="118"/>
    </row>
    <row r="79" spans="10:15" x14ac:dyDescent="0.2">
      <c r="J79" s="384"/>
      <c r="K79" s="116" t="s">
        <v>261</v>
      </c>
      <c r="L79" s="116" t="e">
        <f>AVERAGE(L67:L78)</f>
        <v>#DIV/0!</v>
      </c>
      <c r="M79" s="116">
        <f>MAX(M67:M78)</f>
        <v>0</v>
      </c>
      <c r="N79" s="116" t="e">
        <f>AVERAGE(N67:N78)</f>
        <v>#DIV/0!</v>
      </c>
      <c r="O79" s="116">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showGridLines="0" tabSelected="1" topLeftCell="A3" zoomScale="80" zoomScaleNormal="80" workbookViewId="0">
      <selection activeCell="S10" sqref="S10"/>
    </sheetView>
  </sheetViews>
  <sheetFormatPr defaultRowHeight="14.25" x14ac:dyDescent="0.2"/>
  <cols>
    <col min="1" max="1" width="14" style="3" customWidth="1"/>
    <col min="2" max="4" width="17" style="70" customWidth="1"/>
    <col min="5" max="5" width="14.7109375" style="70" customWidth="1"/>
    <col min="6" max="7" width="17" style="70"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JG Pears CHP Plant</v>
      </c>
    </row>
    <row r="3" spans="1:19" ht="15" x14ac:dyDescent="0.25">
      <c r="A3" s="114" t="s">
        <v>264</v>
      </c>
      <c r="D3" s="132" t="s">
        <v>295</v>
      </c>
      <c r="G3" s="136" t="s">
        <v>302</v>
      </c>
      <c r="J3" s="11" t="str">
        <f>+A3</f>
        <v>Monitoring of Total organic carbon emissions</v>
      </c>
      <c r="L3" s="11"/>
      <c r="N3" s="11" t="s">
        <v>296</v>
      </c>
      <c r="Q3" s="135" t="s">
        <v>290</v>
      </c>
      <c r="R3" s="130"/>
      <c r="S3" s="130"/>
    </row>
    <row r="4" spans="1:19" ht="13.9" customHeight="1" x14ac:dyDescent="0.2">
      <c r="Q4" s="351" t="s">
        <v>300</v>
      </c>
      <c r="R4" s="351"/>
      <c r="S4" s="351"/>
    </row>
    <row r="5" spans="1:19" ht="17.25" x14ac:dyDescent="0.25">
      <c r="A5" s="122" t="s">
        <v>260</v>
      </c>
      <c r="B5" s="386" t="s">
        <v>258</v>
      </c>
      <c r="C5" s="386"/>
      <c r="D5" s="386"/>
      <c r="E5" s="386" t="s">
        <v>257</v>
      </c>
      <c r="F5" s="386"/>
      <c r="G5" s="386"/>
      <c r="J5" s="385"/>
      <c r="K5" s="385"/>
      <c r="L5" s="385"/>
      <c r="M5" s="385"/>
      <c r="N5" s="385"/>
      <c r="O5" s="385"/>
      <c r="Q5" s="351"/>
      <c r="R5" s="351"/>
      <c r="S5" s="351"/>
    </row>
    <row r="6" spans="1:19" s="112" customFormat="1" ht="37.5" customHeight="1" x14ac:dyDescent="0.25">
      <c r="A6" s="119">
        <f>+'Cover Page'!C39</f>
        <v>2022</v>
      </c>
      <c r="B6" s="108" t="s">
        <v>182</v>
      </c>
      <c r="C6" s="108" t="s">
        <v>161</v>
      </c>
      <c r="D6" s="108" t="s">
        <v>312</v>
      </c>
      <c r="E6" s="108" t="s">
        <v>183</v>
      </c>
      <c r="F6" s="108" t="s">
        <v>164</v>
      </c>
      <c r="G6" s="108" t="s">
        <v>313</v>
      </c>
      <c r="H6" s="113"/>
      <c r="J6" s="115">
        <f>+A6</f>
        <v>2022</v>
      </c>
      <c r="K6" s="115" t="s">
        <v>259</v>
      </c>
      <c r="L6" s="121" t="s">
        <v>161</v>
      </c>
      <c r="M6" s="121" t="s">
        <v>162</v>
      </c>
      <c r="N6" s="121" t="s">
        <v>164</v>
      </c>
      <c r="O6" s="121" t="s">
        <v>165</v>
      </c>
      <c r="Q6" s="351"/>
      <c r="R6" s="351"/>
      <c r="S6" s="351"/>
    </row>
    <row r="7" spans="1:19" x14ac:dyDescent="0.2">
      <c r="A7" s="120" t="s">
        <v>166</v>
      </c>
      <c r="B7" s="117">
        <v>30</v>
      </c>
      <c r="C7" s="118">
        <v>1.8</v>
      </c>
      <c r="D7" s="118">
        <v>4.2</v>
      </c>
      <c r="E7" s="117">
        <v>15</v>
      </c>
      <c r="F7" s="118">
        <v>1.81</v>
      </c>
      <c r="G7" s="118">
        <v>2.2999999999999998</v>
      </c>
      <c r="J7" s="384" t="s">
        <v>110</v>
      </c>
      <c r="K7" s="120" t="s">
        <v>166</v>
      </c>
      <c r="L7" s="118">
        <f>C7</f>
        <v>1.8</v>
      </c>
      <c r="M7" s="118">
        <f>D7</f>
        <v>4.2</v>
      </c>
      <c r="N7" s="118">
        <f>F7</f>
        <v>1.81</v>
      </c>
      <c r="O7" s="118">
        <f>G7</f>
        <v>2.2999999999999998</v>
      </c>
      <c r="Q7" s="351"/>
      <c r="R7" s="351"/>
      <c r="S7" s="351"/>
    </row>
    <row r="8" spans="1:19" x14ac:dyDescent="0.2">
      <c r="A8" s="120" t="s">
        <v>167</v>
      </c>
      <c r="B8" s="117">
        <v>30</v>
      </c>
      <c r="C8" s="118">
        <v>2.2999999999999998</v>
      </c>
      <c r="D8" s="118">
        <v>12.3</v>
      </c>
      <c r="E8" s="117">
        <v>15</v>
      </c>
      <c r="F8" s="118">
        <v>2.27</v>
      </c>
      <c r="G8" s="118">
        <v>2.6</v>
      </c>
      <c r="J8" s="384"/>
      <c r="K8" s="120" t="s">
        <v>167</v>
      </c>
      <c r="L8" s="118">
        <f t="shared" ref="L8:L18" si="0">C8</f>
        <v>2.2999999999999998</v>
      </c>
      <c r="M8" s="118">
        <f t="shared" ref="M8:M18" si="1">D8</f>
        <v>12.3</v>
      </c>
      <c r="N8" s="118">
        <f t="shared" ref="N8:N10" si="2">F8</f>
        <v>2.27</v>
      </c>
      <c r="O8" s="118">
        <f t="shared" ref="O8:O18" si="3">G8</f>
        <v>2.6</v>
      </c>
      <c r="Q8" s="351"/>
      <c r="R8" s="351"/>
      <c r="S8" s="351"/>
    </row>
    <row r="9" spans="1:19" ht="15" x14ac:dyDescent="0.25">
      <c r="A9" s="120" t="s">
        <v>168</v>
      </c>
      <c r="B9" s="117">
        <v>30</v>
      </c>
      <c r="C9" s="118">
        <v>2.5</v>
      </c>
      <c r="D9" s="118">
        <v>10.6</v>
      </c>
      <c r="E9" s="117">
        <v>15</v>
      </c>
      <c r="F9" s="118">
        <v>2.54</v>
      </c>
      <c r="G9" s="118">
        <v>3.6</v>
      </c>
      <c r="J9" s="384"/>
      <c r="K9" s="120" t="s">
        <v>168</v>
      </c>
      <c r="L9" s="118">
        <f t="shared" si="0"/>
        <v>2.5</v>
      </c>
      <c r="M9" s="118">
        <f t="shared" si="1"/>
        <v>10.6</v>
      </c>
      <c r="N9" s="118">
        <f t="shared" si="2"/>
        <v>2.54</v>
      </c>
      <c r="O9" s="118">
        <f t="shared" si="3"/>
        <v>3.6</v>
      </c>
      <c r="Q9" s="134" t="s">
        <v>301</v>
      </c>
    </row>
    <row r="10" spans="1:19" ht="14.25" customHeight="1" x14ac:dyDescent="0.2">
      <c r="A10" s="120" t="s">
        <v>169</v>
      </c>
      <c r="B10" s="117">
        <v>30</v>
      </c>
      <c r="C10" s="118">
        <v>1.7</v>
      </c>
      <c r="D10" s="118">
        <v>5</v>
      </c>
      <c r="E10" s="117">
        <v>15</v>
      </c>
      <c r="F10" s="118">
        <v>1.7</v>
      </c>
      <c r="G10" s="118">
        <v>2.2999999999999998</v>
      </c>
      <c r="J10" s="384"/>
      <c r="K10" s="120" t="s">
        <v>169</v>
      </c>
      <c r="L10" s="118">
        <f t="shared" si="0"/>
        <v>1.7</v>
      </c>
      <c r="M10" s="118">
        <f t="shared" si="1"/>
        <v>5</v>
      </c>
      <c r="N10" s="118">
        <f t="shared" si="2"/>
        <v>1.7</v>
      </c>
      <c r="O10" s="118">
        <f t="shared" si="3"/>
        <v>2.2999999999999998</v>
      </c>
      <c r="Q10" s="383" t="s">
        <v>319</v>
      </c>
      <c r="R10" s="383"/>
      <c r="S10" s="383"/>
    </row>
    <row r="11" spans="1:19" x14ac:dyDescent="0.2">
      <c r="A11" s="120" t="s">
        <v>170</v>
      </c>
      <c r="B11" s="117">
        <v>30</v>
      </c>
      <c r="C11" s="118">
        <v>1.7</v>
      </c>
      <c r="D11" s="118">
        <v>3.8</v>
      </c>
      <c r="E11" s="117">
        <v>15</v>
      </c>
      <c r="F11" s="118">
        <v>1.74</v>
      </c>
      <c r="G11" s="118">
        <v>2</v>
      </c>
      <c r="J11" s="384"/>
      <c r="K11" s="120" t="s">
        <v>170</v>
      </c>
      <c r="L11" s="118">
        <f t="shared" si="0"/>
        <v>1.7</v>
      </c>
      <c r="M11" s="118">
        <f t="shared" si="1"/>
        <v>3.8</v>
      </c>
      <c r="N11" s="118">
        <f>F11</f>
        <v>1.74</v>
      </c>
      <c r="O11" s="118">
        <f t="shared" si="3"/>
        <v>2</v>
      </c>
      <c r="Q11" s="383"/>
      <c r="R11" s="383"/>
      <c r="S11" s="383"/>
    </row>
    <row r="12" spans="1:19" x14ac:dyDescent="0.2">
      <c r="A12" s="120" t="s">
        <v>171</v>
      </c>
      <c r="B12" s="117">
        <v>30</v>
      </c>
      <c r="C12" s="118">
        <v>1.6</v>
      </c>
      <c r="D12" s="118">
        <v>6.7</v>
      </c>
      <c r="E12" s="117">
        <v>15</v>
      </c>
      <c r="F12" s="118">
        <v>1.66</v>
      </c>
      <c r="G12" s="118">
        <v>2.1</v>
      </c>
      <c r="J12" s="384"/>
      <c r="K12" s="120" t="s">
        <v>171</v>
      </c>
      <c r="L12" s="118">
        <f t="shared" si="0"/>
        <v>1.6</v>
      </c>
      <c r="M12" s="118">
        <f t="shared" si="1"/>
        <v>6.7</v>
      </c>
      <c r="N12" s="118">
        <f>F12</f>
        <v>1.66</v>
      </c>
      <c r="O12" s="118">
        <f t="shared" si="3"/>
        <v>2.1</v>
      </c>
      <c r="Q12" s="383"/>
      <c r="R12" s="383"/>
      <c r="S12" s="383"/>
    </row>
    <row r="13" spans="1:19" ht="14.25" customHeight="1" x14ac:dyDescent="0.2">
      <c r="A13" s="120" t="s">
        <v>172</v>
      </c>
      <c r="B13" s="117">
        <v>30</v>
      </c>
      <c r="C13" s="118">
        <v>1.3</v>
      </c>
      <c r="D13" s="118">
        <v>21.7</v>
      </c>
      <c r="E13" s="117">
        <v>15</v>
      </c>
      <c r="F13" s="118">
        <v>1.26</v>
      </c>
      <c r="G13" s="118">
        <v>1.7</v>
      </c>
      <c r="J13" s="384"/>
      <c r="K13" s="120" t="s">
        <v>172</v>
      </c>
      <c r="L13" s="118">
        <f t="shared" si="0"/>
        <v>1.3</v>
      </c>
      <c r="M13" s="118">
        <f t="shared" si="1"/>
        <v>21.7</v>
      </c>
      <c r="N13" s="118">
        <f>F13</f>
        <v>1.26</v>
      </c>
      <c r="O13" s="118">
        <f t="shared" si="3"/>
        <v>1.7</v>
      </c>
      <c r="Q13" s="383" t="s">
        <v>325</v>
      </c>
      <c r="R13" s="383"/>
      <c r="S13" s="383"/>
    </row>
    <row r="14" spans="1:19" x14ac:dyDescent="0.2">
      <c r="A14" s="120" t="s">
        <v>173</v>
      </c>
      <c r="B14" s="117">
        <v>30</v>
      </c>
      <c r="C14" s="118">
        <v>1.7</v>
      </c>
      <c r="D14" s="118">
        <v>16.600000000000001</v>
      </c>
      <c r="E14" s="117">
        <v>15</v>
      </c>
      <c r="F14" s="118">
        <v>1.72</v>
      </c>
      <c r="G14" s="118">
        <v>2.2000000000000002</v>
      </c>
      <c r="J14" s="384"/>
      <c r="K14" s="120" t="s">
        <v>173</v>
      </c>
      <c r="L14" s="118">
        <f t="shared" si="0"/>
        <v>1.7</v>
      </c>
      <c r="M14" s="118">
        <f t="shared" si="1"/>
        <v>16.600000000000001</v>
      </c>
      <c r="N14" s="118">
        <v>1.72</v>
      </c>
      <c r="O14" s="118">
        <f t="shared" si="3"/>
        <v>2.2000000000000002</v>
      </c>
      <c r="Q14" s="383"/>
      <c r="R14" s="383"/>
      <c r="S14" s="383"/>
    </row>
    <row r="15" spans="1:19" x14ac:dyDescent="0.2">
      <c r="A15" s="120" t="s">
        <v>174</v>
      </c>
      <c r="B15" s="117">
        <v>30</v>
      </c>
      <c r="C15" s="118">
        <v>1.7</v>
      </c>
      <c r="D15" s="118">
        <v>10.5</v>
      </c>
      <c r="E15" s="117">
        <v>15</v>
      </c>
      <c r="F15" s="118">
        <v>1.68</v>
      </c>
      <c r="G15" s="118">
        <v>2.1</v>
      </c>
      <c r="J15" s="384"/>
      <c r="K15" s="120" t="s">
        <v>174</v>
      </c>
      <c r="L15" s="118">
        <f t="shared" si="0"/>
        <v>1.7</v>
      </c>
      <c r="M15" s="118">
        <f t="shared" si="1"/>
        <v>10.5</v>
      </c>
      <c r="N15" s="118">
        <v>1.68</v>
      </c>
      <c r="O15" s="118">
        <f t="shared" si="3"/>
        <v>2.1</v>
      </c>
      <c r="Q15" s="383"/>
      <c r="R15" s="383"/>
      <c r="S15" s="383"/>
    </row>
    <row r="16" spans="1:19" x14ac:dyDescent="0.2">
      <c r="A16" s="120" t="s">
        <v>175</v>
      </c>
      <c r="B16" s="117">
        <v>30</v>
      </c>
      <c r="C16" s="118">
        <v>2.5</v>
      </c>
      <c r="D16" s="118">
        <v>5.3</v>
      </c>
      <c r="E16" s="117">
        <v>15</v>
      </c>
      <c r="F16" s="118">
        <v>2.4900000000000002</v>
      </c>
      <c r="G16" s="118">
        <v>3.3</v>
      </c>
      <c r="J16" s="384"/>
      <c r="K16" s="120" t="s">
        <v>175</v>
      </c>
      <c r="L16" s="118">
        <f t="shared" si="0"/>
        <v>2.5</v>
      </c>
      <c r="M16" s="118">
        <f t="shared" si="1"/>
        <v>5.3</v>
      </c>
      <c r="N16" s="118">
        <v>2.4900000000000002</v>
      </c>
      <c r="O16" s="118">
        <f t="shared" si="3"/>
        <v>3.3</v>
      </c>
      <c r="Q16" s="383"/>
      <c r="R16" s="383"/>
      <c r="S16" s="383"/>
    </row>
    <row r="17" spans="1:15" x14ac:dyDescent="0.2">
      <c r="A17" s="120" t="s">
        <v>176</v>
      </c>
      <c r="B17" s="117">
        <v>30</v>
      </c>
      <c r="C17" s="118">
        <v>2.5</v>
      </c>
      <c r="D17" s="118">
        <v>7.3</v>
      </c>
      <c r="E17" s="117">
        <v>15</v>
      </c>
      <c r="F17" s="118">
        <v>2.52</v>
      </c>
      <c r="G17" s="118">
        <v>3.9</v>
      </c>
      <c r="J17" s="384"/>
      <c r="K17" s="120" t="s">
        <v>176</v>
      </c>
      <c r="L17" s="118">
        <f t="shared" si="0"/>
        <v>2.5</v>
      </c>
      <c r="M17" s="118">
        <f t="shared" si="1"/>
        <v>7.3</v>
      </c>
      <c r="N17" s="118">
        <v>2.52</v>
      </c>
      <c r="O17" s="118">
        <f t="shared" si="3"/>
        <v>3.9</v>
      </c>
    </row>
    <row r="18" spans="1:15" x14ac:dyDescent="0.2">
      <c r="A18" s="120" t="s">
        <v>177</v>
      </c>
      <c r="B18" s="117">
        <v>30</v>
      </c>
      <c r="C18" s="118">
        <v>2.5</v>
      </c>
      <c r="D18" s="118">
        <v>6.1</v>
      </c>
      <c r="E18" s="117">
        <v>15</v>
      </c>
      <c r="F18" s="118">
        <v>2.5499999999999998</v>
      </c>
      <c r="G18" s="118">
        <v>3.4</v>
      </c>
      <c r="J18" s="384"/>
      <c r="K18" s="120" t="s">
        <v>177</v>
      </c>
      <c r="L18" s="118">
        <f t="shared" si="0"/>
        <v>2.5</v>
      </c>
      <c r="M18" s="118">
        <f t="shared" si="1"/>
        <v>6.1</v>
      </c>
      <c r="N18" s="118">
        <v>2.5499999999999998</v>
      </c>
      <c r="O18" s="118">
        <f t="shared" si="3"/>
        <v>3.4</v>
      </c>
    </row>
    <row r="19" spans="1:15" x14ac:dyDescent="0.2">
      <c r="J19" s="384"/>
      <c r="K19" s="116" t="s">
        <v>261</v>
      </c>
      <c r="L19" s="168">
        <f>AVERAGE(L7:L18)</f>
        <v>1.9833333333333332</v>
      </c>
      <c r="M19" s="168">
        <f>MAX(M7:M18)</f>
        <v>21.7</v>
      </c>
      <c r="N19" s="168">
        <f>AVERAGE(N7:N18)</f>
        <v>1.9950000000000003</v>
      </c>
      <c r="O19" s="168">
        <f>MAX(O7:O18)</f>
        <v>3.9</v>
      </c>
    </row>
    <row r="21" spans="1:15" ht="30" x14ac:dyDescent="0.2">
      <c r="J21" s="115">
        <f>+A6</f>
        <v>2022</v>
      </c>
      <c r="K21" s="115" t="s">
        <v>259</v>
      </c>
      <c r="L21" s="121" t="s">
        <v>161</v>
      </c>
      <c r="M21" s="121" t="s">
        <v>162</v>
      </c>
      <c r="N21" s="121" t="s">
        <v>164</v>
      </c>
      <c r="O21" s="121" t="s">
        <v>165</v>
      </c>
    </row>
    <row r="22" spans="1:15" x14ac:dyDescent="0.2">
      <c r="J22" s="384" t="s">
        <v>111</v>
      </c>
      <c r="K22" s="120" t="s">
        <v>166</v>
      </c>
      <c r="L22" s="118"/>
      <c r="M22" s="118"/>
      <c r="N22" s="118"/>
      <c r="O22" s="118"/>
    </row>
    <row r="23" spans="1:15" x14ac:dyDescent="0.2">
      <c r="J23" s="384"/>
      <c r="K23" s="120" t="s">
        <v>167</v>
      </c>
      <c r="L23" s="118"/>
      <c r="M23" s="118"/>
      <c r="N23" s="118"/>
      <c r="O23" s="118"/>
    </row>
    <row r="24" spans="1:15" x14ac:dyDescent="0.2">
      <c r="J24" s="384"/>
      <c r="K24" s="120" t="s">
        <v>168</v>
      </c>
      <c r="L24" s="118"/>
      <c r="M24" s="118"/>
      <c r="N24" s="118"/>
      <c r="O24" s="118"/>
    </row>
    <row r="25" spans="1:15" x14ac:dyDescent="0.2">
      <c r="J25" s="384"/>
      <c r="K25" s="120" t="s">
        <v>169</v>
      </c>
      <c r="L25" s="118"/>
      <c r="M25" s="118"/>
      <c r="N25" s="118"/>
      <c r="O25" s="118"/>
    </row>
    <row r="26" spans="1:15" x14ac:dyDescent="0.2">
      <c r="J26" s="384"/>
      <c r="K26" s="120" t="s">
        <v>170</v>
      </c>
      <c r="L26" s="118"/>
      <c r="M26" s="118"/>
      <c r="N26" s="118"/>
      <c r="O26" s="118"/>
    </row>
    <row r="27" spans="1:15" x14ac:dyDescent="0.2">
      <c r="J27" s="384"/>
      <c r="K27" s="120" t="s">
        <v>171</v>
      </c>
      <c r="L27" s="118"/>
      <c r="M27" s="118"/>
      <c r="N27" s="118"/>
      <c r="O27" s="118"/>
    </row>
    <row r="28" spans="1:15" x14ac:dyDescent="0.2">
      <c r="J28" s="384"/>
      <c r="K28" s="120" t="s">
        <v>172</v>
      </c>
      <c r="L28" s="118"/>
      <c r="M28" s="118"/>
      <c r="N28" s="118"/>
      <c r="O28" s="118"/>
    </row>
    <row r="29" spans="1:15" x14ac:dyDescent="0.2">
      <c r="J29" s="384"/>
      <c r="K29" s="120" t="s">
        <v>173</v>
      </c>
      <c r="L29" s="118"/>
      <c r="M29" s="118"/>
      <c r="N29" s="118"/>
      <c r="O29" s="118"/>
    </row>
    <row r="30" spans="1:15" x14ac:dyDescent="0.2">
      <c r="J30" s="384"/>
      <c r="K30" s="120" t="s">
        <v>174</v>
      </c>
      <c r="L30" s="118"/>
      <c r="M30" s="118"/>
      <c r="N30" s="118"/>
      <c r="O30" s="118"/>
    </row>
    <row r="31" spans="1:15" x14ac:dyDescent="0.2">
      <c r="J31" s="384"/>
      <c r="K31" s="120" t="s">
        <v>175</v>
      </c>
      <c r="L31" s="118"/>
      <c r="M31" s="118"/>
      <c r="N31" s="118"/>
      <c r="O31" s="118"/>
    </row>
    <row r="32" spans="1:15" x14ac:dyDescent="0.2">
      <c r="J32" s="384"/>
      <c r="K32" s="120" t="s">
        <v>176</v>
      </c>
      <c r="L32" s="118"/>
      <c r="M32" s="118"/>
      <c r="N32" s="118"/>
      <c r="O32" s="118"/>
    </row>
    <row r="33" spans="1:15" x14ac:dyDescent="0.2">
      <c r="J33" s="384"/>
      <c r="K33" s="120" t="s">
        <v>177</v>
      </c>
      <c r="L33" s="118"/>
      <c r="M33" s="118"/>
      <c r="N33" s="118"/>
      <c r="O33" s="118"/>
    </row>
    <row r="34" spans="1:15" x14ac:dyDescent="0.2">
      <c r="J34" s="384"/>
      <c r="K34" s="116" t="s">
        <v>261</v>
      </c>
      <c r="L34" s="116" t="e">
        <f>AVERAGE(L22:L33)</f>
        <v>#DIV/0!</v>
      </c>
      <c r="M34" s="116">
        <f>MAX(M22:M33)</f>
        <v>0</v>
      </c>
      <c r="N34" s="116" t="e">
        <f>AVERAGE(N22:N33)</f>
        <v>#DIV/0!</v>
      </c>
      <c r="O34" s="116">
        <f>MAX(O22:O33)</f>
        <v>0</v>
      </c>
    </row>
    <row r="36" spans="1:15" ht="30" x14ac:dyDescent="0.2">
      <c r="J36" s="115">
        <f>+A6</f>
        <v>2022</v>
      </c>
      <c r="K36" s="115" t="s">
        <v>259</v>
      </c>
      <c r="L36" s="121" t="s">
        <v>161</v>
      </c>
      <c r="M36" s="121" t="s">
        <v>162</v>
      </c>
      <c r="N36" s="121" t="s">
        <v>164</v>
      </c>
      <c r="O36" s="121" t="s">
        <v>165</v>
      </c>
    </row>
    <row r="37" spans="1:15" x14ac:dyDescent="0.2">
      <c r="J37" s="384" t="s">
        <v>112</v>
      </c>
      <c r="K37" s="120" t="s">
        <v>166</v>
      </c>
      <c r="L37" s="118"/>
      <c r="M37" s="118"/>
      <c r="N37" s="118"/>
      <c r="O37" s="118"/>
    </row>
    <row r="38" spans="1:15" x14ac:dyDescent="0.2">
      <c r="J38" s="384"/>
      <c r="K38" s="120" t="s">
        <v>167</v>
      </c>
      <c r="L38" s="118"/>
      <c r="M38" s="118"/>
      <c r="N38" s="118"/>
      <c r="O38" s="118"/>
    </row>
    <row r="39" spans="1:15" x14ac:dyDescent="0.2">
      <c r="J39" s="384"/>
      <c r="K39" s="120" t="s">
        <v>168</v>
      </c>
      <c r="L39" s="118"/>
      <c r="M39" s="118"/>
      <c r="N39" s="118"/>
      <c r="O39" s="118"/>
    </row>
    <row r="40" spans="1:15" x14ac:dyDescent="0.2">
      <c r="J40" s="384"/>
      <c r="K40" s="120" t="s">
        <v>169</v>
      </c>
      <c r="L40" s="118"/>
      <c r="M40" s="118"/>
      <c r="N40" s="118"/>
      <c r="O40" s="118"/>
    </row>
    <row r="41" spans="1:15" x14ac:dyDescent="0.2">
      <c r="J41" s="384"/>
      <c r="K41" s="120" t="s">
        <v>170</v>
      </c>
      <c r="L41" s="118"/>
      <c r="M41" s="118"/>
      <c r="N41" s="118"/>
      <c r="O41" s="118"/>
    </row>
    <row r="42" spans="1:15" x14ac:dyDescent="0.2">
      <c r="J42" s="384"/>
      <c r="K42" s="120" t="s">
        <v>171</v>
      </c>
      <c r="L42" s="118"/>
      <c r="M42" s="118"/>
      <c r="N42" s="118"/>
      <c r="O42" s="118"/>
    </row>
    <row r="43" spans="1:15" x14ac:dyDescent="0.2">
      <c r="J43" s="384"/>
      <c r="K43" s="120" t="s">
        <v>172</v>
      </c>
      <c r="L43" s="118"/>
      <c r="M43" s="118"/>
      <c r="N43" s="118"/>
      <c r="O43" s="118"/>
    </row>
    <row r="44" spans="1:15" x14ac:dyDescent="0.2">
      <c r="J44" s="384"/>
      <c r="K44" s="120" t="s">
        <v>173</v>
      </c>
      <c r="L44" s="118"/>
      <c r="M44" s="118"/>
      <c r="N44" s="118"/>
      <c r="O44" s="118"/>
    </row>
    <row r="45" spans="1:15" x14ac:dyDescent="0.2">
      <c r="J45" s="384"/>
      <c r="K45" s="120" t="s">
        <v>174</v>
      </c>
      <c r="L45" s="118"/>
      <c r="M45" s="118"/>
      <c r="N45" s="118"/>
      <c r="O45" s="118"/>
    </row>
    <row r="46" spans="1:15" x14ac:dyDescent="0.2">
      <c r="J46" s="384"/>
      <c r="K46" s="120" t="s">
        <v>175</v>
      </c>
      <c r="L46" s="118"/>
      <c r="M46" s="118"/>
      <c r="N46" s="118"/>
      <c r="O46" s="118"/>
    </row>
    <row r="47" spans="1:15" x14ac:dyDescent="0.2">
      <c r="J47" s="384"/>
      <c r="K47" s="120" t="s">
        <v>176</v>
      </c>
      <c r="L47" s="118"/>
      <c r="M47" s="118"/>
      <c r="N47" s="118"/>
      <c r="O47" s="118"/>
    </row>
    <row r="48" spans="1:15" ht="15" x14ac:dyDescent="0.2">
      <c r="A48" s="396" t="s">
        <v>208</v>
      </c>
      <c r="B48" s="397"/>
      <c r="C48" s="397"/>
      <c r="D48" s="397"/>
      <c r="E48" s="397"/>
      <c r="F48" s="397"/>
      <c r="G48" s="398"/>
      <c r="J48" s="384"/>
      <c r="K48" s="120" t="s">
        <v>177</v>
      </c>
      <c r="L48" s="118"/>
      <c r="M48" s="118"/>
      <c r="N48" s="118"/>
      <c r="O48" s="118"/>
    </row>
    <row r="49" spans="1:15" x14ac:dyDescent="0.2">
      <c r="A49" s="387"/>
      <c r="B49" s="388"/>
      <c r="C49" s="388"/>
      <c r="D49" s="388"/>
      <c r="E49" s="388"/>
      <c r="F49" s="388"/>
      <c r="G49" s="389"/>
      <c r="J49" s="384"/>
      <c r="K49" s="116" t="s">
        <v>261</v>
      </c>
      <c r="L49" s="116" t="e">
        <f>AVERAGE(L37:L48)</f>
        <v>#DIV/0!</v>
      </c>
      <c r="M49" s="116">
        <f>MAX(M37:M48)</f>
        <v>0</v>
      </c>
      <c r="N49" s="116" t="e">
        <f>AVERAGE(N37:N48)</f>
        <v>#DIV/0!</v>
      </c>
      <c r="O49" s="116">
        <f>MAX(O37:O48)</f>
        <v>0</v>
      </c>
    </row>
    <row r="50" spans="1:15" x14ac:dyDescent="0.2">
      <c r="A50" s="390"/>
      <c r="B50" s="391"/>
      <c r="C50" s="391"/>
      <c r="D50" s="391"/>
      <c r="E50" s="391"/>
      <c r="F50" s="391"/>
      <c r="G50" s="392"/>
    </row>
    <row r="51" spans="1:15" ht="30" x14ac:dyDescent="0.2">
      <c r="A51" s="390"/>
      <c r="B51" s="391"/>
      <c r="C51" s="391"/>
      <c r="D51" s="391"/>
      <c r="E51" s="391"/>
      <c r="F51" s="391"/>
      <c r="G51" s="392"/>
      <c r="J51" s="115">
        <f>+A6</f>
        <v>2022</v>
      </c>
      <c r="K51" s="115" t="s">
        <v>259</v>
      </c>
      <c r="L51" s="121" t="s">
        <v>161</v>
      </c>
      <c r="M51" s="121" t="s">
        <v>162</v>
      </c>
      <c r="N51" s="121" t="s">
        <v>164</v>
      </c>
      <c r="O51" s="121" t="s">
        <v>165</v>
      </c>
    </row>
    <row r="52" spans="1:15" x14ac:dyDescent="0.2">
      <c r="A52" s="393"/>
      <c r="B52" s="394"/>
      <c r="C52" s="394"/>
      <c r="D52" s="394"/>
      <c r="E52" s="394"/>
      <c r="F52" s="394"/>
      <c r="G52" s="395"/>
      <c r="J52" s="384" t="s">
        <v>113</v>
      </c>
      <c r="K52" s="120" t="s">
        <v>166</v>
      </c>
      <c r="L52" s="118"/>
      <c r="M52" s="118"/>
      <c r="N52" s="118"/>
      <c r="O52" s="118"/>
    </row>
    <row r="53" spans="1:15" x14ac:dyDescent="0.2">
      <c r="J53" s="384"/>
      <c r="K53" s="120" t="s">
        <v>167</v>
      </c>
      <c r="L53" s="118"/>
      <c r="M53" s="118"/>
      <c r="N53" s="118"/>
      <c r="O53" s="118"/>
    </row>
    <row r="54" spans="1:15" x14ac:dyDescent="0.2">
      <c r="J54" s="384"/>
      <c r="K54" s="120" t="s">
        <v>168</v>
      </c>
      <c r="L54" s="118"/>
      <c r="M54" s="118"/>
      <c r="N54" s="118"/>
      <c r="O54" s="118"/>
    </row>
    <row r="55" spans="1:15" x14ac:dyDescent="0.2">
      <c r="J55" s="384"/>
      <c r="K55" s="120" t="s">
        <v>169</v>
      </c>
      <c r="L55" s="118"/>
      <c r="M55" s="118"/>
      <c r="N55" s="118"/>
      <c r="O55" s="118"/>
    </row>
    <row r="56" spans="1:15" x14ac:dyDescent="0.2">
      <c r="J56" s="384"/>
      <c r="K56" s="120" t="s">
        <v>170</v>
      </c>
      <c r="L56" s="118"/>
      <c r="M56" s="118"/>
      <c r="N56" s="118"/>
      <c r="O56" s="118"/>
    </row>
    <row r="57" spans="1:15" x14ac:dyDescent="0.2">
      <c r="J57" s="384"/>
      <c r="K57" s="120" t="s">
        <v>171</v>
      </c>
      <c r="L57" s="118"/>
      <c r="M57" s="118"/>
      <c r="N57" s="118"/>
      <c r="O57" s="118"/>
    </row>
    <row r="58" spans="1:15" x14ac:dyDescent="0.2">
      <c r="J58" s="384"/>
      <c r="K58" s="120" t="s">
        <v>172</v>
      </c>
      <c r="L58" s="118"/>
      <c r="M58" s="118"/>
      <c r="N58" s="118"/>
      <c r="O58" s="118"/>
    </row>
    <row r="59" spans="1:15" x14ac:dyDescent="0.2">
      <c r="J59" s="384"/>
      <c r="K59" s="120" t="s">
        <v>173</v>
      </c>
      <c r="L59" s="118"/>
      <c r="M59" s="118"/>
      <c r="N59" s="118"/>
      <c r="O59" s="118"/>
    </row>
    <row r="60" spans="1:15" x14ac:dyDescent="0.2">
      <c r="J60" s="384"/>
      <c r="K60" s="120" t="s">
        <v>174</v>
      </c>
      <c r="L60" s="118"/>
      <c r="M60" s="118"/>
      <c r="N60" s="118"/>
      <c r="O60" s="118"/>
    </row>
    <row r="61" spans="1:15" x14ac:dyDescent="0.2">
      <c r="J61" s="384"/>
      <c r="K61" s="120" t="s">
        <v>175</v>
      </c>
      <c r="L61" s="118"/>
      <c r="M61" s="118"/>
      <c r="N61" s="118"/>
      <c r="O61" s="118"/>
    </row>
    <row r="62" spans="1:15" x14ac:dyDescent="0.2">
      <c r="J62" s="384"/>
      <c r="K62" s="120" t="s">
        <v>176</v>
      </c>
      <c r="L62" s="118"/>
      <c r="M62" s="118"/>
      <c r="N62" s="118"/>
      <c r="O62" s="118"/>
    </row>
    <row r="63" spans="1:15" x14ac:dyDescent="0.2">
      <c r="J63" s="384"/>
      <c r="K63" s="120" t="s">
        <v>177</v>
      </c>
      <c r="L63" s="118"/>
      <c r="M63" s="118"/>
      <c r="N63" s="118"/>
      <c r="O63" s="118"/>
    </row>
    <row r="64" spans="1:15" x14ac:dyDescent="0.2">
      <c r="J64" s="384"/>
      <c r="K64" s="116" t="s">
        <v>261</v>
      </c>
      <c r="L64" s="116" t="e">
        <f>AVERAGE(L52:L63)</f>
        <v>#DIV/0!</v>
      </c>
      <c r="M64" s="116">
        <f>MAX(M52:M63)</f>
        <v>0</v>
      </c>
      <c r="N64" s="116" t="e">
        <f>AVERAGE(N52:N63)</f>
        <v>#DIV/0!</v>
      </c>
      <c r="O64" s="116">
        <f>MAX(O52:O63)</f>
        <v>0</v>
      </c>
    </row>
    <row r="66" spans="10:15" ht="30" x14ac:dyDescent="0.2">
      <c r="J66" s="115">
        <f>+A6</f>
        <v>2022</v>
      </c>
      <c r="K66" s="115" t="s">
        <v>259</v>
      </c>
      <c r="L66" s="121" t="s">
        <v>161</v>
      </c>
      <c r="M66" s="121" t="s">
        <v>162</v>
      </c>
      <c r="N66" s="121" t="s">
        <v>164</v>
      </c>
      <c r="O66" s="121" t="s">
        <v>165</v>
      </c>
    </row>
    <row r="67" spans="10:15" x14ac:dyDescent="0.2">
      <c r="J67" s="384" t="s">
        <v>114</v>
      </c>
      <c r="K67" s="120" t="s">
        <v>166</v>
      </c>
      <c r="L67" s="118"/>
      <c r="M67" s="118"/>
      <c r="N67" s="118"/>
      <c r="O67" s="118"/>
    </row>
    <row r="68" spans="10:15" x14ac:dyDescent="0.2">
      <c r="J68" s="384"/>
      <c r="K68" s="120" t="s">
        <v>167</v>
      </c>
      <c r="L68" s="118"/>
      <c r="M68" s="118"/>
      <c r="N68" s="118"/>
      <c r="O68" s="118"/>
    </row>
    <row r="69" spans="10:15" x14ac:dyDescent="0.2">
      <c r="J69" s="384"/>
      <c r="K69" s="120" t="s">
        <v>168</v>
      </c>
      <c r="L69" s="118"/>
      <c r="M69" s="118"/>
      <c r="N69" s="118"/>
      <c r="O69" s="118"/>
    </row>
    <row r="70" spans="10:15" x14ac:dyDescent="0.2">
      <c r="J70" s="384"/>
      <c r="K70" s="120" t="s">
        <v>169</v>
      </c>
      <c r="L70" s="118"/>
      <c r="M70" s="118"/>
      <c r="N70" s="118"/>
      <c r="O70" s="118"/>
    </row>
    <row r="71" spans="10:15" x14ac:dyDescent="0.2">
      <c r="J71" s="384"/>
      <c r="K71" s="120" t="s">
        <v>170</v>
      </c>
      <c r="L71" s="118"/>
      <c r="M71" s="118"/>
      <c r="N71" s="118"/>
      <c r="O71" s="118"/>
    </row>
    <row r="72" spans="10:15" x14ac:dyDescent="0.2">
      <c r="J72" s="384"/>
      <c r="K72" s="120" t="s">
        <v>171</v>
      </c>
      <c r="L72" s="118"/>
      <c r="M72" s="118"/>
      <c r="N72" s="118"/>
      <c r="O72" s="118"/>
    </row>
    <row r="73" spans="10:15" x14ac:dyDescent="0.2">
      <c r="J73" s="384"/>
      <c r="K73" s="120" t="s">
        <v>172</v>
      </c>
      <c r="L73" s="118"/>
      <c r="M73" s="118"/>
      <c r="N73" s="118"/>
      <c r="O73" s="118"/>
    </row>
    <row r="74" spans="10:15" x14ac:dyDescent="0.2">
      <c r="J74" s="384"/>
      <c r="K74" s="120" t="s">
        <v>173</v>
      </c>
      <c r="L74" s="118"/>
      <c r="M74" s="118"/>
      <c r="N74" s="118"/>
      <c r="O74" s="118"/>
    </row>
    <row r="75" spans="10:15" x14ac:dyDescent="0.2">
      <c r="J75" s="384"/>
      <c r="K75" s="120" t="s">
        <v>174</v>
      </c>
      <c r="L75" s="118"/>
      <c r="M75" s="118"/>
      <c r="N75" s="118"/>
      <c r="O75" s="118"/>
    </row>
    <row r="76" spans="10:15" x14ac:dyDescent="0.2">
      <c r="J76" s="384"/>
      <c r="K76" s="120" t="s">
        <v>175</v>
      </c>
      <c r="L76" s="118"/>
      <c r="M76" s="118"/>
      <c r="N76" s="118"/>
      <c r="O76" s="118"/>
    </row>
    <row r="77" spans="10:15" x14ac:dyDescent="0.2">
      <c r="J77" s="384"/>
      <c r="K77" s="120" t="s">
        <v>176</v>
      </c>
      <c r="L77" s="118"/>
      <c r="M77" s="118"/>
      <c r="N77" s="118"/>
      <c r="O77" s="118"/>
    </row>
    <row r="78" spans="10:15" x14ac:dyDescent="0.2">
      <c r="J78" s="384"/>
      <c r="K78" s="120" t="s">
        <v>177</v>
      </c>
      <c r="L78" s="118"/>
      <c r="M78" s="118"/>
      <c r="N78" s="118"/>
      <c r="O78" s="118"/>
    </row>
    <row r="79" spans="10:15" x14ac:dyDescent="0.2">
      <c r="J79" s="384"/>
      <c r="K79" s="116" t="s">
        <v>261</v>
      </c>
      <c r="L79" s="116" t="e">
        <f>AVERAGE(L67:L78)</f>
        <v>#DIV/0!</v>
      </c>
      <c r="M79" s="116">
        <f>MAX(M67:M78)</f>
        <v>0</v>
      </c>
      <c r="N79" s="116" t="e">
        <f>AVERAGE(N67:N78)</f>
        <v>#DIV/0!</v>
      </c>
      <c r="O79" s="116">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showGridLines="0" tabSelected="1" topLeftCell="A3" zoomScale="90" zoomScaleNormal="90" workbookViewId="0">
      <selection activeCell="S10" sqref="S10"/>
    </sheetView>
  </sheetViews>
  <sheetFormatPr defaultRowHeight="14.25" x14ac:dyDescent="0.2"/>
  <cols>
    <col min="1" max="1" width="14" style="3" customWidth="1"/>
    <col min="2" max="4" width="17" style="70" customWidth="1"/>
    <col min="5" max="5" width="14.7109375" style="70" customWidth="1"/>
    <col min="6" max="7" width="17" style="70"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JG Pears CHP Plant</v>
      </c>
    </row>
    <row r="3" spans="1:19" ht="15" x14ac:dyDescent="0.25">
      <c r="A3" s="114" t="s">
        <v>265</v>
      </c>
      <c r="D3" s="132" t="s">
        <v>295</v>
      </c>
      <c r="G3" s="136" t="s">
        <v>302</v>
      </c>
      <c r="J3" s="11" t="str">
        <f>+A3</f>
        <v>Monitoring of Particulate matter emissions</v>
      </c>
      <c r="L3" s="11"/>
      <c r="N3" s="11" t="s">
        <v>296</v>
      </c>
      <c r="Q3" s="135" t="s">
        <v>290</v>
      </c>
      <c r="R3" s="130"/>
      <c r="S3" s="130"/>
    </row>
    <row r="4" spans="1:19" ht="13.9" customHeight="1" x14ac:dyDescent="0.2">
      <c r="Q4" s="351" t="s">
        <v>300</v>
      </c>
      <c r="R4" s="351"/>
      <c r="S4" s="351"/>
    </row>
    <row r="5" spans="1:19" ht="17.25" x14ac:dyDescent="0.25">
      <c r="A5" s="122" t="s">
        <v>260</v>
      </c>
      <c r="B5" s="386" t="s">
        <v>258</v>
      </c>
      <c r="C5" s="386"/>
      <c r="D5" s="386"/>
      <c r="E5" s="386" t="s">
        <v>257</v>
      </c>
      <c r="F5" s="386"/>
      <c r="G5" s="386"/>
      <c r="J5" s="385"/>
      <c r="K5" s="385"/>
      <c r="L5" s="385"/>
      <c r="M5" s="385"/>
      <c r="N5" s="385"/>
      <c r="O5" s="385"/>
      <c r="Q5" s="351"/>
      <c r="R5" s="351"/>
      <c r="S5" s="351"/>
    </row>
    <row r="6" spans="1:19" s="112" customFormat="1" ht="37.5" customHeight="1" x14ac:dyDescent="0.25">
      <c r="A6" s="119">
        <f>+'Cover Page'!C39</f>
        <v>2022</v>
      </c>
      <c r="B6" s="108" t="s">
        <v>184</v>
      </c>
      <c r="C6" s="108" t="s">
        <v>161</v>
      </c>
      <c r="D6" s="108" t="s">
        <v>312</v>
      </c>
      <c r="E6" s="108" t="s">
        <v>185</v>
      </c>
      <c r="F6" s="108" t="s">
        <v>164</v>
      </c>
      <c r="G6" s="108" t="s">
        <v>313</v>
      </c>
      <c r="H6" s="113"/>
      <c r="J6" s="115">
        <f>+A6</f>
        <v>2022</v>
      </c>
      <c r="K6" s="115" t="s">
        <v>259</v>
      </c>
      <c r="L6" s="121" t="s">
        <v>161</v>
      </c>
      <c r="M6" s="121" t="s">
        <v>162</v>
      </c>
      <c r="N6" s="121" t="s">
        <v>164</v>
      </c>
      <c r="O6" s="121" t="s">
        <v>165</v>
      </c>
      <c r="Q6" s="351"/>
      <c r="R6" s="351"/>
      <c r="S6" s="351"/>
    </row>
    <row r="7" spans="1:19" x14ac:dyDescent="0.2">
      <c r="A7" s="120" t="s">
        <v>166</v>
      </c>
      <c r="B7" s="117">
        <v>45</v>
      </c>
      <c r="C7" s="118">
        <v>3.1</v>
      </c>
      <c r="D7" s="118">
        <v>117.1</v>
      </c>
      <c r="E7" s="117">
        <v>15</v>
      </c>
      <c r="F7" s="118">
        <v>1.82</v>
      </c>
      <c r="G7" s="118">
        <v>13.6</v>
      </c>
      <c r="J7" s="384" t="s">
        <v>110</v>
      </c>
      <c r="K7" s="120" t="s">
        <v>166</v>
      </c>
      <c r="L7" s="118">
        <f>C7</f>
        <v>3.1</v>
      </c>
      <c r="M7" s="118">
        <f>D7</f>
        <v>117.1</v>
      </c>
      <c r="N7" s="118">
        <f>F7</f>
        <v>1.82</v>
      </c>
      <c r="O7" s="118">
        <f>G7</f>
        <v>13.6</v>
      </c>
      <c r="Q7" s="351"/>
      <c r="R7" s="351"/>
      <c r="S7" s="351"/>
    </row>
    <row r="8" spans="1:19" x14ac:dyDescent="0.2">
      <c r="A8" s="120" t="s">
        <v>167</v>
      </c>
      <c r="B8" s="117">
        <v>45</v>
      </c>
      <c r="C8" s="118">
        <v>0.9</v>
      </c>
      <c r="D8" s="118">
        <v>37.6</v>
      </c>
      <c r="E8" s="117">
        <v>15</v>
      </c>
      <c r="F8" s="118">
        <v>0.79</v>
      </c>
      <c r="G8" s="118">
        <v>2</v>
      </c>
      <c r="J8" s="384"/>
      <c r="K8" s="120" t="s">
        <v>167</v>
      </c>
      <c r="L8" s="118">
        <f t="shared" ref="L8:L18" si="0">C8</f>
        <v>0.9</v>
      </c>
      <c r="M8" s="118">
        <f t="shared" ref="M8:M18" si="1">D8</f>
        <v>37.6</v>
      </c>
      <c r="N8" s="118">
        <f t="shared" ref="N8:N17" si="2">F8</f>
        <v>0.79</v>
      </c>
      <c r="O8" s="118">
        <f t="shared" ref="O8:O18" si="3">G8</f>
        <v>2</v>
      </c>
      <c r="Q8" s="351"/>
      <c r="R8" s="351"/>
      <c r="S8" s="351"/>
    </row>
    <row r="9" spans="1:19" ht="15" x14ac:dyDescent="0.25">
      <c r="A9" s="120" t="s">
        <v>168</v>
      </c>
      <c r="B9" s="117">
        <v>45</v>
      </c>
      <c r="C9" s="118">
        <v>0.8</v>
      </c>
      <c r="D9" s="118">
        <v>26.4</v>
      </c>
      <c r="E9" s="117">
        <v>15</v>
      </c>
      <c r="F9" s="118">
        <v>1.47</v>
      </c>
      <c r="G9" s="118">
        <v>4.8</v>
      </c>
      <c r="J9" s="384"/>
      <c r="K9" s="120" t="s">
        <v>168</v>
      </c>
      <c r="L9" s="118">
        <f t="shared" si="0"/>
        <v>0.8</v>
      </c>
      <c r="M9" s="118">
        <f t="shared" si="1"/>
        <v>26.4</v>
      </c>
      <c r="N9" s="118">
        <f t="shared" si="2"/>
        <v>1.47</v>
      </c>
      <c r="O9" s="118">
        <f t="shared" si="3"/>
        <v>4.8</v>
      </c>
      <c r="Q9" s="134" t="s">
        <v>301</v>
      </c>
    </row>
    <row r="10" spans="1:19" ht="14.25" customHeight="1" x14ac:dyDescent="0.2">
      <c r="A10" s="120" t="s">
        <v>169</v>
      </c>
      <c r="B10" s="117">
        <v>45</v>
      </c>
      <c r="C10" s="118">
        <v>1.3</v>
      </c>
      <c r="D10" s="118">
        <v>54</v>
      </c>
      <c r="E10" s="117">
        <v>15</v>
      </c>
      <c r="F10" s="118">
        <v>1.24</v>
      </c>
      <c r="G10" s="118">
        <v>7.4</v>
      </c>
      <c r="J10" s="384"/>
      <c r="K10" s="120" t="s">
        <v>169</v>
      </c>
      <c r="L10" s="118">
        <f t="shared" si="0"/>
        <v>1.3</v>
      </c>
      <c r="M10" s="118">
        <f t="shared" si="1"/>
        <v>54</v>
      </c>
      <c r="N10" s="118">
        <f t="shared" si="2"/>
        <v>1.24</v>
      </c>
      <c r="O10" s="118">
        <f t="shared" si="3"/>
        <v>7.4</v>
      </c>
      <c r="Q10" s="383" t="s">
        <v>319</v>
      </c>
      <c r="R10" s="383"/>
      <c r="S10" s="383"/>
    </row>
    <row r="11" spans="1:19" x14ac:dyDescent="0.2">
      <c r="A11" s="120" t="s">
        <v>170</v>
      </c>
      <c r="B11" s="117">
        <v>45</v>
      </c>
      <c r="C11" s="118">
        <v>0.7</v>
      </c>
      <c r="D11" s="118">
        <v>16.600000000000001</v>
      </c>
      <c r="E11" s="117">
        <v>15</v>
      </c>
      <c r="F11" s="118">
        <v>0.68</v>
      </c>
      <c r="G11" s="118">
        <v>1.3</v>
      </c>
      <c r="J11" s="384"/>
      <c r="K11" s="120" t="s">
        <v>170</v>
      </c>
      <c r="L11" s="118">
        <f t="shared" si="0"/>
        <v>0.7</v>
      </c>
      <c r="M11" s="118">
        <f t="shared" si="1"/>
        <v>16.600000000000001</v>
      </c>
      <c r="N11" s="118">
        <f t="shared" si="2"/>
        <v>0.68</v>
      </c>
      <c r="O11" s="118">
        <f t="shared" si="3"/>
        <v>1.3</v>
      </c>
      <c r="Q11" s="383"/>
      <c r="R11" s="383"/>
      <c r="S11" s="383"/>
    </row>
    <row r="12" spans="1:19" x14ac:dyDescent="0.2">
      <c r="A12" s="120" t="s">
        <v>171</v>
      </c>
      <c r="B12" s="117">
        <v>45</v>
      </c>
      <c r="C12" s="118">
        <v>1.5</v>
      </c>
      <c r="D12" s="118">
        <v>114.3</v>
      </c>
      <c r="E12" s="117">
        <v>15</v>
      </c>
      <c r="F12" s="118">
        <v>1.02</v>
      </c>
      <c r="G12" s="118">
        <v>1.6</v>
      </c>
      <c r="J12" s="384"/>
      <c r="K12" s="120" t="s">
        <v>171</v>
      </c>
      <c r="L12" s="118">
        <f t="shared" si="0"/>
        <v>1.5</v>
      </c>
      <c r="M12" s="118">
        <f t="shared" si="1"/>
        <v>114.3</v>
      </c>
      <c r="N12" s="118">
        <f t="shared" si="2"/>
        <v>1.02</v>
      </c>
      <c r="O12" s="118">
        <f t="shared" si="3"/>
        <v>1.6</v>
      </c>
      <c r="Q12" s="383"/>
      <c r="R12" s="383"/>
      <c r="S12" s="383"/>
    </row>
    <row r="13" spans="1:19" ht="14.25" customHeight="1" x14ac:dyDescent="0.2">
      <c r="A13" s="120" t="s">
        <v>172</v>
      </c>
      <c r="B13" s="117">
        <v>45</v>
      </c>
      <c r="C13" s="118">
        <v>1.8</v>
      </c>
      <c r="D13" s="118">
        <v>64.400000000000006</v>
      </c>
      <c r="E13" s="117">
        <v>15</v>
      </c>
      <c r="F13" s="118">
        <v>1.27</v>
      </c>
      <c r="G13" s="118">
        <v>2.6</v>
      </c>
      <c r="J13" s="384"/>
      <c r="K13" s="120" t="s">
        <v>172</v>
      </c>
      <c r="L13" s="118">
        <f t="shared" si="0"/>
        <v>1.8</v>
      </c>
      <c r="M13" s="118">
        <f t="shared" si="1"/>
        <v>64.400000000000006</v>
      </c>
      <c r="N13" s="118">
        <f t="shared" si="2"/>
        <v>1.27</v>
      </c>
      <c r="O13" s="118">
        <f t="shared" si="3"/>
        <v>2.6</v>
      </c>
      <c r="Q13" s="383" t="s">
        <v>325</v>
      </c>
      <c r="R13" s="383"/>
      <c r="S13" s="383"/>
    </row>
    <row r="14" spans="1:19" x14ac:dyDescent="0.2">
      <c r="A14" s="120" t="s">
        <v>173</v>
      </c>
      <c r="B14" s="117">
        <v>45</v>
      </c>
      <c r="C14" s="118">
        <v>2.2000000000000002</v>
      </c>
      <c r="D14" s="118">
        <v>36.6</v>
      </c>
      <c r="E14" s="117">
        <v>15</v>
      </c>
      <c r="F14" s="118">
        <v>2.2200000000000002</v>
      </c>
      <c r="G14" s="118">
        <v>7.1</v>
      </c>
      <c r="J14" s="384"/>
      <c r="K14" s="120" t="s">
        <v>173</v>
      </c>
      <c r="L14" s="118">
        <f t="shared" si="0"/>
        <v>2.2000000000000002</v>
      </c>
      <c r="M14" s="118">
        <f t="shared" si="1"/>
        <v>36.6</v>
      </c>
      <c r="N14" s="118">
        <f t="shared" si="2"/>
        <v>2.2200000000000002</v>
      </c>
      <c r="O14" s="118">
        <f t="shared" si="3"/>
        <v>7.1</v>
      </c>
      <c r="Q14" s="383"/>
      <c r="R14" s="383"/>
      <c r="S14" s="383"/>
    </row>
    <row r="15" spans="1:19" x14ac:dyDescent="0.2">
      <c r="A15" s="120" t="s">
        <v>174</v>
      </c>
      <c r="B15" s="117">
        <v>45</v>
      </c>
      <c r="C15" s="118">
        <v>1.7</v>
      </c>
      <c r="D15" s="118">
        <v>31.8</v>
      </c>
      <c r="E15" s="117">
        <v>15</v>
      </c>
      <c r="F15" s="118">
        <v>1.63</v>
      </c>
      <c r="G15" s="118">
        <v>5</v>
      </c>
      <c r="J15" s="384"/>
      <c r="K15" s="120" t="s">
        <v>174</v>
      </c>
      <c r="L15" s="118">
        <f t="shared" si="0"/>
        <v>1.7</v>
      </c>
      <c r="M15" s="118">
        <f t="shared" si="1"/>
        <v>31.8</v>
      </c>
      <c r="N15" s="118">
        <f t="shared" si="2"/>
        <v>1.63</v>
      </c>
      <c r="O15" s="118">
        <f t="shared" si="3"/>
        <v>5</v>
      </c>
      <c r="Q15" s="383"/>
      <c r="R15" s="383"/>
      <c r="S15" s="383"/>
    </row>
    <row r="16" spans="1:19" x14ac:dyDescent="0.2">
      <c r="A16" s="120" t="s">
        <v>175</v>
      </c>
      <c r="B16" s="117">
        <v>45</v>
      </c>
      <c r="C16" s="118">
        <v>1.9</v>
      </c>
      <c r="D16" s="118">
        <v>55.6</v>
      </c>
      <c r="E16" s="117">
        <v>15</v>
      </c>
      <c r="F16" s="118">
        <v>1.8</v>
      </c>
      <c r="G16" s="118">
        <v>6.7</v>
      </c>
      <c r="J16" s="384"/>
      <c r="K16" s="120" t="s">
        <v>175</v>
      </c>
      <c r="L16" s="118">
        <f t="shared" si="0"/>
        <v>1.9</v>
      </c>
      <c r="M16" s="118">
        <f t="shared" si="1"/>
        <v>55.6</v>
      </c>
      <c r="N16" s="118">
        <f t="shared" si="2"/>
        <v>1.8</v>
      </c>
      <c r="O16" s="118">
        <f t="shared" si="3"/>
        <v>6.7</v>
      </c>
      <c r="Q16" s="383"/>
      <c r="R16" s="383"/>
      <c r="S16" s="383"/>
    </row>
    <row r="17" spans="1:15" x14ac:dyDescent="0.2">
      <c r="A17" s="120" t="s">
        <v>176</v>
      </c>
      <c r="B17" s="117">
        <v>45</v>
      </c>
      <c r="C17" s="118">
        <v>1.4</v>
      </c>
      <c r="D17" s="118">
        <v>126.6</v>
      </c>
      <c r="E17" s="117">
        <v>15</v>
      </c>
      <c r="F17" s="118">
        <v>1.38</v>
      </c>
      <c r="G17" s="118">
        <v>5.5</v>
      </c>
      <c r="J17" s="384"/>
      <c r="K17" s="120" t="s">
        <v>176</v>
      </c>
      <c r="L17" s="118">
        <f t="shared" si="0"/>
        <v>1.4</v>
      </c>
      <c r="M17" s="118">
        <f t="shared" si="1"/>
        <v>126.6</v>
      </c>
      <c r="N17" s="118">
        <f t="shared" si="2"/>
        <v>1.38</v>
      </c>
      <c r="O17" s="118">
        <f t="shared" si="3"/>
        <v>5.5</v>
      </c>
    </row>
    <row r="18" spans="1:15" x14ac:dyDescent="0.2">
      <c r="A18" s="120" t="s">
        <v>177</v>
      </c>
      <c r="B18" s="117">
        <v>45</v>
      </c>
      <c r="C18" s="118">
        <v>1.4</v>
      </c>
      <c r="D18" s="118">
        <v>20.5</v>
      </c>
      <c r="E18" s="117">
        <v>15</v>
      </c>
      <c r="F18" s="118">
        <v>1.29</v>
      </c>
      <c r="G18" s="118">
        <v>4.2</v>
      </c>
      <c r="J18" s="384"/>
      <c r="K18" s="120" t="s">
        <v>177</v>
      </c>
      <c r="L18" s="118">
        <f t="shared" si="0"/>
        <v>1.4</v>
      </c>
      <c r="M18" s="118">
        <f t="shared" si="1"/>
        <v>20.5</v>
      </c>
      <c r="N18" s="118">
        <v>1.29</v>
      </c>
      <c r="O18" s="118">
        <f t="shared" si="3"/>
        <v>4.2</v>
      </c>
    </row>
    <row r="19" spans="1:15" x14ac:dyDescent="0.2">
      <c r="J19" s="384"/>
      <c r="K19" s="116" t="s">
        <v>261</v>
      </c>
      <c r="L19" s="168">
        <f>AVERAGE(L7:L18)</f>
        <v>1.5583333333333333</v>
      </c>
      <c r="M19" s="168">
        <f>MAX(M7:M18)</f>
        <v>126.6</v>
      </c>
      <c r="N19" s="168">
        <f>AVERAGE(N7:N18)</f>
        <v>1.3841666666666665</v>
      </c>
      <c r="O19" s="168">
        <f>MAX(O7:O18)</f>
        <v>13.6</v>
      </c>
    </row>
    <row r="21" spans="1:15" ht="30" x14ac:dyDescent="0.2">
      <c r="J21" s="115">
        <f>+A6</f>
        <v>2022</v>
      </c>
      <c r="K21" s="115" t="s">
        <v>259</v>
      </c>
      <c r="L21" s="121" t="s">
        <v>161</v>
      </c>
      <c r="M21" s="121" t="s">
        <v>162</v>
      </c>
      <c r="N21" s="121" t="s">
        <v>164</v>
      </c>
      <c r="O21" s="121" t="s">
        <v>165</v>
      </c>
    </row>
    <row r="22" spans="1:15" x14ac:dyDescent="0.2">
      <c r="J22" s="384" t="s">
        <v>111</v>
      </c>
      <c r="K22" s="120" t="s">
        <v>166</v>
      </c>
      <c r="L22" s="118"/>
      <c r="M22" s="118"/>
      <c r="N22" s="118"/>
      <c r="O22" s="118"/>
    </row>
    <row r="23" spans="1:15" x14ac:dyDescent="0.2">
      <c r="J23" s="384"/>
      <c r="K23" s="120" t="s">
        <v>167</v>
      </c>
      <c r="L23" s="118"/>
      <c r="M23" s="118"/>
      <c r="N23" s="118"/>
      <c r="O23" s="118"/>
    </row>
    <row r="24" spans="1:15" x14ac:dyDescent="0.2">
      <c r="J24" s="384"/>
      <c r="K24" s="120" t="s">
        <v>168</v>
      </c>
      <c r="L24" s="118"/>
      <c r="M24" s="118"/>
      <c r="N24" s="118"/>
      <c r="O24" s="118"/>
    </row>
    <row r="25" spans="1:15" x14ac:dyDescent="0.2">
      <c r="J25" s="384"/>
      <c r="K25" s="120" t="s">
        <v>169</v>
      </c>
      <c r="L25" s="118"/>
      <c r="M25" s="118"/>
      <c r="N25" s="118"/>
      <c r="O25" s="118"/>
    </row>
    <row r="26" spans="1:15" x14ac:dyDescent="0.2">
      <c r="J26" s="384"/>
      <c r="K26" s="120" t="s">
        <v>170</v>
      </c>
      <c r="L26" s="118"/>
      <c r="M26" s="118"/>
      <c r="N26" s="118"/>
      <c r="O26" s="118"/>
    </row>
    <row r="27" spans="1:15" x14ac:dyDescent="0.2">
      <c r="J27" s="384"/>
      <c r="K27" s="120" t="s">
        <v>171</v>
      </c>
      <c r="L27" s="118"/>
      <c r="M27" s="118"/>
      <c r="N27" s="118"/>
      <c r="O27" s="118"/>
    </row>
    <row r="28" spans="1:15" x14ac:dyDescent="0.2">
      <c r="J28" s="384"/>
      <c r="K28" s="120" t="s">
        <v>172</v>
      </c>
      <c r="L28" s="118"/>
      <c r="M28" s="118"/>
      <c r="N28" s="118"/>
      <c r="O28" s="118"/>
    </row>
    <row r="29" spans="1:15" x14ac:dyDescent="0.2">
      <c r="J29" s="384"/>
      <c r="K29" s="120" t="s">
        <v>173</v>
      </c>
      <c r="L29" s="118"/>
      <c r="M29" s="118"/>
      <c r="N29" s="118"/>
      <c r="O29" s="118"/>
    </row>
    <row r="30" spans="1:15" x14ac:dyDescent="0.2">
      <c r="J30" s="384"/>
      <c r="K30" s="120" t="s">
        <v>174</v>
      </c>
      <c r="L30" s="118"/>
      <c r="M30" s="118"/>
      <c r="N30" s="118"/>
      <c r="O30" s="118"/>
    </row>
    <row r="31" spans="1:15" x14ac:dyDescent="0.2">
      <c r="J31" s="384"/>
      <c r="K31" s="120" t="s">
        <v>175</v>
      </c>
      <c r="L31" s="118"/>
      <c r="M31" s="118"/>
      <c r="N31" s="118"/>
      <c r="O31" s="118"/>
    </row>
    <row r="32" spans="1:15" x14ac:dyDescent="0.2">
      <c r="J32" s="384"/>
      <c r="K32" s="120" t="s">
        <v>176</v>
      </c>
      <c r="L32" s="118"/>
      <c r="M32" s="118"/>
      <c r="N32" s="118"/>
      <c r="O32" s="118"/>
    </row>
    <row r="33" spans="1:15" x14ac:dyDescent="0.2">
      <c r="J33" s="384"/>
      <c r="K33" s="120" t="s">
        <v>177</v>
      </c>
      <c r="L33" s="118"/>
      <c r="M33" s="118"/>
      <c r="N33" s="118"/>
      <c r="O33" s="118"/>
    </row>
    <row r="34" spans="1:15" x14ac:dyDescent="0.2">
      <c r="J34" s="384"/>
      <c r="K34" s="116" t="s">
        <v>261</v>
      </c>
      <c r="L34" s="116" t="e">
        <f>AVERAGE(L22:L33)</f>
        <v>#DIV/0!</v>
      </c>
      <c r="M34" s="116">
        <f>MAX(M22:M33)</f>
        <v>0</v>
      </c>
      <c r="N34" s="116" t="e">
        <f>AVERAGE(N22:N33)</f>
        <v>#DIV/0!</v>
      </c>
      <c r="O34" s="116">
        <f>MAX(O22:O33)</f>
        <v>0</v>
      </c>
    </row>
    <row r="36" spans="1:15" ht="30" x14ac:dyDescent="0.2">
      <c r="J36" s="115">
        <f>+A6</f>
        <v>2022</v>
      </c>
      <c r="K36" s="115" t="s">
        <v>259</v>
      </c>
      <c r="L36" s="121" t="s">
        <v>161</v>
      </c>
      <c r="M36" s="121" t="s">
        <v>162</v>
      </c>
      <c r="N36" s="121" t="s">
        <v>164</v>
      </c>
      <c r="O36" s="121" t="s">
        <v>165</v>
      </c>
    </row>
    <row r="37" spans="1:15" x14ac:dyDescent="0.2">
      <c r="J37" s="384" t="s">
        <v>112</v>
      </c>
      <c r="K37" s="120" t="s">
        <v>166</v>
      </c>
      <c r="L37" s="118"/>
      <c r="M37" s="118"/>
      <c r="N37" s="118"/>
      <c r="O37" s="118"/>
    </row>
    <row r="38" spans="1:15" x14ac:dyDescent="0.2">
      <c r="J38" s="384"/>
      <c r="K38" s="120" t="s">
        <v>167</v>
      </c>
      <c r="L38" s="118"/>
      <c r="M38" s="118"/>
      <c r="N38" s="118"/>
      <c r="O38" s="118"/>
    </row>
    <row r="39" spans="1:15" x14ac:dyDescent="0.2">
      <c r="J39" s="384"/>
      <c r="K39" s="120" t="s">
        <v>168</v>
      </c>
      <c r="L39" s="118"/>
      <c r="M39" s="118"/>
      <c r="N39" s="118"/>
      <c r="O39" s="118"/>
    </row>
    <row r="40" spans="1:15" x14ac:dyDescent="0.2">
      <c r="J40" s="384"/>
      <c r="K40" s="120" t="s">
        <v>169</v>
      </c>
      <c r="L40" s="118"/>
      <c r="M40" s="118"/>
      <c r="N40" s="118"/>
      <c r="O40" s="118"/>
    </row>
    <row r="41" spans="1:15" x14ac:dyDescent="0.2">
      <c r="J41" s="384"/>
      <c r="K41" s="120" t="s">
        <v>170</v>
      </c>
      <c r="L41" s="118"/>
      <c r="M41" s="118"/>
      <c r="N41" s="118"/>
      <c r="O41" s="118"/>
    </row>
    <row r="42" spans="1:15" x14ac:dyDescent="0.2">
      <c r="J42" s="384"/>
      <c r="K42" s="120" t="s">
        <v>171</v>
      </c>
      <c r="L42" s="118"/>
      <c r="M42" s="118"/>
      <c r="N42" s="118"/>
      <c r="O42" s="118"/>
    </row>
    <row r="43" spans="1:15" x14ac:dyDescent="0.2">
      <c r="J43" s="384"/>
      <c r="K43" s="120" t="s">
        <v>172</v>
      </c>
      <c r="L43" s="118"/>
      <c r="M43" s="118"/>
      <c r="N43" s="118"/>
      <c r="O43" s="118"/>
    </row>
    <row r="44" spans="1:15" x14ac:dyDescent="0.2">
      <c r="J44" s="384"/>
      <c r="K44" s="120" t="s">
        <v>173</v>
      </c>
      <c r="L44" s="118"/>
      <c r="M44" s="118"/>
      <c r="N44" s="118"/>
      <c r="O44" s="118"/>
    </row>
    <row r="45" spans="1:15" x14ac:dyDescent="0.2">
      <c r="J45" s="384"/>
      <c r="K45" s="120" t="s">
        <v>174</v>
      </c>
      <c r="L45" s="118"/>
      <c r="M45" s="118"/>
      <c r="N45" s="118"/>
      <c r="O45" s="118"/>
    </row>
    <row r="46" spans="1:15" x14ac:dyDescent="0.2">
      <c r="J46" s="384"/>
      <c r="K46" s="120" t="s">
        <v>175</v>
      </c>
      <c r="L46" s="118"/>
      <c r="M46" s="118"/>
      <c r="N46" s="118"/>
      <c r="O46" s="118"/>
    </row>
    <row r="47" spans="1:15" x14ac:dyDescent="0.2">
      <c r="J47" s="384"/>
      <c r="K47" s="120" t="s">
        <v>176</v>
      </c>
      <c r="L47" s="118"/>
      <c r="M47" s="118"/>
      <c r="N47" s="118"/>
      <c r="O47" s="118"/>
    </row>
    <row r="48" spans="1:15" ht="15" x14ac:dyDescent="0.2">
      <c r="A48" s="396" t="s">
        <v>208</v>
      </c>
      <c r="B48" s="397"/>
      <c r="C48" s="397"/>
      <c r="D48" s="397"/>
      <c r="E48" s="397"/>
      <c r="F48" s="397"/>
      <c r="G48" s="398"/>
      <c r="J48" s="384"/>
      <c r="K48" s="120" t="s">
        <v>177</v>
      </c>
      <c r="L48" s="118"/>
      <c r="M48" s="118"/>
      <c r="N48" s="118"/>
      <c r="O48" s="118"/>
    </row>
    <row r="49" spans="1:15" x14ac:dyDescent="0.2">
      <c r="A49" s="387"/>
      <c r="B49" s="388"/>
      <c r="C49" s="388"/>
      <c r="D49" s="388"/>
      <c r="E49" s="388"/>
      <c r="F49" s="388"/>
      <c r="G49" s="389"/>
      <c r="J49" s="384"/>
      <c r="K49" s="116" t="s">
        <v>261</v>
      </c>
      <c r="L49" s="116" t="e">
        <f>AVERAGE(L37:L48)</f>
        <v>#DIV/0!</v>
      </c>
      <c r="M49" s="116">
        <f>MAX(M37:M48)</f>
        <v>0</v>
      </c>
      <c r="N49" s="116" t="e">
        <f>AVERAGE(N37:N48)</f>
        <v>#DIV/0!</v>
      </c>
      <c r="O49" s="116">
        <f>MAX(O37:O48)</f>
        <v>0</v>
      </c>
    </row>
    <row r="50" spans="1:15" x14ac:dyDescent="0.2">
      <c r="A50" s="390"/>
      <c r="B50" s="391"/>
      <c r="C50" s="391"/>
      <c r="D50" s="391"/>
      <c r="E50" s="391"/>
      <c r="F50" s="391"/>
      <c r="G50" s="392"/>
    </row>
    <row r="51" spans="1:15" ht="30" x14ac:dyDescent="0.2">
      <c r="A51" s="390"/>
      <c r="B51" s="391"/>
      <c r="C51" s="391"/>
      <c r="D51" s="391"/>
      <c r="E51" s="391"/>
      <c r="F51" s="391"/>
      <c r="G51" s="392"/>
      <c r="J51" s="115">
        <f>+A6</f>
        <v>2022</v>
      </c>
      <c r="K51" s="115" t="s">
        <v>259</v>
      </c>
      <c r="L51" s="121" t="s">
        <v>161</v>
      </c>
      <c r="M51" s="121" t="s">
        <v>162</v>
      </c>
      <c r="N51" s="121" t="s">
        <v>164</v>
      </c>
      <c r="O51" s="121" t="s">
        <v>165</v>
      </c>
    </row>
    <row r="52" spans="1:15" x14ac:dyDescent="0.2">
      <c r="A52" s="393"/>
      <c r="B52" s="394"/>
      <c r="C52" s="394"/>
      <c r="D52" s="394"/>
      <c r="E52" s="394"/>
      <c r="F52" s="394"/>
      <c r="G52" s="395"/>
      <c r="J52" s="384" t="s">
        <v>113</v>
      </c>
      <c r="K52" s="120" t="s">
        <v>166</v>
      </c>
      <c r="L52" s="118"/>
      <c r="M52" s="118"/>
      <c r="N52" s="118"/>
      <c r="O52" s="118"/>
    </row>
    <row r="53" spans="1:15" x14ac:dyDescent="0.2">
      <c r="J53" s="384"/>
      <c r="K53" s="120" t="s">
        <v>167</v>
      </c>
      <c r="L53" s="118"/>
      <c r="M53" s="118"/>
      <c r="N53" s="118"/>
      <c r="O53" s="118"/>
    </row>
    <row r="54" spans="1:15" x14ac:dyDescent="0.2">
      <c r="J54" s="384"/>
      <c r="K54" s="120" t="s">
        <v>168</v>
      </c>
      <c r="L54" s="118"/>
      <c r="M54" s="118"/>
      <c r="N54" s="118"/>
      <c r="O54" s="118"/>
    </row>
    <row r="55" spans="1:15" x14ac:dyDescent="0.2">
      <c r="J55" s="384"/>
      <c r="K55" s="120" t="s">
        <v>169</v>
      </c>
      <c r="L55" s="118"/>
      <c r="M55" s="118"/>
      <c r="N55" s="118"/>
      <c r="O55" s="118"/>
    </row>
    <row r="56" spans="1:15" x14ac:dyDescent="0.2">
      <c r="J56" s="384"/>
      <c r="K56" s="120" t="s">
        <v>170</v>
      </c>
      <c r="L56" s="118"/>
      <c r="M56" s="118"/>
      <c r="N56" s="118"/>
      <c r="O56" s="118"/>
    </row>
    <row r="57" spans="1:15" x14ac:dyDescent="0.2">
      <c r="J57" s="384"/>
      <c r="K57" s="120" t="s">
        <v>171</v>
      </c>
      <c r="L57" s="118"/>
      <c r="M57" s="118"/>
      <c r="N57" s="118"/>
      <c r="O57" s="118"/>
    </row>
    <row r="58" spans="1:15" x14ac:dyDescent="0.2">
      <c r="J58" s="384"/>
      <c r="K58" s="120" t="s">
        <v>172</v>
      </c>
      <c r="L58" s="118"/>
      <c r="M58" s="118"/>
      <c r="N58" s="118"/>
      <c r="O58" s="118"/>
    </row>
    <row r="59" spans="1:15" x14ac:dyDescent="0.2">
      <c r="J59" s="384"/>
      <c r="K59" s="120" t="s">
        <v>173</v>
      </c>
      <c r="L59" s="118"/>
      <c r="M59" s="118"/>
      <c r="N59" s="118"/>
      <c r="O59" s="118"/>
    </row>
    <row r="60" spans="1:15" x14ac:dyDescent="0.2">
      <c r="J60" s="384"/>
      <c r="K60" s="120" t="s">
        <v>174</v>
      </c>
      <c r="L60" s="118"/>
      <c r="M60" s="118"/>
      <c r="N60" s="118"/>
      <c r="O60" s="118"/>
    </row>
    <row r="61" spans="1:15" x14ac:dyDescent="0.2">
      <c r="J61" s="384"/>
      <c r="K61" s="120" t="s">
        <v>175</v>
      </c>
      <c r="L61" s="118"/>
      <c r="M61" s="118"/>
      <c r="N61" s="118"/>
      <c r="O61" s="118"/>
    </row>
    <row r="62" spans="1:15" x14ac:dyDescent="0.2">
      <c r="J62" s="384"/>
      <c r="K62" s="120" t="s">
        <v>176</v>
      </c>
      <c r="L62" s="118"/>
      <c r="M62" s="118"/>
      <c r="N62" s="118"/>
      <c r="O62" s="118"/>
    </row>
    <row r="63" spans="1:15" x14ac:dyDescent="0.2">
      <c r="J63" s="384"/>
      <c r="K63" s="120" t="s">
        <v>177</v>
      </c>
      <c r="L63" s="118"/>
      <c r="M63" s="118"/>
      <c r="N63" s="118"/>
      <c r="O63" s="118"/>
    </row>
    <row r="64" spans="1:15" x14ac:dyDescent="0.2">
      <c r="J64" s="384"/>
      <c r="K64" s="116" t="s">
        <v>261</v>
      </c>
      <c r="L64" s="116" t="e">
        <f>AVERAGE(L52:L63)</f>
        <v>#DIV/0!</v>
      </c>
      <c r="M64" s="116">
        <f>MAX(M52:M63)</f>
        <v>0</v>
      </c>
      <c r="N64" s="116" t="e">
        <f>AVERAGE(N52:N63)</f>
        <v>#DIV/0!</v>
      </c>
      <c r="O64" s="116">
        <f>MAX(O52:O63)</f>
        <v>0</v>
      </c>
    </row>
    <row r="66" spans="10:15" ht="30" x14ac:dyDescent="0.2">
      <c r="J66" s="115">
        <f>+A6</f>
        <v>2022</v>
      </c>
      <c r="K66" s="115" t="s">
        <v>259</v>
      </c>
      <c r="L66" s="121" t="s">
        <v>161</v>
      </c>
      <c r="M66" s="121" t="s">
        <v>162</v>
      </c>
      <c r="N66" s="121" t="s">
        <v>164</v>
      </c>
      <c r="O66" s="121" t="s">
        <v>165</v>
      </c>
    </row>
    <row r="67" spans="10:15" x14ac:dyDescent="0.2">
      <c r="J67" s="384" t="s">
        <v>114</v>
      </c>
      <c r="K67" s="120" t="s">
        <v>166</v>
      </c>
      <c r="L67" s="118"/>
      <c r="M67" s="118"/>
      <c r="N67" s="118"/>
      <c r="O67" s="118"/>
    </row>
    <row r="68" spans="10:15" x14ac:dyDescent="0.2">
      <c r="J68" s="384"/>
      <c r="K68" s="120" t="s">
        <v>167</v>
      </c>
      <c r="L68" s="118"/>
      <c r="M68" s="118"/>
      <c r="N68" s="118"/>
      <c r="O68" s="118"/>
    </row>
    <row r="69" spans="10:15" x14ac:dyDescent="0.2">
      <c r="J69" s="384"/>
      <c r="K69" s="120" t="s">
        <v>168</v>
      </c>
      <c r="L69" s="118"/>
      <c r="M69" s="118"/>
      <c r="N69" s="118"/>
      <c r="O69" s="118"/>
    </row>
    <row r="70" spans="10:15" x14ac:dyDescent="0.2">
      <c r="J70" s="384"/>
      <c r="K70" s="120" t="s">
        <v>169</v>
      </c>
      <c r="L70" s="118"/>
      <c r="M70" s="118"/>
      <c r="N70" s="118"/>
      <c r="O70" s="118"/>
    </row>
    <row r="71" spans="10:15" x14ac:dyDescent="0.2">
      <c r="J71" s="384"/>
      <c r="K71" s="120" t="s">
        <v>170</v>
      </c>
      <c r="L71" s="118"/>
      <c r="M71" s="118"/>
      <c r="N71" s="118"/>
      <c r="O71" s="118"/>
    </row>
    <row r="72" spans="10:15" x14ac:dyDescent="0.2">
      <c r="J72" s="384"/>
      <c r="K72" s="120" t="s">
        <v>171</v>
      </c>
      <c r="L72" s="118"/>
      <c r="M72" s="118"/>
      <c r="N72" s="118"/>
      <c r="O72" s="118"/>
    </row>
    <row r="73" spans="10:15" x14ac:dyDescent="0.2">
      <c r="J73" s="384"/>
      <c r="K73" s="120" t="s">
        <v>172</v>
      </c>
      <c r="L73" s="118"/>
      <c r="M73" s="118"/>
      <c r="N73" s="118"/>
      <c r="O73" s="118"/>
    </row>
    <row r="74" spans="10:15" x14ac:dyDescent="0.2">
      <c r="J74" s="384"/>
      <c r="K74" s="120" t="s">
        <v>173</v>
      </c>
      <c r="L74" s="118"/>
      <c r="M74" s="118"/>
      <c r="N74" s="118"/>
      <c r="O74" s="118"/>
    </row>
    <row r="75" spans="10:15" x14ac:dyDescent="0.2">
      <c r="J75" s="384"/>
      <c r="K75" s="120" t="s">
        <v>174</v>
      </c>
      <c r="L75" s="118"/>
      <c r="M75" s="118"/>
      <c r="N75" s="118"/>
      <c r="O75" s="118"/>
    </row>
    <row r="76" spans="10:15" x14ac:dyDescent="0.2">
      <c r="J76" s="384"/>
      <c r="K76" s="120" t="s">
        <v>175</v>
      </c>
      <c r="L76" s="118"/>
      <c r="M76" s="118"/>
      <c r="N76" s="118"/>
      <c r="O76" s="118"/>
    </row>
    <row r="77" spans="10:15" x14ac:dyDescent="0.2">
      <c r="J77" s="384"/>
      <c r="K77" s="120" t="s">
        <v>176</v>
      </c>
      <c r="L77" s="118"/>
      <c r="M77" s="118"/>
      <c r="N77" s="118"/>
      <c r="O77" s="118"/>
    </row>
    <row r="78" spans="10:15" x14ac:dyDescent="0.2">
      <c r="J78" s="384"/>
      <c r="K78" s="120" t="s">
        <v>177</v>
      </c>
      <c r="L78" s="118"/>
      <c r="M78" s="118"/>
      <c r="N78" s="118"/>
      <c r="O78" s="118"/>
    </row>
    <row r="79" spans="10:15" x14ac:dyDescent="0.2">
      <c r="J79" s="384"/>
      <c r="K79" s="116" t="s">
        <v>261</v>
      </c>
      <c r="L79" s="116" t="e">
        <f>AVERAGE(L67:L78)</f>
        <v>#DIV/0!</v>
      </c>
      <c r="M79" s="116">
        <f>MAX(M67:M78)</f>
        <v>0</v>
      </c>
      <c r="N79" s="116" t="e">
        <f>AVERAGE(N67:N78)</f>
        <v>#DIV/0!</v>
      </c>
      <c r="O79" s="116">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showGridLines="0" tabSelected="1" zoomScale="80" zoomScaleNormal="80" workbookViewId="0">
      <selection activeCell="S10" sqref="S10"/>
    </sheetView>
  </sheetViews>
  <sheetFormatPr defaultRowHeight="14.25" x14ac:dyDescent="0.2"/>
  <cols>
    <col min="1" max="1" width="14" style="3" customWidth="1"/>
    <col min="2" max="2" width="12.7109375" style="70" customWidth="1"/>
    <col min="3" max="3" width="15.28515625" style="70" customWidth="1"/>
    <col min="4" max="4" width="17.7109375" style="70" customWidth="1"/>
    <col min="5" max="5" width="14.7109375" style="70" customWidth="1"/>
    <col min="6" max="6" width="11.5703125" style="70" customWidth="1"/>
    <col min="7" max="7" width="15" style="70" customWidth="1"/>
    <col min="8" max="8" width="14.7109375" style="70" customWidth="1"/>
    <col min="9"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 x14ac:dyDescent="0.2">
      <c r="A1" s="2" t="str">
        <f>+'Cover Page'!$B$29</f>
        <v>Annual Performance Report 2022</v>
      </c>
      <c r="B1" s="2"/>
      <c r="C1" s="2"/>
      <c r="D1" s="2"/>
      <c r="E1" s="2" t="str">
        <f>+'Cover Page'!$B$33</f>
        <v>JG Pears CHP Plant</v>
      </c>
    </row>
    <row r="3" spans="1:21" ht="15" x14ac:dyDescent="0.25">
      <c r="A3" s="114" t="s">
        <v>321</v>
      </c>
      <c r="E3" s="132" t="s">
        <v>295</v>
      </c>
      <c r="H3" s="136" t="s">
        <v>305</v>
      </c>
      <c r="J3" s="11" t="str">
        <f>+A3</f>
        <v>Monitoring of Carbon Monoxide (10-minute avg)</v>
      </c>
      <c r="L3" s="11"/>
      <c r="O3" s="11" t="s">
        <v>296</v>
      </c>
      <c r="Q3" s="133" t="s">
        <v>290</v>
      </c>
      <c r="S3" s="135" t="s">
        <v>290</v>
      </c>
      <c r="T3" s="130"/>
      <c r="U3" s="130"/>
    </row>
    <row r="4" spans="1:21" ht="13.9" customHeight="1" x14ac:dyDescent="0.2">
      <c r="S4" s="351" t="s">
        <v>303</v>
      </c>
      <c r="T4" s="351"/>
      <c r="U4" s="351"/>
    </row>
    <row r="5" spans="1:21" ht="17.25" x14ac:dyDescent="0.25">
      <c r="A5" s="122" t="s">
        <v>260</v>
      </c>
      <c r="B5" s="386" t="s">
        <v>315</v>
      </c>
      <c r="C5" s="386"/>
      <c r="D5" s="386"/>
      <c r="E5" s="386"/>
      <c r="F5" s="386" t="s">
        <v>257</v>
      </c>
      <c r="G5" s="386"/>
      <c r="H5" s="386"/>
      <c r="K5" s="385"/>
      <c r="L5" s="385"/>
      <c r="M5" s="385"/>
      <c r="N5" s="385"/>
      <c r="O5" s="385"/>
      <c r="P5" s="385"/>
      <c r="Q5" s="385"/>
      <c r="S5" s="351"/>
      <c r="T5" s="351"/>
      <c r="U5" s="351"/>
    </row>
    <row r="6" spans="1:21" s="112" customFormat="1" ht="37.5" customHeight="1" x14ac:dyDescent="0.25">
      <c r="A6" s="119">
        <f>+'Cover Page'!C39</f>
        <v>2022</v>
      </c>
      <c r="B6" s="108" t="s">
        <v>314</v>
      </c>
      <c r="C6" s="108" t="s">
        <v>322</v>
      </c>
      <c r="D6" s="108" t="s">
        <v>320</v>
      </c>
      <c r="E6" s="108" t="s">
        <v>323</v>
      </c>
      <c r="F6" s="108" t="s">
        <v>187</v>
      </c>
      <c r="G6" s="108" t="s">
        <v>164</v>
      </c>
      <c r="H6" s="108" t="s">
        <v>313</v>
      </c>
      <c r="I6" s="113"/>
      <c r="K6" s="115">
        <f>+A6</f>
        <v>2022</v>
      </c>
      <c r="L6" s="115" t="s">
        <v>259</v>
      </c>
      <c r="M6" s="108" t="s">
        <v>385</v>
      </c>
      <c r="N6" s="108" t="s">
        <v>320</v>
      </c>
      <c r="O6" s="108" t="s">
        <v>322</v>
      </c>
      <c r="P6" s="121" t="s">
        <v>164</v>
      </c>
      <c r="Q6" s="121" t="s">
        <v>165</v>
      </c>
      <c r="S6" s="351"/>
      <c r="T6" s="351"/>
      <c r="U6" s="351"/>
    </row>
    <row r="7" spans="1:21" x14ac:dyDescent="0.2">
      <c r="A7" s="120" t="s">
        <v>166</v>
      </c>
      <c r="B7" s="123">
        <v>150</v>
      </c>
      <c r="C7" s="118">
        <v>116.8</v>
      </c>
      <c r="D7" s="118">
        <v>34.9</v>
      </c>
      <c r="E7" s="118">
        <v>659.9</v>
      </c>
      <c r="F7" s="123">
        <v>75</v>
      </c>
      <c r="G7" s="118">
        <v>33.96</v>
      </c>
      <c r="H7" s="118">
        <v>51.6</v>
      </c>
      <c r="K7" s="384" t="s">
        <v>110</v>
      </c>
      <c r="L7" s="120" t="s">
        <v>166</v>
      </c>
      <c r="M7" s="118">
        <f>C7</f>
        <v>116.8</v>
      </c>
      <c r="N7" s="118">
        <f t="shared" ref="N7:O7" si="0">D7</f>
        <v>34.9</v>
      </c>
      <c r="O7" s="118">
        <f t="shared" si="0"/>
        <v>659.9</v>
      </c>
      <c r="P7" s="118">
        <f>G7</f>
        <v>33.96</v>
      </c>
      <c r="Q7" s="118">
        <f>H7</f>
        <v>51.6</v>
      </c>
      <c r="S7" s="351"/>
      <c r="T7" s="351"/>
      <c r="U7" s="351"/>
    </row>
    <row r="8" spans="1:21" x14ac:dyDescent="0.2">
      <c r="A8" s="120" t="s">
        <v>167</v>
      </c>
      <c r="B8" s="117">
        <f>+B7</f>
        <v>150</v>
      </c>
      <c r="C8" s="118">
        <v>123</v>
      </c>
      <c r="D8" s="118">
        <v>27.8</v>
      </c>
      <c r="E8" s="118">
        <v>524.6</v>
      </c>
      <c r="F8" s="117">
        <f>+F7</f>
        <v>75</v>
      </c>
      <c r="G8" s="118">
        <v>26.33</v>
      </c>
      <c r="H8" s="118">
        <v>40.5</v>
      </c>
      <c r="K8" s="384"/>
      <c r="L8" s="120" t="s">
        <v>167</v>
      </c>
      <c r="M8" s="118">
        <f t="shared" ref="M8:M9" si="1">C8</f>
        <v>123</v>
      </c>
      <c r="N8" s="118">
        <f t="shared" ref="N8:N9" si="2">D8</f>
        <v>27.8</v>
      </c>
      <c r="O8" s="118">
        <f t="shared" ref="O8:O9" si="3">E8</f>
        <v>524.6</v>
      </c>
      <c r="P8" s="118">
        <f t="shared" ref="P8:P9" si="4">G8</f>
        <v>26.33</v>
      </c>
      <c r="Q8" s="118">
        <f t="shared" ref="Q8:Q9" si="5">H8</f>
        <v>40.5</v>
      </c>
      <c r="S8" s="351"/>
      <c r="T8" s="351"/>
      <c r="U8" s="351"/>
    </row>
    <row r="9" spans="1:21" ht="15" x14ac:dyDescent="0.25">
      <c r="A9" s="120" t="s">
        <v>168</v>
      </c>
      <c r="B9" s="117">
        <f t="shared" ref="B9:B18" si="6">+B8</f>
        <v>150</v>
      </c>
      <c r="C9" s="118">
        <v>76.2</v>
      </c>
      <c r="D9" s="118">
        <v>26.1</v>
      </c>
      <c r="E9" s="118">
        <v>360.3</v>
      </c>
      <c r="F9" s="117">
        <f t="shared" ref="F9:F18" si="7">+F8</f>
        <v>75</v>
      </c>
      <c r="G9" s="118">
        <v>25.66</v>
      </c>
      <c r="H9" s="118">
        <v>34.700000000000003</v>
      </c>
      <c r="K9" s="384"/>
      <c r="L9" s="120" t="s">
        <v>168</v>
      </c>
      <c r="M9" s="118">
        <f t="shared" si="1"/>
        <v>76.2</v>
      </c>
      <c r="N9" s="118">
        <f t="shared" si="2"/>
        <v>26.1</v>
      </c>
      <c r="O9" s="118">
        <f t="shared" si="3"/>
        <v>360.3</v>
      </c>
      <c r="P9" s="118">
        <f t="shared" si="4"/>
        <v>25.66</v>
      </c>
      <c r="Q9" s="118">
        <f t="shared" si="5"/>
        <v>34.700000000000003</v>
      </c>
      <c r="S9" s="134" t="s">
        <v>304</v>
      </c>
    </row>
    <row r="10" spans="1:21" x14ac:dyDescent="0.2">
      <c r="A10" s="120" t="s">
        <v>169</v>
      </c>
      <c r="B10" s="117">
        <f t="shared" si="6"/>
        <v>150</v>
      </c>
      <c r="C10" s="118">
        <v>72.599999999999994</v>
      </c>
      <c r="D10" s="118">
        <v>27.3</v>
      </c>
      <c r="E10" s="118">
        <v>549.1</v>
      </c>
      <c r="F10" s="117">
        <f t="shared" si="7"/>
        <v>75</v>
      </c>
      <c r="G10" s="118">
        <v>27.22</v>
      </c>
      <c r="H10" s="118">
        <v>44.9</v>
      </c>
      <c r="K10" s="384"/>
      <c r="L10" s="120" t="s">
        <v>169</v>
      </c>
      <c r="M10" s="118">
        <f t="shared" ref="M10:M18" si="8">C10</f>
        <v>72.599999999999994</v>
      </c>
      <c r="N10" s="118">
        <f t="shared" ref="N10:N18" si="9">D10</f>
        <v>27.3</v>
      </c>
      <c r="O10" s="118">
        <f t="shared" ref="O10:O18" si="10">E10</f>
        <v>549.1</v>
      </c>
      <c r="P10" s="118">
        <f t="shared" ref="P10:P18" si="11">G10</f>
        <v>27.22</v>
      </c>
      <c r="Q10" s="118">
        <f t="shared" ref="Q10:Q18" si="12">H10</f>
        <v>44.9</v>
      </c>
      <c r="S10" s="383" t="s">
        <v>324</v>
      </c>
      <c r="T10" s="383"/>
      <c r="U10" s="383"/>
    </row>
    <row r="11" spans="1:21" x14ac:dyDescent="0.2">
      <c r="A11" s="120" t="s">
        <v>170</v>
      </c>
      <c r="B11" s="117">
        <f t="shared" si="6"/>
        <v>150</v>
      </c>
      <c r="C11" s="118">
        <v>85.5</v>
      </c>
      <c r="D11" s="118">
        <v>23.1</v>
      </c>
      <c r="E11" s="118">
        <v>225</v>
      </c>
      <c r="F11" s="117">
        <f t="shared" si="7"/>
        <v>75</v>
      </c>
      <c r="G11" s="118">
        <v>22.11</v>
      </c>
      <c r="H11" s="118">
        <v>36.5</v>
      </c>
      <c r="K11" s="384"/>
      <c r="L11" s="120" t="s">
        <v>170</v>
      </c>
      <c r="M11" s="118">
        <f t="shared" si="8"/>
        <v>85.5</v>
      </c>
      <c r="N11" s="118">
        <f t="shared" si="9"/>
        <v>23.1</v>
      </c>
      <c r="O11" s="118">
        <f t="shared" si="10"/>
        <v>225</v>
      </c>
      <c r="P11" s="118">
        <f t="shared" si="11"/>
        <v>22.11</v>
      </c>
      <c r="Q11" s="118">
        <f t="shared" si="12"/>
        <v>36.5</v>
      </c>
      <c r="S11" s="383"/>
      <c r="T11" s="383"/>
      <c r="U11" s="383"/>
    </row>
    <row r="12" spans="1:21" x14ac:dyDescent="0.2">
      <c r="A12" s="120" t="s">
        <v>171</v>
      </c>
      <c r="B12" s="117">
        <f t="shared" si="6"/>
        <v>150</v>
      </c>
      <c r="C12" s="118">
        <v>71.7</v>
      </c>
      <c r="D12" s="118">
        <v>32.4</v>
      </c>
      <c r="E12" s="118">
        <v>1134.0999999999999</v>
      </c>
      <c r="F12" s="117">
        <f t="shared" si="7"/>
        <v>75</v>
      </c>
      <c r="G12" s="118">
        <v>27.85</v>
      </c>
      <c r="H12" s="118">
        <v>40.799999999999997</v>
      </c>
      <c r="K12" s="384"/>
      <c r="L12" s="120" t="s">
        <v>171</v>
      </c>
      <c r="M12" s="118">
        <f t="shared" si="8"/>
        <v>71.7</v>
      </c>
      <c r="N12" s="118">
        <f t="shared" si="9"/>
        <v>32.4</v>
      </c>
      <c r="O12" s="118">
        <f t="shared" si="10"/>
        <v>1134.0999999999999</v>
      </c>
      <c r="P12" s="118">
        <f t="shared" si="11"/>
        <v>27.85</v>
      </c>
      <c r="Q12" s="118">
        <f t="shared" si="12"/>
        <v>40.799999999999997</v>
      </c>
      <c r="S12" s="383"/>
      <c r="T12" s="383"/>
      <c r="U12" s="383"/>
    </row>
    <row r="13" spans="1:21" x14ac:dyDescent="0.2">
      <c r="A13" s="120" t="s">
        <v>172</v>
      </c>
      <c r="B13" s="117">
        <f t="shared" si="6"/>
        <v>150</v>
      </c>
      <c r="C13" s="118">
        <v>95.4</v>
      </c>
      <c r="D13" s="118">
        <v>40.799999999999997</v>
      </c>
      <c r="E13" s="118">
        <v>1239.4000000000001</v>
      </c>
      <c r="F13" s="117">
        <f t="shared" si="7"/>
        <v>75</v>
      </c>
      <c r="G13" s="118">
        <v>35.06</v>
      </c>
      <c r="H13" s="118">
        <v>61.9</v>
      </c>
      <c r="K13" s="384"/>
      <c r="L13" s="120" t="s">
        <v>172</v>
      </c>
      <c r="M13" s="118">
        <f t="shared" si="8"/>
        <v>95.4</v>
      </c>
      <c r="N13" s="118">
        <f t="shared" si="9"/>
        <v>40.799999999999997</v>
      </c>
      <c r="O13" s="118">
        <f t="shared" si="10"/>
        <v>1239.4000000000001</v>
      </c>
      <c r="P13" s="118">
        <f t="shared" si="11"/>
        <v>35.06</v>
      </c>
      <c r="Q13" s="118">
        <f t="shared" si="12"/>
        <v>61.9</v>
      </c>
      <c r="S13" s="383" t="s">
        <v>326</v>
      </c>
      <c r="T13" s="383"/>
      <c r="U13" s="383"/>
    </row>
    <row r="14" spans="1:21" x14ac:dyDescent="0.2">
      <c r="A14" s="120" t="s">
        <v>173</v>
      </c>
      <c r="B14" s="117">
        <f t="shared" si="6"/>
        <v>150</v>
      </c>
      <c r="C14" s="118">
        <v>123.7</v>
      </c>
      <c r="D14" s="118">
        <v>37.5</v>
      </c>
      <c r="E14" s="118">
        <v>1145</v>
      </c>
      <c r="F14" s="117">
        <f t="shared" si="7"/>
        <v>75</v>
      </c>
      <c r="G14" s="118">
        <v>37.619999999999997</v>
      </c>
      <c r="H14" s="118">
        <v>58.8</v>
      </c>
      <c r="K14" s="384"/>
      <c r="L14" s="120" t="s">
        <v>173</v>
      </c>
      <c r="M14" s="118">
        <f t="shared" si="8"/>
        <v>123.7</v>
      </c>
      <c r="N14" s="118">
        <f t="shared" si="9"/>
        <v>37.5</v>
      </c>
      <c r="O14" s="118">
        <f t="shared" si="10"/>
        <v>1145</v>
      </c>
      <c r="P14" s="118">
        <f t="shared" si="11"/>
        <v>37.619999999999997</v>
      </c>
      <c r="Q14" s="118">
        <f t="shared" si="12"/>
        <v>58.8</v>
      </c>
      <c r="S14" s="383"/>
      <c r="T14" s="383"/>
      <c r="U14" s="383"/>
    </row>
    <row r="15" spans="1:21" x14ac:dyDescent="0.2">
      <c r="A15" s="120" t="s">
        <v>174</v>
      </c>
      <c r="B15" s="117">
        <f t="shared" si="6"/>
        <v>150</v>
      </c>
      <c r="C15" s="118">
        <v>127.6</v>
      </c>
      <c r="D15" s="118">
        <v>33.700000000000003</v>
      </c>
      <c r="E15" s="118">
        <v>942.3</v>
      </c>
      <c r="F15" s="117">
        <f t="shared" si="7"/>
        <v>75</v>
      </c>
      <c r="G15" s="118">
        <v>33.57</v>
      </c>
      <c r="H15" s="118">
        <v>51.6</v>
      </c>
      <c r="K15" s="384"/>
      <c r="L15" s="120" t="s">
        <v>174</v>
      </c>
      <c r="M15" s="118">
        <f t="shared" si="8"/>
        <v>127.6</v>
      </c>
      <c r="N15" s="118">
        <f t="shared" si="9"/>
        <v>33.700000000000003</v>
      </c>
      <c r="O15" s="118">
        <f t="shared" si="10"/>
        <v>942.3</v>
      </c>
      <c r="P15" s="118">
        <f t="shared" si="11"/>
        <v>33.57</v>
      </c>
      <c r="Q15" s="118">
        <f t="shared" si="12"/>
        <v>51.6</v>
      </c>
      <c r="S15" s="383"/>
      <c r="T15" s="383"/>
      <c r="U15" s="383"/>
    </row>
    <row r="16" spans="1:21" x14ac:dyDescent="0.2">
      <c r="A16" s="120" t="s">
        <v>175</v>
      </c>
      <c r="B16" s="117">
        <f t="shared" si="6"/>
        <v>150</v>
      </c>
      <c r="C16" s="118">
        <v>112.9</v>
      </c>
      <c r="D16" s="118">
        <v>37.5</v>
      </c>
      <c r="E16" s="118">
        <v>452.9</v>
      </c>
      <c r="F16" s="117">
        <f t="shared" si="7"/>
        <v>75</v>
      </c>
      <c r="G16" s="118">
        <v>38.31</v>
      </c>
      <c r="H16" s="118">
        <v>49.4</v>
      </c>
      <c r="K16" s="384"/>
      <c r="L16" s="120" t="s">
        <v>175</v>
      </c>
      <c r="M16" s="118">
        <f t="shared" si="8"/>
        <v>112.9</v>
      </c>
      <c r="N16" s="118">
        <f t="shared" si="9"/>
        <v>37.5</v>
      </c>
      <c r="O16" s="118">
        <f t="shared" si="10"/>
        <v>452.9</v>
      </c>
      <c r="P16" s="118">
        <f t="shared" si="11"/>
        <v>38.31</v>
      </c>
      <c r="Q16" s="118">
        <f t="shared" si="12"/>
        <v>49.4</v>
      </c>
      <c r="S16" s="383"/>
      <c r="T16" s="383"/>
      <c r="U16" s="383"/>
    </row>
    <row r="17" spans="1:17" x14ac:dyDescent="0.2">
      <c r="A17" s="120" t="s">
        <v>176</v>
      </c>
      <c r="B17" s="117">
        <f t="shared" si="6"/>
        <v>150</v>
      </c>
      <c r="C17" s="118">
        <v>108</v>
      </c>
      <c r="D17" s="118">
        <v>37.799999999999997</v>
      </c>
      <c r="E17" s="118">
        <v>1254.2</v>
      </c>
      <c r="F17" s="117">
        <f t="shared" si="7"/>
        <v>75</v>
      </c>
      <c r="G17" s="118">
        <v>37.69</v>
      </c>
      <c r="H17" s="118">
        <v>53.6</v>
      </c>
      <c r="K17" s="384"/>
      <c r="L17" s="120" t="s">
        <v>176</v>
      </c>
      <c r="M17" s="118">
        <f t="shared" si="8"/>
        <v>108</v>
      </c>
      <c r="N17" s="118">
        <f t="shared" si="9"/>
        <v>37.799999999999997</v>
      </c>
      <c r="O17" s="118">
        <f t="shared" si="10"/>
        <v>1254.2</v>
      </c>
      <c r="P17" s="118">
        <f t="shared" si="11"/>
        <v>37.69</v>
      </c>
      <c r="Q17" s="118">
        <f t="shared" si="12"/>
        <v>53.6</v>
      </c>
    </row>
    <row r="18" spans="1:17" x14ac:dyDescent="0.2">
      <c r="A18" s="120" t="s">
        <v>177</v>
      </c>
      <c r="B18" s="117">
        <f t="shared" si="6"/>
        <v>150</v>
      </c>
      <c r="C18" s="118">
        <v>134.69999999999999</v>
      </c>
      <c r="D18" s="118">
        <v>42.5</v>
      </c>
      <c r="E18" s="118">
        <v>1322.5</v>
      </c>
      <c r="F18" s="117">
        <f t="shared" si="7"/>
        <v>75</v>
      </c>
      <c r="G18" s="118">
        <v>37.5</v>
      </c>
      <c r="H18" s="118">
        <v>50.7</v>
      </c>
      <c r="K18" s="384"/>
      <c r="L18" s="120" t="s">
        <v>177</v>
      </c>
      <c r="M18" s="118">
        <f t="shared" si="8"/>
        <v>134.69999999999999</v>
      </c>
      <c r="N18" s="118">
        <f t="shared" si="9"/>
        <v>42.5</v>
      </c>
      <c r="O18" s="118">
        <f t="shared" si="10"/>
        <v>1322.5</v>
      </c>
      <c r="P18" s="118">
        <f t="shared" si="11"/>
        <v>37.5</v>
      </c>
      <c r="Q18" s="118">
        <f t="shared" si="12"/>
        <v>50.7</v>
      </c>
    </row>
    <row r="19" spans="1:17" x14ac:dyDescent="0.2">
      <c r="K19" s="384"/>
      <c r="L19" s="116" t="s">
        <v>261</v>
      </c>
      <c r="M19" s="168">
        <f>AVERAGE(M7:M18)</f>
        <v>104.00833333333334</v>
      </c>
      <c r="N19" s="168">
        <f>AVERAGE(N7:N18)</f>
        <v>33.450000000000003</v>
      </c>
      <c r="O19" s="168">
        <f>MAX(O7:O18)</f>
        <v>1322.5</v>
      </c>
      <c r="P19" s="168">
        <f>AVERAGE(P7:P18)</f>
        <v>31.906666666666666</v>
      </c>
      <c r="Q19" s="168">
        <f>MAX(Q7:Q18)</f>
        <v>61.9</v>
      </c>
    </row>
    <row r="21" spans="1:17" ht="30" x14ac:dyDescent="0.2">
      <c r="K21" s="115">
        <f>+A6</f>
        <v>2022</v>
      </c>
      <c r="L21" s="115" t="s">
        <v>259</v>
      </c>
      <c r="M21" s="108" t="s">
        <v>322</v>
      </c>
      <c r="N21" s="108" t="s">
        <v>320</v>
      </c>
      <c r="O21" s="108" t="s">
        <v>323</v>
      </c>
      <c r="P21" s="121" t="s">
        <v>164</v>
      </c>
      <c r="Q21" s="121" t="s">
        <v>165</v>
      </c>
    </row>
    <row r="22" spans="1:17" x14ac:dyDescent="0.2">
      <c r="K22" s="384" t="s">
        <v>111</v>
      </c>
      <c r="L22" s="120" t="s">
        <v>166</v>
      </c>
      <c r="M22" s="118"/>
      <c r="N22" s="118"/>
      <c r="O22" s="118"/>
      <c r="P22" s="118"/>
      <c r="Q22" s="118"/>
    </row>
    <row r="23" spans="1:17" x14ac:dyDescent="0.2">
      <c r="K23" s="384"/>
      <c r="L23" s="120" t="s">
        <v>167</v>
      </c>
      <c r="M23" s="118"/>
      <c r="N23" s="118"/>
      <c r="O23" s="118"/>
      <c r="P23" s="118"/>
      <c r="Q23" s="118"/>
    </row>
    <row r="24" spans="1:17" x14ac:dyDescent="0.2">
      <c r="K24" s="384"/>
      <c r="L24" s="120" t="s">
        <v>168</v>
      </c>
      <c r="M24" s="118"/>
      <c r="N24" s="118"/>
      <c r="O24" s="118"/>
      <c r="P24" s="118"/>
      <c r="Q24" s="118"/>
    </row>
    <row r="25" spans="1:17" x14ac:dyDescent="0.2">
      <c r="K25" s="384"/>
      <c r="L25" s="120" t="s">
        <v>169</v>
      </c>
      <c r="M25" s="118"/>
      <c r="N25" s="118"/>
      <c r="O25" s="118"/>
      <c r="P25" s="118"/>
      <c r="Q25" s="118"/>
    </row>
    <row r="26" spans="1:17" x14ac:dyDescent="0.2">
      <c r="K26" s="384"/>
      <c r="L26" s="120" t="s">
        <v>170</v>
      </c>
      <c r="M26" s="118"/>
      <c r="N26" s="118"/>
      <c r="O26" s="118"/>
      <c r="P26" s="118"/>
      <c r="Q26" s="118"/>
    </row>
    <row r="27" spans="1:17" x14ac:dyDescent="0.2">
      <c r="K27" s="384"/>
      <c r="L27" s="120" t="s">
        <v>171</v>
      </c>
      <c r="M27" s="118"/>
      <c r="N27" s="118"/>
      <c r="O27" s="118"/>
      <c r="P27" s="118"/>
      <c r="Q27" s="118"/>
    </row>
    <row r="28" spans="1:17" x14ac:dyDescent="0.2">
      <c r="K28" s="384"/>
      <c r="L28" s="120" t="s">
        <v>172</v>
      </c>
      <c r="M28" s="118"/>
      <c r="N28" s="118"/>
      <c r="O28" s="118"/>
      <c r="P28" s="118"/>
      <c r="Q28" s="118"/>
    </row>
    <row r="29" spans="1:17" x14ac:dyDescent="0.2">
      <c r="K29" s="384"/>
      <c r="L29" s="120" t="s">
        <v>173</v>
      </c>
      <c r="M29" s="118"/>
      <c r="N29" s="118"/>
      <c r="O29" s="118"/>
      <c r="P29" s="118"/>
      <c r="Q29" s="118"/>
    </row>
    <row r="30" spans="1:17" x14ac:dyDescent="0.2">
      <c r="K30" s="384"/>
      <c r="L30" s="120" t="s">
        <v>174</v>
      </c>
      <c r="M30" s="118"/>
      <c r="N30" s="118"/>
      <c r="O30" s="118"/>
      <c r="P30" s="118"/>
      <c r="Q30" s="118"/>
    </row>
    <row r="31" spans="1:17" x14ac:dyDescent="0.2">
      <c r="K31" s="384"/>
      <c r="L31" s="120" t="s">
        <v>175</v>
      </c>
      <c r="M31" s="118"/>
      <c r="N31" s="118"/>
      <c r="O31" s="118"/>
      <c r="P31" s="118"/>
      <c r="Q31" s="118"/>
    </row>
    <row r="32" spans="1:17" x14ac:dyDescent="0.2">
      <c r="K32" s="384"/>
      <c r="L32" s="120" t="s">
        <v>176</v>
      </c>
      <c r="M32" s="118"/>
      <c r="N32" s="118"/>
      <c r="O32" s="118"/>
      <c r="P32" s="118"/>
      <c r="Q32" s="118"/>
    </row>
    <row r="33" spans="1:17" x14ac:dyDescent="0.2">
      <c r="K33" s="384"/>
      <c r="L33" s="120" t="s">
        <v>177</v>
      </c>
      <c r="M33" s="118"/>
      <c r="N33" s="118"/>
      <c r="O33" s="118"/>
      <c r="P33" s="118"/>
      <c r="Q33" s="118"/>
    </row>
    <row r="34" spans="1:17" x14ac:dyDescent="0.2">
      <c r="K34" s="384"/>
      <c r="L34" s="116" t="s">
        <v>261</v>
      </c>
      <c r="M34" s="116" t="e">
        <f>AVERAGE(M22:M33)</f>
        <v>#DIV/0!</v>
      </c>
      <c r="N34" s="116"/>
      <c r="O34" s="116">
        <f>MAX(O22:O33)</f>
        <v>0</v>
      </c>
      <c r="P34" s="116" t="e">
        <f>AVERAGE(P22:P33)</f>
        <v>#DIV/0!</v>
      </c>
      <c r="Q34" s="116">
        <f>MAX(Q22:Q33)</f>
        <v>0</v>
      </c>
    </row>
    <row r="36" spans="1:17" ht="30" x14ac:dyDescent="0.2">
      <c r="K36" s="115">
        <f>+A6</f>
        <v>2022</v>
      </c>
      <c r="L36" s="115" t="s">
        <v>259</v>
      </c>
      <c r="M36" s="108" t="s">
        <v>322</v>
      </c>
      <c r="N36" s="108" t="s">
        <v>320</v>
      </c>
      <c r="O36" s="108" t="s">
        <v>323</v>
      </c>
      <c r="P36" s="121" t="s">
        <v>164</v>
      </c>
      <c r="Q36" s="121" t="s">
        <v>165</v>
      </c>
    </row>
    <row r="37" spans="1:17" x14ac:dyDescent="0.2">
      <c r="K37" s="384" t="s">
        <v>112</v>
      </c>
      <c r="L37" s="120" t="s">
        <v>166</v>
      </c>
      <c r="M37" s="118"/>
      <c r="N37" s="118"/>
      <c r="O37" s="118"/>
      <c r="P37" s="118"/>
      <c r="Q37" s="118"/>
    </row>
    <row r="38" spans="1:17" x14ac:dyDescent="0.2">
      <c r="K38" s="384"/>
      <c r="L38" s="120" t="s">
        <v>167</v>
      </c>
      <c r="M38" s="118"/>
      <c r="N38" s="118"/>
      <c r="O38" s="118"/>
      <c r="P38" s="118"/>
      <c r="Q38" s="118"/>
    </row>
    <row r="39" spans="1:17" x14ac:dyDescent="0.2">
      <c r="K39" s="384"/>
      <c r="L39" s="120" t="s">
        <v>168</v>
      </c>
      <c r="M39" s="118"/>
      <c r="N39" s="118"/>
      <c r="O39" s="118"/>
      <c r="P39" s="118"/>
      <c r="Q39" s="118"/>
    </row>
    <row r="40" spans="1:17" x14ac:dyDescent="0.2">
      <c r="K40" s="384"/>
      <c r="L40" s="120" t="s">
        <v>169</v>
      </c>
      <c r="M40" s="118"/>
      <c r="N40" s="118"/>
      <c r="O40" s="118"/>
      <c r="P40" s="118"/>
      <c r="Q40" s="118"/>
    </row>
    <row r="41" spans="1:17" x14ac:dyDescent="0.2">
      <c r="K41" s="384"/>
      <c r="L41" s="120" t="s">
        <v>170</v>
      </c>
      <c r="M41" s="118"/>
      <c r="N41" s="118"/>
      <c r="O41" s="118"/>
      <c r="P41" s="118"/>
      <c r="Q41" s="118"/>
    </row>
    <row r="42" spans="1:17" x14ac:dyDescent="0.2">
      <c r="K42" s="384"/>
      <c r="L42" s="120" t="s">
        <v>171</v>
      </c>
      <c r="M42" s="118"/>
      <c r="N42" s="118"/>
      <c r="O42" s="118"/>
      <c r="P42" s="118"/>
      <c r="Q42" s="118"/>
    </row>
    <row r="43" spans="1:17" x14ac:dyDescent="0.2">
      <c r="K43" s="384"/>
      <c r="L43" s="120" t="s">
        <v>172</v>
      </c>
      <c r="M43" s="118"/>
      <c r="N43" s="118"/>
      <c r="O43" s="118"/>
      <c r="P43" s="118"/>
      <c r="Q43" s="118"/>
    </row>
    <row r="44" spans="1:17" x14ac:dyDescent="0.2">
      <c r="K44" s="384"/>
      <c r="L44" s="120" t="s">
        <v>173</v>
      </c>
      <c r="M44" s="118"/>
      <c r="N44" s="118"/>
      <c r="O44" s="118"/>
      <c r="P44" s="118"/>
      <c r="Q44" s="118"/>
    </row>
    <row r="45" spans="1:17" x14ac:dyDescent="0.2">
      <c r="K45" s="384"/>
      <c r="L45" s="120" t="s">
        <v>174</v>
      </c>
      <c r="M45" s="118"/>
      <c r="N45" s="118"/>
      <c r="O45" s="118"/>
      <c r="P45" s="118"/>
      <c r="Q45" s="118"/>
    </row>
    <row r="46" spans="1:17" x14ac:dyDescent="0.2">
      <c r="K46" s="384"/>
      <c r="L46" s="120" t="s">
        <v>175</v>
      </c>
      <c r="M46" s="118"/>
      <c r="N46" s="118"/>
      <c r="O46" s="118"/>
      <c r="P46" s="118"/>
      <c r="Q46" s="118"/>
    </row>
    <row r="47" spans="1:17" x14ac:dyDescent="0.2">
      <c r="K47" s="384"/>
      <c r="L47" s="120" t="s">
        <v>176</v>
      </c>
      <c r="M47" s="118"/>
      <c r="N47" s="118"/>
      <c r="O47" s="118"/>
      <c r="P47" s="118"/>
      <c r="Q47" s="118"/>
    </row>
    <row r="48" spans="1:17" ht="15" x14ac:dyDescent="0.2">
      <c r="A48" s="396" t="s">
        <v>208</v>
      </c>
      <c r="B48" s="397"/>
      <c r="C48" s="397"/>
      <c r="D48" s="397"/>
      <c r="E48" s="397"/>
      <c r="F48" s="397"/>
      <c r="G48" s="397"/>
      <c r="H48" s="398"/>
      <c r="K48" s="384"/>
      <c r="L48" s="120" t="s">
        <v>177</v>
      </c>
      <c r="M48" s="118"/>
      <c r="N48" s="118"/>
      <c r="O48" s="118"/>
      <c r="P48" s="118"/>
      <c r="Q48" s="118"/>
    </row>
    <row r="49" spans="1:17" x14ac:dyDescent="0.2">
      <c r="A49" s="399" t="s">
        <v>328</v>
      </c>
      <c r="B49" s="400"/>
      <c r="C49" s="400"/>
      <c r="D49" s="400"/>
      <c r="E49" s="400"/>
      <c r="F49" s="400"/>
      <c r="G49" s="400"/>
      <c r="H49" s="401"/>
      <c r="K49" s="384"/>
      <c r="L49" s="116" t="s">
        <v>261</v>
      </c>
      <c r="M49" s="116" t="e">
        <f>AVERAGE(M37:M48)</f>
        <v>#DIV/0!</v>
      </c>
      <c r="N49" s="116"/>
      <c r="O49" s="116">
        <f>MAX(O37:O48)</f>
        <v>0</v>
      </c>
      <c r="P49" s="116" t="e">
        <f>AVERAGE(P37:P48)</f>
        <v>#DIV/0!</v>
      </c>
      <c r="Q49" s="116">
        <f>MAX(Q37:Q48)</f>
        <v>0</v>
      </c>
    </row>
    <row r="50" spans="1:17" x14ac:dyDescent="0.2">
      <c r="A50" s="402"/>
      <c r="B50" s="403"/>
      <c r="C50" s="403"/>
      <c r="D50" s="403"/>
      <c r="E50" s="403"/>
      <c r="F50" s="403"/>
      <c r="G50" s="403"/>
      <c r="H50" s="404"/>
    </row>
    <row r="51" spans="1:17" ht="30" x14ac:dyDescent="0.2">
      <c r="A51" s="402"/>
      <c r="B51" s="403"/>
      <c r="C51" s="403"/>
      <c r="D51" s="403"/>
      <c r="E51" s="403"/>
      <c r="F51" s="403"/>
      <c r="G51" s="403"/>
      <c r="H51" s="404"/>
      <c r="K51" s="115">
        <f>+A6</f>
        <v>2022</v>
      </c>
      <c r="L51" s="115" t="s">
        <v>259</v>
      </c>
      <c r="M51" s="108" t="s">
        <v>322</v>
      </c>
      <c r="N51" s="108" t="s">
        <v>320</v>
      </c>
      <c r="O51" s="108" t="s">
        <v>323</v>
      </c>
      <c r="P51" s="121" t="s">
        <v>164</v>
      </c>
      <c r="Q51" s="121" t="s">
        <v>165</v>
      </c>
    </row>
    <row r="52" spans="1:17" x14ac:dyDescent="0.2">
      <c r="A52" s="405"/>
      <c r="B52" s="406"/>
      <c r="C52" s="406"/>
      <c r="D52" s="406"/>
      <c r="E52" s="406"/>
      <c r="F52" s="406"/>
      <c r="G52" s="406"/>
      <c r="H52" s="407"/>
      <c r="K52" s="384" t="s">
        <v>113</v>
      </c>
      <c r="L52" s="120" t="s">
        <v>166</v>
      </c>
      <c r="M52" s="118"/>
      <c r="N52" s="118"/>
      <c r="O52" s="118"/>
      <c r="P52" s="118"/>
      <c r="Q52" s="118"/>
    </row>
    <row r="53" spans="1:17" x14ac:dyDescent="0.2">
      <c r="K53" s="384"/>
      <c r="L53" s="120" t="s">
        <v>167</v>
      </c>
      <c r="M53" s="118"/>
      <c r="N53" s="118"/>
      <c r="O53" s="118"/>
      <c r="P53" s="118"/>
      <c r="Q53" s="118"/>
    </row>
    <row r="54" spans="1:17" x14ac:dyDescent="0.2">
      <c r="K54" s="384"/>
      <c r="L54" s="120" t="s">
        <v>168</v>
      </c>
      <c r="M54" s="118"/>
      <c r="N54" s="118"/>
      <c r="O54" s="118"/>
      <c r="P54" s="118"/>
      <c r="Q54" s="118"/>
    </row>
    <row r="55" spans="1:17" x14ac:dyDescent="0.2">
      <c r="K55" s="384"/>
      <c r="L55" s="120" t="s">
        <v>169</v>
      </c>
      <c r="M55" s="118"/>
      <c r="N55" s="118"/>
      <c r="O55" s="118"/>
      <c r="P55" s="118"/>
      <c r="Q55" s="118"/>
    </row>
    <row r="56" spans="1:17" x14ac:dyDescent="0.2">
      <c r="K56" s="384"/>
      <c r="L56" s="120" t="s">
        <v>170</v>
      </c>
      <c r="M56" s="118"/>
      <c r="N56" s="118"/>
      <c r="O56" s="118"/>
      <c r="P56" s="118"/>
      <c r="Q56" s="118"/>
    </row>
    <row r="57" spans="1:17" x14ac:dyDescent="0.2">
      <c r="K57" s="384"/>
      <c r="L57" s="120" t="s">
        <v>171</v>
      </c>
      <c r="M57" s="118"/>
      <c r="N57" s="118"/>
      <c r="O57" s="118"/>
      <c r="P57" s="118"/>
      <c r="Q57" s="118"/>
    </row>
    <row r="58" spans="1:17" x14ac:dyDescent="0.2">
      <c r="K58" s="384"/>
      <c r="L58" s="120" t="s">
        <v>172</v>
      </c>
      <c r="M58" s="118"/>
      <c r="N58" s="118"/>
      <c r="O58" s="118"/>
      <c r="P58" s="118"/>
      <c r="Q58" s="118"/>
    </row>
    <row r="59" spans="1:17" x14ac:dyDescent="0.2">
      <c r="K59" s="384"/>
      <c r="L59" s="120" t="s">
        <v>173</v>
      </c>
      <c r="M59" s="118"/>
      <c r="N59" s="118"/>
      <c r="O59" s="118"/>
      <c r="P59" s="118"/>
      <c r="Q59" s="118"/>
    </row>
    <row r="60" spans="1:17" x14ac:dyDescent="0.2">
      <c r="K60" s="384"/>
      <c r="L60" s="120" t="s">
        <v>174</v>
      </c>
      <c r="M60" s="118"/>
      <c r="N60" s="118"/>
      <c r="O60" s="118"/>
      <c r="P60" s="118"/>
      <c r="Q60" s="118"/>
    </row>
    <row r="61" spans="1:17" x14ac:dyDescent="0.2">
      <c r="K61" s="384"/>
      <c r="L61" s="120" t="s">
        <v>175</v>
      </c>
      <c r="M61" s="118"/>
      <c r="N61" s="118"/>
      <c r="O61" s="118"/>
      <c r="P61" s="118"/>
      <c r="Q61" s="118"/>
    </row>
    <row r="62" spans="1:17" x14ac:dyDescent="0.2">
      <c r="K62" s="384"/>
      <c r="L62" s="120" t="s">
        <v>176</v>
      </c>
      <c r="M62" s="118"/>
      <c r="N62" s="118"/>
      <c r="O62" s="118"/>
      <c r="P62" s="118"/>
      <c r="Q62" s="118"/>
    </row>
    <row r="63" spans="1:17" x14ac:dyDescent="0.2">
      <c r="K63" s="384"/>
      <c r="L63" s="120" t="s">
        <v>177</v>
      </c>
      <c r="M63" s="118"/>
      <c r="N63" s="118"/>
      <c r="O63" s="118"/>
      <c r="P63" s="118"/>
      <c r="Q63" s="118"/>
    </row>
    <row r="64" spans="1:17" x14ac:dyDescent="0.2">
      <c r="K64" s="384"/>
      <c r="L64" s="116" t="s">
        <v>261</v>
      </c>
      <c r="M64" s="116" t="e">
        <f>AVERAGE(M52:M63)</f>
        <v>#DIV/0!</v>
      </c>
      <c r="N64" s="116"/>
      <c r="O64" s="116">
        <f>MAX(O52:O63)</f>
        <v>0</v>
      </c>
      <c r="P64" s="116" t="e">
        <f>AVERAGE(P52:P63)</f>
        <v>#DIV/0!</v>
      </c>
      <c r="Q64" s="116">
        <f>MAX(Q52:Q63)</f>
        <v>0</v>
      </c>
    </row>
    <row r="66" spans="11:17" ht="30" x14ac:dyDescent="0.2">
      <c r="K66" s="115">
        <f>+A6</f>
        <v>2022</v>
      </c>
      <c r="L66" s="115" t="s">
        <v>259</v>
      </c>
      <c r="M66" s="108" t="s">
        <v>322</v>
      </c>
      <c r="N66" s="108" t="s">
        <v>320</v>
      </c>
      <c r="O66" s="108" t="s">
        <v>323</v>
      </c>
      <c r="P66" s="121" t="s">
        <v>164</v>
      </c>
      <c r="Q66" s="121" t="s">
        <v>165</v>
      </c>
    </row>
    <row r="67" spans="11:17" x14ac:dyDescent="0.2">
      <c r="K67" s="384" t="s">
        <v>114</v>
      </c>
      <c r="L67" s="120" t="s">
        <v>166</v>
      </c>
      <c r="M67" s="118"/>
      <c r="N67" s="118"/>
      <c r="O67" s="118"/>
      <c r="P67" s="118"/>
      <c r="Q67" s="118"/>
    </row>
    <row r="68" spans="11:17" x14ac:dyDescent="0.2">
      <c r="K68" s="384"/>
      <c r="L68" s="120" t="s">
        <v>167</v>
      </c>
      <c r="M68" s="118"/>
      <c r="N68" s="118"/>
      <c r="O68" s="118"/>
      <c r="P68" s="118"/>
      <c r="Q68" s="118"/>
    </row>
    <row r="69" spans="11:17" x14ac:dyDescent="0.2">
      <c r="K69" s="384"/>
      <c r="L69" s="120" t="s">
        <v>168</v>
      </c>
      <c r="M69" s="118"/>
      <c r="N69" s="118"/>
      <c r="O69" s="118"/>
      <c r="P69" s="118"/>
      <c r="Q69" s="118"/>
    </row>
    <row r="70" spans="11:17" x14ac:dyDescent="0.2">
      <c r="K70" s="384"/>
      <c r="L70" s="120" t="s">
        <v>169</v>
      </c>
      <c r="M70" s="118"/>
      <c r="N70" s="118"/>
      <c r="O70" s="118"/>
      <c r="P70" s="118"/>
      <c r="Q70" s="118"/>
    </row>
    <row r="71" spans="11:17" x14ac:dyDescent="0.2">
      <c r="K71" s="384"/>
      <c r="L71" s="120" t="s">
        <v>170</v>
      </c>
      <c r="M71" s="118"/>
      <c r="N71" s="118"/>
      <c r="O71" s="118"/>
      <c r="P71" s="118"/>
      <c r="Q71" s="118"/>
    </row>
    <row r="72" spans="11:17" x14ac:dyDescent="0.2">
      <c r="K72" s="384"/>
      <c r="L72" s="120" t="s">
        <v>171</v>
      </c>
      <c r="M72" s="118"/>
      <c r="N72" s="118"/>
      <c r="O72" s="118"/>
      <c r="P72" s="118"/>
      <c r="Q72" s="118"/>
    </row>
    <row r="73" spans="11:17" x14ac:dyDescent="0.2">
      <c r="K73" s="384"/>
      <c r="L73" s="120" t="s">
        <v>172</v>
      </c>
      <c r="M73" s="118"/>
      <c r="N73" s="118"/>
      <c r="O73" s="118"/>
      <c r="P73" s="118"/>
      <c r="Q73" s="118"/>
    </row>
    <row r="74" spans="11:17" x14ac:dyDescent="0.2">
      <c r="K74" s="384"/>
      <c r="L74" s="120" t="s">
        <v>173</v>
      </c>
      <c r="M74" s="118"/>
      <c r="N74" s="118"/>
      <c r="O74" s="118"/>
      <c r="P74" s="118"/>
      <c r="Q74" s="118"/>
    </row>
    <row r="75" spans="11:17" x14ac:dyDescent="0.2">
      <c r="K75" s="384"/>
      <c r="L75" s="120" t="s">
        <v>174</v>
      </c>
      <c r="M75" s="118"/>
      <c r="N75" s="118"/>
      <c r="O75" s="118"/>
      <c r="P75" s="118"/>
      <c r="Q75" s="118"/>
    </row>
    <row r="76" spans="11:17" x14ac:dyDescent="0.2">
      <c r="K76" s="384"/>
      <c r="L76" s="120" t="s">
        <v>175</v>
      </c>
      <c r="M76" s="118"/>
      <c r="N76" s="118"/>
      <c r="O76" s="118"/>
      <c r="P76" s="118"/>
      <c r="Q76" s="118"/>
    </row>
    <row r="77" spans="11:17" x14ac:dyDescent="0.2">
      <c r="K77" s="384"/>
      <c r="L77" s="120" t="s">
        <v>176</v>
      </c>
      <c r="M77" s="118"/>
      <c r="N77" s="118"/>
      <c r="O77" s="118"/>
      <c r="P77" s="118"/>
      <c r="Q77" s="118"/>
    </row>
    <row r="78" spans="11:17" x14ac:dyDescent="0.2">
      <c r="K78" s="384"/>
      <c r="L78" s="120" t="s">
        <v>177</v>
      </c>
      <c r="M78" s="118"/>
      <c r="N78" s="118"/>
      <c r="O78" s="118"/>
      <c r="P78" s="118"/>
      <c r="Q78" s="118"/>
    </row>
    <row r="79" spans="11:17" x14ac:dyDescent="0.2">
      <c r="K79" s="384"/>
      <c r="L79" s="116" t="s">
        <v>261</v>
      </c>
      <c r="M79" s="116" t="e">
        <f>AVERAGE(M67:M78)</f>
        <v>#DIV/0!</v>
      </c>
      <c r="N79" s="116"/>
      <c r="O79" s="116">
        <f>MAX(O67:O78)</f>
        <v>0</v>
      </c>
      <c r="P79" s="116" t="e">
        <f>AVERAGE(P67:P78)</f>
        <v>#DIV/0!</v>
      </c>
      <c r="Q79" s="116">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showGridLines="0" tabSelected="1" topLeftCell="A3" zoomScale="80" zoomScaleNormal="80" workbookViewId="0">
      <selection activeCell="S10" sqref="S10"/>
    </sheetView>
  </sheetViews>
  <sheetFormatPr defaultRowHeight="14.25" x14ac:dyDescent="0.2"/>
  <cols>
    <col min="1" max="1" width="14" style="3" customWidth="1"/>
    <col min="2" max="4" width="17" style="70" customWidth="1"/>
    <col min="5" max="5" width="14.7109375" style="70" customWidth="1"/>
    <col min="6" max="7" width="17" style="70"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JG Pears CHP Plant</v>
      </c>
    </row>
    <row r="3" spans="1:19" ht="15" x14ac:dyDescent="0.25">
      <c r="A3" s="114" t="s">
        <v>266</v>
      </c>
      <c r="D3" s="132" t="s">
        <v>295</v>
      </c>
      <c r="G3" s="136" t="s">
        <v>302</v>
      </c>
      <c r="J3" s="11" t="str">
        <f>+A3</f>
        <v xml:space="preserve">Monitoring of Ammnonia emissions </v>
      </c>
      <c r="L3" s="11"/>
      <c r="N3" s="11" t="s">
        <v>296</v>
      </c>
      <c r="Q3" s="135" t="s">
        <v>290</v>
      </c>
      <c r="R3" s="130"/>
      <c r="S3" s="130"/>
    </row>
    <row r="4" spans="1:19" ht="13.9" customHeight="1" x14ac:dyDescent="0.2">
      <c r="Q4" s="351" t="s">
        <v>300</v>
      </c>
      <c r="R4" s="351"/>
      <c r="S4" s="351"/>
    </row>
    <row r="5" spans="1:19" ht="17.25" x14ac:dyDescent="0.25">
      <c r="A5" s="122" t="s">
        <v>260</v>
      </c>
      <c r="B5" s="386" t="s">
        <v>258</v>
      </c>
      <c r="C5" s="386"/>
      <c r="D5" s="386"/>
      <c r="E5" s="386" t="s">
        <v>257</v>
      </c>
      <c r="F5" s="386"/>
      <c r="G5" s="386"/>
      <c r="J5" s="385"/>
      <c r="K5" s="385"/>
      <c r="L5" s="385"/>
      <c r="M5" s="385"/>
      <c r="N5" s="385"/>
      <c r="O5" s="385"/>
      <c r="Q5" s="351"/>
      <c r="R5" s="351"/>
      <c r="S5" s="351"/>
    </row>
    <row r="6" spans="1:19" s="112" customFormat="1" ht="37.5" customHeight="1" x14ac:dyDescent="0.25">
      <c r="A6" s="119">
        <f>+'Cover Page'!C39</f>
        <v>2022</v>
      </c>
      <c r="B6" s="108" t="s">
        <v>188</v>
      </c>
      <c r="C6" s="108" t="s">
        <v>161</v>
      </c>
      <c r="D6" s="108" t="s">
        <v>312</v>
      </c>
      <c r="E6" s="108" t="s">
        <v>189</v>
      </c>
      <c r="F6" s="108" t="s">
        <v>164</v>
      </c>
      <c r="G6" s="108" t="s">
        <v>313</v>
      </c>
      <c r="H6" s="113"/>
      <c r="J6" s="115">
        <f>+A6</f>
        <v>2022</v>
      </c>
      <c r="K6" s="115" t="s">
        <v>259</v>
      </c>
      <c r="L6" s="121" t="s">
        <v>161</v>
      </c>
      <c r="M6" s="121" t="s">
        <v>162</v>
      </c>
      <c r="N6" s="121" t="s">
        <v>164</v>
      </c>
      <c r="O6" s="121" t="s">
        <v>165</v>
      </c>
      <c r="Q6" s="351"/>
      <c r="R6" s="351"/>
      <c r="S6" s="351"/>
    </row>
    <row r="7" spans="1:19" x14ac:dyDescent="0.2">
      <c r="A7" s="120" t="s">
        <v>166</v>
      </c>
      <c r="B7" s="123" t="s">
        <v>375</v>
      </c>
      <c r="C7" s="118">
        <v>1.4</v>
      </c>
      <c r="D7" s="118">
        <v>58.2</v>
      </c>
      <c r="E7" s="123" t="s">
        <v>375</v>
      </c>
      <c r="F7" s="118">
        <v>1.1000000000000001</v>
      </c>
      <c r="G7" s="118">
        <v>3.2</v>
      </c>
      <c r="J7" s="384" t="s">
        <v>110</v>
      </c>
      <c r="K7" s="120" t="s">
        <v>166</v>
      </c>
      <c r="L7" s="118">
        <f>C7</f>
        <v>1.4</v>
      </c>
      <c r="M7" s="118">
        <f>D7</f>
        <v>58.2</v>
      </c>
      <c r="N7" s="118">
        <f>F7</f>
        <v>1.1000000000000001</v>
      </c>
      <c r="O7" s="118">
        <f>G7</f>
        <v>3.2</v>
      </c>
      <c r="Q7" s="351"/>
      <c r="R7" s="351"/>
      <c r="S7" s="351"/>
    </row>
    <row r="8" spans="1:19" x14ac:dyDescent="0.2">
      <c r="A8" s="120" t="s">
        <v>167</v>
      </c>
      <c r="B8" s="117" t="str">
        <f>+B7</f>
        <v>N/A</v>
      </c>
      <c r="C8" s="118">
        <v>2.1</v>
      </c>
      <c r="D8" s="118">
        <v>97.3</v>
      </c>
      <c r="E8" s="117" t="str">
        <f>+E7</f>
        <v>N/A</v>
      </c>
      <c r="F8" s="118">
        <v>1.75</v>
      </c>
      <c r="G8" s="118">
        <v>3.2</v>
      </c>
      <c r="J8" s="384"/>
      <c r="K8" s="120" t="s">
        <v>167</v>
      </c>
      <c r="L8" s="118">
        <f t="shared" ref="L8:L18" si="0">C8</f>
        <v>2.1</v>
      </c>
      <c r="M8" s="118">
        <f t="shared" ref="M8:M18" si="1">D8</f>
        <v>97.3</v>
      </c>
      <c r="N8" s="118">
        <f t="shared" ref="N8:N17" si="2">F8</f>
        <v>1.75</v>
      </c>
      <c r="O8" s="118">
        <f t="shared" ref="O8:O18" si="3">G8</f>
        <v>3.2</v>
      </c>
      <c r="Q8" s="351"/>
      <c r="R8" s="351"/>
      <c r="S8" s="351"/>
    </row>
    <row r="9" spans="1:19" ht="15" x14ac:dyDescent="0.25">
      <c r="A9" s="120" t="s">
        <v>168</v>
      </c>
      <c r="B9" s="117" t="str">
        <f t="shared" ref="B9:B18" si="4">+B8</f>
        <v>N/A</v>
      </c>
      <c r="C9" s="118">
        <v>0.6</v>
      </c>
      <c r="D9" s="118">
        <v>3.1</v>
      </c>
      <c r="E9" s="117" t="str">
        <f t="shared" ref="E9:E18" si="5">+E8</f>
        <v>N/A</v>
      </c>
      <c r="F9" s="118">
        <v>0.57999999999999996</v>
      </c>
      <c r="G9" s="118">
        <v>1.6</v>
      </c>
      <c r="J9" s="384"/>
      <c r="K9" s="120" t="s">
        <v>168</v>
      </c>
      <c r="L9" s="118">
        <f t="shared" si="0"/>
        <v>0.6</v>
      </c>
      <c r="M9" s="118">
        <f t="shared" si="1"/>
        <v>3.1</v>
      </c>
      <c r="N9" s="118">
        <f t="shared" si="2"/>
        <v>0.57999999999999996</v>
      </c>
      <c r="O9" s="118">
        <f t="shared" si="3"/>
        <v>1.6</v>
      </c>
      <c r="Q9" s="134" t="s">
        <v>301</v>
      </c>
    </row>
    <row r="10" spans="1:19" ht="14.25" customHeight="1" x14ac:dyDescent="0.2">
      <c r="A10" s="120" t="s">
        <v>169</v>
      </c>
      <c r="B10" s="117" t="str">
        <f t="shared" si="4"/>
        <v>N/A</v>
      </c>
      <c r="C10" s="118">
        <v>0.5</v>
      </c>
      <c r="D10" s="118">
        <v>8</v>
      </c>
      <c r="E10" s="117" t="str">
        <f t="shared" si="5"/>
        <v>N/A</v>
      </c>
      <c r="F10" s="118">
        <v>0.49</v>
      </c>
      <c r="G10" s="118">
        <v>1</v>
      </c>
      <c r="J10" s="384"/>
      <c r="K10" s="120" t="s">
        <v>169</v>
      </c>
      <c r="L10" s="118">
        <f t="shared" si="0"/>
        <v>0.5</v>
      </c>
      <c r="M10" s="118">
        <f t="shared" si="1"/>
        <v>8</v>
      </c>
      <c r="N10" s="118">
        <f t="shared" si="2"/>
        <v>0.49</v>
      </c>
      <c r="O10" s="118">
        <f t="shared" si="3"/>
        <v>1</v>
      </c>
      <c r="Q10" s="383" t="s">
        <v>319</v>
      </c>
      <c r="R10" s="383"/>
      <c r="S10" s="383"/>
    </row>
    <row r="11" spans="1:19" x14ac:dyDescent="0.2">
      <c r="A11" s="120" t="s">
        <v>170</v>
      </c>
      <c r="B11" s="117" t="str">
        <f t="shared" si="4"/>
        <v>N/A</v>
      </c>
      <c r="C11" s="118">
        <v>0.5</v>
      </c>
      <c r="D11" s="118">
        <v>23.7</v>
      </c>
      <c r="E11" s="117" t="str">
        <f t="shared" si="5"/>
        <v>N/A</v>
      </c>
      <c r="F11" s="118">
        <v>0.33</v>
      </c>
      <c r="G11" s="118">
        <v>0.4</v>
      </c>
      <c r="J11" s="384"/>
      <c r="K11" s="120" t="s">
        <v>170</v>
      </c>
      <c r="L11" s="118">
        <f t="shared" si="0"/>
        <v>0.5</v>
      </c>
      <c r="M11" s="118">
        <f t="shared" si="1"/>
        <v>23.7</v>
      </c>
      <c r="N11" s="118">
        <f t="shared" si="2"/>
        <v>0.33</v>
      </c>
      <c r="O11" s="118">
        <f t="shared" si="3"/>
        <v>0.4</v>
      </c>
      <c r="Q11" s="383"/>
      <c r="R11" s="383"/>
      <c r="S11" s="383"/>
    </row>
    <row r="12" spans="1:19" x14ac:dyDescent="0.2">
      <c r="A12" s="120" t="s">
        <v>171</v>
      </c>
      <c r="B12" s="117" t="str">
        <f t="shared" si="4"/>
        <v>N/A</v>
      </c>
      <c r="C12" s="118">
        <v>0.6</v>
      </c>
      <c r="D12" s="118">
        <v>75.3</v>
      </c>
      <c r="E12" s="117" t="str">
        <f t="shared" si="5"/>
        <v>N/A</v>
      </c>
      <c r="F12" s="118">
        <v>0.3</v>
      </c>
      <c r="G12" s="118">
        <v>0.4</v>
      </c>
      <c r="J12" s="384"/>
      <c r="K12" s="120" t="s">
        <v>171</v>
      </c>
      <c r="L12" s="118">
        <f t="shared" si="0"/>
        <v>0.6</v>
      </c>
      <c r="M12" s="118">
        <f t="shared" si="1"/>
        <v>75.3</v>
      </c>
      <c r="N12" s="118">
        <f t="shared" si="2"/>
        <v>0.3</v>
      </c>
      <c r="O12" s="118">
        <f t="shared" si="3"/>
        <v>0.4</v>
      </c>
      <c r="Q12" s="383"/>
      <c r="R12" s="383"/>
      <c r="S12" s="383"/>
    </row>
    <row r="13" spans="1:19" ht="14.25" customHeight="1" x14ac:dyDescent="0.2">
      <c r="A13" s="120" t="s">
        <v>172</v>
      </c>
      <c r="B13" s="117" t="str">
        <f t="shared" si="4"/>
        <v>N/A</v>
      </c>
      <c r="C13" s="118">
        <v>0.7</v>
      </c>
      <c r="D13" s="118">
        <v>39.6</v>
      </c>
      <c r="E13" s="117" t="str">
        <f t="shared" si="5"/>
        <v>N/A</v>
      </c>
      <c r="F13" s="118">
        <v>0.37</v>
      </c>
      <c r="G13" s="118">
        <v>1.2</v>
      </c>
      <c r="J13" s="384"/>
      <c r="K13" s="120" t="s">
        <v>172</v>
      </c>
      <c r="L13" s="118">
        <f t="shared" si="0"/>
        <v>0.7</v>
      </c>
      <c r="M13" s="118">
        <f t="shared" si="1"/>
        <v>39.6</v>
      </c>
      <c r="N13" s="118">
        <f t="shared" si="2"/>
        <v>0.37</v>
      </c>
      <c r="O13" s="118">
        <f t="shared" si="3"/>
        <v>1.2</v>
      </c>
      <c r="Q13" s="383" t="s">
        <v>325</v>
      </c>
      <c r="R13" s="383"/>
      <c r="S13" s="383"/>
    </row>
    <row r="14" spans="1:19" x14ac:dyDescent="0.2">
      <c r="A14" s="120" t="s">
        <v>173</v>
      </c>
      <c r="B14" s="117" t="str">
        <f t="shared" si="4"/>
        <v>N/A</v>
      </c>
      <c r="C14" s="118">
        <v>0.6</v>
      </c>
      <c r="D14" s="118">
        <v>24.8</v>
      </c>
      <c r="E14" s="117" t="str">
        <f t="shared" si="5"/>
        <v>N/A</v>
      </c>
      <c r="F14" s="118">
        <v>0.61</v>
      </c>
      <c r="G14" s="118">
        <v>2.9</v>
      </c>
      <c r="J14" s="384"/>
      <c r="K14" s="120" t="s">
        <v>173</v>
      </c>
      <c r="L14" s="118">
        <f t="shared" si="0"/>
        <v>0.6</v>
      </c>
      <c r="M14" s="118">
        <f t="shared" si="1"/>
        <v>24.8</v>
      </c>
      <c r="N14" s="118">
        <f t="shared" si="2"/>
        <v>0.61</v>
      </c>
      <c r="O14" s="118">
        <f t="shared" si="3"/>
        <v>2.9</v>
      </c>
      <c r="Q14" s="383"/>
      <c r="R14" s="383"/>
      <c r="S14" s="383"/>
    </row>
    <row r="15" spans="1:19" x14ac:dyDescent="0.2">
      <c r="A15" s="120" t="s">
        <v>174</v>
      </c>
      <c r="B15" s="117" t="str">
        <f t="shared" si="4"/>
        <v>N/A</v>
      </c>
      <c r="C15" s="118">
        <v>0.4</v>
      </c>
      <c r="D15" s="118">
        <v>6.6</v>
      </c>
      <c r="E15" s="117" t="str">
        <f t="shared" si="5"/>
        <v>N/A</v>
      </c>
      <c r="F15" s="118">
        <v>0.38</v>
      </c>
      <c r="G15" s="118">
        <v>1.7</v>
      </c>
      <c r="J15" s="384"/>
      <c r="K15" s="120" t="s">
        <v>174</v>
      </c>
      <c r="L15" s="118">
        <f t="shared" si="0"/>
        <v>0.4</v>
      </c>
      <c r="M15" s="118">
        <f t="shared" si="1"/>
        <v>6.6</v>
      </c>
      <c r="N15" s="118">
        <f t="shared" si="2"/>
        <v>0.38</v>
      </c>
      <c r="O15" s="118">
        <f t="shared" si="3"/>
        <v>1.7</v>
      </c>
      <c r="Q15" s="383"/>
      <c r="R15" s="383"/>
      <c r="S15" s="383"/>
    </row>
    <row r="16" spans="1:19" x14ac:dyDescent="0.2">
      <c r="A16" s="120" t="s">
        <v>175</v>
      </c>
      <c r="B16" s="117" t="str">
        <f t="shared" si="4"/>
        <v>N/A</v>
      </c>
      <c r="C16" s="118">
        <v>0.5</v>
      </c>
      <c r="D16" s="118">
        <v>48.4</v>
      </c>
      <c r="E16" s="117" t="str">
        <f t="shared" si="5"/>
        <v>N/A</v>
      </c>
      <c r="F16" s="118">
        <v>0.32</v>
      </c>
      <c r="G16" s="118">
        <v>0.7</v>
      </c>
      <c r="J16" s="384"/>
      <c r="K16" s="120" t="s">
        <v>175</v>
      </c>
      <c r="L16" s="118">
        <f t="shared" si="0"/>
        <v>0.5</v>
      </c>
      <c r="M16" s="118">
        <f t="shared" si="1"/>
        <v>48.4</v>
      </c>
      <c r="N16" s="118">
        <f t="shared" si="2"/>
        <v>0.32</v>
      </c>
      <c r="O16" s="118">
        <f t="shared" si="3"/>
        <v>0.7</v>
      </c>
      <c r="Q16" s="383"/>
      <c r="R16" s="383"/>
      <c r="S16" s="383"/>
    </row>
    <row r="17" spans="1:15" x14ac:dyDescent="0.2">
      <c r="A17" s="120" t="s">
        <v>176</v>
      </c>
      <c r="B17" s="117" t="str">
        <f t="shared" si="4"/>
        <v>N/A</v>
      </c>
      <c r="C17" s="118">
        <v>0.3</v>
      </c>
      <c r="D17" s="118">
        <v>5.2</v>
      </c>
      <c r="E17" s="117" t="str">
        <f t="shared" si="5"/>
        <v>N/A</v>
      </c>
      <c r="F17" s="118">
        <v>0.32</v>
      </c>
      <c r="G17" s="118">
        <v>0.5</v>
      </c>
      <c r="J17" s="384"/>
      <c r="K17" s="120" t="s">
        <v>176</v>
      </c>
      <c r="L17" s="118">
        <f t="shared" si="0"/>
        <v>0.3</v>
      </c>
      <c r="M17" s="118">
        <f t="shared" si="1"/>
        <v>5.2</v>
      </c>
      <c r="N17" s="118">
        <f t="shared" si="2"/>
        <v>0.32</v>
      </c>
      <c r="O17" s="118">
        <f t="shared" si="3"/>
        <v>0.5</v>
      </c>
    </row>
    <row r="18" spans="1:15" x14ac:dyDescent="0.2">
      <c r="A18" s="120" t="s">
        <v>177</v>
      </c>
      <c r="B18" s="117" t="str">
        <f t="shared" si="4"/>
        <v>N/A</v>
      </c>
      <c r="C18" s="118">
        <v>0.7</v>
      </c>
      <c r="D18" s="118">
        <v>18.3</v>
      </c>
      <c r="E18" s="117" t="str">
        <f t="shared" si="5"/>
        <v>N/A</v>
      </c>
      <c r="F18" s="118">
        <v>0.56000000000000005</v>
      </c>
      <c r="G18" s="118">
        <v>1.2</v>
      </c>
      <c r="J18" s="384"/>
      <c r="K18" s="120" t="s">
        <v>177</v>
      </c>
      <c r="L18" s="118">
        <f t="shared" si="0"/>
        <v>0.7</v>
      </c>
      <c r="M18" s="118">
        <f t="shared" si="1"/>
        <v>18.3</v>
      </c>
      <c r="N18" s="118">
        <v>0.56000000000000005</v>
      </c>
      <c r="O18" s="118">
        <f t="shared" si="3"/>
        <v>1.2</v>
      </c>
    </row>
    <row r="19" spans="1:15" x14ac:dyDescent="0.2">
      <c r="J19" s="384"/>
      <c r="K19" s="116" t="s">
        <v>261</v>
      </c>
      <c r="L19" s="168">
        <f>AVERAGE(L7:L18)</f>
        <v>0.74166666666666659</v>
      </c>
      <c r="M19" s="168">
        <f>MAX(M7:M18)</f>
        <v>97.3</v>
      </c>
      <c r="N19" s="168">
        <f>AVERAGE(N7:N18)</f>
        <v>0.59250000000000014</v>
      </c>
      <c r="O19" s="168">
        <f>MAX(O7:O18)</f>
        <v>3.2</v>
      </c>
    </row>
    <row r="21" spans="1:15" ht="30" x14ac:dyDescent="0.2">
      <c r="J21" s="115">
        <f>+A6</f>
        <v>2022</v>
      </c>
      <c r="K21" s="115" t="s">
        <v>259</v>
      </c>
      <c r="L21" s="121" t="s">
        <v>161</v>
      </c>
      <c r="M21" s="121" t="s">
        <v>162</v>
      </c>
      <c r="N21" s="121" t="s">
        <v>164</v>
      </c>
      <c r="O21" s="121" t="s">
        <v>165</v>
      </c>
    </row>
    <row r="22" spans="1:15" x14ac:dyDescent="0.2">
      <c r="J22" s="384" t="s">
        <v>111</v>
      </c>
      <c r="K22" s="120" t="s">
        <v>166</v>
      </c>
      <c r="L22" s="118"/>
      <c r="M22" s="118"/>
      <c r="N22" s="118"/>
      <c r="O22" s="118"/>
    </row>
    <row r="23" spans="1:15" x14ac:dyDescent="0.2">
      <c r="J23" s="384"/>
      <c r="K23" s="120" t="s">
        <v>167</v>
      </c>
      <c r="L23" s="118"/>
      <c r="M23" s="118"/>
      <c r="N23" s="118"/>
      <c r="O23" s="118"/>
    </row>
    <row r="24" spans="1:15" x14ac:dyDescent="0.2">
      <c r="J24" s="384"/>
      <c r="K24" s="120" t="s">
        <v>168</v>
      </c>
      <c r="L24" s="118"/>
      <c r="M24" s="118"/>
      <c r="N24" s="118"/>
      <c r="O24" s="118"/>
    </row>
    <row r="25" spans="1:15" x14ac:dyDescent="0.2">
      <c r="J25" s="384"/>
      <c r="K25" s="120" t="s">
        <v>169</v>
      </c>
      <c r="L25" s="118"/>
      <c r="M25" s="118"/>
      <c r="N25" s="118"/>
      <c r="O25" s="118"/>
    </row>
    <row r="26" spans="1:15" x14ac:dyDescent="0.2">
      <c r="J26" s="384"/>
      <c r="K26" s="120" t="s">
        <v>170</v>
      </c>
      <c r="L26" s="118"/>
      <c r="M26" s="118"/>
      <c r="N26" s="118"/>
      <c r="O26" s="118"/>
    </row>
    <row r="27" spans="1:15" x14ac:dyDescent="0.2">
      <c r="J27" s="384"/>
      <c r="K27" s="120" t="s">
        <v>171</v>
      </c>
      <c r="L27" s="118"/>
      <c r="M27" s="118"/>
      <c r="N27" s="118"/>
      <c r="O27" s="118"/>
    </row>
    <row r="28" spans="1:15" x14ac:dyDescent="0.2">
      <c r="J28" s="384"/>
      <c r="K28" s="120" t="s">
        <v>172</v>
      </c>
      <c r="L28" s="118"/>
      <c r="M28" s="118"/>
      <c r="N28" s="118"/>
      <c r="O28" s="118"/>
    </row>
    <row r="29" spans="1:15" x14ac:dyDescent="0.2">
      <c r="J29" s="384"/>
      <c r="K29" s="120" t="s">
        <v>173</v>
      </c>
      <c r="L29" s="118"/>
      <c r="M29" s="118"/>
      <c r="N29" s="118"/>
      <c r="O29" s="118"/>
    </row>
    <row r="30" spans="1:15" x14ac:dyDescent="0.2">
      <c r="J30" s="384"/>
      <c r="K30" s="120" t="s">
        <v>174</v>
      </c>
      <c r="L30" s="118"/>
      <c r="M30" s="118"/>
      <c r="N30" s="118"/>
      <c r="O30" s="118"/>
    </row>
    <row r="31" spans="1:15" x14ac:dyDescent="0.2">
      <c r="J31" s="384"/>
      <c r="K31" s="120" t="s">
        <v>175</v>
      </c>
      <c r="L31" s="118"/>
      <c r="M31" s="118"/>
      <c r="N31" s="118"/>
      <c r="O31" s="118"/>
    </row>
    <row r="32" spans="1:15" x14ac:dyDescent="0.2">
      <c r="J32" s="384"/>
      <c r="K32" s="120" t="s">
        <v>176</v>
      </c>
      <c r="L32" s="118"/>
      <c r="M32" s="118"/>
      <c r="N32" s="118"/>
      <c r="O32" s="118"/>
    </row>
    <row r="33" spans="1:15" x14ac:dyDescent="0.2">
      <c r="J33" s="384"/>
      <c r="K33" s="120" t="s">
        <v>177</v>
      </c>
      <c r="L33" s="118"/>
      <c r="M33" s="118"/>
      <c r="N33" s="118"/>
      <c r="O33" s="118"/>
    </row>
    <row r="34" spans="1:15" x14ac:dyDescent="0.2">
      <c r="J34" s="384"/>
      <c r="K34" s="116" t="s">
        <v>261</v>
      </c>
      <c r="L34" s="116" t="e">
        <f>AVERAGE(L22:L33)</f>
        <v>#DIV/0!</v>
      </c>
      <c r="M34" s="116">
        <f>MAX(M22:M33)</f>
        <v>0</v>
      </c>
      <c r="N34" s="116" t="e">
        <f>AVERAGE(N22:N33)</f>
        <v>#DIV/0!</v>
      </c>
      <c r="O34" s="116">
        <f>MAX(O22:O33)</f>
        <v>0</v>
      </c>
    </row>
    <row r="36" spans="1:15" ht="30" x14ac:dyDescent="0.2">
      <c r="J36" s="115">
        <f>+A6</f>
        <v>2022</v>
      </c>
      <c r="K36" s="115" t="s">
        <v>259</v>
      </c>
      <c r="L36" s="121" t="s">
        <v>161</v>
      </c>
      <c r="M36" s="121" t="s">
        <v>162</v>
      </c>
      <c r="N36" s="121" t="s">
        <v>164</v>
      </c>
      <c r="O36" s="121" t="s">
        <v>165</v>
      </c>
    </row>
    <row r="37" spans="1:15" x14ac:dyDescent="0.2">
      <c r="J37" s="384" t="s">
        <v>112</v>
      </c>
      <c r="K37" s="120" t="s">
        <v>166</v>
      </c>
      <c r="L37" s="118"/>
      <c r="M37" s="118"/>
      <c r="N37" s="118"/>
      <c r="O37" s="118"/>
    </row>
    <row r="38" spans="1:15" x14ac:dyDescent="0.2">
      <c r="J38" s="384"/>
      <c r="K38" s="120" t="s">
        <v>167</v>
      </c>
      <c r="L38" s="118"/>
      <c r="M38" s="118"/>
      <c r="N38" s="118"/>
      <c r="O38" s="118"/>
    </row>
    <row r="39" spans="1:15" x14ac:dyDescent="0.2">
      <c r="J39" s="384"/>
      <c r="K39" s="120" t="s">
        <v>168</v>
      </c>
      <c r="L39" s="118"/>
      <c r="M39" s="118"/>
      <c r="N39" s="118"/>
      <c r="O39" s="118"/>
    </row>
    <row r="40" spans="1:15" x14ac:dyDescent="0.2">
      <c r="J40" s="384"/>
      <c r="K40" s="120" t="s">
        <v>169</v>
      </c>
      <c r="L40" s="118"/>
      <c r="M40" s="118"/>
      <c r="N40" s="118"/>
      <c r="O40" s="118"/>
    </row>
    <row r="41" spans="1:15" x14ac:dyDescent="0.2">
      <c r="J41" s="384"/>
      <c r="K41" s="120" t="s">
        <v>170</v>
      </c>
      <c r="L41" s="118"/>
      <c r="M41" s="118"/>
      <c r="N41" s="118"/>
      <c r="O41" s="118"/>
    </row>
    <row r="42" spans="1:15" x14ac:dyDescent="0.2">
      <c r="J42" s="384"/>
      <c r="K42" s="120" t="s">
        <v>171</v>
      </c>
      <c r="L42" s="118"/>
      <c r="M42" s="118"/>
      <c r="N42" s="118"/>
      <c r="O42" s="118"/>
    </row>
    <row r="43" spans="1:15" x14ac:dyDescent="0.2">
      <c r="J43" s="384"/>
      <c r="K43" s="120" t="s">
        <v>172</v>
      </c>
      <c r="L43" s="118"/>
      <c r="M43" s="118"/>
      <c r="N43" s="118"/>
      <c r="O43" s="118"/>
    </row>
    <row r="44" spans="1:15" x14ac:dyDescent="0.2">
      <c r="J44" s="384"/>
      <c r="K44" s="120" t="s">
        <v>173</v>
      </c>
      <c r="L44" s="118"/>
      <c r="M44" s="118"/>
      <c r="N44" s="118"/>
      <c r="O44" s="118"/>
    </row>
    <row r="45" spans="1:15" x14ac:dyDescent="0.2">
      <c r="J45" s="384"/>
      <c r="K45" s="120" t="s">
        <v>174</v>
      </c>
      <c r="L45" s="118"/>
      <c r="M45" s="118"/>
      <c r="N45" s="118"/>
      <c r="O45" s="118"/>
    </row>
    <row r="46" spans="1:15" x14ac:dyDescent="0.2">
      <c r="J46" s="384"/>
      <c r="K46" s="120" t="s">
        <v>175</v>
      </c>
      <c r="L46" s="118"/>
      <c r="M46" s="118"/>
      <c r="N46" s="118"/>
      <c r="O46" s="118"/>
    </row>
    <row r="47" spans="1:15" x14ac:dyDescent="0.2">
      <c r="J47" s="384"/>
      <c r="K47" s="120" t="s">
        <v>176</v>
      </c>
      <c r="L47" s="118"/>
      <c r="M47" s="118"/>
      <c r="N47" s="118"/>
      <c r="O47" s="118"/>
    </row>
    <row r="48" spans="1:15" ht="15" x14ac:dyDescent="0.2">
      <c r="A48" s="396" t="s">
        <v>208</v>
      </c>
      <c r="B48" s="397"/>
      <c r="C48" s="397"/>
      <c r="D48" s="397"/>
      <c r="E48" s="397"/>
      <c r="F48" s="397"/>
      <c r="G48" s="398"/>
      <c r="J48" s="384"/>
      <c r="K48" s="120" t="s">
        <v>177</v>
      </c>
      <c r="L48" s="118"/>
      <c r="M48" s="118"/>
      <c r="N48" s="118"/>
      <c r="O48" s="118"/>
    </row>
    <row r="49" spans="1:15" x14ac:dyDescent="0.2">
      <c r="A49" s="387" t="s">
        <v>327</v>
      </c>
      <c r="B49" s="388"/>
      <c r="C49" s="388"/>
      <c r="D49" s="388"/>
      <c r="E49" s="388"/>
      <c r="F49" s="388"/>
      <c r="G49" s="389"/>
      <c r="J49" s="384"/>
      <c r="K49" s="116" t="s">
        <v>261</v>
      </c>
      <c r="L49" s="116" t="e">
        <f>AVERAGE(L37:L48)</f>
        <v>#DIV/0!</v>
      </c>
      <c r="M49" s="116">
        <f>MAX(M37:M48)</f>
        <v>0</v>
      </c>
      <c r="N49" s="116" t="e">
        <f>AVERAGE(N37:N48)</f>
        <v>#DIV/0!</v>
      </c>
      <c r="O49" s="116">
        <f>MAX(O37:O48)</f>
        <v>0</v>
      </c>
    </row>
    <row r="50" spans="1:15" x14ac:dyDescent="0.2">
      <c r="A50" s="390"/>
      <c r="B50" s="391"/>
      <c r="C50" s="391"/>
      <c r="D50" s="391"/>
      <c r="E50" s="391"/>
      <c r="F50" s="391"/>
      <c r="G50" s="392"/>
    </row>
    <row r="51" spans="1:15" ht="30" x14ac:dyDescent="0.2">
      <c r="A51" s="390"/>
      <c r="B51" s="391"/>
      <c r="C51" s="391"/>
      <c r="D51" s="391"/>
      <c r="E51" s="391"/>
      <c r="F51" s="391"/>
      <c r="G51" s="392"/>
      <c r="J51" s="115">
        <f>+A6</f>
        <v>2022</v>
      </c>
      <c r="K51" s="115" t="s">
        <v>259</v>
      </c>
      <c r="L51" s="121" t="s">
        <v>161</v>
      </c>
      <c r="M51" s="121" t="s">
        <v>162</v>
      </c>
      <c r="N51" s="121" t="s">
        <v>164</v>
      </c>
      <c r="O51" s="121" t="s">
        <v>165</v>
      </c>
    </row>
    <row r="52" spans="1:15" x14ac:dyDescent="0.2">
      <c r="A52" s="393"/>
      <c r="B52" s="394"/>
      <c r="C52" s="394"/>
      <c r="D52" s="394"/>
      <c r="E52" s="394"/>
      <c r="F52" s="394"/>
      <c r="G52" s="395"/>
      <c r="J52" s="384" t="s">
        <v>113</v>
      </c>
      <c r="K52" s="120" t="s">
        <v>166</v>
      </c>
      <c r="L52" s="118"/>
      <c r="M52" s="118"/>
      <c r="N52" s="118"/>
      <c r="O52" s="118"/>
    </row>
    <row r="53" spans="1:15" x14ac:dyDescent="0.2">
      <c r="J53" s="384"/>
      <c r="K53" s="120" t="s">
        <v>167</v>
      </c>
      <c r="L53" s="118"/>
      <c r="M53" s="118"/>
      <c r="N53" s="118"/>
      <c r="O53" s="118"/>
    </row>
    <row r="54" spans="1:15" x14ac:dyDescent="0.2">
      <c r="J54" s="384"/>
      <c r="K54" s="120" t="s">
        <v>168</v>
      </c>
      <c r="L54" s="118"/>
      <c r="M54" s="118"/>
      <c r="N54" s="118"/>
      <c r="O54" s="118"/>
    </row>
    <row r="55" spans="1:15" x14ac:dyDescent="0.2">
      <c r="J55" s="384"/>
      <c r="K55" s="120" t="s">
        <v>169</v>
      </c>
      <c r="L55" s="118"/>
      <c r="M55" s="118"/>
      <c r="N55" s="118"/>
      <c r="O55" s="118"/>
    </row>
    <row r="56" spans="1:15" x14ac:dyDescent="0.2">
      <c r="J56" s="384"/>
      <c r="K56" s="120" t="s">
        <v>170</v>
      </c>
      <c r="L56" s="118"/>
      <c r="M56" s="118"/>
      <c r="N56" s="118"/>
      <c r="O56" s="118"/>
    </row>
    <row r="57" spans="1:15" x14ac:dyDescent="0.2">
      <c r="J57" s="384"/>
      <c r="K57" s="120" t="s">
        <v>171</v>
      </c>
      <c r="L57" s="118"/>
      <c r="M57" s="118"/>
      <c r="N57" s="118"/>
      <c r="O57" s="118"/>
    </row>
    <row r="58" spans="1:15" x14ac:dyDescent="0.2">
      <c r="J58" s="384"/>
      <c r="K58" s="120" t="s">
        <v>172</v>
      </c>
      <c r="L58" s="118"/>
      <c r="M58" s="118"/>
      <c r="N58" s="118"/>
      <c r="O58" s="118"/>
    </row>
    <row r="59" spans="1:15" x14ac:dyDescent="0.2">
      <c r="J59" s="384"/>
      <c r="K59" s="120" t="s">
        <v>173</v>
      </c>
      <c r="L59" s="118"/>
      <c r="M59" s="118"/>
      <c r="N59" s="118"/>
      <c r="O59" s="118"/>
    </row>
    <row r="60" spans="1:15" x14ac:dyDescent="0.2">
      <c r="J60" s="384"/>
      <c r="K60" s="120" t="s">
        <v>174</v>
      </c>
      <c r="L60" s="118"/>
      <c r="M60" s="118"/>
      <c r="N60" s="118"/>
      <c r="O60" s="118"/>
    </row>
    <row r="61" spans="1:15" x14ac:dyDescent="0.2">
      <c r="J61" s="384"/>
      <c r="K61" s="120" t="s">
        <v>175</v>
      </c>
      <c r="L61" s="118"/>
      <c r="M61" s="118"/>
      <c r="N61" s="118"/>
      <c r="O61" s="118"/>
    </row>
    <row r="62" spans="1:15" x14ac:dyDescent="0.2">
      <c r="J62" s="384"/>
      <c r="K62" s="120" t="s">
        <v>176</v>
      </c>
      <c r="L62" s="118"/>
      <c r="M62" s="118"/>
      <c r="N62" s="118"/>
      <c r="O62" s="118"/>
    </row>
    <row r="63" spans="1:15" x14ac:dyDescent="0.2">
      <c r="J63" s="384"/>
      <c r="K63" s="120" t="s">
        <v>177</v>
      </c>
      <c r="L63" s="118"/>
      <c r="M63" s="118"/>
      <c r="N63" s="118"/>
      <c r="O63" s="118"/>
    </row>
    <row r="64" spans="1:15" x14ac:dyDescent="0.2">
      <c r="J64" s="384"/>
      <c r="K64" s="116" t="s">
        <v>261</v>
      </c>
      <c r="L64" s="116" t="e">
        <f>AVERAGE(L52:L63)</f>
        <v>#DIV/0!</v>
      </c>
      <c r="M64" s="116">
        <f>MAX(M52:M63)</f>
        <v>0</v>
      </c>
      <c r="N64" s="116" t="e">
        <f>AVERAGE(N52:N63)</f>
        <v>#DIV/0!</v>
      </c>
      <c r="O64" s="116">
        <f>MAX(O52:O63)</f>
        <v>0</v>
      </c>
    </row>
    <row r="66" spans="10:15" ht="30" x14ac:dyDescent="0.2">
      <c r="J66" s="115">
        <f>+A6</f>
        <v>2022</v>
      </c>
      <c r="K66" s="115" t="s">
        <v>259</v>
      </c>
      <c r="L66" s="121" t="s">
        <v>161</v>
      </c>
      <c r="M66" s="121" t="s">
        <v>162</v>
      </c>
      <c r="N66" s="121" t="s">
        <v>164</v>
      </c>
      <c r="O66" s="121" t="s">
        <v>165</v>
      </c>
    </row>
    <row r="67" spans="10:15" x14ac:dyDescent="0.2">
      <c r="J67" s="384" t="s">
        <v>114</v>
      </c>
      <c r="K67" s="120" t="s">
        <v>166</v>
      </c>
      <c r="L67" s="118"/>
      <c r="M67" s="118"/>
      <c r="N67" s="118"/>
      <c r="O67" s="118"/>
    </row>
    <row r="68" spans="10:15" x14ac:dyDescent="0.2">
      <c r="J68" s="384"/>
      <c r="K68" s="120" t="s">
        <v>167</v>
      </c>
      <c r="L68" s="118"/>
      <c r="M68" s="118"/>
      <c r="N68" s="118"/>
      <c r="O68" s="118"/>
    </row>
    <row r="69" spans="10:15" x14ac:dyDescent="0.2">
      <c r="J69" s="384"/>
      <c r="K69" s="120" t="s">
        <v>168</v>
      </c>
      <c r="L69" s="118"/>
      <c r="M69" s="118"/>
      <c r="N69" s="118"/>
      <c r="O69" s="118"/>
    </row>
    <row r="70" spans="10:15" x14ac:dyDescent="0.2">
      <c r="J70" s="384"/>
      <c r="K70" s="120" t="s">
        <v>169</v>
      </c>
      <c r="L70" s="118"/>
      <c r="M70" s="118"/>
      <c r="N70" s="118"/>
      <c r="O70" s="118"/>
    </row>
    <row r="71" spans="10:15" x14ac:dyDescent="0.2">
      <c r="J71" s="384"/>
      <c r="K71" s="120" t="s">
        <v>170</v>
      </c>
      <c r="L71" s="118"/>
      <c r="M71" s="118"/>
      <c r="N71" s="118"/>
      <c r="O71" s="118"/>
    </row>
    <row r="72" spans="10:15" x14ac:dyDescent="0.2">
      <c r="J72" s="384"/>
      <c r="K72" s="120" t="s">
        <v>171</v>
      </c>
      <c r="L72" s="118"/>
      <c r="M72" s="118"/>
      <c r="N72" s="118"/>
      <c r="O72" s="118"/>
    </row>
    <row r="73" spans="10:15" x14ac:dyDescent="0.2">
      <c r="J73" s="384"/>
      <c r="K73" s="120" t="s">
        <v>172</v>
      </c>
      <c r="L73" s="118"/>
      <c r="M73" s="118"/>
      <c r="N73" s="118"/>
      <c r="O73" s="118"/>
    </row>
    <row r="74" spans="10:15" x14ac:dyDescent="0.2">
      <c r="J74" s="384"/>
      <c r="K74" s="120" t="s">
        <v>173</v>
      </c>
      <c r="L74" s="118"/>
      <c r="M74" s="118"/>
      <c r="N74" s="118"/>
      <c r="O74" s="118"/>
    </row>
    <row r="75" spans="10:15" x14ac:dyDescent="0.2">
      <c r="J75" s="384"/>
      <c r="K75" s="120" t="s">
        <v>174</v>
      </c>
      <c r="L75" s="118"/>
      <c r="M75" s="118"/>
      <c r="N75" s="118"/>
      <c r="O75" s="118"/>
    </row>
    <row r="76" spans="10:15" x14ac:dyDescent="0.2">
      <c r="J76" s="384"/>
      <c r="K76" s="120" t="s">
        <v>175</v>
      </c>
      <c r="L76" s="118"/>
      <c r="M76" s="118"/>
      <c r="N76" s="118"/>
      <c r="O76" s="118"/>
    </row>
    <row r="77" spans="10:15" x14ac:dyDescent="0.2">
      <c r="J77" s="384"/>
      <c r="K77" s="120" t="s">
        <v>176</v>
      </c>
      <c r="L77" s="118"/>
      <c r="M77" s="118"/>
      <c r="N77" s="118"/>
      <c r="O77" s="118"/>
    </row>
    <row r="78" spans="10:15" x14ac:dyDescent="0.2">
      <c r="J78" s="384"/>
      <c r="K78" s="120" t="s">
        <v>177</v>
      </c>
      <c r="L78" s="118"/>
      <c r="M78" s="118"/>
      <c r="N78" s="118"/>
      <c r="O78" s="118"/>
    </row>
    <row r="79" spans="10:15" x14ac:dyDescent="0.2">
      <c r="J79" s="384"/>
      <c r="K79" s="116" t="s">
        <v>261</v>
      </c>
      <c r="L79" s="116" t="e">
        <f>AVERAGE(L67:L78)</f>
        <v>#DIV/0!</v>
      </c>
      <c r="M79" s="116">
        <f>MAX(M67:M78)</f>
        <v>0</v>
      </c>
      <c r="N79" s="116" t="e">
        <f>AVERAGE(N67:N78)</f>
        <v>#DIV/0!</v>
      </c>
      <c r="O79" s="116">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TaxCatchAll xmlns="662745e8-e224-48e8-a2e3-254862b8c2f5">
      <Value>6</Value>
      <Value>10</Value>
      <Value>9</Value>
      <Value>8</Value>
      <Value>7</Value>
    </TaxCatchAll>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haredContentType xmlns="Microsoft.SharePoint.Taxonomy.ContentTypeSync" SourceId="d1117845-93f6-4da3-abaa-fcb4fa669c78" ContentTypeId="0x010100A5BF1C78D9F64B679A5EBDE1C6598EBC01" PreviousValue="false"/>
</file>

<file path=customXml/itemProps1.xml><?xml version="1.0" encoding="utf-8"?>
<ds:datastoreItem xmlns:ds="http://schemas.openxmlformats.org/officeDocument/2006/customXml" ds:itemID="{287CD619-5AEB-411F-8F97-9A6975B3E727}"/>
</file>

<file path=customXml/itemProps2.xml><?xml version="1.0" encoding="utf-8"?>
<ds:datastoreItem xmlns:ds="http://schemas.openxmlformats.org/officeDocument/2006/customXml" ds:itemID="{03A65312-EDD8-4ED5-85CD-21EC9D2BFEF5}">
  <ds:schemaRefs>
    <ds:schemaRef ds:uri="http://schemas.microsoft.com/office/2006/documentManagement/types"/>
    <ds:schemaRef ds:uri="http://schemas.microsoft.com/office/infopath/2007/PartnerControls"/>
    <ds:schemaRef ds:uri="http://schemas.microsoft.com/office/2006/metadata/properties"/>
    <ds:schemaRef ds:uri="1a9268bc-03c4-4faa-a1ca-49eb09b71bc0"/>
    <ds:schemaRef ds:uri="http://purl.org/dc/dcmitype/"/>
    <ds:schemaRef ds:uri="http://purl.org/dc/elements/1.1/"/>
    <ds:schemaRef ds:uri="http://schemas.openxmlformats.org/package/2006/metadata/core-properties"/>
    <ds:schemaRef ds:uri="http://www.w3.org/XML/1998/namespace"/>
    <ds:schemaRef ds:uri="http://purl.org/dc/terms/"/>
  </ds:schemaRefs>
</ds:datastoreItem>
</file>

<file path=customXml/itemProps3.xml><?xml version="1.0" encoding="utf-8"?>
<ds:datastoreItem xmlns:ds="http://schemas.openxmlformats.org/officeDocument/2006/customXml" ds:itemID="{130E79B3-286C-4594-AC93-4243D3FE78E7}">
  <ds:schemaRefs>
    <ds:schemaRef ds:uri="http://schemas.microsoft.com/sharepoint/v3/contenttype/forms"/>
  </ds:schemaRefs>
</ds:datastoreItem>
</file>

<file path=customXml/itemProps4.xml><?xml version="1.0" encoding="utf-8"?>
<ds:datastoreItem xmlns:ds="http://schemas.openxmlformats.org/officeDocument/2006/customXml" ds:itemID="{C0B3D724-833D-4B0F-BE49-7598EA1DA2DB}"/>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22</vt:i4>
      </vt:variant>
    </vt:vector>
  </HeadingPairs>
  <TitlesOfParts>
    <vt:vector size="44" baseType="lpstr">
      <vt:lpstr>Cover Page</vt:lpstr>
      <vt:lpstr>Contents</vt:lpstr>
      <vt:lpstr>Facility Info</vt:lpstr>
      <vt:lpstr>Operational Summary</vt:lpstr>
      <vt:lpstr>Operational Data</vt:lpstr>
      <vt:lpstr>Perf. Form 1</vt:lpstr>
      <vt:lpstr>Energy Form 1</vt:lpstr>
      <vt:lpstr>Permit Compliance</vt:lpstr>
      <vt:lpstr>Improvements</vt:lpstr>
      <vt:lpstr>Public Liaison</vt:lpstr>
      <vt:lpstr>Air (H1)</vt:lpstr>
      <vt:lpstr>Air (H2)</vt:lpstr>
      <vt:lpstr>Residue Quality </vt:lpstr>
      <vt:lpstr>Water</vt:lpstr>
      <vt:lpstr>Air (CEMS)</vt:lpstr>
      <vt:lpstr>HCl</vt:lpstr>
      <vt:lpstr>SO2</vt:lpstr>
      <vt:lpstr>NOx</vt:lpstr>
      <vt:lpstr>TOC</vt:lpstr>
      <vt:lpstr>Particulates</vt:lpstr>
      <vt:lpstr>CO &amp; CO 95% 10 min</vt:lpstr>
      <vt:lpstr>NH3</vt:lpstr>
      <vt:lpstr>'Air (CEMS)'!Print_Area</vt:lpstr>
      <vt:lpstr>'Air (H1)'!Print_Area</vt:lpstr>
      <vt:lpstr>'Air (H2)'!Print_Area</vt:lpstr>
      <vt:lpstr>'CO &amp; CO 95% 10 min'!Print_Area</vt:lpstr>
      <vt:lpstr>Contents!Print_Area</vt:lpstr>
      <vt:lpstr>'Cover Page'!Print_Area</vt:lpstr>
      <vt:lpstr>'Energy Form 1'!Print_Area</vt:lpstr>
      <vt:lpstr>'Facility Info'!Print_Area</vt:lpstr>
      <vt:lpstr>HCl!Print_Area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Liaison'!Print_Area</vt:lpstr>
      <vt:lpstr>'Residue Quality '!Print_Area</vt:lpstr>
      <vt:lpstr>'SO2'!Print_Area</vt:lpstr>
      <vt:lpstr>TOC!Print_Area</vt:lpstr>
      <vt:lpstr>Water!Print_Area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Jonas</dc:creator>
  <cp:lastModifiedBy>Richard Laxton</cp:lastModifiedBy>
  <cp:lastPrinted>2023-01-20T18:25:04Z</cp:lastPrinted>
  <dcterms:created xsi:type="dcterms:W3CDTF">2019-04-02T06:44:55Z</dcterms:created>
  <dcterms:modified xsi:type="dcterms:W3CDTF">2023-01-20T18:27:31Z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InformationType">
    <vt:lpwstr/>
  </property>
  <property fmtid="{D5CDD505-2E9C-101B-9397-08002B2CF9AE}" pid="4" name="Distribution">
    <vt:lpwstr>9;#Internal EA|b77da37e-7166-4741-8c12-4679faab22d9</vt:lpwstr>
  </property>
  <property fmtid="{D5CDD505-2E9C-101B-9397-08002B2CF9AE}" pid="5" name="HOCopyrightLevel">
    <vt:lpwstr>7;#Crown|69589897-2828-4761-976e-717fd8e631c9</vt:lpwstr>
  </property>
  <property fmtid="{D5CDD505-2E9C-101B-9397-08002B2CF9AE}" pid="6" name="HOGovernmentSecurityClassification">
    <vt:lpwstr>6;#Official|14c80daa-741b-422c-9722-f71693c9ede4</vt:lpwstr>
  </property>
  <property fmtid="{D5CDD505-2E9C-101B-9397-08002B2CF9AE}" pid="7" name="HOSiteType">
    <vt:lpwstr>10;#Community|144ac7d7-0b9a-42f9-9385-2935294b6de3</vt:lpwstr>
  </property>
  <property fmtid="{D5CDD505-2E9C-101B-9397-08002B2CF9AE}" pid="8" name="OrganisationalUnit">
    <vt:lpwstr>8;#EA|d5f78ddb-b1b6-4328-9877-d7e3ed06fdac</vt:lpwstr>
  </property>
</Properties>
</file>