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xml"/>
  <Override PartName="/xl/charts/chart6.xml" ContentType="application/vnd.openxmlformats-officedocument.drawingml.chart+xml"/>
  <Override PartName="/xl/drawings/drawing9.xml" ContentType="application/vnd.openxmlformats-officedocument.drawing+xml"/>
  <Override PartName="/xl/charts/chart7.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efra.sharepoint.com/sites/Community2454/Data/Annual Reports/2022/Kent &amp; South London/"/>
    </mc:Choice>
  </mc:AlternateContent>
  <xr:revisionPtr revIDLastSave="0" documentId="13_ncr:1_{AC83649D-41EE-4D60-A52E-C89BAE5F2F66}" xr6:coauthVersionLast="47" xr6:coauthVersionMax="47" xr10:uidLastSave="{00000000-0000-0000-0000-000000000000}"/>
  <bookViews>
    <workbookView xWindow="-108" yWindow="-108" windowWidth="23256" windowHeight="12576" xr2:uid="{EE2D8CE5-FD2F-4A7B-BE8C-E1048EF63C9C}"/>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CO2 N2O" sheetId="32" r:id="rId11"/>
    <sheet name="Residue Quality " sheetId="21" r:id="rId12"/>
    <sheet name="Residue Quality metal content" sheetId="33" r:id="rId13"/>
    <sheet name="Water" sheetId="22" r:id="rId14"/>
    <sheet name="Air (periodic)" sheetId="23" r:id="rId15"/>
    <sheet name="Air (CEMS)" sheetId="24" r:id="rId16"/>
    <sheet name="HCl" sheetId="13" r:id="rId17"/>
    <sheet name="SO2" sheetId="25" r:id="rId18"/>
    <sheet name="NOx" sheetId="26" r:id="rId19"/>
    <sheet name="TOC" sheetId="27" r:id="rId20"/>
    <sheet name="Particulates" sheetId="28" r:id="rId21"/>
    <sheet name="CO 95% 10 min" sheetId="30" r:id="rId22"/>
    <sheet name="NH3" sheetId="31" r:id="rId23"/>
    <sheet name="Sheet1" sheetId="34" r:id="rId24"/>
  </sheets>
  <externalReferences>
    <externalReference r:id="rId25"/>
  </externalReferences>
  <definedNames>
    <definedName name="_xlnm.Print_Area" localSheetId="15">'Air (CEMS)'!$A$1:$M$30</definedName>
    <definedName name="_xlnm.Print_Area" localSheetId="14">'Air (periodic)'!$A$1:$I$41</definedName>
    <definedName name="_xlnm.Print_Area" localSheetId="21">'CO 95% 10 min'!$A$1:$H$52</definedName>
    <definedName name="_xlnm.Print_Area" localSheetId="10">'CO2 N2O'!$A$1:$C$24</definedName>
    <definedName name="_xlnm.Print_Area" localSheetId="1">Contents!$A$1:$J$48</definedName>
    <definedName name="_xlnm.Print_Area" localSheetId="0">'Cover Page'!$A$1:$J$55</definedName>
    <definedName name="_xlnm.Print_Area" localSheetId="6">'Energy Form 1'!$A$1:$I$29</definedName>
    <definedName name="_xlnm.Print_Area" localSheetId="2">'Facility Info'!$A$1:$I$54</definedName>
    <definedName name="_xlnm.Print_Area" localSheetId="16">HCl!$A$1:$G$52</definedName>
    <definedName name="_xlnm.Print_Area" localSheetId="8">Improvements!$A$1:$I$48</definedName>
    <definedName name="_xlnm.Print_Area" localSheetId="22">'NH3'!$A$1:$G$52</definedName>
    <definedName name="_xlnm.Print_Area" localSheetId="18">NOx!$A$1:$G$52</definedName>
    <definedName name="_xlnm.Print_Area" localSheetId="3">'Operational Data'!$A$1:$H$64</definedName>
    <definedName name="_xlnm.Print_Area" localSheetId="4">'Operational Summary'!$A$1:$I$52</definedName>
    <definedName name="_xlnm.Print_Area" localSheetId="20">Particulates!$A$1:$G$52</definedName>
    <definedName name="_xlnm.Print_Area" localSheetId="5">'Perf. Form 1'!$A$1:$J$55</definedName>
    <definedName name="_xlnm.Print_Area" localSheetId="7">'Permit Compliance'!$A$1:$J$39</definedName>
    <definedName name="_xlnm.Print_Area" localSheetId="9">'Public Liasion'!$A$1:$I$29</definedName>
    <definedName name="_xlnm.Print_Area" localSheetId="11">'Residue Quality '!$A$1:$G$41</definedName>
    <definedName name="_xlnm.Print_Area" localSheetId="12">'Residue Quality metal content'!$A$1:$O$71</definedName>
    <definedName name="_xlnm.Print_Area" localSheetId="17">'SO2'!$A$1:$G$52</definedName>
    <definedName name="_xlnm.Print_Area" localSheetId="19">TOC!$A$1:$G$52</definedName>
    <definedName name="_xlnm.Print_Area" localSheetId="13">Water!$A$1:$I$24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6" i="24" l="1"/>
  <c r="F26" i="24"/>
  <c r="E26" i="24"/>
  <c r="D26" i="24"/>
  <c r="E25" i="24"/>
  <c r="D25" i="24"/>
  <c r="G25" i="24"/>
  <c r="F25" i="24"/>
  <c r="G24" i="24"/>
  <c r="F24" i="24"/>
  <c r="E24" i="24"/>
  <c r="D24" i="24"/>
  <c r="G23" i="24"/>
  <c r="F23" i="24"/>
  <c r="E23" i="24"/>
  <c r="D23" i="24"/>
  <c r="G22" i="24"/>
  <c r="F22" i="24"/>
  <c r="E22" i="24"/>
  <c r="D22" i="24"/>
  <c r="G21" i="24"/>
  <c r="F21" i="24"/>
  <c r="E21" i="24"/>
  <c r="D21" i="24"/>
  <c r="G20" i="24"/>
  <c r="F20" i="24"/>
  <c r="E20" i="24"/>
  <c r="D20" i="24"/>
  <c r="G19" i="24"/>
  <c r="F19" i="24"/>
  <c r="E19" i="24"/>
  <c r="D19" i="24"/>
  <c r="G18" i="24"/>
  <c r="F18" i="24"/>
  <c r="E18" i="24"/>
  <c r="D18" i="24"/>
  <c r="G17" i="24"/>
  <c r="F17" i="24"/>
  <c r="E17" i="24"/>
  <c r="D17" i="24"/>
  <c r="G16" i="24"/>
  <c r="F16" i="24"/>
  <c r="E16" i="24"/>
  <c r="D16" i="24"/>
  <c r="G15" i="24"/>
  <c r="F15" i="24"/>
  <c r="E15" i="24"/>
  <c r="D15" i="24"/>
  <c r="G14" i="24"/>
  <c r="F14" i="24"/>
  <c r="E14" i="24"/>
  <c r="D14" i="24"/>
  <c r="G19" i="7" l="1"/>
  <c r="G22" i="7"/>
  <c r="G21" i="7"/>
  <c r="G18" i="7"/>
  <c r="E1" i="33" l="1"/>
  <c r="A1" i="33"/>
  <c r="N34" i="30" l="1"/>
  <c r="N19" i="30"/>
  <c r="G40" i="6"/>
  <c r="G41" i="6"/>
  <c r="G39" i="6"/>
  <c r="C1" i="32"/>
  <c r="A1" i="32"/>
  <c r="I13" i="7" l="1"/>
  <c r="I14" i="7"/>
  <c r="C18" i="6" l="1"/>
  <c r="C21" i="6" s="1"/>
  <c r="H60" i="6" l="1"/>
  <c r="G13" i="6" l="1"/>
  <c r="H13" i="6" s="1"/>
  <c r="G48" i="6"/>
  <c r="J3" i="31" l="1"/>
  <c r="J3" i="30"/>
  <c r="J3" i="28"/>
  <c r="J3" i="27"/>
  <c r="J3" i="26"/>
  <c r="J3" i="25"/>
  <c r="J3" i="13"/>
  <c r="G19" i="6" l="1"/>
  <c r="G59" i="6" l="1"/>
  <c r="G64" i="6"/>
  <c r="G63" i="6"/>
  <c r="H63" i="6" s="1"/>
  <c r="G62" i="6"/>
  <c r="G60" i="6"/>
  <c r="G56" i="6"/>
  <c r="G57" i="6"/>
  <c r="G58" i="6" l="1"/>
  <c r="D18" i="6"/>
  <c r="D21" i="6" s="1"/>
  <c r="E18" i="6"/>
  <c r="E21" i="6" s="1"/>
  <c r="F18" i="6"/>
  <c r="F21" i="6" s="1"/>
  <c r="G21" i="6" l="1"/>
  <c r="E1" i="31"/>
  <c r="A1" i="31"/>
  <c r="E1" i="30"/>
  <c r="A1" i="30"/>
  <c r="E1" i="28"/>
  <c r="A1" i="28"/>
  <c r="E1" i="27"/>
  <c r="A1" i="27"/>
  <c r="E1" i="26"/>
  <c r="A1" i="26"/>
  <c r="E1" i="25"/>
  <c r="A1" i="25"/>
  <c r="E1" i="13"/>
  <c r="A1" i="13"/>
  <c r="I1" i="24"/>
  <c r="A1" i="24"/>
  <c r="E1" i="23"/>
  <c r="A1" i="23"/>
  <c r="E1" i="22"/>
  <c r="A1" i="22"/>
  <c r="E1" i="21"/>
  <c r="A1" i="21"/>
  <c r="E1" i="11"/>
  <c r="A1" i="11"/>
  <c r="E1" i="10"/>
  <c r="A1" i="10"/>
  <c r="E1" i="9"/>
  <c r="A1" i="9"/>
  <c r="E1" i="6"/>
  <c r="A1" i="6"/>
  <c r="E1" i="5"/>
  <c r="A1" i="5"/>
  <c r="E1" i="4"/>
  <c r="A1" i="4"/>
  <c r="E1" i="3"/>
  <c r="A1" i="3"/>
  <c r="O34" i="31"/>
  <c r="N34" i="31"/>
  <c r="M34" i="31"/>
  <c r="L34" i="31"/>
  <c r="O19" i="31"/>
  <c r="N19" i="31"/>
  <c r="M19" i="31"/>
  <c r="L19" i="31"/>
  <c r="E8" i="31"/>
  <c r="E9" i="31" s="1"/>
  <c r="E10" i="31" s="1"/>
  <c r="E11" i="31" s="1"/>
  <c r="E12" i="31" s="1"/>
  <c r="E13" i="31" s="1"/>
  <c r="E14" i="31" s="1"/>
  <c r="E15" i="31" s="1"/>
  <c r="E16" i="31" s="1"/>
  <c r="E17" i="31" s="1"/>
  <c r="E18" i="31" s="1"/>
  <c r="B8" i="31"/>
  <c r="B9" i="31" s="1"/>
  <c r="B10" i="31" s="1"/>
  <c r="B11" i="31" s="1"/>
  <c r="B12" i="31" s="1"/>
  <c r="B13" i="31" s="1"/>
  <c r="B14" i="31" s="1"/>
  <c r="B15" i="31" s="1"/>
  <c r="B16" i="31" s="1"/>
  <c r="B17" i="31" s="1"/>
  <c r="B18" i="31" s="1"/>
  <c r="A6" i="31"/>
  <c r="Q34" i="30"/>
  <c r="P34" i="30"/>
  <c r="O34" i="30"/>
  <c r="M34" i="30"/>
  <c r="Q19" i="30"/>
  <c r="P19" i="30"/>
  <c r="O19" i="30"/>
  <c r="M19" i="30"/>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O34" i="28"/>
  <c r="N34" i="28"/>
  <c r="M34" i="28"/>
  <c r="L34" i="28"/>
  <c r="O19" i="28"/>
  <c r="N19" i="28"/>
  <c r="M19" i="28"/>
  <c r="L19" i="28"/>
  <c r="A6" i="28"/>
  <c r="O34" i="27"/>
  <c r="N34" i="27"/>
  <c r="M34" i="27"/>
  <c r="L34" i="27"/>
  <c r="O19" i="27"/>
  <c r="N19" i="27"/>
  <c r="M19" i="27"/>
  <c r="L19" i="27"/>
  <c r="A6" i="27"/>
  <c r="O34" i="26"/>
  <c r="N34" i="26"/>
  <c r="M34" i="26"/>
  <c r="L34" i="26"/>
  <c r="O19" i="26"/>
  <c r="N19" i="26"/>
  <c r="M19" i="26"/>
  <c r="L19" i="26"/>
  <c r="A6" i="26"/>
  <c r="O34" i="25"/>
  <c r="N34" i="25"/>
  <c r="M34" i="25"/>
  <c r="L34" i="25"/>
  <c r="O19" i="25"/>
  <c r="N19" i="25"/>
  <c r="M19" i="25"/>
  <c r="L19" i="25"/>
  <c r="A6" i="25"/>
  <c r="J6" i="25" s="1"/>
  <c r="O34" i="13"/>
  <c r="N34" i="13"/>
  <c r="M34" i="13"/>
  <c r="L34" i="13"/>
  <c r="O19" i="13"/>
  <c r="N19" i="13"/>
  <c r="M19" i="13"/>
  <c r="L19" i="13"/>
  <c r="A6" i="13"/>
  <c r="I19" i="7" l="1"/>
  <c r="I20" i="7"/>
  <c r="I21" i="7"/>
  <c r="I22" i="7"/>
  <c r="I18" i="7"/>
  <c r="I12" i="7"/>
  <c r="I11" i="7"/>
  <c r="H39" i="6"/>
  <c r="H41" i="6"/>
  <c r="H40" i="6"/>
  <c r="H48" i="6"/>
  <c r="J21" i="28"/>
  <c r="J21" i="27"/>
  <c r="J21" i="26"/>
  <c r="J21" i="25"/>
  <c r="J21" i="13"/>
  <c r="J6" i="13"/>
  <c r="J21" i="31"/>
  <c r="J6" i="31"/>
  <c r="K6" i="30"/>
  <c r="K21" i="30"/>
  <c r="J6" i="28"/>
  <c r="J6" i="27"/>
  <c r="J6" i="26"/>
  <c r="D28" i="6"/>
  <c r="E28" i="6"/>
  <c r="F28" i="6"/>
  <c r="C28" i="6"/>
  <c r="G7" i="8"/>
  <c r="D7" i="8"/>
  <c r="B5" i="8"/>
  <c r="G3" i="8"/>
  <c r="A3" i="8"/>
  <c r="A1" i="8"/>
  <c r="G23" i="7"/>
  <c r="E23" i="7"/>
  <c r="G15" i="7"/>
  <c r="E15" i="7"/>
  <c r="B4" i="7"/>
  <c r="G3" i="7"/>
  <c r="A3" i="7"/>
  <c r="A1" i="7"/>
  <c r="A8" i="7" s="1"/>
  <c r="H64" i="6"/>
  <c r="H62" i="6"/>
  <c r="G53" i="6"/>
  <c r="G52" i="6"/>
  <c r="G51" i="6"/>
  <c r="H51" i="6" s="1"/>
  <c r="G50" i="6"/>
  <c r="H50" i="6" s="1"/>
  <c r="G49" i="6"/>
  <c r="H49" i="6" s="1"/>
  <c r="G47" i="6"/>
  <c r="H47" i="6" s="1"/>
  <c r="G46" i="6"/>
  <c r="H46" i="6" s="1"/>
  <c r="G45" i="6"/>
  <c r="H45" i="6" s="1"/>
  <c r="G42" i="6"/>
  <c r="H42" i="6" s="1"/>
  <c r="G38" i="6"/>
  <c r="H38" i="6" s="1"/>
  <c r="G37" i="6"/>
  <c r="H37" i="6" s="1"/>
  <c r="G36" i="6"/>
  <c r="H36" i="6" s="1"/>
  <c r="G35" i="6"/>
  <c r="H35" i="6" s="1"/>
  <c r="G34" i="6"/>
  <c r="H34" i="6" s="1"/>
  <c r="G30" i="6"/>
  <c r="G29" i="6"/>
  <c r="H29" i="6" s="1"/>
  <c r="G27" i="6"/>
  <c r="G26" i="6"/>
  <c r="H26" i="6" s="1"/>
  <c r="G25" i="6"/>
  <c r="G24" i="6"/>
  <c r="H24" i="6" s="1"/>
  <c r="G20" i="6"/>
  <c r="H20" i="6" s="1"/>
  <c r="G15" i="6"/>
  <c r="H15" i="6" s="1"/>
  <c r="G14" i="6"/>
  <c r="G12" i="6"/>
  <c r="H12" i="6" s="1"/>
  <c r="G11" i="6"/>
  <c r="G10" i="6"/>
  <c r="G9" i="6"/>
  <c r="G8" i="6"/>
  <c r="I15" i="7" l="1"/>
  <c r="D11" i="8"/>
  <c r="H27" i="6"/>
  <c r="D14" i="8"/>
  <c r="H30" i="6"/>
  <c r="I23" i="7"/>
  <c r="D12" i="8"/>
  <c r="H25" i="6"/>
  <c r="E33" i="7"/>
  <c r="H33" i="7" s="1"/>
  <c r="E35" i="7"/>
  <c r="H35" i="7" s="1"/>
  <c r="E37" i="7"/>
  <c r="H37" i="7" s="1"/>
  <c r="E36" i="7"/>
  <c r="H36" i="7" s="1"/>
  <c r="G24" i="7"/>
  <c r="G18" i="6"/>
  <c r="H21" i="6" s="1"/>
  <c r="G28" i="6"/>
  <c r="E24" i="7"/>
  <c r="E34" i="7"/>
  <c r="H34" i="7" s="1"/>
  <c r="D10" i="8"/>
  <c r="G10" i="8"/>
  <c r="A31" i="7"/>
  <c r="A43" i="7" s="1"/>
  <c r="I24" i="7" l="1"/>
  <c r="H8" i="6"/>
  <c r="H19" i="6"/>
  <c r="H10" i="6"/>
  <c r="G11" i="8"/>
  <c r="G12" i="8"/>
  <c r="H14" i="6"/>
  <c r="G14" i="8"/>
  <c r="H11" i="6"/>
  <c r="H9"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Dragana Andesilic</author>
  </authors>
  <commentList>
    <comment ref="E51" authorId="0" shapeId="0" xr:uid="{76EB1747-995D-44E9-86EA-F4A509A7078B}">
      <text>
        <r>
          <rPr>
            <b/>
            <sz val="9"/>
            <color indexed="81"/>
            <rFont val="Tahoma"/>
            <family val="2"/>
          </rPr>
          <t>Dragana Andesilic:</t>
        </r>
        <r>
          <rPr>
            <sz val="9"/>
            <color indexed="81"/>
            <rFont val="Tahoma"/>
            <family val="2"/>
          </rPr>
          <t xml:space="preserve">
Furnace flame density 0.82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Philippa Crabbe</author>
  </authors>
  <commentList>
    <comment ref="A21" authorId="0" shapeId="0" xr:uid="{82DC4600-4F0D-4288-908E-0093AEDFF683}">
      <text>
        <r>
          <rPr>
            <b/>
            <sz val="9"/>
            <color indexed="81"/>
            <rFont val="Tahoma"/>
            <family val="2"/>
          </rPr>
          <t>Philippa Crabbe:</t>
        </r>
        <r>
          <rPr>
            <sz val="9"/>
            <color indexed="81"/>
            <rFont val="Tahoma"/>
            <family val="2"/>
          </rPr>
          <t xml:space="preserve">
Schdule notifications on Beddington Network drive
</t>
        </r>
      </text>
    </comment>
  </commentList>
</comments>
</file>

<file path=xl/sharedStrings.xml><?xml version="1.0" encoding="utf-8"?>
<sst xmlns="http://schemas.openxmlformats.org/spreadsheetml/2006/main" count="1240" uniqueCount="493">
  <si>
    <t>Version 22.3  30/11/22</t>
  </si>
  <si>
    <t>Add photo</t>
  </si>
  <si>
    <t>Notes:</t>
  </si>
  <si>
    <t>This template may require adjustments by individual operators to meet specific reporting requirements as defined in the site Permit(s)</t>
  </si>
  <si>
    <t>Annual Performance Report 2022</t>
  </si>
  <si>
    <t>Permit EPR/GPa3305LN(previously TP3836CT)</t>
  </si>
  <si>
    <t>Beddington Energy Recovery Facility</t>
  </si>
  <si>
    <t>Viridor</t>
  </si>
  <si>
    <t>Year:</t>
  </si>
  <si>
    <t>Address:</t>
  </si>
  <si>
    <t>Viridor ERF, 105 Beddington Lane, CR0 4TD</t>
  </si>
  <si>
    <t xml:space="preserve">Tel: </t>
  </si>
  <si>
    <t xml:space="preserve">Email: </t>
  </si>
  <si>
    <t>Dandesilic@Viridor.co.uk</t>
  </si>
  <si>
    <t>Prepared by:</t>
  </si>
  <si>
    <t>Dragana Andesilic</t>
  </si>
  <si>
    <t>Position:</t>
  </si>
  <si>
    <t>EHS Manager</t>
  </si>
  <si>
    <t>Approved by:</t>
  </si>
  <si>
    <t>David O'Callaghan</t>
  </si>
  <si>
    <t>Plant Manager</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</si>
  <si>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</si>
  <si>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</si>
  <si>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</si>
  <si>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</si>
  <si>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</si>
  <si>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</si>
  <si>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</si>
  <si>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</si>
  <si>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</si>
  <si>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Data</t>
  </si>
  <si>
    <t>Operational Summary</t>
  </si>
  <si>
    <t>Performance Form 1</t>
  </si>
  <si>
    <t>Energy Form 1</t>
  </si>
  <si>
    <t>Permit Compliance</t>
  </si>
  <si>
    <t>Improvements</t>
  </si>
  <si>
    <t>Public Liasion</t>
  </si>
  <si>
    <t>Carbon dioxide and nitrous oxide emissions</t>
  </si>
  <si>
    <t xml:space="preserve">Residue Quality </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</si>
  <si>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</si>
  <si>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</si>
  <si>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</si>
  <si>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</si>
  <si>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</si>
  <si>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</si>
  <si>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</si>
  <si>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</si>
  <si>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</si>
  <si>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</si>
  <si>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Version Control</t>
  </si>
  <si>
    <t>Information</t>
  </si>
  <si>
    <t>Date</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</si>
  <si>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</si>
  <si>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</si>
  <si>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</si>
  <si>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</si>
  <si>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</si>
  <si>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</si>
  <si>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Beddington Energy Recovery Facility (ERF) facility is located in Beddington, Croydon. The facility has a design capacity to process around 350,000 tonnes per year (at 100% availability) of residual municipal waste and has the capability of generating 26.1MW of electricity.
In accordance with the requirements of Schedule 4 and Table S4.3 of Permit EPR/GP3305LN (previously TP3836CT) issued by Environment Agency to Viridor Waste Management Limited (Viridor) on 19 August 2013, Viridor is required to submit a summary of the environmental monitoring works undertaken at the site on a quarterly basis. Such reports will form the basis of an annual environmental review report, which is to be submitted to the Environment Agency each year, in accordance with Condition 4.2 of the Permi</t>
  </si>
  <si>
    <t xml:space="preserve">Include summary of plant design, design capacity, no. of combustion lines, electrical and heat capacity and any other general information that descibes the facility, its location and purpose </t>
  </si>
  <si>
    <t>Summary of Operational Processes and Procedures</t>
  </si>
  <si>
    <t xml:space="preserve">Incoming waste is mainly received from South London Waste Partnership (around 75% of processing capacity) the rest is received from third party businesses. Waste is received into either a waste bunker or a shredder building (used to shred bulky waste before processing through the ERF). The waste is loaded into one of two furnaces, which combust the waste at &gt;850oC. The hot gases are put through a variety if heat exchangers used to heat demineralised water to create superheated steam which drives a turbine generator. the turbine generator produces around 27MWh and exports around 23MWh. Combusted waste (incinerator bottom ash) is sent to a third party for further processing. The gasses are treated with Lime, Activated carbon and Urea to remove potential pollution leaving the stack. The powder containing reacted gas particulates (APCr) is removed and sent via a third party (around 70% of the APCr is recycled to building materials). emissions are monitored via Continuous Emissions Monitoring equipment (CEMs) provided by A1-CBISS. </t>
  </si>
  <si>
    <t>Include summary of key processes and procedures such as (but not limited to); waste reception, control rooms, grate, bed and bolier, energy &amp; heat  generation, cooling systems, residue management, emission controls, health and safety systems, maintenance</t>
  </si>
  <si>
    <t>Plant Size</t>
  </si>
  <si>
    <t>tonnes pa</t>
  </si>
  <si>
    <t>MWth</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</si>
  <si>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</si>
  <si>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</si>
  <si>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</si>
  <si>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</si>
  <si>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</si>
  <si>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</si>
  <si>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</si>
  <si>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</si>
  <si>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</si>
  <si>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</si>
  <si>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</si>
  <si>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</si>
  <si>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</si>
  <si>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</si>
  <si>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</si>
  <si>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</si>
  <si>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r>
      <rPr>
        <b/>
        <sz val="9"/>
        <color theme="1"/>
        <rFont val="Arial"/>
        <family val="2"/>
      </rP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</si>
  <si>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</si>
  <si>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Hazardous (APCr)</t>
  </si>
  <si>
    <t>Clinical</t>
  </si>
  <si>
    <t xml:space="preserve">Waste wood (biomass) </t>
  </si>
  <si>
    <t>Refuse Derived Fuel * - H'hold/LA</t>
  </si>
  <si>
    <t>Refuse Derived Fuel *  - C&amp;I</t>
  </si>
  <si>
    <t>Other [Please specify]</t>
  </si>
  <si>
    <t>Total waste received</t>
  </si>
  <si>
    <t xml:space="preserve">Rejected Waste </t>
  </si>
  <si>
    <t>Unprocessed waste transferred out</t>
  </si>
  <si>
    <t>Total waste combusted</t>
  </si>
  <si>
    <t>Energy Useage / Export</t>
  </si>
  <si>
    <t>KWh/te</t>
  </si>
  <si>
    <t>Power Generated</t>
  </si>
  <si>
    <t>MWh</t>
  </si>
  <si>
    <t>Power Exported</t>
  </si>
  <si>
    <t>Power Used on site</t>
  </si>
  <si>
    <t>Power Imported</t>
  </si>
  <si>
    <t>Parasitic Load</t>
  </si>
  <si>
    <t>Thermal Energy Produced **</t>
  </si>
  <si>
    <t>Thermal Energy Exported **</t>
  </si>
  <si>
    <t>R1 value (if applicable)</t>
  </si>
  <si>
    <t>Waste Disposal &amp; Recovery</t>
  </si>
  <si>
    <t>% inputs</t>
  </si>
  <si>
    <t>APC Residues - produced</t>
  </si>
  <si>
    <t>IBA - produced</t>
  </si>
  <si>
    <t>Metals recycling</t>
  </si>
  <si>
    <t>IBA oversized metals</t>
  </si>
  <si>
    <t>Tyres</t>
  </si>
  <si>
    <t>WEEE</t>
  </si>
  <si>
    <t>Rejected gas bottles</t>
  </si>
  <si>
    <t>Boiler cleansing sludge</t>
  </si>
  <si>
    <t>Forward processed MSW</t>
  </si>
  <si>
    <t>Raw Material Usage</t>
  </si>
  <si>
    <t>kg or Ltr /te</t>
  </si>
  <si>
    <t>Mains Water</t>
  </si>
  <si>
    <t>ltrs</t>
  </si>
  <si>
    <t>Other Water</t>
  </si>
  <si>
    <t>Ammonia</t>
  </si>
  <si>
    <t>kgs</t>
  </si>
  <si>
    <t>Urea</t>
  </si>
  <si>
    <t>Activated Carbon</t>
  </si>
  <si>
    <t>Lime / hydrated lime</t>
  </si>
  <si>
    <t xml:space="preserve">Fuel oil </t>
  </si>
  <si>
    <t>Gas</t>
  </si>
  <si>
    <t>cf</t>
  </si>
  <si>
    <t>Other</t>
  </si>
  <si>
    <t xml:space="preserve">Summary </t>
  </si>
  <si>
    <t>Line/Unit</t>
  </si>
  <si>
    <t xml:space="preserve">Hrs in year </t>
  </si>
  <si>
    <t>Availability of waste combustion by line, hrs</t>
  </si>
  <si>
    <t xml:space="preserve"> x %</t>
  </si>
  <si>
    <t>x %</t>
  </si>
  <si>
    <t>Overall Availability, mean avg. of all lines, hrs</t>
  </si>
  <si>
    <t>Hours of turbine operations, hrs</t>
  </si>
  <si>
    <t>Hours of heat / steam export</t>
  </si>
  <si>
    <t>Net Calorific Value of waste</t>
  </si>
  <si>
    <t>MJ/kg</t>
  </si>
  <si>
    <t>-</t>
  </si>
  <si>
    <t>Abnormal Events</t>
  </si>
  <si>
    <t>qty.</t>
  </si>
  <si>
    <t>Abnormal operation</t>
  </si>
  <si>
    <t>hours</t>
  </si>
  <si>
    <t>Permit Breaches</t>
  </si>
  <si>
    <t>Summary of Plant Operations and Maintenance during the reporting year</t>
  </si>
  <si>
    <r>
      <rPr>
        <b/>
        <sz val="10"/>
        <color theme="1"/>
        <rFont val="Arial"/>
        <family val="2"/>
      </rPr>
      <t>Operational</t>
    </r>
    <r>
      <rPr>
        <sz val="10"/>
        <color theme="1"/>
        <rFont val="Arial"/>
        <family val="2"/>
      </rPr>
      <t xml:space="preserve">
There has been no outage in 2022, hence ther was no significant operational changes in the previousl year.
There was regular ACC cleaning regime, where ACC was cleaned on a quarterly basis.
There has been some upgrade to HV system transformer.
</t>
    </r>
    <r>
      <rPr>
        <b/>
        <sz val="10"/>
        <color theme="1"/>
        <rFont val="Arial"/>
        <family val="2"/>
      </rPr>
      <t>Maintenance</t>
    </r>
    <r>
      <rPr>
        <sz val="10"/>
        <color theme="1"/>
        <rFont val="Arial"/>
        <family val="2"/>
      </rPr>
      <t xml:space="preserve">
Beddington Energy Recovery Facility requires an annual PPM plan to ensure the facility availability is maximised with minimal unplanned breakdown of process plant and equipment. 
PPM Planning
The Computerised Maintenance Management System (CMMS) at Viridor ERF sites is Holistech Web and this continues to be the system used to plan, schedule, and record all maintenance activities at the site. A review of Beddington’s CMMS database was carried out as the jobs were scheduled using the original documentation received from the manufacturers of the fitted machinery. As an outcome of the review at Beddington, the following were updated:
•	Restructuring of the process map to accurately reflect main assets, sub assets and assemblies.
•	Gap analysis of the asset database against Process &amp; Instrumentation Diagrams (P&amp;ID) highlighted several missing assets from the asset database. We have issued change proposals to the central CMMS team to add approx. 300 more items of maintenance to the system and this has been aligned with the other Southern sites run by Viridor. Please be advised that at every opportunity and as each new planned maintenance work order is issued it is reviewed at first use and recommendations sent to the central maintenance team for enhancement.
•	Review of all Planned Preventative Maintenance (PPM) detail to ensure that the required tasks are suitable for maintenance of the plant or equipment, allowing life cycle targets to be achieved.  PPM content to be based on manufacturers recommendation and documented engineering standards.
The Beddington ERF maintenance team complete approximately 75-100 PPM’s per week and additional defects that arise.
Outage Work
Beddington’s main outage period that was scheduled for October 2022 was deferred until April 2023, however two short stops of 72 hours were undertaken one on each boiler to repair missing furnace grate bars that were damaged. Due to the deferment of the main planned outage, no major works were carried out on the Steam Turbine Generator or common plant.
Statutory Requirements
The facility requires the engineering department to perform a variety of statutory inspections and tasks to ensure regulatory compliance. Some of these inspections are;
•	Written scheme of examination (WSE). Allianz
•	FM Global - insurance required standards.
•	Lifting Operations and Lifting Equipment regulations (LOLER) - Zurich
                                                         </t>
    </r>
  </si>
  <si>
    <t xml:space="preserve">Include summary of key operational and/or mainteanance activity undertaken in the year, such as any major component upgrades and/or replacements </t>
  </si>
  <si>
    <t>Summary of Residue Handling for the reporting year</t>
  </si>
  <si>
    <t xml:space="preserve">APC residue is collected on average, 6 time per week, throughout the year. APCr is taken to Castle Environmental in Ilkeston (permit number EPR/AP3337SJ).
IBA is collected on average, 50 times per week, throughout the year and taken to Johnsons Aggregates in Ilkeston (permit number EPR/MP3430AM).
</t>
  </si>
  <si>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</si>
  <si>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</si>
  <si>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</si>
  <si>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</si>
  <si>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</si>
  <si>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</si>
  <si>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</si>
  <si>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</si>
  <si>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</si>
  <si>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</si>
  <si>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</si>
  <si>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</si>
  <si>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</si>
  <si>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</si>
  <si>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</si>
  <si>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</si>
  <si>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D09</t>
  </si>
  <si>
    <t>R05</t>
  </si>
  <si>
    <t>Total Hazardous Waste</t>
  </si>
  <si>
    <t>2) Non-Hazardous Wastes</t>
  </si>
  <si>
    <t>IBA</t>
  </si>
  <si>
    <t>Ferrous Metal</t>
  </si>
  <si>
    <t>R04</t>
  </si>
  <si>
    <t>Process Water</t>
  </si>
  <si>
    <t>Total Non-Hazardous Waste</t>
  </si>
  <si>
    <t>TOTAL WASTE</t>
  </si>
  <si>
    <t>Operator’s comments :</t>
  </si>
  <si>
    <t>Annual Reporting of Water and Other Raw Material Usage</t>
  </si>
  <si>
    <t>Raw Material</t>
  </si>
  <si>
    <t>Usage</t>
  </si>
  <si>
    <t>Specific Useage</t>
  </si>
  <si>
    <r>
      <t>m</t>
    </r>
    <r>
      <rPr>
        <vertAlign val="superscript"/>
        <sz val="10"/>
        <color theme="1"/>
        <rFont val="Arial"/>
        <family val="2"/>
      </rPr>
      <t>3</t>
    </r>
  </si>
  <si>
    <r>
      <t>m</t>
    </r>
    <r>
      <rPr>
        <vertAlign val="superscript"/>
        <sz val="10"/>
        <color theme="1"/>
        <rFont val="Arial"/>
        <family val="2"/>
      </rPr>
      <t>3</t>
    </r>
    <r>
      <rPr>
        <sz val="10"/>
        <color theme="1"/>
        <rFont val="Arial"/>
        <family val="2"/>
      </rPr>
      <t>/te</t>
    </r>
  </si>
  <si>
    <t>Total Water</t>
  </si>
  <si>
    <t>Urea / Ammonia</t>
  </si>
  <si>
    <t>kg</t>
  </si>
  <si>
    <t>kg/te</t>
  </si>
  <si>
    <t>Lime / hydrated lime / Sodium Bicarb.</t>
  </si>
  <si>
    <t xml:space="preserve">Annual Reporting of other performance indicators </t>
  </si>
  <si>
    <t>Parameter</t>
  </si>
  <si>
    <t>Results by Line</t>
  </si>
  <si>
    <t>A1</t>
  </si>
  <si>
    <t>A2</t>
  </si>
  <si>
    <t>A3</t>
  </si>
  <si>
    <t>A4</t>
  </si>
  <si>
    <t>A5</t>
  </si>
  <si>
    <t>Turbine 1</t>
  </si>
  <si>
    <t>Turbine 2</t>
  </si>
  <si>
    <t>Operating hours for the year, hours</t>
  </si>
  <si>
    <t>Number of periods of abnormal operation, qty.</t>
  </si>
  <si>
    <t>Cumulative hours of abnormal operation for this year, hours</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</si>
  <si>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</si>
  <si>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</si>
  <si>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</si>
  <si>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</si>
  <si>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</si>
  <si>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</si>
  <si>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</si>
  <si>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</si>
  <si>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</si>
  <si>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</si>
  <si>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</si>
  <si>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</si>
  <si>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GWh</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</si>
  <si>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</si>
  <si>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</si>
  <si>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</si>
  <si>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</si>
  <si>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</si>
  <si>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</si>
  <si>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</si>
  <si>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</si>
  <si>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</si>
  <si>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xx.xx %</t>
  </si>
  <si>
    <t>Oxides of nitrogen</t>
  </si>
  <si>
    <t>Sulphur dioxide</t>
  </si>
  <si>
    <t>Carbon monoxide</t>
  </si>
  <si>
    <t>xx.xx % or 
xx.xx% 95% of 10-min averages</t>
  </si>
  <si>
    <t>Total organic carbon</t>
  </si>
  <si>
    <t>Hydrogen chloride</t>
  </si>
  <si>
    <t>Hydrogen fluoride</t>
  </si>
  <si>
    <t>Summary of any notifications or non-compliances under the permit</t>
  </si>
  <si>
    <t>Summary of notification or non-compliance [including Line/Reference]</t>
  </si>
  <si>
    <t xml:space="preserve">Reason </t>
  </si>
  <si>
    <t>Measures taken to prevent reoccurrence</t>
  </si>
  <si>
    <t>Elevated HCl reading of 60.22 mg/Nm3 on Line 1 lead to an exceedance of the 30 minute HCl ELV (60 mg/Nm3).</t>
  </si>
  <si>
    <t>Failure of lime dosing equipment during start up.</t>
  </si>
  <si>
    <t>More regular checks are conducted on the dosing screw.</t>
  </si>
  <si>
    <t>Elevated CO reading of 77.27 mg/Nm3 on Line 1 lead to an exceedance of Daily ELV (50 mg/Nm3).</t>
  </si>
  <si>
    <t>Explosion of a gas bottle in the Boiler 1</t>
  </si>
  <si>
    <t>Increasing waste inspections and working with waste suppliers to increase waste inspections and reduce a number of gas cylinders in the waste.</t>
  </si>
  <si>
    <t>Elevated CO reading of 51.50 mg/Nm3 on Line 2  lead to an exceedance of Daily ELV (50 mg/Nm3).</t>
  </si>
  <si>
    <t>Over-fire caused O2 levels to drop in the boiler resulting in increased CO emissions.</t>
  </si>
  <si>
    <t>Elevated VOC reading of 29.38 mg/Nm3 on Line 2 lead to an exceedance of the 30 minute VOC ELV (20 mg/Nm3).</t>
  </si>
  <si>
    <t>Elevated VOC reading of 22.28 mg/Nm3 on Line 1 lead to an exceedance of the 30 minute VOC ELV (20 mg/Nm3).</t>
  </si>
  <si>
    <t>Huge over-fire on the grate due to waste and explosion resulting in O2 at 0% for nearly 10 minutes and a TOC breach.</t>
  </si>
  <si>
    <t>Elevated VOC reading of 35.28 mg/Nm3 on Line 1 lead to an exceedance of the 30 minute VOC ELV (20 mg/Nm3).</t>
  </si>
  <si>
    <t>Elevated VOC reading of 22.32 mg/Nm3 on Line 1 lead to an exceedance of the 30 minute VOC ELV (20 mg/Nm3).</t>
  </si>
  <si>
    <t>The breach was caused by unstable combustion due to works on the crane rail. There was a feed chute blockage which was also hampered by a bridge breaker fault.</t>
  </si>
  <si>
    <t>In order to prevent reoccurence the bridge breaker will be checked to ensure serviceability and is available when required.</t>
  </si>
  <si>
    <t>30 minute average HCl exceedance of 76.6 mg/Nm3 on Line 2</t>
  </si>
  <si>
    <t>Waste composition caused a high HCl peak, despite the maximum lime dosing.</t>
  </si>
  <si>
    <t>communication with the local authorities to confirm periods of reduced deliveries in advance. This allows more effective bunker management in line with the site standard operating procedures.</t>
  </si>
  <si>
    <t>Summary of any complaints received and actions to taken to resolve them.</t>
  </si>
  <si>
    <t>Summary of complaint [including Line/Reference]</t>
  </si>
  <si>
    <t>Reason *</t>
  </si>
  <si>
    <t>* including whether substantiated by the operator or the EA</t>
  </si>
  <si>
    <t>Summary of Plant Improvements</t>
  </si>
  <si>
    <t>Summary of any efficiency improvements that have been completed within the year.</t>
  </si>
  <si>
    <t>Summary of any permit improvement conditions that have been completed within the year and the resulting environmental benefits.</t>
  </si>
  <si>
    <t>Summary of any changes to the plant or operating techniques which required a variation to the permit and a summary of the resulting environmental impact.</t>
  </si>
  <si>
    <t>Environmental permit variation submitted December 2021 to consolodate ERF Permit with adjoining transfer station permit.
This variation also includes the discharge of the above Improvement Conditions, and a 10% increase in plant capacity.</t>
  </si>
  <si>
    <t>Summary of any other improvements made to the plant or planned to be made and a summary of the resulting environmental benefits.</t>
  </si>
  <si>
    <t>Ongoing improvements to reduce carbon impacts from the site. Work aligned with Carbon Management Plan in partnership with Local Authority Partner</t>
  </si>
  <si>
    <t>Details of Public &amp; Stakeholder Liasion</t>
  </si>
  <si>
    <t>Summary of events held during the reporting year.</t>
  </si>
  <si>
    <t>Description</t>
  </si>
  <si>
    <t>20th January 2022</t>
  </si>
  <si>
    <t>Community leaison group</t>
  </si>
  <si>
    <t>7th April 2022</t>
  </si>
  <si>
    <t>21st July 2022</t>
  </si>
  <si>
    <t>13th October 2022</t>
  </si>
  <si>
    <t>List of events planned for next year</t>
  </si>
  <si>
    <t>If you wish to be involved in the public liasion programme, please contact _________________</t>
  </si>
  <si>
    <t>Carbon dioxide emissions and biogenic content of waste inputs</t>
  </si>
  <si>
    <r>
      <t xml:space="preserve">Carbon dioxide emissions </t>
    </r>
    <r>
      <rPr>
        <sz val="12"/>
        <color theme="1"/>
        <rFont val="Arial"/>
        <family val="2"/>
      </rPr>
      <t>(all types of plant)</t>
    </r>
  </si>
  <si>
    <t>Annual mass of carbon dioxide released</t>
  </si>
  <si>
    <t xml:space="preserve">x tonnes </t>
  </si>
  <si>
    <t>Annual mass of carbon dioxide released per tonne of waste burned</t>
  </si>
  <si>
    <t>Annual mass of carbon dioxide released per MWh of energy exported</t>
  </si>
  <si>
    <t>Description of how annual carbon dioxide mass emission has been calculated</t>
  </si>
  <si>
    <t>(((CO2 (%) /100*flow(Nm3))/22.4)*44)/1000                       CO2 (%)  taken from CEMs</t>
  </si>
  <si>
    <t>Note 1: Where available, data from CO2 CEMS should be used. Otherwise, where no CEMS data is available, a suitable emissions factor should be used based on the tonnage of waste burned e.g.0.992 tCO2/t waste as per Tolvik report 2021, or other justified emissions factor  - refer to embedded Environment Agency guidance note above or updated version for suitable descriptive text.</t>
  </si>
  <si>
    <t>Annual mass emissions of nitrous oxide</t>
  </si>
  <si>
    <t>Description of how annual nitrous oxide mass emission has been calculated</t>
  </si>
  <si>
    <t>(N2O(mg/m3)*flow(Nm3))/1000000000                             N2O taken from CEMs</t>
  </si>
  <si>
    <t>Note 2: Where available, data from N2O CEMS should be used, or if no CEMS data is available, from periodic monitoring. Otherwise, a suitable emissions factor should be used based on the tonnage of waste burned e.g. 0.0981 kgN20/t waste as per 2021 Pollution Inventory data for plants with urea-based SNCR - refer to embedded Environment Agency guidance note above or updated version for suitable descriptive text.</t>
  </si>
  <si>
    <r>
      <t xml:space="preserve">Total annual carbon dioxide and nitrous oxide emissions as carbon dioxide equivalent </t>
    </r>
    <r>
      <rPr>
        <sz val="10"/>
        <color theme="1"/>
        <rFont val="Arial"/>
        <family val="2"/>
      </rPr>
      <t>(whereby 1 t nitrous oxide is equivalent to 298 t carbon dioxide)</t>
    </r>
  </si>
  <si>
    <t>x tonnes CO2e</t>
  </si>
  <si>
    <r>
      <t xml:space="preserve">Biogenic fraction of the waste and biogenic CO2 emissions </t>
    </r>
    <r>
      <rPr>
        <sz val="12"/>
        <color theme="1"/>
        <rFont val="Arial"/>
        <family val="2"/>
      </rPr>
      <t>(only plants burning residual municipal waste, refuse derived fuel or solid recovered fuel)</t>
    </r>
  </si>
  <si>
    <t>Yearly average biogenic percentage of the waste by net calorific value (NCV)</t>
  </si>
  <si>
    <t>Description of how biogenic NCV percentage has been calculated or estimated</t>
  </si>
  <si>
    <t>by waste analysis</t>
  </si>
  <si>
    <t xml:space="preserve">Note 3: Where available, data from waste sampling should be used; otherwise, an estimated figure with justification can be used, or a figure assumed on the basis of a national average e.g. 2017 WRAP data for residual waste of 51.8% biogenic energy content - refer to embedded Environment Agency guidance note above or updated version for suitable descriptive text, quoting standards where relevant. </t>
  </si>
  <si>
    <t>Percentage of total carbon dioxide emissions arising from biogenic waste</t>
  </si>
  <si>
    <t>Description of how percentage biogenic carbon dioxide emissions have been calculated</t>
  </si>
  <si>
    <t xml:space="preserve">Note 4: Examples include direct measurement via C14 method or BIOMA software - refer to embedded Environment Agency guidance note above or updated version for suitable descriptive text, quoting standards where relevant. Otherwise, as an approximation (and in lieu of any more accurate metrics which may be developed in future), the measured or estimated biogenic fraction by net calorific value can be assumed to be the same as the biogenic CO2 fraction of the total CO2 emissions from the plant. </t>
  </si>
  <si>
    <t>Comments:</t>
  </si>
  <si>
    <t>Residue Quality Monitoring Requirements</t>
  </si>
  <si>
    <t>Summary of monitoring undertaken and compliance</t>
  </si>
  <si>
    <t>APCr is sampled one per quarter as per the environmental permit requirement and sent to NRM lab for analysis.</t>
  </si>
  <si>
    <t>IBA sample was taken twice per month as per the environmental permit and sent to NRM labs for analysis.</t>
  </si>
  <si>
    <t>Commentary on any specific events</t>
  </si>
  <si>
    <t>Date &amp; Event</t>
  </si>
  <si>
    <t>n/a</t>
  </si>
  <si>
    <t>Residue Quality Monitoring Results</t>
  </si>
  <si>
    <t xml:space="preserve">Parameter (unit) </t>
  </si>
  <si>
    <t>Limit</t>
  </si>
  <si>
    <t xml:space="preserve">Normal Operation </t>
  </si>
  <si>
    <t xml:space="preserve">Bottom ash  </t>
  </si>
  <si>
    <t>Loss on Ignition (average %)</t>
  </si>
  <si>
    <t>&lt;5%</t>
  </si>
  <si>
    <t>Total Organic Carbon (average %)</t>
  </si>
  <si>
    <t>&lt;3%</t>
  </si>
  <si>
    <t>No. of Assessments Undertaken</t>
  </si>
  <si>
    <t>---</t>
  </si>
  <si>
    <t>No. of Hazardous Results</t>
  </si>
  <si>
    <t>none</t>
  </si>
  <si>
    <t>Comments :</t>
  </si>
  <si>
    <t>IBA is sampled quarterly as required by permit condition 3.5.1 and table 3.4 including TOC (separate lines), dioxins &amp; furans and metals.</t>
  </si>
  <si>
    <t>24 samples of IBA are taken each year (including the 4 permit complaince samples) to undergo basic hazard analysis as required by the ESA protocol.</t>
  </si>
  <si>
    <t>All IBA samples taken during the review period were reported as non-hazardous.</t>
  </si>
  <si>
    <t xml:space="preserve">Air Pollution Control Residue  </t>
  </si>
  <si>
    <t>Antimony (mg/kg)</t>
  </si>
  <si>
    <t>Cadmium (mg/kg)</t>
  </si>
  <si>
    <t>Thallium (mg/kg)</t>
  </si>
  <si>
    <t>Mercury (mg/kg)</t>
  </si>
  <si>
    <t>Lead (mg/kg)</t>
  </si>
  <si>
    <t>Chromium (mg/kg)</t>
  </si>
  <si>
    <t>Copper (mg/kg)</t>
  </si>
  <si>
    <t>Manganese (mg/kg)</t>
  </si>
  <si>
    <t>Nickel (mg/kg)</t>
  </si>
  <si>
    <t>Arsenic (mg/kg)</t>
  </si>
  <si>
    <t>Cobalt (mg/kg)</t>
  </si>
  <si>
    <t>Vanadium (mg/kg)</t>
  </si>
  <si>
    <t>&lt;10</t>
  </si>
  <si>
    <t>Zinc (mg/kg)</t>
  </si>
  <si>
    <t>Dioxins WHO(ng/kg)</t>
  </si>
  <si>
    <t>Furans WHO(ng/kg)</t>
  </si>
  <si>
    <t xml:space="preserve">PCBs WHO(ng/kg) </t>
  </si>
  <si>
    <t>TOC (%)</t>
  </si>
  <si>
    <t>&lt;0.1</t>
  </si>
  <si>
    <t>&lt;0.5</t>
  </si>
  <si>
    <t>`</t>
  </si>
  <si>
    <t xml:space="preserve">PCB WHO (ng/kg) </t>
  </si>
  <si>
    <t>Thames Water billing sampling completed against TEDC</t>
  </si>
  <si>
    <t>Emissions to Water / Sewer</t>
  </si>
  <si>
    <t>Monitoring Frequency</t>
  </si>
  <si>
    <t>Target</t>
  </si>
  <si>
    <t>Max.</t>
  </si>
  <si>
    <t>Average</t>
  </si>
  <si>
    <t>No parameters set</t>
  </si>
  <si>
    <t>No limit Set</t>
  </si>
  <si>
    <t>Summary of monitoring undertaken, standards used and compliance</t>
  </si>
  <si>
    <t>Results of emissions to air that are periodically monitored</t>
  </si>
  <si>
    <t>Ref. Period</t>
  </si>
  <si>
    <t>Emission Limit Value</t>
  </si>
  <si>
    <t>H1 - L1</t>
  </si>
  <si>
    <t>H1 - L2</t>
  </si>
  <si>
    <t>H2 L1</t>
  </si>
  <si>
    <t>H2 L2</t>
  </si>
  <si>
    <t>1 hr</t>
  </si>
  <si>
    <r>
      <t>2 mg/m</t>
    </r>
    <r>
      <rPr>
        <vertAlign val="superscript"/>
        <sz val="10"/>
        <color theme="1"/>
        <rFont val="Arial"/>
        <family val="2"/>
      </rPr>
      <t>3</t>
    </r>
  </si>
  <si>
    <t>&lt;0.026</t>
  </si>
  <si>
    <t>&lt;0.031</t>
  </si>
  <si>
    <t>&lt;0.040</t>
  </si>
  <si>
    <t>&lt;0.042</t>
  </si>
  <si>
    <t>Cd and Th and their compounds</t>
  </si>
  <si>
    <t>6-8hrs</t>
  </si>
  <si>
    <r>
      <t>0.05 mg/m</t>
    </r>
    <r>
      <rPr>
        <vertAlign val="superscript"/>
        <sz val="10"/>
        <color theme="1"/>
        <rFont val="Arial"/>
        <family val="2"/>
      </rPr>
      <t>3</t>
    </r>
  </si>
  <si>
    <t>&lt;0.0010</t>
  </si>
  <si>
    <t>&lt;0.00071</t>
  </si>
  <si>
    <t>&lt;0.0017</t>
  </si>
  <si>
    <t>&lt;0.0016</t>
  </si>
  <si>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</si>
  <si>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</si>
  <si>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</si>
  <si>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</si>
  <si>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</si>
  <si>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</si>
  <si>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</si>
  <si>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</si>
  <si>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</si>
  <si>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</si>
  <si>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</si>
  <si>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</si>
  <si>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</si>
  <si>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</si>
  <si>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&lt;0.0014</t>
  </si>
  <si>
    <t>&lt;0.0015</t>
  </si>
  <si>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</si>
  <si>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</si>
  <si>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</si>
  <si>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</si>
  <si>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</si>
  <si>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</si>
  <si>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</si>
  <si>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</si>
  <si>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</si>
  <si>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</si>
  <si>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</si>
  <si>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</si>
  <si>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</si>
  <si>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</si>
  <si>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</si>
  <si>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Emissions to Air (continously monitored)</t>
  </si>
  <si>
    <t>Template may require adjustment for any bespoke monitoring requirements of permit</t>
  </si>
  <si>
    <t>Report to 2 decimal places, i.e. xx.xx%</t>
  </si>
  <si>
    <t>Results of emissions to air that are continuously monitored (maximum and average values for each line)</t>
  </si>
  <si>
    <t>Reference Period</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</si>
  <si>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</si>
  <si>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</si>
  <si>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</si>
  <si>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</si>
  <si>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</si>
  <si>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</si>
  <si>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</si>
  <si>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</si>
  <si>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</si>
  <si>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</si>
  <si>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</si>
  <si>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</si>
  <si>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</si>
  <si>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</si>
  <si>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t>95%ile 10-min avg *</t>
  </si>
  <si>
    <r>
      <t>150 mg/m</t>
    </r>
    <r>
      <rPr>
        <vertAlign val="superscript"/>
        <sz val="10"/>
        <color theme="1"/>
        <rFont val="Arial"/>
        <family val="2"/>
      </rPr>
      <t>3</t>
    </r>
    <r>
      <rPr>
        <sz val="10"/>
        <color theme="1"/>
        <rFont val="Arial"/>
        <family val="2"/>
      </rPr>
      <t xml:space="preserve"> *</t>
    </r>
  </si>
  <si>
    <t xml:space="preserve"> Ammonia</t>
  </si>
  <si>
    <t>No limit set</t>
  </si>
  <si>
    <t>* = delete or amend as appropriate</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</si>
  <si>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</si>
  <si>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</si>
  <si>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</si>
  <si>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</si>
  <si>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</si>
  <si>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</si>
  <si>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</si>
  <si>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</si>
  <si>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</si>
  <si>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</si>
  <si>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</si>
  <si>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</si>
  <si>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</si>
  <si>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</si>
  <si>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</si>
  <si>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</si>
  <si>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</si>
  <si>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</si>
  <si>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</si>
  <si>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</si>
  <si>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</si>
  <si>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</si>
  <si>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</si>
  <si>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</si>
  <si>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</si>
  <si>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</si>
  <si>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</si>
  <si>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</si>
  <si>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</si>
  <si>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</si>
  <si>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</si>
  <si>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</si>
  <si>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</si>
  <si>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Monitoring of Sulphur dioxide emissions</t>
  </si>
  <si>
    <t>1/2 hourly SO2 ELV</t>
  </si>
  <si>
    <t>Daily SO2 ELV</t>
  </si>
  <si>
    <t>Monitoring of Oxides of Nitrogen emissions</t>
  </si>
  <si>
    <t>1/2 hourly NOx ELV</t>
  </si>
  <si>
    <t>Daily NOx ELV</t>
  </si>
  <si>
    <t>Monitoring of Total organic carbon emissions</t>
  </si>
  <si>
    <t>1/2 hourly TOC ELV</t>
  </si>
  <si>
    <t>Daily TOC ELV</t>
  </si>
  <si>
    <t>Monitoring of Particulate matter emissions</t>
  </si>
  <si>
    <t>1/2 hourly PM ELV</t>
  </si>
  <si>
    <t>Daily PM ELV</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</si>
  <si>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</si>
  <si>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</si>
  <si>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</si>
  <si>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</si>
  <si>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</si>
  <si>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</si>
  <si>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</si>
  <si>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</si>
  <si>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Daily CO ELV</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</si>
  <si>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</si>
  <si>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</si>
  <si>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</si>
  <si>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</si>
  <si>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Ammnonia emissions </t>
  </si>
  <si>
    <t>1/2 hourly NH3 ELV</t>
  </si>
  <si>
    <t>Daily NH3 ELV</t>
  </si>
  <si>
    <t xml:space="preserve">An indicated ELV value of zero in the table above means that no ammonia limit is set in the permit.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</si>
</sst>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_-* #,##0_-;\-* #,##0_-;_-* &quot;-&quot;??_-;_-@_-"/>
    <numFmt numFmtId="165" formatCode="0.0%"/>
    <numFmt numFmtId="166" formatCode="_-* #,##0.0_-;\-* #,##0.0_-;_-* &quot;-&quot;??_-;_-@_-"/>
    <numFmt numFmtId="167" formatCode="[$-F800]dddd\,\ mmmm\ dd\,\ yyyy"/>
    <numFmt numFmtId="168" formatCode="#,##0.0"/>
    <numFmt numFmtId="169" formatCode="0.0"/>
    <numFmt numFmtId="170" formatCode="#,##0.00_ ;\-#,##0.00\ "/>
  </numFmts>
  <fonts count="42" x14ac:knownFonts="1">
    <font>
      <sz val="11"/>
      <color theme="1"/>
      <name val="Calibri"/>
      <family val="2"/>
      <scheme val="minor"/>
    </font>
    <font>
      <sz val="10"/>
      <color theme="1"/>
      <name val="Arial"/>
      <family val="2"/>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sz val="9"/>
      <name val="Arial"/>
      <family val="2"/>
    </font>
    <font>
      <sz val="9"/>
      <color rgb="FF000000"/>
      <name val="Arial"/>
      <family val="2"/>
    </font>
    <font>
      <b/>
      <sz val="9"/>
      <color theme="1"/>
      <name val="Arial"/>
      <family val="2"/>
    </font>
    <font>
      <i/>
      <sz val="11"/>
      <color rgb="FFFF0000"/>
      <name val="Arial"/>
      <family val="2"/>
    </font>
    <font>
      <u/>
      <sz val="11"/>
      <color theme="10"/>
      <name val="Calibri"/>
      <family val="2"/>
      <scheme val="minor"/>
    </font>
    <font>
      <sz val="10"/>
      <name val="Arial"/>
      <family val="2"/>
    </font>
    <font>
      <sz val="11"/>
      <name val="Calibri"/>
      <family val="2"/>
      <scheme val="minor"/>
    </font>
    <font>
      <sz val="9"/>
      <color indexed="81"/>
      <name val="Tahoma"/>
      <family val="2"/>
    </font>
    <font>
      <b/>
      <sz val="9"/>
      <color indexed="81"/>
      <name val="Tahoma"/>
      <family val="2"/>
    </font>
    <font>
      <sz val="11"/>
      <name val="Arial"/>
      <family val="2"/>
    </font>
    <font>
      <sz val="8"/>
      <color theme="1"/>
      <name val="Arial"/>
      <family val="2"/>
    </font>
    <font>
      <b/>
      <sz val="12"/>
      <color rgb="FF000000"/>
      <name val="Arial"/>
      <family val="2"/>
    </font>
  </fonts>
  <fills count="9">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
      <patternFill patternType="solid">
        <fgColor theme="1"/>
        <bgColor indexed="64"/>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s>
  <cellStyleXfs count="4">
    <xf numFmtId="0" fontId="0" fillId="0" borderId="0"/>
    <xf numFmtId="43" fontId="3" fillId="0" borderId="0" applyFont="0" applyFill="0" applyBorder="0" applyAlignment="0" applyProtection="0"/>
    <xf numFmtId="9" fontId="3" fillId="0" borderId="0" applyFont="0" applyFill="0" applyBorder="0" applyAlignment="0" applyProtection="0"/>
    <xf numFmtId="0" fontId="34" fillId="0" borderId="0" applyNumberFormat="0" applyFill="0" applyBorder="0" applyAlignment="0" applyProtection="0"/>
  </cellStyleXfs>
  <cellXfs count="439">
    <xf numFmtId="0" fontId="0" fillId="0" borderId="0" xfId="0"/>
    <xf numFmtId="0" fontId="4" fillId="0" borderId="0" xfId="0" applyFont="1"/>
    <xf numFmtId="0" fontId="5" fillId="0" borderId="0" xfId="0" applyFont="1"/>
    <xf numFmtId="0" fontId="6" fillId="0" borderId="0" xfId="0" applyFont="1"/>
    <xf numFmtId="0" fontId="6" fillId="2" borderId="2" xfId="0" applyFont="1" applyFill="1" applyBorder="1" applyAlignment="1">
      <alignment horizontal="center"/>
    </xf>
    <xf numFmtId="0" fontId="7" fillId="0" borderId="2" xfId="0" applyFont="1" applyBorder="1" applyAlignment="1">
      <alignment horizontal="center"/>
    </xf>
    <xf numFmtId="0" fontId="7" fillId="0" borderId="2" xfId="0" applyFont="1" applyBorder="1"/>
    <xf numFmtId="0" fontId="8" fillId="0" borderId="0" xfId="0" applyFont="1"/>
    <xf numFmtId="0" fontId="9" fillId="0" borderId="0" xfId="0" applyFont="1"/>
    <xf numFmtId="0" fontId="7" fillId="0" borderId="0" xfId="0" applyFont="1"/>
    <xf numFmtId="0" fontId="10" fillId="0" borderId="2" xfId="0" applyFont="1" applyBorder="1" applyAlignment="1">
      <alignment horizontal="center"/>
    </xf>
    <xf numFmtId="0" fontId="10" fillId="0" borderId="2" xfId="0" applyFont="1" applyBorder="1"/>
    <xf numFmtId="0" fontId="11" fillId="0" borderId="0" xfId="0" applyFont="1"/>
    <xf numFmtId="0" fontId="10" fillId="0" borderId="2" xfId="0" applyFont="1" applyBorder="1" applyAlignment="1">
      <alignment horizontal="center" vertical="top"/>
    </xf>
    <xf numFmtId="0" fontId="10" fillId="0" borderId="2" xfId="0" applyFont="1" applyBorder="1" applyAlignment="1">
      <alignment vertical="top"/>
    </xf>
    <xf numFmtId="0" fontId="10" fillId="0" borderId="0" xfId="0" applyFont="1"/>
    <xf numFmtId="0" fontId="11" fillId="0" borderId="0" xfId="0" applyFont="1" applyAlignment="1">
      <alignment horizontal="center"/>
    </xf>
    <xf numFmtId="0" fontId="12" fillId="0" borderId="0" xfId="0" applyFont="1"/>
    <xf numFmtId="0" fontId="6" fillId="0" borderId="6" xfId="0" applyFont="1" applyBorder="1"/>
    <xf numFmtId="164" fontId="6" fillId="2" borderId="7" xfId="1" applyNumberFormat="1" applyFont="1" applyFill="1" applyBorder="1"/>
    <xf numFmtId="0" fontId="6" fillId="3" borderId="7" xfId="0" applyFont="1" applyFill="1" applyBorder="1" applyAlignment="1">
      <alignment vertical="center"/>
    </xf>
    <xf numFmtId="0" fontId="6" fillId="0" borderId="11" xfId="0" applyFont="1" applyBorder="1"/>
    <xf numFmtId="0" fontId="6" fillId="2" borderId="12" xfId="0" applyFont="1" applyFill="1" applyBorder="1" applyAlignment="1">
      <alignment horizontal="center" vertical="center"/>
    </xf>
    <xf numFmtId="0" fontId="6" fillId="0" borderId="12" xfId="0" applyFont="1" applyBorder="1"/>
    <xf numFmtId="0" fontId="6" fillId="2" borderId="12" xfId="0" applyFont="1" applyFill="1" applyBorder="1" applyAlignment="1">
      <alignment horizontal="center"/>
    </xf>
    <xf numFmtId="0" fontId="7" fillId="0" borderId="12" xfId="0" applyFont="1" applyBorder="1"/>
    <xf numFmtId="0" fontId="6" fillId="0" borderId="13" xfId="0" applyFont="1" applyBorder="1" applyAlignment="1">
      <alignment horizontal="center"/>
    </xf>
    <xf numFmtId="0" fontId="10" fillId="0" borderId="4" xfId="0" applyFont="1" applyBorder="1" applyAlignment="1">
      <alignment horizontal="center"/>
    </xf>
    <xf numFmtId="164" fontId="10" fillId="0" borderId="7" xfId="1" applyNumberFormat="1" applyFont="1" applyBorder="1" applyAlignment="1">
      <alignment horizontal="center"/>
    </xf>
    <xf numFmtId="164" fontId="10" fillId="0" borderId="0" xfId="1" applyNumberFormat="1" applyFont="1" applyAlignment="1">
      <alignment horizontal="center"/>
    </xf>
    <xf numFmtId="164" fontId="10" fillId="0" borderId="12" xfId="1" applyNumberFormat="1" applyFont="1" applyBorder="1" applyAlignment="1">
      <alignment horizontal="center"/>
    </xf>
    <xf numFmtId="0" fontId="10" fillId="0" borderId="0" xfId="0" applyFont="1" applyAlignment="1">
      <alignment horizontal="center"/>
    </xf>
    <xf numFmtId="0" fontId="10" fillId="0" borderId="7" xfId="0" applyFont="1" applyBorder="1" applyAlignment="1">
      <alignment horizontal="center"/>
    </xf>
    <xf numFmtId="0" fontId="4" fillId="0" borderId="0" xfId="0" applyFont="1" applyAlignment="1">
      <alignment horizontal="right"/>
    </xf>
    <xf numFmtId="0" fontId="4" fillId="0" borderId="0" xfId="0" applyFont="1" applyAlignment="1">
      <alignment vertical="center"/>
    </xf>
    <xf numFmtId="0" fontId="6" fillId="0" borderId="0" xfId="0" applyFont="1" applyAlignment="1">
      <alignment horizontal="center"/>
    </xf>
    <xf numFmtId="0" fontId="14" fillId="4" borderId="2" xfId="0" applyFont="1" applyFill="1" applyBorder="1" applyAlignment="1">
      <alignment horizontal="center" vertical="center" wrapText="1"/>
    </xf>
    <xf numFmtId="0" fontId="11" fillId="0" borderId="0" xfId="0" applyFont="1" applyAlignment="1">
      <alignment vertical="center"/>
    </xf>
    <xf numFmtId="0" fontId="14" fillId="4" borderId="6" xfId="0" applyFont="1" applyFill="1" applyBorder="1" applyAlignment="1">
      <alignment vertical="center" wrapText="1"/>
    </xf>
    <xf numFmtId="0" fontId="14" fillId="4" borderId="8" xfId="0" applyFont="1" applyFill="1" applyBorder="1" applyAlignment="1">
      <alignment vertical="center" wrapText="1"/>
    </xf>
    <xf numFmtId="0" fontId="14" fillId="4" borderId="1" xfId="0" applyFont="1" applyFill="1" applyBorder="1" applyAlignment="1">
      <alignment horizontal="center" vertical="center" wrapText="1"/>
    </xf>
    <xf numFmtId="0" fontId="14" fillId="4" borderId="1" xfId="0" applyFont="1" applyFill="1" applyBorder="1" applyAlignment="1">
      <alignment vertical="center" wrapText="1"/>
    </xf>
    <xf numFmtId="0" fontId="6" fillId="0" borderId="0" xfId="0" applyFont="1" applyAlignment="1">
      <alignment horizontal="left" vertical="top" wrapText="1"/>
    </xf>
    <xf numFmtId="0" fontId="14" fillId="4" borderId="2" xfId="0" applyFont="1" applyFill="1" applyBorder="1" applyAlignment="1">
      <alignment vertical="center" wrapText="1"/>
    </xf>
    <xf numFmtId="0" fontId="15" fillId="0" borderId="12" xfId="0" applyFont="1" applyBorder="1"/>
    <xf numFmtId="0" fontId="6" fillId="0" borderId="0" xfId="0" applyFont="1" applyAlignment="1">
      <alignment vertical="center"/>
    </xf>
    <xf numFmtId="0" fontId="10" fillId="0" borderId="2" xfId="0" applyFont="1" applyBorder="1" applyAlignment="1">
      <alignment horizontal="center" vertical="center" wrapText="1"/>
    </xf>
    <xf numFmtId="0" fontId="5" fillId="0" borderId="0" xfId="0" applyFont="1" applyAlignment="1">
      <alignment horizontal="left" vertical="center" wrapText="1"/>
    </xf>
    <xf numFmtId="0" fontId="7" fillId="0" borderId="3" xfId="0" applyFont="1" applyBorder="1" applyAlignment="1">
      <alignment vertical="center"/>
    </xf>
    <xf numFmtId="0" fontId="7" fillId="0" borderId="4" xfId="0" applyFont="1" applyBorder="1" applyAlignment="1">
      <alignment vertical="center"/>
    </xf>
    <xf numFmtId="0" fontId="7" fillId="0" borderId="5" xfId="0" applyFont="1" applyBorder="1" applyAlignment="1">
      <alignment vertical="center"/>
    </xf>
    <xf numFmtId="0" fontId="7" fillId="0" borderId="6" xfId="0" applyFont="1" applyBorder="1"/>
    <xf numFmtId="0" fontId="7" fillId="0" borderId="3" xfId="0" applyFont="1" applyBorder="1"/>
    <xf numFmtId="0" fontId="4" fillId="0" borderId="3" xfId="0" applyFont="1" applyBorder="1"/>
    <xf numFmtId="0" fontId="10" fillId="0" borderId="2" xfId="0" applyFont="1" applyBorder="1" applyAlignment="1">
      <alignment horizontal="center" vertical="center"/>
    </xf>
    <xf numFmtId="0" fontId="7" fillId="0" borderId="2" xfId="0" applyFont="1" applyBorder="1" applyAlignment="1">
      <alignment horizontal="center" vertical="center" wrapText="1"/>
    </xf>
    <xf numFmtId="0" fontId="16" fillId="0" borderId="0" xfId="0" applyFont="1"/>
    <xf numFmtId="0" fontId="17" fillId="0" borderId="2" xfId="0" applyFont="1"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vertical="center" wrapText="1"/>
    </xf>
    <xf numFmtId="0" fontId="7" fillId="0" borderId="0" xfId="0" applyFont="1" applyAlignment="1">
      <alignment vertical="top"/>
    </xf>
    <xf numFmtId="0" fontId="7" fillId="0" borderId="2" xfId="0" applyFont="1" applyBorder="1" applyAlignment="1">
      <alignment horizontal="center" vertical="center"/>
    </xf>
    <xf numFmtId="0" fontId="6" fillId="0" borderId="2" xfId="0" applyFont="1" applyBorder="1"/>
    <xf numFmtId="0" fontId="19" fillId="0" borderId="2" xfId="0" applyFont="1" applyBorder="1" applyAlignment="1">
      <alignment horizontal="center"/>
    </xf>
    <xf numFmtId="0" fontId="6" fillId="5" borderId="2" xfId="0" applyFont="1" applyFill="1" applyBorder="1" applyAlignment="1">
      <alignment horizontal="center"/>
    </xf>
    <xf numFmtId="0" fontId="7" fillId="0" borderId="2" xfId="0" applyFont="1" applyBorder="1" applyAlignment="1">
      <alignment horizontal="left" vertical="center"/>
    </xf>
    <xf numFmtId="0" fontId="6" fillId="0" borderId="2" xfId="0" applyFont="1" applyBorder="1" applyAlignment="1">
      <alignment horizontal="left"/>
    </xf>
    <xf numFmtId="0" fontId="7" fillId="0" borderId="1" xfId="0" applyFont="1" applyBorder="1" applyAlignment="1">
      <alignment horizontal="center" vertical="center" wrapText="1"/>
    </xf>
    <xf numFmtId="0" fontId="7" fillId="0" borderId="0" xfId="0" applyFont="1" applyAlignment="1">
      <alignment vertical="center"/>
    </xf>
    <xf numFmtId="0" fontId="19" fillId="5" borderId="2" xfId="0" applyFont="1" applyFill="1" applyBorder="1" applyAlignment="1">
      <alignment horizontal="center"/>
    </xf>
    <xf numFmtId="0" fontId="6" fillId="0" borderId="8" xfId="0" applyFont="1" applyBorder="1" applyAlignment="1">
      <alignment horizontal="left"/>
    </xf>
    <xf numFmtId="0" fontId="21" fillId="0" borderId="0" xfId="0" applyFont="1"/>
    <xf numFmtId="0" fontId="6" fillId="0" borderId="9" xfId="0" applyFont="1" applyBorder="1"/>
    <xf numFmtId="0" fontId="22" fillId="0" borderId="0" xfId="0" applyFont="1"/>
    <xf numFmtId="0" fontId="23" fillId="0" borderId="0" xfId="0" applyFont="1"/>
    <xf numFmtId="0" fontId="24" fillId="0" borderId="0" xfId="0" applyFont="1"/>
    <xf numFmtId="0" fontId="7" fillId="0" borderId="0" xfId="0" applyFont="1" applyAlignment="1">
      <alignment horizontal="center"/>
    </xf>
    <xf numFmtId="0" fontId="26" fillId="0" borderId="0" xfId="0" applyFont="1"/>
    <xf numFmtId="0" fontId="27" fillId="0" borderId="0" xfId="0" applyFont="1"/>
    <xf numFmtId="0" fontId="28" fillId="0" borderId="0" xfId="0" applyFont="1"/>
    <xf numFmtId="0" fontId="23" fillId="0" borderId="0" xfId="0" applyFont="1" applyAlignment="1">
      <alignment horizontal="right"/>
    </xf>
    <xf numFmtId="0" fontId="29" fillId="0" borderId="0" xfId="0" applyFont="1"/>
    <xf numFmtId="0" fontId="7" fillId="0" borderId="11" xfId="0" applyFont="1" applyBorder="1" applyAlignment="1">
      <alignment horizontal="left" vertical="top" wrapText="1"/>
    </xf>
    <xf numFmtId="0" fontId="7" fillId="0" borderId="12" xfId="0" applyFont="1" applyBorder="1" applyAlignment="1">
      <alignment horizontal="left" vertical="top" wrapText="1"/>
    </xf>
    <xf numFmtId="0" fontId="7" fillId="0" borderId="13" xfId="0" applyFont="1" applyBorder="1" applyAlignment="1">
      <alignment horizontal="left" vertical="top" wrapText="1"/>
    </xf>
    <xf numFmtId="0" fontId="12" fillId="0" borderId="0" xfId="0" applyFont="1" applyAlignment="1">
      <alignment horizontal="center"/>
    </xf>
    <xf numFmtId="165" fontId="10" fillId="0" borderId="10" xfId="2" applyNumberFormat="1" applyFont="1" applyBorder="1" applyAlignment="1">
      <alignment horizontal="center"/>
    </xf>
    <xf numFmtId="0" fontId="12" fillId="5" borderId="0" xfId="0" applyFont="1" applyFill="1" applyAlignment="1">
      <alignment horizontal="center"/>
    </xf>
    <xf numFmtId="164" fontId="10" fillId="0" borderId="0" xfId="1" applyNumberFormat="1" applyFont="1" applyBorder="1" applyAlignment="1">
      <alignment horizontal="center"/>
    </xf>
    <xf numFmtId="164" fontId="10" fillId="2" borderId="12" xfId="1" applyNumberFormat="1" applyFont="1" applyFill="1" applyBorder="1" applyAlignment="1">
      <alignment horizontal="center"/>
    </xf>
    <xf numFmtId="0" fontId="10" fillId="0" borderId="9" xfId="0" applyFont="1" applyBorder="1" applyAlignment="1">
      <alignment vertical="center"/>
    </xf>
    <xf numFmtId="0" fontId="10" fillId="0" borderId="11" xfId="0" applyFont="1" applyBorder="1" applyAlignment="1">
      <alignment vertical="center"/>
    </xf>
    <xf numFmtId="0" fontId="2" fillId="0" borderId="0" xfId="0" applyFont="1"/>
    <xf numFmtId="0" fontId="2" fillId="0" borderId="2" xfId="0" applyFont="1" applyBorder="1" applyAlignment="1">
      <alignment vertical="top" wrapText="1"/>
    </xf>
    <xf numFmtId="0" fontId="2" fillId="0" borderId="0" xfId="0" applyFont="1" applyAlignment="1">
      <alignment vertical="top" wrapText="1"/>
    </xf>
    <xf numFmtId="0" fontId="2" fillId="0" borderId="0" xfId="0" applyFont="1" applyAlignment="1">
      <alignment vertical="top"/>
    </xf>
    <xf numFmtId="0" fontId="2" fillId="5" borderId="2" xfId="0" applyFont="1" applyFill="1" applyBorder="1" applyAlignment="1">
      <alignment vertical="top"/>
    </xf>
    <xf numFmtId="0" fontId="2" fillId="0" borderId="2" xfId="0" applyFont="1" applyBorder="1" applyAlignment="1">
      <alignment horizontal="center" vertical="top"/>
    </xf>
    <xf numFmtId="0" fontId="2" fillId="0" borderId="2" xfId="0" applyFont="1" applyBorder="1" applyAlignment="1">
      <alignment horizontal="center" vertical="top" wrapText="1"/>
    </xf>
    <xf numFmtId="0" fontId="1" fillId="0" borderId="11" xfId="0" applyFont="1" applyBorder="1"/>
    <xf numFmtId="0" fontId="10" fillId="0" borderId="3" xfId="0" applyFont="1" applyBorder="1" applyAlignment="1">
      <alignment horizontal="center" vertical="center" wrapText="1"/>
    </xf>
    <xf numFmtId="0" fontId="23" fillId="0" borderId="0" xfId="0" applyFont="1" applyAlignment="1">
      <alignment horizontal="left" vertical="top" wrapText="1"/>
    </xf>
    <xf numFmtId="169" fontId="6" fillId="5" borderId="2" xfId="0" applyNumberFormat="1" applyFont="1" applyFill="1" applyBorder="1" applyAlignment="1">
      <alignment horizontal="center"/>
    </xf>
    <xf numFmtId="169" fontId="6" fillId="0" borderId="2" xfId="0" applyNumberFormat="1" applyFont="1" applyBorder="1"/>
    <xf numFmtId="169" fontId="6" fillId="0" borderId="2" xfId="0" applyNumberFormat="1" applyFont="1" applyBorder="1" applyAlignment="1">
      <alignment horizontal="center" vertical="center"/>
    </xf>
    <xf numFmtId="164" fontId="35" fillId="5" borderId="7" xfId="1" applyNumberFormat="1" applyFont="1" applyFill="1" applyBorder="1" applyAlignment="1">
      <alignment horizontal="center"/>
    </xf>
    <xf numFmtId="3" fontId="36" fillId="5" borderId="0" xfId="0" applyNumberFormat="1" applyFont="1" applyFill="1"/>
    <xf numFmtId="164" fontId="35" fillId="5" borderId="0" xfId="1" applyNumberFormat="1" applyFont="1" applyFill="1" applyAlignment="1">
      <alignment horizontal="center"/>
    </xf>
    <xf numFmtId="164" fontId="1" fillId="5" borderId="7" xfId="1" applyNumberFormat="1" applyFont="1" applyFill="1" applyBorder="1" applyAlignment="1">
      <alignment horizontal="center"/>
    </xf>
    <xf numFmtId="164" fontId="1" fillId="5" borderId="0" xfId="1" applyNumberFormat="1" applyFont="1" applyFill="1" applyAlignment="1">
      <alignment horizontal="center"/>
    </xf>
    <xf numFmtId="164" fontId="1" fillId="5" borderId="0" xfId="1" applyNumberFormat="1" applyFont="1" applyFill="1" applyAlignment="1">
      <alignment horizontal="center" vertical="center"/>
    </xf>
    <xf numFmtId="0" fontId="1" fillId="2" borderId="9" xfId="0" applyFont="1" applyFill="1" applyBorder="1"/>
    <xf numFmtId="0" fontId="1" fillId="2" borderId="11" xfId="0" applyFont="1" applyFill="1" applyBorder="1"/>
    <xf numFmtId="164" fontId="1" fillId="5" borderId="12" xfId="1" applyNumberFormat="1" applyFont="1" applyFill="1" applyBorder="1" applyAlignment="1">
      <alignment horizontal="center"/>
    </xf>
    <xf numFmtId="14" fontId="1" fillId="0" borderId="2" xfId="0" applyNumberFormat="1" applyFont="1" applyBorder="1" applyAlignment="1">
      <alignment horizontal="left"/>
    </xf>
    <xf numFmtId="14" fontId="1" fillId="0" borderId="2" xfId="0" applyNumberFormat="1" applyFont="1" applyBorder="1" applyAlignment="1">
      <alignment horizontal="left" wrapText="1"/>
    </xf>
    <xf numFmtId="169" fontId="6" fillId="5" borderId="0" xfId="0" applyNumberFormat="1" applyFont="1" applyFill="1" applyAlignment="1">
      <alignment horizontal="center"/>
    </xf>
    <xf numFmtId="169" fontId="39" fillId="5" borderId="2" xfId="0" applyNumberFormat="1" applyFont="1" applyFill="1" applyBorder="1" applyAlignment="1">
      <alignment horizontal="center"/>
    </xf>
    <xf numFmtId="0" fontId="7" fillId="0" borderId="6" xfId="0" applyFont="1" applyBorder="1" applyAlignment="1">
      <alignment vertical="center"/>
    </xf>
    <xf numFmtId="0" fontId="7" fillId="0" borderId="7" xfId="0" applyFont="1" applyBorder="1" applyAlignment="1">
      <alignment vertical="center"/>
    </xf>
    <xf numFmtId="0" fontId="10" fillId="0" borderId="4" xfId="0" applyFont="1" applyBorder="1"/>
    <xf numFmtId="0" fontId="23" fillId="0" borderId="4" xfId="0" applyFont="1" applyBorder="1" applyAlignment="1">
      <alignment horizontal="left" vertical="top" wrapText="1"/>
    </xf>
    <xf numFmtId="0" fontId="23" fillId="0" borderId="5" xfId="0" applyFont="1" applyBorder="1" applyAlignment="1">
      <alignment horizontal="left" vertical="top" wrapText="1"/>
    </xf>
    <xf numFmtId="0" fontId="2" fillId="0" borderId="0" xfId="0" applyFont="1" applyAlignment="1">
      <alignment horizontal="left" vertical="center" wrapText="1"/>
    </xf>
    <xf numFmtId="0" fontId="1" fillId="0" borderId="0" xfId="0" applyFont="1"/>
    <xf numFmtId="9" fontId="1" fillId="0" borderId="2" xfId="0" applyNumberFormat="1" applyFont="1" applyBorder="1" applyAlignment="1">
      <alignment horizontal="center" vertical="center" wrapText="1"/>
    </xf>
    <xf numFmtId="0" fontId="1" fillId="5" borderId="15" xfId="0" applyFont="1" applyFill="1" applyBorder="1" applyAlignment="1">
      <alignment vertical="center" wrapText="1"/>
    </xf>
    <xf numFmtId="0" fontId="1" fillId="0" borderId="2" xfId="0" applyFont="1" applyBorder="1" applyAlignment="1">
      <alignment horizontal="center" vertical="center" wrapText="1"/>
    </xf>
    <xf numFmtId="0" fontId="1" fillId="0" borderId="9" xfId="0" applyFont="1" applyBorder="1"/>
    <xf numFmtId="4" fontId="2" fillId="5" borderId="2" xfId="0" applyNumberFormat="1" applyFont="1" applyFill="1" applyBorder="1" applyAlignment="1">
      <alignment vertical="top"/>
    </xf>
    <xf numFmtId="0" fontId="1" fillId="5" borderId="2" xfId="0" applyFont="1" applyFill="1" applyBorder="1" applyAlignment="1">
      <alignment horizontal="center" vertical="center" wrapText="1"/>
    </xf>
    <xf numFmtId="0" fontId="10" fillId="8" borderId="2" xfId="0" applyFont="1" applyFill="1" applyBorder="1" applyAlignment="1">
      <alignment horizontal="center" vertical="center" wrapText="1"/>
    </xf>
    <xf numFmtId="0" fontId="17" fillId="8" borderId="2" xfId="0" applyFont="1" applyFill="1" applyBorder="1" applyAlignment="1">
      <alignment horizontal="center" vertical="center" wrapText="1"/>
    </xf>
    <xf numFmtId="0" fontId="1" fillId="0" borderId="9" xfId="0" applyFont="1" applyBorder="1" applyAlignment="1">
      <alignment vertical="center"/>
    </xf>
    <xf numFmtId="0" fontId="1" fillId="2" borderId="2" xfId="0" applyFont="1" applyFill="1" applyBorder="1" applyAlignment="1">
      <alignment horizontal="center" vertical="center" wrapText="1"/>
    </xf>
    <xf numFmtId="0" fontId="1" fillId="2" borderId="2" xfId="0" applyFont="1" applyFill="1" applyBorder="1" applyAlignment="1">
      <alignment horizontal="center" vertical="top"/>
    </xf>
    <xf numFmtId="17" fontId="2" fillId="0" borderId="0" xfId="0" applyNumberFormat="1" applyFont="1"/>
    <xf numFmtId="0" fontId="2" fillId="2" borderId="0" xfId="0" applyFont="1" applyFill="1"/>
    <xf numFmtId="0" fontId="2" fillId="0" borderId="0" xfId="0" applyFont="1" applyAlignment="1">
      <alignment horizontal="left"/>
    </xf>
    <xf numFmtId="0" fontId="2" fillId="0" borderId="4" xfId="0" applyFont="1" applyBorder="1"/>
    <xf numFmtId="0" fontId="2" fillId="0" borderId="5" xfId="0" applyFont="1" applyBorder="1"/>
    <xf numFmtId="0" fontId="1" fillId="2" borderId="2" xfId="0" applyFont="1" applyFill="1" applyBorder="1" applyAlignment="1">
      <alignment horizontal="center"/>
    </xf>
    <xf numFmtId="0" fontId="2" fillId="0" borderId="7" xfId="0" applyFont="1" applyBorder="1"/>
    <xf numFmtId="0" fontId="2" fillId="0" borderId="8" xfId="0" applyFont="1" applyBorder="1"/>
    <xf numFmtId="0" fontId="2" fillId="0" borderId="11" xfId="0" applyFont="1" applyBorder="1"/>
    <xf numFmtId="0" fontId="2" fillId="0" borderId="12" xfId="0" applyFont="1" applyBorder="1"/>
    <xf numFmtId="0" fontId="2" fillId="0" borderId="13" xfId="0" applyFont="1" applyBorder="1"/>
    <xf numFmtId="0" fontId="1" fillId="0" borderId="0" xfId="0" applyFont="1" applyAlignment="1">
      <alignment horizontal="center"/>
    </xf>
    <xf numFmtId="0" fontId="1" fillId="0" borderId="3" xfId="0" applyFont="1" applyBorder="1"/>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vertical="center"/>
    </xf>
    <xf numFmtId="164" fontId="1" fillId="2" borderId="7" xfId="1" applyNumberFormat="1" applyFont="1" applyFill="1" applyBorder="1" applyAlignment="1">
      <alignment horizontal="center"/>
    </xf>
    <xf numFmtId="165" fontId="1" fillId="0" borderId="8" xfId="2" applyNumberFormat="1" applyFont="1" applyBorder="1" applyAlignment="1">
      <alignment horizontal="center"/>
    </xf>
    <xf numFmtId="164" fontId="1" fillId="2" borderId="0" xfId="1" applyNumberFormat="1" applyFont="1" applyFill="1" applyBorder="1" applyAlignment="1">
      <alignment horizontal="center"/>
    </xf>
    <xf numFmtId="165" fontId="1" fillId="0" borderId="10" xfId="2" applyNumberFormat="1" applyFont="1" applyBorder="1" applyAlignment="1">
      <alignment horizontal="center"/>
    </xf>
    <xf numFmtId="0" fontId="1" fillId="7" borderId="9" xfId="0" applyFont="1" applyFill="1" applyBorder="1" applyAlignment="1">
      <alignment vertical="center"/>
    </xf>
    <xf numFmtId="165" fontId="1" fillId="0" borderId="10" xfId="2" applyNumberFormat="1" applyFont="1" applyFill="1" applyBorder="1" applyAlignment="1">
      <alignment horizontal="center"/>
    </xf>
    <xf numFmtId="0" fontId="1" fillId="0" borderId="12" xfId="0" applyFont="1" applyBorder="1" applyAlignment="1">
      <alignment horizontal="center" vertical="center" textRotation="90"/>
    </xf>
    <xf numFmtId="165" fontId="1" fillId="0" borderId="13" xfId="2" applyNumberFormat="1"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6" xfId="0" applyFont="1" applyBorder="1"/>
    <xf numFmtId="164" fontId="1" fillId="0" borderId="8" xfId="0" applyNumberFormat="1" applyFont="1" applyBorder="1" applyAlignment="1">
      <alignment horizontal="center"/>
    </xf>
    <xf numFmtId="164" fontId="1" fillId="2" borderId="0" xfId="1" applyNumberFormat="1" applyFont="1" applyFill="1" applyAlignment="1">
      <alignment horizontal="center"/>
    </xf>
    <xf numFmtId="164" fontId="1" fillId="0" borderId="10" xfId="0" applyNumberFormat="1" applyFont="1" applyBorder="1" applyAlignment="1">
      <alignment horizontal="center"/>
    </xf>
    <xf numFmtId="0" fontId="1" fillId="0" borderId="0" xfId="0" applyFont="1" applyAlignment="1">
      <alignment horizontal="center" vertical="center"/>
    </xf>
    <xf numFmtId="165" fontId="1" fillId="0" borderId="0" xfId="2" applyNumberFormat="1" applyFont="1" applyAlignment="1">
      <alignment horizontal="center" vertical="center"/>
    </xf>
    <xf numFmtId="0" fontId="1" fillId="0" borderId="12" xfId="0" applyFont="1" applyBorder="1"/>
    <xf numFmtId="166" fontId="1" fillId="2" borderId="12" xfId="0" applyNumberFormat="1" applyFont="1" applyFill="1" applyBorder="1"/>
    <xf numFmtId="170" fontId="1" fillId="0" borderId="12" xfId="0" applyNumberFormat="1" applyFont="1" applyBorder="1"/>
    <xf numFmtId="0" fontId="1" fillId="0" borderId="6" xfId="0" applyFont="1" applyBorder="1" applyAlignment="1">
      <alignment horizontal="center" vertical="center"/>
    </xf>
    <xf numFmtId="0" fontId="1" fillId="0" borderId="8" xfId="0" quotePrefix="1" applyFont="1" applyBorder="1" applyAlignment="1">
      <alignment horizontal="center"/>
    </xf>
    <xf numFmtId="164" fontId="1" fillId="2" borderId="12" xfId="1" applyNumberFormat="1" applyFont="1" applyFill="1" applyBorder="1" applyAlignment="1">
      <alignment horizontal="center"/>
    </xf>
    <xf numFmtId="0" fontId="1" fillId="0" borderId="3" xfId="0" applyFont="1" applyBorder="1" applyAlignment="1">
      <alignment horizontal="center" vertical="center"/>
    </xf>
    <xf numFmtId="43" fontId="1" fillId="0" borderId="10" xfId="0" applyNumberFormat="1" applyFont="1" applyBorder="1" applyAlignment="1">
      <alignment horizontal="center" vertical="center"/>
    </xf>
    <xf numFmtId="43" fontId="1" fillId="5" borderId="10" xfId="0" applyNumberFormat="1" applyFont="1" applyFill="1" applyBorder="1" applyAlignment="1">
      <alignment horizontal="center" vertical="center"/>
    </xf>
    <xf numFmtId="0" fontId="1" fillId="2" borderId="12" xfId="0" applyFont="1" applyFill="1" applyBorder="1" applyAlignment="1">
      <alignment horizontal="center" vertical="center"/>
    </xf>
    <xf numFmtId="43" fontId="1" fillId="5" borderId="13" xfId="0" applyNumberFormat="1" applyFont="1" applyFill="1" applyBorder="1" applyAlignment="1">
      <alignment horizontal="center" vertical="center"/>
    </xf>
    <xf numFmtId="0" fontId="1" fillId="0" borderId="6" xfId="0" applyFont="1" applyBorder="1" applyAlignment="1">
      <alignment horizontal="center"/>
    </xf>
    <xf numFmtId="165" fontId="1" fillId="0" borderId="10" xfId="2" quotePrefix="1" applyNumberFormat="1" applyFont="1" applyBorder="1" applyAlignment="1">
      <alignment horizontal="center"/>
    </xf>
    <xf numFmtId="10" fontId="1" fillId="0" borderId="10" xfId="2" applyNumberFormat="1" applyFont="1" applyBorder="1" applyAlignment="1">
      <alignment horizontal="center"/>
    </xf>
    <xf numFmtId="0" fontId="1" fillId="0" borderId="12" xfId="0" applyFont="1" applyBorder="1" applyAlignment="1">
      <alignment horizontal="center"/>
    </xf>
    <xf numFmtId="164" fontId="1" fillId="0" borderId="13" xfId="0" applyNumberFormat="1" applyFont="1" applyBorder="1" applyAlignment="1">
      <alignment horizontal="center"/>
    </xf>
    <xf numFmtId="0" fontId="1" fillId="0" borderId="0" xfId="0" applyFont="1" applyAlignment="1">
      <alignment vertical="center"/>
    </xf>
    <xf numFmtId="4" fontId="1" fillId="0" borderId="2" xfId="0" applyNumberFormat="1" applyFont="1" applyBorder="1" applyAlignment="1">
      <alignment horizontal="center" vertical="center" wrapText="1"/>
    </xf>
    <xf numFmtId="4" fontId="1" fillId="2" borderId="2" xfId="0" applyNumberFormat="1" applyFont="1" applyFill="1" applyBorder="1" applyAlignment="1">
      <alignment horizontal="center" vertical="center" wrapText="1"/>
    </xf>
    <xf numFmtId="0" fontId="1" fillId="2" borderId="2" xfId="0" applyFont="1" applyFill="1" applyBorder="1" applyAlignment="1">
      <alignment vertical="center" wrapText="1"/>
    </xf>
    <xf numFmtId="0" fontId="2" fillId="2" borderId="2" xfId="0" applyFont="1" applyFill="1" applyBorder="1"/>
    <xf numFmtId="0" fontId="1" fillId="2" borderId="2" xfId="0" applyFont="1" applyFill="1" applyBorder="1" applyAlignment="1">
      <alignment horizontal="left"/>
    </xf>
    <xf numFmtId="0" fontId="1" fillId="0" borderId="2" xfId="0" applyFont="1" applyBorder="1"/>
    <xf numFmtId="0" fontId="1" fillId="0" borderId="2" xfId="0" applyFont="1" applyBorder="1" applyAlignment="1">
      <alignment horizontal="center"/>
    </xf>
    <xf numFmtId="0" fontId="1" fillId="5" borderId="2" xfId="0" applyFont="1" applyFill="1" applyBorder="1"/>
    <xf numFmtId="0" fontId="1" fillId="0" borderId="1" xfId="0" applyFont="1" applyBorder="1" applyAlignment="1">
      <alignment horizontal="center"/>
    </xf>
    <xf numFmtId="169" fontId="1" fillId="5" borderId="2" xfId="0" applyNumberFormat="1" applyFont="1" applyFill="1" applyBorder="1" applyAlignment="1">
      <alignment horizontal="center" vertical="center" wrapText="1"/>
    </xf>
    <xf numFmtId="0" fontId="1" fillId="8" borderId="2" xfId="0" applyFont="1" applyFill="1" applyBorder="1" applyAlignment="1">
      <alignment horizontal="center" vertical="center" wrapText="1"/>
    </xf>
    <xf numFmtId="0" fontId="1" fillId="0" borderId="2" xfId="0" applyFont="1" applyBorder="1" applyAlignment="1">
      <alignment horizontal="left" vertical="center" wrapText="1"/>
    </xf>
    <xf numFmtId="0" fontId="1" fillId="0" borderId="2" xfId="0" applyFont="1" applyBorder="1" applyAlignment="1">
      <alignment vertical="center" wrapText="1"/>
    </xf>
    <xf numFmtId="0" fontId="1" fillId="0" borderId="1" xfId="0" applyFont="1" applyBorder="1" applyAlignment="1">
      <alignment horizontal="left" vertical="center" wrapText="1"/>
    </xf>
    <xf numFmtId="0" fontId="1" fillId="0" borderId="1" xfId="0" applyFont="1" applyBorder="1" applyAlignment="1">
      <alignment horizontal="center" vertical="center" wrapText="1"/>
    </xf>
    <xf numFmtId="169" fontId="1" fillId="5" borderId="1" xfId="0" applyNumberFormat="1" applyFont="1" applyFill="1" applyBorder="1" applyAlignment="1">
      <alignment horizontal="center" vertical="center" wrapText="1"/>
    </xf>
    <xf numFmtId="0" fontId="1" fillId="8" borderId="1" xfId="0" applyFont="1" applyFill="1" applyBorder="1" applyAlignment="1">
      <alignment horizontal="center" vertical="center" wrapText="1"/>
    </xf>
    <xf numFmtId="0" fontId="1" fillId="2" borderId="0" xfId="0" applyFont="1" applyFill="1" applyAlignment="1">
      <alignment horizontal="center"/>
    </xf>
    <xf numFmtId="0" fontId="2" fillId="2" borderId="0" xfId="0" applyFont="1" applyFill="1" applyAlignment="1">
      <alignment horizontal="center"/>
    </xf>
    <xf numFmtId="0" fontId="8" fillId="2" borderId="0" xfId="0" applyFont="1" applyFill="1" applyAlignment="1">
      <alignment horizontal="center"/>
    </xf>
    <xf numFmtId="0" fontId="34" fillId="2" borderId="0" xfId="3" applyFill="1" applyAlignment="1">
      <alignment horizontal="center"/>
    </xf>
    <xf numFmtId="0" fontId="22" fillId="0" borderId="0" xfId="0" applyFont="1" applyAlignment="1">
      <alignment horizontal="left" wrapText="1"/>
    </xf>
    <xf numFmtId="0" fontId="2" fillId="2" borderId="0" xfId="0" applyFont="1" applyFill="1" applyAlignment="1">
      <alignment horizontal="center" vertical="center"/>
    </xf>
    <xf numFmtId="0" fontId="1" fillId="0" borderId="6" xfId="0" applyFont="1" applyBorder="1" applyAlignment="1">
      <alignment horizontal="left" vertical="top" wrapText="1"/>
    </xf>
    <xf numFmtId="0" fontId="1" fillId="0" borderId="7" xfId="0" applyFont="1" applyBorder="1" applyAlignment="1">
      <alignment horizontal="left" vertical="top" wrapText="1"/>
    </xf>
    <xf numFmtId="0" fontId="1" fillId="0" borderId="8" xfId="0" applyFont="1" applyBorder="1" applyAlignment="1">
      <alignment horizontal="left" vertical="top" wrapText="1"/>
    </xf>
    <xf numFmtId="0" fontId="1" fillId="0" borderId="9" xfId="0" applyFont="1" applyBorder="1" applyAlignment="1">
      <alignment horizontal="left" vertical="top" wrapText="1"/>
    </xf>
    <xf numFmtId="0" fontId="1" fillId="0" borderId="0" xfId="0" applyFont="1" applyAlignment="1">
      <alignment horizontal="left" vertical="top" wrapText="1"/>
    </xf>
    <xf numFmtId="0" fontId="1" fillId="0" borderId="10" xfId="0" applyFont="1" applyBorder="1" applyAlignment="1">
      <alignment horizontal="left" vertical="top" wrapText="1"/>
    </xf>
    <xf numFmtId="0" fontId="1" fillId="0" borderId="11" xfId="0" applyFont="1" applyBorder="1" applyAlignment="1">
      <alignment horizontal="left" vertical="top" wrapText="1"/>
    </xf>
    <xf numFmtId="0" fontId="1" fillId="0" borderId="12" xfId="0" applyFont="1" applyBorder="1" applyAlignment="1">
      <alignment horizontal="left" vertical="top" wrapText="1"/>
    </xf>
    <xf numFmtId="0" fontId="1" fillId="0" borderId="13" xfId="0" applyFont="1" applyBorder="1" applyAlignment="1">
      <alignment horizontal="left" vertical="top" wrapText="1"/>
    </xf>
    <xf numFmtId="0" fontId="1" fillId="2" borderId="2" xfId="0" applyFont="1" applyFill="1" applyBorder="1" applyAlignment="1">
      <alignment horizontal="left" vertical="top"/>
    </xf>
    <xf numFmtId="0" fontId="6" fillId="3" borderId="3" xfId="0" applyFont="1" applyFill="1" applyBorder="1" applyAlignment="1">
      <alignment horizontal="left"/>
    </xf>
    <xf numFmtId="0" fontId="6" fillId="3" borderId="4" xfId="0" applyFont="1" applyFill="1" applyBorder="1" applyAlignment="1">
      <alignment horizontal="left"/>
    </xf>
    <xf numFmtId="0" fontId="6" fillId="3" borderId="5" xfId="0" applyFont="1" applyFill="1" applyBorder="1" applyAlignment="1">
      <alignment horizontal="left"/>
    </xf>
    <xf numFmtId="0" fontId="6" fillId="2" borderId="2" xfId="0" applyFont="1" applyFill="1" applyBorder="1" applyAlignment="1">
      <alignment horizontal="left"/>
    </xf>
    <xf numFmtId="0" fontId="10" fillId="0" borderId="2" xfId="0" applyFont="1" applyBorder="1" applyAlignment="1">
      <alignment horizontal="left"/>
    </xf>
    <xf numFmtId="0" fontId="1" fillId="2" borderId="2" xfId="0" applyFont="1" applyFill="1" applyBorder="1" applyAlignment="1">
      <alignment horizontal="left"/>
    </xf>
    <xf numFmtId="0" fontId="10" fillId="0" borderId="2" xfId="0" applyFont="1" applyBorder="1" applyAlignment="1">
      <alignment horizontal="left" vertical="top"/>
    </xf>
    <xf numFmtId="0" fontId="6" fillId="3" borderId="2" xfId="0" applyFont="1" applyFill="1" applyBorder="1" applyAlignment="1">
      <alignment horizontal="left"/>
    </xf>
    <xf numFmtId="0" fontId="6" fillId="3" borderId="3" xfId="0" applyFont="1" applyFill="1" applyBorder="1" applyAlignment="1">
      <alignment horizontal="left" wrapText="1"/>
    </xf>
    <xf numFmtId="0" fontId="0" fillId="0" borderId="4" xfId="0" applyBorder="1" applyAlignment="1">
      <alignment horizontal="left" wrapText="1"/>
    </xf>
    <xf numFmtId="0" fontId="0" fillId="0" borderId="5" xfId="0" applyBorder="1" applyAlignment="1">
      <alignment horizontal="left" wrapText="1"/>
    </xf>
    <xf numFmtId="0" fontId="7" fillId="0" borderId="2" xfId="0" applyFont="1" applyBorder="1" applyAlignment="1">
      <alignment horizontal="left"/>
    </xf>
    <xf numFmtId="0" fontId="1" fillId="2" borderId="6"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0" xfId="0" applyFont="1" applyFill="1" applyAlignment="1">
      <alignment horizontal="left" vertical="top" wrapText="1"/>
    </xf>
    <xf numFmtId="0" fontId="1" fillId="2" borderId="10"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2" borderId="7" xfId="0" applyFont="1" applyFill="1" applyBorder="1" applyAlignment="1">
      <alignment horizontal="left" vertical="top"/>
    </xf>
    <xf numFmtId="0" fontId="1" fillId="2" borderId="8" xfId="0" applyFont="1" applyFill="1" applyBorder="1" applyAlignment="1">
      <alignment horizontal="left" vertical="top"/>
    </xf>
    <xf numFmtId="0" fontId="1" fillId="2" borderId="9" xfId="0" applyFont="1" applyFill="1" applyBorder="1" applyAlignment="1">
      <alignment horizontal="left" vertical="top"/>
    </xf>
    <xf numFmtId="0" fontId="1" fillId="2" borderId="0" xfId="0" applyFont="1" applyFill="1" applyAlignment="1">
      <alignment horizontal="left" vertical="top"/>
    </xf>
    <xf numFmtId="0" fontId="1" fillId="2" borderId="10" xfId="0" applyFont="1" applyFill="1" applyBorder="1" applyAlignment="1">
      <alignment horizontal="left" vertical="top"/>
    </xf>
    <xf numFmtId="0" fontId="1" fillId="2" borderId="11" xfId="0" applyFont="1" applyFill="1" applyBorder="1" applyAlignment="1">
      <alignment horizontal="left" vertical="top"/>
    </xf>
    <xf numFmtId="0" fontId="1" fillId="2" borderId="12" xfId="0" applyFont="1" applyFill="1" applyBorder="1" applyAlignment="1">
      <alignment horizontal="left" vertical="top"/>
    </xf>
    <xf numFmtId="0" fontId="1" fillId="2" borderId="13" xfId="0" applyFont="1" applyFill="1" applyBorder="1" applyAlignment="1">
      <alignment horizontal="left" vertical="top"/>
    </xf>
    <xf numFmtId="0" fontId="2" fillId="0" borderId="0" xfId="0" applyFont="1" applyAlignment="1">
      <alignment horizontal="left" vertical="top" wrapText="1"/>
    </xf>
    <xf numFmtId="0" fontId="1" fillId="0" borderId="6" xfId="0" applyFont="1" applyBorder="1" applyAlignment="1">
      <alignment horizontal="left" vertical="center" wrapText="1"/>
    </xf>
    <xf numFmtId="0" fontId="1" fillId="0" borderId="9" xfId="0" applyFont="1" applyBorder="1" applyAlignment="1">
      <alignment horizontal="left" vertical="center" wrapText="1"/>
    </xf>
    <xf numFmtId="0" fontId="12" fillId="0" borderId="0" xfId="0" applyFont="1" applyAlignment="1">
      <alignment horizontal="left" wrapText="1"/>
    </xf>
    <xf numFmtId="0" fontId="12" fillId="0" borderId="0" xfId="0" applyFont="1" applyAlignment="1">
      <alignment horizontal="left" vertical="top" wrapText="1"/>
    </xf>
    <xf numFmtId="0" fontId="1" fillId="0" borderId="7" xfId="0" applyFont="1" applyBorder="1" applyAlignment="1">
      <alignment horizontal="center" vertical="center" textRotation="90"/>
    </xf>
    <xf numFmtId="0" fontId="1" fillId="0" borderId="0" xfId="0" applyFont="1" applyAlignment="1">
      <alignment horizontal="center" vertical="center" textRotation="90"/>
    </xf>
    <xf numFmtId="0" fontId="1" fillId="0" borderId="12" xfId="0" applyFont="1" applyBorder="1" applyAlignment="1">
      <alignment horizontal="center" vertical="center" textRotation="90"/>
    </xf>
    <xf numFmtId="164" fontId="6" fillId="2" borderId="7" xfId="1" applyNumberFormat="1" applyFont="1" applyFill="1" applyBorder="1" applyAlignment="1"/>
    <xf numFmtId="0" fontId="1" fillId="0" borderId="0" xfId="0" applyFont="1" applyAlignment="1">
      <alignment horizontal="center" textRotation="90"/>
    </xf>
    <xf numFmtId="0" fontId="1" fillId="0" borderId="2" xfId="0" applyFont="1" applyBorder="1" applyAlignment="1">
      <alignment horizontal="left" vertical="center" wrapText="1"/>
    </xf>
    <xf numFmtId="0" fontId="7" fillId="0" borderId="2" xfId="0" applyFont="1" applyBorder="1" applyAlignment="1">
      <alignment horizontal="left" vertical="top" wrapText="1"/>
    </xf>
    <xf numFmtId="0" fontId="6" fillId="2" borderId="2" xfId="0" applyFont="1" applyFill="1" applyBorder="1" applyAlignment="1">
      <alignment horizontal="left" vertical="top" wrapText="1"/>
    </xf>
    <xf numFmtId="0" fontId="14" fillId="4" borderId="2" xfId="0" applyFont="1" applyFill="1" applyBorder="1" applyAlignment="1">
      <alignment horizontal="left" vertical="center" wrapText="1"/>
    </xf>
    <xf numFmtId="0" fontId="1" fillId="0" borderId="3" xfId="0" applyFont="1" applyBorder="1" applyAlignment="1">
      <alignment horizontal="left" vertical="center" wrapText="1"/>
    </xf>
    <xf numFmtId="0" fontId="1" fillId="0" borderId="4" xfId="0" applyFont="1" applyBorder="1" applyAlignment="1">
      <alignment horizontal="left" vertical="center" wrapText="1"/>
    </xf>
    <xf numFmtId="0" fontId="1" fillId="0" borderId="5" xfId="0" applyFont="1" applyBorder="1" applyAlignment="1">
      <alignment horizontal="left" vertical="center" wrapText="1"/>
    </xf>
    <xf numFmtId="0" fontId="1" fillId="0" borderId="3" xfId="0" applyFont="1" applyBorder="1" applyAlignment="1">
      <alignment horizontal="center" vertical="center" wrapText="1"/>
    </xf>
    <xf numFmtId="0" fontId="1" fillId="0" borderId="5" xfId="0" applyFont="1" applyBorder="1" applyAlignment="1">
      <alignment horizontal="center" vertical="center" wrapText="1"/>
    </xf>
    <xf numFmtId="4" fontId="1" fillId="0" borderId="3" xfId="0" applyNumberFormat="1" applyFont="1" applyBorder="1" applyAlignment="1">
      <alignment horizontal="center" vertical="center" wrapText="1"/>
    </xf>
    <xf numFmtId="4" fontId="1" fillId="0" borderId="5" xfId="0" applyNumberFormat="1" applyFont="1" applyBorder="1" applyAlignment="1">
      <alignment horizontal="center" vertical="center" wrapText="1"/>
    </xf>
    <xf numFmtId="0" fontId="1" fillId="2" borderId="3" xfId="0" applyFont="1" applyFill="1" applyBorder="1" applyAlignment="1">
      <alignment horizontal="left" vertical="center" wrapText="1"/>
    </xf>
    <xf numFmtId="0" fontId="1" fillId="2" borderId="4" xfId="0" applyFont="1" applyFill="1" applyBorder="1" applyAlignment="1">
      <alignment horizontal="left" vertical="center" wrapText="1"/>
    </xf>
    <xf numFmtId="0" fontId="1" fillId="2" borderId="5" xfId="0" applyFont="1" applyFill="1" applyBorder="1" applyAlignment="1">
      <alignment horizontal="left" vertical="center" wrapText="1"/>
    </xf>
    <xf numFmtId="0" fontId="1" fillId="2" borderId="3" xfId="0" applyFont="1" applyFill="1" applyBorder="1" applyAlignment="1">
      <alignment horizontal="center" vertical="center" wrapText="1"/>
    </xf>
    <xf numFmtId="0" fontId="1" fillId="2" borderId="5" xfId="0" applyFont="1" applyFill="1" applyBorder="1" applyAlignment="1">
      <alignment horizontal="center" vertical="center" wrapText="1"/>
    </xf>
    <xf numFmtId="4" fontId="1" fillId="2" borderId="3" xfId="0" applyNumberFormat="1" applyFont="1" applyFill="1" applyBorder="1" applyAlignment="1">
      <alignment horizontal="center" vertical="center" wrapText="1"/>
    </xf>
    <xf numFmtId="4" fontId="1" fillId="2" borderId="5" xfId="0" applyNumberFormat="1" applyFont="1" applyFill="1" applyBorder="1" applyAlignment="1">
      <alignment horizontal="center" vertical="center" wrapText="1"/>
    </xf>
    <xf numFmtId="0" fontId="14" fillId="4" borderId="9" xfId="0" applyFont="1" applyFill="1" applyBorder="1" applyAlignment="1">
      <alignment horizontal="center" vertical="center" wrapText="1"/>
    </xf>
    <xf numFmtId="0" fontId="14" fillId="4" borderId="0" xfId="0" applyFont="1" applyFill="1" applyAlignment="1">
      <alignment horizontal="center" vertical="center" wrapText="1"/>
    </xf>
    <xf numFmtId="0" fontId="14" fillId="4" borderId="10" xfId="0" applyFont="1" applyFill="1" applyBorder="1" applyAlignment="1">
      <alignment horizontal="center" vertical="center" wrapText="1"/>
    </xf>
    <xf numFmtId="0" fontId="14" fillId="4" borderId="6" xfId="0" applyFont="1" applyFill="1" applyBorder="1" applyAlignment="1">
      <alignment horizontal="center" vertical="center" wrapText="1"/>
    </xf>
    <xf numFmtId="0" fontId="14" fillId="4" borderId="8" xfId="0" applyFont="1" applyFill="1" applyBorder="1" applyAlignment="1">
      <alignment horizontal="center" vertical="center" wrapText="1"/>
    </xf>
    <xf numFmtId="0" fontId="10" fillId="0" borderId="2" xfId="0" applyFont="1" applyBorder="1" applyAlignment="1">
      <alignment vertical="center" wrapText="1"/>
    </xf>
    <xf numFmtId="168" fontId="10" fillId="0" borderId="2" xfId="0" applyNumberFormat="1" applyFont="1" applyBorder="1" applyAlignment="1">
      <alignment horizontal="center" vertical="center" wrapText="1"/>
    </xf>
    <xf numFmtId="165" fontId="1" fillId="0" borderId="2" xfId="2" applyNumberFormat="1" applyFont="1" applyBorder="1" applyAlignment="1">
      <alignment horizontal="center" vertical="center" wrapText="1"/>
    </xf>
    <xf numFmtId="0" fontId="1" fillId="3" borderId="2" xfId="0" applyFont="1" applyFill="1" applyBorder="1" applyAlignment="1">
      <alignment vertical="center" wrapText="1"/>
    </xf>
    <xf numFmtId="0" fontId="1" fillId="2" borderId="2" xfId="0" applyFont="1" applyFill="1" applyBorder="1" applyAlignment="1">
      <alignment horizontal="center" vertical="center" wrapText="1"/>
    </xf>
    <xf numFmtId="168" fontId="1" fillId="2" borderId="1" xfId="0" applyNumberFormat="1" applyFont="1" applyFill="1" applyBorder="1" applyAlignment="1">
      <alignment horizontal="center" vertical="center" wrapText="1"/>
    </xf>
    <xf numFmtId="165" fontId="1" fillId="0" borderId="1" xfId="2" applyNumberFormat="1" applyFont="1" applyBorder="1" applyAlignment="1">
      <alignment horizontal="center" vertical="center" wrapText="1"/>
    </xf>
    <xf numFmtId="0" fontId="1" fillId="0" borderId="2" xfId="0" applyFont="1" applyBorder="1" applyAlignment="1">
      <alignment vertical="center" wrapText="1"/>
    </xf>
    <xf numFmtId="168" fontId="1" fillId="0" borderId="1" xfId="0" applyNumberFormat="1" applyFont="1" applyBorder="1" applyAlignment="1">
      <alignment horizontal="center" vertical="center" wrapText="1"/>
    </xf>
    <xf numFmtId="0" fontId="1" fillId="5" borderId="2" xfId="0" applyFont="1" applyFill="1" applyBorder="1" applyAlignment="1">
      <alignment horizontal="center" vertical="center" wrapText="1"/>
    </xf>
    <xf numFmtId="168" fontId="1" fillId="2" borderId="3" xfId="0" applyNumberFormat="1" applyFont="1" applyFill="1" applyBorder="1" applyAlignment="1">
      <alignment horizontal="center" vertical="center" wrapText="1"/>
    </xf>
    <xf numFmtId="168" fontId="1" fillId="2" borderId="5" xfId="0" applyNumberFormat="1" applyFont="1" applyFill="1" applyBorder="1" applyAlignment="1">
      <alignment horizontal="center" vertical="center" wrapText="1"/>
    </xf>
    <xf numFmtId="4" fontId="1" fillId="0" borderId="4" xfId="0" applyNumberFormat="1" applyFont="1" applyBorder="1" applyAlignment="1">
      <alignment horizontal="center" vertical="center" wrapText="1"/>
    </xf>
    <xf numFmtId="0" fontId="1" fillId="0" borderId="4" xfId="0" applyFont="1" applyBorder="1" applyAlignment="1">
      <alignment horizontal="center" vertical="center" wrapText="1"/>
    </xf>
    <xf numFmtId="0" fontId="1" fillId="0" borderId="14" xfId="0" applyFont="1" applyBorder="1" applyAlignment="1">
      <alignment vertical="center" wrapText="1"/>
    </xf>
    <xf numFmtId="0" fontId="1" fillId="2" borderId="2" xfId="0" applyFont="1" applyFill="1" applyBorder="1" applyAlignment="1">
      <alignment horizontal="left" vertical="center" wrapText="1"/>
    </xf>
    <xf numFmtId="0" fontId="1" fillId="0" borderId="1" xfId="0" applyFont="1" applyBorder="1" applyAlignment="1">
      <alignment vertical="center" wrapText="1"/>
    </xf>
    <xf numFmtId="0" fontId="6" fillId="0" borderId="0" xfId="0" applyFont="1" applyAlignment="1">
      <alignment horizontal="left"/>
    </xf>
    <xf numFmtId="0" fontId="6" fillId="0" borderId="0" xfId="0" applyFont="1" applyAlignment="1">
      <alignment horizontal="left" vertical="top"/>
    </xf>
    <xf numFmtId="167" fontId="6" fillId="2" borderId="0" xfId="0" applyNumberFormat="1" applyFont="1" applyFill="1" applyAlignment="1">
      <alignment horizontal="center" vertical="top"/>
    </xf>
    <xf numFmtId="0" fontId="14" fillId="4" borderId="2" xfId="0" applyFont="1" applyFill="1" applyBorder="1" applyAlignment="1">
      <alignment horizontal="center" vertical="center" wrapText="1"/>
    </xf>
    <xf numFmtId="0" fontId="1" fillId="2" borderId="2" xfId="0" applyFont="1" applyFill="1" applyBorder="1" applyAlignment="1">
      <alignment horizontal="left" vertical="top" wrapText="1"/>
    </xf>
    <xf numFmtId="3" fontId="1" fillId="0" borderId="2" xfId="0" applyNumberFormat="1" applyFont="1" applyBorder="1" applyAlignment="1">
      <alignment horizontal="center" vertical="center" wrapText="1"/>
    </xf>
    <xf numFmtId="1" fontId="1" fillId="0" borderId="2" xfId="0" applyNumberFormat="1" applyFont="1" applyBorder="1" applyAlignment="1">
      <alignment horizontal="center" vertical="center"/>
    </xf>
    <xf numFmtId="0" fontId="1" fillId="0" borderId="2" xfId="0" applyFont="1" applyBorder="1" applyAlignment="1">
      <alignment horizontal="left"/>
    </xf>
    <xf numFmtId="0" fontId="1" fillId="0" borderId="2" xfId="0" applyFont="1" applyBorder="1" applyAlignment="1">
      <alignment horizontal="center" vertical="center" wrapText="1"/>
    </xf>
    <xf numFmtId="0" fontId="6" fillId="0" borderId="0" xfId="0" applyFont="1" applyAlignment="1">
      <alignment horizontal="center" vertical="top"/>
    </xf>
    <xf numFmtId="167" fontId="6" fillId="0" borderId="0" xfId="0" applyNumberFormat="1" applyFont="1" applyAlignment="1">
      <alignment horizontal="center" vertical="top"/>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0" xfId="0" applyFont="1" applyAlignment="1">
      <alignment horizontal="center" vertical="center"/>
    </xf>
    <xf numFmtId="0" fontId="1" fillId="2" borderId="3" xfId="0" applyFont="1" applyFill="1" applyBorder="1" applyAlignment="1">
      <alignment horizontal="left"/>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1" fillId="3" borderId="2" xfId="0" applyFont="1" applyFill="1" applyBorder="1" applyAlignment="1">
      <alignment horizontal="left" wrapText="1"/>
    </xf>
    <xf numFmtId="0" fontId="1" fillId="0" borderId="3" xfId="0" applyFont="1" applyBorder="1" applyAlignment="1">
      <alignment horizontal="left" wrapText="1"/>
    </xf>
    <xf numFmtId="0" fontId="1" fillId="0" borderId="4" xfId="0" applyFont="1" applyBorder="1" applyAlignment="1">
      <alignment horizontal="left" wrapText="1"/>
    </xf>
    <xf numFmtId="0" fontId="1" fillId="0" borderId="5" xfId="0" applyFont="1" applyBorder="1" applyAlignment="1">
      <alignment horizontal="left" wrapText="1"/>
    </xf>
    <xf numFmtId="0" fontId="1" fillId="0" borderId="2" xfId="0" applyFont="1" applyBorder="1" applyAlignment="1">
      <alignment horizontal="left" wrapText="1"/>
    </xf>
    <xf numFmtId="0" fontId="7" fillId="0" borderId="2" xfId="0" applyFont="1" applyBorder="1" applyAlignment="1">
      <alignment horizontal="left" vertical="center" wrapText="1"/>
    </xf>
    <xf numFmtId="0" fontId="1" fillId="2" borderId="2" xfId="0" applyFont="1" applyFill="1" applyBorder="1" applyAlignment="1">
      <alignment horizontal="center" vertical="center"/>
    </xf>
    <xf numFmtId="0" fontId="6" fillId="7" borderId="3" xfId="0" applyFont="1" applyFill="1" applyBorder="1" applyAlignment="1">
      <alignment horizontal="center"/>
    </xf>
    <xf numFmtId="0" fontId="6" fillId="7" borderId="5" xfId="0" applyFont="1" applyFill="1" applyBorder="1" applyAlignment="1">
      <alignment horizontal="center"/>
    </xf>
    <xf numFmtId="0" fontId="7" fillId="3" borderId="3"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4"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7" fillId="3" borderId="2" xfId="0" applyFont="1" applyFill="1" applyBorder="1" applyAlignment="1">
      <alignment horizontal="center" vertical="center"/>
    </xf>
    <xf numFmtId="0" fontId="10" fillId="0" borderId="7" xfId="0" applyFont="1" applyBorder="1" applyAlignment="1">
      <alignment horizontal="center" wrapText="1"/>
    </xf>
    <xf numFmtId="0" fontId="7" fillId="0" borderId="3" xfId="0" applyFont="1" applyBorder="1" applyAlignment="1">
      <alignment horizontal="left"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1" fillId="2" borderId="6" xfId="0" applyFont="1" applyFill="1" applyBorder="1" applyAlignment="1">
      <alignment horizontal="left" vertical="top"/>
    </xf>
    <xf numFmtId="0" fontId="4" fillId="0" borderId="2" xfId="0" applyFont="1" applyBorder="1" applyAlignment="1">
      <alignment vertical="top" wrapText="1"/>
    </xf>
    <xf numFmtId="0" fontId="0" fillId="0" borderId="2" xfId="0" applyBorder="1" applyAlignment="1">
      <alignment vertical="top"/>
    </xf>
    <xf numFmtId="0" fontId="33" fillId="0" borderId="3" xfId="0" applyFont="1" applyBorder="1" applyAlignment="1">
      <alignment vertical="top" wrapText="1"/>
    </xf>
    <xf numFmtId="0" fontId="0" fillId="0" borderId="5" xfId="0" applyBorder="1" applyAlignment="1">
      <alignment vertical="top" wrapText="1"/>
    </xf>
    <xf numFmtId="0" fontId="2" fillId="0" borderId="2" xfId="0" applyFont="1" applyBorder="1" applyAlignment="1">
      <alignment vertical="top" wrapText="1"/>
    </xf>
    <xf numFmtId="0" fontId="33" fillId="0" borderId="2" xfId="0" applyFont="1" applyBorder="1" applyAlignment="1">
      <alignment vertical="top" wrapText="1"/>
    </xf>
    <xf numFmtId="0" fontId="0" fillId="0" borderId="2" xfId="0" applyBorder="1" applyAlignment="1">
      <alignment vertical="top" wrapText="1"/>
    </xf>
    <xf numFmtId="0" fontId="0" fillId="0" borderId="0" xfId="0" applyAlignment="1">
      <alignment wrapText="1"/>
    </xf>
    <xf numFmtId="0" fontId="2" fillId="0" borderId="0" xfId="0" applyFont="1" applyAlignment="1">
      <alignment vertical="top" wrapText="1"/>
    </xf>
    <xf numFmtId="0" fontId="6" fillId="2" borderId="2" xfId="0" applyFont="1" applyFill="1" applyBorder="1" applyAlignment="1">
      <alignment horizontal="left" vertical="top"/>
    </xf>
    <xf numFmtId="0" fontId="10" fillId="3" borderId="2" xfId="0" applyFont="1" applyFill="1" applyBorder="1" applyAlignment="1">
      <alignment horizontal="left" vertical="center" wrapText="1"/>
    </xf>
    <xf numFmtId="0" fontId="1" fillId="6" borderId="16" xfId="0" applyFont="1" applyFill="1" applyBorder="1" applyAlignment="1">
      <alignment horizontal="center" vertical="center" wrapText="1"/>
    </xf>
    <xf numFmtId="0" fontId="1" fillId="6" borderId="17"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5" xfId="0" applyFont="1" applyFill="1" applyBorder="1" applyAlignment="1">
      <alignment horizontal="center" vertical="center" wrapText="1"/>
    </xf>
    <xf numFmtId="0" fontId="18" fillId="0" borderId="2" xfId="0" applyFont="1" applyBorder="1" applyAlignment="1">
      <alignment horizontal="left" vertical="center" wrapText="1"/>
    </xf>
    <xf numFmtId="0" fontId="40" fillId="5" borderId="3" xfId="0" applyFont="1" applyFill="1" applyBorder="1" applyAlignment="1">
      <alignment horizontal="center" vertical="center" wrapText="1"/>
    </xf>
    <xf numFmtId="0" fontId="40" fillId="5" borderId="4" xfId="0" applyFont="1" applyFill="1" applyBorder="1" applyAlignment="1">
      <alignment horizontal="center" vertical="center" wrapText="1"/>
    </xf>
    <xf numFmtId="0" fontId="40" fillId="5" borderId="5" xfId="0" applyFont="1" applyFill="1" applyBorder="1" applyAlignment="1">
      <alignment horizontal="center" vertical="center" wrapText="1"/>
    </xf>
    <xf numFmtId="0" fontId="40" fillId="0" borderId="2" xfId="0" applyFont="1" applyBorder="1" applyAlignment="1">
      <alignment horizontal="left" vertical="top" wrapText="1"/>
    </xf>
    <xf numFmtId="0" fontId="2" fillId="0" borderId="2" xfId="0" applyFont="1" applyBorder="1" applyAlignment="1">
      <alignment horizontal="left" vertical="top" wrapText="1"/>
    </xf>
    <xf numFmtId="0" fontId="35" fillId="0" borderId="3" xfId="0" applyFont="1" applyBorder="1" applyAlignment="1">
      <alignment horizontal="left" vertical="center" wrapText="1"/>
    </xf>
    <xf numFmtId="0" fontId="35" fillId="0" borderId="5" xfId="0" applyFont="1" applyBorder="1" applyAlignment="1">
      <alignment horizontal="left" vertical="center" wrapText="1"/>
    </xf>
    <xf numFmtId="0" fontId="6" fillId="2" borderId="2" xfId="0" applyFont="1" applyFill="1" applyBorder="1" applyAlignment="1">
      <alignment horizontal="center" vertical="top" wrapText="1"/>
    </xf>
    <xf numFmtId="0" fontId="18" fillId="0" borderId="2" xfId="0" applyFont="1" applyBorder="1" applyAlignment="1">
      <alignment horizontal="center" vertical="center" wrapText="1"/>
    </xf>
    <xf numFmtId="0" fontId="10" fillId="0" borderId="2" xfId="0" applyFont="1" applyBorder="1" applyAlignment="1">
      <alignment horizontal="left" vertical="center" wrapText="1"/>
    </xf>
    <xf numFmtId="0" fontId="10" fillId="0" borderId="2" xfId="0" applyFont="1" applyBorder="1" applyAlignment="1">
      <alignment horizontal="center" vertical="center"/>
    </xf>
    <xf numFmtId="0" fontId="10" fillId="0" borderId="4" xfId="0" applyFont="1" applyBorder="1" applyAlignment="1">
      <alignment horizontal="center" vertical="center" wrapText="1"/>
    </xf>
    <xf numFmtId="0" fontId="10" fillId="0" borderId="5" xfId="0" applyFont="1" applyBorder="1" applyAlignment="1">
      <alignment horizontal="center" vertical="center" wrapText="1"/>
    </xf>
    <xf numFmtId="0" fontId="10" fillId="0" borderId="3" xfId="0" applyFont="1" applyBorder="1" applyAlignment="1">
      <alignment horizontal="center" vertical="center"/>
    </xf>
    <xf numFmtId="0" fontId="10" fillId="0" borderId="4" xfId="0" applyFont="1" applyBorder="1" applyAlignment="1">
      <alignment horizontal="center" vertical="center"/>
    </xf>
    <xf numFmtId="0" fontId="10" fillId="0" borderId="5" xfId="0" applyFont="1" applyBorder="1" applyAlignment="1">
      <alignment horizontal="center" vertical="center"/>
    </xf>
    <xf numFmtId="0" fontId="40" fillId="3" borderId="3" xfId="0" applyFont="1" applyFill="1" applyBorder="1" applyAlignment="1">
      <alignment horizontal="center" vertical="center" wrapText="1"/>
    </xf>
    <xf numFmtId="0" fontId="40" fillId="3" borderId="4" xfId="0" applyFont="1" applyFill="1" applyBorder="1" applyAlignment="1">
      <alignment horizontal="center" vertical="center" wrapText="1"/>
    </xf>
    <xf numFmtId="0" fontId="40" fillId="3" borderId="5" xfId="0" applyFont="1" applyFill="1" applyBorder="1" applyAlignment="1">
      <alignment horizontal="center" vertical="center" wrapText="1"/>
    </xf>
    <xf numFmtId="0" fontId="40" fillId="3" borderId="2" xfId="0" applyFont="1" applyFill="1" applyBorder="1" applyAlignment="1">
      <alignment horizontal="center" vertical="center" wrapText="1"/>
    </xf>
    <xf numFmtId="0" fontId="40" fillId="3" borderId="3" xfId="0" applyFont="1" applyFill="1" applyBorder="1" applyAlignment="1">
      <alignment horizontal="center" vertical="center"/>
    </xf>
    <xf numFmtId="0" fontId="40" fillId="3" borderId="4" xfId="0" applyFont="1" applyFill="1" applyBorder="1" applyAlignment="1">
      <alignment horizontal="center" vertical="center"/>
    </xf>
    <xf numFmtId="0" fontId="40" fillId="3" borderId="5" xfId="0" applyFont="1" applyFill="1" applyBorder="1" applyAlignment="1">
      <alignment horizontal="center" vertical="center"/>
    </xf>
    <xf numFmtId="0" fontId="40" fillId="3" borderId="6" xfId="0" applyFont="1" applyFill="1" applyBorder="1" applyAlignment="1">
      <alignment horizontal="center" vertical="center" wrapText="1"/>
    </xf>
    <xf numFmtId="0" fontId="40" fillId="3" borderId="7" xfId="0" applyFont="1" applyFill="1" applyBorder="1" applyAlignment="1">
      <alignment horizontal="center" vertical="center" wrapText="1"/>
    </xf>
    <xf numFmtId="0" fontId="40" fillId="3" borderId="8" xfId="0" applyFont="1" applyFill="1" applyBorder="1" applyAlignment="1">
      <alignment horizontal="center" vertical="center" wrapText="1"/>
    </xf>
    <xf numFmtId="0" fontId="1" fillId="2" borderId="2" xfId="0" applyFont="1" applyFill="1" applyBorder="1" applyAlignment="1">
      <alignment horizontal="center" vertical="top"/>
    </xf>
    <xf numFmtId="0" fontId="10" fillId="0" borderId="6" xfId="0" applyFont="1" applyBorder="1" applyAlignment="1">
      <alignment horizontal="left" vertical="center" wrapText="1"/>
    </xf>
    <xf numFmtId="0" fontId="10" fillId="0" borderId="8" xfId="0" applyFont="1" applyBorder="1" applyAlignment="1">
      <alignment horizontal="left" vertical="center" wrapText="1"/>
    </xf>
    <xf numFmtId="0" fontId="10" fillId="0" borderId="9" xfId="0" applyFont="1" applyBorder="1" applyAlignment="1">
      <alignment horizontal="left" vertical="center" wrapText="1"/>
    </xf>
    <xf numFmtId="0" fontId="10" fillId="0" borderId="10" xfId="0" applyFont="1" applyBorder="1" applyAlignment="1">
      <alignment horizontal="left" vertical="center" wrapText="1"/>
    </xf>
    <xf numFmtId="0" fontId="10" fillId="0" borderId="11" xfId="0" applyFont="1" applyBorder="1" applyAlignment="1">
      <alignment horizontal="left" vertical="center" wrapText="1"/>
    </xf>
    <xf numFmtId="0" fontId="10" fillId="0" borderId="13" xfId="0" applyFont="1" applyBorder="1" applyAlignment="1">
      <alignment horizontal="left" vertical="center" wrapText="1"/>
    </xf>
    <xf numFmtId="0" fontId="10" fillId="0" borderId="1"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14" xfId="0" applyFont="1" applyBorder="1" applyAlignment="1">
      <alignment horizontal="center" vertical="center" wrapText="1"/>
    </xf>
    <xf numFmtId="0" fontId="7" fillId="0" borderId="2" xfId="0" applyFont="1" applyBorder="1" applyAlignment="1">
      <alignment horizontal="center" vertical="center"/>
    </xf>
    <xf numFmtId="0" fontId="1" fillId="3" borderId="2" xfId="0" applyFont="1" applyFill="1" applyBorder="1" applyAlignment="1">
      <alignment horizontal="left" vertical="top" wrapText="1"/>
    </xf>
    <xf numFmtId="0" fontId="7" fillId="0" borderId="2" xfId="0" applyFont="1" applyBorder="1" applyAlignment="1">
      <alignment horizontal="center" vertical="center" wrapText="1"/>
    </xf>
    <xf numFmtId="0" fontId="1" fillId="5" borderId="3" xfId="0" applyFont="1" applyFill="1" applyBorder="1" applyAlignment="1">
      <alignment horizontal="left" vertical="center" wrapText="1"/>
    </xf>
    <xf numFmtId="0" fontId="1" fillId="5" borderId="4" xfId="0" applyFont="1" applyFill="1" applyBorder="1" applyAlignment="1">
      <alignment horizontal="left" vertical="center" wrapText="1"/>
    </xf>
    <xf numFmtId="0" fontId="1" fillId="5" borderId="5" xfId="0" applyFont="1" applyFill="1" applyBorder="1" applyAlignment="1">
      <alignment horizontal="left" vertical="center" wrapText="1"/>
    </xf>
    <xf numFmtId="0" fontId="7" fillId="0" borderId="11" xfId="0" applyFont="1" applyBorder="1" applyAlignment="1">
      <alignment horizontal="left" vertical="center" wrapText="1"/>
    </xf>
    <xf numFmtId="0" fontId="7" fillId="0" borderId="12" xfId="0" applyFont="1" applyBorder="1" applyAlignment="1">
      <alignment horizontal="left" vertical="center" wrapText="1"/>
    </xf>
    <xf numFmtId="0" fontId="10" fillId="0" borderId="6" xfId="0" applyFont="1" applyBorder="1" applyAlignment="1">
      <alignment horizontal="left" vertical="center"/>
    </xf>
    <xf numFmtId="0" fontId="10" fillId="0" borderId="7" xfId="0" applyFont="1" applyBorder="1" applyAlignment="1">
      <alignment horizontal="left" vertical="center"/>
    </xf>
    <xf numFmtId="0" fontId="10" fillId="0" borderId="8" xfId="0" applyFont="1" applyBorder="1" applyAlignment="1">
      <alignment horizontal="left" vertical="center"/>
    </xf>
    <xf numFmtId="0" fontId="7" fillId="0" borderId="3" xfId="0" applyFont="1" applyBorder="1" applyAlignment="1">
      <alignment horizontal="left" vertical="top" wrapText="1"/>
    </xf>
    <xf numFmtId="0" fontId="7" fillId="0" borderId="4" xfId="0" applyFont="1" applyBorder="1" applyAlignment="1">
      <alignment horizontal="left" vertical="top" wrapText="1"/>
    </xf>
    <xf numFmtId="0" fontId="6" fillId="2" borderId="6" xfId="0" applyFont="1" applyFill="1" applyBorder="1" applyAlignment="1">
      <alignment horizontal="left" vertical="top"/>
    </xf>
    <xf numFmtId="0" fontId="6" fillId="2" borderId="7" xfId="0" applyFont="1" applyFill="1" applyBorder="1" applyAlignment="1">
      <alignment horizontal="left" vertical="top"/>
    </xf>
    <xf numFmtId="0" fontId="6" fillId="2" borderId="8" xfId="0" applyFont="1" applyFill="1" applyBorder="1" applyAlignment="1">
      <alignment horizontal="left" vertical="top"/>
    </xf>
    <xf numFmtId="0" fontId="6" fillId="2" borderId="11" xfId="0" applyFont="1" applyFill="1" applyBorder="1" applyAlignment="1">
      <alignment horizontal="left" vertical="top"/>
    </xf>
    <xf numFmtId="0" fontId="6" fillId="2" borderId="12" xfId="0" applyFont="1" applyFill="1" applyBorder="1" applyAlignment="1">
      <alignment horizontal="left" vertical="top"/>
    </xf>
    <xf numFmtId="0" fontId="6" fillId="2" borderId="13" xfId="0" applyFont="1" applyFill="1" applyBorder="1" applyAlignment="1">
      <alignment horizontal="left" vertical="top"/>
    </xf>
    <xf numFmtId="0" fontId="1" fillId="0" borderId="1" xfId="0" applyFont="1" applyBorder="1" applyAlignment="1">
      <alignment horizontal="left" vertical="center" wrapText="1"/>
    </xf>
    <xf numFmtId="0" fontId="1" fillId="0" borderId="1" xfId="0" applyFont="1" applyBorder="1" applyAlignment="1">
      <alignment horizontal="center" vertical="center" wrapText="1"/>
    </xf>
    <xf numFmtId="0" fontId="1" fillId="0" borderId="6" xfId="0" applyFont="1" applyBorder="1" applyAlignment="1">
      <alignment horizontal="center" vertical="center" wrapText="1"/>
    </xf>
    <xf numFmtId="0" fontId="18" fillId="0" borderId="0" xfId="0" applyFont="1" applyAlignment="1">
      <alignment horizontal="left" vertical="center" wrapText="1"/>
    </xf>
    <xf numFmtId="0" fontId="10" fillId="0" borderId="9" xfId="0" applyFont="1" applyBorder="1" applyAlignment="1">
      <alignment horizontal="center" vertical="center" wrapText="1"/>
    </xf>
    <xf numFmtId="0" fontId="10" fillId="0" borderId="10" xfId="0" applyFont="1" applyBorder="1" applyAlignment="1">
      <alignment horizontal="center" vertical="center" wrapText="1"/>
    </xf>
    <xf numFmtId="0" fontId="10" fillId="0" borderId="0" xfId="0" applyFont="1" applyAlignment="1">
      <alignment horizontal="center" vertical="center" wrapText="1"/>
    </xf>
    <xf numFmtId="0" fontId="12" fillId="0" borderId="6" xfId="0" applyFont="1" applyBorder="1" applyAlignment="1">
      <alignment horizontal="right" vertical="top" wrapText="1"/>
    </xf>
    <xf numFmtId="0" fontId="12" fillId="0" borderId="7" xfId="0" applyFont="1" applyBorder="1" applyAlignment="1">
      <alignment horizontal="right" vertical="top" wrapText="1"/>
    </xf>
    <xf numFmtId="0" fontId="12" fillId="0" borderId="8" xfId="0" applyFont="1" applyBorder="1" applyAlignment="1">
      <alignment horizontal="right" vertical="top" wrapText="1"/>
    </xf>
    <xf numFmtId="0" fontId="6" fillId="2" borderId="14" xfId="0" applyFont="1" applyFill="1" applyBorder="1" applyAlignment="1">
      <alignment horizontal="left" vertical="top"/>
    </xf>
    <xf numFmtId="0" fontId="10" fillId="8" borderId="3" xfId="0" applyFont="1" applyFill="1" applyBorder="1" applyAlignment="1">
      <alignment horizontal="center" vertical="center" wrapText="1"/>
    </xf>
    <xf numFmtId="0" fontId="10" fillId="8" borderId="5" xfId="0" applyFont="1" applyFill="1" applyBorder="1" applyAlignment="1">
      <alignment horizontal="center" vertical="center" wrapText="1"/>
    </xf>
    <xf numFmtId="0" fontId="6" fillId="0" borderId="0" xfId="0" applyFont="1" applyAlignment="1">
      <alignment horizontal="left" wrapText="1"/>
    </xf>
    <xf numFmtId="0" fontId="7" fillId="0" borderId="12" xfId="0" applyFont="1" applyBorder="1" applyAlignment="1">
      <alignment horizontal="center"/>
    </xf>
    <xf numFmtId="0" fontId="7" fillId="0" borderId="2" xfId="0" applyFont="1" applyBorder="1" applyAlignment="1">
      <alignment horizontal="center"/>
    </xf>
    <xf numFmtId="0" fontId="6" fillId="2" borderId="9" xfId="0" applyFont="1" applyFill="1" applyBorder="1" applyAlignment="1">
      <alignment horizontal="left" vertical="top"/>
    </xf>
    <xf numFmtId="0" fontId="6" fillId="2" borderId="0" xfId="0" applyFont="1" applyFill="1" applyAlignment="1">
      <alignment horizontal="left" vertical="top"/>
    </xf>
    <xf numFmtId="0" fontId="6" fillId="2" borderId="10" xfId="0" applyFont="1" applyFill="1" applyBorder="1" applyAlignment="1">
      <alignment horizontal="left" vertical="top"/>
    </xf>
    <xf numFmtId="0" fontId="7" fillId="0" borderId="5" xfId="0" applyFont="1" applyBorder="1" applyAlignment="1">
      <alignment horizontal="left" vertical="top" wrapText="1"/>
    </xf>
    <xf numFmtId="0" fontId="6" fillId="0" borderId="2" xfId="0" applyFont="1" applyBorder="1" applyAlignment="1">
      <alignment horizontal="center" vertical="center"/>
    </xf>
    <xf numFmtId="0" fontId="23" fillId="0" borderId="0" xfId="0" applyFont="1" applyAlignment="1">
      <alignment horizontal="left" vertical="top" wrapText="1"/>
    </xf>
    <xf numFmtId="0" fontId="6" fillId="2" borderId="6" xfId="0" applyFont="1" applyFill="1" applyBorder="1" applyAlignment="1">
      <alignment horizontal="left" vertical="top" wrapText="1"/>
    </xf>
    <xf numFmtId="0" fontId="6" fillId="2" borderId="7" xfId="0" applyFont="1" applyFill="1" applyBorder="1" applyAlignment="1">
      <alignment horizontal="left" vertical="top" wrapText="1"/>
    </xf>
    <xf numFmtId="0" fontId="6" fillId="2" borderId="8" xfId="0" applyFont="1" applyFill="1" applyBorder="1" applyAlignment="1">
      <alignment horizontal="left" vertical="top" wrapText="1"/>
    </xf>
    <xf numFmtId="0" fontId="6" fillId="2" borderId="9" xfId="0" applyFont="1" applyFill="1" applyBorder="1" applyAlignment="1">
      <alignment horizontal="left" vertical="top" wrapText="1"/>
    </xf>
    <xf numFmtId="0" fontId="6" fillId="2" borderId="0" xfId="0" applyFont="1" applyFill="1" applyAlignment="1">
      <alignment horizontal="left" vertical="top" wrapText="1"/>
    </xf>
    <xf numFmtId="0" fontId="6" fillId="2" borderId="10" xfId="0" applyFont="1" applyFill="1" applyBorder="1" applyAlignment="1">
      <alignment horizontal="left" vertical="top" wrapText="1"/>
    </xf>
    <xf numFmtId="0" fontId="6" fillId="2" borderId="11" xfId="0" applyFont="1" applyFill="1" applyBorder="1" applyAlignment="1">
      <alignment horizontal="left" vertical="top" wrapText="1"/>
    </xf>
    <xf numFmtId="0" fontId="6" fillId="2" borderId="12" xfId="0" applyFont="1" applyFill="1" applyBorder="1" applyAlignment="1">
      <alignment horizontal="left" vertical="top" wrapText="1"/>
    </xf>
    <xf numFmtId="0" fontId="6" fillId="2" borderId="13" xfId="0" applyFont="1" applyFill="1" applyBorder="1" applyAlignment="1">
      <alignment horizontal="left" vertical="top" wrapText="1"/>
    </xf>
  </cellXfs>
  <cellStyles count="4">
    <cellStyle name="Comma" xfId="1" builtinId="3"/>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General</c:formatCode>
                <c:ptCount val="12"/>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09314616"/>
        <c:axId val="309313440"/>
      </c:lineChart>
      <c:catAx>
        <c:axId val="309314616"/>
        <c:scaling>
          <c:orientation val="minMax"/>
        </c:scaling>
        <c:delete val="0"/>
        <c:axPos val="b"/>
        <c:numFmt formatCode="General" sourceLinked="1"/>
        <c:majorTickMark val="out"/>
        <c:minorTickMark val="none"/>
        <c:tickLblPos val="nextTo"/>
        <c:crossAx val="309313440"/>
        <c:crosses val="autoZero"/>
        <c:auto val="1"/>
        <c:lblAlgn val="ctr"/>
        <c:lblOffset val="100"/>
        <c:noMultiLvlLbl val="0"/>
      </c:catAx>
      <c:valAx>
        <c:axId val="30931344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3146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General</c:formatCode>
                <c:ptCount val="12"/>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13621640"/>
        <c:axId val="313622032"/>
      </c:lineChart>
      <c:catAx>
        <c:axId val="313621640"/>
        <c:scaling>
          <c:orientation val="minMax"/>
        </c:scaling>
        <c:delete val="0"/>
        <c:axPos val="b"/>
        <c:numFmt formatCode="General" sourceLinked="1"/>
        <c:majorTickMark val="out"/>
        <c:minorTickMark val="none"/>
        <c:tickLblPos val="nextTo"/>
        <c:crossAx val="313622032"/>
        <c:crosses val="autoZero"/>
        <c:auto val="1"/>
        <c:lblAlgn val="ctr"/>
        <c:lblOffset val="100"/>
        <c:noMultiLvlLbl val="0"/>
      </c:catAx>
      <c:valAx>
        <c:axId val="31362203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164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General</c:formatCode>
                <c:ptCount val="12"/>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General</c:formatCode>
                <c:ptCount val="12"/>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13623208"/>
        <c:axId val="313623600"/>
      </c:lineChart>
      <c:catAx>
        <c:axId val="313623208"/>
        <c:scaling>
          <c:orientation val="minMax"/>
        </c:scaling>
        <c:delete val="0"/>
        <c:axPos val="b"/>
        <c:numFmt formatCode="General" sourceLinked="1"/>
        <c:majorTickMark val="out"/>
        <c:minorTickMark val="none"/>
        <c:tickLblPos val="nextTo"/>
        <c:crossAx val="313623600"/>
        <c:crosses val="autoZero"/>
        <c:auto val="1"/>
        <c:lblAlgn val="ctr"/>
        <c:lblOffset val="100"/>
        <c:noMultiLvlLbl val="0"/>
      </c:catAx>
      <c:valAx>
        <c:axId val="31362360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320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13626344"/>
        <c:axId val="313626736"/>
      </c:lineChart>
      <c:catAx>
        <c:axId val="313626344"/>
        <c:scaling>
          <c:orientation val="minMax"/>
        </c:scaling>
        <c:delete val="0"/>
        <c:axPos val="b"/>
        <c:numFmt formatCode="General" sourceLinked="1"/>
        <c:majorTickMark val="out"/>
        <c:minorTickMark val="none"/>
        <c:tickLblPos val="nextTo"/>
        <c:crossAx val="313626736"/>
        <c:crosses val="autoZero"/>
        <c:auto val="1"/>
        <c:lblAlgn val="ctr"/>
        <c:lblOffset val="100"/>
        <c:noMultiLvlLbl val="0"/>
      </c:catAx>
      <c:valAx>
        <c:axId val="31362673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63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General</c:formatCode>
                <c:ptCount val="12"/>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13628304"/>
        <c:axId val="313628696"/>
      </c:lineChart>
      <c:catAx>
        <c:axId val="313628304"/>
        <c:scaling>
          <c:orientation val="minMax"/>
        </c:scaling>
        <c:delete val="0"/>
        <c:axPos val="b"/>
        <c:numFmt formatCode="General" sourceLinked="1"/>
        <c:majorTickMark val="out"/>
        <c:minorTickMark val="none"/>
        <c:tickLblPos val="nextTo"/>
        <c:crossAx val="313628696"/>
        <c:crosses val="autoZero"/>
        <c:auto val="1"/>
        <c:lblAlgn val="ctr"/>
        <c:lblOffset val="100"/>
        <c:noMultiLvlLbl val="0"/>
      </c:catAx>
      <c:valAx>
        <c:axId val="31362869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83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General</c:formatCode>
                <c:ptCount val="12"/>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15944016"/>
        <c:axId val="315944408"/>
      </c:lineChart>
      <c:catAx>
        <c:axId val="315944016"/>
        <c:scaling>
          <c:orientation val="minMax"/>
        </c:scaling>
        <c:delete val="0"/>
        <c:axPos val="b"/>
        <c:numFmt formatCode="General" sourceLinked="1"/>
        <c:majorTickMark val="out"/>
        <c:minorTickMark val="none"/>
        <c:tickLblPos val="nextTo"/>
        <c:crossAx val="315944408"/>
        <c:crosses val="autoZero"/>
        <c:auto val="1"/>
        <c:lblAlgn val="ctr"/>
        <c:lblOffset val="100"/>
        <c:noMultiLvlLbl val="0"/>
      </c:catAx>
      <c:valAx>
        <c:axId val="31594440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9440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General</c:formatCode>
                <c:ptCount val="12"/>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13627912"/>
        <c:axId val="315945584"/>
      </c:lineChart>
      <c:catAx>
        <c:axId val="313627912"/>
        <c:scaling>
          <c:orientation val="minMax"/>
        </c:scaling>
        <c:delete val="0"/>
        <c:axPos val="b"/>
        <c:numFmt formatCode="General" sourceLinked="1"/>
        <c:majorTickMark val="out"/>
        <c:minorTickMark val="none"/>
        <c:tickLblPos val="nextTo"/>
        <c:crossAx val="315945584"/>
        <c:crosses val="autoZero"/>
        <c:auto val="1"/>
        <c:lblAlgn val="ctr"/>
        <c:lblOffset val="100"/>
        <c:noMultiLvlLbl val="0"/>
      </c:catAx>
      <c:valAx>
        <c:axId val="31594558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791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441960</xdr:colOff>
          <xdr:row>8</xdr:row>
          <xdr:rowOff>114300</xdr:rowOff>
        </xdr:from>
        <xdr:to>
          <xdr:col>15</xdr:col>
          <xdr:colOff>289560</xdr:colOff>
          <xdr:row>11</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449580</xdr:colOff>
          <xdr:row>5</xdr:row>
          <xdr:rowOff>106680</xdr:rowOff>
        </xdr:from>
        <xdr:to>
          <xdr:col>15</xdr:col>
          <xdr:colOff>297180</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1</xdr:col>
      <xdr:colOff>0</xdr:colOff>
      <xdr:row>7</xdr:row>
      <xdr:rowOff>0</xdr:rowOff>
    </xdr:from>
    <xdr:to>
      <xdr:col>8</xdr:col>
      <xdr:colOff>412813</xdr:colOff>
      <xdr:row>19</xdr:row>
      <xdr:rowOff>51707</xdr:rowOff>
    </xdr:to>
    <xdr:pic>
      <xdr:nvPicPr>
        <xdr:cNvPr id="2" name="Picture 1" descr="Image result for beddington viridor">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9125" y="1333500"/>
          <a:ext cx="5099113" cy="23472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xdr:row>
      <xdr:rowOff>9525</xdr:rowOff>
    </xdr:from>
    <xdr:to>
      <xdr:col>6</xdr:col>
      <xdr:colOff>508227</xdr:colOff>
      <xdr:row>3</xdr:row>
      <xdr:rowOff>152400</xdr:rowOff>
    </xdr:to>
    <xdr:pic>
      <xdr:nvPicPr>
        <xdr:cNvPr id="3" name="Picture 2" descr="Image result for Viridor logo">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09800" y="200025"/>
          <a:ext cx="2365602"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60960</xdr:colOff>
          <xdr:row>1</xdr:row>
          <xdr:rowOff>38100</xdr:rowOff>
        </xdr:from>
        <xdr:to>
          <xdr:col>8</xdr:col>
          <xdr:colOff>365760</xdr:colOff>
          <xdr:row>7</xdr:row>
          <xdr:rowOff>327660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A00-0000017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BEDDINGTON%20ERF%20Q4%20QUARTERLY%20_ANNUAL%20PERFORMANCE%20REPORT%20202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Facility Info"/>
      <sheetName val="Contents"/>
      <sheetName val="Operational Data"/>
      <sheetName val="Perf. Form"/>
      <sheetName val="Energy Form 1"/>
      <sheetName val="Permit Compliance"/>
      <sheetName val="Improvements"/>
      <sheetName val="Public Liasion"/>
      <sheetName val="Water"/>
      <sheetName val="Residue Quality"/>
      <sheetName val="Air (periodic)"/>
      <sheetName val="Air (CEMS)"/>
      <sheetName val="HCl"/>
      <sheetName val="SO2"/>
      <sheetName val="NOx"/>
      <sheetName val="VOC"/>
      <sheetName val="CO half-hourly"/>
      <sheetName val="NH3"/>
      <sheetName val="Particulates"/>
      <sheetName val="CO 95% 10 min"/>
      <sheetName val="Invalid readings log"/>
      <sheetName val="Schedule 5"/>
      <sheetName val="Sheet1"/>
    </sheetNames>
    <sheetDataSet>
      <sheetData sheetId="0">
        <row r="29">
          <cell r="B29" t="str">
            <v>Quarterly Performance Report 2022 Q3</v>
          </cell>
        </row>
        <row r="33">
          <cell r="B33" t="str">
            <v>Beddington Energy Recovery Facility</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Dandesilic@Viridor.co.uk"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11.bin"/><Relationship Id="rId5" Type="http://schemas.openxmlformats.org/officeDocument/2006/relationships/image" Target="../media/image3.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tabSelected="1" topLeftCell="A21" workbookViewId="0">
      <selection activeCell="K30" sqref="K30"/>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4" width="9.33203125" style="2"/>
    <col min="15" max="15" width="9.33203125" style="2" customWidth="1"/>
    <col min="16" max="16384" width="9.33203125" style="2"/>
  </cols>
  <sheetData>
    <row r="1" spans="2:16" x14ac:dyDescent="0.25">
      <c r="B1" s="92"/>
      <c r="C1" s="92"/>
      <c r="D1" s="207"/>
      <c r="E1" s="207"/>
      <c r="F1" s="207"/>
      <c r="G1" s="207"/>
      <c r="H1" s="92"/>
      <c r="I1" s="92"/>
      <c r="J1" s="92"/>
      <c r="K1" s="92"/>
      <c r="L1" s="92"/>
      <c r="M1" s="92"/>
      <c r="N1" s="92"/>
      <c r="O1" s="92"/>
      <c r="P1" s="92"/>
    </row>
    <row r="2" spans="2:16" x14ac:dyDescent="0.25">
      <c r="B2" s="92"/>
      <c r="C2" s="92"/>
      <c r="D2" s="207"/>
      <c r="E2" s="207"/>
      <c r="F2" s="207"/>
      <c r="G2" s="207"/>
      <c r="H2" s="92"/>
      <c r="I2" s="92"/>
      <c r="J2" s="92"/>
      <c r="K2" s="92"/>
      <c r="L2" s="92"/>
      <c r="M2" s="92"/>
      <c r="N2" s="92" t="s">
        <v>0</v>
      </c>
      <c r="O2" s="92"/>
      <c r="P2" s="136"/>
    </row>
    <row r="3" spans="2:16" x14ac:dyDescent="0.25">
      <c r="B3" s="92"/>
      <c r="C3" s="92"/>
      <c r="D3" s="207"/>
      <c r="E3" s="207"/>
      <c r="F3" s="207"/>
      <c r="G3" s="207"/>
      <c r="H3" s="92"/>
      <c r="I3" s="92"/>
      <c r="J3" s="92"/>
      <c r="K3" s="92"/>
      <c r="L3" s="92"/>
      <c r="M3" s="92"/>
      <c r="N3" s="136"/>
      <c r="O3" s="92"/>
      <c r="P3" s="92"/>
    </row>
    <row r="4" spans="2:16" x14ac:dyDescent="0.25">
      <c r="B4" s="92"/>
      <c r="C4" s="92"/>
      <c r="D4" s="207"/>
      <c r="E4" s="207"/>
      <c r="F4" s="207"/>
      <c r="G4" s="207"/>
      <c r="H4" s="92"/>
      <c r="I4" s="92"/>
      <c r="J4" s="92"/>
      <c r="K4" s="92"/>
      <c r="L4" s="92"/>
      <c r="M4" s="92"/>
      <c r="N4" s="92"/>
      <c r="O4" s="92"/>
      <c r="P4" s="92"/>
    </row>
    <row r="5" spans="2:16" x14ac:dyDescent="0.25">
      <c r="B5" s="92"/>
      <c r="C5" s="92"/>
      <c r="D5" s="207"/>
      <c r="E5" s="207"/>
      <c r="F5" s="207"/>
      <c r="G5" s="207"/>
      <c r="H5" s="92"/>
      <c r="I5" s="92"/>
      <c r="J5" s="92"/>
      <c r="K5" s="92"/>
      <c r="L5" s="92"/>
      <c r="M5" s="92"/>
      <c r="N5" s="92"/>
      <c r="O5" s="92"/>
      <c r="P5" s="92"/>
    </row>
    <row r="6" spans="2:16" x14ac:dyDescent="0.25">
      <c r="B6" s="92"/>
      <c r="C6" s="92"/>
      <c r="D6" s="207"/>
      <c r="E6" s="207"/>
      <c r="F6" s="207"/>
      <c r="G6" s="207"/>
      <c r="H6" s="92"/>
      <c r="I6" s="92"/>
      <c r="J6" s="92"/>
      <c r="K6" s="92"/>
      <c r="L6" s="92"/>
      <c r="M6" s="92"/>
      <c r="N6" s="92"/>
      <c r="O6" s="92"/>
      <c r="P6" s="92"/>
    </row>
    <row r="8" spans="2:16" ht="15.75" customHeight="1" x14ac:dyDescent="0.25">
      <c r="B8" s="207" t="s">
        <v>1</v>
      </c>
      <c r="C8" s="207"/>
      <c r="D8" s="207"/>
      <c r="E8" s="207"/>
      <c r="F8" s="207"/>
      <c r="G8" s="207"/>
      <c r="H8" s="207"/>
      <c r="I8" s="207"/>
      <c r="J8" s="92"/>
      <c r="K8" s="92"/>
      <c r="L8" s="92"/>
      <c r="M8" s="92"/>
      <c r="N8" s="71"/>
      <c r="O8" s="92"/>
      <c r="P8" s="92"/>
    </row>
    <row r="9" spans="2:16" x14ac:dyDescent="0.25">
      <c r="B9" s="207"/>
      <c r="C9" s="207"/>
      <c r="D9" s="207"/>
      <c r="E9" s="207"/>
      <c r="F9" s="207"/>
      <c r="G9" s="207"/>
      <c r="H9" s="207"/>
      <c r="I9" s="207"/>
      <c r="J9" s="92"/>
      <c r="K9" s="92"/>
      <c r="L9" s="92"/>
      <c r="M9" s="92"/>
      <c r="N9" s="92"/>
      <c r="O9" s="92"/>
      <c r="P9" s="92"/>
    </row>
    <row r="10" spans="2:16" x14ac:dyDescent="0.25">
      <c r="B10" s="207"/>
      <c r="C10" s="207"/>
      <c r="D10" s="207"/>
      <c r="E10" s="207"/>
      <c r="F10" s="207"/>
      <c r="G10" s="207"/>
      <c r="H10" s="207"/>
      <c r="I10" s="207"/>
      <c r="J10" s="92"/>
      <c r="K10" s="92"/>
      <c r="L10" s="92"/>
      <c r="M10" s="92"/>
      <c r="N10" s="92"/>
      <c r="O10" s="92"/>
      <c r="P10" s="92"/>
    </row>
    <row r="11" spans="2:16" x14ac:dyDescent="0.25">
      <c r="B11" s="207"/>
      <c r="C11" s="207"/>
      <c r="D11" s="207"/>
      <c r="E11" s="207"/>
      <c r="F11" s="207"/>
      <c r="G11" s="207"/>
      <c r="H11" s="207"/>
      <c r="I11" s="207"/>
      <c r="J11" s="92"/>
      <c r="K11" s="92"/>
      <c r="L11" s="92"/>
      <c r="M11" s="92"/>
      <c r="N11" s="92"/>
      <c r="O11" s="92"/>
      <c r="P11" s="92"/>
    </row>
    <row r="12" spans="2:16" x14ac:dyDescent="0.25">
      <c r="B12" s="207"/>
      <c r="C12" s="207"/>
      <c r="D12" s="207"/>
      <c r="E12" s="207"/>
      <c r="F12" s="207"/>
      <c r="G12" s="207"/>
      <c r="H12" s="207"/>
      <c r="I12" s="207"/>
      <c r="J12" s="92"/>
      <c r="K12" s="92"/>
      <c r="L12" s="92"/>
      <c r="M12" s="92"/>
      <c r="N12" s="92"/>
      <c r="O12" s="92"/>
      <c r="P12" s="92"/>
    </row>
    <row r="13" spans="2:16" ht="15.6" x14ac:dyDescent="0.3">
      <c r="B13" s="207"/>
      <c r="C13" s="207"/>
      <c r="D13" s="207"/>
      <c r="E13" s="207"/>
      <c r="F13" s="207"/>
      <c r="G13" s="207"/>
      <c r="H13" s="207"/>
      <c r="I13" s="207"/>
      <c r="J13" s="92"/>
      <c r="K13" s="92"/>
      <c r="L13" s="92"/>
      <c r="M13" s="92"/>
      <c r="N13" s="75" t="s">
        <v>2</v>
      </c>
      <c r="O13" s="73"/>
      <c r="P13" s="73"/>
    </row>
    <row r="14" spans="2:16" ht="15.6" customHeight="1" x14ac:dyDescent="0.25">
      <c r="B14" s="207"/>
      <c r="C14" s="207"/>
      <c r="D14" s="207"/>
      <c r="E14" s="207"/>
      <c r="F14" s="207"/>
      <c r="G14" s="207"/>
      <c r="H14" s="207"/>
      <c r="I14" s="207"/>
      <c r="J14" s="92"/>
      <c r="K14" s="92"/>
      <c r="L14" s="92"/>
      <c r="M14" s="92"/>
      <c r="N14" s="206" t="s">
        <v>3</v>
      </c>
      <c r="O14" s="206"/>
      <c r="P14" s="206"/>
    </row>
    <row r="15" spans="2:16" x14ac:dyDescent="0.25">
      <c r="B15" s="207"/>
      <c r="C15" s="207"/>
      <c r="D15" s="207"/>
      <c r="E15" s="207"/>
      <c r="F15" s="207"/>
      <c r="G15" s="207"/>
      <c r="H15" s="207"/>
      <c r="I15" s="207"/>
      <c r="J15" s="92"/>
      <c r="K15" s="92"/>
      <c r="L15" s="92"/>
      <c r="M15" s="92"/>
      <c r="N15" s="206"/>
      <c r="O15" s="206"/>
      <c r="P15" s="206"/>
    </row>
    <row r="16" spans="2:16" x14ac:dyDescent="0.25">
      <c r="B16" s="207"/>
      <c r="C16" s="207"/>
      <c r="D16" s="207"/>
      <c r="E16" s="207"/>
      <c r="F16" s="207"/>
      <c r="G16" s="207"/>
      <c r="H16" s="207"/>
      <c r="I16" s="207"/>
      <c r="J16" s="92"/>
      <c r="K16" s="92"/>
      <c r="L16" s="92"/>
      <c r="M16" s="92"/>
      <c r="N16" s="206"/>
      <c r="O16" s="206"/>
      <c r="P16" s="206"/>
    </row>
    <row r="17" spans="2:16" x14ac:dyDescent="0.25">
      <c r="B17" s="207"/>
      <c r="C17" s="207"/>
      <c r="D17" s="207"/>
      <c r="E17" s="207"/>
      <c r="F17" s="207"/>
      <c r="G17" s="207"/>
      <c r="H17" s="207"/>
      <c r="I17" s="207"/>
      <c r="J17" s="92"/>
      <c r="K17" s="92"/>
      <c r="L17" s="92"/>
      <c r="M17" s="92"/>
      <c r="N17" s="206"/>
      <c r="O17" s="206"/>
      <c r="P17" s="206"/>
    </row>
    <row r="18" spans="2:16" x14ac:dyDescent="0.25">
      <c r="B18" s="207"/>
      <c r="C18" s="207"/>
      <c r="D18" s="207"/>
      <c r="E18" s="207"/>
      <c r="F18" s="207"/>
      <c r="G18" s="207"/>
      <c r="H18" s="207"/>
      <c r="I18" s="207"/>
      <c r="J18" s="92"/>
      <c r="K18" s="92"/>
      <c r="L18" s="92"/>
      <c r="M18" s="92"/>
      <c r="N18" s="206"/>
      <c r="O18" s="206"/>
      <c r="P18" s="206"/>
    </row>
    <row r="19" spans="2:16" x14ac:dyDescent="0.25">
      <c r="B19" s="207"/>
      <c r="C19" s="207"/>
      <c r="D19" s="207"/>
      <c r="E19" s="207"/>
      <c r="F19" s="207"/>
      <c r="G19" s="207"/>
      <c r="H19" s="207"/>
      <c r="I19" s="207"/>
      <c r="J19" s="92"/>
      <c r="K19" s="92"/>
      <c r="L19" s="92"/>
      <c r="M19" s="92"/>
      <c r="N19" s="206"/>
      <c r="O19" s="206"/>
      <c r="P19" s="206"/>
    </row>
    <row r="20" spans="2:16" x14ac:dyDescent="0.25">
      <c r="B20" s="207"/>
      <c r="C20" s="207"/>
      <c r="D20" s="207"/>
      <c r="E20" s="207"/>
      <c r="F20" s="207"/>
      <c r="G20" s="207"/>
      <c r="H20" s="207"/>
      <c r="I20" s="207"/>
      <c r="J20" s="92"/>
      <c r="K20" s="92"/>
      <c r="L20" s="92"/>
      <c r="M20" s="92"/>
      <c r="N20" s="92"/>
      <c r="O20" s="92"/>
      <c r="P20" s="92"/>
    </row>
    <row r="21" spans="2:16" x14ac:dyDescent="0.25">
      <c r="B21" s="207"/>
      <c r="C21" s="207"/>
      <c r="D21" s="207"/>
      <c r="E21" s="207"/>
      <c r="F21" s="207"/>
      <c r="G21" s="207"/>
      <c r="H21" s="207"/>
      <c r="I21" s="207"/>
      <c r="J21" s="92"/>
      <c r="K21" s="92"/>
      <c r="L21" s="92"/>
      <c r="M21" s="92"/>
      <c r="N21" s="92"/>
      <c r="O21" s="92"/>
      <c r="P21" s="92"/>
    </row>
    <row r="22" spans="2:16" x14ac:dyDescent="0.25">
      <c r="B22" s="207"/>
      <c r="C22" s="207"/>
      <c r="D22" s="207"/>
      <c r="E22" s="207"/>
      <c r="F22" s="207"/>
      <c r="G22" s="207"/>
      <c r="H22" s="207"/>
      <c r="I22" s="207"/>
      <c r="J22" s="92"/>
      <c r="K22" s="92"/>
      <c r="L22" s="92"/>
      <c r="M22" s="92"/>
      <c r="N22" s="92"/>
      <c r="O22" s="92"/>
      <c r="P22" s="92"/>
    </row>
    <row r="23" spans="2:16" x14ac:dyDescent="0.25">
      <c r="B23" s="207"/>
      <c r="C23" s="207"/>
      <c r="D23" s="207"/>
      <c r="E23" s="207"/>
      <c r="F23" s="207"/>
      <c r="G23" s="207"/>
      <c r="H23" s="207"/>
      <c r="I23" s="207"/>
      <c r="J23" s="92"/>
      <c r="K23" s="92"/>
      <c r="L23" s="92"/>
      <c r="M23" s="92"/>
      <c r="N23" s="92"/>
      <c r="O23" s="92"/>
      <c r="P23" s="92"/>
    </row>
    <row r="24" spans="2:16" x14ac:dyDescent="0.25">
      <c r="B24" s="207"/>
      <c r="C24" s="207"/>
      <c r="D24" s="207"/>
      <c r="E24" s="207"/>
      <c r="F24" s="207"/>
      <c r="G24" s="207"/>
      <c r="H24" s="207"/>
      <c r="I24" s="207"/>
      <c r="J24" s="92"/>
      <c r="K24" s="92"/>
      <c r="L24" s="92"/>
      <c r="M24" s="92"/>
      <c r="N24" s="92"/>
      <c r="O24" s="92"/>
      <c r="P24" s="92"/>
    </row>
    <row r="29" spans="2:16" ht="17.399999999999999" x14ac:dyDescent="0.3">
      <c r="B29" s="204" t="s">
        <v>4</v>
      </c>
      <c r="C29" s="204"/>
      <c r="D29" s="204"/>
      <c r="E29" s="204"/>
      <c r="F29" s="204"/>
      <c r="G29" s="204"/>
      <c r="H29" s="204"/>
      <c r="I29" s="204"/>
      <c r="J29" s="92"/>
      <c r="K29" s="92"/>
      <c r="L29" s="92"/>
      <c r="M29" s="92"/>
      <c r="N29" s="92"/>
      <c r="O29" s="92"/>
      <c r="P29" s="92"/>
    </row>
    <row r="30" spans="2:16" ht="17.399999999999999" x14ac:dyDescent="0.3">
      <c r="B30" s="92"/>
      <c r="C30" s="7"/>
      <c r="D30" s="8"/>
      <c r="E30" s="8"/>
      <c r="F30" s="8"/>
      <c r="G30" s="8"/>
      <c r="H30" s="8"/>
      <c r="I30" s="8"/>
      <c r="J30" s="92"/>
      <c r="K30" s="92"/>
      <c r="L30" s="92"/>
      <c r="M30" s="92"/>
      <c r="N30" s="92"/>
      <c r="O30" s="92"/>
      <c r="P30" s="92"/>
    </row>
    <row r="31" spans="2:16" ht="17.399999999999999" x14ac:dyDescent="0.3">
      <c r="B31" s="204" t="s">
        <v>5</v>
      </c>
      <c r="C31" s="204"/>
      <c r="D31" s="204"/>
      <c r="E31" s="204"/>
      <c r="F31" s="204"/>
      <c r="G31" s="204"/>
      <c r="H31" s="204"/>
      <c r="I31" s="204"/>
      <c r="J31" s="92"/>
      <c r="K31" s="92"/>
      <c r="L31" s="92"/>
      <c r="M31" s="92"/>
      <c r="N31" s="92"/>
      <c r="O31" s="92"/>
      <c r="P31" s="92"/>
    </row>
    <row r="32" spans="2:16" ht="17.399999999999999" x14ac:dyDescent="0.3">
      <c r="B32" s="92"/>
      <c r="C32" s="7"/>
      <c r="D32" s="8"/>
      <c r="E32" s="8"/>
      <c r="F32" s="8"/>
      <c r="G32" s="8"/>
      <c r="H32" s="8"/>
      <c r="I32" s="8"/>
      <c r="J32" s="92"/>
      <c r="K32" s="92"/>
      <c r="L32" s="92"/>
      <c r="M32" s="92"/>
      <c r="N32" s="92"/>
      <c r="O32" s="92"/>
      <c r="P32" s="92"/>
    </row>
    <row r="33" spans="2:9" ht="17.399999999999999" x14ac:dyDescent="0.3">
      <c r="B33" s="204" t="s">
        <v>6</v>
      </c>
      <c r="C33" s="204"/>
      <c r="D33" s="204"/>
      <c r="E33" s="204"/>
      <c r="F33" s="204"/>
      <c r="G33" s="204"/>
      <c r="H33" s="204"/>
      <c r="I33" s="204"/>
    </row>
    <row r="34" spans="2:9" ht="17.399999999999999" x14ac:dyDescent="0.3">
      <c r="B34" s="92"/>
      <c r="C34" s="7"/>
      <c r="D34" s="8"/>
      <c r="E34" s="8"/>
      <c r="F34" s="8"/>
      <c r="G34" s="8"/>
      <c r="H34" s="8"/>
      <c r="I34" s="8"/>
    </row>
    <row r="35" spans="2:9" ht="17.399999999999999" x14ac:dyDescent="0.3">
      <c r="B35" s="204"/>
      <c r="C35" s="204"/>
      <c r="D35" s="204"/>
      <c r="E35" s="204"/>
      <c r="F35" s="204"/>
      <c r="G35" s="204"/>
      <c r="H35" s="204"/>
      <c r="I35" s="204"/>
    </row>
    <row r="37" spans="2:9" ht="17.399999999999999" x14ac:dyDescent="0.3">
      <c r="B37" s="204" t="s">
        <v>7</v>
      </c>
      <c r="C37" s="204"/>
      <c r="D37" s="204"/>
      <c r="E37" s="204"/>
      <c r="F37" s="204"/>
      <c r="G37" s="204"/>
      <c r="H37" s="204"/>
      <c r="I37" s="204"/>
    </row>
    <row r="39" spans="2:9" x14ac:dyDescent="0.25">
      <c r="B39" s="92" t="s">
        <v>8</v>
      </c>
      <c r="C39" s="137">
        <v>2022</v>
      </c>
      <c r="D39" s="92"/>
      <c r="E39" s="92"/>
      <c r="F39" s="92"/>
      <c r="G39" s="92"/>
      <c r="H39" s="92"/>
      <c r="I39" s="92"/>
    </row>
    <row r="40" spans="2:9" ht="14.25" customHeight="1" x14ac:dyDescent="0.25">
      <c r="B40" s="92"/>
      <c r="C40" s="92"/>
      <c r="D40" s="92"/>
      <c r="E40" s="92"/>
      <c r="F40" s="92"/>
      <c r="G40" s="92"/>
      <c r="H40" s="92"/>
      <c r="I40" s="92"/>
    </row>
    <row r="41" spans="2:9" x14ac:dyDescent="0.25">
      <c r="B41" s="138" t="s">
        <v>9</v>
      </c>
      <c r="C41" s="203" t="s">
        <v>10</v>
      </c>
      <c r="D41" s="203"/>
      <c r="E41" s="203"/>
      <c r="F41" s="203"/>
      <c r="G41" s="203"/>
      <c r="H41" s="203"/>
      <c r="I41" s="203"/>
    </row>
    <row r="42" spans="2:9" x14ac:dyDescent="0.25">
      <c r="B42" s="138"/>
      <c r="C42" s="92"/>
      <c r="D42" s="92"/>
      <c r="E42" s="92"/>
      <c r="F42" s="92"/>
      <c r="G42" s="92"/>
      <c r="H42" s="92"/>
      <c r="I42" s="92"/>
    </row>
    <row r="43" spans="2:9" x14ac:dyDescent="0.25">
      <c r="B43" s="138" t="s">
        <v>11</v>
      </c>
      <c r="C43" s="203">
        <v>77175701243</v>
      </c>
      <c r="D43" s="203"/>
      <c r="E43" s="203"/>
      <c r="F43" s="92"/>
      <c r="G43" s="92"/>
      <c r="H43" s="92"/>
      <c r="I43" s="92"/>
    </row>
    <row r="44" spans="2:9" x14ac:dyDescent="0.25">
      <c r="B44" s="138"/>
      <c r="C44" s="92"/>
      <c r="D44" s="92"/>
      <c r="E44" s="92"/>
      <c r="F44" s="92"/>
      <c r="G44" s="92"/>
      <c r="H44" s="92"/>
      <c r="I44" s="92"/>
    </row>
    <row r="45" spans="2:9" ht="15.6" x14ac:dyDescent="0.3">
      <c r="B45" s="138" t="s">
        <v>12</v>
      </c>
      <c r="C45" s="205" t="s">
        <v>13</v>
      </c>
      <c r="D45" s="203"/>
      <c r="E45" s="203"/>
      <c r="F45" s="92"/>
      <c r="G45" s="92"/>
      <c r="H45" s="92"/>
      <c r="I45" s="92"/>
    </row>
    <row r="46" spans="2:9" x14ac:dyDescent="0.25">
      <c r="B46" s="138"/>
      <c r="C46" s="92"/>
      <c r="D46" s="92"/>
      <c r="E46" s="92"/>
      <c r="F46" s="92"/>
      <c r="G46" s="92"/>
      <c r="H46" s="92"/>
      <c r="I46" s="92"/>
    </row>
    <row r="47" spans="2:9" x14ac:dyDescent="0.25">
      <c r="B47" s="138" t="s">
        <v>14</v>
      </c>
      <c r="C47" s="202" t="s">
        <v>15</v>
      </c>
      <c r="D47" s="202"/>
      <c r="E47" s="92"/>
      <c r="F47" s="92" t="s">
        <v>16</v>
      </c>
      <c r="G47" s="202" t="s">
        <v>17</v>
      </c>
      <c r="H47" s="202"/>
      <c r="I47" s="202"/>
    </row>
    <row r="48" spans="2:9" x14ac:dyDescent="0.25">
      <c r="B48" s="138"/>
      <c r="C48" s="92"/>
      <c r="D48" s="92"/>
      <c r="E48" s="92"/>
      <c r="F48" s="92"/>
      <c r="G48" s="92"/>
      <c r="H48" s="92"/>
      <c r="I48" s="92"/>
    </row>
    <row r="49" spans="2:9" x14ac:dyDescent="0.25">
      <c r="B49" s="138" t="s">
        <v>18</v>
      </c>
      <c r="C49" s="202" t="s">
        <v>19</v>
      </c>
      <c r="D49" s="202"/>
      <c r="E49" s="92"/>
      <c r="F49" s="92" t="s">
        <v>16</v>
      </c>
      <c r="G49" s="202" t="s">
        <v>20</v>
      </c>
      <c r="H49" s="202"/>
      <c r="I49" s="202"/>
    </row>
    <row r="50" spans="2:9" x14ac:dyDescent="0.25">
      <c r="B50" s="138"/>
      <c r="C50" s="92"/>
      <c r="D50" s="92"/>
      <c r="E50" s="92"/>
      <c r="F50" s="92"/>
      <c r="G50" s="92"/>
      <c r="H50" s="92"/>
      <c r="I50" s="92"/>
    </row>
    <row r="51" spans="2:9" x14ac:dyDescent="0.25">
      <c r="B51" s="138" t="s">
        <v>21</v>
      </c>
      <c r="C51" s="137">
        <v>22.3</v>
      </c>
      <c r="D51" s="92"/>
      <c r="E51" s="92"/>
      <c r="F51" s="92"/>
      <c r="G51" s="92"/>
      <c r="H51" s="92"/>
      <c r="I51" s="92"/>
    </row>
    <row r="52" spans="2:9" x14ac:dyDescent="0.25">
      <c r="B52" s="138"/>
      <c r="C52" s="92"/>
      <c r="D52" s="92"/>
      <c r="E52" s="92"/>
      <c r="F52" s="92"/>
      <c r="G52" s="92"/>
      <c r="H52" s="92"/>
      <c r="I52" s="92"/>
    </row>
    <row r="53" spans="2:9" x14ac:dyDescent="0.25">
      <c r="B53" s="138" t="s">
        <v>22</v>
      </c>
      <c r="C53" s="203"/>
      <c r="D53" s="203"/>
      <c r="E53" s="92"/>
      <c r="F53" s="92"/>
      <c r="G53" s="92"/>
      <c r="H53" s="92"/>
      <c r="I53" s="92"/>
    </row>
  </sheetData>
  <mergeCells count="16">
    <mergeCell ref="N14:P19"/>
    <mergeCell ref="B35:I35"/>
    <mergeCell ref="D1:G6"/>
    <mergeCell ref="B8:I24"/>
    <mergeCell ref="B29:I29"/>
    <mergeCell ref="B31:I31"/>
    <mergeCell ref="B33:I33"/>
    <mergeCell ref="C49:D49"/>
    <mergeCell ref="G49:I49"/>
    <mergeCell ref="C53:D53"/>
    <mergeCell ref="B37:I37"/>
    <mergeCell ref="C41:I41"/>
    <mergeCell ref="C43:E43"/>
    <mergeCell ref="C45:E45"/>
    <mergeCell ref="C47:D47"/>
    <mergeCell ref="G47:I47"/>
  </mergeCells>
  <hyperlinks>
    <hyperlink ref="C45" r:id="rId1" xr:uid="{17B76B6D-38F4-4132-9288-4CDCAB80E51E}"/>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441960</xdr:colOff>
                    <xdr:row>8</xdr:row>
                    <xdr:rowOff>114300</xdr:rowOff>
                  </from>
                  <to>
                    <xdr:col>15</xdr:col>
                    <xdr:colOff>289560</xdr:colOff>
                    <xdr:row>11</xdr:row>
                    <xdr:rowOff>22860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449580</xdr:colOff>
                    <xdr:row>5</xdr:row>
                    <xdr:rowOff>106680</xdr:rowOff>
                  </from>
                  <to>
                    <xdr:col>15</xdr:col>
                    <xdr:colOff>297180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6"/>
  <sheetViews>
    <sheetView workbookViewId="0">
      <selection activeCell="B15" sqref="B15:G15"/>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5" x14ac:dyDescent="0.25">
      <c r="A1" s="92" t="str">
        <f>+'Cover Page'!$B$29</f>
        <v>Annual Performance Report 2022</v>
      </c>
      <c r="B1" s="92"/>
      <c r="C1" s="92"/>
      <c r="D1" s="92"/>
      <c r="E1" s="92" t="str">
        <f>+'Cover Page'!$B$33</f>
        <v>Beddington Energy Recovery Facility</v>
      </c>
      <c r="F1" s="92"/>
      <c r="G1" s="92"/>
      <c r="H1" s="92"/>
      <c r="I1" s="92"/>
      <c r="J1" s="92"/>
      <c r="K1" s="92"/>
      <c r="L1" s="92"/>
      <c r="M1" s="92"/>
      <c r="N1" s="92"/>
      <c r="O1" s="92"/>
    </row>
    <row r="3" spans="1:15" ht="15.6" x14ac:dyDescent="0.3">
      <c r="A3" s="53" t="s">
        <v>23</v>
      </c>
      <c r="B3" s="139"/>
      <c r="C3" s="139"/>
      <c r="D3" s="139"/>
      <c r="E3" s="139"/>
      <c r="F3" s="139"/>
      <c r="G3" s="139"/>
      <c r="H3" s="140"/>
      <c r="I3" s="92"/>
      <c r="J3" s="92"/>
      <c r="K3" s="75" t="s">
        <v>2</v>
      </c>
      <c r="L3" s="92"/>
      <c r="M3" s="92"/>
      <c r="N3" s="92"/>
      <c r="O3" s="92"/>
    </row>
    <row r="4" spans="1:15" ht="15.6" x14ac:dyDescent="0.3">
      <c r="A4" s="5" t="s">
        <v>24</v>
      </c>
      <c r="B4" s="229" t="s">
        <v>25</v>
      </c>
      <c r="C4" s="229"/>
      <c r="D4" s="229"/>
      <c r="E4" s="229"/>
      <c r="F4" s="229"/>
      <c r="G4" s="229"/>
      <c r="H4" s="6" t="s">
        <v>26</v>
      </c>
      <c r="I4" s="92"/>
      <c r="J4" s="92"/>
      <c r="K4" s="73" t="s">
        <v>27</v>
      </c>
      <c r="L4" s="92"/>
      <c r="M4" s="92"/>
      <c r="N4" s="92"/>
      <c r="O4" s="92"/>
    </row>
    <row r="5" spans="1:15" ht="15.6" customHeight="1" x14ac:dyDescent="0.25">
      <c r="A5" s="4"/>
      <c r="B5" s="225" t="s">
        <v>28</v>
      </c>
      <c r="C5" s="225"/>
      <c r="D5" s="225"/>
      <c r="E5" s="225"/>
      <c r="F5" s="225"/>
      <c r="G5" s="225"/>
      <c r="H5" s="4"/>
      <c r="I5" s="92"/>
      <c r="J5" s="92"/>
      <c r="K5" s="206" t="s">
        <v>29</v>
      </c>
      <c r="L5" s="206"/>
      <c r="M5" s="206"/>
      <c r="N5" s="206"/>
      <c r="O5" s="206"/>
    </row>
    <row r="6" spans="1:15" x14ac:dyDescent="0.25">
      <c r="A6" s="4"/>
      <c r="B6" s="225" t="s">
        <v>30</v>
      </c>
      <c r="C6" s="225"/>
      <c r="D6" s="225"/>
      <c r="E6" s="225"/>
      <c r="F6" s="225"/>
      <c r="G6" s="225"/>
      <c r="H6" s="4"/>
      <c r="I6" s="92"/>
      <c r="J6" s="92"/>
      <c r="K6" s="206"/>
      <c r="L6" s="206"/>
      <c r="M6" s="206"/>
      <c r="N6" s="206"/>
      <c r="O6" s="206"/>
    </row>
    <row r="7" spans="1:15" ht="15.75" customHeight="1" x14ac:dyDescent="0.25">
      <c r="A7" s="4"/>
      <c r="B7" s="225" t="s">
        <v>31</v>
      </c>
      <c r="C7" s="225"/>
      <c r="D7" s="225"/>
      <c r="E7" s="225"/>
      <c r="F7" s="225"/>
      <c r="G7" s="225"/>
      <c r="H7" s="4"/>
      <c r="I7" s="92"/>
      <c r="J7" s="92"/>
      <c r="K7" s="206"/>
      <c r="L7" s="206"/>
      <c r="M7" s="206"/>
      <c r="N7" s="206"/>
      <c r="O7" s="206"/>
    </row>
    <row r="8" spans="1:15" x14ac:dyDescent="0.25">
      <c r="A8" s="4"/>
      <c r="B8" s="225" t="s">
        <v>32</v>
      </c>
      <c r="C8" s="225"/>
      <c r="D8" s="225"/>
      <c r="E8" s="225"/>
      <c r="F8" s="225"/>
      <c r="G8" s="225"/>
      <c r="H8" s="4"/>
      <c r="I8" s="92"/>
      <c r="J8" s="92"/>
      <c r="K8" s="206"/>
      <c r="L8" s="206"/>
      <c r="M8" s="206"/>
      <c r="N8" s="206"/>
      <c r="O8" s="206"/>
    </row>
    <row r="9" spans="1:15" x14ac:dyDescent="0.25">
      <c r="A9" s="4"/>
      <c r="B9" s="225" t="s">
        <v>33</v>
      </c>
      <c r="C9" s="225"/>
      <c r="D9" s="225"/>
      <c r="E9" s="225"/>
      <c r="F9" s="225"/>
      <c r="G9" s="225"/>
      <c r="H9" s="4"/>
      <c r="I9" s="92"/>
      <c r="J9" s="92"/>
      <c r="K9" s="92"/>
      <c r="L9" s="92"/>
      <c r="M9" s="92"/>
      <c r="N9" s="92"/>
      <c r="O9" s="92"/>
    </row>
    <row r="10" spans="1:15" x14ac:dyDescent="0.25">
      <c r="A10" s="4"/>
      <c r="B10" s="225" t="s">
        <v>34</v>
      </c>
      <c r="C10" s="225"/>
      <c r="D10" s="225"/>
      <c r="E10" s="225"/>
      <c r="F10" s="225"/>
      <c r="G10" s="225"/>
      <c r="H10" s="4"/>
      <c r="I10" s="92"/>
      <c r="J10" s="92"/>
      <c r="K10" s="92"/>
      <c r="L10" s="92"/>
      <c r="M10" s="92"/>
      <c r="N10" s="92"/>
      <c r="O10" s="92"/>
    </row>
    <row r="11" spans="1:15" x14ac:dyDescent="0.25">
      <c r="A11" s="4"/>
      <c r="B11" s="225" t="s">
        <v>35</v>
      </c>
      <c r="C11" s="225"/>
      <c r="D11" s="225"/>
      <c r="E11" s="225"/>
      <c r="F11" s="225"/>
      <c r="G11" s="225"/>
      <c r="H11" s="4"/>
      <c r="I11" s="92"/>
      <c r="J11" s="92"/>
      <c r="K11" s="92"/>
      <c r="L11" s="92"/>
      <c r="M11" s="92"/>
      <c r="N11" s="92"/>
      <c r="O11" s="92"/>
    </row>
    <row r="12" spans="1:15" x14ac:dyDescent="0.25">
      <c r="A12" s="4"/>
      <c r="B12" s="225" t="s">
        <v>36</v>
      </c>
      <c r="C12" s="225"/>
      <c r="D12" s="225"/>
      <c r="E12" s="225"/>
      <c r="F12" s="225"/>
      <c r="G12" s="225"/>
      <c r="H12" s="4"/>
      <c r="I12" s="92"/>
      <c r="J12" s="92"/>
      <c r="K12" s="92"/>
      <c r="L12" s="92"/>
      <c r="M12" s="92"/>
      <c r="N12" s="92"/>
      <c r="O12" s="92"/>
    </row>
    <row r="13" spans="1:15" ht="15.6" x14ac:dyDescent="0.3">
      <c r="A13" s="4"/>
      <c r="B13" s="226" t="s">
        <v>37</v>
      </c>
      <c r="C13" s="227"/>
      <c r="D13" s="227"/>
      <c r="E13" s="227"/>
      <c r="F13" s="227"/>
      <c r="G13" s="228"/>
      <c r="H13" s="4"/>
      <c r="I13" s="92"/>
      <c r="J13" s="92"/>
      <c r="K13" s="92"/>
      <c r="L13" s="92"/>
      <c r="M13" s="92"/>
      <c r="N13" s="92"/>
      <c r="O13" s="92"/>
    </row>
    <row r="14" spans="1:15" x14ac:dyDescent="0.25">
      <c r="A14" s="4"/>
      <c r="B14" s="225" t="s">
        <v>38</v>
      </c>
      <c r="C14" s="225"/>
      <c r="D14" s="225"/>
      <c r="E14" s="225"/>
      <c r="F14" s="225"/>
      <c r="G14" s="225"/>
      <c r="H14" s="4"/>
      <c r="I14" s="92"/>
      <c r="J14" s="92"/>
      <c r="K14" s="92"/>
      <c r="L14" s="92"/>
      <c r="M14" s="92"/>
      <c r="N14" s="92"/>
      <c r="O14" s="92"/>
    </row>
    <row r="15" spans="1:15" x14ac:dyDescent="0.25">
      <c r="A15" s="4"/>
      <c r="B15" s="225" t="s">
        <v>39</v>
      </c>
      <c r="C15" s="225"/>
      <c r="D15" s="225"/>
      <c r="E15" s="225"/>
      <c r="F15" s="225"/>
      <c r="G15" s="225"/>
      <c r="H15" s="4"/>
      <c r="I15" s="92"/>
      <c r="J15" s="92"/>
      <c r="K15" s="92"/>
      <c r="L15" s="92"/>
      <c r="M15" s="92"/>
      <c r="N15" s="92"/>
      <c r="O15" s="92"/>
    </row>
    <row r="16" spans="1:15" x14ac:dyDescent="0.25">
      <c r="A16" s="4"/>
      <c r="B16" s="225" t="s">
        <v>40</v>
      </c>
      <c r="C16" s="225"/>
      <c r="D16" s="225"/>
      <c r="E16" s="225"/>
      <c r="F16" s="225"/>
      <c r="G16" s="225"/>
      <c r="H16" s="4"/>
      <c r="I16" s="92"/>
      <c r="J16" s="92"/>
      <c r="K16" s="92"/>
      <c r="L16" s="92"/>
      <c r="M16" s="92"/>
      <c r="N16" s="92"/>
      <c r="O16" s="92"/>
    </row>
    <row r="17" spans="1:8" x14ac:dyDescent="0.25">
      <c r="A17" s="4"/>
      <c r="B17" s="225" t="s">
        <v>41</v>
      </c>
      <c r="C17" s="225"/>
      <c r="D17" s="225"/>
      <c r="E17" s="225"/>
      <c r="F17" s="225"/>
      <c r="G17" s="225"/>
      <c r="H17" s="4"/>
    </row>
    <row r="18" spans="1:8" x14ac:dyDescent="0.25">
      <c r="A18" s="4"/>
      <c r="B18" s="225" t="s">
        <v>42</v>
      </c>
      <c r="C18" s="225"/>
      <c r="D18" s="225"/>
      <c r="E18" s="225"/>
      <c r="F18" s="225"/>
      <c r="G18" s="225"/>
      <c r="H18" s="4"/>
    </row>
    <row r="19" spans="1:8" x14ac:dyDescent="0.25">
      <c r="A19" s="4"/>
      <c r="B19" s="225" t="s">
        <v>43</v>
      </c>
      <c r="C19" s="225"/>
      <c r="D19" s="225"/>
      <c r="E19" s="225"/>
      <c r="F19" s="225"/>
      <c r="G19" s="225"/>
      <c r="H19" s="4"/>
    </row>
    <row r="20" spans="1:8" x14ac:dyDescent="0.25">
      <c r="A20" s="4"/>
      <c r="B20" s="225" t="s">
        <v>44</v>
      </c>
      <c r="C20" s="225"/>
      <c r="D20" s="225"/>
      <c r="E20" s="225"/>
      <c r="F20" s="225"/>
      <c r="G20" s="225"/>
      <c r="H20" s="4"/>
    </row>
    <row r="21" spans="1:8" x14ac:dyDescent="0.25">
      <c r="A21" s="4"/>
      <c r="B21" s="225" t="s">
        <v>45</v>
      </c>
      <c r="C21" s="225"/>
      <c r="D21" s="225"/>
      <c r="E21" s="225"/>
      <c r="F21" s="225"/>
      <c r="G21" s="225"/>
      <c r="H21" s="4"/>
    </row>
    <row r="22" spans="1:8" x14ac:dyDescent="0.25">
      <c r="A22" s="4"/>
      <c r="B22" s="225" t="s">
        <v>46</v>
      </c>
      <c r="C22" s="225"/>
      <c r="D22" s="225"/>
      <c r="E22" s="225"/>
      <c r="F22" s="225"/>
      <c r="G22" s="225"/>
      <c r="H22" s="4"/>
    </row>
    <row r="23" spans="1:8" x14ac:dyDescent="0.25">
      <c r="A23" s="4"/>
      <c r="B23" s="218" t="s">
        <v>47</v>
      </c>
      <c r="C23" s="219"/>
      <c r="D23" s="219"/>
      <c r="E23" s="219"/>
      <c r="F23" s="219"/>
      <c r="G23" s="220"/>
      <c r="H23" s="4"/>
    </row>
    <row r="24" spans="1:8" x14ac:dyDescent="0.25">
      <c r="A24" s="4"/>
      <c r="B24" s="218" t="s">
        <v>48</v>
      </c>
      <c r="C24" s="219"/>
      <c r="D24" s="219"/>
      <c r="E24" s="219"/>
      <c r="F24" s="219"/>
      <c r="G24" s="220"/>
      <c r="H24" s="4"/>
    </row>
    <row r="25" spans="1:8" x14ac:dyDescent="0.25">
      <c r="A25" s="4"/>
      <c r="B25" s="221"/>
      <c r="C25" s="221"/>
      <c r="D25" s="221"/>
      <c r="E25" s="221"/>
      <c r="F25" s="221"/>
      <c r="G25" s="221"/>
      <c r="H25" s="4"/>
    </row>
    <row r="27" spans="1:8" x14ac:dyDescent="0.25">
      <c r="A27" s="52" t="s">
        <v>49</v>
      </c>
      <c r="B27" s="139"/>
      <c r="C27" s="139"/>
      <c r="D27" s="139"/>
      <c r="E27" s="139"/>
      <c r="F27" s="139"/>
      <c r="G27" s="139"/>
      <c r="H27" s="140"/>
    </row>
    <row r="28" spans="1:8" x14ac:dyDescent="0.25">
      <c r="A28" s="10" t="s">
        <v>24</v>
      </c>
      <c r="B28" s="222" t="s">
        <v>50</v>
      </c>
      <c r="C28" s="222"/>
      <c r="D28" s="222"/>
      <c r="E28" s="222"/>
      <c r="F28" s="222"/>
      <c r="G28" s="222"/>
      <c r="H28" s="11" t="s">
        <v>51</v>
      </c>
    </row>
    <row r="29" spans="1:8" x14ac:dyDescent="0.25">
      <c r="A29" s="141"/>
      <c r="B29" s="223"/>
      <c r="C29" s="223"/>
      <c r="D29" s="223"/>
      <c r="E29" s="223"/>
      <c r="F29" s="223"/>
      <c r="G29" s="223"/>
      <c r="H29" s="141"/>
    </row>
    <row r="30" spans="1:8" x14ac:dyDescent="0.25">
      <c r="A30" s="141"/>
      <c r="B30" s="223"/>
      <c r="C30" s="223"/>
      <c r="D30" s="223"/>
      <c r="E30" s="223"/>
      <c r="F30" s="223"/>
      <c r="G30" s="223"/>
      <c r="H30" s="141"/>
    </row>
    <row r="31" spans="1:8" x14ac:dyDescent="0.25">
      <c r="A31" s="141"/>
      <c r="B31" s="223"/>
      <c r="C31" s="223"/>
      <c r="D31" s="223"/>
      <c r="E31" s="223"/>
      <c r="F31" s="223"/>
      <c r="G31" s="223"/>
      <c r="H31" s="141"/>
    </row>
    <row r="32" spans="1:8" x14ac:dyDescent="0.25">
      <c r="A32" s="141"/>
      <c r="B32" s="223"/>
      <c r="C32" s="223"/>
      <c r="D32" s="223"/>
      <c r="E32" s="223"/>
      <c r="F32" s="223"/>
      <c r="G32" s="223"/>
      <c r="H32" s="141"/>
    </row>
    <row r="33" spans="1:10" x14ac:dyDescent="0.25">
      <c r="A33" s="141"/>
      <c r="B33" s="223"/>
      <c r="C33" s="223"/>
      <c r="D33" s="223"/>
      <c r="E33" s="223"/>
      <c r="F33" s="223"/>
      <c r="G33" s="223"/>
      <c r="H33" s="141"/>
      <c r="I33" s="92"/>
      <c r="J33" s="92"/>
    </row>
    <row r="35" spans="1:10" ht="14.25" customHeight="1" x14ac:dyDescent="0.25">
      <c r="A35" s="52" t="s">
        <v>52</v>
      </c>
      <c r="B35" s="139"/>
      <c r="C35" s="139"/>
      <c r="D35" s="139"/>
      <c r="E35" s="139"/>
      <c r="F35" s="139"/>
      <c r="G35" s="139"/>
      <c r="H35" s="140"/>
      <c r="I35" s="92"/>
      <c r="J35" s="92"/>
    </row>
    <row r="36" spans="1:10" x14ac:dyDescent="0.25">
      <c r="A36" s="13" t="s">
        <v>53</v>
      </c>
      <c r="B36" s="224" t="s">
        <v>54</v>
      </c>
      <c r="C36" s="224"/>
      <c r="D36" s="224"/>
      <c r="E36" s="224"/>
      <c r="F36" s="224"/>
      <c r="G36" s="224"/>
      <c r="H36" s="14" t="s">
        <v>55</v>
      </c>
      <c r="I36" s="92"/>
      <c r="J36" s="92"/>
    </row>
    <row r="37" spans="1:10" x14ac:dyDescent="0.25">
      <c r="A37" s="135"/>
      <c r="B37" s="217"/>
      <c r="C37" s="217"/>
      <c r="D37" s="217"/>
      <c r="E37" s="217"/>
      <c r="F37" s="217"/>
      <c r="G37" s="217"/>
      <c r="H37" s="135"/>
      <c r="I37" s="92"/>
      <c r="J37" s="92"/>
    </row>
    <row r="38" spans="1:10" x14ac:dyDescent="0.25">
      <c r="A38" s="135"/>
      <c r="B38" s="217"/>
      <c r="C38" s="217"/>
      <c r="D38" s="217"/>
      <c r="E38" s="217"/>
      <c r="F38" s="217"/>
      <c r="G38" s="217"/>
      <c r="H38" s="135"/>
      <c r="I38" s="92"/>
      <c r="J38" s="92"/>
    </row>
    <row r="39" spans="1:10" x14ac:dyDescent="0.25">
      <c r="A39" s="135"/>
      <c r="B39" s="217"/>
      <c r="C39" s="217"/>
      <c r="D39" s="217"/>
      <c r="E39" s="217"/>
      <c r="F39" s="217"/>
      <c r="G39" s="217"/>
      <c r="H39" s="135"/>
      <c r="I39" s="92"/>
      <c r="J39" s="92"/>
    </row>
    <row r="40" spans="1:10" x14ac:dyDescent="0.25">
      <c r="A40" s="135"/>
      <c r="B40" s="217"/>
      <c r="C40" s="217"/>
      <c r="D40" s="217"/>
      <c r="E40" s="217"/>
      <c r="F40" s="217"/>
      <c r="G40" s="217"/>
      <c r="H40" s="135"/>
      <c r="I40" s="92"/>
      <c r="J40" s="92"/>
    </row>
    <row r="41" spans="1:10" x14ac:dyDescent="0.25">
      <c r="A41" s="135"/>
      <c r="B41" s="217"/>
      <c r="C41" s="217"/>
      <c r="D41" s="217"/>
      <c r="E41" s="217"/>
      <c r="F41" s="217"/>
      <c r="G41" s="217"/>
      <c r="H41" s="135"/>
      <c r="I41" s="92"/>
      <c r="J41" s="92"/>
    </row>
    <row r="42" spans="1:10" x14ac:dyDescent="0.25">
      <c r="A42" s="135"/>
      <c r="B42" s="217"/>
      <c r="C42" s="217"/>
      <c r="D42" s="217"/>
      <c r="E42" s="217"/>
      <c r="F42" s="217"/>
      <c r="G42" s="217"/>
      <c r="H42" s="135"/>
      <c r="I42" s="92"/>
      <c r="J42" s="92"/>
    </row>
    <row r="43" spans="1:10" x14ac:dyDescent="0.25">
      <c r="A43" s="135"/>
      <c r="B43" s="217"/>
      <c r="C43" s="217"/>
      <c r="D43" s="217"/>
      <c r="E43" s="217"/>
      <c r="F43" s="217"/>
      <c r="G43" s="217"/>
      <c r="H43" s="135"/>
      <c r="I43" s="92"/>
      <c r="J43" s="92"/>
    </row>
    <row r="45" spans="1:10" x14ac:dyDescent="0.25">
      <c r="A45" s="208" t="s">
        <v>56</v>
      </c>
      <c r="B45" s="209"/>
      <c r="C45" s="209"/>
      <c r="D45" s="209"/>
      <c r="E45" s="209"/>
      <c r="F45" s="209"/>
      <c r="G45" s="209"/>
      <c r="H45" s="209"/>
      <c r="I45" s="209"/>
      <c r="J45" s="210"/>
    </row>
    <row r="46" spans="1:10" x14ac:dyDescent="0.25">
      <c r="A46" s="211"/>
      <c r="B46" s="212"/>
      <c r="C46" s="212"/>
      <c r="D46" s="212"/>
      <c r="E46" s="212"/>
      <c r="F46" s="212"/>
      <c r="G46" s="212"/>
      <c r="H46" s="212"/>
      <c r="I46" s="212"/>
      <c r="J46" s="213"/>
    </row>
    <row r="47" spans="1:10" x14ac:dyDescent="0.25">
      <c r="A47" s="211"/>
      <c r="B47" s="212"/>
      <c r="C47" s="212"/>
      <c r="D47" s="212"/>
      <c r="E47" s="212"/>
      <c r="F47" s="212"/>
      <c r="G47" s="212"/>
      <c r="H47" s="212"/>
      <c r="I47" s="212"/>
      <c r="J47" s="213"/>
    </row>
    <row r="48" spans="1:10" x14ac:dyDescent="0.25">
      <c r="A48" s="214"/>
      <c r="B48" s="215"/>
      <c r="C48" s="215"/>
      <c r="D48" s="215"/>
      <c r="E48" s="215"/>
      <c r="F48" s="215"/>
      <c r="G48" s="215"/>
      <c r="H48" s="215"/>
      <c r="I48" s="215"/>
      <c r="J48" s="216"/>
    </row>
    <row r="66" spans="6:6" x14ac:dyDescent="0.25">
      <c r="F66" s="3"/>
    </row>
  </sheetData>
  <mergeCells count="38">
    <mergeCell ref="K5:O8"/>
    <mergeCell ref="B9:G9"/>
    <mergeCell ref="B4:G4"/>
    <mergeCell ref="B5:G5"/>
    <mergeCell ref="B6:G6"/>
    <mergeCell ref="B7:G7"/>
    <mergeCell ref="B8:G8"/>
    <mergeCell ref="B22:G22"/>
    <mergeCell ref="B10:G10"/>
    <mergeCell ref="B11:G11"/>
    <mergeCell ref="B12:G12"/>
    <mergeCell ref="B14:G14"/>
    <mergeCell ref="B15:G15"/>
    <mergeCell ref="B16:G16"/>
    <mergeCell ref="B17:G17"/>
    <mergeCell ref="B18:G18"/>
    <mergeCell ref="B19:G19"/>
    <mergeCell ref="B20:G20"/>
    <mergeCell ref="B21:G21"/>
    <mergeCell ref="B13:G13"/>
    <mergeCell ref="B37:G37"/>
    <mergeCell ref="B23:G23"/>
    <mergeCell ref="B24:G24"/>
    <mergeCell ref="B25:G25"/>
    <mergeCell ref="B28:G28"/>
    <mergeCell ref="B29:G29"/>
    <mergeCell ref="B30:G30"/>
    <mergeCell ref="B31:G31"/>
    <mergeCell ref="B32:G32"/>
    <mergeCell ref="B33:G33"/>
    <mergeCell ref="B36:G36"/>
    <mergeCell ref="A45:J48"/>
    <mergeCell ref="B38:G38"/>
    <mergeCell ref="B39:G39"/>
    <mergeCell ref="B40:G40"/>
    <mergeCell ref="B41:G41"/>
    <mergeCell ref="B42:G42"/>
    <mergeCell ref="B43:G43"/>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6"/>
  <sheetViews>
    <sheetView workbookViewId="0">
      <selection activeCell="A22" sqref="A22:I54"/>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4" x14ac:dyDescent="0.25">
      <c r="A1" s="92" t="str">
        <f>+'Cover Page'!$B$29</f>
        <v>Annual Performance Report 2022</v>
      </c>
      <c r="B1" s="92"/>
      <c r="C1" s="92"/>
      <c r="D1" s="92"/>
      <c r="E1" s="92" t="str">
        <f>+'Cover Page'!$B$33</f>
        <v>Beddington Energy Recovery Facility</v>
      </c>
      <c r="F1" s="92"/>
      <c r="G1" s="92"/>
      <c r="H1" s="92"/>
      <c r="I1" s="92"/>
      <c r="J1" s="92"/>
      <c r="K1" s="92"/>
      <c r="L1" s="92"/>
      <c r="M1" s="92"/>
      <c r="N1" s="92"/>
    </row>
    <row r="3" spans="1:14" ht="15.6" x14ac:dyDescent="0.3">
      <c r="A3" s="51" t="s">
        <v>57</v>
      </c>
      <c r="B3" s="142"/>
      <c r="C3" s="142"/>
      <c r="D3" s="142"/>
      <c r="E3" s="142"/>
      <c r="F3" s="142"/>
      <c r="G3" s="142"/>
      <c r="H3" s="142"/>
      <c r="I3" s="143"/>
      <c r="J3" s="92"/>
      <c r="K3" s="81" t="s">
        <v>2</v>
      </c>
      <c r="L3" s="92"/>
      <c r="M3" s="92"/>
      <c r="N3" s="92"/>
    </row>
    <row r="4" spans="1:14" x14ac:dyDescent="0.25">
      <c r="A4" s="144"/>
      <c r="B4" s="145"/>
      <c r="C4" s="145"/>
      <c r="D4" s="145"/>
      <c r="E4" s="145"/>
      <c r="F4" s="145"/>
      <c r="G4" s="145"/>
      <c r="H4" s="145"/>
      <c r="I4" s="146"/>
      <c r="J4" s="92"/>
      <c r="K4" s="92"/>
      <c r="L4" s="92"/>
      <c r="M4" s="92"/>
      <c r="N4" s="92"/>
    </row>
    <row r="5" spans="1:14" ht="15.75" customHeight="1" x14ac:dyDescent="0.25">
      <c r="A5" s="230" t="s">
        <v>58</v>
      </c>
      <c r="B5" s="231"/>
      <c r="C5" s="231"/>
      <c r="D5" s="231"/>
      <c r="E5" s="231"/>
      <c r="F5" s="231"/>
      <c r="G5" s="231"/>
      <c r="H5" s="231"/>
      <c r="I5" s="232"/>
      <c r="J5" s="92"/>
      <c r="K5" s="247" t="s">
        <v>59</v>
      </c>
      <c r="L5" s="247"/>
      <c r="M5" s="247"/>
      <c r="N5" s="247"/>
    </row>
    <row r="6" spans="1:14" x14ac:dyDescent="0.25">
      <c r="A6" s="233"/>
      <c r="B6" s="234"/>
      <c r="C6" s="234"/>
      <c r="D6" s="234"/>
      <c r="E6" s="234"/>
      <c r="F6" s="234"/>
      <c r="G6" s="234"/>
      <c r="H6" s="234"/>
      <c r="I6" s="235"/>
      <c r="J6" s="92"/>
      <c r="K6" s="247"/>
      <c r="L6" s="247"/>
      <c r="M6" s="247"/>
      <c r="N6" s="247"/>
    </row>
    <row r="7" spans="1:14" x14ac:dyDescent="0.25">
      <c r="A7" s="233"/>
      <c r="B7" s="234"/>
      <c r="C7" s="234"/>
      <c r="D7" s="234"/>
      <c r="E7" s="234"/>
      <c r="F7" s="234"/>
      <c r="G7" s="234"/>
      <c r="H7" s="234"/>
      <c r="I7" s="235"/>
      <c r="J7" s="92"/>
      <c r="K7" s="247"/>
      <c r="L7" s="247"/>
      <c r="M7" s="247"/>
      <c r="N7" s="247"/>
    </row>
    <row r="8" spans="1:14" ht="15.75" customHeight="1" x14ac:dyDescent="0.25">
      <c r="A8" s="233"/>
      <c r="B8" s="234"/>
      <c r="C8" s="234"/>
      <c r="D8" s="234"/>
      <c r="E8" s="234"/>
      <c r="F8" s="234"/>
      <c r="G8" s="234"/>
      <c r="H8" s="234"/>
      <c r="I8" s="235"/>
      <c r="J8" s="92"/>
      <c r="K8" s="247"/>
      <c r="L8" s="247"/>
      <c r="M8" s="247"/>
      <c r="N8" s="247"/>
    </row>
    <row r="9" spans="1:14" x14ac:dyDescent="0.25">
      <c r="A9" s="233"/>
      <c r="B9" s="234"/>
      <c r="C9" s="234"/>
      <c r="D9" s="234"/>
      <c r="E9" s="234"/>
      <c r="F9" s="234"/>
      <c r="G9" s="234"/>
      <c r="H9" s="234"/>
      <c r="I9" s="235"/>
      <c r="J9" s="92"/>
      <c r="K9" s="247"/>
      <c r="L9" s="247"/>
      <c r="M9" s="247"/>
      <c r="N9" s="247"/>
    </row>
    <row r="10" spans="1:14" x14ac:dyDescent="0.25">
      <c r="A10" s="233"/>
      <c r="B10" s="234"/>
      <c r="C10" s="234"/>
      <c r="D10" s="234"/>
      <c r="E10" s="234"/>
      <c r="F10" s="234"/>
      <c r="G10" s="234"/>
      <c r="H10" s="234"/>
      <c r="I10" s="235"/>
      <c r="J10" s="92"/>
      <c r="K10" s="247"/>
      <c r="L10" s="247"/>
      <c r="M10" s="247"/>
      <c r="N10" s="247"/>
    </row>
    <row r="11" spans="1:14" x14ac:dyDescent="0.25">
      <c r="A11" s="233"/>
      <c r="B11" s="234"/>
      <c r="C11" s="234"/>
      <c r="D11" s="234"/>
      <c r="E11" s="234"/>
      <c r="F11" s="234"/>
      <c r="G11" s="234"/>
      <c r="H11" s="234"/>
      <c r="I11" s="235"/>
      <c r="J11" s="92"/>
      <c r="K11" s="247"/>
      <c r="L11" s="247"/>
      <c r="M11" s="247"/>
      <c r="N11" s="247"/>
    </row>
    <row r="12" spans="1:14" x14ac:dyDescent="0.25">
      <c r="A12" s="233"/>
      <c r="B12" s="234"/>
      <c r="C12" s="234"/>
      <c r="D12" s="234"/>
      <c r="E12" s="234"/>
      <c r="F12" s="234"/>
      <c r="G12" s="234"/>
      <c r="H12" s="234"/>
      <c r="I12" s="235"/>
      <c r="J12" s="92"/>
      <c r="K12" s="247"/>
      <c r="L12" s="247"/>
      <c r="M12" s="247"/>
      <c r="N12" s="247"/>
    </row>
    <row r="13" spans="1:14" x14ac:dyDescent="0.25">
      <c r="A13" s="233"/>
      <c r="B13" s="234"/>
      <c r="C13" s="234"/>
      <c r="D13" s="234"/>
      <c r="E13" s="234"/>
      <c r="F13" s="234"/>
      <c r="G13" s="234"/>
      <c r="H13" s="234"/>
      <c r="I13" s="235"/>
      <c r="J13" s="92"/>
      <c r="K13" s="247"/>
      <c r="L13" s="247"/>
      <c r="M13" s="247"/>
      <c r="N13" s="247"/>
    </row>
    <row r="14" spans="1:14" x14ac:dyDescent="0.25">
      <c r="A14" s="233"/>
      <c r="B14" s="234"/>
      <c r="C14" s="234"/>
      <c r="D14" s="234"/>
      <c r="E14" s="234"/>
      <c r="F14" s="234"/>
      <c r="G14" s="234"/>
      <c r="H14" s="234"/>
      <c r="I14" s="235"/>
      <c r="J14" s="92"/>
      <c r="K14" s="247"/>
      <c r="L14" s="247"/>
      <c r="M14" s="247"/>
      <c r="N14" s="247"/>
    </row>
    <row r="15" spans="1:14" x14ac:dyDescent="0.25">
      <c r="A15" s="233"/>
      <c r="B15" s="234"/>
      <c r="C15" s="234"/>
      <c r="D15" s="234"/>
      <c r="E15" s="234"/>
      <c r="F15" s="234"/>
      <c r="G15" s="234"/>
      <c r="H15" s="234"/>
      <c r="I15" s="235"/>
      <c r="J15" s="92"/>
      <c r="K15" s="92"/>
      <c r="L15" s="92"/>
      <c r="M15" s="92"/>
      <c r="N15" s="92"/>
    </row>
    <row r="16" spans="1:14" x14ac:dyDescent="0.25">
      <c r="A16" s="233"/>
      <c r="B16" s="234"/>
      <c r="C16" s="234"/>
      <c r="D16" s="234"/>
      <c r="E16" s="234"/>
      <c r="F16" s="234"/>
      <c r="G16" s="234"/>
      <c r="H16" s="234"/>
      <c r="I16" s="235"/>
      <c r="J16" s="92"/>
      <c r="K16" s="92"/>
      <c r="L16" s="92"/>
      <c r="M16" s="92"/>
      <c r="N16" s="92"/>
    </row>
    <row r="17" spans="1:14" x14ac:dyDescent="0.25">
      <c r="A17" s="233"/>
      <c r="B17" s="234"/>
      <c r="C17" s="234"/>
      <c r="D17" s="234"/>
      <c r="E17" s="234"/>
      <c r="F17" s="234"/>
      <c r="G17" s="234"/>
      <c r="H17" s="234"/>
      <c r="I17" s="235"/>
      <c r="J17" s="92"/>
      <c r="K17" s="92"/>
      <c r="L17" s="92"/>
      <c r="M17" s="92"/>
      <c r="N17" s="92"/>
    </row>
    <row r="18" spans="1:14" x14ac:dyDescent="0.25">
      <c r="A18" s="236"/>
      <c r="B18" s="237"/>
      <c r="C18" s="237"/>
      <c r="D18" s="237"/>
      <c r="E18" s="237"/>
      <c r="F18" s="237"/>
      <c r="G18" s="237"/>
      <c r="H18" s="237"/>
      <c r="I18" s="238"/>
      <c r="J18" s="92"/>
      <c r="K18" s="92"/>
      <c r="L18" s="92"/>
      <c r="M18" s="92"/>
      <c r="N18" s="92"/>
    </row>
    <row r="20" spans="1:14" x14ac:dyDescent="0.25">
      <c r="A20" s="51" t="s">
        <v>60</v>
      </c>
      <c r="B20" s="142"/>
      <c r="C20" s="142"/>
      <c r="D20" s="142"/>
      <c r="E20" s="142"/>
      <c r="F20" s="142"/>
      <c r="G20" s="142"/>
      <c r="H20" s="142"/>
      <c r="I20" s="143"/>
      <c r="J20" s="92"/>
      <c r="K20" s="92"/>
      <c r="L20" s="92"/>
      <c r="M20" s="92"/>
      <c r="N20" s="92"/>
    </row>
    <row r="21" spans="1:14" x14ac:dyDescent="0.25">
      <c r="A21" s="144"/>
      <c r="B21" s="145"/>
      <c r="C21" s="145"/>
      <c r="D21" s="145"/>
      <c r="E21" s="145"/>
      <c r="F21" s="145"/>
      <c r="G21" s="145"/>
      <c r="H21" s="145"/>
      <c r="I21" s="146"/>
      <c r="J21" s="92"/>
      <c r="K21" s="92"/>
      <c r="L21" s="92"/>
      <c r="M21" s="92"/>
      <c r="N21" s="92"/>
    </row>
    <row r="22" spans="1:14" x14ac:dyDescent="0.25">
      <c r="A22" s="230" t="s">
        <v>61</v>
      </c>
      <c r="B22" s="239"/>
      <c r="C22" s="239"/>
      <c r="D22" s="239"/>
      <c r="E22" s="239"/>
      <c r="F22" s="239"/>
      <c r="G22" s="239"/>
      <c r="H22" s="239"/>
      <c r="I22" s="240"/>
      <c r="J22" s="92"/>
      <c r="K22" s="247" t="s">
        <v>62</v>
      </c>
      <c r="L22" s="247"/>
      <c r="M22" s="247"/>
      <c r="N22" s="247"/>
    </row>
    <row r="23" spans="1:14" x14ac:dyDescent="0.25">
      <c r="A23" s="241"/>
      <c r="B23" s="242"/>
      <c r="C23" s="242"/>
      <c r="D23" s="242"/>
      <c r="E23" s="242"/>
      <c r="F23" s="242"/>
      <c r="G23" s="242"/>
      <c r="H23" s="242"/>
      <c r="I23" s="243"/>
      <c r="J23" s="92"/>
      <c r="K23" s="247"/>
      <c r="L23" s="247"/>
      <c r="M23" s="247"/>
      <c r="N23" s="247"/>
    </row>
    <row r="24" spans="1:14" x14ac:dyDescent="0.25">
      <c r="A24" s="241"/>
      <c r="B24" s="242"/>
      <c r="C24" s="242"/>
      <c r="D24" s="242"/>
      <c r="E24" s="242"/>
      <c r="F24" s="242"/>
      <c r="G24" s="242"/>
      <c r="H24" s="242"/>
      <c r="I24" s="243"/>
      <c r="J24" s="92"/>
      <c r="K24" s="247"/>
      <c r="L24" s="247"/>
      <c r="M24" s="247"/>
      <c r="N24" s="247"/>
    </row>
    <row r="25" spans="1:14" x14ac:dyDescent="0.25">
      <c r="A25" s="241"/>
      <c r="B25" s="242"/>
      <c r="C25" s="242"/>
      <c r="D25" s="242"/>
      <c r="E25" s="242"/>
      <c r="F25" s="242"/>
      <c r="G25" s="242"/>
      <c r="H25" s="242"/>
      <c r="I25" s="243"/>
      <c r="J25" s="92"/>
      <c r="K25" s="247"/>
      <c r="L25" s="247"/>
      <c r="M25" s="247"/>
      <c r="N25" s="247"/>
    </row>
    <row r="26" spans="1:14" x14ac:dyDescent="0.25">
      <c r="A26" s="241"/>
      <c r="B26" s="242"/>
      <c r="C26" s="242"/>
      <c r="D26" s="242"/>
      <c r="E26" s="242"/>
      <c r="F26" s="242"/>
      <c r="G26" s="242"/>
      <c r="H26" s="242"/>
      <c r="I26" s="243"/>
      <c r="J26" s="92"/>
      <c r="K26" s="247"/>
      <c r="L26" s="247"/>
      <c r="M26" s="247"/>
      <c r="N26" s="247"/>
    </row>
    <row r="27" spans="1:14" x14ac:dyDescent="0.25">
      <c r="A27" s="241"/>
      <c r="B27" s="242"/>
      <c r="C27" s="242"/>
      <c r="D27" s="242"/>
      <c r="E27" s="242"/>
      <c r="F27" s="242"/>
      <c r="G27" s="242"/>
      <c r="H27" s="242"/>
      <c r="I27" s="243"/>
      <c r="J27" s="92"/>
      <c r="K27" s="247"/>
      <c r="L27" s="247"/>
      <c r="M27" s="247"/>
      <c r="N27" s="247"/>
    </row>
    <row r="28" spans="1:14" x14ac:dyDescent="0.25">
      <c r="A28" s="241"/>
      <c r="B28" s="242"/>
      <c r="C28" s="242"/>
      <c r="D28" s="242"/>
      <c r="E28" s="242"/>
      <c r="F28" s="242"/>
      <c r="G28" s="242"/>
      <c r="H28" s="242"/>
      <c r="I28" s="243"/>
      <c r="J28" s="92"/>
      <c r="K28" s="247"/>
      <c r="L28" s="247"/>
      <c r="M28" s="247"/>
      <c r="N28" s="247"/>
    </row>
    <row r="29" spans="1:14" x14ac:dyDescent="0.25">
      <c r="A29" s="241"/>
      <c r="B29" s="242"/>
      <c r="C29" s="242"/>
      <c r="D29" s="242"/>
      <c r="E29" s="242"/>
      <c r="F29" s="242"/>
      <c r="G29" s="242"/>
      <c r="H29" s="242"/>
      <c r="I29" s="243"/>
      <c r="J29" s="92"/>
      <c r="K29" s="247"/>
      <c r="L29" s="247"/>
      <c r="M29" s="247"/>
      <c r="N29" s="247"/>
    </row>
    <row r="30" spans="1:14" x14ac:dyDescent="0.25">
      <c r="A30" s="241"/>
      <c r="B30" s="242"/>
      <c r="C30" s="242"/>
      <c r="D30" s="242"/>
      <c r="E30" s="242"/>
      <c r="F30" s="242"/>
      <c r="G30" s="242"/>
      <c r="H30" s="242"/>
      <c r="I30" s="243"/>
      <c r="J30" s="92"/>
      <c r="K30" s="247"/>
      <c r="L30" s="247"/>
      <c r="M30" s="247"/>
      <c r="N30" s="247"/>
    </row>
    <row r="31" spans="1:14" x14ac:dyDescent="0.25">
      <c r="A31" s="241"/>
      <c r="B31" s="242"/>
      <c r="C31" s="242"/>
      <c r="D31" s="242"/>
      <c r="E31" s="242"/>
      <c r="F31" s="242"/>
      <c r="G31" s="242"/>
      <c r="H31" s="242"/>
      <c r="I31" s="243"/>
      <c r="J31" s="92"/>
      <c r="K31" s="247"/>
      <c r="L31" s="247"/>
      <c r="M31" s="247"/>
      <c r="N31" s="247"/>
    </row>
    <row r="32" spans="1:14" x14ac:dyDescent="0.25">
      <c r="A32" s="241"/>
      <c r="B32" s="242"/>
      <c r="C32" s="242"/>
      <c r="D32" s="242"/>
      <c r="E32" s="242"/>
      <c r="F32" s="242"/>
      <c r="G32" s="242"/>
      <c r="H32" s="242"/>
      <c r="I32" s="243"/>
      <c r="J32" s="92"/>
      <c r="K32" s="92"/>
      <c r="L32" s="92"/>
      <c r="M32" s="92"/>
      <c r="N32" s="92"/>
    </row>
    <row r="33" spans="1:9" x14ac:dyDescent="0.25">
      <c r="A33" s="241"/>
      <c r="B33" s="242"/>
      <c r="C33" s="242"/>
      <c r="D33" s="242"/>
      <c r="E33" s="242"/>
      <c r="F33" s="242"/>
      <c r="G33" s="242"/>
      <c r="H33" s="242"/>
      <c r="I33" s="243"/>
    </row>
    <row r="34" spans="1:9" x14ac:dyDescent="0.25">
      <c r="A34" s="241"/>
      <c r="B34" s="242"/>
      <c r="C34" s="242"/>
      <c r="D34" s="242"/>
      <c r="E34" s="242"/>
      <c r="F34" s="242"/>
      <c r="G34" s="242"/>
      <c r="H34" s="242"/>
      <c r="I34" s="243"/>
    </row>
    <row r="35" spans="1:9" x14ac:dyDescent="0.25">
      <c r="A35" s="241"/>
      <c r="B35" s="242"/>
      <c r="C35" s="242"/>
      <c r="D35" s="242"/>
      <c r="E35" s="242"/>
      <c r="F35" s="242"/>
      <c r="G35" s="242"/>
      <c r="H35" s="242"/>
      <c r="I35" s="243"/>
    </row>
    <row r="36" spans="1:9" x14ac:dyDescent="0.25">
      <c r="A36" s="241"/>
      <c r="B36" s="242"/>
      <c r="C36" s="242"/>
      <c r="D36" s="242"/>
      <c r="E36" s="242"/>
      <c r="F36" s="242"/>
      <c r="G36" s="242"/>
      <c r="H36" s="242"/>
      <c r="I36" s="243"/>
    </row>
    <row r="37" spans="1:9" x14ac:dyDescent="0.25">
      <c r="A37" s="241"/>
      <c r="B37" s="242"/>
      <c r="C37" s="242"/>
      <c r="D37" s="242"/>
      <c r="E37" s="242"/>
      <c r="F37" s="242"/>
      <c r="G37" s="242"/>
      <c r="H37" s="242"/>
      <c r="I37" s="243"/>
    </row>
    <row r="38" spans="1:9" x14ac:dyDescent="0.25">
      <c r="A38" s="241"/>
      <c r="B38" s="242"/>
      <c r="C38" s="242"/>
      <c r="D38" s="242"/>
      <c r="E38" s="242"/>
      <c r="F38" s="242"/>
      <c r="G38" s="242"/>
      <c r="H38" s="242"/>
      <c r="I38" s="243"/>
    </row>
    <row r="39" spans="1:9" x14ac:dyDescent="0.25">
      <c r="A39" s="241"/>
      <c r="B39" s="242"/>
      <c r="C39" s="242"/>
      <c r="D39" s="242"/>
      <c r="E39" s="242"/>
      <c r="F39" s="242"/>
      <c r="G39" s="242"/>
      <c r="H39" s="242"/>
      <c r="I39" s="243"/>
    </row>
    <row r="40" spans="1:9" ht="14.25" customHeight="1" x14ac:dyDescent="0.25">
      <c r="A40" s="241"/>
      <c r="B40" s="242"/>
      <c r="C40" s="242"/>
      <c r="D40" s="242"/>
      <c r="E40" s="242"/>
      <c r="F40" s="242"/>
      <c r="G40" s="242"/>
      <c r="H40" s="242"/>
      <c r="I40" s="243"/>
    </row>
    <row r="41" spans="1:9" x14ac:dyDescent="0.25">
      <c r="A41" s="241"/>
      <c r="B41" s="242"/>
      <c r="C41" s="242"/>
      <c r="D41" s="242"/>
      <c r="E41" s="242"/>
      <c r="F41" s="242"/>
      <c r="G41" s="242"/>
      <c r="H41" s="242"/>
      <c r="I41" s="243"/>
    </row>
    <row r="42" spans="1:9" x14ac:dyDescent="0.25">
      <c r="A42" s="241"/>
      <c r="B42" s="242"/>
      <c r="C42" s="242"/>
      <c r="D42" s="242"/>
      <c r="E42" s="242"/>
      <c r="F42" s="242"/>
      <c r="G42" s="242"/>
      <c r="H42" s="242"/>
      <c r="I42" s="243"/>
    </row>
    <row r="43" spans="1:9" x14ac:dyDescent="0.25">
      <c r="A43" s="241"/>
      <c r="B43" s="242"/>
      <c r="C43" s="242"/>
      <c r="D43" s="242"/>
      <c r="E43" s="242"/>
      <c r="F43" s="242"/>
      <c r="G43" s="242"/>
      <c r="H43" s="242"/>
      <c r="I43" s="243"/>
    </row>
    <row r="44" spans="1:9" x14ac:dyDescent="0.25">
      <c r="A44" s="241"/>
      <c r="B44" s="242"/>
      <c r="C44" s="242"/>
      <c r="D44" s="242"/>
      <c r="E44" s="242"/>
      <c r="F44" s="242"/>
      <c r="G44" s="242"/>
      <c r="H44" s="242"/>
      <c r="I44" s="243"/>
    </row>
    <row r="45" spans="1:9" x14ac:dyDescent="0.25">
      <c r="A45" s="241"/>
      <c r="B45" s="242"/>
      <c r="C45" s="242"/>
      <c r="D45" s="242"/>
      <c r="E45" s="242"/>
      <c r="F45" s="242"/>
      <c r="G45" s="242"/>
      <c r="H45" s="242"/>
      <c r="I45" s="243"/>
    </row>
    <row r="46" spans="1:9" x14ac:dyDescent="0.25">
      <c r="A46" s="241"/>
      <c r="B46" s="242"/>
      <c r="C46" s="242"/>
      <c r="D46" s="242"/>
      <c r="E46" s="242"/>
      <c r="F46" s="242"/>
      <c r="G46" s="242"/>
      <c r="H46" s="242"/>
      <c r="I46" s="243"/>
    </row>
    <row r="47" spans="1:9" x14ac:dyDescent="0.25">
      <c r="A47" s="241"/>
      <c r="B47" s="242"/>
      <c r="C47" s="242"/>
      <c r="D47" s="242"/>
      <c r="E47" s="242"/>
      <c r="F47" s="242"/>
      <c r="G47" s="242"/>
      <c r="H47" s="242"/>
      <c r="I47" s="243"/>
    </row>
    <row r="48" spans="1:9" x14ac:dyDescent="0.25">
      <c r="A48" s="241"/>
      <c r="B48" s="242"/>
      <c r="C48" s="242"/>
      <c r="D48" s="242"/>
      <c r="E48" s="242"/>
      <c r="F48" s="242"/>
      <c r="G48" s="242"/>
      <c r="H48" s="242"/>
      <c r="I48" s="243"/>
    </row>
    <row r="49" spans="1:9" x14ac:dyDescent="0.25">
      <c r="A49" s="241"/>
      <c r="B49" s="242"/>
      <c r="C49" s="242"/>
      <c r="D49" s="242"/>
      <c r="E49" s="242"/>
      <c r="F49" s="242"/>
      <c r="G49" s="242"/>
      <c r="H49" s="242"/>
      <c r="I49" s="243"/>
    </row>
    <row r="50" spans="1:9" x14ac:dyDescent="0.25">
      <c r="A50" s="241"/>
      <c r="B50" s="242"/>
      <c r="C50" s="242"/>
      <c r="D50" s="242"/>
      <c r="E50" s="242"/>
      <c r="F50" s="242"/>
      <c r="G50" s="242"/>
      <c r="H50" s="242"/>
      <c r="I50" s="243"/>
    </row>
    <row r="51" spans="1:9" x14ac:dyDescent="0.25">
      <c r="A51" s="241"/>
      <c r="B51" s="242"/>
      <c r="C51" s="242"/>
      <c r="D51" s="242"/>
      <c r="E51" s="242"/>
      <c r="F51" s="242"/>
      <c r="G51" s="242"/>
      <c r="H51" s="242"/>
      <c r="I51" s="243"/>
    </row>
    <row r="52" spans="1:9" x14ac:dyDescent="0.25">
      <c r="A52" s="241"/>
      <c r="B52" s="242"/>
      <c r="C52" s="242"/>
      <c r="D52" s="242"/>
      <c r="E52" s="242"/>
      <c r="F52" s="242"/>
      <c r="G52" s="242"/>
      <c r="H52" s="242"/>
      <c r="I52" s="243"/>
    </row>
    <row r="53" spans="1:9" x14ac:dyDescent="0.25">
      <c r="A53" s="241"/>
      <c r="B53" s="242"/>
      <c r="C53" s="242"/>
      <c r="D53" s="242"/>
      <c r="E53" s="242"/>
      <c r="F53" s="242"/>
      <c r="G53" s="242"/>
      <c r="H53" s="242"/>
      <c r="I53" s="243"/>
    </row>
    <row r="54" spans="1:9" x14ac:dyDescent="0.25">
      <c r="A54" s="244"/>
      <c r="B54" s="245"/>
      <c r="C54" s="245"/>
      <c r="D54" s="245"/>
      <c r="E54" s="245"/>
      <c r="F54" s="245"/>
      <c r="G54" s="245"/>
      <c r="H54" s="245"/>
      <c r="I54" s="246"/>
    </row>
    <row r="66" spans="6:6" x14ac:dyDescent="0.25">
      <c r="F66" s="3"/>
    </row>
  </sheetData>
  <mergeCells count="4">
    <mergeCell ref="A5:I18"/>
    <mergeCell ref="A22:I54"/>
    <mergeCell ref="K5:N14"/>
    <mergeCell ref="K22:N31"/>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77"/>
  <sheetViews>
    <sheetView topLeftCell="A42" workbookViewId="0">
      <selection activeCell="E39" sqref="E39"/>
    </sheetView>
  </sheetViews>
  <sheetFormatPr defaultColWidth="9.33203125" defaultRowHeight="15" x14ac:dyDescent="0.25"/>
  <cols>
    <col min="1" max="1" width="39.109375" style="2" customWidth="1"/>
    <col min="2" max="2" width="8.33203125" style="12" customWidth="1"/>
    <col min="3" max="3" width="10.33203125" style="12" bestFit="1" customWidth="1"/>
    <col min="4" max="4" width="12.109375" style="12" customWidth="1"/>
    <col min="5" max="5" width="12.44140625" style="12" customWidth="1"/>
    <col min="6" max="6" width="13.5546875" style="12" customWidth="1"/>
    <col min="7" max="7" width="11.33203125" style="15" customWidth="1"/>
    <col min="8" max="8" width="11.5546875" style="16" customWidth="1"/>
    <col min="9" max="10" width="9.33203125" style="2"/>
    <col min="11" max="11" width="38.44140625" style="2" customWidth="1"/>
    <col min="12" max="16384" width="9.33203125" style="2"/>
  </cols>
  <sheetData>
    <row r="1" spans="1:11" x14ac:dyDescent="0.25">
      <c r="A1" s="92" t="str">
        <f>+'Cover Page'!$B$29</f>
        <v>Annual Performance Report 2022</v>
      </c>
      <c r="B1" s="92"/>
      <c r="C1" s="92"/>
      <c r="D1" s="92"/>
      <c r="E1" s="92" t="str">
        <f>+'Cover Page'!$B$33</f>
        <v>Beddington Energy Recovery Facility</v>
      </c>
      <c r="F1" s="92"/>
      <c r="G1" s="92"/>
      <c r="H1" s="92"/>
      <c r="I1" s="92"/>
      <c r="J1" s="92"/>
      <c r="K1" s="92"/>
    </row>
    <row r="3" spans="1:11" ht="15.6" x14ac:dyDescent="0.3">
      <c r="A3" s="1" t="s">
        <v>30</v>
      </c>
      <c r="B3" s="124"/>
      <c r="C3" s="124"/>
      <c r="D3" s="124"/>
      <c r="E3" s="124"/>
      <c r="F3" s="124"/>
      <c r="H3" s="147"/>
      <c r="I3" s="92"/>
      <c r="J3" s="92"/>
      <c r="K3" s="81" t="s">
        <v>2</v>
      </c>
    </row>
    <row r="4" spans="1:11" x14ac:dyDescent="0.25">
      <c r="A4" s="18" t="s">
        <v>63</v>
      </c>
      <c r="B4" s="255">
        <v>347422</v>
      </c>
      <c r="C4" s="255"/>
      <c r="D4" s="20" t="s">
        <v>64</v>
      </c>
      <c r="E4" s="19"/>
      <c r="F4" s="20" t="s">
        <v>65</v>
      </c>
      <c r="G4" s="19"/>
      <c r="H4" s="70" t="s">
        <v>66</v>
      </c>
      <c r="I4" s="92"/>
      <c r="J4" s="92"/>
      <c r="K4" s="17" t="s">
        <v>67</v>
      </c>
    </row>
    <row r="5" spans="1:11" x14ac:dyDescent="0.25">
      <c r="A5" s="21" t="s">
        <v>68</v>
      </c>
      <c r="B5" s="22">
        <v>2</v>
      </c>
      <c r="C5" s="23"/>
      <c r="D5" s="23" t="s">
        <v>69</v>
      </c>
      <c r="E5" s="23"/>
      <c r="F5" s="24">
        <v>1</v>
      </c>
      <c r="G5" s="25"/>
      <c r="H5" s="26"/>
      <c r="I5" s="92"/>
      <c r="J5" s="92"/>
      <c r="K5" s="17" t="s">
        <v>70</v>
      </c>
    </row>
    <row r="6" spans="1:11" x14ac:dyDescent="0.25">
      <c r="A6" s="3"/>
      <c r="B6" s="124"/>
      <c r="C6" s="124"/>
      <c r="D6" s="124"/>
      <c r="E6" s="124"/>
      <c r="F6" s="124"/>
      <c r="H6" s="147"/>
      <c r="I6" s="92"/>
      <c r="J6" s="92"/>
      <c r="K6" s="250" t="s">
        <v>71</v>
      </c>
    </row>
    <row r="7" spans="1:11" x14ac:dyDescent="0.25">
      <c r="A7" s="9" t="s">
        <v>72</v>
      </c>
      <c r="B7" s="148" t="s">
        <v>73</v>
      </c>
      <c r="C7" s="149" t="s">
        <v>74</v>
      </c>
      <c r="D7" s="149" t="s">
        <v>75</v>
      </c>
      <c r="E7" s="149" t="s">
        <v>76</v>
      </c>
      <c r="F7" s="149" t="s">
        <v>77</v>
      </c>
      <c r="G7" s="27" t="s">
        <v>78</v>
      </c>
      <c r="H7" s="150" t="s">
        <v>79</v>
      </c>
      <c r="I7" s="92"/>
      <c r="J7" s="92"/>
      <c r="K7" s="250"/>
    </row>
    <row r="8" spans="1:11" ht="15.75" customHeight="1" x14ac:dyDescent="0.25">
      <c r="A8" s="151" t="s">
        <v>80</v>
      </c>
      <c r="B8" s="252" t="s">
        <v>81</v>
      </c>
      <c r="C8" s="105">
        <v>49093.83</v>
      </c>
      <c r="D8" s="105">
        <v>50190.599000000002</v>
      </c>
      <c r="E8" s="105">
        <v>48676.3</v>
      </c>
      <c r="F8" s="152">
        <v>49061.83</v>
      </c>
      <c r="G8" s="28">
        <f>SUM(C8:F8)</f>
        <v>197022.55900000001</v>
      </c>
      <c r="H8" s="153">
        <f t="shared" ref="H8:H15" si="0">IF(G8&gt;0,G8/$G$18,"-")</f>
        <v>0.59020523546823545</v>
      </c>
      <c r="I8" s="92"/>
      <c r="J8" s="92"/>
      <c r="K8" s="251" t="s">
        <v>82</v>
      </c>
    </row>
    <row r="9" spans="1:11" ht="15.6" x14ac:dyDescent="0.3">
      <c r="A9" s="133" t="s">
        <v>83</v>
      </c>
      <c r="B9" s="253"/>
      <c r="C9" s="106">
        <v>30982.63</v>
      </c>
      <c r="D9" s="107">
        <v>32533.06</v>
      </c>
      <c r="E9" s="107">
        <v>32635.66</v>
      </c>
      <c r="F9" s="154">
        <v>40646.51</v>
      </c>
      <c r="G9" s="88">
        <f t="shared" ref="G9:G15" si="1">SUM(C9:F9)</f>
        <v>136797.86000000002</v>
      </c>
      <c r="H9" s="155">
        <f t="shared" si="0"/>
        <v>0.40979476453176467</v>
      </c>
      <c r="I9" s="92"/>
      <c r="J9" s="92"/>
      <c r="K9" s="251"/>
    </row>
    <row r="10" spans="1:11" x14ac:dyDescent="0.25">
      <c r="A10" s="133" t="s">
        <v>84</v>
      </c>
      <c r="B10" s="253"/>
      <c r="C10" s="154"/>
      <c r="D10" s="154"/>
      <c r="E10" s="154"/>
      <c r="F10" s="154"/>
      <c r="G10" s="88">
        <f t="shared" si="1"/>
        <v>0</v>
      </c>
      <c r="H10" s="155" t="str">
        <f t="shared" si="0"/>
        <v>-</v>
      </c>
      <c r="I10" s="92"/>
      <c r="J10" s="92"/>
      <c r="K10" s="251"/>
    </row>
    <row r="11" spans="1:11" x14ac:dyDescent="0.25">
      <c r="A11" s="133" t="s">
        <v>85</v>
      </c>
      <c r="B11" s="253"/>
      <c r="C11" s="154"/>
      <c r="D11" s="154"/>
      <c r="E11" s="154"/>
      <c r="F11" s="154"/>
      <c r="G11" s="88">
        <f t="shared" si="1"/>
        <v>0</v>
      </c>
      <c r="H11" s="155" t="str">
        <f t="shared" si="0"/>
        <v>-</v>
      </c>
      <c r="I11" s="92"/>
      <c r="J11" s="92"/>
      <c r="K11" s="251"/>
    </row>
    <row r="12" spans="1:11" x14ac:dyDescent="0.25">
      <c r="A12" s="133" t="s">
        <v>86</v>
      </c>
      <c r="B12" s="253"/>
      <c r="C12" s="154"/>
      <c r="D12" s="154"/>
      <c r="E12" s="154"/>
      <c r="F12" s="154"/>
      <c r="G12" s="88">
        <f t="shared" si="1"/>
        <v>0</v>
      </c>
      <c r="H12" s="155" t="str">
        <f t="shared" si="0"/>
        <v>-</v>
      </c>
      <c r="I12" s="92"/>
      <c r="J12" s="92"/>
      <c r="K12" s="251"/>
    </row>
    <row r="13" spans="1:11" x14ac:dyDescent="0.25">
      <c r="A13" s="133" t="s">
        <v>87</v>
      </c>
      <c r="B13" s="253"/>
      <c r="C13" s="154"/>
      <c r="D13" s="154"/>
      <c r="E13" s="154"/>
      <c r="F13" s="154"/>
      <c r="G13" s="88">
        <f t="shared" ref="G13" si="2">SUM(C13:F13)</f>
        <v>0</v>
      </c>
      <c r="H13" s="155" t="str">
        <f t="shared" si="0"/>
        <v>-</v>
      </c>
      <c r="I13" s="92"/>
      <c r="J13" s="92"/>
      <c r="K13" s="251"/>
    </row>
    <row r="14" spans="1:11" x14ac:dyDescent="0.25">
      <c r="A14" s="133" t="s">
        <v>88</v>
      </c>
      <c r="B14" s="253"/>
      <c r="C14" s="154"/>
      <c r="D14" s="154"/>
      <c r="E14" s="154"/>
      <c r="F14" s="154"/>
      <c r="G14" s="88">
        <f t="shared" si="1"/>
        <v>0</v>
      </c>
      <c r="H14" s="155" t="str">
        <f t="shared" si="0"/>
        <v>-</v>
      </c>
      <c r="I14" s="92"/>
      <c r="J14" s="92"/>
      <c r="K14" s="251"/>
    </row>
    <row r="15" spans="1:11" x14ac:dyDescent="0.25">
      <c r="A15" s="156" t="s">
        <v>89</v>
      </c>
      <c r="B15" s="253"/>
      <c r="C15" s="154"/>
      <c r="D15" s="154"/>
      <c r="E15" s="154"/>
      <c r="F15" s="154"/>
      <c r="G15" s="88">
        <f t="shared" si="1"/>
        <v>0</v>
      </c>
      <c r="H15" s="155" t="str">
        <f t="shared" si="0"/>
        <v>-</v>
      </c>
      <c r="I15" s="92"/>
      <c r="J15" s="92"/>
      <c r="K15" s="251"/>
    </row>
    <row r="16" spans="1:11" x14ac:dyDescent="0.25">
      <c r="A16" s="156" t="s">
        <v>89</v>
      </c>
      <c r="B16" s="253"/>
      <c r="C16" s="154"/>
      <c r="D16" s="154"/>
      <c r="E16" s="154"/>
      <c r="F16" s="154"/>
      <c r="G16" s="88"/>
      <c r="H16" s="155"/>
      <c r="I16" s="92"/>
      <c r="J16" s="92"/>
      <c r="K16" s="251"/>
    </row>
    <row r="17" spans="1:12" x14ac:dyDescent="0.25">
      <c r="A17" s="156" t="s">
        <v>89</v>
      </c>
      <c r="B17" s="253"/>
      <c r="C17" s="154"/>
      <c r="D17" s="154"/>
      <c r="E17" s="154"/>
      <c r="F17" s="154"/>
      <c r="G17" s="88"/>
      <c r="H17" s="155"/>
      <c r="I17" s="92"/>
      <c r="J17" s="92"/>
      <c r="K17" s="251"/>
      <c r="L17" s="92"/>
    </row>
    <row r="18" spans="1:12" x14ac:dyDescent="0.25">
      <c r="A18" s="90" t="s">
        <v>90</v>
      </c>
      <c r="B18" s="253"/>
      <c r="C18" s="88">
        <f>SUM(C8:C17)</f>
        <v>80076.460000000006</v>
      </c>
      <c r="D18" s="88">
        <f>SUM(D8:D17)</f>
        <v>82723.659</v>
      </c>
      <c r="E18" s="88">
        <f>SUM(E8:E17)</f>
        <v>81311.960000000006</v>
      </c>
      <c r="F18" s="88">
        <f>SUM(F8:F17)</f>
        <v>89708.34</v>
      </c>
      <c r="G18" s="88">
        <f>SUM(G8:G17)</f>
        <v>333820.41899999999</v>
      </c>
      <c r="H18" s="157">
        <v>1</v>
      </c>
      <c r="I18" s="92"/>
      <c r="J18" s="92"/>
      <c r="K18" s="251"/>
      <c r="L18" s="92"/>
    </row>
    <row r="19" spans="1:12" x14ac:dyDescent="0.25">
      <c r="A19" s="133" t="s">
        <v>91</v>
      </c>
      <c r="B19" s="253"/>
      <c r="C19" s="154">
        <v>69</v>
      </c>
      <c r="D19" s="154"/>
      <c r="E19" s="154"/>
      <c r="F19" s="154"/>
      <c r="G19" s="88">
        <f t="shared" ref="G19" si="3">SUM(C19:F19)</f>
        <v>69</v>
      </c>
      <c r="H19" s="155">
        <f t="shared" ref="H19" si="4">IF(G19&gt;0,G19/$G$18,"-")</f>
        <v>2.0669796115737306E-4</v>
      </c>
      <c r="I19" s="92"/>
      <c r="J19" s="92"/>
      <c r="K19" s="251"/>
      <c r="L19" s="92"/>
    </row>
    <row r="20" spans="1:12" x14ac:dyDescent="0.25">
      <c r="A20" s="133" t="s">
        <v>92</v>
      </c>
      <c r="B20" s="253"/>
      <c r="C20" s="154"/>
      <c r="D20" s="154"/>
      <c r="E20" s="154"/>
      <c r="F20" s="154"/>
      <c r="G20" s="88">
        <f t="shared" ref="G20" si="5">SUM(C20:F20)</f>
        <v>0</v>
      </c>
      <c r="H20" s="155" t="str">
        <f>IF(G20&gt;0,G20/$G$18,"-")</f>
        <v>-</v>
      </c>
      <c r="I20" s="92"/>
      <c r="J20" s="92"/>
      <c r="K20" s="92"/>
      <c r="L20" s="92"/>
    </row>
    <row r="21" spans="1:12" x14ac:dyDescent="0.25">
      <c r="A21" s="91" t="s">
        <v>93</v>
      </c>
      <c r="B21" s="158"/>
      <c r="C21" s="89">
        <f>C18-SUM(C19:C20)</f>
        <v>80007.460000000006</v>
      </c>
      <c r="D21" s="89">
        <f t="shared" ref="D21:F21" si="6">D18-SUM(D19:D20)</f>
        <v>82723.659</v>
      </c>
      <c r="E21" s="89">
        <f t="shared" si="6"/>
        <v>81311.960000000006</v>
      </c>
      <c r="F21" s="89">
        <f t="shared" si="6"/>
        <v>89708.34</v>
      </c>
      <c r="G21" s="30">
        <f>SUM(C21:F21)</f>
        <v>333751.41899999999</v>
      </c>
      <c r="H21" s="159">
        <f>IF(G21&gt;0,G21/$G$18,"-")</f>
        <v>0.99979330203884265</v>
      </c>
      <c r="I21" s="92"/>
      <c r="J21" s="92"/>
      <c r="K21" s="92"/>
      <c r="L21" s="92"/>
    </row>
    <row r="22" spans="1:12" x14ac:dyDescent="0.25">
      <c r="A22" s="3"/>
      <c r="B22" s="124"/>
      <c r="C22" s="147"/>
      <c r="D22" s="147"/>
      <c r="E22" s="147"/>
      <c r="F22" s="147"/>
      <c r="G22" s="31"/>
      <c r="H22" s="147"/>
      <c r="I22" s="92"/>
      <c r="J22" s="92"/>
      <c r="K22" s="92"/>
      <c r="L22" s="92"/>
    </row>
    <row r="23" spans="1:12" x14ac:dyDescent="0.25">
      <c r="A23" s="9" t="s">
        <v>94</v>
      </c>
      <c r="B23" s="148" t="s">
        <v>73</v>
      </c>
      <c r="C23" s="160" t="s">
        <v>74</v>
      </c>
      <c r="D23" s="160" t="s">
        <v>75</v>
      </c>
      <c r="E23" s="160" t="s">
        <v>76</v>
      </c>
      <c r="F23" s="160" t="s">
        <v>77</v>
      </c>
      <c r="G23" s="32" t="s">
        <v>78</v>
      </c>
      <c r="H23" s="161" t="s">
        <v>95</v>
      </c>
      <c r="I23" s="92"/>
      <c r="J23" s="92"/>
      <c r="K23" s="92"/>
      <c r="L23" s="92"/>
    </row>
    <row r="24" spans="1:12" ht="15" customHeight="1" x14ac:dyDescent="0.25">
      <c r="A24" s="162" t="s">
        <v>96</v>
      </c>
      <c r="B24" s="252" t="s">
        <v>97</v>
      </c>
      <c r="C24" s="108">
        <v>60231</v>
      </c>
      <c r="D24" s="108">
        <v>62002</v>
      </c>
      <c r="E24" s="108">
        <v>61628</v>
      </c>
      <c r="F24" s="152">
        <v>64386</v>
      </c>
      <c r="G24" s="28">
        <f t="shared" ref="G24:G27" si="7">SUM(C24:F24)</f>
        <v>248247</v>
      </c>
      <c r="H24" s="163">
        <f>IF(G24&gt;0,G24*1000/$G$21,"-")</f>
        <v>743.80807351713463</v>
      </c>
      <c r="I24" s="92"/>
      <c r="J24" s="92"/>
      <c r="K24" s="92"/>
      <c r="L24" s="92"/>
    </row>
    <row r="25" spans="1:12" x14ac:dyDescent="0.25">
      <c r="A25" s="128" t="s">
        <v>98</v>
      </c>
      <c r="B25" s="253"/>
      <c r="C25" s="109">
        <v>53605</v>
      </c>
      <c r="D25" s="109">
        <v>55300</v>
      </c>
      <c r="E25" s="109">
        <v>56797</v>
      </c>
      <c r="F25" s="164">
        <v>57294</v>
      </c>
      <c r="G25" s="29">
        <f>SUM(C25:F25)</f>
        <v>222996</v>
      </c>
      <c r="H25" s="165">
        <f>IF(G25&gt;0,G25*1000/$G$21,"-")</f>
        <v>668.14996822530361</v>
      </c>
      <c r="I25" s="92"/>
      <c r="J25" s="92"/>
      <c r="K25" s="92"/>
      <c r="L25" s="92"/>
    </row>
    <row r="26" spans="1:12" x14ac:dyDescent="0.25">
      <c r="A26" s="128" t="s">
        <v>99</v>
      </c>
      <c r="B26" s="253"/>
      <c r="C26" s="164">
        <v>6626</v>
      </c>
      <c r="D26" s="164">
        <v>6702</v>
      </c>
      <c r="E26" s="164">
        <v>4831</v>
      </c>
      <c r="F26" s="164">
        <v>7092</v>
      </c>
      <c r="G26" s="29">
        <f>SUM(C26:F26)</f>
        <v>25251</v>
      </c>
      <c r="H26" s="165">
        <f>IF(G26&gt;0,G26*1000/$G$21,"-")</f>
        <v>75.658105291830992</v>
      </c>
      <c r="I26" s="92"/>
      <c r="J26" s="92"/>
      <c r="K26" s="92"/>
      <c r="L26" s="92"/>
    </row>
    <row r="27" spans="1:12" x14ac:dyDescent="0.25">
      <c r="A27" s="128" t="s">
        <v>100</v>
      </c>
      <c r="B27" s="253"/>
      <c r="C27" s="164"/>
      <c r="D27" s="164"/>
      <c r="E27" s="164"/>
      <c r="F27" s="164"/>
      <c r="G27" s="29">
        <f t="shared" si="7"/>
        <v>0</v>
      </c>
      <c r="H27" s="165" t="str">
        <f>IF(G27&gt;0,G27*1000/$G$21,"-")</f>
        <v>-</v>
      </c>
      <c r="I27" s="92"/>
      <c r="J27" s="92"/>
      <c r="K27" s="92"/>
      <c r="L27" s="92"/>
    </row>
    <row r="28" spans="1:12" x14ac:dyDescent="0.25">
      <c r="A28" s="128" t="s">
        <v>101</v>
      </c>
      <c r="B28" s="166" t="s">
        <v>79</v>
      </c>
      <c r="C28" s="167">
        <f>IF(C24&gt;0,1-C25/(C24+C27),"-")</f>
        <v>0.11000979562019553</v>
      </c>
      <c r="D28" s="167">
        <f>IF(D24&gt;0,1-D25/(D24+D27),"-")</f>
        <v>0.10809328731331247</v>
      </c>
      <c r="E28" s="167">
        <f>IF(E24&gt;0,1-E25/(E24+E27),"-")</f>
        <v>7.8389692996689853E-2</v>
      </c>
      <c r="F28" s="167">
        <f>IF(F24&gt;0,1-F25/(F24+F27),"-")</f>
        <v>0.11014816885658374</v>
      </c>
      <c r="G28" s="167">
        <f>IF(G24&gt;0,1-G25/(G24+G27),"-")</f>
        <v>0.10171724129596738</v>
      </c>
      <c r="H28" s="165"/>
      <c r="I28" s="92"/>
      <c r="J28" s="92"/>
      <c r="K28" s="92"/>
      <c r="L28" s="92"/>
    </row>
    <row r="29" spans="1:12" x14ac:dyDescent="0.25">
      <c r="A29" s="128" t="s">
        <v>102</v>
      </c>
      <c r="B29" s="256" t="s">
        <v>97</v>
      </c>
      <c r="C29" s="164"/>
      <c r="D29" s="164"/>
      <c r="E29" s="164"/>
      <c r="F29" s="164"/>
      <c r="G29" s="29">
        <f t="shared" ref="G29:G30" si="8">SUM(C29:F29)</f>
        <v>0</v>
      </c>
      <c r="H29" s="165" t="str">
        <f>IF(G29&gt;0,G29*1000/$G$21,"-")</f>
        <v>-</v>
      </c>
      <c r="I29" s="92"/>
      <c r="J29" s="92"/>
      <c r="K29" s="92"/>
      <c r="L29" s="92"/>
    </row>
    <row r="30" spans="1:12" x14ac:dyDescent="0.25">
      <c r="A30" s="128" t="s">
        <v>103</v>
      </c>
      <c r="B30" s="256"/>
      <c r="C30" s="164"/>
      <c r="D30" s="164"/>
      <c r="E30" s="164"/>
      <c r="F30" s="164"/>
      <c r="G30" s="29">
        <f t="shared" si="8"/>
        <v>0</v>
      </c>
      <c r="H30" s="165" t="str">
        <f>IF(G30&gt;0,G30*1000/$G$21,"-")</f>
        <v>-</v>
      </c>
      <c r="I30" s="92"/>
      <c r="J30" s="92"/>
      <c r="K30" s="17"/>
      <c r="L30" s="17"/>
    </row>
    <row r="31" spans="1:12" x14ac:dyDescent="0.25">
      <c r="A31" s="99" t="s">
        <v>104</v>
      </c>
      <c r="B31" s="168"/>
      <c r="C31" s="169"/>
      <c r="D31" s="169"/>
      <c r="E31" s="169"/>
      <c r="F31" s="169"/>
      <c r="G31" s="170">
        <v>0.88</v>
      </c>
      <c r="H31" s="169"/>
      <c r="I31" s="92"/>
      <c r="J31" s="92"/>
      <c r="K31" s="92"/>
      <c r="L31" s="17"/>
    </row>
    <row r="32" spans="1:12" x14ac:dyDescent="0.25">
      <c r="A32" s="3"/>
      <c r="B32" s="124"/>
      <c r="C32" s="147"/>
      <c r="D32" s="147"/>
      <c r="E32" s="147"/>
      <c r="F32" s="147"/>
      <c r="G32" s="31"/>
      <c r="H32" s="147"/>
      <c r="I32" s="92"/>
      <c r="J32" s="92"/>
      <c r="K32" s="92"/>
      <c r="L32" s="17"/>
    </row>
    <row r="33" spans="1:12" x14ac:dyDescent="0.25">
      <c r="A33" s="9" t="s">
        <v>105</v>
      </c>
      <c r="B33" s="171" t="s">
        <v>73</v>
      </c>
      <c r="C33" s="160" t="s">
        <v>74</v>
      </c>
      <c r="D33" s="160" t="s">
        <v>75</v>
      </c>
      <c r="E33" s="160" t="s">
        <v>76</v>
      </c>
      <c r="F33" s="160" t="s">
        <v>77</v>
      </c>
      <c r="G33" s="32" t="s">
        <v>78</v>
      </c>
      <c r="H33" s="172" t="s">
        <v>106</v>
      </c>
      <c r="I33" s="92"/>
      <c r="J33" s="92"/>
      <c r="K33" s="92"/>
      <c r="L33" s="17"/>
    </row>
    <row r="34" spans="1:12" ht="15" customHeight="1" x14ac:dyDescent="0.25">
      <c r="A34" s="162" t="s">
        <v>107</v>
      </c>
      <c r="B34" s="252" t="s">
        <v>81</v>
      </c>
      <c r="C34" s="108">
        <v>1375.62</v>
      </c>
      <c r="D34" s="108">
        <v>1340.39</v>
      </c>
      <c r="E34" s="108">
        <v>1518.92</v>
      </c>
      <c r="F34" s="152">
        <v>1683.33</v>
      </c>
      <c r="G34" s="28">
        <f t="shared" ref="G34:G35" si="9">SUM(C34:F34)</f>
        <v>5918.26</v>
      </c>
      <c r="H34" s="153">
        <f>IF(G34&gt;0,G34/$G$21,"-")</f>
        <v>1.7732538839033373E-2</v>
      </c>
      <c r="I34" s="92"/>
      <c r="J34" s="92"/>
      <c r="K34" s="17"/>
      <c r="L34" s="17"/>
    </row>
    <row r="35" spans="1:12" ht="15" customHeight="1" x14ac:dyDescent="0.25">
      <c r="A35" s="128" t="s">
        <v>108</v>
      </c>
      <c r="B35" s="253"/>
      <c r="C35" s="109">
        <v>19072.5</v>
      </c>
      <c r="D35" s="110">
        <v>19758.84</v>
      </c>
      <c r="E35" s="110">
        <v>19618</v>
      </c>
      <c r="F35" s="164">
        <v>20609</v>
      </c>
      <c r="G35" s="29">
        <f t="shared" si="9"/>
        <v>79058.34</v>
      </c>
      <c r="H35" s="155">
        <f t="shared" ref="H35:H42" si="10">IF(G35&gt;0,G35/$G$21,"-")</f>
        <v>0.23687791421794674</v>
      </c>
      <c r="I35" s="92"/>
      <c r="J35" s="92"/>
      <c r="K35" s="17"/>
      <c r="L35" s="17"/>
    </row>
    <row r="36" spans="1:12" ht="15" customHeight="1" x14ac:dyDescent="0.25">
      <c r="A36" s="128" t="s">
        <v>109</v>
      </c>
      <c r="B36" s="253"/>
      <c r="C36" s="109">
        <v>6.28</v>
      </c>
      <c r="D36" s="109">
        <v>6.68</v>
      </c>
      <c r="E36" s="109">
        <v>0</v>
      </c>
      <c r="F36" s="164"/>
      <c r="G36" s="29">
        <f t="shared" ref="G36:G42" si="11">SUM(C36:F36)</f>
        <v>12.96</v>
      </c>
      <c r="H36" s="155">
        <f t="shared" si="10"/>
        <v>3.8831295575705108E-5</v>
      </c>
      <c r="I36" s="92"/>
      <c r="J36" s="92"/>
      <c r="K36" s="92"/>
      <c r="L36" s="92"/>
    </row>
    <row r="37" spans="1:12" x14ac:dyDescent="0.25">
      <c r="A37" s="111" t="s">
        <v>110</v>
      </c>
      <c r="B37" s="253"/>
      <c r="C37" s="109">
        <v>176.9</v>
      </c>
      <c r="D37" s="109">
        <v>94.08</v>
      </c>
      <c r="E37" s="109">
        <v>145.62</v>
      </c>
      <c r="F37" s="164">
        <v>119</v>
      </c>
      <c r="G37" s="29">
        <f t="shared" ref="G37" si="12">SUM(C37:F37)</f>
        <v>535.6</v>
      </c>
      <c r="H37" s="155">
        <f t="shared" si="10"/>
        <v>1.6047871844404053E-3</v>
      </c>
      <c r="I37" s="92"/>
      <c r="J37" s="92"/>
      <c r="K37" s="92"/>
      <c r="L37" s="92"/>
    </row>
    <row r="38" spans="1:12" x14ac:dyDescent="0.25">
      <c r="A38" s="111" t="s">
        <v>111</v>
      </c>
      <c r="B38" s="253"/>
      <c r="C38" s="109">
        <v>2.72</v>
      </c>
      <c r="D38" s="109">
        <v>3.92</v>
      </c>
      <c r="E38" s="109">
        <v>4.96</v>
      </c>
      <c r="F38" s="164">
        <v>7.06</v>
      </c>
      <c r="G38" s="29">
        <f t="shared" si="11"/>
        <v>18.66</v>
      </c>
      <c r="H38" s="155">
        <f t="shared" si="10"/>
        <v>5.5909874648353184E-5</v>
      </c>
      <c r="I38" s="92"/>
      <c r="J38" s="92"/>
      <c r="K38" s="92"/>
      <c r="L38" s="92"/>
    </row>
    <row r="39" spans="1:12" x14ac:dyDescent="0.25">
      <c r="A39" s="111" t="s">
        <v>112</v>
      </c>
      <c r="B39" s="253"/>
      <c r="C39" s="109">
        <v>44.16</v>
      </c>
      <c r="D39" s="109">
        <v>47.88</v>
      </c>
      <c r="E39" s="109">
        <v>56.42</v>
      </c>
      <c r="F39" s="164">
        <v>41.06</v>
      </c>
      <c r="G39" s="29">
        <f t="shared" si="11"/>
        <v>189.51999999999998</v>
      </c>
      <c r="H39" s="155">
        <f t="shared" si="10"/>
        <v>5.6784777295583564E-4</v>
      </c>
      <c r="I39" s="92"/>
      <c r="J39" s="92"/>
      <c r="K39" s="92"/>
      <c r="L39" s="92"/>
    </row>
    <row r="40" spans="1:12" x14ac:dyDescent="0.25">
      <c r="A40" s="111" t="s">
        <v>113</v>
      </c>
      <c r="B40" s="253"/>
      <c r="C40" s="109">
        <v>0.98</v>
      </c>
      <c r="D40" s="109"/>
      <c r="E40" s="109"/>
      <c r="F40" s="164"/>
      <c r="G40" s="29">
        <f t="shared" si="11"/>
        <v>0.98</v>
      </c>
      <c r="H40" s="155">
        <f t="shared" si="10"/>
        <v>2.9363171037184415E-6</v>
      </c>
      <c r="I40" s="92"/>
      <c r="J40" s="92"/>
      <c r="K40" s="92"/>
      <c r="L40" s="92"/>
    </row>
    <row r="41" spans="1:12" x14ac:dyDescent="0.25">
      <c r="A41" s="111" t="s">
        <v>114</v>
      </c>
      <c r="B41" s="253"/>
      <c r="C41" s="109">
        <v>37</v>
      </c>
      <c r="D41" s="109"/>
      <c r="E41" s="109"/>
      <c r="F41" s="164"/>
      <c r="G41" s="29">
        <f t="shared" si="11"/>
        <v>37</v>
      </c>
      <c r="H41" s="155">
        <f t="shared" si="10"/>
        <v>1.1086095187508401E-4</v>
      </c>
      <c r="I41" s="92"/>
      <c r="J41" s="92"/>
      <c r="K41" s="92"/>
      <c r="L41" s="92"/>
    </row>
    <row r="42" spans="1:12" x14ac:dyDescent="0.25">
      <c r="A42" s="112" t="s">
        <v>115</v>
      </c>
      <c r="B42" s="254"/>
      <c r="C42" s="113">
        <v>15.12</v>
      </c>
      <c r="D42" s="113">
        <v>18.3</v>
      </c>
      <c r="E42" s="113">
        <v>26.74</v>
      </c>
      <c r="F42" s="173">
        <v>20.16</v>
      </c>
      <c r="G42" s="30">
        <f t="shared" si="11"/>
        <v>80.319999999999993</v>
      </c>
      <c r="H42" s="159">
        <f t="shared" si="10"/>
        <v>2.406581528272094E-4</v>
      </c>
      <c r="I42" s="92"/>
      <c r="J42" s="92"/>
      <c r="K42" s="92"/>
      <c r="L42" s="92"/>
    </row>
    <row r="43" spans="1:12" x14ac:dyDescent="0.25">
      <c r="A43" s="124"/>
      <c r="B43" s="124"/>
      <c r="C43" s="147"/>
      <c r="D43" s="147"/>
      <c r="E43" s="147"/>
      <c r="F43" s="147"/>
      <c r="G43" s="31"/>
      <c r="H43" s="147"/>
      <c r="I43" s="92"/>
      <c r="J43" s="92"/>
      <c r="K43" s="92"/>
      <c r="L43" s="92"/>
    </row>
    <row r="44" spans="1:12" x14ac:dyDescent="0.25">
      <c r="A44" s="9" t="s">
        <v>116</v>
      </c>
      <c r="B44" s="174" t="s">
        <v>73</v>
      </c>
      <c r="C44" s="149" t="s">
        <v>74</v>
      </c>
      <c r="D44" s="149" t="s">
        <v>75</v>
      </c>
      <c r="E44" s="149" t="s">
        <v>76</v>
      </c>
      <c r="F44" s="149" t="s">
        <v>77</v>
      </c>
      <c r="G44" s="27" t="s">
        <v>78</v>
      </c>
      <c r="H44" s="150" t="s">
        <v>117</v>
      </c>
      <c r="I44" s="92"/>
      <c r="J44" s="92"/>
      <c r="K44" s="92"/>
      <c r="L44" s="92"/>
    </row>
    <row r="45" spans="1:12" ht="15.6" customHeight="1" x14ac:dyDescent="0.25">
      <c r="A45" s="162" t="s">
        <v>118</v>
      </c>
      <c r="B45" s="166" t="s">
        <v>119</v>
      </c>
      <c r="C45" s="108">
        <v>8237000</v>
      </c>
      <c r="D45" s="108">
        <v>13307000</v>
      </c>
      <c r="E45" s="108">
        <v>13067000</v>
      </c>
      <c r="F45" s="152">
        <v>13218000</v>
      </c>
      <c r="G45" s="28">
        <f t="shared" ref="G45:G53" si="13">SUM(C45:F45)</f>
        <v>47829000</v>
      </c>
      <c r="H45" s="175">
        <f>IF(G45&gt;0,G45/$G$21,"-")</f>
        <v>143.3072558711728</v>
      </c>
      <c r="I45" s="92"/>
      <c r="J45" s="92"/>
      <c r="K45" s="92"/>
      <c r="L45" s="92"/>
    </row>
    <row r="46" spans="1:12" x14ac:dyDescent="0.25">
      <c r="A46" s="128" t="s">
        <v>120</v>
      </c>
      <c r="B46" s="166" t="s">
        <v>119</v>
      </c>
      <c r="C46" s="164"/>
      <c r="D46" s="164"/>
      <c r="E46" s="164"/>
      <c r="F46" s="164"/>
      <c r="G46" s="29">
        <f t="shared" si="13"/>
        <v>0</v>
      </c>
      <c r="H46" s="175" t="str">
        <f t="shared" ref="H46:H51" si="14">IF(G46&gt;0,G46/$G$21,"-")</f>
        <v>-</v>
      </c>
      <c r="I46" s="92"/>
      <c r="J46" s="92"/>
      <c r="K46" s="92"/>
      <c r="L46" s="92"/>
    </row>
    <row r="47" spans="1:12" ht="15.6" customHeight="1" x14ac:dyDescent="0.25">
      <c r="A47" s="128" t="s">
        <v>121</v>
      </c>
      <c r="B47" s="166" t="s">
        <v>122</v>
      </c>
      <c r="C47" s="164"/>
      <c r="D47" s="164"/>
      <c r="E47" s="164"/>
      <c r="F47" s="164"/>
      <c r="G47" s="29">
        <f t="shared" si="13"/>
        <v>0</v>
      </c>
      <c r="H47" s="175" t="str">
        <f t="shared" si="14"/>
        <v>-</v>
      </c>
      <c r="I47" s="92"/>
      <c r="J47" s="92"/>
      <c r="K47" s="92"/>
      <c r="L47" s="92"/>
    </row>
    <row r="48" spans="1:12" ht="15.6" customHeight="1" x14ac:dyDescent="0.25">
      <c r="A48" s="128" t="s">
        <v>123</v>
      </c>
      <c r="B48" s="166" t="s">
        <v>122</v>
      </c>
      <c r="C48" s="164">
        <v>132000</v>
      </c>
      <c r="D48" s="164">
        <v>134000</v>
      </c>
      <c r="E48" s="164">
        <v>126000</v>
      </c>
      <c r="F48" s="164">
        <v>127000</v>
      </c>
      <c r="G48" s="29">
        <f t="shared" ref="G48" si="15">SUM(C48:F48)</f>
        <v>519000</v>
      </c>
      <c r="H48" s="175">
        <f t="shared" si="14"/>
        <v>1.555049568193746</v>
      </c>
      <c r="I48" s="92"/>
      <c r="J48" s="92"/>
      <c r="K48" s="92"/>
      <c r="L48" s="92"/>
    </row>
    <row r="49" spans="1:10" x14ac:dyDescent="0.25">
      <c r="A49" s="128" t="s">
        <v>124</v>
      </c>
      <c r="B49" s="166" t="s">
        <v>122</v>
      </c>
      <c r="C49" s="164">
        <v>20000</v>
      </c>
      <c r="D49" s="164">
        <v>39000</v>
      </c>
      <c r="E49" s="164">
        <v>28000</v>
      </c>
      <c r="F49" s="164">
        <v>40000</v>
      </c>
      <c r="G49" s="29">
        <f t="shared" si="13"/>
        <v>127000</v>
      </c>
      <c r="H49" s="175">
        <f t="shared" si="14"/>
        <v>0.38052272670636944</v>
      </c>
      <c r="I49" s="92"/>
      <c r="J49" s="92"/>
    </row>
    <row r="50" spans="1:10" x14ac:dyDescent="0.25">
      <c r="A50" s="128" t="s">
        <v>125</v>
      </c>
      <c r="B50" s="166" t="s">
        <v>122</v>
      </c>
      <c r="C50" s="164">
        <v>582000</v>
      </c>
      <c r="D50" s="164">
        <v>485000</v>
      </c>
      <c r="E50" s="164">
        <v>599000</v>
      </c>
      <c r="F50" s="164">
        <v>639000</v>
      </c>
      <c r="G50" s="29">
        <f t="shared" si="13"/>
        <v>2305000</v>
      </c>
      <c r="H50" s="175">
        <f t="shared" si="14"/>
        <v>6.9063376776234771</v>
      </c>
      <c r="I50" s="92"/>
      <c r="J50" s="92"/>
    </row>
    <row r="51" spans="1:10" x14ac:dyDescent="0.25">
      <c r="A51" s="128" t="s">
        <v>126</v>
      </c>
      <c r="B51" s="166" t="s">
        <v>119</v>
      </c>
      <c r="C51" s="164">
        <v>74291</v>
      </c>
      <c r="D51" s="164">
        <v>153318</v>
      </c>
      <c r="E51" s="164">
        <v>95747</v>
      </c>
      <c r="F51" s="164">
        <v>110318</v>
      </c>
      <c r="G51" s="29">
        <f t="shared" si="13"/>
        <v>433674</v>
      </c>
      <c r="H51" s="175">
        <f t="shared" si="14"/>
        <v>1.299392228202032</v>
      </c>
      <c r="I51" s="92"/>
      <c r="J51" s="92"/>
    </row>
    <row r="52" spans="1:10" x14ac:dyDescent="0.25">
      <c r="A52" s="128" t="s">
        <v>127</v>
      </c>
      <c r="B52" s="166" t="s">
        <v>128</v>
      </c>
      <c r="C52" s="164">
        <v>0</v>
      </c>
      <c r="D52" s="164">
        <v>0</v>
      </c>
      <c r="E52" s="164">
        <v>0</v>
      </c>
      <c r="F52" s="164">
        <v>0</v>
      </c>
      <c r="G52" s="29">
        <f t="shared" si="13"/>
        <v>0</v>
      </c>
      <c r="H52" s="176"/>
      <c r="I52" s="92"/>
      <c r="J52" s="92"/>
    </row>
    <row r="53" spans="1:10" x14ac:dyDescent="0.25">
      <c r="A53" s="99" t="s">
        <v>129</v>
      </c>
      <c r="B53" s="177"/>
      <c r="C53" s="173">
        <v>0</v>
      </c>
      <c r="D53" s="173">
        <v>0</v>
      </c>
      <c r="E53" s="173">
        <v>0</v>
      </c>
      <c r="F53" s="173">
        <v>0</v>
      </c>
      <c r="G53" s="30">
        <f t="shared" si="13"/>
        <v>0</v>
      </c>
      <c r="H53" s="178"/>
      <c r="I53" s="92"/>
      <c r="J53" s="92"/>
    </row>
    <row r="54" spans="1:10" x14ac:dyDescent="0.25">
      <c r="A54" s="124"/>
      <c r="B54" s="124"/>
      <c r="C54" s="147"/>
      <c r="D54" s="147"/>
      <c r="E54" s="147"/>
      <c r="F54" s="147"/>
      <c r="G54" s="31"/>
      <c r="H54" s="147"/>
      <c r="I54" s="92"/>
      <c r="J54" s="92"/>
    </row>
    <row r="55" spans="1:10" x14ac:dyDescent="0.25">
      <c r="A55" s="9" t="s">
        <v>130</v>
      </c>
      <c r="B55" s="179" t="s">
        <v>131</v>
      </c>
      <c r="C55" s="160" t="s">
        <v>74</v>
      </c>
      <c r="D55" s="160" t="s">
        <v>75</v>
      </c>
      <c r="E55" s="160" t="s">
        <v>76</v>
      </c>
      <c r="F55" s="160" t="s">
        <v>77</v>
      </c>
      <c r="G55" s="32" t="s">
        <v>78</v>
      </c>
      <c r="H55" s="161"/>
      <c r="I55" s="92"/>
      <c r="J55" s="85" t="s">
        <v>132</v>
      </c>
    </row>
    <row r="56" spans="1:10" ht="14.25" customHeight="1" x14ac:dyDescent="0.25">
      <c r="A56" s="248" t="s">
        <v>133</v>
      </c>
      <c r="B56" s="160">
        <v>1</v>
      </c>
      <c r="C56" s="108">
        <v>2108</v>
      </c>
      <c r="D56" s="108">
        <v>2072</v>
      </c>
      <c r="E56" s="108">
        <v>2180.6999999999998</v>
      </c>
      <c r="F56" s="152">
        <v>2133</v>
      </c>
      <c r="G56" s="28">
        <f t="shared" ref="G56:G64" si="16">SUM(C56:F56)</f>
        <v>8493.7000000000007</v>
      </c>
      <c r="H56" s="153" t="s">
        <v>134</v>
      </c>
      <c r="I56" s="92"/>
      <c r="J56" s="87">
        <v>8760</v>
      </c>
    </row>
    <row r="57" spans="1:10" ht="14.25" customHeight="1" x14ac:dyDescent="0.25">
      <c r="A57" s="249"/>
      <c r="B57" s="147">
        <v>2</v>
      </c>
      <c r="C57" s="109">
        <v>2106</v>
      </c>
      <c r="D57" s="109">
        <v>2145</v>
      </c>
      <c r="E57" s="109">
        <v>2141.6999999999998</v>
      </c>
      <c r="F57" s="154">
        <v>2189</v>
      </c>
      <c r="G57" s="29">
        <f t="shared" si="16"/>
        <v>8581.7000000000007</v>
      </c>
      <c r="H57" s="155" t="s">
        <v>135</v>
      </c>
      <c r="I57" s="92"/>
      <c r="J57" s="92"/>
    </row>
    <row r="58" spans="1:10" ht="14.25" customHeight="1" x14ac:dyDescent="0.25">
      <c r="A58" s="128" t="s">
        <v>136</v>
      </c>
      <c r="B58" s="147"/>
      <c r="C58" s="154">
        <v>2107</v>
      </c>
      <c r="D58" s="154">
        <v>2109</v>
      </c>
      <c r="E58" s="154">
        <v>2161</v>
      </c>
      <c r="F58" s="154">
        <v>2161</v>
      </c>
      <c r="G58" s="29">
        <f>AVERAGE(G56:G57)</f>
        <v>8537.7000000000007</v>
      </c>
      <c r="H58" s="86" t="s">
        <v>135</v>
      </c>
      <c r="I58" s="92"/>
      <c r="J58" s="92"/>
    </row>
    <row r="59" spans="1:10" ht="14.25" customHeight="1" x14ac:dyDescent="0.25">
      <c r="A59" s="128" t="s">
        <v>137</v>
      </c>
      <c r="B59" s="147">
        <v>1</v>
      </c>
      <c r="C59" s="109">
        <v>2207</v>
      </c>
      <c r="D59" s="109">
        <v>2183</v>
      </c>
      <c r="E59" s="109">
        <v>2203.6999999999998</v>
      </c>
      <c r="F59" s="154">
        <v>2195</v>
      </c>
      <c r="G59" s="29">
        <f t="shared" si="16"/>
        <v>8788.7000000000007</v>
      </c>
      <c r="H59" s="155" t="s">
        <v>135</v>
      </c>
      <c r="I59" s="92"/>
      <c r="J59" s="92"/>
    </row>
    <row r="60" spans="1:10" x14ac:dyDescent="0.25">
      <c r="A60" s="128" t="s">
        <v>138</v>
      </c>
      <c r="B60" s="147"/>
      <c r="C60" s="164"/>
      <c r="D60" s="164"/>
      <c r="E60" s="164"/>
      <c r="F60" s="164"/>
      <c r="G60" s="29">
        <f t="shared" si="16"/>
        <v>0</v>
      </c>
      <c r="H60" s="155" t="str">
        <f>IF(B60&gt;0,#REF!/J56,"n/a")</f>
        <v>n/a</v>
      </c>
      <c r="I60" s="92"/>
      <c r="J60" s="92"/>
    </row>
    <row r="61" spans="1:10" x14ac:dyDescent="0.25">
      <c r="A61" s="128" t="s">
        <v>139</v>
      </c>
      <c r="B61" s="147" t="s">
        <v>140</v>
      </c>
      <c r="C61" s="164"/>
      <c r="D61" s="164"/>
      <c r="E61" s="164"/>
      <c r="F61" s="164"/>
      <c r="G61" s="29"/>
      <c r="H61" s="180" t="s">
        <v>141</v>
      </c>
      <c r="I61" s="92"/>
      <c r="J61" s="92"/>
    </row>
    <row r="62" spans="1:10" x14ac:dyDescent="0.25">
      <c r="A62" s="128" t="s">
        <v>142</v>
      </c>
      <c r="B62" s="147" t="s">
        <v>143</v>
      </c>
      <c r="C62" s="164"/>
      <c r="D62" s="164"/>
      <c r="E62" s="164"/>
      <c r="F62" s="164"/>
      <c r="G62" s="29">
        <f t="shared" si="16"/>
        <v>0</v>
      </c>
      <c r="H62" s="165" t="str">
        <f>IF(G62&gt;0,"yes","no")</f>
        <v>no</v>
      </c>
      <c r="I62" s="92"/>
      <c r="J62" s="92"/>
    </row>
    <row r="63" spans="1:10" x14ac:dyDescent="0.25">
      <c r="A63" s="128" t="s">
        <v>144</v>
      </c>
      <c r="B63" s="147" t="s">
        <v>145</v>
      </c>
      <c r="C63" s="164"/>
      <c r="D63" s="164"/>
      <c r="E63" s="164"/>
      <c r="F63" s="164"/>
      <c r="G63" s="29">
        <f t="shared" si="16"/>
        <v>0</v>
      </c>
      <c r="H63" s="181">
        <f>+(G63)/J56</f>
        <v>0</v>
      </c>
      <c r="I63" s="92"/>
      <c r="J63" s="92"/>
    </row>
    <row r="64" spans="1:10" x14ac:dyDescent="0.25">
      <c r="A64" s="99" t="s">
        <v>146</v>
      </c>
      <c r="B64" s="182" t="s">
        <v>143</v>
      </c>
      <c r="C64" s="113"/>
      <c r="D64" s="113">
        <v>6</v>
      </c>
      <c r="E64" s="113">
        <v>1</v>
      </c>
      <c r="F64" s="173">
        <v>1</v>
      </c>
      <c r="G64" s="30">
        <f t="shared" si="16"/>
        <v>8</v>
      </c>
      <c r="H64" s="183" t="str">
        <f>IF(G64&gt;0,"yes","no")</f>
        <v>yes</v>
      </c>
      <c r="I64" s="92"/>
      <c r="J64" s="92"/>
    </row>
    <row r="77" spans="6:6" x14ac:dyDescent="0.25">
      <c r="F77" s="3"/>
    </row>
  </sheetData>
  <mergeCells count="8">
    <mergeCell ref="A56:A57"/>
    <mergeCell ref="K6:K7"/>
    <mergeCell ref="K8:K19"/>
    <mergeCell ref="B34:B42"/>
    <mergeCell ref="B4:C4"/>
    <mergeCell ref="B8:B20"/>
    <mergeCell ref="B24:B27"/>
    <mergeCell ref="B29:B30"/>
  </mergeCells>
  <phoneticPr fontId="25" type="noConversion"/>
  <pageMargins left="0.7" right="0.7" top="0.75" bottom="0.75" header="0.3" footer="0.3"/>
  <pageSetup paperSize="9" scale="87" orientation="portrait" r:id="rId1"/>
  <headerFooter scaleWithDoc="0">
    <oddFooter>&amp;C&amp;"Arial,Regular"Page &amp;P</oddFooter>
  </headerFooter>
  <rowBreaks count="1" manualBreakCount="1">
    <brk id="53" max="16383" man="1"/>
  </rowBreaks>
  <ignoredErrors>
    <ignoredError sqref="G59 G57" formulaRange="1"/>
  </ignoredErrors>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topLeftCell="A23" workbookViewId="0">
      <selection activeCell="A31" sqref="A31:I52"/>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4" x14ac:dyDescent="0.25">
      <c r="A1" s="92" t="str">
        <f>+'Cover Page'!$B$29</f>
        <v>Annual Performance Report 2022</v>
      </c>
      <c r="B1" s="92"/>
      <c r="C1" s="92"/>
      <c r="D1" s="92"/>
      <c r="E1" s="92" t="str">
        <f>+'Cover Page'!$B$33</f>
        <v>Beddington Energy Recovery Facility</v>
      </c>
      <c r="F1" s="92"/>
      <c r="G1" s="92"/>
      <c r="H1" s="92"/>
      <c r="I1" s="92"/>
      <c r="J1" s="92"/>
      <c r="K1" s="92"/>
      <c r="L1" s="92"/>
      <c r="M1" s="92"/>
      <c r="N1" s="92"/>
    </row>
    <row r="3" spans="1:14" ht="15.6" x14ac:dyDescent="0.3">
      <c r="A3" s="51" t="s">
        <v>147</v>
      </c>
      <c r="B3" s="142"/>
      <c r="C3" s="142"/>
      <c r="D3" s="142"/>
      <c r="E3" s="142"/>
      <c r="F3" s="142"/>
      <c r="G3" s="142"/>
      <c r="H3" s="142"/>
      <c r="I3" s="143"/>
      <c r="J3" s="92"/>
      <c r="K3" s="81" t="s">
        <v>2</v>
      </c>
      <c r="L3" s="92"/>
      <c r="M3" s="92"/>
      <c r="N3" s="92"/>
    </row>
    <row r="4" spans="1:14" x14ac:dyDescent="0.25">
      <c r="A4" s="144"/>
      <c r="B4" s="145"/>
      <c r="C4" s="145"/>
      <c r="D4" s="145"/>
      <c r="E4" s="145"/>
      <c r="F4" s="145"/>
      <c r="G4" s="145"/>
      <c r="H4" s="145"/>
      <c r="I4" s="146"/>
      <c r="J4" s="92"/>
      <c r="K4" s="92"/>
      <c r="L4" s="92"/>
      <c r="M4" s="92"/>
      <c r="N4" s="92"/>
    </row>
    <row r="5" spans="1:14" ht="15.75" customHeight="1" x14ac:dyDescent="0.25">
      <c r="A5" s="230" t="s">
        <v>148</v>
      </c>
      <c r="B5" s="231"/>
      <c r="C5" s="231"/>
      <c r="D5" s="231"/>
      <c r="E5" s="231"/>
      <c r="F5" s="231"/>
      <c r="G5" s="231"/>
      <c r="H5" s="231"/>
      <c r="I5" s="232"/>
      <c r="J5" s="92"/>
      <c r="K5" s="247" t="s">
        <v>149</v>
      </c>
      <c r="L5" s="247"/>
      <c r="M5" s="247"/>
      <c r="N5" s="247"/>
    </row>
    <row r="6" spans="1:14" x14ac:dyDescent="0.25">
      <c r="A6" s="233"/>
      <c r="B6" s="234"/>
      <c r="C6" s="234"/>
      <c r="D6" s="234"/>
      <c r="E6" s="234"/>
      <c r="F6" s="234"/>
      <c r="G6" s="234"/>
      <c r="H6" s="234"/>
      <c r="I6" s="235"/>
      <c r="J6" s="92"/>
      <c r="K6" s="247"/>
      <c r="L6" s="247"/>
      <c r="M6" s="247"/>
      <c r="N6" s="247"/>
    </row>
    <row r="7" spans="1:14" x14ac:dyDescent="0.25">
      <c r="A7" s="233"/>
      <c r="B7" s="234"/>
      <c r="C7" s="234"/>
      <c r="D7" s="234"/>
      <c r="E7" s="234"/>
      <c r="F7" s="234"/>
      <c r="G7" s="234"/>
      <c r="H7" s="234"/>
      <c r="I7" s="235"/>
      <c r="J7" s="92"/>
      <c r="K7" s="247"/>
      <c r="L7" s="247"/>
      <c r="M7" s="247"/>
      <c r="N7" s="247"/>
    </row>
    <row r="8" spans="1:14" ht="15.75" customHeight="1" x14ac:dyDescent="0.25">
      <c r="A8" s="233"/>
      <c r="B8" s="234"/>
      <c r="C8" s="234"/>
      <c r="D8" s="234"/>
      <c r="E8" s="234"/>
      <c r="F8" s="234"/>
      <c r="G8" s="234"/>
      <c r="H8" s="234"/>
      <c r="I8" s="235"/>
      <c r="J8" s="92"/>
      <c r="K8" s="247"/>
      <c r="L8" s="247"/>
      <c r="M8" s="247"/>
      <c r="N8" s="247"/>
    </row>
    <row r="9" spans="1:14" ht="15.75" customHeight="1" x14ac:dyDescent="0.25">
      <c r="A9" s="233"/>
      <c r="B9" s="234"/>
      <c r="C9" s="234"/>
      <c r="D9" s="234"/>
      <c r="E9" s="234"/>
      <c r="F9" s="234"/>
      <c r="G9" s="234"/>
      <c r="H9" s="234"/>
      <c r="I9" s="235"/>
      <c r="J9" s="92"/>
      <c r="K9" s="247"/>
      <c r="L9" s="247"/>
      <c r="M9" s="247"/>
      <c r="N9" s="247"/>
    </row>
    <row r="10" spans="1:14" ht="15.75" customHeight="1" x14ac:dyDescent="0.25">
      <c r="A10" s="233"/>
      <c r="B10" s="234"/>
      <c r="C10" s="234"/>
      <c r="D10" s="234"/>
      <c r="E10" s="234"/>
      <c r="F10" s="234"/>
      <c r="G10" s="234"/>
      <c r="H10" s="234"/>
      <c r="I10" s="235"/>
      <c r="J10" s="92"/>
      <c r="K10" s="247"/>
      <c r="L10" s="247"/>
      <c r="M10" s="247"/>
      <c r="N10" s="247"/>
    </row>
    <row r="11" spans="1:14" ht="15.75" customHeight="1" x14ac:dyDescent="0.25">
      <c r="A11" s="233"/>
      <c r="B11" s="234"/>
      <c r="C11" s="234"/>
      <c r="D11" s="234"/>
      <c r="E11" s="234"/>
      <c r="F11" s="234"/>
      <c r="G11" s="234"/>
      <c r="H11" s="234"/>
      <c r="I11" s="235"/>
      <c r="J11" s="92"/>
      <c r="K11" s="247"/>
      <c r="L11" s="247"/>
      <c r="M11" s="247"/>
      <c r="N11" s="247"/>
    </row>
    <row r="12" spans="1:14" ht="15.75" customHeight="1" x14ac:dyDescent="0.25">
      <c r="A12" s="233"/>
      <c r="B12" s="234"/>
      <c r="C12" s="234"/>
      <c r="D12" s="234"/>
      <c r="E12" s="234"/>
      <c r="F12" s="234"/>
      <c r="G12" s="234"/>
      <c r="H12" s="234"/>
      <c r="I12" s="235"/>
      <c r="J12" s="92"/>
      <c r="K12" s="247"/>
      <c r="L12" s="247"/>
      <c r="M12" s="247"/>
      <c r="N12" s="247"/>
    </row>
    <row r="13" spans="1:14" ht="15.75" customHeight="1" x14ac:dyDescent="0.25">
      <c r="A13" s="233"/>
      <c r="B13" s="234"/>
      <c r="C13" s="234"/>
      <c r="D13" s="234"/>
      <c r="E13" s="234"/>
      <c r="F13" s="234"/>
      <c r="G13" s="234"/>
      <c r="H13" s="234"/>
      <c r="I13" s="235"/>
      <c r="J13" s="92"/>
      <c r="K13" s="247"/>
      <c r="L13" s="247"/>
      <c r="M13" s="247"/>
      <c r="N13" s="247"/>
    </row>
    <row r="14" spans="1:14" ht="15.75" customHeight="1" x14ac:dyDescent="0.25">
      <c r="A14" s="233"/>
      <c r="B14" s="234"/>
      <c r="C14" s="234"/>
      <c r="D14" s="234"/>
      <c r="E14" s="234"/>
      <c r="F14" s="234"/>
      <c r="G14" s="234"/>
      <c r="H14" s="234"/>
      <c r="I14" s="235"/>
      <c r="J14" s="92"/>
      <c r="K14" s="247"/>
      <c r="L14" s="247"/>
      <c r="M14" s="247"/>
      <c r="N14" s="247"/>
    </row>
    <row r="15" spans="1:14" ht="15.75" customHeight="1" x14ac:dyDescent="0.25">
      <c r="A15" s="233"/>
      <c r="B15" s="234"/>
      <c r="C15" s="234"/>
      <c r="D15" s="234"/>
      <c r="E15" s="234"/>
      <c r="F15" s="234"/>
      <c r="G15" s="234"/>
      <c r="H15" s="234"/>
      <c r="I15" s="235"/>
      <c r="J15" s="92"/>
      <c r="K15" s="92"/>
      <c r="L15" s="92"/>
      <c r="M15" s="92"/>
      <c r="N15" s="92"/>
    </row>
    <row r="16" spans="1:14" ht="15.75" customHeight="1" x14ac:dyDescent="0.25">
      <c r="A16" s="233"/>
      <c r="B16" s="234"/>
      <c r="C16" s="234"/>
      <c r="D16" s="234"/>
      <c r="E16" s="234"/>
      <c r="F16" s="234"/>
      <c r="G16" s="234"/>
      <c r="H16" s="234"/>
      <c r="I16" s="235"/>
      <c r="J16" s="92"/>
      <c r="K16" s="92"/>
      <c r="L16" s="92"/>
      <c r="M16" s="92"/>
      <c r="N16" s="92"/>
    </row>
    <row r="17" spans="1:14" ht="15.75" customHeight="1" x14ac:dyDescent="0.25">
      <c r="A17" s="233"/>
      <c r="B17" s="234"/>
      <c r="C17" s="234"/>
      <c r="D17" s="234"/>
      <c r="E17" s="234"/>
      <c r="F17" s="234"/>
      <c r="G17" s="234"/>
      <c r="H17" s="234"/>
      <c r="I17" s="235"/>
      <c r="J17" s="92"/>
      <c r="K17" s="92"/>
      <c r="L17" s="92"/>
      <c r="M17" s="92"/>
      <c r="N17" s="92"/>
    </row>
    <row r="18" spans="1:14" x14ac:dyDescent="0.25">
      <c r="A18" s="233"/>
      <c r="B18" s="234"/>
      <c r="C18" s="234"/>
      <c r="D18" s="234"/>
      <c r="E18" s="234"/>
      <c r="F18" s="234"/>
      <c r="G18" s="234"/>
      <c r="H18" s="234"/>
      <c r="I18" s="235"/>
      <c r="J18" s="92"/>
      <c r="K18" s="92"/>
      <c r="L18" s="92"/>
      <c r="M18" s="92"/>
      <c r="N18" s="92"/>
    </row>
    <row r="19" spans="1:14" x14ac:dyDescent="0.25">
      <c r="A19" s="233"/>
      <c r="B19" s="234"/>
      <c r="C19" s="234"/>
      <c r="D19" s="234"/>
      <c r="E19" s="234"/>
      <c r="F19" s="234"/>
      <c r="G19" s="234"/>
      <c r="H19" s="234"/>
      <c r="I19" s="235"/>
      <c r="J19" s="92"/>
      <c r="K19" s="92"/>
      <c r="L19" s="92"/>
      <c r="M19" s="92"/>
      <c r="N19" s="92"/>
    </row>
    <row r="20" spans="1:14" x14ac:dyDescent="0.25">
      <c r="A20" s="233"/>
      <c r="B20" s="234"/>
      <c r="C20" s="234"/>
      <c r="D20" s="234"/>
      <c r="E20" s="234"/>
      <c r="F20" s="234"/>
      <c r="G20" s="234"/>
      <c r="H20" s="234"/>
      <c r="I20" s="235"/>
      <c r="J20" s="92"/>
      <c r="K20" s="92"/>
      <c r="L20" s="92"/>
      <c r="M20" s="92"/>
      <c r="N20" s="92"/>
    </row>
    <row r="21" spans="1:14" x14ac:dyDescent="0.25">
      <c r="A21" s="233"/>
      <c r="B21" s="234"/>
      <c r="C21" s="234"/>
      <c r="D21" s="234"/>
      <c r="E21" s="234"/>
      <c r="F21" s="234"/>
      <c r="G21" s="234"/>
      <c r="H21" s="234"/>
      <c r="I21" s="235"/>
      <c r="J21" s="92"/>
      <c r="K21" s="92"/>
      <c r="L21" s="92"/>
      <c r="M21" s="92"/>
      <c r="N21" s="92"/>
    </row>
    <row r="22" spans="1:14" ht="15.45" customHeight="1" x14ac:dyDescent="0.25">
      <c r="A22" s="233"/>
      <c r="B22" s="234"/>
      <c r="C22" s="234"/>
      <c r="D22" s="234"/>
      <c r="E22" s="234"/>
      <c r="F22" s="234"/>
      <c r="G22" s="234"/>
      <c r="H22" s="234"/>
      <c r="I22" s="235"/>
      <c r="J22" s="92"/>
      <c r="K22" s="94"/>
      <c r="L22" s="94"/>
      <c r="M22" s="94"/>
      <c r="N22" s="94"/>
    </row>
    <row r="23" spans="1:14" x14ac:dyDescent="0.25">
      <c r="A23" s="233"/>
      <c r="B23" s="234"/>
      <c r="C23" s="234"/>
      <c r="D23" s="234"/>
      <c r="E23" s="234"/>
      <c r="F23" s="234"/>
      <c r="G23" s="234"/>
      <c r="H23" s="234"/>
      <c r="I23" s="235"/>
      <c r="J23" s="92"/>
      <c r="K23" s="94"/>
      <c r="L23" s="94"/>
      <c r="M23" s="94"/>
      <c r="N23" s="94"/>
    </row>
    <row r="24" spans="1:14" x14ac:dyDescent="0.25">
      <c r="A24" s="233"/>
      <c r="B24" s="234"/>
      <c r="C24" s="234"/>
      <c r="D24" s="234"/>
      <c r="E24" s="234"/>
      <c r="F24" s="234"/>
      <c r="G24" s="234"/>
      <c r="H24" s="234"/>
      <c r="I24" s="235"/>
      <c r="J24" s="92"/>
      <c r="K24" s="94"/>
      <c r="L24" s="94"/>
      <c r="M24" s="94"/>
      <c r="N24" s="94"/>
    </row>
    <row r="25" spans="1:14" x14ac:dyDescent="0.25">
      <c r="A25" s="233"/>
      <c r="B25" s="234"/>
      <c r="C25" s="234"/>
      <c r="D25" s="234"/>
      <c r="E25" s="234"/>
      <c r="F25" s="234"/>
      <c r="G25" s="234"/>
      <c r="H25" s="234"/>
      <c r="I25" s="235"/>
      <c r="J25" s="92"/>
      <c r="K25" s="94"/>
      <c r="L25" s="94"/>
      <c r="M25" s="94"/>
      <c r="N25" s="94"/>
    </row>
    <row r="26" spans="1:14" x14ac:dyDescent="0.25">
      <c r="A26" s="233"/>
      <c r="B26" s="234"/>
      <c r="C26" s="234"/>
      <c r="D26" s="234"/>
      <c r="E26" s="234"/>
      <c r="F26" s="234"/>
      <c r="G26" s="234"/>
      <c r="H26" s="234"/>
      <c r="I26" s="235"/>
      <c r="J26" s="92"/>
      <c r="K26" s="94"/>
      <c r="L26" s="94"/>
      <c r="M26" s="94"/>
      <c r="N26" s="94"/>
    </row>
    <row r="27" spans="1:14" x14ac:dyDescent="0.25">
      <c r="A27" s="236"/>
      <c r="B27" s="237"/>
      <c r="C27" s="237"/>
      <c r="D27" s="237"/>
      <c r="E27" s="237"/>
      <c r="F27" s="237"/>
      <c r="G27" s="237"/>
      <c r="H27" s="237"/>
      <c r="I27" s="238"/>
      <c r="J27" s="92"/>
      <c r="K27" s="94"/>
      <c r="L27" s="94"/>
      <c r="M27" s="94"/>
      <c r="N27" s="94"/>
    </row>
    <row r="28" spans="1:14" x14ac:dyDescent="0.25">
      <c r="A28" s="92"/>
      <c r="B28" s="92"/>
      <c r="C28" s="92"/>
      <c r="D28" s="92"/>
      <c r="E28" s="92"/>
      <c r="F28" s="92"/>
      <c r="G28" s="92"/>
      <c r="H28" s="92"/>
      <c r="I28" s="92"/>
      <c r="J28" s="92"/>
      <c r="K28" s="94"/>
      <c r="L28" s="94"/>
      <c r="M28" s="94"/>
      <c r="N28" s="94"/>
    </row>
    <row r="29" spans="1:14" x14ac:dyDescent="0.25">
      <c r="A29" s="51" t="s">
        <v>150</v>
      </c>
      <c r="B29" s="142"/>
      <c r="C29" s="142"/>
      <c r="D29" s="142"/>
      <c r="E29" s="142"/>
      <c r="F29" s="142"/>
      <c r="G29" s="142"/>
      <c r="H29" s="142"/>
      <c r="I29" s="143"/>
      <c r="J29" s="92"/>
      <c r="K29" s="94"/>
      <c r="L29" s="94"/>
      <c r="M29" s="94"/>
      <c r="N29" s="94"/>
    </row>
    <row r="30" spans="1:14" x14ac:dyDescent="0.25">
      <c r="A30" s="144"/>
      <c r="B30" s="145"/>
      <c r="C30" s="145"/>
      <c r="D30" s="145"/>
      <c r="E30" s="145"/>
      <c r="F30" s="145"/>
      <c r="G30" s="145"/>
      <c r="H30" s="145"/>
      <c r="I30" s="146"/>
      <c r="J30" s="92"/>
      <c r="K30" s="94"/>
      <c r="L30" s="94"/>
      <c r="M30" s="94"/>
      <c r="N30" s="94"/>
    </row>
    <row r="31" spans="1:14" x14ac:dyDescent="0.25">
      <c r="A31" s="230" t="s">
        <v>151</v>
      </c>
      <c r="B31" s="239"/>
      <c r="C31" s="239"/>
      <c r="D31" s="239"/>
      <c r="E31" s="239"/>
      <c r="F31" s="239"/>
      <c r="G31" s="239"/>
      <c r="H31" s="239"/>
      <c r="I31" s="240"/>
      <c r="J31" s="92"/>
      <c r="K31" s="247" t="s">
        <v>152</v>
      </c>
      <c r="L31" s="247"/>
      <c r="M31" s="247"/>
      <c r="N31" s="247"/>
    </row>
    <row r="32" spans="1:14" x14ac:dyDescent="0.25">
      <c r="A32" s="241"/>
      <c r="B32" s="242"/>
      <c r="C32" s="242"/>
      <c r="D32" s="242"/>
      <c r="E32" s="242"/>
      <c r="F32" s="242"/>
      <c r="G32" s="242"/>
      <c r="H32" s="242"/>
      <c r="I32" s="243"/>
      <c r="J32" s="92"/>
      <c r="K32" s="247"/>
      <c r="L32" s="247"/>
      <c r="M32" s="247"/>
      <c r="N32" s="247"/>
    </row>
    <row r="33" spans="1:14" x14ac:dyDescent="0.25">
      <c r="A33" s="241"/>
      <c r="B33" s="242"/>
      <c r="C33" s="242"/>
      <c r="D33" s="242"/>
      <c r="E33" s="242"/>
      <c r="F33" s="242"/>
      <c r="G33" s="242"/>
      <c r="H33" s="242"/>
      <c r="I33" s="243"/>
      <c r="J33" s="92"/>
      <c r="K33" s="247"/>
      <c r="L33" s="247"/>
      <c r="M33" s="247"/>
      <c r="N33" s="247"/>
    </row>
    <row r="34" spans="1:14" x14ac:dyDescent="0.25">
      <c r="A34" s="241"/>
      <c r="B34" s="242"/>
      <c r="C34" s="242"/>
      <c r="D34" s="242"/>
      <c r="E34" s="242"/>
      <c r="F34" s="242"/>
      <c r="G34" s="242"/>
      <c r="H34" s="242"/>
      <c r="I34" s="243"/>
      <c r="J34" s="92"/>
      <c r="K34" s="247"/>
      <c r="L34" s="247"/>
      <c r="M34" s="247"/>
      <c r="N34" s="247"/>
    </row>
    <row r="35" spans="1:14" x14ac:dyDescent="0.25">
      <c r="A35" s="241"/>
      <c r="B35" s="242"/>
      <c r="C35" s="242"/>
      <c r="D35" s="242"/>
      <c r="E35" s="242"/>
      <c r="F35" s="242"/>
      <c r="G35" s="242"/>
      <c r="H35" s="242"/>
      <c r="I35" s="243"/>
      <c r="J35" s="92"/>
      <c r="K35" s="247"/>
      <c r="L35" s="247"/>
      <c r="M35" s="247"/>
      <c r="N35" s="247"/>
    </row>
    <row r="36" spans="1:14" x14ac:dyDescent="0.25">
      <c r="A36" s="241"/>
      <c r="B36" s="242"/>
      <c r="C36" s="242"/>
      <c r="D36" s="242"/>
      <c r="E36" s="242"/>
      <c r="F36" s="242"/>
      <c r="G36" s="242"/>
      <c r="H36" s="242"/>
      <c r="I36" s="243"/>
      <c r="J36" s="92"/>
      <c r="K36" s="247"/>
      <c r="L36" s="247"/>
      <c r="M36" s="247"/>
      <c r="N36" s="247"/>
    </row>
    <row r="37" spans="1:14" x14ac:dyDescent="0.25">
      <c r="A37" s="241"/>
      <c r="B37" s="242"/>
      <c r="C37" s="242"/>
      <c r="D37" s="242"/>
      <c r="E37" s="242"/>
      <c r="F37" s="242"/>
      <c r="G37" s="242"/>
      <c r="H37" s="242"/>
      <c r="I37" s="243"/>
      <c r="J37" s="92"/>
      <c r="K37" s="247"/>
      <c r="L37" s="247"/>
      <c r="M37" s="247"/>
      <c r="N37" s="247"/>
    </row>
    <row r="38" spans="1:14" ht="14.25" customHeight="1" x14ac:dyDescent="0.25">
      <c r="A38" s="241"/>
      <c r="B38" s="242"/>
      <c r="C38" s="242"/>
      <c r="D38" s="242"/>
      <c r="E38" s="242"/>
      <c r="F38" s="242"/>
      <c r="G38" s="242"/>
      <c r="H38" s="242"/>
      <c r="I38" s="243"/>
      <c r="J38" s="92"/>
      <c r="K38" s="247"/>
      <c r="L38" s="247"/>
      <c r="M38" s="247"/>
      <c r="N38" s="247"/>
    </row>
    <row r="39" spans="1:14" x14ac:dyDescent="0.25">
      <c r="A39" s="241"/>
      <c r="B39" s="242"/>
      <c r="C39" s="242"/>
      <c r="D39" s="242"/>
      <c r="E39" s="242"/>
      <c r="F39" s="242"/>
      <c r="G39" s="242"/>
      <c r="H39" s="242"/>
      <c r="I39" s="243"/>
      <c r="J39" s="92"/>
      <c r="K39" s="247"/>
      <c r="L39" s="247"/>
      <c r="M39" s="247"/>
      <c r="N39" s="247"/>
    </row>
    <row r="40" spans="1:14" x14ac:dyDescent="0.25">
      <c r="A40" s="241"/>
      <c r="B40" s="242"/>
      <c r="C40" s="242"/>
      <c r="D40" s="242"/>
      <c r="E40" s="242"/>
      <c r="F40" s="242"/>
      <c r="G40" s="242"/>
      <c r="H40" s="242"/>
      <c r="I40" s="243"/>
      <c r="J40" s="92"/>
      <c r="K40" s="247"/>
      <c r="L40" s="247"/>
      <c r="M40" s="247"/>
      <c r="N40" s="247"/>
    </row>
    <row r="41" spans="1:14" x14ac:dyDescent="0.25">
      <c r="A41" s="241"/>
      <c r="B41" s="242"/>
      <c r="C41" s="242"/>
      <c r="D41" s="242"/>
      <c r="E41" s="242"/>
      <c r="F41" s="242"/>
      <c r="G41" s="242"/>
      <c r="H41" s="242"/>
      <c r="I41" s="243"/>
      <c r="J41" s="92"/>
      <c r="K41" s="92"/>
      <c r="L41" s="92"/>
      <c r="M41" s="92"/>
      <c r="N41" s="92"/>
    </row>
    <row r="42" spans="1:14" x14ac:dyDescent="0.25">
      <c r="A42" s="241"/>
      <c r="B42" s="242"/>
      <c r="C42" s="242"/>
      <c r="D42" s="242"/>
      <c r="E42" s="242"/>
      <c r="F42" s="242"/>
      <c r="G42" s="242"/>
      <c r="H42" s="242"/>
      <c r="I42" s="243"/>
      <c r="J42" s="92"/>
      <c r="K42" s="92"/>
      <c r="L42" s="92"/>
      <c r="M42" s="92"/>
      <c r="N42" s="92"/>
    </row>
    <row r="43" spans="1:14" x14ac:dyDescent="0.25">
      <c r="A43" s="241"/>
      <c r="B43" s="242"/>
      <c r="C43" s="242"/>
      <c r="D43" s="242"/>
      <c r="E43" s="242"/>
      <c r="F43" s="242"/>
      <c r="G43" s="242"/>
      <c r="H43" s="242"/>
      <c r="I43" s="243"/>
      <c r="J43" s="92"/>
      <c r="K43" s="92"/>
      <c r="L43" s="92"/>
      <c r="M43" s="92"/>
      <c r="N43" s="92"/>
    </row>
    <row r="44" spans="1:14" x14ac:dyDescent="0.25">
      <c r="A44" s="241"/>
      <c r="B44" s="242"/>
      <c r="C44" s="242"/>
      <c r="D44" s="242"/>
      <c r="E44" s="242"/>
      <c r="F44" s="242"/>
      <c r="G44" s="242"/>
      <c r="H44" s="242"/>
      <c r="I44" s="243"/>
      <c r="J44" s="92"/>
      <c r="K44" s="92"/>
      <c r="L44" s="92"/>
      <c r="M44" s="92"/>
      <c r="N44" s="92"/>
    </row>
    <row r="45" spans="1:14" x14ac:dyDescent="0.25">
      <c r="A45" s="241"/>
      <c r="B45" s="242"/>
      <c r="C45" s="242"/>
      <c r="D45" s="242"/>
      <c r="E45" s="242"/>
      <c r="F45" s="242"/>
      <c r="G45" s="242"/>
      <c r="H45" s="242"/>
      <c r="I45" s="243"/>
      <c r="J45" s="92"/>
      <c r="K45" s="92"/>
      <c r="L45" s="92"/>
      <c r="M45" s="92"/>
      <c r="N45" s="92"/>
    </row>
    <row r="46" spans="1:14" x14ac:dyDescent="0.25">
      <c r="A46" s="241"/>
      <c r="B46" s="242"/>
      <c r="C46" s="242"/>
      <c r="D46" s="242"/>
      <c r="E46" s="242"/>
      <c r="F46" s="242"/>
      <c r="G46" s="242"/>
      <c r="H46" s="242"/>
      <c r="I46" s="243"/>
      <c r="J46" s="92"/>
      <c r="K46" s="92"/>
      <c r="L46" s="92"/>
      <c r="M46" s="92"/>
      <c r="N46" s="92"/>
    </row>
    <row r="47" spans="1:14" x14ac:dyDescent="0.25">
      <c r="A47" s="241"/>
      <c r="B47" s="242"/>
      <c r="C47" s="242"/>
      <c r="D47" s="242"/>
      <c r="E47" s="242"/>
      <c r="F47" s="242"/>
      <c r="G47" s="242"/>
      <c r="H47" s="242"/>
      <c r="I47" s="243"/>
      <c r="J47" s="92"/>
      <c r="K47" s="92"/>
      <c r="L47" s="92"/>
      <c r="M47" s="92"/>
      <c r="N47" s="92"/>
    </row>
    <row r="48" spans="1:14" x14ac:dyDescent="0.25">
      <c r="A48" s="241"/>
      <c r="B48" s="242"/>
      <c r="C48" s="242"/>
      <c r="D48" s="242"/>
      <c r="E48" s="242"/>
      <c r="F48" s="242"/>
      <c r="G48" s="242"/>
      <c r="H48" s="242"/>
      <c r="I48" s="243"/>
      <c r="J48" s="92"/>
      <c r="K48" s="92"/>
      <c r="L48" s="92"/>
      <c r="M48" s="92"/>
      <c r="N48" s="92"/>
    </row>
    <row r="49" spans="1:9" x14ac:dyDescent="0.25">
      <c r="A49" s="241"/>
      <c r="B49" s="242"/>
      <c r="C49" s="242"/>
      <c r="D49" s="242"/>
      <c r="E49" s="242"/>
      <c r="F49" s="242"/>
      <c r="G49" s="242"/>
      <c r="H49" s="242"/>
      <c r="I49" s="243"/>
    </row>
    <row r="50" spans="1:9" x14ac:dyDescent="0.25">
      <c r="A50" s="241"/>
      <c r="B50" s="242"/>
      <c r="C50" s="242"/>
      <c r="D50" s="242"/>
      <c r="E50" s="242"/>
      <c r="F50" s="242"/>
      <c r="G50" s="242"/>
      <c r="H50" s="242"/>
      <c r="I50" s="243"/>
    </row>
    <row r="51" spans="1:9" x14ac:dyDescent="0.25">
      <c r="A51" s="241"/>
      <c r="B51" s="242"/>
      <c r="C51" s="242"/>
      <c r="D51" s="242"/>
      <c r="E51" s="242"/>
      <c r="F51" s="242"/>
      <c r="G51" s="242"/>
      <c r="H51" s="242"/>
      <c r="I51" s="243"/>
    </row>
    <row r="52" spans="1:9" x14ac:dyDescent="0.25">
      <c r="A52" s="244"/>
      <c r="B52" s="245"/>
      <c r="C52" s="245"/>
      <c r="D52" s="245"/>
      <c r="E52" s="245"/>
      <c r="F52" s="245"/>
      <c r="G52" s="245"/>
      <c r="H52" s="245"/>
      <c r="I52" s="246"/>
    </row>
    <row r="66" spans="6:6" x14ac:dyDescent="0.25">
      <c r="F66" s="3"/>
    </row>
  </sheetData>
  <mergeCells count="4">
    <mergeCell ref="A5:I27"/>
    <mergeCell ref="A31:I52"/>
    <mergeCell ref="K5:N14"/>
    <mergeCell ref="K31:N40"/>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2"/>
  <sheetViews>
    <sheetView topLeftCell="A8" workbookViewId="0">
      <selection activeCell="G12" sqref="G12:H12"/>
    </sheetView>
  </sheetViews>
  <sheetFormatPr defaultColWidth="9.33203125" defaultRowHeight="15" x14ac:dyDescent="0.25"/>
  <cols>
    <col min="1" max="16384" width="9.33203125" style="2"/>
  </cols>
  <sheetData>
    <row r="1" spans="1:10" ht="15.6" x14ac:dyDescent="0.3">
      <c r="A1" s="33">
        <f>+'Cover Page'!C39</f>
        <v>2022</v>
      </c>
      <c r="B1" s="34" t="s">
        <v>153</v>
      </c>
      <c r="C1" s="34"/>
      <c r="D1" s="34"/>
      <c r="E1" s="34"/>
      <c r="F1" s="34"/>
      <c r="G1" s="34"/>
      <c r="H1" s="34"/>
      <c r="I1" s="34"/>
      <c r="J1" s="34"/>
    </row>
    <row r="2" spans="1:10" ht="8.25" customHeight="1" x14ac:dyDescent="0.25">
      <c r="A2" s="92"/>
      <c r="B2" s="92"/>
      <c r="C2" s="92"/>
      <c r="D2" s="92"/>
      <c r="E2" s="92"/>
      <c r="F2" s="92"/>
      <c r="G2" s="92"/>
      <c r="H2" s="92"/>
      <c r="I2" s="92"/>
      <c r="J2" s="92"/>
    </row>
    <row r="3" spans="1:10" s="3" customFormat="1" ht="13.8" x14ac:dyDescent="0.25">
      <c r="A3" s="297" t="str">
        <f>+'Cover Page'!B31</f>
        <v>Permit EPR/GPa3305LN(previously TP3836CT)</v>
      </c>
      <c r="B3" s="297"/>
      <c r="C3" s="297"/>
      <c r="D3" s="297"/>
      <c r="E3" s="297"/>
      <c r="F3" s="3" t="s">
        <v>154</v>
      </c>
      <c r="G3" s="298">
        <f>+'Cover Page'!B37:I37</f>
        <v>0</v>
      </c>
      <c r="H3" s="298"/>
      <c r="I3" s="298"/>
    </row>
    <row r="4" spans="1:10" s="3" customFormat="1" ht="13.8" x14ac:dyDescent="0.25">
      <c r="A4" s="3" t="s">
        <v>155</v>
      </c>
      <c r="B4" s="297" t="str">
        <f>+'Cover Page'!B33:I33</f>
        <v>Beddington Energy Recovery Facility</v>
      </c>
      <c r="C4" s="297"/>
      <c r="D4" s="297"/>
      <c r="E4" s="297"/>
      <c r="F4" s="3" t="s">
        <v>156</v>
      </c>
      <c r="G4" s="3" t="s">
        <v>157</v>
      </c>
    </row>
    <row r="5" spans="1:10" s="3" customFormat="1" ht="6.75" customHeight="1" x14ac:dyDescent="0.25"/>
    <row r="6" spans="1:10" s="3" customFormat="1" ht="15.75" customHeight="1" x14ac:dyDescent="0.25">
      <c r="A6" s="3" t="s">
        <v>158</v>
      </c>
      <c r="D6" s="299"/>
      <c r="E6" s="299"/>
      <c r="F6" s="35" t="s">
        <v>159</v>
      </c>
      <c r="G6" s="299"/>
      <c r="H6" s="299"/>
    </row>
    <row r="7" spans="1:10" s="3" customFormat="1" ht="7.5" customHeight="1" x14ac:dyDescent="0.25"/>
    <row r="8" spans="1:10" s="3" customFormat="1" ht="15.6" x14ac:dyDescent="0.3">
      <c r="A8" s="9">
        <f>+A1</f>
        <v>2022</v>
      </c>
      <c r="B8" s="34" t="s">
        <v>160</v>
      </c>
      <c r="C8"/>
      <c r="D8"/>
      <c r="E8"/>
      <c r="F8"/>
      <c r="G8"/>
    </row>
    <row r="9" spans="1:10" s="3" customFormat="1" ht="28.5" customHeight="1" x14ac:dyDescent="0.25">
      <c r="A9" s="300" t="s">
        <v>161</v>
      </c>
      <c r="B9" s="300"/>
      <c r="C9" s="300" t="s">
        <v>162</v>
      </c>
      <c r="D9" s="300"/>
      <c r="E9" s="300" t="s">
        <v>163</v>
      </c>
      <c r="F9" s="300"/>
      <c r="G9" s="300" t="s">
        <v>164</v>
      </c>
      <c r="H9" s="300"/>
      <c r="I9" s="300" t="s">
        <v>165</v>
      </c>
      <c r="J9" s="300"/>
    </row>
    <row r="10" spans="1:10" s="3" customFormat="1" ht="14.25" customHeight="1" x14ac:dyDescent="0.25">
      <c r="A10" s="257" t="s">
        <v>166</v>
      </c>
      <c r="B10" s="257"/>
      <c r="C10" s="257"/>
      <c r="D10" s="257"/>
      <c r="E10" s="257"/>
      <c r="F10" s="257"/>
      <c r="G10" s="257"/>
      <c r="H10" s="257"/>
      <c r="I10" s="257"/>
      <c r="J10" s="257"/>
    </row>
    <row r="11" spans="1:10" s="3" customFormat="1" ht="14.25" customHeight="1" x14ac:dyDescent="0.25">
      <c r="A11" s="257" t="s">
        <v>167</v>
      </c>
      <c r="B11" s="257"/>
      <c r="C11" s="289" t="s">
        <v>168</v>
      </c>
      <c r="D11" s="289"/>
      <c r="E11" s="285">
        <v>914.1</v>
      </c>
      <c r="F11" s="285"/>
      <c r="G11" s="285"/>
      <c r="H11" s="285"/>
      <c r="I11" s="286">
        <f>IF((E11+G11)&gt;0,(E11+G11)/'Operational Data'!$G$21, "-")</f>
        <v>2.7388647597030892E-3</v>
      </c>
      <c r="J11" s="286"/>
    </row>
    <row r="12" spans="1:10" s="3" customFormat="1" ht="14.25" customHeight="1" x14ac:dyDescent="0.25">
      <c r="A12" s="257" t="s">
        <v>167</v>
      </c>
      <c r="B12" s="257"/>
      <c r="C12" s="289" t="s">
        <v>169</v>
      </c>
      <c r="D12" s="289"/>
      <c r="E12" s="285"/>
      <c r="F12" s="285"/>
      <c r="G12" s="285">
        <v>5004.16</v>
      </c>
      <c r="H12" s="285"/>
      <c r="I12" s="286">
        <f>IF((E12+G12)&gt;0,(E12+G12)/'Operational Data'!$G$21, "-")</f>
        <v>1.499367407933028E-2</v>
      </c>
      <c r="J12" s="286"/>
    </row>
    <row r="13" spans="1:10" s="3" customFormat="1" ht="14.25" customHeight="1" x14ac:dyDescent="0.25">
      <c r="A13" s="295"/>
      <c r="B13" s="295"/>
      <c r="C13" s="284"/>
      <c r="D13" s="284"/>
      <c r="E13" s="285"/>
      <c r="F13" s="285"/>
      <c r="G13" s="285"/>
      <c r="H13" s="285"/>
      <c r="I13" s="286" t="str">
        <f>IF((E13+G13)&gt;0,(E13+G13)/'Operational Data'!$G$21, "-")</f>
        <v>-</v>
      </c>
      <c r="J13" s="286"/>
    </row>
    <row r="14" spans="1:10" s="3" customFormat="1" ht="14.25" customHeight="1" x14ac:dyDescent="0.25">
      <c r="A14" s="295"/>
      <c r="B14" s="295"/>
      <c r="C14" s="284"/>
      <c r="D14" s="284"/>
      <c r="E14" s="285"/>
      <c r="F14" s="285"/>
      <c r="G14" s="285"/>
      <c r="H14" s="285"/>
      <c r="I14" s="286" t="str">
        <f>IF((E14+G14)&gt;0,(E14+G14)/'Operational Data'!$G$21, "-")</f>
        <v>-</v>
      </c>
      <c r="J14" s="286"/>
    </row>
    <row r="15" spans="1:10" s="3" customFormat="1" ht="14.25" customHeight="1" x14ac:dyDescent="0.25">
      <c r="A15" s="296" t="s">
        <v>170</v>
      </c>
      <c r="B15" s="296"/>
      <c r="C15" s="296"/>
      <c r="D15" s="296"/>
      <c r="E15" s="288">
        <f>SUM(E11:F14)</f>
        <v>914.1</v>
      </c>
      <c r="F15" s="288"/>
      <c r="G15" s="288">
        <f>SUM(G11:H14)</f>
        <v>5004.16</v>
      </c>
      <c r="H15" s="288"/>
      <c r="I15" s="286">
        <f>IF((E15+G15)&gt;0,(E15+G15)/'Operational Data'!$G$21, "-")</f>
        <v>1.7732538839033373E-2</v>
      </c>
      <c r="J15" s="286"/>
    </row>
    <row r="16" spans="1:10" s="3" customFormat="1" ht="14.25" customHeight="1" x14ac:dyDescent="0.25">
      <c r="A16" s="261"/>
      <c r="B16" s="262"/>
      <c r="C16" s="262"/>
      <c r="D16" s="262"/>
      <c r="E16" s="292"/>
      <c r="F16" s="292"/>
      <c r="G16" s="292"/>
      <c r="H16" s="292"/>
      <c r="I16" s="293"/>
      <c r="J16" s="265"/>
    </row>
    <row r="17" spans="1:10" s="3" customFormat="1" ht="14.25" customHeight="1" x14ac:dyDescent="0.25">
      <c r="A17" s="294" t="s">
        <v>171</v>
      </c>
      <c r="B17" s="294"/>
      <c r="C17" s="294"/>
      <c r="D17" s="294"/>
      <c r="E17" s="294"/>
      <c r="F17" s="294"/>
      <c r="G17" s="294"/>
      <c r="H17" s="294"/>
      <c r="I17" s="294"/>
      <c r="J17" s="294"/>
    </row>
    <row r="18" spans="1:10" ht="14.25" customHeight="1" x14ac:dyDescent="0.25">
      <c r="A18" s="257" t="s">
        <v>172</v>
      </c>
      <c r="B18" s="257"/>
      <c r="C18" s="289" t="s">
        <v>169</v>
      </c>
      <c r="D18" s="289"/>
      <c r="E18" s="290"/>
      <c r="F18" s="291"/>
      <c r="G18" s="285">
        <f>'Operational Data'!G35</f>
        <v>79058.34</v>
      </c>
      <c r="H18" s="285"/>
      <c r="I18" s="286">
        <f>IF((E18+G18)&gt;0,(E18+G18)/'Operational Data'!$G$21, "-")</f>
        <v>0.23687791421794674</v>
      </c>
      <c r="J18" s="286"/>
    </row>
    <row r="19" spans="1:10" s="3" customFormat="1" ht="14.25" customHeight="1" x14ac:dyDescent="0.25">
      <c r="A19" s="257" t="s">
        <v>173</v>
      </c>
      <c r="B19" s="257"/>
      <c r="C19" s="289" t="s">
        <v>174</v>
      </c>
      <c r="D19" s="289"/>
      <c r="E19" s="285"/>
      <c r="F19" s="285"/>
      <c r="G19" s="285">
        <f>'Operational Data'!G36</f>
        <v>12.96</v>
      </c>
      <c r="H19" s="285"/>
      <c r="I19" s="286">
        <f>IF((E19+G19)&gt;0,(E19+G19)/'Operational Data'!$G$21, "-")</f>
        <v>3.8831295575705108E-5</v>
      </c>
      <c r="J19" s="286"/>
    </row>
    <row r="20" spans="1:10" s="3" customFormat="1" ht="14.25" customHeight="1" x14ac:dyDescent="0.25">
      <c r="A20" s="257" t="s">
        <v>175</v>
      </c>
      <c r="B20" s="257"/>
      <c r="C20" s="289" t="s">
        <v>168</v>
      </c>
      <c r="D20" s="289"/>
      <c r="E20" s="285">
        <v>922</v>
      </c>
      <c r="F20" s="285"/>
      <c r="G20" s="285"/>
      <c r="H20" s="285"/>
      <c r="I20" s="286">
        <f>IF((E20+G20)&gt;0,(E20+G20)/'Operational Data'!$G$21, "-")</f>
        <v>2.7625350710493908E-3</v>
      </c>
      <c r="J20" s="286"/>
    </row>
    <row r="21" spans="1:10" s="3" customFormat="1" ht="14.25" customHeight="1" x14ac:dyDescent="0.25">
      <c r="A21" s="283" t="s">
        <v>112</v>
      </c>
      <c r="B21" s="283"/>
      <c r="C21" s="284" t="s">
        <v>169</v>
      </c>
      <c r="D21" s="284"/>
      <c r="E21" s="285"/>
      <c r="F21" s="285"/>
      <c r="G21" s="285">
        <f>'Operational Data'!G39</f>
        <v>189.51999999999998</v>
      </c>
      <c r="H21" s="285"/>
      <c r="I21" s="286">
        <f>IF((E21+G21)&gt;0,(E21+G21)/'Operational Data'!$G$21, "-")</f>
        <v>5.6784777295583564E-4</v>
      </c>
      <c r="J21" s="286"/>
    </row>
    <row r="22" spans="1:10" s="3" customFormat="1" ht="14.25" customHeight="1" x14ac:dyDescent="0.25">
      <c r="A22" s="283" t="s">
        <v>111</v>
      </c>
      <c r="B22" s="283"/>
      <c r="C22" s="284" t="s">
        <v>169</v>
      </c>
      <c r="D22" s="284"/>
      <c r="E22" s="285"/>
      <c r="F22" s="285"/>
      <c r="G22" s="285">
        <f>'Operational Data'!G38</f>
        <v>18.66</v>
      </c>
      <c r="H22" s="285"/>
      <c r="I22" s="286">
        <f>IF((E22+G22)&gt;0,(E22+G22)/'Operational Data'!$G$21, "-")</f>
        <v>5.5909874648353184E-5</v>
      </c>
      <c r="J22" s="286"/>
    </row>
    <row r="23" spans="1:10" s="3" customFormat="1" ht="14.25" customHeight="1" x14ac:dyDescent="0.25">
      <c r="A23" s="287" t="s">
        <v>176</v>
      </c>
      <c r="B23" s="287"/>
      <c r="C23" s="287"/>
      <c r="D23" s="287"/>
      <c r="E23" s="288">
        <f>SUM(E18:F22)</f>
        <v>922</v>
      </c>
      <c r="F23" s="288"/>
      <c r="G23" s="288">
        <f>SUM(G18:H22)</f>
        <v>79279.48000000001</v>
      </c>
      <c r="H23" s="288"/>
      <c r="I23" s="286">
        <f>IF((E23+G23)&gt;0,(E23+G23)/'Operational Data'!$G$21, "-")</f>
        <v>0.24030303823217605</v>
      </c>
      <c r="J23" s="286"/>
    </row>
    <row r="24" spans="1:10" s="3" customFormat="1" ht="14.25" customHeight="1" x14ac:dyDescent="0.25">
      <c r="A24" s="280" t="s">
        <v>177</v>
      </c>
      <c r="B24" s="280"/>
      <c r="C24" s="280"/>
      <c r="D24" s="280"/>
      <c r="E24" s="281">
        <f>+E23+E15</f>
        <v>1836.1</v>
      </c>
      <c r="F24" s="281"/>
      <c r="G24" s="281">
        <f>+G23+G15</f>
        <v>84283.640000000014</v>
      </c>
      <c r="H24" s="281"/>
      <c r="I24" s="282">
        <f>IF((E24+G24)&gt;0,(E24+G24)/'Operational Data'!$G$21, "-")</f>
        <v>0.25803557707120944</v>
      </c>
      <c r="J24" s="282"/>
    </row>
    <row r="25" spans="1:10" s="3" customFormat="1" ht="8.25" customHeight="1" x14ac:dyDescent="0.3">
      <c r="A25" s="184"/>
      <c r="B25"/>
      <c r="C25"/>
      <c r="D25"/>
      <c r="E25"/>
      <c r="F25"/>
      <c r="G25"/>
    </row>
    <row r="26" spans="1:10" s="3" customFormat="1" ht="14.25" customHeight="1" x14ac:dyDescent="0.25">
      <c r="A26" s="258" t="s">
        <v>178</v>
      </c>
      <c r="B26" s="258"/>
      <c r="C26" s="258"/>
      <c r="D26" s="258"/>
      <c r="E26" s="258"/>
      <c r="F26" s="258"/>
      <c r="G26" s="258"/>
      <c r="H26" s="258"/>
      <c r="I26" s="258"/>
      <c r="J26" s="258"/>
    </row>
    <row r="27" spans="1:10" s="3" customFormat="1" ht="14.25" customHeight="1" x14ac:dyDescent="0.25">
      <c r="A27" s="259"/>
      <c r="B27" s="259"/>
      <c r="C27" s="259"/>
      <c r="D27" s="259"/>
      <c r="E27" s="259"/>
      <c r="F27" s="259"/>
      <c r="G27" s="259"/>
      <c r="H27" s="259"/>
      <c r="I27" s="259"/>
      <c r="J27" s="259"/>
    </row>
    <row r="28" spans="1:10" s="3" customFormat="1" ht="14.25" customHeight="1" x14ac:dyDescent="0.25">
      <c r="A28" s="259"/>
      <c r="B28" s="259"/>
      <c r="C28" s="259"/>
      <c r="D28" s="259"/>
      <c r="E28" s="259"/>
      <c r="F28" s="259"/>
      <c r="G28" s="259"/>
      <c r="H28" s="259"/>
      <c r="I28" s="259"/>
      <c r="J28" s="259"/>
    </row>
    <row r="29" spans="1:10" s="3" customFormat="1" ht="14.25" customHeight="1" x14ac:dyDescent="0.25">
      <c r="A29" s="259"/>
      <c r="B29" s="259"/>
      <c r="C29" s="259"/>
      <c r="D29" s="259"/>
      <c r="E29" s="259"/>
      <c r="F29" s="259"/>
      <c r="G29" s="259"/>
      <c r="H29" s="259"/>
      <c r="I29" s="259"/>
      <c r="J29" s="259"/>
    </row>
    <row r="30" spans="1:10" s="3" customFormat="1" ht="14.25" customHeight="1" x14ac:dyDescent="0.3">
      <c r="A30" s="184"/>
      <c r="B30"/>
      <c r="C30"/>
      <c r="D30"/>
      <c r="E30"/>
      <c r="F30"/>
      <c r="G30"/>
    </row>
    <row r="31" spans="1:10" s="3" customFormat="1" ht="14.25" customHeight="1" x14ac:dyDescent="0.3">
      <c r="A31" s="1">
        <f>+A1</f>
        <v>2022</v>
      </c>
      <c r="B31" s="34" t="s">
        <v>179</v>
      </c>
      <c r="C31" s="34"/>
      <c r="D31" s="34"/>
      <c r="E31" s="34"/>
      <c r="F31" s="34"/>
    </row>
    <row r="32" spans="1:10" s="3" customFormat="1" ht="24.75" customHeight="1" x14ac:dyDescent="0.25">
      <c r="A32" s="275" t="s">
        <v>180</v>
      </c>
      <c r="B32" s="276"/>
      <c r="C32" s="276"/>
      <c r="D32" s="277"/>
      <c r="E32" s="38" t="s">
        <v>181</v>
      </c>
      <c r="F32" s="39"/>
      <c r="G32" s="40" t="s">
        <v>73</v>
      </c>
      <c r="H32" s="278" t="s">
        <v>182</v>
      </c>
      <c r="I32" s="279"/>
      <c r="J32" s="41" t="s">
        <v>73</v>
      </c>
    </row>
    <row r="33" spans="1:10" s="3" customFormat="1" ht="14.25" customHeight="1" x14ac:dyDescent="0.25">
      <c r="A33" s="261" t="s">
        <v>118</v>
      </c>
      <c r="B33" s="262"/>
      <c r="C33" s="262"/>
      <c r="D33" s="263"/>
      <c r="E33" s="264">
        <f>+'Operational Data'!G45</f>
        <v>47829000</v>
      </c>
      <c r="F33" s="265"/>
      <c r="G33" s="185" t="s">
        <v>183</v>
      </c>
      <c r="H33" s="266">
        <f>IF(E33&gt;0,E33/'Operational Data'!$G$21,"-")</f>
        <v>143.3072558711728</v>
      </c>
      <c r="I33" s="267"/>
      <c r="J33" s="185" t="s">
        <v>184</v>
      </c>
    </row>
    <row r="34" spans="1:10" s="3" customFormat="1" ht="14.25" customHeight="1" x14ac:dyDescent="0.25">
      <c r="A34" s="261" t="s">
        <v>185</v>
      </c>
      <c r="B34" s="262"/>
      <c r="C34" s="262"/>
      <c r="D34" s="263"/>
      <c r="E34" s="264">
        <f>+'Operational Data'!G46+'Operational Data'!G45</f>
        <v>47829000</v>
      </c>
      <c r="F34" s="265"/>
      <c r="G34" s="185" t="s">
        <v>183</v>
      </c>
      <c r="H34" s="266">
        <f>IF(E34&gt;0,E34/'Operational Data'!$G$21,"-")</f>
        <v>143.3072558711728</v>
      </c>
      <c r="I34" s="267"/>
      <c r="J34" s="185" t="s">
        <v>184</v>
      </c>
    </row>
    <row r="35" spans="1:10" s="3" customFormat="1" ht="14.25" customHeight="1" x14ac:dyDescent="0.25">
      <c r="A35" s="261" t="s">
        <v>186</v>
      </c>
      <c r="B35" s="262"/>
      <c r="C35" s="262"/>
      <c r="D35" s="263"/>
      <c r="E35" s="264">
        <f>+'Operational Data'!G47</f>
        <v>0</v>
      </c>
      <c r="F35" s="265"/>
      <c r="G35" s="185" t="s">
        <v>187</v>
      </c>
      <c r="H35" s="266" t="str">
        <f>IF(E35&gt;0,E35/'Operational Data'!$G$21,"-")</f>
        <v>-</v>
      </c>
      <c r="I35" s="267"/>
      <c r="J35" s="185" t="s">
        <v>188</v>
      </c>
    </row>
    <row r="36" spans="1:10" s="3" customFormat="1" ht="14.25" customHeight="1" x14ac:dyDescent="0.25">
      <c r="A36" s="261" t="s">
        <v>124</v>
      </c>
      <c r="B36" s="262"/>
      <c r="C36" s="262"/>
      <c r="D36" s="263"/>
      <c r="E36" s="264">
        <f>+'Operational Data'!G49</f>
        <v>127000</v>
      </c>
      <c r="F36" s="265"/>
      <c r="G36" s="185" t="s">
        <v>187</v>
      </c>
      <c r="H36" s="266">
        <f>IF(E36&gt;0,E36/'Operational Data'!$G$21,"-")</f>
        <v>0.38052272670636944</v>
      </c>
      <c r="I36" s="267"/>
      <c r="J36" s="185" t="s">
        <v>188</v>
      </c>
    </row>
    <row r="37" spans="1:10" s="3" customFormat="1" ht="14.25" customHeight="1" x14ac:dyDescent="0.25">
      <c r="A37" s="261" t="s">
        <v>189</v>
      </c>
      <c r="B37" s="262"/>
      <c r="C37" s="262"/>
      <c r="D37" s="263"/>
      <c r="E37" s="264">
        <f>+'Operational Data'!G50</f>
        <v>2305000</v>
      </c>
      <c r="F37" s="265"/>
      <c r="G37" s="185" t="s">
        <v>187</v>
      </c>
      <c r="H37" s="266">
        <f>IF(E37&gt;0,E37/'Operational Data'!$G$21,"-")</f>
        <v>6.9063376776234771</v>
      </c>
      <c r="I37" s="267"/>
      <c r="J37" s="185" t="s">
        <v>188</v>
      </c>
    </row>
    <row r="38" spans="1:10" s="3" customFormat="1" ht="14.25" customHeight="1" x14ac:dyDescent="0.25">
      <c r="A38" s="268"/>
      <c r="B38" s="269"/>
      <c r="C38" s="269"/>
      <c r="D38" s="270"/>
      <c r="E38" s="271"/>
      <c r="F38" s="272"/>
      <c r="G38" s="186"/>
      <c r="H38" s="273"/>
      <c r="I38" s="274"/>
      <c r="J38" s="186"/>
    </row>
    <row r="39" spans="1:10" s="3" customFormat="1" ht="14.25" customHeight="1" x14ac:dyDescent="0.25">
      <c r="A39" s="258" t="s">
        <v>178</v>
      </c>
      <c r="B39" s="258"/>
      <c r="C39" s="258"/>
      <c r="D39" s="258"/>
      <c r="E39" s="258"/>
      <c r="F39" s="258"/>
      <c r="G39" s="258"/>
      <c r="H39" s="258"/>
      <c r="I39" s="258"/>
      <c r="J39" s="258"/>
    </row>
    <row r="40" spans="1:10" s="3" customFormat="1" ht="14.25" customHeight="1" x14ac:dyDescent="0.25">
      <c r="A40" s="259"/>
      <c r="B40" s="259"/>
      <c r="C40" s="259"/>
      <c r="D40" s="259"/>
      <c r="E40" s="259"/>
      <c r="F40" s="259"/>
      <c r="G40" s="259"/>
      <c r="H40" s="259"/>
      <c r="I40" s="259"/>
      <c r="J40" s="259"/>
    </row>
    <row r="41" spans="1:10" s="3" customFormat="1" ht="14.25" customHeight="1" x14ac:dyDescent="0.25">
      <c r="A41" s="259"/>
      <c r="B41" s="259"/>
      <c r="C41" s="259"/>
      <c r="D41" s="259"/>
      <c r="E41" s="259"/>
      <c r="F41" s="259"/>
      <c r="G41" s="259"/>
      <c r="H41" s="259"/>
      <c r="I41" s="259"/>
      <c r="J41" s="259"/>
    </row>
    <row r="42" spans="1:10" s="3" customFormat="1" ht="14.25" customHeight="1" x14ac:dyDescent="0.25">
      <c r="A42" s="42"/>
      <c r="B42" s="42"/>
      <c r="C42" s="42"/>
      <c r="D42" s="42"/>
      <c r="E42" s="42"/>
      <c r="F42" s="42"/>
      <c r="G42" s="42"/>
      <c r="H42" s="42"/>
      <c r="I42" s="42"/>
      <c r="J42" s="42"/>
    </row>
    <row r="43" spans="1:10" s="3" customFormat="1" ht="14.25" customHeight="1" x14ac:dyDescent="0.25">
      <c r="A43" s="34">
        <f>+A31</f>
        <v>2022</v>
      </c>
      <c r="B43" s="34" t="s">
        <v>190</v>
      </c>
      <c r="C43" s="34"/>
      <c r="D43" s="34"/>
      <c r="E43" s="34"/>
      <c r="F43" s="34"/>
      <c r="G43" s="92"/>
    </row>
    <row r="44" spans="1:10" ht="14.25" customHeight="1" x14ac:dyDescent="0.25">
      <c r="A44" s="260" t="s">
        <v>191</v>
      </c>
      <c r="B44" s="260"/>
      <c r="C44" s="260" t="s">
        <v>192</v>
      </c>
      <c r="D44" s="260"/>
      <c r="E44" s="260"/>
      <c r="F44" s="260"/>
      <c r="G44" s="260"/>
      <c r="H44" s="260"/>
      <c r="I44" s="260"/>
      <c r="J44" s="260"/>
    </row>
    <row r="45" spans="1:10" ht="14.25" customHeight="1" x14ac:dyDescent="0.25">
      <c r="A45" s="43"/>
      <c r="B45" s="43"/>
      <c r="C45" s="36" t="s">
        <v>193</v>
      </c>
      <c r="D45" s="36" t="s">
        <v>194</v>
      </c>
      <c r="E45" s="36" t="s">
        <v>195</v>
      </c>
      <c r="F45" s="36" t="s">
        <v>196</v>
      </c>
      <c r="G45" s="36" t="s">
        <v>197</v>
      </c>
      <c r="H45" s="36"/>
      <c r="I45" s="36" t="s">
        <v>198</v>
      </c>
      <c r="J45" s="36" t="s">
        <v>199</v>
      </c>
    </row>
    <row r="46" spans="1:10" ht="31.5" customHeight="1" x14ac:dyDescent="0.25">
      <c r="A46" s="257" t="s">
        <v>200</v>
      </c>
      <c r="B46" s="257"/>
      <c r="C46" s="187"/>
      <c r="D46" s="187"/>
      <c r="E46" s="187"/>
      <c r="F46" s="188"/>
      <c r="G46" s="188"/>
      <c r="H46" s="188"/>
      <c r="I46" s="188"/>
      <c r="J46" s="188"/>
    </row>
    <row r="47" spans="1:10" ht="43.5" customHeight="1" x14ac:dyDescent="0.25">
      <c r="A47" s="257" t="s">
        <v>201</v>
      </c>
      <c r="B47" s="257"/>
      <c r="C47" s="187"/>
      <c r="D47" s="187"/>
      <c r="E47" s="187"/>
      <c r="F47" s="188"/>
      <c r="G47" s="188"/>
      <c r="H47" s="188"/>
      <c r="I47" s="188"/>
      <c r="J47" s="188"/>
    </row>
    <row r="48" spans="1:10" ht="42.75" customHeight="1" x14ac:dyDescent="0.25">
      <c r="A48" s="257" t="s">
        <v>202</v>
      </c>
      <c r="B48" s="257"/>
      <c r="C48" s="187"/>
      <c r="D48" s="187"/>
      <c r="E48" s="187"/>
      <c r="F48" s="188"/>
      <c r="G48" s="188"/>
      <c r="H48" s="188"/>
      <c r="I48" s="188"/>
      <c r="J48" s="188"/>
    </row>
    <row r="49" spans="1:10" ht="8.25" customHeight="1" x14ac:dyDescent="0.25">
      <c r="A49" s="92"/>
      <c r="B49" s="92"/>
      <c r="C49" s="92"/>
      <c r="D49" s="92"/>
      <c r="E49" s="92"/>
      <c r="F49" s="92"/>
      <c r="G49" s="92"/>
      <c r="H49" s="92"/>
      <c r="I49" s="92"/>
      <c r="J49" s="92"/>
    </row>
    <row r="50" spans="1:10" x14ac:dyDescent="0.25">
      <c r="A50" s="258" t="s">
        <v>178</v>
      </c>
      <c r="B50" s="258"/>
      <c r="C50" s="258"/>
      <c r="D50" s="258"/>
      <c r="E50" s="258"/>
      <c r="F50" s="258"/>
      <c r="G50" s="258"/>
      <c r="H50" s="258"/>
      <c r="I50" s="258"/>
      <c r="J50" s="258"/>
    </row>
    <row r="51" spans="1:10" x14ac:dyDescent="0.25">
      <c r="A51" s="259"/>
      <c r="B51" s="259"/>
      <c r="C51" s="259"/>
      <c r="D51" s="259"/>
      <c r="E51" s="259"/>
      <c r="F51" s="259"/>
      <c r="G51" s="259"/>
      <c r="H51" s="259"/>
      <c r="I51" s="259"/>
      <c r="J51" s="259"/>
    </row>
    <row r="52" spans="1:10" x14ac:dyDescent="0.25">
      <c r="A52" s="259"/>
      <c r="B52" s="259"/>
      <c r="C52" s="259"/>
      <c r="D52" s="259"/>
      <c r="E52" s="259"/>
      <c r="F52" s="259"/>
      <c r="G52" s="259"/>
      <c r="H52" s="259"/>
      <c r="I52" s="259"/>
      <c r="J52" s="259"/>
    </row>
    <row r="54" spans="1:10" x14ac:dyDescent="0.25">
      <c r="A54" s="3" t="s">
        <v>203</v>
      </c>
      <c r="B54" s="44"/>
      <c r="C54" s="44"/>
      <c r="D54" s="44"/>
      <c r="E54" s="44"/>
      <c r="F54" s="3"/>
      <c r="G54" s="3" t="s">
        <v>204</v>
      </c>
      <c r="H54" s="44"/>
      <c r="I54" s="44"/>
      <c r="J54" s="92"/>
    </row>
    <row r="62" spans="1:10" x14ac:dyDescent="0.25">
      <c r="A62" s="92"/>
      <c r="B62" s="92"/>
      <c r="C62" s="92"/>
      <c r="D62" s="92"/>
      <c r="E62" s="92"/>
      <c r="F62" s="3"/>
      <c r="G62" s="92"/>
      <c r="H62" s="92"/>
      <c r="I62" s="92"/>
      <c r="J62" s="92"/>
    </row>
  </sheetData>
  <mergeCells count="105">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 ref="A12:B12"/>
    <mergeCell ref="C12:D12"/>
    <mergeCell ref="E12:F12"/>
    <mergeCell ref="G12:H12"/>
    <mergeCell ref="I12:J12"/>
    <mergeCell ref="A13:B13"/>
    <mergeCell ref="C13:D13"/>
    <mergeCell ref="E13:F13"/>
    <mergeCell ref="G13:H13"/>
    <mergeCell ref="I13:J13"/>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8:B18"/>
    <mergeCell ref="C18:D18"/>
    <mergeCell ref="E18:F18"/>
    <mergeCell ref="G18:H18"/>
    <mergeCell ref="I18:J18"/>
    <mergeCell ref="A19:B19"/>
    <mergeCell ref="C19:D19"/>
    <mergeCell ref="E19:F19"/>
    <mergeCell ref="G19:H19"/>
    <mergeCell ref="I19:J19"/>
    <mergeCell ref="A20:B20"/>
    <mergeCell ref="C20:D20"/>
    <mergeCell ref="E20:F20"/>
    <mergeCell ref="G20:H20"/>
    <mergeCell ref="I20:J20"/>
    <mergeCell ref="A21:B21"/>
    <mergeCell ref="C21:D21"/>
    <mergeCell ref="E21:F21"/>
    <mergeCell ref="G21:H21"/>
    <mergeCell ref="I21:J21"/>
    <mergeCell ref="A22:B22"/>
    <mergeCell ref="C22:D22"/>
    <mergeCell ref="E22:F22"/>
    <mergeCell ref="G22:H22"/>
    <mergeCell ref="I22:J22"/>
    <mergeCell ref="A23:D23"/>
    <mergeCell ref="E23:F23"/>
    <mergeCell ref="G23:H23"/>
    <mergeCell ref="I23:J23"/>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37:D37"/>
    <mergeCell ref="E37:F37"/>
    <mergeCell ref="H37:I37"/>
    <mergeCell ref="A38:D38"/>
    <mergeCell ref="E38:F38"/>
    <mergeCell ref="H38:I38"/>
    <mergeCell ref="A35:D35"/>
    <mergeCell ref="E35:F35"/>
    <mergeCell ref="H35:I35"/>
    <mergeCell ref="A36:D36"/>
    <mergeCell ref="E36:F36"/>
    <mergeCell ref="H36:I36"/>
    <mergeCell ref="A48:B48"/>
    <mergeCell ref="A50:J50"/>
    <mergeCell ref="A51:J52"/>
    <mergeCell ref="A39:J39"/>
    <mergeCell ref="A40:J41"/>
    <mergeCell ref="A44:B44"/>
    <mergeCell ref="C44:J44"/>
    <mergeCell ref="A46:B46"/>
    <mergeCell ref="A47:B47"/>
  </mergeCells>
  <pageMargins left="0.25" right="0.25" top="0.75" bottom="0.75" header="0.3" footer="0.3"/>
  <pageSetup paperSize="9" scale="87"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workbookViewId="0">
      <selection activeCell="D12" sqref="D12:E12"/>
    </sheetView>
  </sheetViews>
  <sheetFormatPr defaultColWidth="9.33203125" defaultRowHeight="15" x14ac:dyDescent="0.25"/>
  <cols>
    <col min="1" max="1" width="9.44140625" style="2" bestFit="1" customWidth="1"/>
    <col min="2" max="16384" width="9.33203125" style="2"/>
  </cols>
  <sheetData>
    <row r="1" spans="1:10" ht="15.6" x14ac:dyDescent="0.3">
      <c r="A1" s="33">
        <f>+'Cover Page'!C39</f>
        <v>2022</v>
      </c>
      <c r="B1" s="34" t="s">
        <v>205</v>
      </c>
      <c r="C1" s="34"/>
      <c r="D1" s="34"/>
      <c r="E1" s="34"/>
      <c r="F1" s="34"/>
      <c r="G1" s="34"/>
      <c r="H1" s="34"/>
      <c r="I1" s="34"/>
      <c r="J1" s="34"/>
    </row>
    <row r="3" spans="1:10" s="3" customFormat="1" ht="15" customHeight="1" x14ac:dyDescent="0.25">
      <c r="A3" s="3" t="str">
        <f>+'Cover Page'!B31</f>
        <v>Permit EPR/GPa3305LN(previously TP3836CT)</v>
      </c>
      <c r="F3" s="3" t="s">
        <v>154</v>
      </c>
      <c r="G3" s="306">
        <f>+'Cover Page'!B37:I37</f>
        <v>0</v>
      </c>
      <c r="H3" s="306"/>
      <c r="I3" s="306"/>
    </row>
    <row r="4" spans="1:10" s="3" customFormat="1" ht="13.8" x14ac:dyDescent="0.25"/>
    <row r="5" spans="1:10" s="3" customFormat="1" ht="13.8" x14ac:dyDescent="0.25">
      <c r="A5" s="3" t="s">
        <v>155</v>
      </c>
      <c r="B5" s="297" t="str">
        <f>+'Cover Page'!B33:I33</f>
        <v>Beddington Energy Recovery Facility</v>
      </c>
      <c r="C5" s="297"/>
      <c r="D5" s="297"/>
      <c r="E5" s="297"/>
      <c r="F5" s="3" t="s">
        <v>156</v>
      </c>
      <c r="G5" s="3" t="s">
        <v>206</v>
      </c>
    </row>
    <row r="6" spans="1:10" s="3" customFormat="1" ht="13.8" x14ac:dyDescent="0.25"/>
    <row r="7" spans="1:10" s="3" customFormat="1" ht="15.75" customHeight="1" x14ac:dyDescent="0.25">
      <c r="A7" s="3" t="s">
        <v>158</v>
      </c>
      <c r="D7" s="307">
        <f>+'Perf. Form 1'!D6:E6</f>
        <v>0</v>
      </c>
      <c r="E7" s="307"/>
      <c r="F7" s="35" t="s">
        <v>159</v>
      </c>
      <c r="G7" s="307">
        <f>+'Perf. Form 1'!G6:H6</f>
        <v>0</v>
      </c>
      <c r="H7" s="307"/>
    </row>
    <row r="8" spans="1:10" s="3" customFormat="1" ht="14.4" x14ac:dyDescent="0.3">
      <c r="B8"/>
      <c r="C8"/>
      <c r="D8"/>
    </row>
    <row r="9" spans="1:10" s="3" customFormat="1" ht="37.5" customHeight="1" x14ac:dyDescent="0.25">
      <c r="A9" s="260" t="s">
        <v>207</v>
      </c>
      <c r="B9" s="260"/>
      <c r="C9" s="260"/>
      <c r="D9" s="300" t="s">
        <v>208</v>
      </c>
      <c r="E9" s="300"/>
      <c r="F9" s="36" t="s">
        <v>73</v>
      </c>
      <c r="G9" s="260" t="s">
        <v>209</v>
      </c>
      <c r="H9" s="260"/>
      <c r="I9" s="260"/>
    </row>
    <row r="10" spans="1:10" s="3" customFormat="1" ht="24.75" customHeight="1" x14ac:dyDescent="0.25">
      <c r="A10" s="257" t="s">
        <v>210</v>
      </c>
      <c r="B10" s="257"/>
      <c r="C10" s="257"/>
      <c r="D10" s="302">
        <f>+'Operational Data'!G24</f>
        <v>248247</v>
      </c>
      <c r="E10" s="302"/>
      <c r="F10" s="127" t="s">
        <v>97</v>
      </c>
      <c r="G10" s="303">
        <f>+'Operational Data'!H24</f>
        <v>743.80807351713463</v>
      </c>
      <c r="H10" s="303"/>
      <c r="I10" s="303"/>
    </row>
    <row r="11" spans="1:10" s="3" customFormat="1" ht="24.75" customHeight="1" x14ac:dyDescent="0.25">
      <c r="A11" s="257" t="s">
        <v>211</v>
      </c>
      <c r="B11" s="257"/>
      <c r="C11" s="257"/>
      <c r="D11" s="305">
        <f>+'Operational Data'!G27</f>
        <v>0</v>
      </c>
      <c r="E11" s="305"/>
      <c r="F11" s="127" t="s">
        <v>97</v>
      </c>
      <c r="G11" s="303" t="str">
        <f>+'Operational Data'!H27</f>
        <v>-</v>
      </c>
      <c r="H11" s="303"/>
      <c r="I11" s="303"/>
    </row>
    <row r="12" spans="1:10" s="3" customFormat="1" ht="24.75" customHeight="1" x14ac:dyDescent="0.25">
      <c r="A12" s="257" t="s">
        <v>212</v>
      </c>
      <c r="B12" s="257"/>
      <c r="C12" s="257"/>
      <c r="D12" s="302">
        <f>+'Operational Data'!G25</f>
        <v>222996</v>
      </c>
      <c r="E12" s="302"/>
      <c r="F12" s="127" t="s">
        <v>97</v>
      </c>
      <c r="G12" s="303">
        <f>+'Operational Data'!H25</f>
        <v>668.14996822530361</v>
      </c>
      <c r="H12" s="303"/>
      <c r="I12" s="303"/>
    </row>
    <row r="13" spans="1:10" s="3" customFormat="1" ht="24.75" customHeight="1" x14ac:dyDescent="0.25">
      <c r="A13" s="257" t="s">
        <v>213</v>
      </c>
      <c r="B13" s="257"/>
      <c r="C13" s="257"/>
      <c r="D13" s="289"/>
      <c r="E13" s="289"/>
      <c r="F13" s="127" t="s">
        <v>81</v>
      </c>
      <c r="G13" s="304"/>
      <c r="H13" s="304"/>
      <c r="I13" s="304"/>
    </row>
    <row r="14" spans="1:10" s="3" customFormat="1" ht="24.75" customHeight="1" x14ac:dyDescent="0.25">
      <c r="A14" s="257" t="s">
        <v>214</v>
      </c>
      <c r="B14" s="257"/>
      <c r="C14" s="257"/>
      <c r="D14" s="302">
        <f>+'Operational Data'!G30</f>
        <v>0</v>
      </c>
      <c r="E14" s="302"/>
      <c r="F14" s="127" t="s">
        <v>215</v>
      </c>
      <c r="G14" s="303" t="str">
        <f>+'Operational Data'!H30</f>
        <v>-</v>
      </c>
      <c r="H14" s="303"/>
      <c r="I14" s="303"/>
    </row>
    <row r="15" spans="1:10" s="3" customFormat="1" ht="24.75" customHeight="1" x14ac:dyDescent="0.25">
      <c r="A15" s="295"/>
      <c r="B15" s="295"/>
      <c r="C15" s="295"/>
      <c r="D15" s="295"/>
      <c r="E15" s="295"/>
      <c r="F15" s="134"/>
      <c r="G15" s="223"/>
      <c r="H15" s="223"/>
      <c r="I15" s="223"/>
    </row>
    <row r="16" spans="1:10" s="3" customFormat="1" ht="24.75" customHeight="1" x14ac:dyDescent="0.25">
      <c r="A16" s="295"/>
      <c r="B16" s="295"/>
      <c r="C16" s="295"/>
      <c r="D16" s="295"/>
      <c r="E16" s="295"/>
      <c r="F16" s="134"/>
      <c r="G16" s="223"/>
      <c r="H16" s="223"/>
      <c r="I16" s="223"/>
    </row>
    <row r="17" spans="1:9" s="3" customFormat="1" ht="14.4" x14ac:dyDescent="0.3">
      <c r="A17" s="45"/>
      <c r="B17"/>
      <c r="C17"/>
      <c r="D17"/>
    </row>
    <row r="18" spans="1:9" s="3" customFormat="1" ht="24" customHeight="1" x14ac:dyDescent="0.25">
      <c r="A18" s="258" t="s">
        <v>178</v>
      </c>
      <c r="B18" s="258"/>
      <c r="C18" s="258"/>
      <c r="D18" s="258"/>
      <c r="E18" s="258"/>
      <c r="F18" s="258"/>
      <c r="G18" s="258"/>
      <c r="H18" s="258"/>
      <c r="I18" s="258"/>
    </row>
    <row r="19" spans="1:9" s="3" customFormat="1" ht="13.8" x14ac:dyDescent="0.25">
      <c r="A19" s="301"/>
      <c r="B19" s="301"/>
      <c r="C19" s="301"/>
      <c r="D19" s="301"/>
      <c r="E19" s="301"/>
      <c r="F19" s="301"/>
      <c r="G19" s="301"/>
      <c r="H19" s="301"/>
      <c r="I19" s="301"/>
    </row>
    <row r="20" spans="1:9" s="3" customFormat="1" ht="13.8" x14ac:dyDescent="0.25">
      <c r="A20" s="301"/>
      <c r="B20" s="301"/>
      <c r="C20" s="301"/>
      <c r="D20" s="301"/>
      <c r="E20" s="301"/>
      <c r="F20" s="301"/>
      <c r="G20" s="301"/>
      <c r="H20" s="301"/>
      <c r="I20" s="301"/>
    </row>
    <row r="21" spans="1:9" s="3" customFormat="1" ht="13.8" x14ac:dyDescent="0.25">
      <c r="A21" s="301"/>
      <c r="B21" s="301"/>
      <c r="C21" s="301"/>
      <c r="D21" s="301"/>
      <c r="E21" s="301"/>
      <c r="F21" s="301"/>
      <c r="G21" s="301"/>
      <c r="H21" s="301"/>
      <c r="I21" s="301"/>
    </row>
    <row r="22" spans="1:9" s="3" customFormat="1" ht="13.8" x14ac:dyDescent="0.25">
      <c r="A22" s="301"/>
      <c r="B22" s="301"/>
      <c r="C22" s="301"/>
      <c r="D22" s="301"/>
      <c r="E22" s="301"/>
      <c r="F22" s="301"/>
      <c r="G22" s="301"/>
      <c r="H22" s="301"/>
      <c r="I22" s="301"/>
    </row>
    <row r="23" spans="1:9" s="3" customFormat="1" ht="13.8" x14ac:dyDescent="0.25">
      <c r="A23" s="301"/>
      <c r="B23" s="301"/>
      <c r="C23" s="301"/>
      <c r="D23" s="301"/>
      <c r="E23" s="301"/>
      <c r="F23" s="301"/>
      <c r="G23" s="301"/>
      <c r="H23" s="301"/>
      <c r="I23" s="301"/>
    </row>
    <row r="24" spans="1:9" s="3" customFormat="1" ht="13.8" x14ac:dyDescent="0.25">
      <c r="A24" s="301"/>
      <c r="B24" s="301"/>
      <c r="C24" s="301"/>
      <c r="D24" s="301"/>
      <c r="E24" s="301"/>
      <c r="F24" s="301"/>
      <c r="G24" s="301"/>
      <c r="H24" s="301"/>
      <c r="I24" s="301"/>
    </row>
    <row r="25" spans="1:9" s="3" customFormat="1" ht="13.8" x14ac:dyDescent="0.25">
      <c r="A25" s="301"/>
      <c r="B25" s="301"/>
      <c r="C25" s="301"/>
      <c r="D25" s="301"/>
      <c r="E25" s="301"/>
      <c r="F25" s="301"/>
      <c r="G25" s="301"/>
      <c r="H25" s="301"/>
      <c r="I25" s="301"/>
    </row>
    <row r="26" spans="1:9" s="3" customFormat="1" ht="13.8" x14ac:dyDescent="0.25">
      <c r="A26" s="42"/>
      <c r="B26" s="42"/>
      <c r="C26" s="42"/>
      <c r="D26" s="42"/>
      <c r="E26" s="42"/>
      <c r="F26" s="42"/>
      <c r="G26" s="42"/>
      <c r="H26" s="42"/>
      <c r="I26" s="42"/>
    </row>
    <row r="27" spans="1:9" s="3" customFormat="1" ht="13.8" x14ac:dyDescent="0.25"/>
    <row r="28" spans="1:9" s="3" customFormat="1" ht="13.8" x14ac:dyDescent="0.25"/>
    <row r="29" spans="1:9" s="3" customFormat="1" ht="13.8" x14ac:dyDescent="0.25">
      <c r="A29" s="3" t="s">
        <v>203</v>
      </c>
      <c r="B29" s="44"/>
      <c r="C29" s="44"/>
      <c r="D29" s="44"/>
      <c r="E29" s="44"/>
      <c r="G29" s="3" t="s">
        <v>204</v>
      </c>
      <c r="H29" s="44"/>
      <c r="I29" s="44"/>
    </row>
    <row r="30" spans="1:9" s="3" customFormat="1" ht="13.8" x14ac:dyDescent="0.25"/>
    <row r="31" spans="1:9" ht="14.25" customHeight="1" x14ac:dyDescent="0.25">
      <c r="A31" s="3"/>
      <c r="B31" s="3"/>
      <c r="C31" s="3"/>
      <c r="D31" s="3"/>
      <c r="E31" s="3"/>
      <c r="F31" s="3"/>
      <c r="G31" s="3"/>
      <c r="H31" s="3"/>
      <c r="I31" s="3"/>
    </row>
    <row r="32" spans="1:9" s="3" customFormat="1" ht="13.8" x14ac:dyDescent="0.25"/>
    <row r="33" spans="1:9" s="3" customFormat="1" ht="13.8" x14ac:dyDescent="0.25"/>
    <row r="34" spans="1:9" s="3" customFormat="1" x14ac:dyDescent="0.25">
      <c r="A34" s="92"/>
      <c r="B34" s="92"/>
      <c r="C34" s="92"/>
      <c r="D34" s="92"/>
      <c r="E34" s="92"/>
      <c r="F34" s="92"/>
      <c r="G34" s="92"/>
      <c r="H34" s="92"/>
      <c r="I34" s="92"/>
    </row>
    <row r="35" spans="1:9" s="3" customFormat="1" ht="13.8" x14ac:dyDescent="0.25"/>
    <row r="36" spans="1:9" s="3" customFormat="1" ht="13.8" x14ac:dyDescent="0.25"/>
    <row r="37" spans="1:9" s="3" customFormat="1" ht="13.8" x14ac:dyDescent="0.25"/>
    <row r="38" spans="1:9" s="3" customFormat="1" ht="13.8" x14ac:dyDescent="0.25"/>
    <row r="39" spans="1:9" s="3" customFormat="1" ht="13.8" x14ac:dyDescent="0.25"/>
    <row r="40" spans="1:9" s="3" customFormat="1" ht="13.8" x14ac:dyDescent="0.25"/>
    <row r="41" spans="1:9" s="3" customFormat="1" ht="13.8" x14ac:dyDescent="0.25"/>
    <row r="42" spans="1:9" s="3" customFormat="1" ht="13.8" x14ac:dyDescent="0.25"/>
    <row r="43" spans="1:9" x14ac:dyDescent="0.25">
      <c r="A43" s="3"/>
      <c r="B43" s="3"/>
      <c r="C43" s="3"/>
      <c r="D43" s="3"/>
      <c r="E43" s="3"/>
      <c r="F43" s="3"/>
      <c r="G43" s="3"/>
      <c r="H43" s="3"/>
      <c r="I43" s="3"/>
    </row>
    <row r="44" spans="1:9" x14ac:dyDescent="0.25">
      <c r="A44" s="3"/>
      <c r="B44" s="3"/>
      <c r="C44" s="3"/>
      <c r="D44" s="3"/>
      <c r="E44" s="3"/>
      <c r="F44" s="3"/>
      <c r="G44" s="3"/>
      <c r="H44" s="3"/>
      <c r="I44" s="3"/>
    </row>
    <row r="45" spans="1:9" x14ac:dyDescent="0.25">
      <c r="A45" s="3"/>
      <c r="B45" s="3"/>
      <c r="C45" s="3"/>
      <c r="D45" s="3"/>
      <c r="E45" s="3"/>
      <c r="F45" s="3"/>
      <c r="G45" s="3"/>
      <c r="H45" s="3"/>
      <c r="I45" s="3"/>
    </row>
    <row r="64" spans="6:6" x14ac:dyDescent="0.25">
      <c r="F64" s="3"/>
    </row>
  </sheetData>
  <mergeCells count="30">
    <mergeCell ref="G3:I3"/>
    <mergeCell ref="B5:E5"/>
    <mergeCell ref="D7:E7"/>
    <mergeCell ref="G7:H7"/>
    <mergeCell ref="A9:C9"/>
    <mergeCell ref="D9:E9"/>
    <mergeCell ref="G9:I9"/>
    <mergeCell ref="A10:C10"/>
    <mergeCell ref="D10:E10"/>
    <mergeCell ref="G10:I10"/>
    <mergeCell ref="A11:C11"/>
    <mergeCell ref="D11:E11"/>
    <mergeCell ref="G11:I11"/>
    <mergeCell ref="A12:C12"/>
    <mergeCell ref="D12:E12"/>
    <mergeCell ref="G12:I12"/>
    <mergeCell ref="A13:C13"/>
    <mergeCell ref="D13:E13"/>
    <mergeCell ref="G13:I13"/>
    <mergeCell ref="A14:C14"/>
    <mergeCell ref="D14:E14"/>
    <mergeCell ref="G14:I14"/>
    <mergeCell ref="A15:C15"/>
    <mergeCell ref="D15:E15"/>
    <mergeCell ref="G15:I15"/>
    <mergeCell ref="A16:C16"/>
    <mergeCell ref="D16:E16"/>
    <mergeCell ref="G16:I16"/>
    <mergeCell ref="A18:I18"/>
    <mergeCell ref="A19:I25"/>
  </mergeCells>
  <pageMargins left="0.7" right="0.7" top="0.75" bottom="0.75" header="0.3" footer="0.3"/>
  <pageSetup paperSize="9" scale="87" orientation="portrait" r:id="rId1"/>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O71"/>
  <sheetViews>
    <sheetView topLeftCell="A22" workbookViewId="0">
      <selection activeCell="B28" sqref="B28:D28"/>
    </sheetView>
  </sheetViews>
  <sheetFormatPr defaultColWidth="9.33203125" defaultRowHeight="15" x14ac:dyDescent="0.25"/>
  <cols>
    <col min="1" max="1" width="12.33203125" style="2" customWidth="1"/>
    <col min="2" max="2" width="11.6640625" style="2" customWidth="1"/>
    <col min="3" max="3" width="18.33203125" style="2" bestFit="1" customWidth="1"/>
    <col min="4" max="4" width="12.5546875" style="2" bestFit="1" customWidth="1"/>
    <col min="5" max="5" width="3.33203125" style="2" customWidth="1"/>
    <col min="6" max="6" width="9.33203125" style="2"/>
    <col min="7" max="7" width="20.5546875" style="2" customWidth="1"/>
    <col min="8" max="8" width="9.33203125" style="2"/>
    <col min="9" max="9" width="8.6640625" style="2" customWidth="1"/>
    <col min="10" max="10" width="28.109375" style="2" customWidth="1"/>
    <col min="11" max="11" width="10.6640625" style="2" bestFit="1" customWidth="1"/>
    <col min="12" max="12" width="31.6640625" style="2" customWidth="1"/>
    <col min="13" max="16384" width="9.33203125" style="2"/>
  </cols>
  <sheetData>
    <row r="1" spans="1:15" x14ac:dyDescent="0.25">
      <c r="A1" s="92" t="str">
        <f>+'Cover Page'!$B$29</f>
        <v>Annual Performance Report 2022</v>
      </c>
      <c r="B1" s="92"/>
      <c r="C1" s="92"/>
      <c r="D1" s="92"/>
      <c r="E1" s="92" t="str">
        <f>+'Cover Page'!$B$33</f>
        <v>Beddington Energy Recovery Facility</v>
      </c>
      <c r="F1" s="92"/>
      <c r="G1" s="92"/>
      <c r="H1" s="92"/>
      <c r="I1" s="92"/>
      <c r="J1" s="92"/>
      <c r="K1" s="92"/>
      <c r="L1" s="92"/>
      <c r="M1" s="92"/>
      <c r="N1" s="92"/>
      <c r="O1" s="92"/>
    </row>
    <row r="3" spans="1:15" ht="15.6" x14ac:dyDescent="0.3">
      <c r="A3" s="1" t="s">
        <v>216</v>
      </c>
      <c r="B3" s="92"/>
      <c r="C3" s="92"/>
      <c r="D3" s="92"/>
      <c r="E3" s="92"/>
      <c r="F3" s="92"/>
      <c r="G3" s="92"/>
      <c r="H3" s="92"/>
      <c r="I3" s="92"/>
      <c r="J3" s="92"/>
      <c r="K3" s="92"/>
      <c r="L3" s="92"/>
      <c r="M3" s="92"/>
      <c r="N3" s="92"/>
      <c r="O3" s="92"/>
    </row>
    <row r="4" spans="1:15" ht="15.6" x14ac:dyDescent="0.3">
      <c r="A4" s="1"/>
      <c r="B4" s="92"/>
      <c r="C4" s="92"/>
      <c r="D4" s="92"/>
      <c r="E4" s="92"/>
      <c r="F4" s="92"/>
      <c r="G4" s="92"/>
      <c r="H4" s="92"/>
      <c r="I4" s="92"/>
      <c r="J4" s="92"/>
      <c r="K4" s="92"/>
      <c r="L4" s="92"/>
      <c r="M4" s="92"/>
      <c r="N4" s="92"/>
      <c r="O4" s="92"/>
    </row>
    <row r="5" spans="1:15" x14ac:dyDescent="0.25">
      <c r="A5" s="9" t="s">
        <v>217</v>
      </c>
      <c r="B5" s="92"/>
      <c r="C5" s="92"/>
      <c r="D5" s="92"/>
      <c r="E5" s="92"/>
      <c r="F5" s="92"/>
      <c r="G5" s="92"/>
      <c r="H5" s="92"/>
      <c r="I5" s="92"/>
      <c r="J5" s="92"/>
      <c r="K5" s="92"/>
      <c r="L5" s="92"/>
      <c r="M5" s="92"/>
      <c r="N5" s="92"/>
      <c r="O5" s="92"/>
    </row>
    <row r="6" spans="1:15" x14ac:dyDescent="0.25">
      <c r="A6" s="9"/>
      <c r="B6" s="92"/>
      <c r="C6" s="92"/>
      <c r="D6" s="92"/>
      <c r="E6" s="92"/>
      <c r="F6" s="92"/>
      <c r="G6" s="92"/>
      <c r="H6" s="92"/>
      <c r="I6" s="92"/>
      <c r="J6" s="92"/>
      <c r="K6" s="92"/>
      <c r="L6" s="92"/>
      <c r="M6" s="92"/>
      <c r="N6" s="92"/>
      <c r="O6" s="92"/>
    </row>
    <row r="7" spans="1:15" x14ac:dyDescent="0.25">
      <c r="A7" s="124" t="s">
        <v>218</v>
      </c>
      <c r="B7" s="92"/>
      <c r="C7" s="92"/>
      <c r="D7" s="92"/>
      <c r="E7" s="92"/>
      <c r="F7" s="92"/>
      <c r="G7" s="92"/>
      <c r="H7" s="92"/>
      <c r="I7" s="92"/>
      <c r="J7" s="92"/>
      <c r="K7" s="92"/>
      <c r="L7" s="92"/>
      <c r="M7" s="92"/>
      <c r="N7" s="92"/>
      <c r="O7" s="92"/>
    </row>
    <row r="8" spans="1:15" s="3" customFormat="1" ht="25.5" customHeight="1" x14ac:dyDescent="0.3">
      <c r="A8" s="323" t="s">
        <v>219</v>
      </c>
      <c r="B8" s="324"/>
      <c r="C8" s="323" t="s">
        <v>220</v>
      </c>
      <c r="D8" s="325"/>
      <c r="E8" s="325"/>
      <c r="F8" s="325"/>
      <c r="G8" s="325"/>
      <c r="H8" s="325"/>
      <c r="I8" s="324"/>
      <c r="L8" s="81" t="s">
        <v>2</v>
      </c>
    </row>
    <row r="9" spans="1:15" s="3" customFormat="1" ht="22.5" customHeight="1" x14ac:dyDescent="0.25">
      <c r="A9" s="326"/>
      <c r="B9" s="327"/>
      <c r="C9" s="328" t="s">
        <v>221</v>
      </c>
      <c r="D9" s="328"/>
      <c r="E9" s="328"/>
      <c r="F9" s="328" t="s">
        <v>222</v>
      </c>
      <c r="G9" s="328"/>
      <c r="H9" s="328"/>
      <c r="I9" s="328"/>
      <c r="L9" s="247" t="s">
        <v>223</v>
      </c>
      <c r="M9" s="247"/>
      <c r="N9" s="247"/>
      <c r="O9" s="247"/>
    </row>
    <row r="10" spans="1:15" s="3" customFormat="1" ht="22.5" customHeight="1" x14ac:dyDescent="0.25">
      <c r="A10" s="319" t="s">
        <v>224</v>
      </c>
      <c r="B10" s="319"/>
      <c r="C10" s="320" t="s">
        <v>225</v>
      </c>
      <c r="D10" s="320"/>
      <c r="E10" s="320"/>
      <c r="F10" s="320" t="s">
        <v>225</v>
      </c>
      <c r="G10" s="320"/>
      <c r="H10" s="320"/>
      <c r="I10" s="320"/>
      <c r="L10" s="247"/>
      <c r="M10" s="247"/>
      <c r="N10" s="247"/>
      <c r="O10" s="247"/>
    </row>
    <row r="11" spans="1:15" s="3" customFormat="1" ht="22.5" customHeight="1" x14ac:dyDescent="0.25">
      <c r="A11" s="319" t="s">
        <v>226</v>
      </c>
      <c r="B11" s="319"/>
      <c r="C11" s="320" t="s">
        <v>225</v>
      </c>
      <c r="D11" s="320"/>
      <c r="E11" s="320"/>
      <c r="F11" s="320" t="s">
        <v>225</v>
      </c>
      <c r="G11" s="320"/>
      <c r="H11" s="320"/>
      <c r="I11" s="320"/>
      <c r="L11" s="247"/>
      <c r="M11" s="247"/>
      <c r="N11" s="247"/>
      <c r="O11" s="247"/>
    </row>
    <row r="12" spans="1:15" s="3" customFormat="1" ht="22.5" customHeight="1" x14ac:dyDescent="0.25">
      <c r="A12" s="319" t="s">
        <v>227</v>
      </c>
      <c r="B12" s="319"/>
      <c r="C12" s="320" t="s">
        <v>225</v>
      </c>
      <c r="D12" s="320"/>
      <c r="E12" s="320"/>
      <c r="F12" s="320" t="s">
        <v>225</v>
      </c>
      <c r="G12" s="320"/>
      <c r="H12" s="320"/>
      <c r="I12" s="320"/>
      <c r="L12" s="247"/>
      <c r="M12" s="247"/>
      <c r="N12" s="247"/>
      <c r="O12" s="247"/>
    </row>
    <row r="13" spans="1:15" s="3" customFormat="1" ht="22.5" customHeight="1" x14ac:dyDescent="0.25">
      <c r="A13" s="319" t="s">
        <v>228</v>
      </c>
      <c r="B13" s="319"/>
      <c r="C13" s="284" t="s">
        <v>229</v>
      </c>
      <c r="D13" s="320"/>
      <c r="E13" s="320"/>
      <c r="F13" s="320" t="s">
        <v>225</v>
      </c>
      <c r="G13" s="320"/>
      <c r="H13" s="320"/>
      <c r="I13" s="320"/>
      <c r="L13" s="247"/>
      <c r="M13" s="247"/>
      <c r="N13" s="247"/>
      <c r="O13" s="247"/>
    </row>
    <row r="14" spans="1:15" s="3" customFormat="1" ht="22.5" customHeight="1" x14ac:dyDescent="0.25">
      <c r="A14" s="319" t="s">
        <v>230</v>
      </c>
      <c r="B14" s="319"/>
      <c r="C14" s="320" t="s">
        <v>225</v>
      </c>
      <c r="D14" s="320"/>
      <c r="E14" s="320"/>
      <c r="F14" s="320" t="s">
        <v>225</v>
      </c>
      <c r="G14" s="320"/>
      <c r="H14" s="320"/>
      <c r="I14" s="320"/>
      <c r="L14" s="247"/>
      <c r="M14" s="247"/>
      <c r="N14" s="247"/>
      <c r="O14" s="247"/>
    </row>
    <row r="15" spans="1:15" s="3" customFormat="1" ht="22.5" customHeight="1" x14ac:dyDescent="0.25">
      <c r="A15" s="319" t="s">
        <v>231</v>
      </c>
      <c r="B15" s="319"/>
      <c r="C15" s="320" t="s">
        <v>225</v>
      </c>
      <c r="D15" s="320"/>
      <c r="E15" s="320"/>
      <c r="F15" s="320" t="s">
        <v>225</v>
      </c>
      <c r="G15" s="320"/>
      <c r="H15" s="320"/>
      <c r="I15" s="320"/>
      <c r="L15" s="247"/>
      <c r="M15" s="247"/>
      <c r="N15" s="247"/>
      <c r="O15" s="247"/>
    </row>
    <row r="16" spans="1:15" s="3" customFormat="1" ht="22.5" customHeight="1" x14ac:dyDescent="0.25">
      <c r="A16" s="319" t="s">
        <v>232</v>
      </c>
      <c r="B16" s="319"/>
      <c r="C16" s="320" t="s">
        <v>225</v>
      </c>
      <c r="D16" s="320"/>
      <c r="E16" s="320"/>
      <c r="F16" s="320" t="s">
        <v>225</v>
      </c>
      <c r="G16" s="320"/>
      <c r="H16" s="320"/>
      <c r="I16" s="320"/>
      <c r="L16" s="247"/>
      <c r="M16" s="247"/>
      <c r="N16" s="247"/>
      <c r="O16" s="247"/>
    </row>
    <row r="17" spans="1:15" s="3" customFormat="1" ht="22.5" customHeight="1" x14ac:dyDescent="0.25">
      <c r="A17" s="321"/>
      <c r="B17" s="322"/>
      <c r="C17" s="320" t="s">
        <v>225</v>
      </c>
      <c r="D17" s="320"/>
      <c r="E17" s="320"/>
      <c r="F17" s="320" t="s">
        <v>225</v>
      </c>
      <c r="G17" s="320"/>
      <c r="H17" s="320"/>
      <c r="I17" s="320"/>
      <c r="L17" s="247"/>
      <c r="M17" s="247"/>
      <c r="N17" s="247"/>
      <c r="O17" s="247"/>
    </row>
    <row r="18" spans="1:15" s="3" customFormat="1" ht="13.8" x14ac:dyDescent="0.25">
      <c r="L18" s="247"/>
      <c r="M18" s="247"/>
      <c r="N18" s="247"/>
      <c r="O18" s="247"/>
    </row>
    <row r="19" spans="1:15" s="45" customFormat="1" ht="21.75" customHeight="1" x14ac:dyDescent="0.3">
      <c r="A19" s="308" t="s">
        <v>233</v>
      </c>
      <c r="B19" s="309"/>
      <c r="C19" s="309"/>
      <c r="D19" s="309"/>
      <c r="E19" s="309"/>
      <c r="F19" s="309"/>
      <c r="G19" s="309"/>
      <c r="H19" s="309"/>
      <c r="I19" s="309"/>
      <c r="J19" s="309"/>
      <c r="K19" s="310"/>
    </row>
    <row r="20" spans="1:15" s="3" customFormat="1" ht="38.25" customHeight="1" x14ac:dyDescent="0.25">
      <c r="A20" s="46" t="s">
        <v>51</v>
      </c>
      <c r="B20" s="312" t="s">
        <v>234</v>
      </c>
      <c r="C20" s="312"/>
      <c r="D20" s="312"/>
      <c r="E20" s="312" t="s">
        <v>235</v>
      </c>
      <c r="F20" s="312"/>
      <c r="G20" s="312"/>
      <c r="H20" s="312" t="s">
        <v>236</v>
      </c>
      <c r="I20" s="312"/>
      <c r="J20" s="313"/>
      <c r="K20" s="72"/>
    </row>
    <row r="21" spans="1:15" s="3" customFormat="1" ht="39.75" customHeight="1" x14ac:dyDescent="0.25">
      <c r="A21" s="114">
        <v>44684</v>
      </c>
      <c r="B21" s="314" t="s">
        <v>237</v>
      </c>
      <c r="C21" s="314"/>
      <c r="D21" s="314"/>
      <c r="E21" s="318" t="s">
        <v>238</v>
      </c>
      <c r="F21" s="318"/>
      <c r="G21" s="318"/>
      <c r="H21" s="315" t="s">
        <v>239</v>
      </c>
      <c r="I21" s="316"/>
      <c r="J21" s="317"/>
      <c r="K21" s="72"/>
    </row>
    <row r="22" spans="1:15" s="3" customFormat="1" ht="51.75" customHeight="1" x14ac:dyDescent="0.25">
      <c r="A22" s="114">
        <v>44697</v>
      </c>
      <c r="B22" s="314" t="s">
        <v>240</v>
      </c>
      <c r="C22" s="314"/>
      <c r="D22" s="314"/>
      <c r="E22" s="318" t="s">
        <v>241</v>
      </c>
      <c r="F22" s="318"/>
      <c r="G22" s="318"/>
      <c r="H22" s="315" t="s">
        <v>242</v>
      </c>
      <c r="I22" s="316"/>
      <c r="J22" s="317"/>
      <c r="K22" s="72"/>
    </row>
    <row r="23" spans="1:15" s="3" customFormat="1" ht="49.5" customHeight="1" x14ac:dyDescent="0.25">
      <c r="A23" s="114">
        <v>44702</v>
      </c>
      <c r="B23" s="314" t="s">
        <v>243</v>
      </c>
      <c r="C23" s="314"/>
      <c r="D23" s="314"/>
      <c r="E23" s="315" t="s">
        <v>244</v>
      </c>
      <c r="F23" s="316"/>
      <c r="G23" s="317"/>
      <c r="H23" s="315" t="s">
        <v>242</v>
      </c>
      <c r="I23" s="316"/>
      <c r="J23" s="317"/>
      <c r="K23" s="72"/>
    </row>
    <row r="24" spans="1:15" s="3" customFormat="1" ht="53.25" customHeight="1" x14ac:dyDescent="0.25">
      <c r="A24" s="115">
        <v>44702</v>
      </c>
      <c r="B24" s="314" t="s">
        <v>245</v>
      </c>
      <c r="C24" s="314"/>
      <c r="D24" s="314"/>
      <c r="E24" s="315" t="s">
        <v>244</v>
      </c>
      <c r="F24" s="316"/>
      <c r="G24" s="317"/>
      <c r="H24" s="315" t="s">
        <v>242</v>
      </c>
      <c r="I24" s="316"/>
      <c r="J24" s="317"/>
      <c r="K24" s="72"/>
    </row>
    <row r="25" spans="1:15" s="3" customFormat="1" ht="58.5" customHeight="1" x14ac:dyDescent="0.25">
      <c r="A25" s="115">
        <v>44725</v>
      </c>
      <c r="B25" s="314" t="s">
        <v>246</v>
      </c>
      <c r="C25" s="314"/>
      <c r="D25" s="314"/>
      <c r="E25" s="315" t="s">
        <v>247</v>
      </c>
      <c r="F25" s="316"/>
      <c r="G25" s="317"/>
      <c r="H25" s="315" t="s">
        <v>242</v>
      </c>
      <c r="I25" s="316"/>
      <c r="J25" s="317"/>
      <c r="K25" s="72"/>
    </row>
    <row r="26" spans="1:15" s="3" customFormat="1" ht="68.25" customHeight="1" x14ac:dyDescent="0.25">
      <c r="A26" s="115">
        <v>44739</v>
      </c>
      <c r="B26" s="314" t="s">
        <v>248</v>
      </c>
      <c r="C26" s="314"/>
      <c r="D26" s="314"/>
      <c r="E26" s="315" t="s">
        <v>247</v>
      </c>
      <c r="F26" s="316"/>
      <c r="G26" s="317"/>
      <c r="H26" s="315" t="s">
        <v>242</v>
      </c>
      <c r="I26" s="316"/>
      <c r="J26" s="317"/>
      <c r="K26" s="72"/>
    </row>
    <row r="27" spans="1:15" s="3" customFormat="1" ht="75.75" customHeight="1" x14ac:dyDescent="0.25">
      <c r="A27" s="115">
        <v>44819</v>
      </c>
      <c r="B27" s="314" t="s">
        <v>249</v>
      </c>
      <c r="C27" s="314"/>
      <c r="D27" s="314"/>
      <c r="E27" s="315" t="s">
        <v>250</v>
      </c>
      <c r="F27" s="316"/>
      <c r="G27" s="317"/>
      <c r="H27" s="315" t="s">
        <v>251</v>
      </c>
      <c r="I27" s="316"/>
      <c r="J27" s="317"/>
      <c r="K27" s="72"/>
    </row>
    <row r="28" spans="1:15" s="3" customFormat="1" ht="75.75" customHeight="1" x14ac:dyDescent="0.25">
      <c r="A28" s="115">
        <v>44918</v>
      </c>
      <c r="B28" s="314" t="s">
        <v>252</v>
      </c>
      <c r="C28" s="314"/>
      <c r="D28" s="314"/>
      <c r="E28" s="315" t="s">
        <v>253</v>
      </c>
      <c r="F28" s="316"/>
      <c r="G28" s="317"/>
      <c r="H28" s="315" t="s">
        <v>254</v>
      </c>
      <c r="I28" s="316"/>
      <c r="J28" s="317"/>
      <c r="K28" s="72"/>
    </row>
    <row r="29" spans="1:15" s="3" customFormat="1" ht="13.8" x14ac:dyDescent="0.25">
      <c r="A29" s="189"/>
      <c r="B29" s="223"/>
      <c r="C29" s="223"/>
      <c r="D29" s="223"/>
      <c r="E29" s="223"/>
      <c r="F29" s="223"/>
      <c r="G29" s="223"/>
      <c r="H29" s="223"/>
      <c r="I29" s="223"/>
      <c r="J29" s="311"/>
      <c r="K29" s="72"/>
    </row>
    <row r="30" spans="1:15" s="3" customFormat="1" ht="13.8" x14ac:dyDescent="0.25"/>
    <row r="31" spans="1:15" s="45" customFormat="1" ht="22.5" customHeight="1" x14ac:dyDescent="0.3">
      <c r="A31" s="308" t="s">
        <v>255</v>
      </c>
      <c r="B31" s="309"/>
      <c r="C31" s="309"/>
      <c r="D31" s="309"/>
      <c r="E31" s="309"/>
      <c r="F31" s="309"/>
      <c r="G31" s="309"/>
      <c r="H31" s="309"/>
      <c r="I31" s="309"/>
      <c r="J31" s="309"/>
      <c r="K31" s="310"/>
    </row>
    <row r="32" spans="1:15" s="3" customFormat="1" ht="39" customHeight="1" x14ac:dyDescent="0.25">
      <c r="A32" s="46" t="s">
        <v>51</v>
      </c>
      <c r="B32" s="312" t="s">
        <v>256</v>
      </c>
      <c r="C32" s="312"/>
      <c r="D32" s="312"/>
      <c r="E32" s="312" t="s">
        <v>257</v>
      </c>
      <c r="F32" s="312"/>
      <c r="G32" s="312"/>
      <c r="H32" s="312" t="s">
        <v>236</v>
      </c>
      <c r="I32" s="312"/>
      <c r="J32" s="313"/>
      <c r="K32" s="72"/>
    </row>
    <row r="33" spans="1:11" s="3" customFormat="1" ht="13.8" x14ac:dyDescent="0.25">
      <c r="A33" s="189"/>
      <c r="B33" s="223"/>
      <c r="C33" s="223"/>
      <c r="D33" s="223"/>
      <c r="E33" s="223"/>
      <c r="F33" s="223"/>
      <c r="G33" s="223"/>
      <c r="H33" s="223"/>
      <c r="I33" s="223"/>
      <c r="J33" s="311"/>
      <c r="K33" s="72"/>
    </row>
    <row r="34" spans="1:11" s="3" customFormat="1" ht="13.8" x14ac:dyDescent="0.25">
      <c r="A34" s="189"/>
      <c r="B34" s="223"/>
      <c r="C34" s="223"/>
      <c r="D34" s="223"/>
      <c r="E34" s="223"/>
      <c r="F34" s="223"/>
      <c r="G34" s="223"/>
      <c r="H34" s="223"/>
      <c r="I34" s="223"/>
      <c r="J34" s="311"/>
      <c r="K34" s="72"/>
    </row>
    <row r="35" spans="1:11" ht="14.25" customHeight="1" x14ac:dyDescent="0.25">
      <c r="A35" s="189"/>
      <c r="B35" s="223"/>
      <c r="C35" s="223"/>
      <c r="D35" s="223"/>
      <c r="E35" s="223"/>
      <c r="F35" s="223"/>
      <c r="G35" s="223"/>
      <c r="H35" s="223"/>
      <c r="I35" s="223"/>
      <c r="J35" s="311"/>
      <c r="K35" s="72"/>
    </row>
    <row r="36" spans="1:11" s="3" customFormat="1" ht="13.8" x14ac:dyDescent="0.25">
      <c r="A36" s="189"/>
      <c r="B36" s="223"/>
      <c r="C36" s="223"/>
      <c r="D36" s="223"/>
      <c r="E36" s="223"/>
      <c r="F36" s="223"/>
      <c r="G36" s="223"/>
      <c r="H36" s="223"/>
      <c r="I36" s="223"/>
      <c r="J36" s="311"/>
      <c r="K36" s="72"/>
    </row>
    <row r="37" spans="1:11" s="3" customFormat="1" ht="13.8" x14ac:dyDescent="0.25">
      <c r="A37" s="189"/>
      <c r="B37" s="223"/>
      <c r="C37" s="223"/>
      <c r="D37" s="223"/>
      <c r="E37" s="223"/>
      <c r="F37" s="223"/>
      <c r="G37" s="223"/>
      <c r="H37" s="223"/>
      <c r="I37" s="223"/>
      <c r="J37" s="311"/>
      <c r="K37" s="72"/>
    </row>
    <row r="38" spans="1:11" s="3" customFormat="1" ht="29.25" customHeight="1" x14ac:dyDescent="0.25">
      <c r="A38" s="124"/>
      <c r="E38" s="329" t="s">
        <v>258</v>
      </c>
      <c r="F38" s="329"/>
      <c r="G38" s="329"/>
      <c r="H38" s="329"/>
      <c r="I38" s="329"/>
      <c r="J38" s="124"/>
    </row>
    <row r="71" spans="6:6" x14ac:dyDescent="0.25">
      <c r="F71" s="3"/>
    </row>
  </sheetData>
  <mergeCells count="81">
    <mergeCell ref="B28:D28"/>
    <mergeCell ref="E28:G28"/>
    <mergeCell ref="H28:J28"/>
    <mergeCell ref="L9:O18"/>
    <mergeCell ref="E38:I38"/>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 ref="A8:B8"/>
    <mergeCell ref="C8:I8"/>
    <mergeCell ref="A9:B9"/>
    <mergeCell ref="C9:E9"/>
    <mergeCell ref="F9:I9"/>
    <mergeCell ref="F14:I14"/>
    <mergeCell ref="A15:B15"/>
    <mergeCell ref="C15:E15"/>
    <mergeCell ref="F15:I15"/>
    <mergeCell ref="A16:B16"/>
    <mergeCell ref="C17:E17"/>
    <mergeCell ref="F17:I17"/>
    <mergeCell ref="C16:E16"/>
    <mergeCell ref="F16:I16"/>
    <mergeCell ref="A17:B17"/>
    <mergeCell ref="B20:D20"/>
    <mergeCell ref="E20:G20"/>
    <mergeCell ref="H20:J20"/>
    <mergeCell ref="B21:D21"/>
    <mergeCell ref="E21:G21"/>
    <mergeCell ref="H21:J21"/>
    <mergeCell ref="H29:J29"/>
    <mergeCell ref="B22:D22"/>
    <mergeCell ref="E22:G22"/>
    <mergeCell ref="H22:J22"/>
    <mergeCell ref="B26:D26"/>
    <mergeCell ref="E26:G26"/>
    <mergeCell ref="H26:J26"/>
    <mergeCell ref="B23:D23"/>
    <mergeCell ref="E23:G23"/>
    <mergeCell ref="H23:J23"/>
    <mergeCell ref="B24:D24"/>
    <mergeCell ref="E24:G24"/>
    <mergeCell ref="H24:J24"/>
    <mergeCell ref="B25:D25"/>
    <mergeCell ref="E25:G25"/>
    <mergeCell ref="H25:J25"/>
    <mergeCell ref="B37:D37"/>
    <mergeCell ref="E37:G37"/>
    <mergeCell ref="H37:J37"/>
    <mergeCell ref="B34:D34"/>
    <mergeCell ref="E34:G34"/>
    <mergeCell ref="H34:J34"/>
    <mergeCell ref="B35:D35"/>
    <mergeCell ref="E35:G35"/>
    <mergeCell ref="H35:J35"/>
    <mergeCell ref="A31:K31"/>
    <mergeCell ref="A19:K19"/>
    <mergeCell ref="B36:D36"/>
    <mergeCell ref="E36:G36"/>
    <mergeCell ref="H36:J36"/>
    <mergeCell ref="B32:D32"/>
    <mergeCell ref="E32:G32"/>
    <mergeCell ref="H32:J32"/>
    <mergeCell ref="B33:D33"/>
    <mergeCell ref="E33:G33"/>
    <mergeCell ref="H33:J33"/>
    <mergeCell ref="B27:D27"/>
    <mergeCell ref="E27:G27"/>
    <mergeCell ref="H27:J27"/>
    <mergeCell ref="B29:D29"/>
    <mergeCell ref="E29:G29"/>
  </mergeCells>
  <pageMargins left="0.7" right="0.7" top="0.75" bottom="0.75" header="0.3" footer="0.3"/>
  <pageSetup paperSize="9" scale="87" orientation="portrait" r:id="rId1"/>
  <headerFooter scaleWithDoc="0">
    <oddFooter>&amp;C&amp;"Arial,Regular"Page &amp;P</oddFooter>
  </headerFooter>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I66"/>
  <sheetViews>
    <sheetView topLeftCell="A22" workbookViewId="0">
      <selection activeCell="A39" sqref="A39:I48"/>
    </sheetView>
  </sheetViews>
  <sheetFormatPr defaultColWidth="9.33203125" defaultRowHeight="15" x14ac:dyDescent="0.25"/>
  <cols>
    <col min="1" max="1" width="9.33203125" style="2" customWidth="1"/>
    <col min="2" max="2" width="14.5546875" style="2" bestFit="1" customWidth="1"/>
    <col min="3" max="8" width="9.33203125" style="2"/>
    <col min="9" max="9" width="11.5546875" style="2" customWidth="1"/>
    <col min="10" max="16384" width="9.33203125" style="2"/>
  </cols>
  <sheetData>
    <row r="1" spans="1:9" x14ac:dyDescent="0.25">
      <c r="A1" s="92" t="str">
        <f>+'Cover Page'!$B$29</f>
        <v>Annual Performance Report 2022</v>
      </c>
      <c r="B1" s="92"/>
      <c r="C1" s="92"/>
      <c r="D1" s="92"/>
      <c r="E1" s="92" t="str">
        <f>+'Cover Page'!$B$33</f>
        <v>Beddington Energy Recovery Facility</v>
      </c>
      <c r="F1" s="92"/>
      <c r="G1" s="92"/>
      <c r="H1" s="92"/>
      <c r="I1" s="92"/>
    </row>
    <row r="3" spans="1:9" ht="15.6" x14ac:dyDescent="0.3">
      <c r="A3" s="1" t="s">
        <v>259</v>
      </c>
      <c r="B3" s="92"/>
      <c r="C3" s="92"/>
      <c r="D3" s="92"/>
      <c r="E3" s="92"/>
      <c r="F3" s="92"/>
      <c r="G3" s="92"/>
      <c r="H3" s="92"/>
      <c r="I3" s="92"/>
    </row>
    <row r="4" spans="1:9" ht="15.6" x14ac:dyDescent="0.3">
      <c r="A4" s="1"/>
      <c r="B4" s="92"/>
      <c r="C4" s="92"/>
      <c r="D4" s="92"/>
      <c r="E4" s="92"/>
      <c r="F4" s="92"/>
      <c r="G4" s="92"/>
      <c r="H4" s="92"/>
      <c r="I4" s="92"/>
    </row>
    <row r="5" spans="1:9" s="3" customFormat="1" ht="13.8" x14ac:dyDescent="0.25">
      <c r="A5" s="333" t="s">
        <v>260</v>
      </c>
      <c r="B5" s="334"/>
      <c r="C5" s="334"/>
      <c r="D5" s="334"/>
      <c r="E5" s="334"/>
      <c r="F5" s="334"/>
      <c r="G5" s="334"/>
      <c r="H5" s="334"/>
      <c r="I5" s="335"/>
    </row>
    <row r="6" spans="1:9" s="3" customFormat="1" ht="15.75" customHeight="1" x14ac:dyDescent="0.25">
      <c r="A6" s="336"/>
      <c r="B6" s="239"/>
      <c r="C6" s="239"/>
      <c r="D6" s="239"/>
      <c r="E6" s="239"/>
      <c r="F6" s="239"/>
      <c r="G6" s="239"/>
      <c r="H6" s="239"/>
      <c r="I6" s="240"/>
    </row>
    <row r="7" spans="1:9" s="3" customFormat="1" ht="15.75" customHeight="1" x14ac:dyDescent="0.25">
      <c r="A7" s="241"/>
      <c r="B7" s="242"/>
      <c r="C7" s="242"/>
      <c r="D7" s="242"/>
      <c r="E7" s="242"/>
      <c r="F7" s="242"/>
      <c r="G7" s="242"/>
      <c r="H7" s="242"/>
      <c r="I7" s="243"/>
    </row>
    <row r="8" spans="1:9" s="3" customFormat="1" ht="15.75" customHeight="1" x14ac:dyDescent="0.25">
      <c r="A8" s="241"/>
      <c r="B8" s="242"/>
      <c r="C8" s="242"/>
      <c r="D8" s="242"/>
      <c r="E8" s="242"/>
      <c r="F8" s="242"/>
      <c r="G8" s="242"/>
      <c r="H8" s="242"/>
      <c r="I8" s="243"/>
    </row>
    <row r="9" spans="1:9" s="3" customFormat="1" ht="15.75" customHeight="1" x14ac:dyDescent="0.25">
      <c r="A9" s="241"/>
      <c r="B9" s="242"/>
      <c r="C9" s="242"/>
      <c r="D9" s="242"/>
      <c r="E9" s="242"/>
      <c r="F9" s="242"/>
      <c r="G9" s="242"/>
      <c r="H9" s="242"/>
      <c r="I9" s="243"/>
    </row>
    <row r="10" spans="1:9" s="3" customFormat="1" ht="15.75" customHeight="1" x14ac:dyDescent="0.25">
      <c r="A10" s="241"/>
      <c r="B10" s="242"/>
      <c r="C10" s="242"/>
      <c r="D10" s="242"/>
      <c r="E10" s="242"/>
      <c r="F10" s="242"/>
      <c r="G10" s="242"/>
      <c r="H10" s="242"/>
      <c r="I10" s="243"/>
    </row>
    <row r="11" spans="1:9" s="3" customFormat="1" ht="15.75" customHeight="1" x14ac:dyDescent="0.25">
      <c r="A11" s="241"/>
      <c r="B11" s="242"/>
      <c r="C11" s="242"/>
      <c r="D11" s="242"/>
      <c r="E11" s="242"/>
      <c r="F11" s="242"/>
      <c r="G11" s="242"/>
      <c r="H11" s="242"/>
      <c r="I11" s="243"/>
    </row>
    <row r="12" spans="1:9" s="3" customFormat="1" ht="15.75" customHeight="1" x14ac:dyDescent="0.25">
      <c r="A12" s="241"/>
      <c r="B12" s="242"/>
      <c r="C12" s="242"/>
      <c r="D12" s="242"/>
      <c r="E12" s="242"/>
      <c r="F12" s="242"/>
      <c r="G12" s="242"/>
      <c r="H12" s="242"/>
      <c r="I12" s="243"/>
    </row>
    <row r="13" spans="1:9" s="3" customFormat="1" ht="15.75" customHeight="1" x14ac:dyDescent="0.25">
      <c r="A13" s="241"/>
      <c r="B13" s="242"/>
      <c r="C13" s="242"/>
      <c r="D13" s="242"/>
      <c r="E13" s="242"/>
      <c r="F13" s="242"/>
      <c r="G13" s="242"/>
      <c r="H13" s="242"/>
      <c r="I13" s="243"/>
    </row>
    <row r="14" spans="1:9" s="3" customFormat="1" ht="15.75" customHeight="1" x14ac:dyDescent="0.25">
      <c r="A14" s="244"/>
      <c r="B14" s="245"/>
      <c r="C14" s="245"/>
      <c r="D14" s="245"/>
      <c r="E14" s="245"/>
      <c r="F14" s="245"/>
      <c r="G14" s="245"/>
      <c r="H14" s="245"/>
      <c r="I14" s="246"/>
    </row>
    <row r="15" spans="1:9" s="3" customFormat="1" ht="13.8" x14ac:dyDescent="0.25"/>
    <row r="16" spans="1:9" s="47" customFormat="1" ht="33.75" customHeight="1" x14ac:dyDescent="0.3">
      <c r="A16" s="330" t="s">
        <v>261</v>
      </c>
      <c r="B16" s="331"/>
      <c r="C16" s="331"/>
      <c r="D16" s="331"/>
      <c r="E16" s="331"/>
      <c r="F16" s="331"/>
      <c r="G16" s="331"/>
      <c r="H16" s="331"/>
      <c r="I16" s="332"/>
    </row>
    <row r="17" spans="1:9" ht="15.75" customHeight="1" x14ac:dyDescent="0.25">
      <c r="A17" s="336"/>
      <c r="B17" s="239"/>
      <c r="C17" s="239"/>
      <c r="D17" s="239"/>
      <c r="E17" s="239"/>
      <c r="F17" s="239"/>
      <c r="G17" s="239"/>
      <c r="H17" s="239"/>
      <c r="I17" s="240"/>
    </row>
    <row r="18" spans="1:9" ht="15.75" customHeight="1" x14ac:dyDescent="0.25">
      <c r="A18" s="241"/>
      <c r="B18" s="242"/>
      <c r="C18" s="242"/>
      <c r="D18" s="242"/>
      <c r="E18" s="242"/>
      <c r="F18" s="242"/>
      <c r="G18" s="242"/>
      <c r="H18" s="242"/>
      <c r="I18" s="243"/>
    </row>
    <row r="19" spans="1:9" ht="15.75" customHeight="1" x14ac:dyDescent="0.25">
      <c r="A19" s="241"/>
      <c r="B19" s="242"/>
      <c r="C19" s="242"/>
      <c r="D19" s="242"/>
      <c r="E19" s="242"/>
      <c r="F19" s="242"/>
      <c r="G19" s="242"/>
      <c r="H19" s="242"/>
      <c r="I19" s="243"/>
    </row>
    <row r="20" spans="1:9" ht="15.75" customHeight="1" x14ac:dyDescent="0.25">
      <c r="A20" s="241"/>
      <c r="B20" s="242"/>
      <c r="C20" s="242"/>
      <c r="D20" s="242"/>
      <c r="E20" s="242"/>
      <c r="F20" s="242"/>
      <c r="G20" s="242"/>
      <c r="H20" s="242"/>
      <c r="I20" s="243"/>
    </row>
    <row r="21" spans="1:9" ht="15.75" customHeight="1" x14ac:dyDescent="0.25">
      <c r="A21" s="241"/>
      <c r="B21" s="242"/>
      <c r="C21" s="242"/>
      <c r="D21" s="242"/>
      <c r="E21" s="242"/>
      <c r="F21" s="242"/>
      <c r="G21" s="242"/>
      <c r="H21" s="242"/>
      <c r="I21" s="243"/>
    </row>
    <row r="22" spans="1:9" ht="15.75" customHeight="1" x14ac:dyDescent="0.25">
      <c r="A22" s="241"/>
      <c r="B22" s="242"/>
      <c r="C22" s="242"/>
      <c r="D22" s="242"/>
      <c r="E22" s="242"/>
      <c r="F22" s="242"/>
      <c r="G22" s="242"/>
      <c r="H22" s="242"/>
      <c r="I22" s="243"/>
    </row>
    <row r="23" spans="1:9" ht="15.75" customHeight="1" x14ac:dyDescent="0.25">
      <c r="A23" s="241"/>
      <c r="B23" s="242"/>
      <c r="C23" s="242"/>
      <c r="D23" s="242"/>
      <c r="E23" s="242"/>
      <c r="F23" s="242"/>
      <c r="G23" s="242"/>
      <c r="H23" s="242"/>
      <c r="I23" s="243"/>
    </row>
    <row r="24" spans="1:9" ht="15.75" customHeight="1" x14ac:dyDescent="0.25">
      <c r="A24" s="241"/>
      <c r="B24" s="242"/>
      <c r="C24" s="242"/>
      <c r="D24" s="242"/>
      <c r="E24" s="242"/>
      <c r="F24" s="242"/>
      <c r="G24" s="242"/>
      <c r="H24" s="242"/>
      <c r="I24" s="243"/>
    </row>
    <row r="25" spans="1:9" ht="15.75" customHeight="1" x14ac:dyDescent="0.25">
      <c r="A25" s="244"/>
      <c r="B25" s="245"/>
      <c r="C25" s="245"/>
      <c r="D25" s="245"/>
      <c r="E25" s="245"/>
      <c r="F25" s="245"/>
      <c r="G25" s="245"/>
      <c r="H25" s="245"/>
      <c r="I25" s="246"/>
    </row>
    <row r="26" spans="1:9" ht="15.6" x14ac:dyDescent="0.3">
      <c r="A26" s="1"/>
      <c r="B26" s="92"/>
      <c r="C26" s="92"/>
      <c r="D26" s="92"/>
      <c r="E26" s="92"/>
      <c r="F26" s="92"/>
      <c r="G26" s="92"/>
      <c r="H26" s="92"/>
      <c r="I26" s="92"/>
    </row>
    <row r="27" spans="1:9" ht="36.75" customHeight="1" x14ac:dyDescent="0.25">
      <c r="A27" s="330" t="s">
        <v>262</v>
      </c>
      <c r="B27" s="331"/>
      <c r="C27" s="331"/>
      <c r="D27" s="331"/>
      <c r="E27" s="331"/>
      <c r="F27" s="331"/>
      <c r="G27" s="331"/>
      <c r="H27" s="331"/>
      <c r="I27" s="332"/>
    </row>
    <row r="28" spans="1:9" ht="15.75" customHeight="1" x14ac:dyDescent="0.25">
      <c r="A28" s="230" t="s">
        <v>263</v>
      </c>
      <c r="B28" s="239"/>
      <c r="C28" s="239"/>
      <c r="D28" s="239"/>
      <c r="E28" s="239"/>
      <c r="F28" s="239"/>
      <c r="G28" s="239"/>
      <c r="H28" s="239"/>
      <c r="I28" s="240"/>
    </row>
    <row r="29" spans="1:9" ht="15.75" customHeight="1" x14ac:dyDescent="0.25">
      <c r="A29" s="241"/>
      <c r="B29" s="242"/>
      <c r="C29" s="242"/>
      <c r="D29" s="242"/>
      <c r="E29" s="242"/>
      <c r="F29" s="242"/>
      <c r="G29" s="242"/>
      <c r="H29" s="242"/>
      <c r="I29" s="243"/>
    </row>
    <row r="30" spans="1:9" ht="15.75" customHeight="1" x14ac:dyDescent="0.25">
      <c r="A30" s="241"/>
      <c r="B30" s="242"/>
      <c r="C30" s="242"/>
      <c r="D30" s="242"/>
      <c r="E30" s="242"/>
      <c r="F30" s="242"/>
      <c r="G30" s="242"/>
      <c r="H30" s="242"/>
      <c r="I30" s="243"/>
    </row>
    <row r="31" spans="1:9" ht="15.75" customHeight="1" x14ac:dyDescent="0.25">
      <c r="A31" s="241"/>
      <c r="B31" s="242"/>
      <c r="C31" s="242"/>
      <c r="D31" s="242"/>
      <c r="E31" s="242"/>
      <c r="F31" s="242"/>
      <c r="G31" s="242"/>
      <c r="H31" s="242"/>
      <c r="I31" s="243"/>
    </row>
    <row r="32" spans="1:9" ht="15.75" customHeight="1" x14ac:dyDescent="0.25">
      <c r="A32" s="241"/>
      <c r="B32" s="242"/>
      <c r="C32" s="242"/>
      <c r="D32" s="242"/>
      <c r="E32" s="242"/>
      <c r="F32" s="242"/>
      <c r="G32" s="242"/>
      <c r="H32" s="242"/>
      <c r="I32" s="243"/>
    </row>
    <row r="33" spans="1:9" ht="15.75" customHeight="1" x14ac:dyDescent="0.25">
      <c r="A33" s="241"/>
      <c r="B33" s="242"/>
      <c r="C33" s="242"/>
      <c r="D33" s="242"/>
      <c r="E33" s="242"/>
      <c r="F33" s="242"/>
      <c r="G33" s="242"/>
      <c r="H33" s="242"/>
      <c r="I33" s="243"/>
    </row>
    <row r="34" spans="1:9" ht="15.75" customHeight="1" x14ac:dyDescent="0.25">
      <c r="A34" s="241"/>
      <c r="B34" s="242"/>
      <c r="C34" s="242"/>
      <c r="D34" s="242"/>
      <c r="E34" s="242"/>
      <c r="F34" s="242"/>
      <c r="G34" s="242"/>
      <c r="H34" s="242"/>
      <c r="I34" s="243"/>
    </row>
    <row r="35" spans="1:9" ht="15.75" customHeight="1" x14ac:dyDescent="0.25">
      <c r="A35" s="241"/>
      <c r="B35" s="242"/>
      <c r="C35" s="242"/>
      <c r="D35" s="242"/>
      <c r="E35" s="242"/>
      <c r="F35" s="242"/>
      <c r="G35" s="242"/>
      <c r="H35" s="242"/>
      <c r="I35" s="243"/>
    </row>
    <row r="36" spans="1:9" ht="15.75" customHeight="1" x14ac:dyDescent="0.25">
      <c r="A36" s="244"/>
      <c r="B36" s="245"/>
      <c r="C36" s="245"/>
      <c r="D36" s="245"/>
      <c r="E36" s="245"/>
      <c r="F36" s="245"/>
      <c r="G36" s="245"/>
      <c r="H36" s="245"/>
      <c r="I36" s="246"/>
    </row>
    <row r="38" spans="1:9" ht="33" customHeight="1" x14ac:dyDescent="0.25">
      <c r="A38" s="330" t="s">
        <v>264</v>
      </c>
      <c r="B38" s="331"/>
      <c r="C38" s="331"/>
      <c r="D38" s="331"/>
      <c r="E38" s="331"/>
      <c r="F38" s="331"/>
      <c r="G38" s="331"/>
      <c r="H38" s="331"/>
      <c r="I38" s="332"/>
    </row>
    <row r="39" spans="1:9" ht="15.75" customHeight="1" x14ac:dyDescent="0.25">
      <c r="A39" s="230" t="s">
        <v>265</v>
      </c>
      <c r="B39" s="231"/>
      <c r="C39" s="231"/>
      <c r="D39" s="231"/>
      <c r="E39" s="231"/>
      <c r="F39" s="231"/>
      <c r="G39" s="231"/>
      <c r="H39" s="231"/>
      <c r="I39" s="232"/>
    </row>
    <row r="40" spans="1:9" ht="15.75" customHeight="1" x14ac:dyDescent="0.25">
      <c r="A40" s="233"/>
      <c r="B40" s="234"/>
      <c r="C40" s="234"/>
      <c r="D40" s="234"/>
      <c r="E40" s="234"/>
      <c r="F40" s="234"/>
      <c r="G40" s="234"/>
      <c r="H40" s="234"/>
      <c r="I40" s="235"/>
    </row>
    <row r="41" spans="1:9" ht="15.75" customHeight="1" x14ac:dyDescent="0.25">
      <c r="A41" s="233"/>
      <c r="B41" s="234"/>
      <c r="C41" s="234"/>
      <c r="D41" s="234"/>
      <c r="E41" s="234"/>
      <c r="F41" s="234"/>
      <c r="G41" s="234"/>
      <c r="H41" s="234"/>
      <c r="I41" s="235"/>
    </row>
    <row r="42" spans="1:9" ht="15.75" customHeight="1" x14ac:dyDescent="0.25">
      <c r="A42" s="233"/>
      <c r="B42" s="234"/>
      <c r="C42" s="234"/>
      <c r="D42" s="234"/>
      <c r="E42" s="234"/>
      <c r="F42" s="234"/>
      <c r="G42" s="234"/>
      <c r="H42" s="234"/>
      <c r="I42" s="235"/>
    </row>
    <row r="43" spans="1:9" ht="15.75" customHeight="1" x14ac:dyDescent="0.25">
      <c r="A43" s="233"/>
      <c r="B43" s="234"/>
      <c r="C43" s="234"/>
      <c r="D43" s="234"/>
      <c r="E43" s="234"/>
      <c r="F43" s="234"/>
      <c r="G43" s="234"/>
      <c r="H43" s="234"/>
      <c r="I43" s="235"/>
    </row>
    <row r="44" spans="1:9" ht="15.75" customHeight="1" x14ac:dyDescent="0.25">
      <c r="A44" s="233"/>
      <c r="B44" s="234"/>
      <c r="C44" s="234"/>
      <c r="D44" s="234"/>
      <c r="E44" s="234"/>
      <c r="F44" s="234"/>
      <c r="G44" s="234"/>
      <c r="H44" s="234"/>
      <c r="I44" s="235"/>
    </row>
    <row r="45" spans="1:9" ht="15.75" customHeight="1" x14ac:dyDescent="0.25">
      <c r="A45" s="233"/>
      <c r="B45" s="234"/>
      <c r="C45" s="234"/>
      <c r="D45" s="234"/>
      <c r="E45" s="234"/>
      <c r="F45" s="234"/>
      <c r="G45" s="234"/>
      <c r="H45" s="234"/>
      <c r="I45" s="235"/>
    </row>
    <row r="46" spans="1:9" ht="15.75" customHeight="1" x14ac:dyDescent="0.25">
      <c r="A46" s="233"/>
      <c r="B46" s="234"/>
      <c r="C46" s="234"/>
      <c r="D46" s="234"/>
      <c r="E46" s="234"/>
      <c r="F46" s="234"/>
      <c r="G46" s="234"/>
      <c r="H46" s="234"/>
      <c r="I46" s="235"/>
    </row>
    <row r="47" spans="1:9" ht="15.75" customHeight="1" x14ac:dyDescent="0.25">
      <c r="A47" s="233"/>
      <c r="B47" s="234"/>
      <c r="C47" s="234"/>
      <c r="D47" s="234"/>
      <c r="E47" s="234"/>
      <c r="F47" s="234"/>
      <c r="G47" s="234"/>
      <c r="H47" s="234"/>
      <c r="I47" s="235"/>
    </row>
    <row r="48" spans="1:9" ht="15.75" customHeight="1" x14ac:dyDescent="0.25">
      <c r="A48" s="236"/>
      <c r="B48" s="237"/>
      <c r="C48" s="237"/>
      <c r="D48" s="237"/>
      <c r="E48" s="237"/>
      <c r="F48" s="237"/>
      <c r="G48" s="237"/>
      <c r="H48" s="237"/>
      <c r="I48" s="238"/>
    </row>
    <row r="66" spans="6:6" x14ac:dyDescent="0.25">
      <c r="F66" s="3"/>
    </row>
  </sheetData>
  <mergeCells count="8">
    <mergeCell ref="A38:I38"/>
    <mergeCell ref="A39:I48"/>
    <mergeCell ref="A5:I5"/>
    <mergeCell ref="A6:I14"/>
    <mergeCell ref="A16:I16"/>
    <mergeCell ref="A17:I25"/>
    <mergeCell ref="A27:I27"/>
    <mergeCell ref="A28:I3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I66"/>
  <sheetViews>
    <sheetView workbookViewId="0">
      <selection activeCell="C15" sqref="C15"/>
    </sheetView>
  </sheetViews>
  <sheetFormatPr defaultColWidth="9.33203125" defaultRowHeight="15" x14ac:dyDescent="0.25"/>
  <cols>
    <col min="1" max="1" width="9.33203125" style="2" customWidth="1"/>
    <col min="2" max="2" width="14.5546875" style="2" bestFit="1" customWidth="1"/>
    <col min="3" max="8" width="9.33203125" style="2"/>
    <col min="9" max="9" width="11.5546875" style="2" customWidth="1"/>
    <col min="10" max="16384" width="9.33203125" style="2"/>
  </cols>
  <sheetData>
    <row r="1" spans="1:9" x14ac:dyDescent="0.25">
      <c r="A1" s="92" t="str">
        <f>+'Cover Page'!$B$29</f>
        <v>Annual Performance Report 2022</v>
      </c>
      <c r="B1" s="92"/>
      <c r="C1" s="92"/>
      <c r="D1" s="92"/>
      <c r="E1" s="92" t="str">
        <f>+'Cover Page'!$B$33</f>
        <v>Beddington Energy Recovery Facility</v>
      </c>
      <c r="F1" s="92"/>
      <c r="G1" s="92"/>
      <c r="H1" s="92"/>
      <c r="I1" s="92"/>
    </row>
    <row r="3" spans="1:9" ht="15.6" x14ac:dyDescent="0.3">
      <c r="A3" s="1" t="s">
        <v>266</v>
      </c>
      <c r="B3" s="92"/>
      <c r="C3" s="92"/>
      <c r="D3" s="92"/>
      <c r="E3" s="92"/>
      <c r="F3" s="92"/>
      <c r="G3" s="92"/>
      <c r="H3" s="92"/>
      <c r="I3" s="92"/>
    </row>
    <row r="4" spans="1:9" ht="15.6" x14ac:dyDescent="0.3">
      <c r="A4" s="1"/>
      <c r="B4" s="92"/>
      <c r="C4" s="92"/>
      <c r="D4" s="92"/>
      <c r="E4" s="92"/>
      <c r="F4" s="92"/>
      <c r="G4" s="92"/>
      <c r="H4" s="92"/>
      <c r="I4" s="92"/>
    </row>
    <row r="5" spans="1:9" s="3" customFormat="1" ht="28.5" customHeight="1" x14ac:dyDescent="0.25">
      <c r="A5" s="48" t="s">
        <v>267</v>
      </c>
      <c r="B5" s="49"/>
      <c r="C5" s="49"/>
      <c r="D5" s="49"/>
      <c r="E5" s="49"/>
      <c r="F5" s="49"/>
      <c r="G5" s="49"/>
      <c r="H5" s="49"/>
      <c r="I5" s="50"/>
    </row>
    <row r="6" spans="1:9" s="3" customFormat="1" ht="15.75" customHeight="1" x14ac:dyDescent="0.25">
      <c r="A6" s="333" t="s">
        <v>51</v>
      </c>
      <c r="B6" s="335"/>
      <c r="C6" s="333" t="s">
        <v>268</v>
      </c>
      <c r="D6" s="334"/>
      <c r="E6" s="334"/>
      <c r="F6" s="334"/>
      <c r="G6" s="334"/>
      <c r="H6" s="334"/>
      <c r="I6" s="335"/>
    </row>
    <row r="7" spans="1:9" s="3" customFormat="1" ht="15.75" customHeight="1" x14ac:dyDescent="0.25">
      <c r="A7" s="336" t="s">
        <v>269</v>
      </c>
      <c r="B7" s="240"/>
      <c r="C7" s="336" t="s">
        <v>270</v>
      </c>
      <c r="D7" s="239"/>
      <c r="E7" s="239"/>
      <c r="F7" s="239"/>
      <c r="G7" s="239"/>
      <c r="H7" s="239"/>
      <c r="I7" s="240"/>
    </row>
    <row r="8" spans="1:9" s="3" customFormat="1" ht="15.75" customHeight="1" x14ac:dyDescent="0.25">
      <c r="A8" s="244"/>
      <c r="B8" s="246"/>
      <c r="C8" s="244"/>
      <c r="D8" s="245"/>
      <c r="E8" s="245"/>
      <c r="F8" s="245"/>
      <c r="G8" s="245"/>
      <c r="H8" s="245"/>
      <c r="I8" s="246"/>
    </row>
    <row r="9" spans="1:9" s="3" customFormat="1" ht="15.75" customHeight="1" x14ac:dyDescent="0.25">
      <c r="A9" s="336" t="s">
        <v>271</v>
      </c>
      <c r="B9" s="240"/>
      <c r="C9" s="336" t="s">
        <v>270</v>
      </c>
      <c r="D9" s="239"/>
      <c r="E9" s="239"/>
      <c r="F9" s="239"/>
      <c r="G9" s="239"/>
      <c r="H9" s="239"/>
      <c r="I9" s="240"/>
    </row>
    <row r="10" spans="1:9" s="3" customFormat="1" ht="15.75" customHeight="1" x14ac:dyDescent="0.25">
      <c r="A10" s="244"/>
      <c r="B10" s="246"/>
      <c r="C10" s="244"/>
      <c r="D10" s="245"/>
      <c r="E10" s="245"/>
      <c r="F10" s="245"/>
      <c r="G10" s="245"/>
      <c r="H10" s="245"/>
      <c r="I10" s="246"/>
    </row>
    <row r="11" spans="1:9" s="3" customFormat="1" ht="15.75" customHeight="1" x14ac:dyDescent="0.25">
      <c r="A11" s="336" t="s">
        <v>272</v>
      </c>
      <c r="B11" s="240"/>
      <c r="C11" s="336" t="s">
        <v>270</v>
      </c>
      <c r="D11" s="239"/>
      <c r="E11" s="239"/>
      <c r="F11" s="239"/>
      <c r="G11" s="239"/>
      <c r="H11" s="239"/>
      <c r="I11" s="240"/>
    </row>
    <row r="12" spans="1:9" s="3" customFormat="1" ht="15.75" customHeight="1" x14ac:dyDescent="0.25">
      <c r="A12" s="244"/>
      <c r="B12" s="246"/>
      <c r="C12" s="244"/>
      <c r="D12" s="245"/>
      <c r="E12" s="245"/>
      <c r="F12" s="245"/>
      <c r="G12" s="245"/>
      <c r="H12" s="245"/>
      <c r="I12" s="246"/>
    </row>
    <row r="13" spans="1:9" s="3" customFormat="1" ht="15.75" customHeight="1" x14ac:dyDescent="0.25">
      <c r="A13" s="336" t="s">
        <v>273</v>
      </c>
      <c r="B13" s="240"/>
      <c r="C13" s="336" t="s">
        <v>270</v>
      </c>
      <c r="D13" s="239"/>
      <c r="E13" s="239"/>
      <c r="F13" s="239"/>
      <c r="G13" s="239"/>
      <c r="H13" s="239"/>
      <c r="I13" s="240"/>
    </row>
    <row r="14" spans="1:9" s="3" customFormat="1" ht="15.75" customHeight="1" x14ac:dyDescent="0.25">
      <c r="A14" s="244"/>
      <c r="B14" s="246"/>
      <c r="C14" s="244"/>
      <c r="D14" s="245"/>
      <c r="E14" s="245"/>
      <c r="F14" s="245"/>
      <c r="G14" s="245"/>
      <c r="H14" s="245"/>
      <c r="I14" s="246"/>
    </row>
    <row r="15" spans="1:9" s="3" customFormat="1" ht="13.8" x14ac:dyDescent="0.25"/>
    <row r="16" spans="1:9" s="47" customFormat="1" ht="33.75" customHeight="1" x14ac:dyDescent="0.3">
      <c r="A16" s="330" t="s">
        <v>274</v>
      </c>
      <c r="B16" s="331"/>
      <c r="C16" s="331"/>
      <c r="D16" s="331"/>
      <c r="E16" s="331"/>
      <c r="F16" s="331"/>
      <c r="G16" s="331"/>
      <c r="H16" s="331"/>
      <c r="I16" s="332"/>
    </row>
    <row r="17" spans="1:9" ht="15.75" customHeight="1" x14ac:dyDescent="0.25">
      <c r="A17" s="333" t="s">
        <v>51</v>
      </c>
      <c r="B17" s="335"/>
      <c r="C17" s="333" t="s">
        <v>268</v>
      </c>
      <c r="D17" s="334"/>
      <c r="E17" s="334"/>
      <c r="F17" s="334"/>
      <c r="G17" s="334"/>
      <c r="H17" s="334"/>
      <c r="I17" s="334"/>
    </row>
    <row r="18" spans="1:9" ht="15.75" customHeight="1" x14ac:dyDescent="0.25">
      <c r="A18" s="336"/>
      <c r="B18" s="240"/>
      <c r="C18" s="336"/>
      <c r="D18" s="239"/>
      <c r="E18" s="239"/>
      <c r="F18" s="239"/>
      <c r="G18" s="239"/>
      <c r="H18" s="239"/>
      <c r="I18" s="240"/>
    </row>
    <row r="19" spans="1:9" ht="15.75" customHeight="1" x14ac:dyDescent="0.25">
      <c r="A19" s="244"/>
      <c r="B19" s="246"/>
      <c r="C19" s="244"/>
      <c r="D19" s="245"/>
      <c r="E19" s="245"/>
      <c r="F19" s="245"/>
      <c r="G19" s="245"/>
      <c r="H19" s="245"/>
      <c r="I19" s="246"/>
    </row>
    <row r="20" spans="1:9" ht="15.75" customHeight="1" x14ac:dyDescent="0.25">
      <c r="A20" s="336"/>
      <c r="B20" s="240"/>
      <c r="C20" s="336"/>
      <c r="D20" s="239"/>
      <c r="E20" s="239"/>
      <c r="F20" s="239"/>
      <c r="G20" s="239"/>
      <c r="H20" s="239"/>
      <c r="I20" s="240"/>
    </row>
    <row r="21" spans="1:9" ht="15.75" customHeight="1" x14ac:dyDescent="0.25">
      <c r="A21" s="244"/>
      <c r="B21" s="246"/>
      <c r="C21" s="244"/>
      <c r="D21" s="245"/>
      <c r="E21" s="245"/>
      <c r="F21" s="245"/>
      <c r="G21" s="245"/>
      <c r="H21" s="245"/>
      <c r="I21" s="246"/>
    </row>
    <row r="22" spans="1:9" ht="15.75" customHeight="1" x14ac:dyDescent="0.25">
      <c r="A22" s="336"/>
      <c r="B22" s="240"/>
      <c r="C22" s="336"/>
      <c r="D22" s="239"/>
      <c r="E22" s="239"/>
      <c r="F22" s="239"/>
      <c r="G22" s="239"/>
      <c r="H22" s="239"/>
      <c r="I22" s="240"/>
    </row>
    <row r="23" spans="1:9" ht="15.75" customHeight="1" x14ac:dyDescent="0.25">
      <c r="A23" s="244"/>
      <c r="B23" s="246"/>
      <c r="C23" s="244"/>
      <c r="D23" s="245"/>
      <c r="E23" s="245"/>
      <c r="F23" s="245"/>
      <c r="G23" s="245"/>
      <c r="H23" s="245"/>
      <c r="I23" s="246"/>
    </row>
    <row r="24" spans="1:9" ht="15.75" customHeight="1" x14ac:dyDescent="0.25">
      <c r="A24" s="336"/>
      <c r="B24" s="240"/>
      <c r="C24" s="336"/>
      <c r="D24" s="239"/>
      <c r="E24" s="239"/>
      <c r="F24" s="239"/>
      <c r="G24" s="239"/>
      <c r="H24" s="239"/>
      <c r="I24" s="240"/>
    </row>
    <row r="25" spans="1:9" ht="15.75" customHeight="1" x14ac:dyDescent="0.25">
      <c r="A25" s="244"/>
      <c r="B25" s="246"/>
      <c r="C25" s="244"/>
      <c r="D25" s="245"/>
      <c r="E25" s="245"/>
      <c r="F25" s="245"/>
      <c r="G25" s="245"/>
      <c r="H25" s="245"/>
      <c r="I25" s="246"/>
    </row>
    <row r="26" spans="1:9" ht="15.75" customHeight="1" x14ac:dyDescent="0.25">
      <c r="A26" s="336"/>
      <c r="B26" s="240"/>
      <c r="C26" s="336"/>
      <c r="D26" s="239"/>
      <c r="E26" s="239"/>
      <c r="F26" s="239"/>
      <c r="G26" s="239"/>
      <c r="H26" s="239"/>
      <c r="I26" s="240"/>
    </row>
    <row r="27" spans="1:9" ht="15.75" customHeight="1" x14ac:dyDescent="0.25">
      <c r="A27" s="244"/>
      <c r="B27" s="246"/>
      <c r="C27" s="244"/>
      <c r="D27" s="245"/>
      <c r="E27" s="245"/>
      <c r="F27" s="245"/>
      <c r="G27" s="245"/>
      <c r="H27" s="245"/>
      <c r="I27" s="246"/>
    </row>
    <row r="28" spans="1:9" ht="15.6" x14ac:dyDescent="0.3">
      <c r="A28" s="1"/>
      <c r="B28" s="92"/>
      <c r="C28" s="92"/>
      <c r="D28" s="92"/>
      <c r="E28" s="92"/>
      <c r="F28" s="92"/>
      <c r="G28" s="92"/>
      <c r="H28" s="92"/>
      <c r="I28" s="92"/>
    </row>
    <row r="29" spans="1:9" ht="36.75" customHeight="1" x14ac:dyDescent="0.25">
      <c r="A29" s="330" t="s">
        <v>275</v>
      </c>
      <c r="B29" s="331"/>
      <c r="C29" s="331"/>
      <c r="D29" s="331"/>
      <c r="E29" s="331"/>
      <c r="F29" s="331"/>
      <c r="G29" s="331"/>
      <c r="H29" s="331"/>
      <c r="I29" s="332"/>
    </row>
    <row r="66" spans="6:6" x14ac:dyDescent="0.25">
      <c r="F66" s="3"/>
    </row>
  </sheetData>
  <mergeCells count="24">
    <mergeCell ref="A17:B17"/>
    <mergeCell ref="C17:I17"/>
    <mergeCell ref="A6:B6"/>
    <mergeCell ref="C6:I6"/>
    <mergeCell ref="A7:B8"/>
    <mergeCell ref="C7:I8"/>
    <mergeCell ref="A9:B10"/>
    <mergeCell ref="C9:I10"/>
    <mergeCell ref="A11:B12"/>
    <mergeCell ref="C11:I12"/>
    <mergeCell ref="A13:B14"/>
    <mergeCell ref="C13:I14"/>
    <mergeCell ref="A16:I16"/>
    <mergeCell ref="A18:B19"/>
    <mergeCell ref="C18:I19"/>
    <mergeCell ref="A20:B21"/>
    <mergeCell ref="C20:I21"/>
    <mergeCell ref="A22:B23"/>
    <mergeCell ref="C22:I23"/>
    <mergeCell ref="A24:B25"/>
    <mergeCell ref="C24:I25"/>
    <mergeCell ref="A26:B27"/>
    <mergeCell ref="C26:I27"/>
    <mergeCell ref="A29:I29"/>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2CF8C-5A84-41BE-B575-33283D7A64D1}">
  <sheetPr>
    <tabColor rgb="FF00B050"/>
  </sheetPr>
  <dimension ref="A1:O24"/>
  <sheetViews>
    <sheetView topLeftCell="A9" workbookViewId="0">
      <selection activeCell="B9" sqref="B9:C9"/>
    </sheetView>
  </sheetViews>
  <sheetFormatPr defaultColWidth="8.88671875" defaultRowHeight="15" x14ac:dyDescent="0.25"/>
  <cols>
    <col min="1" max="1" width="36.6640625" style="92" customWidth="1"/>
    <col min="2" max="2" width="17.6640625" style="92" customWidth="1"/>
    <col min="3" max="3" width="37.33203125" style="92" customWidth="1"/>
    <col min="4" max="14" width="8.88671875" style="92"/>
    <col min="15" max="15" width="9" style="92" customWidth="1"/>
    <col min="16" max="16384" width="8.88671875" style="92"/>
  </cols>
  <sheetData>
    <row r="1" spans="1:15" x14ac:dyDescent="0.25">
      <c r="A1" s="92" t="str">
        <f>+'Cover Page'!$B$29</f>
        <v>Annual Performance Report 2022</v>
      </c>
      <c r="C1" s="92" t="str">
        <f>+'Cover Page'!$B$33</f>
        <v>Beddington Energy Recovery Facility</v>
      </c>
    </row>
    <row r="2" spans="1:15" ht="10.199999999999999" customHeight="1" x14ac:dyDescent="0.25"/>
    <row r="3" spans="1:15" ht="15.6" x14ac:dyDescent="0.3">
      <c r="A3" s="1" t="s">
        <v>276</v>
      </c>
      <c r="E3" s="81" t="s">
        <v>2</v>
      </c>
    </row>
    <row r="4" spans="1:15" ht="9.4499999999999993" customHeight="1" x14ac:dyDescent="0.25"/>
    <row r="5" spans="1:15" x14ac:dyDescent="0.25">
      <c r="A5" s="337" t="s">
        <v>277</v>
      </c>
      <c r="B5" s="338"/>
      <c r="C5" s="338"/>
    </row>
    <row r="6" spans="1:15" ht="30" x14ac:dyDescent="0.25">
      <c r="A6" s="93" t="s">
        <v>278</v>
      </c>
      <c r="B6" s="97" t="s">
        <v>279</v>
      </c>
      <c r="C6" s="129">
        <v>304660.16800000001</v>
      </c>
    </row>
    <row r="7" spans="1:15" ht="30" x14ac:dyDescent="0.25">
      <c r="A7" s="93" t="s">
        <v>280</v>
      </c>
      <c r="B7" s="97" t="s">
        <v>279</v>
      </c>
      <c r="C7" s="96">
        <v>0.91</v>
      </c>
    </row>
    <row r="8" spans="1:15" ht="45" x14ac:dyDescent="0.25">
      <c r="A8" s="93" t="s">
        <v>281</v>
      </c>
      <c r="B8" s="97" t="s">
        <v>279</v>
      </c>
      <c r="C8" s="96">
        <v>1.37</v>
      </c>
    </row>
    <row r="9" spans="1:15" ht="89.4" customHeight="1" x14ac:dyDescent="0.3">
      <c r="A9" s="93" t="s">
        <v>282</v>
      </c>
      <c r="B9" s="339" t="s">
        <v>283</v>
      </c>
      <c r="C9" s="340"/>
      <c r="E9" s="345" t="s">
        <v>284</v>
      </c>
      <c r="F9" s="344"/>
      <c r="G9" s="344"/>
      <c r="H9" s="344"/>
      <c r="I9" s="344"/>
      <c r="J9" s="344"/>
      <c r="K9" s="344"/>
      <c r="L9" s="344"/>
      <c r="M9" s="344"/>
      <c r="N9" s="344"/>
      <c r="O9" s="344"/>
    </row>
    <row r="10" spans="1:15" ht="8.6999999999999993" customHeight="1" x14ac:dyDescent="0.25">
      <c r="A10" s="94"/>
      <c r="B10" s="95"/>
      <c r="C10" s="95"/>
    </row>
    <row r="11" spans="1:15" x14ac:dyDescent="0.25">
      <c r="A11" s="341"/>
      <c r="B11" s="338"/>
      <c r="C11" s="338"/>
    </row>
    <row r="12" spans="1:15" ht="33.450000000000003" customHeight="1" x14ac:dyDescent="0.25">
      <c r="A12" s="93" t="s">
        <v>285</v>
      </c>
      <c r="B12" s="97" t="s">
        <v>279</v>
      </c>
      <c r="C12" s="96">
        <v>13.77</v>
      </c>
    </row>
    <row r="13" spans="1:15" ht="101.4" customHeight="1" x14ac:dyDescent="0.3">
      <c r="A13" s="93" t="s">
        <v>286</v>
      </c>
      <c r="B13" s="342" t="s">
        <v>287</v>
      </c>
      <c r="C13" s="343"/>
      <c r="E13" s="247" t="s">
        <v>288</v>
      </c>
      <c r="F13" s="344"/>
      <c r="G13" s="344"/>
      <c r="H13" s="344"/>
      <c r="I13" s="344"/>
      <c r="J13" s="344"/>
      <c r="K13" s="344"/>
      <c r="L13" s="344"/>
      <c r="M13" s="344"/>
      <c r="N13" s="344"/>
      <c r="O13" s="344"/>
    </row>
    <row r="14" spans="1:15" ht="58.95" customHeight="1" x14ac:dyDescent="0.25">
      <c r="A14" s="93" t="s">
        <v>289</v>
      </c>
      <c r="B14" s="98" t="s">
        <v>290</v>
      </c>
      <c r="C14" s="129">
        <v>307763.65999999997</v>
      </c>
    </row>
    <row r="15" spans="1:15" ht="6.45" customHeight="1" x14ac:dyDescent="0.25">
      <c r="A15" s="94"/>
      <c r="B15" s="95"/>
      <c r="C15" s="95"/>
    </row>
    <row r="16" spans="1:15" ht="39" customHeight="1" x14ac:dyDescent="0.25">
      <c r="A16" s="337" t="s">
        <v>291</v>
      </c>
      <c r="B16" s="338"/>
      <c r="C16" s="338"/>
    </row>
    <row r="17" spans="1:15" ht="49.2" customHeight="1" x14ac:dyDescent="0.25">
      <c r="A17" s="93" t="s">
        <v>292</v>
      </c>
      <c r="B17" s="97" t="s">
        <v>135</v>
      </c>
      <c r="C17" s="96">
        <v>56.6</v>
      </c>
    </row>
    <row r="18" spans="1:15" ht="103.2" customHeight="1" x14ac:dyDescent="0.3">
      <c r="A18" s="93" t="s">
        <v>293</v>
      </c>
      <c r="B18" s="342" t="s">
        <v>294</v>
      </c>
      <c r="C18" s="343"/>
      <c r="E18" s="247" t="s">
        <v>295</v>
      </c>
      <c r="F18" s="344"/>
      <c r="G18" s="344"/>
      <c r="H18" s="344"/>
      <c r="I18" s="344"/>
      <c r="J18" s="344"/>
      <c r="K18" s="344"/>
      <c r="L18" s="344"/>
      <c r="M18" s="344"/>
      <c r="N18" s="344"/>
      <c r="O18" s="344"/>
    </row>
    <row r="19" spans="1:15" ht="34.200000000000003" customHeight="1" x14ac:dyDescent="0.25">
      <c r="A19" s="93" t="s">
        <v>296</v>
      </c>
      <c r="B19" s="97" t="s">
        <v>135</v>
      </c>
      <c r="C19" s="96">
        <v>56.6</v>
      </c>
    </row>
    <row r="20" spans="1:15" ht="92.4" customHeight="1" x14ac:dyDescent="0.3">
      <c r="A20" s="93" t="s">
        <v>297</v>
      </c>
      <c r="B20" s="342" t="s">
        <v>294</v>
      </c>
      <c r="C20" s="343"/>
      <c r="E20" s="247" t="s">
        <v>298</v>
      </c>
      <c r="F20" s="344"/>
      <c r="G20" s="344"/>
      <c r="H20" s="344"/>
      <c r="I20" s="344"/>
      <c r="J20" s="344"/>
      <c r="K20" s="344"/>
      <c r="L20" s="344"/>
      <c r="M20" s="344"/>
      <c r="N20" s="344"/>
      <c r="O20" s="344"/>
    </row>
    <row r="21" spans="1:15" ht="10.199999999999999" customHeight="1" x14ac:dyDescent="0.25"/>
    <row r="22" spans="1:15" x14ac:dyDescent="0.25">
      <c r="A22" s="92" t="s">
        <v>299</v>
      </c>
    </row>
    <row r="23" spans="1:15" x14ac:dyDescent="0.25">
      <c r="A23" s="301"/>
      <c r="B23" s="301"/>
      <c r="C23" s="301"/>
    </row>
    <row r="24" spans="1:15" ht="64.95" customHeight="1" x14ac:dyDescent="0.25">
      <c r="A24" s="301"/>
      <c r="B24" s="301"/>
      <c r="C24" s="301"/>
    </row>
  </sheetData>
  <mergeCells count="12">
    <mergeCell ref="E20:O20"/>
    <mergeCell ref="E18:O18"/>
    <mergeCell ref="E13:O13"/>
    <mergeCell ref="E9:O9"/>
    <mergeCell ref="B20:C20"/>
    <mergeCell ref="A23:C24"/>
    <mergeCell ref="A5:C5"/>
    <mergeCell ref="B9:C9"/>
    <mergeCell ref="A11:C11"/>
    <mergeCell ref="B13:C13"/>
    <mergeCell ref="A16:C16"/>
    <mergeCell ref="B18:C18"/>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Acrobat Document" dvAspect="DVASPECT_ICON" shapeId="31745" r:id="rId4">
          <objectPr defaultSize="0" autoPict="0" r:id="rId5">
            <anchor moveWithCells="1">
              <from>
                <xdr:col>6</xdr:col>
                <xdr:colOff>60960</xdr:colOff>
                <xdr:row>1</xdr:row>
                <xdr:rowOff>38100</xdr:rowOff>
              </from>
              <to>
                <xdr:col>8</xdr:col>
                <xdr:colOff>365760</xdr:colOff>
                <xdr:row>7</xdr:row>
                <xdr:rowOff>327660</xdr:rowOff>
              </to>
            </anchor>
          </objectPr>
        </oleObject>
      </mc:Choice>
      <mc:Fallback>
        <oleObject progId="Acrobat Document" dvAspect="DVASPECT_ICON" shapeId="31745" r:id="rId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56"/>
  <sheetViews>
    <sheetView workbookViewId="0">
      <selection activeCell="C21" sqref="C21:G22"/>
    </sheetView>
  </sheetViews>
  <sheetFormatPr defaultColWidth="9.33203125" defaultRowHeight="15" x14ac:dyDescent="0.25"/>
  <cols>
    <col min="1" max="1" width="9.33203125" style="2" customWidth="1"/>
    <col min="2" max="2" width="14.5546875" style="2" bestFit="1" customWidth="1"/>
    <col min="3" max="3" width="9.33203125" style="2"/>
    <col min="4" max="4" width="17.5546875" style="2" customWidth="1"/>
    <col min="5" max="5" width="9.33203125" style="2" customWidth="1"/>
    <col min="6" max="6" width="21.5546875" style="2" customWidth="1"/>
    <col min="7" max="7" width="10.44140625" style="2" customWidth="1"/>
    <col min="8" max="16384" width="9.33203125" style="2"/>
  </cols>
  <sheetData>
    <row r="1" spans="1:7" x14ac:dyDescent="0.25">
      <c r="A1" s="92" t="str">
        <f>+'Cover Page'!$B$29</f>
        <v>Annual Performance Report 2022</v>
      </c>
      <c r="B1" s="92"/>
      <c r="C1" s="92"/>
      <c r="D1" s="92"/>
      <c r="E1" s="92" t="str">
        <f>+'Cover Page'!$B$33</f>
        <v>Beddington Energy Recovery Facility</v>
      </c>
      <c r="F1" s="92"/>
      <c r="G1" s="92"/>
    </row>
    <row r="3" spans="1:7" ht="15.6" x14ac:dyDescent="0.3">
      <c r="A3" s="1" t="s">
        <v>300</v>
      </c>
      <c r="B3" s="92"/>
      <c r="C3" s="92"/>
      <c r="D3" s="92"/>
      <c r="E3" s="92"/>
      <c r="F3" s="92"/>
      <c r="G3" s="92"/>
    </row>
    <row r="4" spans="1:7" ht="15.6" x14ac:dyDescent="0.3">
      <c r="A4" s="1"/>
      <c r="B4" s="92"/>
      <c r="C4" s="92"/>
      <c r="D4" s="92"/>
      <c r="E4" s="92"/>
      <c r="F4" s="92"/>
      <c r="G4" s="92"/>
    </row>
    <row r="5" spans="1:7" s="3" customFormat="1" ht="21.75" customHeight="1" x14ac:dyDescent="0.25">
      <c r="A5" s="48" t="s">
        <v>301</v>
      </c>
      <c r="B5" s="49"/>
      <c r="C5" s="49"/>
      <c r="D5" s="49"/>
      <c r="E5" s="49"/>
      <c r="F5" s="49"/>
      <c r="G5" s="50"/>
    </row>
    <row r="6" spans="1:7" s="3" customFormat="1" ht="15.75" customHeight="1" x14ac:dyDescent="0.25">
      <c r="A6" s="336" t="s">
        <v>302</v>
      </c>
      <c r="B6" s="239"/>
      <c r="C6" s="239"/>
      <c r="D6" s="239"/>
      <c r="E6" s="239"/>
      <c r="F6" s="239"/>
      <c r="G6" s="240"/>
    </row>
    <row r="7" spans="1:7" s="3" customFormat="1" ht="15.75" customHeight="1" x14ac:dyDescent="0.25">
      <c r="A7" s="244"/>
      <c r="B7" s="245"/>
      <c r="C7" s="245"/>
      <c r="D7" s="245"/>
      <c r="E7" s="245"/>
      <c r="F7" s="245"/>
      <c r="G7" s="246"/>
    </row>
    <row r="8" spans="1:7" s="3" customFormat="1" ht="15.75" customHeight="1" x14ac:dyDescent="0.25">
      <c r="A8" s="230" t="s">
        <v>303</v>
      </c>
      <c r="B8" s="231"/>
      <c r="C8" s="231"/>
      <c r="D8" s="231"/>
      <c r="E8" s="231"/>
      <c r="F8" s="231"/>
      <c r="G8" s="232"/>
    </row>
    <row r="9" spans="1:7" s="3" customFormat="1" ht="15.75" customHeight="1" x14ac:dyDescent="0.25">
      <c r="A9" s="236"/>
      <c r="B9" s="237"/>
      <c r="C9" s="237"/>
      <c r="D9" s="237"/>
      <c r="E9" s="237"/>
      <c r="F9" s="237"/>
      <c r="G9" s="238"/>
    </row>
    <row r="10" spans="1:7" s="3" customFormat="1" ht="15.75" customHeight="1" x14ac:dyDescent="0.25">
      <c r="A10" s="230"/>
      <c r="B10" s="231"/>
      <c r="C10" s="231"/>
      <c r="D10" s="231"/>
      <c r="E10" s="231"/>
      <c r="F10" s="231"/>
      <c r="G10" s="232"/>
    </row>
    <row r="11" spans="1:7" s="3" customFormat="1" ht="15.75" customHeight="1" x14ac:dyDescent="0.25">
      <c r="A11" s="236"/>
      <c r="B11" s="237"/>
      <c r="C11" s="237"/>
      <c r="D11" s="237"/>
      <c r="E11" s="237"/>
      <c r="F11" s="237"/>
      <c r="G11" s="238"/>
    </row>
    <row r="12" spans="1:7" s="3" customFormat="1" ht="13.8" x14ac:dyDescent="0.25"/>
    <row r="13" spans="1:7" s="47" customFormat="1" ht="33.75" customHeight="1" x14ac:dyDescent="0.3">
      <c r="A13" s="330" t="s">
        <v>304</v>
      </c>
      <c r="B13" s="331"/>
      <c r="C13" s="331"/>
      <c r="D13" s="331"/>
      <c r="E13" s="331"/>
      <c r="F13" s="331"/>
      <c r="G13" s="332"/>
    </row>
    <row r="14" spans="1:7" ht="15.75" customHeight="1" x14ac:dyDescent="0.25">
      <c r="A14" s="333" t="s">
        <v>305</v>
      </c>
      <c r="B14" s="335"/>
      <c r="C14" s="333" t="s">
        <v>268</v>
      </c>
      <c r="D14" s="334"/>
      <c r="E14" s="334"/>
      <c r="F14" s="334"/>
      <c r="G14" s="334"/>
    </row>
    <row r="15" spans="1:7" ht="15.75" customHeight="1" x14ac:dyDescent="0.25">
      <c r="A15" s="230"/>
      <c r="B15" s="232"/>
      <c r="C15" s="336" t="s">
        <v>306</v>
      </c>
      <c r="D15" s="239"/>
      <c r="E15" s="239"/>
      <c r="F15" s="239"/>
      <c r="G15" s="240"/>
    </row>
    <row r="16" spans="1:7" ht="15.75" customHeight="1" x14ac:dyDescent="0.25">
      <c r="A16" s="236"/>
      <c r="B16" s="238"/>
      <c r="C16" s="244"/>
      <c r="D16" s="245"/>
      <c r="E16" s="245"/>
      <c r="F16" s="245"/>
      <c r="G16" s="246"/>
    </row>
    <row r="17" spans="1:11" ht="15.75" customHeight="1" x14ac:dyDescent="0.25">
      <c r="A17" s="336"/>
      <c r="B17" s="240"/>
      <c r="C17" s="336"/>
      <c r="D17" s="239"/>
      <c r="E17" s="239"/>
      <c r="F17" s="239"/>
      <c r="G17" s="240"/>
      <c r="H17" s="92"/>
      <c r="I17" s="92"/>
      <c r="J17" s="92"/>
      <c r="K17" s="92"/>
    </row>
    <row r="18" spans="1:11" ht="15.75" customHeight="1" x14ac:dyDescent="0.25">
      <c r="A18" s="244"/>
      <c r="B18" s="246"/>
      <c r="C18" s="244"/>
      <c r="D18" s="245"/>
      <c r="E18" s="245"/>
      <c r="F18" s="245"/>
      <c r="G18" s="246"/>
      <c r="H18" s="92"/>
      <c r="I18" s="92"/>
      <c r="J18" s="92"/>
      <c r="K18" s="92"/>
    </row>
    <row r="19" spans="1:11" ht="15.75" customHeight="1" x14ac:dyDescent="0.25">
      <c r="A19" s="336"/>
      <c r="B19" s="240"/>
      <c r="C19" s="336"/>
      <c r="D19" s="239"/>
      <c r="E19" s="239"/>
      <c r="F19" s="239"/>
      <c r="G19" s="240"/>
      <c r="H19" s="92"/>
      <c r="I19" s="92"/>
      <c r="J19" s="92"/>
      <c r="K19" s="92"/>
    </row>
    <row r="20" spans="1:11" ht="15.75" customHeight="1" x14ac:dyDescent="0.25">
      <c r="A20" s="244"/>
      <c r="B20" s="246"/>
      <c r="C20" s="244"/>
      <c r="D20" s="245"/>
      <c r="E20" s="245"/>
      <c r="F20" s="245"/>
      <c r="G20" s="246"/>
      <c r="H20" s="92"/>
      <c r="I20" s="92"/>
      <c r="J20" s="92"/>
      <c r="K20" s="92"/>
    </row>
    <row r="21" spans="1:11" ht="15.75" customHeight="1" x14ac:dyDescent="0.25">
      <c r="A21" s="336"/>
      <c r="B21" s="240"/>
      <c r="C21" s="336"/>
      <c r="D21" s="239"/>
      <c r="E21" s="239"/>
      <c r="F21" s="239"/>
      <c r="G21" s="240"/>
      <c r="H21" s="92"/>
      <c r="I21" s="92"/>
      <c r="J21" s="92"/>
      <c r="K21" s="92"/>
    </row>
    <row r="22" spans="1:11" ht="15.75" customHeight="1" x14ac:dyDescent="0.25">
      <c r="A22" s="244"/>
      <c r="B22" s="246"/>
      <c r="C22" s="244"/>
      <c r="D22" s="245"/>
      <c r="E22" s="245"/>
      <c r="F22" s="245"/>
      <c r="G22" s="246"/>
      <c r="H22" s="92"/>
      <c r="I22" s="92"/>
      <c r="J22" s="92"/>
      <c r="K22" s="92"/>
    </row>
    <row r="23" spans="1:11" ht="15.75" customHeight="1" x14ac:dyDescent="0.25">
      <c r="A23" s="336"/>
      <c r="B23" s="240"/>
      <c r="C23" s="336"/>
      <c r="D23" s="239"/>
      <c r="E23" s="239"/>
      <c r="F23" s="239"/>
      <c r="G23" s="240"/>
      <c r="H23" s="92"/>
      <c r="I23" s="92"/>
      <c r="J23" s="92"/>
      <c r="K23" s="92"/>
    </row>
    <row r="24" spans="1:11" ht="15.75" customHeight="1" x14ac:dyDescent="0.25">
      <c r="A24" s="244"/>
      <c r="B24" s="246"/>
      <c r="C24" s="244"/>
      <c r="D24" s="245"/>
      <c r="E24" s="245"/>
      <c r="F24" s="245"/>
      <c r="G24" s="246"/>
      <c r="H24" s="92"/>
      <c r="I24" s="92"/>
      <c r="J24" s="92"/>
      <c r="K24" s="92"/>
    </row>
    <row r="26" spans="1:11" x14ac:dyDescent="0.25">
      <c r="A26" s="124"/>
      <c r="B26" s="124"/>
      <c r="C26" s="124"/>
      <c r="D26" s="124"/>
      <c r="E26" s="124"/>
      <c r="F26" s="124"/>
      <c r="G26" s="124"/>
      <c r="H26" s="92"/>
      <c r="I26" s="92"/>
      <c r="J26" s="92"/>
      <c r="K26" s="92"/>
    </row>
    <row r="27" spans="1:11" s="56" customFormat="1" ht="16.5" customHeight="1" x14ac:dyDescent="0.25">
      <c r="A27" s="352" t="s">
        <v>307</v>
      </c>
      <c r="B27" s="352"/>
      <c r="C27" s="352"/>
      <c r="D27" s="352"/>
      <c r="E27" s="352"/>
      <c r="F27" s="352"/>
      <c r="G27" s="352"/>
    </row>
    <row r="28" spans="1:11" s="12" customFormat="1" ht="17.25" customHeight="1" x14ac:dyDescent="0.25">
      <c r="A28" s="347" t="s">
        <v>308</v>
      </c>
      <c r="B28" s="347"/>
      <c r="C28" s="312" t="s">
        <v>309</v>
      </c>
      <c r="D28" s="312" t="s">
        <v>310</v>
      </c>
      <c r="E28" s="312"/>
      <c r="F28" s="312"/>
      <c r="G28" s="312"/>
      <c r="H28" s="124"/>
      <c r="I28" s="124"/>
      <c r="J28" s="124"/>
      <c r="K28" s="124"/>
    </row>
    <row r="29" spans="1:11" s="12" customFormat="1" ht="17.25" customHeight="1" x14ac:dyDescent="0.25">
      <c r="A29" s="347"/>
      <c r="B29" s="347"/>
      <c r="C29" s="312"/>
      <c r="D29" s="312" t="s">
        <v>311</v>
      </c>
      <c r="E29" s="312"/>
      <c r="F29" s="312" t="s">
        <v>167</v>
      </c>
      <c r="G29" s="312"/>
      <c r="H29" s="124"/>
      <c r="I29" s="124"/>
      <c r="J29" s="124"/>
      <c r="K29" s="124"/>
    </row>
    <row r="30" spans="1:11" s="37" customFormat="1" ht="38.1" customHeight="1" x14ac:dyDescent="0.25">
      <c r="A30" s="257" t="s">
        <v>312</v>
      </c>
      <c r="B30" s="257"/>
      <c r="C30" s="125" t="s">
        <v>313</v>
      </c>
      <c r="D30" s="348"/>
      <c r="E30" s="349"/>
      <c r="F30" s="348"/>
      <c r="G30" s="349"/>
      <c r="H30" s="184"/>
      <c r="I30" s="184"/>
      <c r="J30" s="124"/>
      <c r="K30" s="124"/>
    </row>
    <row r="31" spans="1:11" s="37" customFormat="1" ht="38.1" customHeight="1" x14ac:dyDescent="0.25">
      <c r="A31" s="257" t="s">
        <v>314</v>
      </c>
      <c r="B31" s="257"/>
      <c r="C31" s="127" t="s">
        <v>315</v>
      </c>
      <c r="D31" s="289">
        <v>2.0299999999999998</v>
      </c>
      <c r="E31" s="289"/>
      <c r="F31" s="348"/>
      <c r="G31" s="349"/>
      <c r="H31" s="184"/>
      <c r="I31" s="184"/>
      <c r="J31" s="124"/>
      <c r="K31" s="124"/>
    </row>
    <row r="32" spans="1:11" s="37" customFormat="1" ht="38.1" customHeight="1" x14ac:dyDescent="0.25">
      <c r="A32" s="257" t="s">
        <v>316</v>
      </c>
      <c r="B32" s="257"/>
      <c r="C32" s="127" t="s">
        <v>317</v>
      </c>
      <c r="D32" s="289">
        <v>24</v>
      </c>
      <c r="E32" s="289"/>
      <c r="F32" s="350">
        <v>4</v>
      </c>
      <c r="G32" s="351"/>
      <c r="H32" s="184"/>
      <c r="I32" s="184"/>
      <c r="J32" s="124"/>
      <c r="K32" s="124"/>
    </row>
    <row r="33" spans="1:7" s="37" customFormat="1" ht="38.1" customHeight="1" x14ac:dyDescent="0.3">
      <c r="A33" s="257" t="s">
        <v>318</v>
      </c>
      <c r="B33" s="257"/>
      <c r="C33" s="127" t="s">
        <v>317</v>
      </c>
      <c r="D33" s="289" t="s">
        <v>319</v>
      </c>
      <c r="E33" s="289"/>
      <c r="F33" s="348"/>
      <c r="G33" s="349"/>
    </row>
    <row r="35" spans="1:7" x14ac:dyDescent="0.25">
      <c r="A35" s="258" t="s">
        <v>320</v>
      </c>
      <c r="B35" s="258"/>
      <c r="C35" s="258"/>
      <c r="D35" s="258"/>
      <c r="E35" s="258"/>
      <c r="F35" s="258"/>
      <c r="G35" s="258"/>
    </row>
    <row r="36" spans="1:7" x14ac:dyDescent="0.25">
      <c r="A36" s="346"/>
      <c r="B36" s="346"/>
      <c r="C36" s="346"/>
      <c r="D36" s="346"/>
      <c r="E36" s="346"/>
      <c r="F36" s="346"/>
      <c r="G36" s="346"/>
    </row>
    <row r="37" spans="1:7" x14ac:dyDescent="0.25">
      <c r="A37" s="346"/>
      <c r="B37" s="346"/>
      <c r="C37" s="346"/>
      <c r="D37" s="346"/>
      <c r="E37" s="346"/>
      <c r="F37" s="346"/>
      <c r="G37" s="346"/>
    </row>
    <row r="38" spans="1:7" x14ac:dyDescent="0.25">
      <c r="A38" s="346"/>
      <c r="B38" s="346"/>
      <c r="C38" s="346"/>
      <c r="D38" s="346"/>
      <c r="E38" s="346"/>
      <c r="F38" s="346"/>
      <c r="G38" s="346"/>
    </row>
    <row r="39" spans="1:7" x14ac:dyDescent="0.25">
      <c r="A39" s="346"/>
      <c r="B39" s="346"/>
      <c r="C39" s="346"/>
      <c r="D39" s="346"/>
      <c r="E39" s="346"/>
      <c r="F39" s="346"/>
      <c r="G39" s="346"/>
    </row>
    <row r="40" spans="1:7" x14ac:dyDescent="0.25">
      <c r="A40" s="346"/>
      <c r="B40" s="346"/>
      <c r="C40" s="346"/>
      <c r="D40" s="346"/>
      <c r="E40" s="346"/>
      <c r="F40" s="346"/>
      <c r="G40" s="346"/>
    </row>
    <row r="41" spans="1:7" x14ac:dyDescent="0.25">
      <c r="A41" s="346"/>
      <c r="B41" s="346"/>
      <c r="C41" s="346"/>
      <c r="D41" s="346"/>
      <c r="E41" s="346"/>
      <c r="F41" s="346"/>
      <c r="G41" s="346"/>
    </row>
    <row r="56" spans="6:6" x14ac:dyDescent="0.25">
      <c r="F56" s="3"/>
    </row>
  </sheetData>
  <mergeCells count="36">
    <mergeCell ref="A17:B18"/>
    <mergeCell ref="C17:G18"/>
    <mergeCell ref="A19:B20"/>
    <mergeCell ref="C19:G20"/>
    <mergeCell ref="A13:G13"/>
    <mergeCell ref="A14:B14"/>
    <mergeCell ref="C14:G14"/>
    <mergeCell ref="A6:G7"/>
    <mergeCell ref="A8:G9"/>
    <mergeCell ref="A10:G11"/>
    <mergeCell ref="A15:B16"/>
    <mergeCell ref="C15:G16"/>
    <mergeCell ref="A21:B22"/>
    <mergeCell ref="C21:G22"/>
    <mergeCell ref="A23:B24"/>
    <mergeCell ref="C23:G24"/>
    <mergeCell ref="D32:E32"/>
    <mergeCell ref="C28:C29"/>
    <mergeCell ref="D29:E29"/>
    <mergeCell ref="F29:G29"/>
    <mergeCell ref="D28:G28"/>
    <mergeCell ref="A27:G27"/>
    <mergeCell ref="A36:G41"/>
    <mergeCell ref="D33:E33"/>
    <mergeCell ref="A35:G35"/>
    <mergeCell ref="A28:B29"/>
    <mergeCell ref="A30:B30"/>
    <mergeCell ref="A31:B31"/>
    <mergeCell ref="A32:B32"/>
    <mergeCell ref="A33:B33"/>
    <mergeCell ref="D30:E30"/>
    <mergeCell ref="D31:E31"/>
    <mergeCell ref="F30:G30"/>
    <mergeCell ref="F31:G31"/>
    <mergeCell ref="F32:G32"/>
    <mergeCell ref="F33:G33"/>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30517-2B3B-4E5E-92B4-4F56C8EF84D8}">
  <sheetPr codeName="Sheet20">
    <tabColor theme="0"/>
  </sheetPr>
  <dimension ref="A1:S71"/>
  <sheetViews>
    <sheetView showGridLines="0" zoomScaleNormal="100" workbookViewId="0">
      <selection activeCell="R59" sqref="R59"/>
    </sheetView>
  </sheetViews>
  <sheetFormatPr defaultColWidth="9.109375" defaultRowHeight="15" x14ac:dyDescent="0.25"/>
  <cols>
    <col min="1" max="1" width="9.109375" style="92" customWidth="1"/>
    <col min="2" max="2" width="16.109375" style="92" customWidth="1"/>
    <col min="3" max="3" width="9" style="92" customWidth="1"/>
    <col min="4" max="15" width="5.33203125" style="92" customWidth="1"/>
    <col min="16" max="16384" width="9.109375" style="92"/>
  </cols>
  <sheetData>
    <row r="1" spans="1:15" x14ac:dyDescent="0.25">
      <c r="A1" s="92" t="str">
        <f>+'[1]Cover Page'!$B$29</f>
        <v>Quarterly Performance Report 2022 Q3</v>
      </c>
      <c r="E1" s="92" t="str">
        <f>+'[1]Cover Page'!$B$33</f>
        <v>Beddington Energy Recovery Facility</v>
      </c>
    </row>
    <row r="3" spans="1:15" ht="15.6" x14ac:dyDescent="0.3">
      <c r="A3" s="1" t="s">
        <v>300</v>
      </c>
    </row>
    <row r="4" spans="1:15" ht="15.6" x14ac:dyDescent="0.3">
      <c r="A4" s="1"/>
    </row>
    <row r="5" spans="1:15" s="3" customFormat="1" ht="21.75" customHeight="1" x14ac:dyDescent="0.25">
      <c r="A5" s="389" t="s">
        <v>301</v>
      </c>
      <c r="B5" s="389"/>
      <c r="C5" s="389"/>
      <c r="D5" s="389"/>
      <c r="E5" s="389"/>
      <c r="F5" s="389"/>
      <c r="G5" s="389"/>
      <c r="H5" s="389"/>
      <c r="I5" s="389"/>
      <c r="J5" s="389"/>
      <c r="K5" s="389"/>
      <c r="L5" s="389"/>
      <c r="M5" s="389"/>
      <c r="N5" s="389"/>
      <c r="O5" s="389"/>
    </row>
    <row r="6" spans="1:15" s="3" customFormat="1" ht="15.75" customHeight="1" x14ac:dyDescent="0.25">
      <c r="A6" s="390" t="s">
        <v>321</v>
      </c>
      <c r="B6" s="390"/>
      <c r="C6" s="390"/>
      <c r="D6" s="390"/>
      <c r="E6" s="390"/>
      <c r="F6" s="390"/>
      <c r="G6" s="390"/>
      <c r="H6" s="390"/>
      <c r="I6" s="390"/>
      <c r="J6" s="390"/>
      <c r="K6" s="390"/>
      <c r="L6" s="390"/>
      <c r="M6" s="390"/>
      <c r="N6" s="390"/>
      <c r="O6" s="390"/>
    </row>
    <row r="7" spans="1:15" s="3" customFormat="1" ht="15.75" customHeight="1" x14ac:dyDescent="0.25">
      <c r="A7" s="390"/>
      <c r="B7" s="390"/>
      <c r="C7" s="390"/>
      <c r="D7" s="390"/>
      <c r="E7" s="390"/>
      <c r="F7" s="390"/>
      <c r="G7" s="390"/>
      <c r="H7" s="390"/>
      <c r="I7" s="390"/>
      <c r="J7" s="390"/>
      <c r="K7" s="390"/>
      <c r="L7" s="390"/>
      <c r="M7" s="390"/>
      <c r="N7" s="390"/>
      <c r="O7" s="390"/>
    </row>
    <row r="8" spans="1:15" s="3" customFormat="1" ht="15.75" customHeight="1" x14ac:dyDescent="0.25">
      <c r="A8" s="390" t="s">
        <v>322</v>
      </c>
      <c r="B8" s="390"/>
      <c r="C8" s="390"/>
      <c r="D8" s="390"/>
      <c r="E8" s="390"/>
      <c r="F8" s="390"/>
      <c r="G8" s="390"/>
      <c r="H8" s="390"/>
      <c r="I8" s="390"/>
      <c r="J8" s="390"/>
      <c r="K8" s="390"/>
      <c r="L8" s="390"/>
      <c r="M8" s="390"/>
      <c r="N8" s="390"/>
      <c r="O8" s="390"/>
    </row>
    <row r="9" spans="1:15" s="3" customFormat="1" ht="15.75" customHeight="1" x14ac:dyDescent="0.25">
      <c r="A9" s="390"/>
      <c r="B9" s="390"/>
      <c r="C9" s="390"/>
      <c r="D9" s="390"/>
      <c r="E9" s="390"/>
      <c r="F9" s="390"/>
      <c r="G9" s="390"/>
      <c r="H9" s="390"/>
      <c r="I9" s="390"/>
      <c r="J9" s="390"/>
      <c r="K9" s="390"/>
      <c r="L9" s="390"/>
      <c r="M9" s="390"/>
      <c r="N9" s="390"/>
      <c r="O9" s="390"/>
    </row>
    <row r="10" spans="1:15" s="3" customFormat="1" ht="15.75" customHeight="1" x14ac:dyDescent="0.25">
      <c r="A10" s="390" t="s">
        <v>323</v>
      </c>
      <c r="B10" s="390"/>
      <c r="C10" s="390"/>
      <c r="D10" s="390"/>
      <c r="E10" s="390"/>
      <c r="F10" s="390"/>
      <c r="G10" s="390"/>
      <c r="H10" s="390"/>
      <c r="I10" s="390"/>
      <c r="J10" s="390"/>
      <c r="K10" s="390"/>
      <c r="L10" s="390"/>
      <c r="M10" s="390"/>
      <c r="N10" s="390"/>
      <c r="O10" s="390"/>
    </row>
    <row r="11" spans="1:15" s="3" customFormat="1" ht="13.8" x14ac:dyDescent="0.25"/>
    <row r="12" spans="1:15" s="123" customFormat="1" ht="23.25" customHeight="1" x14ac:dyDescent="0.3">
      <c r="A12" s="391" t="s">
        <v>304</v>
      </c>
      <c r="B12" s="391"/>
      <c r="C12" s="391"/>
      <c r="D12" s="391"/>
      <c r="E12" s="391"/>
      <c r="F12" s="391"/>
      <c r="G12" s="391"/>
      <c r="H12" s="391"/>
      <c r="I12" s="391"/>
      <c r="J12" s="391"/>
      <c r="K12" s="391"/>
      <c r="L12" s="391"/>
      <c r="M12" s="391"/>
      <c r="N12" s="391"/>
      <c r="O12" s="391"/>
    </row>
    <row r="13" spans="1:15" ht="15.75" customHeight="1" x14ac:dyDescent="0.25">
      <c r="A13" s="333" t="s">
        <v>305</v>
      </c>
      <c r="B13" s="335"/>
      <c r="C13" s="389" t="s">
        <v>268</v>
      </c>
      <c r="D13" s="389"/>
      <c r="E13" s="389"/>
      <c r="F13" s="389"/>
      <c r="G13" s="389"/>
      <c r="H13" s="389"/>
      <c r="I13" s="389"/>
      <c r="J13" s="389"/>
      <c r="K13" s="389"/>
      <c r="L13" s="389"/>
      <c r="M13" s="389"/>
      <c r="N13" s="389"/>
      <c r="O13" s="389"/>
    </row>
    <row r="14" spans="1:15" ht="15.75" customHeight="1" x14ac:dyDescent="0.25">
      <c r="A14" s="230"/>
      <c r="B14" s="232"/>
      <c r="C14" s="379"/>
      <c r="D14" s="379"/>
      <c r="E14" s="379"/>
      <c r="F14" s="379"/>
      <c r="G14" s="379"/>
      <c r="H14" s="379"/>
      <c r="I14" s="379"/>
      <c r="J14" s="379"/>
      <c r="K14" s="379"/>
      <c r="L14" s="379"/>
      <c r="M14" s="379"/>
      <c r="N14" s="379"/>
      <c r="O14" s="379"/>
    </row>
    <row r="15" spans="1:15" ht="17.25" customHeight="1" x14ac:dyDescent="0.25">
      <c r="A15" s="236"/>
      <c r="B15" s="238"/>
      <c r="C15" s="379"/>
      <c r="D15" s="379"/>
      <c r="E15" s="379"/>
      <c r="F15" s="379"/>
      <c r="G15" s="379"/>
      <c r="H15" s="379"/>
      <c r="I15" s="379"/>
      <c r="J15" s="379"/>
      <c r="K15" s="379"/>
      <c r="L15" s="379"/>
      <c r="M15" s="379"/>
      <c r="N15" s="379"/>
      <c r="O15" s="379"/>
    </row>
    <row r="17" spans="1:15" x14ac:dyDescent="0.25">
      <c r="A17" s="124"/>
      <c r="B17" s="124"/>
      <c r="C17" s="124"/>
      <c r="D17" s="124"/>
      <c r="E17" s="124"/>
      <c r="F17" s="124"/>
      <c r="G17" s="124"/>
      <c r="H17" s="124"/>
      <c r="I17" s="124"/>
      <c r="J17" s="124"/>
    </row>
    <row r="18" spans="1:15" s="56" customFormat="1" ht="16.5" customHeight="1" x14ac:dyDescent="0.25">
      <c r="A18" s="361" t="s">
        <v>307</v>
      </c>
      <c r="B18" s="361"/>
      <c r="C18" s="361"/>
      <c r="D18" s="361"/>
      <c r="E18" s="361"/>
      <c r="F18" s="361"/>
      <c r="G18" s="361"/>
      <c r="H18" s="361"/>
      <c r="I18" s="361"/>
      <c r="J18" s="361"/>
      <c r="K18" s="361"/>
      <c r="L18" s="361"/>
      <c r="M18" s="361"/>
      <c r="N18" s="361"/>
      <c r="O18" s="361"/>
    </row>
    <row r="19" spans="1:15" s="124" customFormat="1" ht="17.25" customHeight="1" x14ac:dyDescent="0.25">
      <c r="A19" s="380" t="s">
        <v>308</v>
      </c>
      <c r="B19" s="381"/>
      <c r="C19" s="386" t="s">
        <v>309</v>
      </c>
      <c r="D19" s="363" t="s">
        <v>310</v>
      </c>
      <c r="E19" s="363"/>
      <c r="F19" s="363"/>
      <c r="G19" s="363"/>
      <c r="H19" s="363"/>
      <c r="I19" s="363"/>
      <c r="J19" s="363"/>
      <c r="K19" s="363"/>
      <c r="L19" s="363"/>
      <c r="M19" s="363"/>
      <c r="N19" s="363"/>
      <c r="O19" s="363"/>
    </row>
    <row r="20" spans="1:15" s="124" customFormat="1" ht="17.25" customHeight="1" x14ac:dyDescent="0.25">
      <c r="A20" s="382"/>
      <c r="B20" s="383"/>
      <c r="C20" s="387"/>
      <c r="D20" s="312" t="s">
        <v>324</v>
      </c>
      <c r="E20" s="312"/>
      <c r="F20" s="312"/>
      <c r="G20" s="312"/>
      <c r="H20" s="312"/>
      <c r="I20" s="312"/>
      <c r="J20" s="312"/>
      <c r="K20" s="312"/>
      <c r="L20" s="312"/>
      <c r="M20" s="312"/>
      <c r="N20" s="312"/>
      <c r="O20" s="312"/>
    </row>
    <row r="21" spans="1:15" s="124" customFormat="1" ht="17.25" customHeight="1" x14ac:dyDescent="0.25">
      <c r="A21" s="384"/>
      <c r="B21" s="385"/>
      <c r="C21" s="388"/>
      <c r="D21" s="313" t="s">
        <v>74</v>
      </c>
      <c r="E21" s="364"/>
      <c r="F21" s="365"/>
      <c r="G21" s="366" t="s">
        <v>75</v>
      </c>
      <c r="H21" s="367"/>
      <c r="I21" s="368"/>
      <c r="J21" s="366" t="s">
        <v>76</v>
      </c>
      <c r="K21" s="367"/>
      <c r="L21" s="368"/>
      <c r="M21" s="366" t="s">
        <v>77</v>
      </c>
      <c r="N21" s="367"/>
      <c r="O21" s="368"/>
    </row>
    <row r="22" spans="1:15" s="124" customFormat="1" ht="17.25" hidden="1" customHeight="1" x14ac:dyDescent="0.25">
      <c r="A22" s="261"/>
      <c r="B22" s="263"/>
      <c r="C22" s="125"/>
      <c r="D22" s="126"/>
      <c r="F22" s="126"/>
      <c r="J22" s="126"/>
    </row>
    <row r="23" spans="1:15" s="124" customFormat="1" ht="17.25" customHeight="1" x14ac:dyDescent="0.25">
      <c r="A23" s="261" t="s">
        <v>325</v>
      </c>
      <c r="B23" s="263"/>
      <c r="C23" s="127" t="s">
        <v>317</v>
      </c>
      <c r="D23" s="369">
        <v>1006</v>
      </c>
      <c r="E23" s="370"/>
      <c r="F23" s="371"/>
      <c r="G23" s="376">
        <v>932</v>
      </c>
      <c r="H23" s="377"/>
      <c r="I23" s="378"/>
      <c r="J23" s="373">
        <v>893</v>
      </c>
      <c r="K23" s="374"/>
      <c r="L23" s="375"/>
      <c r="M23" s="369">
        <v>893</v>
      </c>
      <c r="N23" s="370"/>
      <c r="O23" s="371"/>
    </row>
    <row r="24" spans="1:15" s="124" customFormat="1" ht="17.25" customHeight="1" x14ac:dyDescent="0.25">
      <c r="A24" s="261" t="s">
        <v>326</v>
      </c>
      <c r="B24" s="263"/>
      <c r="C24" s="127" t="s">
        <v>317</v>
      </c>
      <c r="D24" s="369">
        <v>211</v>
      </c>
      <c r="E24" s="370"/>
      <c r="F24" s="371"/>
      <c r="G24" s="376">
        <v>230</v>
      </c>
      <c r="H24" s="377"/>
      <c r="I24" s="378"/>
      <c r="J24" s="373">
        <v>240</v>
      </c>
      <c r="K24" s="374"/>
      <c r="L24" s="375"/>
      <c r="M24" s="369">
        <v>182</v>
      </c>
      <c r="N24" s="370"/>
      <c r="O24" s="371"/>
    </row>
    <row r="25" spans="1:15" s="124" customFormat="1" ht="17.25" customHeight="1" x14ac:dyDescent="0.25">
      <c r="A25" s="261" t="s">
        <v>327</v>
      </c>
      <c r="B25" s="263"/>
      <c r="C25" s="127" t="s">
        <v>317</v>
      </c>
      <c r="D25" s="369">
        <v>0.8</v>
      </c>
      <c r="E25" s="370"/>
      <c r="F25" s="371"/>
      <c r="G25" s="376">
        <v>0.8</v>
      </c>
      <c r="H25" s="377"/>
      <c r="I25" s="378"/>
      <c r="J25" s="373">
        <v>0.8</v>
      </c>
      <c r="K25" s="374"/>
      <c r="L25" s="375"/>
      <c r="M25" s="369">
        <v>1</v>
      </c>
      <c r="N25" s="370"/>
      <c r="O25" s="371"/>
    </row>
    <row r="26" spans="1:15" s="124" customFormat="1" ht="17.25" customHeight="1" x14ac:dyDescent="0.25">
      <c r="A26" s="261" t="s">
        <v>328</v>
      </c>
      <c r="B26" s="263"/>
      <c r="C26" s="127" t="s">
        <v>317</v>
      </c>
      <c r="D26" s="369">
        <v>6.67</v>
      </c>
      <c r="E26" s="370"/>
      <c r="F26" s="371"/>
      <c r="G26" s="376">
        <v>6.06</v>
      </c>
      <c r="H26" s="377"/>
      <c r="I26" s="378"/>
      <c r="J26" s="373">
        <v>6.41</v>
      </c>
      <c r="K26" s="374"/>
      <c r="L26" s="375"/>
      <c r="M26" s="369">
        <v>4.58</v>
      </c>
      <c r="N26" s="370"/>
      <c r="O26" s="371"/>
    </row>
    <row r="27" spans="1:15" s="124" customFormat="1" ht="17.25" customHeight="1" x14ac:dyDescent="0.25">
      <c r="A27" s="261" t="s">
        <v>329</v>
      </c>
      <c r="B27" s="263"/>
      <c r="C27" s="127" t="s">
        <v>317</v>
      </c>
      <c r="D27" s="369">
        <v>1351</v>
      </c>
      <c r="E27" s="370"/>
      <c r="F27" s="371"/>
      <c r="G27" s="376">
        <v>1719</v>
      </c>
      <c r="H27" s="377"/>
      <c r="I27" s="378"/>
      <c r="J27" s="373">
        <v>1614</v>
      </c>
      <c r="K27" s="374"/>
      <c r="L27" s="375"/>
      <c r="M27" s="369">
        <v>1801</v>
      </c>
      <c r="N27" s="370"/>
      <c r="O27" s="371"/>
    </row>
    <row r="28" spans="1:15" s="124" customFormat="1" ht="17.25" customHeight="1" x14ac:dyDescent="0.25">
      <c r="A28" s="261" t="s">
        <v>330</v>
      </c>
      <c r="B28" s="263"/>
      <c r="C28" s="127" t="s">
        <v>317</v>
      </c>
      <c r="D28" s="369">
        <v>54.2</v>
      </c>
      <c r="E28" s="370"/>
      <c r="F28" s="371"/>
      <c r="G28" s="376">
        <v>57.8</v>
      </c>
      <c r="H28" s="377"/>
      <c r="I28" s="378"/>
      <c r="J28" s="373">
        <v>44.1</v>
      </c>
      <c r="K28" s="374"/>
      <c r="L28" s="375"/>
      <c r="M28" s="369">
        <v>42.3</v>
      </c>
      <c r="N28" s="370"/>
      <c r="O28" s="371"/>
    </row>
    <row r="29" spans="1:15" s="124" customFormat="1" ht="17.25" customHeight="1" x14ac:dyDescent="0.25">
      <c r="A29" s="261" t="s">
        <v>331</v>
      </c>
      <c r="B29" s="263"/>
      <c r="C29" s="127" t="s">
        <v>317</v>
      </c>
      <c r="D29" s="369">
        <v>556</v>
      </c>
      <c r="E29" s="370"/>
      <c r="F29" s="371"/>
      <c r="G29" s="376">
        <v>578</v>
      </c>
      <c r="H29" s="377"/>
      <c r="I29" s="378"/>
      <c r="J29" s="373">
        <v>491</v>
      </c>
      <c r="K29" s="374"/>
      <c r="L29" s="375"/>
      <c r="M29" s="369">
        <v>520</v>
      </c>
      <c r="N29" s="370"/>
      <c r="O29" s="371"/>
    </row>
    <row r="30" spans="1:15" s="124" customFormat="1" ht="17.25" customHeight="1" x14ac:dyDescent="0.25">
      <c r="A30" s="261" t="s">
        <v>332</v>
      </c>
      <c r="B30" s="263"/>
      <c r="C30" s="127" t="s">
        <v>317</v>
      </c>
      <c r="D30" s="369">
        <v>490</v>
      </c>
      <c r="E30" s="370"/>
      <c r="F30" s="371"/>
      <c r="G30" s="376">
        <v>394</v>
      </c>
      <c r="H30" s="377"/>
      <c r="I30" s="378"/>
      <c r="J30" s="373">
        <v>352</v>
      </c>
      <c r="K30" s="374"/>
      <c r="L30" s="375"/>
      <c r="M30" s="369">
        <v>356</v>
      </c>
      <c r="N30" s="370"/>
      <c r="O30" s="371"/>
    </row>
    <row r="31" spans="1:15" s="124" customFormat="1" ht="17.25" customHeight="1" x14ac:dyDescent="0.25">
      <c r="A31" s="261" t="s">
        <v>333</v>
      </c>
      <c r="B31" s="263"/>
      <c r="C31" s="127" t="s">
        <v>317</v>
      </c>
      <c r="D31" s="369">
        <v>18.5</v>
      </c>
      <c r="E31" s="370"/>
      <c r="F31" s="371"/>
      <c r="G31" s="376">
        <v>19.100000000000001</v>
      </c>
      <c r="H31" s="377"/>
      <c r="I31" s="378"/>
      <c r="J31" s="373">
        <v>15.5</v>
      </c>
      <c r="K31" s="374"/>
      <c r="L31" s="375"/>
      <c r="M31" s="369">
        <v>16.899999999999999</v>
      </c>
      <c r="N31" s="370"/>
      <c r="O31" s="371"/>
    </row>
    <row r="32" spans="1:15" s="124" customFormat="1" ht="17.25" customHeight="1" x14ac:dyDescent="0.25">
      <c r="A32" s="261" t="s">
        <v>334</v>
      </c>
      <c r="B32" s="263"/>
      <c r="C32" s="127" t="s">
        <v>317</v>
      </c>
      <c r="D32" s="369">
        <v>61.7</v>
      </c>
      <c r="E32" s="370"/>
      <c r="F32" s="371"/>
      <c r="G32" s="376">
        <v>57.8</v>
      </c>
      <c r="H32" s="377"/>
      <c r="I32" s="378"/>
      <c r="J32" s="373">
        <v>66.2</v>
      </c>
      <c r="K32" s="374"/>
      <c r="L32" s="375"/>
      <c r="M32" s="369">
        <v>49.1</v>
      </c>
      <c r="N32" s="370"/>
      <c r="O32" s="371"/>
    </row>
    <row r="33" spans="1:15" s="124" customFormat="1" ht="17.25" customHeight="1" x14ac:dyDescent="0.25">
      <c r="A33" s="261" t="s">
        <v>335</v>
      </c>
      <c r="B33" s="263"/>
      <c r="C33" s="127" t="s">
        <v>317</v>
      </c>
      <c r="D33" s="369">
        <v>7.4</v>
      </c>
      <c r="E33" s="370"/>
      <c r="F33" s="371"/>
      <c r="G33" s="376">
        <v>7.7</v>
      </c>
      <c r="H33" s="377"/>
      <c r="I33" s="378"/>
      <c r="J33" s="373">
        <v>6</v>
      </c>
      <c r="K33" s="374"/>
      <c r="L33" s="375"/>
      <c r="M33" s="369">
        <v>6.7</v>
      </c>
      <c r="N33" s="370"/>
      <c r="O33" s="371"/>
    </row>
    <row r="34" spans="1:15" s="124" customFormat="1" ht="17.25" customHeight="1" x14ac:dyDescent="0.25">
      <c r="A34" s="261" t="s">
        <v>336</v>
      </c>
      <c r="B34" s="263"/>
      <c r="C34" s="127" t="s">
        <v>317</v>
      </c>
      <c r="D34" s="369" t="s">
        <v>337</v>
      </c>
      <c r="E34" s="370"/>
      <c r="F34" s="371"/>
      <c r="G34" s="376" t="s">
        <v>337</v>
      </c>
      <c r="H34" s="377"/>
      <c r="I34" s="378"/>
      <c r="J34" s="373" t="s">
        <v>337</v>
      </c>
      <c r="K34" s="374"/>
      <c r="L34" s="375"/>
      <c r="M34" s="369" t="s">
        <v>337</v>
      </c>
      <c r="N34" s="370"/>
      <c r="O34" s="371"/>
    </row>
    <row r="35" spans="1:15" s="124" customFormat="1" ht="17.25" customHeight="1" x14ac:dyDescent="0.25">
      <c r="A35" s="261" t="s">
        <v>338</v>
      </c>
      <c r="B35" s="263"/>
      <c r="C35" s="127" t="s">
        <v>317</v>
      </c>
      <c r="D35" s="369">
        <v>12540</v>
      </c>
      <c r="E35" s="370"/>
      <c r="F35" s="371"/>
      <c r="G35" s="376">
        <v>13444</v>
      </c>
      <c r="H35" s="377"/>
      <c r="I35" s="378"/>
      <c r="J35" s="373">
        <v>12280</v>
      </c>
      <c r="K35" s="374"/>
      <c r="L35" s="375"/>
      <c r="M35" s="369">
        <v>10200</v>
      </c>
      <c r="N35" s="370"/>
      <c r="O35" s="371"/>
    </row>
    <row r="36" spans="1:15" s="124" customFormat="1" ht="17.25" customHeight="1" x14ac:dyDescent="0.25">
      <c r="A36" s="261" t="s">
        <v>339</v>
      </c>
      <c r="B36" s="263"/>
      <c r="C36" s="127" t="s">
        <v>317</v>
      </c>
      <c r="D36" s="369">
        <v>102.93</v>
      </c>
      <c r="E36" s="370"/>
      <c r="F36" s="371"/>
      <c r="G36" s="376">
        <v>55.4146</v>
      </c>
      <c r="H36" s="377"/>
      <c r="I36" s="378"/>
      <c r="J36" s="373">
        <v>153.29</v>
      </c>
      <c r="K36" s="374"/>
      <c r="L36" s="375"/>
      <c r="M36" s="369">
        <v>93.997399999999999</v>
      </c>
      <c r="N36" s="370"/>
      <c r="O36" s="371"/>
    </row>
    <row r="37" spans="1:15" s="124" customFormat="1" ht="17.25" customHeight="1" x14ac:dyDescent="0.25">
      <c r="A37" s="261" t="s">
        <v>340</v>
      </c>
      <c r="B37" s="263"/>
      <c r="C37" s="127" t="s">
        <v>317</v>
      </c>
      <c r="D37" s="369">
        <v>162.66800000000001</v>
      </c>
      <c r="E37" s="370"/>
      <c r="F37" s="371"/>
      <c r="G37" s="376">
        <v>90.876400000000004</v>
      </c>
      <c r="H37" s="377"/>
      <c r="I37" s="378"/>
      <c r="J37" s="373">
        <v>286.62700000000001</v>
      </c>
      <c r="K37" s="374"/>
      <c r="L37" s="375"/>
      <c r="M37" s="369">
        <v>228.631</v>
      </c>
      <c r="N37" s="370"/>
      <c r="O37" s="371"/>
    </row>
    <row r="38" spans="1:15" s="124" customFormat="1" ht="17.25" customHeight="1" x14ac:dyDescent="0.25">
      <c r="A38" s="261" t="s">
        <v>341</v>
      </c>
      <c r="B38" s="263"/>
      <c r="C38" s="127" t="s">
        <v>317</v>
      </c>
      <c r="D38" s="369">
        <v>4.70444</v>
      </c>
      <c r="E38" s="370"/>
      <c r="F38" s="371"/>
      <c r="G38" s="372">
        <v>1.52772</v>
      </c>
      <c r="H38" s="372"/>
      <c r="I38" s="372"/>
      <c r="J38" s="373">
        <v>7.1830699999999998</v>
      </c>
      <c r="K38" s="374"/>
      <c r="L38" s="375"/>
      <c r="M38" s="369">
        <v>3.7972800000000002</v>
      </c>
      <c r="N38" s="370"/>
      <c r="O38" s="371"/>
    </row>
    <row r="40" spans="1:15" ht="15" customHeight="1" x14ac:dyDescent="0.25">
      <c r="A40" s="258" t="s">
        <v>320</v>
      </c>
      <c r="B40" s="258"/>
      <c r="C40" s="258"/>
      <c r="D40" s="258"/>
      <c r="E40" s="258"/>
      <c r="F40" s="258"/>
      <c r="G40" s="258"/>
      <c r="H40" s="258"/>
      <c r="I40" s="258"/>
      <c r="J40" s="258"/>
      <c r="K40" s="258"/>
      <c r="L40" s="258"/>
      <c r="M40" s="258"/>
      <c r="N40" s="258"/>
      <c r="O40" s="258"/>
    </row>
    <row r="41" spans="1:15" ht="15" customHeight="1" x14ac:dyDescent="0.25">
      <c r="A41" s="360"/>
      <c r="B41" s="360"/>
      <c r="C41" s="360"/>
      <c r="D41" s="360"/>
      <c r="E41" s="360"/>
      <c r="F41" s="360"/>
      <c r="G41" s="360"/>
      <c r="H41" s="360"/>
      <c r="I41" s="360"/>
      <c r="J41" s="360"/>
      <c r="K41" s="360"/>
      <c r="L41" s="360"/>
      <c r="M41" s="360"/>
      <c r="N41" s="360"/>
      <c r="O41" s="360"/>
    </row>
    <row r="42" spans="1:15" x14ac:dyDescent="0.25">
      <c r="A42" s="360"/>
      <c r="B42" s="360"/>
      <c r="C42" s="360"/>
      <c r="D42" s="360"/>
      <c r="E42" s="360"/>
      <c r="F42" s="360"/>
      <c r="G42" s="360"/>
      <c r="H42" s="360"/>
      <c r="I42" s="360"/>
      <c r="J42" s="360"/>
      <c r="K42" s="360"/>
      <c r="L42" s="360"/>
      <c r="M42" s="360"/>
      <c r="N42" s="360"/>
      <c r="O42" s="360"/>
    </row>
    <row r="43" spans="1:15" x14ac:dyDescent="0.25">
      <c r="A43" s="360"/>
      <c r="B43" s="360"/>
      <c r="C43" s="360"/>
      <c r="D43" s="360"/>
      <c r="E43" s="360"/>
      <c r="F43" s="360"/>
      <c r="G43" s="360"/>
      <c r="H43" s="360"/>
      <c r="I43" s="360"/>
      <c r="J43" s="360"/>
      <c r="K43" s="360"/>
      <c r="L43" s="360"/>
      <c r="M43" s="360"/>
      <c r="N43" s="360"/>
      <c r="O43" s="360"/>
    </row>
    <row r="44" spans="1:15" x14ac:dyDescent="0.25">
      <c r="A44" s="360"/>
      <c r="B44" s="360"/>
      <c r="C44" s="360"/>
      <c r="D44" s="360"/>
      <c r="E44" s="360"/>
      <c r="F44" s="360"/>
      <c r="G44" s="360"/>
      <c r="H44" s="360"/>
      <c r="I44" s="360"/>
      <c r="J44" s="360"/>
      <c r="K44" s="360"/>
      <c r="L44" s="360"/>
      <c r="M44" s="360"/>
      <c r="N44" s="360"/>
      <c r="O44" s="360"/>
    </row>
    <row r="46" spans="1:15" ht="15" customHeight="1" x14ac:dyDescent="0.25">
      <c r="A46" s="361" t="s">
        <v>307</v>
      </c>
      <c r="B46" s="361"/>
      <c r="C46" s="361"/>
      <c r="D46" s="361"/>
      <c r="E46" s="361"/>
      <c r="F46" s="361"/>
      <c r="G46" s="361"/>
      <c r="H46" s="361"/>
      <c r="I46" s="361"/>
      <c r="J46" s="361"/>
      <c r="K46" s="361"/>
      <c r="L46" s="361"/>
      <c r="M46" s="361"/>
      <c r="N46" s="361"/>
      <c r="O46" s="361"/>
    </row>
    <row r="47" spans="1:15" x14ac:dyDescent="0.25">
      <c r="A47" s="362" t="s">
        <v>308</v>
      </c>
      <c r="B47" s="362"/>
      <c r="C47" s="312" t="s">
        <v>309</v>
      </c>
      <c r="D47" s="363" t="s">
        <v>310</v>
      </c>
      <c r="E47" s="363"/>
      <c r="F47" s="363"/>
      <c r="G47" s="363"/>
      <c r="H47" s="363"/>
      <c r="I47" s="363"/>
      <c r="J47" s="363"/>
      <c r="K47" s="363"/>
      <c r="L47" s="363"/>
      <c r="M47" s="363"/>
      <c r="N47" s="363"/>
      <c r="O47" s="363"/>
    </row>
    <row r="48" spans="1:15" ht="15" customHeight="1" x14ac:dyDescent="0.25">
      <c r="A48" s="362"/>
      <c r="B48" s="362"/>
      <c r="C48" s="312"/>
      <c r="D48" s="312" t="s">
        <v>311</v>
      </c>
      <c r="E48" s="312"/>
      <c r="F48" s="312"/>
      <c r="G48" s="312"/>
      <c r="H48" s="312"/>
      <c r="I48" s="312"/>
      <c r="J48" s="312"/>
      <c r="K48" s="312"/>
      <c r="L48" s="312"/>
      <c r="M48" s="312"/>
      <c r="N48" s="312"/>
      <c r="O48" s="312"/>
    </row>
    <row r="49" spans="1:19" ht="16.5" customHeight="1" x14ac:dyDescent="0.25">
      <c r="A49" s="362"/>
      <c r="B49" s="362"/>
      <c r="C49" s="312"/>
      <c r="D49" s="313" t="s">
        <v>74</v>
      </c>
      <c r="E49" s="364"/>
      <c r="F49" s="365"/>
      <c r="G49" s="366" t="s">
        <v>75</v>
      </c>
      <c r="H49" s="367"/>
      <c r="I49" s="368"/>
      <c r="J49" s="366" t="s">
        <v>76</v>
      </c>
      <c r="K49" s="367"/>
      <c r="L49" s="368"/>
      <c r="M49" s="313" t="s">
        <v>77</v>
      </c>
      <c r="N49" s="364"/>
      <c r="O49" s="365"/>
    </row>
    <row r="50" spans="1:19" ht="17.399999999999999" customHeight="1" x14ac:dyDescent="0.25">
      <c r="A50" s="358" t="s">
        <v>342</v>
      </c>
      <c r="B50" s="359"/>
      <c r="C50" s="125" t="s">
        <v>315</v>
      </c>
      <c r="D50" s="353">
        <v>1.7</v>
      </c>
      <c r="E50" s="354"/>
      <c r="F50" s="355"/>
      <c r="G50" s="353">
        <v>2</v>
      </c>
      <c r="H50" s="354"/>
      <c r="I50" s="355"/>
      <c r="J50" s="353">
        <v>2</v>
      </c>
      <c r="K50" s="354"/>
      <c r="L50" s="355"/>
      <c r="M50" s="353">
        <v>1.3</v>
      </c>
      <c r="N50" s="354"/>
      <c r="O50" s="355"/>
      <c r="Q50" s="124"/>
      <c r="R50" s="124"/>
    </row>
    <row r="51" spans="1:19" ht="17.399999999999999" customHeight="1" x14ac:dyDescent="0.25">
      <c r="A51" s="261" t="s">
        <v>325</v>
      </c>
      <c r="B51" s="263"/>
      <c r="C51" s="127" t="s">
        <v>317</v>
      </c>
      <c r="D51" s="353">
        <v>107</v>
      </c>
      <c r="E51" s="354"/>
      <c r="F51" s="355"/>
      <c r="G51" s="353">
        <v>275</v>
      </c>
      <c r="H51" s="354"/>
      <c r="I51" s="355"/>
      <c r="J51" s="353">
        <v>195</v>
      </c>
      <c r="K51" s="354"/>
      <c r="L51" s="355"/>
      <c r="M51" s="353">
        <v>336</v>
      </c>
      <c r="N51" s="354"/>
      <c r="O51" s="355"/>
      <c r="Q51" s="124"/>
      <c r="R51" s="124"/>
    </row>
    <row r="52" spans="1:19" ht="17.399999999999999" customHeight="1" x14ac:dyDescent="0.25">
      <c r="A52" s="261" t="s">
        <v>326</v>
      </c>
      <c r="B52" s="263"/>
      <c r="C52" s="127" t="s">
        <v>317</v>
      </c>
      <c r="D52" s="353">
        <v>7.32</v>
      </c>
      <c r="E52" s="354"/>
      <c r="F52" s="355"/>
      <c r="G52" s="353">
        <v>27.8</v>
      </c>
      <c r="H52" s="354"/>
      <c r="I52" s="355"/>
      <c r="J52" s="353">
        <v>16</v>
      </c>
      <c r="K52" s="354"/>
      <c r="L52" s="355"/>
      <c r="M52" s="353">
        <v>22.3</v>
      </c>
      <c r="N52" s="354"/>
      <c r="O52" s="355"/>
      <c r="Q52" s="124"/>
      <c r="R52" s="124"/>
    </row>
    <row r="53" spans="1:19" ht="17.399999999999999" customHeight="1" x14ac:dyDescent="0.25">
      <c r="A53" s="261" t="s">
        <v>327</v>
      </c>
      <c r="B53" s="263"/>
      <c r="C53" s="127" t="s">
        <v>317</v>
      </c>
      <c r="D53" s="353" t="s">
        <v>343</v>
      </c>
      <c r="E53" s="354"/>
      <c r="F53" s="355"/>
      <c r="G53" s="353" t="s">
        <v>343</v>
      </c>
      <c r="H53" s="354"/>
      <c r="I53" s="355"/>
      <c r="J53" s="353" t="s">
        <v>343</v>
      </c>
      <c r="K53" s="354"/>
      <c r="L53" s="355"/>
      <c r="M53" s="353" t="s">
        <v>343</v>
      </c>
      <c r="N53" s="354"/>
      <c r="O53" s="355"/>
      <c r="Q53" s="124"/>
      <c r="R53" s="124"/>
    </row>
    <row r="54" spans="1:19" ht="17.399999999999999" customHeight="1" x14ac:dyDescent="0.25">
      <c r="A54" s="261" t="s">
        <v>328</v>
      </c>
      <c r="B54" s="263"/>
      <c r="C54" s="127" t="s">
        <v>317</v>
      </c>
      <c r="D54" s="353" t="s">
        <v>344</v>
      </c>
      <c r="E54" s="354"/>
      <c r="F54" s="355"/>
      <c r="G54" s="353" t="s">
        <v>344</v>
      </c>
      <c r="H54" s="354"/>
      <c r="I54" s="355"/>
      <c r="J54" s="353" t="s">
        <v>344</v>
      </c>
      <c r="K54" s="354"/>
      <c r="L54" s="355"/>
      <c r="M54" s="353" t="s">
        <v>344</v>
      </c>
      <c r="N54" s="354"/>
      <c r="O54" s="355"/>
      <c r="Q54" s="124"/>
      <c r="R54" s="124"/>
    </row>
    <row r="55" spans="1:19" ht="17.399999999999999" customHeight="1" x14ac:dyDescent="0.25">
      <c r="A55" s="261" t="s">
        <v>329</v>
      </c>
      <c r="B55" s="263"/>
      <c r="C55" s="127" t="s">
        <v>317</v>
      </c>
      <c r="D55" s="353">
        <v>309.5</v>
      </c>
      <c r="E55" s="354"/>
      <c r="F55" s="355"/>
      <c r="G55" s="353">
        <v>757.5</v>
      </c>
      <c r="H55" s="354"/>
      <c r="I55" s="355"/>
      <c r="J55" s="353">
        <v>416.8</v>
      </c>
      <c r="K55" s="354"/>
      <c r="L55" s="355"/>
      <c r="M55" s="353">
        <v>359.3</v>
      </c>
      <c r="N55" s="354"/>
      <c r="O55" s="355"/>
      <c r="Q55" s="124"/>
      <c r="R55" s="124"/>
    </row>
    <row r="56" spans="1:19" ht="17.399999999999999" customHeight="1" x14ac:dyDescent="0.25">
      <c r="A56" s="261" t="s">
        <v>330</v>
      </c>
      <c r="B56" s="263"/>
      <c r="C56" s="127" t="s">
        <v>317</v>
      </c>
      <c r="D56" s="353">
        <v>79</v>
      </c>
      <c r="E56" s="354"/>
      <c r="F56" s="355"/>
      <c r="G56" s="353">
        <v>180</v>
      </c>
      <c r="H56" s="354"/>
      <c r="I56" s="355"/>
      <c r="J56" s="353">
        <v>97.4</v>
      </c>
      <c r="K56" s="354"/>
      <c r="L56" s="355"/>
      <c r="M56" s="353">
        <v>115</v>
      </c>
      <c r="N56" s="354"/>
      <c r="O56" s="355"/>
      <c r="Q56" s="124"/>
      <c r="R56" s="124"/>
    </row>
    <row r="57" spans="1:19" ht="17.399999999999999" customHeight="1" x14ac:dyDescent="0.25">
      <c r="A57" s="261" t="s">
        <v>331</v>
      </c>
      <c r="B57" s="263"/>
      <c r="C57" s="127" t="s">
        <v>317</v>
      </c>
      <c r="D57" s="353">
        <v>1849</v>
      </c>
      <c r="E57" s="354"/>
      <c r="F57" s="355"/>
      <c r="G57" s="353">
        <v>1767.5</v>
      </c>
      <c r="H57" s="354"/>
      <c r="I57" s="355"/>
      <c r="J57" s="353">
        <v>1599.6</v>
      </c>
      <c r="K57" s="354"/>
      <c r="L57" s="355"/>
      <c r="M57" s="353">
        <v>1011.5</v>
      </c>
      <c r="N57" s="354"/>
      <c r="O57" s="355"/>
      <c r="Q57" s="124"/>
      <c r="R57" s="124"/>
    </row>
    <row r="58" spans="1:19" ht="17.399999999999999" customHeight="1" x14ac:dyDescent="0.25">
      <c r="A58" s="261" t="s">
        <v>332</v>
      </c>
      <c r="B58" s="263"/>
      <c r="C58" s="127" t="s">
        <v>317</v>
      </c>
      <c r="D58" s="353">
        <v>740</v>
      </c>
      <c r="E58" s="354"/>
      <c r="F58" s="355"/>
      <c r="G58" s="353">
        <v>1100</v>
      </c>
      <c r="H58" s="354"/>
      <c r="I58" s="355"/>
      <c r="J58" s="353">
        <v>780</v>
      </c>
      <c r="K58" s="354"/>
      <c r="L58" s="355"/>
      <c r="M58" s="353">
        <v>877</v>
      </c>
      <c r="N58" s="354"/>
      <c r="O58" s="355"/>
      <c r="Q58" s="124"/>
      <c r="R58" s="124"/>
    </row>
    <row r="59" spans="1:19" ht="17.399999999999999" customHeight="1" x14ac:dyDescent="0.25">
      <c r="A59" s="261" t="s">
        <v>333</v>
      </c>
      <c r="B59" s="263"/>
      <c r="C59" s="127" t="s">
        <v>317</v>
      </c>
      <c r="D59" s="353">
        <v>76</v>
      </c>
      <c r="E59" s="354"/>
      <c r="F59" s="355"/>
      <c r="G59" s="353">
        <v>106.4</v>
      </c>
      <c r="H59" s="354"/>
      <c r="I59" s="355"/>
      <c r="J59" s="353">
        <v>85.3</v>
      </c>
      <c r="K59" s="354"/>
      <c r="L59" s="355"/>
      <c r="M59" s="353">
        <v>62.1</v>
      </c>
      <c r="N59" s="354"/>
      <c r="O59" s="355"/>
      <c r="Q59" s="124"/>
      <c r="R59" s="124"/>
    </row>
    <row r="60" spans="1:19" ht="17.399999999999999" customHeight="1" x14ac:dyDescent="0.25">
      <c r="A60" s="261" t="s">
        <v>334</v>
      </c>
      <c r="B60" s="263"/>
      <c r="C60" s="127" t="s">
        <v>317</v>
      </c>
      <c r="D60" s="353">
        <v>8.1999999999999993</v>
      </c>
      <c r="E60" s="354"/>
      <c r="F60" s="355"/>
      <c r="G60" s="353">
        <v>24.2</v>
      </c>
      <c r="H60" s="354"/>
      <c r="I60" s="355"/>
      <c r="J60" s="353">
        <v>16.899999999999999</v>
      </c>
      <c r="K60" s="354"/>
      <c r="L60" s="355"/>
      <c r="M60" s="353">
        <v>24.4</v>
      </c>
      <c r="N60" s="354"/>
      <c r="O60" s="355"/>
      <c r="Q60" s="124"/>
      <c r="R60" s="124"/>
    </row>
    <row r="61" spans="1:19" ht="17.399999999999999" customHeight="1" x14ac:dyDescent="0.25">
      <c r="A61" s="261" t="s">
        <v>335</v>
      </c>
      <c r="B61" s="263"/>
      <c r="C61" s="127" t="s">
        <v>317</v>
      </c>
      <c r="D61" s="353">
        <v>50.7</v>
      </c>
      <c r="E61" s="354"/>
      <c r="F61" s="355"/>
      <c r="G61" s="353">
        <v>119</v>
      </c>
      <c r="H61" s="354"/>
      <c r="I61" s="355"/>
      <c r="J61" s="353">
        <v>86.5</v>
      </c>
      <c r="K61" s="354"/>
      <c r="L61" s="355"/>
      <c r="M61" s="353">
        <v>38.4</v>
      </c>
      <c r="N61" s="354"/>
      <c r="O61" s="355"/>
      <c r="Q61" s="124"/>
      <c r="R61" s="124"/>
    </row>
    <row r="62" spans="1:19" ht="17.399999999999999" customHeight="1" x14ac:dyDescent="0.25">
      <c r="A62" s="261" t="s">
        <v>336</v>
      </c>
      <c r="B62" s="263"/>
      <c r="C62" s="127" t="s">
        <v>317</v>
      </c>
      <c r="D62" s="353">
        <v>21.6</v>
      </c>
      <c r="E62" s="354"/>
      <c r="F62" s="355"/>
      <c r="G62" s="353">
        <v>38.5</v>
      </c>
      <c r="H62" s="354"/>
      <c r="I62" s="355"/>
      <c r="J62" s="353">
        <v>28.5</v>
      </c>
      <c r="K62" s="354"/>
      <c r="L62" s="355"/>
      <c r="M62" s="353">
        <v>29.4</v>
      </c>
      <c r="N62" s="354"/>
      <c r="O62" s="355"/>
      <c r="Q62" s="124"/>
      <c r="R62" s="124"/>
      <c r="S62" s="92" t="s">
        <v>345</v>
      </c>
    </row>
    <row r="63" spans="1:19" ht="17.399999999999999" customHeight="1" x14ac:dyDescent="0.25">
      <c r="A63" s="261" t="s">
        <v>338</v>
      </c>
      <c r="B63" s="263"/>
      <c r="C63" s="127" t="s">
        <v>317</v>
      </c>
      <c r="D63" s="353">
        <v>2286.6999999999998</v>
      </c>
      <c r="E63" s="354"/>
      <c r="F63" s="355"/>
      <c r="G63" s="353">
        <v>3724.6</v>
      </c>
      <c r="H63" s="354"/>
      <c r="I63" s="355"/>
      <c r="J63" s="353">
        <v>3271.2</v>
      </c>
      <c r="K63" s="354"/>
      <c r="L63" s="355"/>
      <c r="M63" s="353">
        <v>3428</v>
      </c>
      <c r="N63" s="354"/>
      <c r="O63" s="355"/>
      <c r="Q63" s="124"/>
      <c r="R63" s="124"/>
    </row>
    <row r="64" spans="1:19" ht="17.399999999999999" customHeight="1" x14ac:dyDescent="0.25">
      <c r="A64" s="261" t="s">
        <v>339</v>
      </c>
      <c r="B64" s="263"/>
      <c r="C64" s="127" t="s">
        <v>317</v>
      </c>
      <c r="D64" s="353">
        <v>0.76509000000000005</v>
      </c>
      <c r="E64" s="354"/>
      <c r="F64" s="355"/>
      <c r="G64" s="353">
        <v>0.6401</v>
      </c>
      <c r="H64" s="354"/>
      <c r="I64" s="355"/>
      <c r="J64" s="353">
        <v>5.3586999999999998</v>
      </c>
      <c r="K64" s="354"/>
      <c r="L64" s="355"/>
      <c r="M64" s="353">
        <v>3.9801000000000002</v>
      </c>
      <c r="N64" s="354"/>
      <c r="O64" s="355"/>
      <c r="Q64" s="124"/>
      <c r="R64" s="124"/>
    </row>
    <row r="65" spans="1:18" ht="17.399999999999999" customHeight="1" x14ac:dyDescent="0.25">
      <c r="A65" s="261" t="s">
        <v>340</v>
      </c>
      <c r="B65" s="263"/>
      <c r="C65" s="127" t="s">
        <v>317</v>
      </c>
      <c r="D65" s="353">
        <v>3.06874</v>
      </c>
      <c r="E65" s="354"/>
      <c r="F65" s="355"/>
      <c r="G65" s="353">
        <v>2.35215</v>
      </c>
      <c r="H65" s="354"/>
      <c r="I65" s="355"/>
      <c r="J65" s="353">
        <v>8.3459000000000003</v>
      </c>
      <c r="K65" s="354"/>
      <c r="L65" s="355"/>
      <c r="M65" s="353">
        <v>6.1031000000000004</v>
      </c>
      <c r="N65" s="354"/>
      <c r="O65" s="355"/>
      <c r="Q65" s="124"/>
      <c r="R65" s="124"/>
    </row>
    <row r="66" spans="1:18" ht="17.399999999999999" customHeight="1" x14ac:dyDescent="0.25">
      <c r="A66" s="261" t="s">
        <v>346</v>
      </c>
      <c r="B66" s="263"/>
      <c r="C66" s="127" t="s">
        <v>317</v>
      </c>
      <c r="D66" s="353">
        <v>0.79081000000000001</v>
      </c>
      <c r="E66" s="354"/>
      <c r="F66" s="355"/>
      <c r="G66" s="353">
        <v>5.7799999999999997E-2</v>
      </c>
      <c r="H66" s="354"/>
      <c r="I66" s="355"/>
      <c r="J66" s="353">
        <v>0.25063999999999997</v>
      </c>
      <c r="K66" s="354"/>
      <c r="L66" s="355"/>
      <c r="M66" s="353">
        <v>0.27244000000000002</v>
      </c>
      <c r="N66" s="354"/>
      <c r="O66" s="355"/>
      <c r="Q66" s="124"/>
      <c r="R66" s="124"/>
    </row>
    <row r="67" spans="1:18" ht="48.75" customHeight="1" x14ac:dyDescent="0.25">
      <c r="A67" s="356"/>
      <c r="B67" s="357"/>
      <c r="C67" s="357"/>
      <c r="D67" s="357"/>
      <c r="E67" s="357"/>
      <c r="F67" s="357"/>
      <c r="G67" s="357"/>
      <c r="H67" s="357"/>
      <c r="I67" s="357"/>
      <c r="J67" s="357"/>
      <c r="K67" s="357"/>
      <c r="L67" s="357"/>
      <c r="M67" s="357"/>
      <c r="N67" s="357"/>
      <c r="O67" s="357"/>
    </row>
    <row r="68" spans="1:18" ht="15" customHeight="1" x14ac:dyDescent="0.25">
      <c r="A68" s="258"/>
      <c r="B68" s="258"/>
      <c r="C68" s="258"/>
      <c r="D68" s="258"/>
      <c r="E68" s="258"/>
      <c r="F68" s="258"/>
      <c r="G68" s="258"/>
      <c r="H68" s="258"/>
      <c r="I68" s="258"/>
      <c r="J68" s="258"/>
      <c r="K68" s="258"/>
      <c r="L68" s="258"/>
      <c r="M68" s="258"/>
      <c r="N68" s="258"/>
      <c r="O68" s="258"/>
    </row>
    <row r="69" spans="1:18" x14ac:dyDescent="0.25">
      <c r="A69" s="346"/>
      <c r="B69" s="346"/>
      <c r="C69" s="346"/>
      <c r="D69" s="346"/>
      <c r="E69" s="346"/>
      <c r="F69" s="346"/>
      <c r="G69" s="346"/>
      <c r="H69" s="346"/>
      <c r="I69" s="346"/>
      <c r="J69" s="346"/>
      <c r="K69" s="346"/>
      <c r="L69" s="346"/>
      <c r="M69" s="346"/>
      <c r="N69" s="346"/>
      <c r="O69" s="346"/>
    </row>
    <row r="70" spans="1:18" x14ac:dyDescent="0.25">
      <c r="A70" s="346"/>
      <c r="B70" s="346"/>
      <c r="C70" s="346"/>
      <c r="D70" s="346"/>
      <c r="E70" s="346"/>
      <c r="F70" s="346"/>
      <c r="G70" s="346"/>
      <c r="H70" s="346"/>
      <c r="I70" s="346"/>
      <c r="J70" s="346"/>
      <c r="K70" s="346"/>
      <c r="L70" s="346"/>
      <c r="M70" s="346"/>
      <c r="N70" s="346"/>
      <c r="O70" s="346"/>
    </row>
    <row r="71" spans="1:18" x14ac:dyDescent="0.25">
      <c r="A71" s="346"/>
      <c r="B71" s="346"/>
      <c r="C71" s="346"/>
      <c r="D71" s="346"/>
      <c r="E71" s="346"/>
      <c r="F71" s="346"/>
      <c r="G71" s="346"/>
      <c r="H71" s="346"/>
      <c r="I71" s="346"/>
      <c r="J71" s="346"/>
      <c r="K71" s="346"/>
      <c r="L71" s="346"/>
      <c r="M71" s="346"/>
      <c r="N71" s="346"/>
      <c r="O71" s="346"/>
    </row>
  </sheetData>
  <mergeCells count="198">
    <mergeCell ref="A5:O5"/>
    <mergeCell ref="A6:O7"/>
    <mergeCell ref="A8:O9"/>
    <mergeCell ref="A10:O10"/>
    <mergeCell ref="A12:O12"/>
    <mergeCell ref="A13:B13"/>
    <mergeCell ref="C13:O13"/>
    <mergeCell ref="M21:O21"/>
    <mergeCell ref="A22:B22"/>
    <mergeCell ref="A23:B23"/>
    <mergeCell ref="D23:F23"/>
    <mergeCell ref="G23:I23"/>
    <mergeCell ref="J23:L23"/>
    <mergeCell ref="M23:O23"/>
    <mergeCell ref="A14:B15"/>
    <mergeCell ref="C14:O15"/>
    <mergeCell ref="A18:O18"/>
    <mergeCell ref="A19:B21"/>
    <mergeCell ref="C19:C21"/>
    <mergeCell ref="D19:O19"/>
    <mergeCell ref="D20:O20"/>
    <mergeCell ref="D21:F21"/>
    <mergeCell ref="G21:I21"/>
    <mergeCell ref="J21:L21"/>
    <mergeCell ref="A24:B24"/>
    <mergeCell ref="D24:F24"/>
    <mergeCell ref="G24:I24"/>
    <mergeCell ref="J24:L24"/>
    <mergeCell ref="M24:O24"/>
    <mergeCell ref="A25:B25"/>
    <mergeCell ref="D25:F25"/>
    <mergeCell ref="G25:I25"/>
    <mergeCell ref="J25:L25"/>
    <mergeCell ref="M25:O25"/>
    <mergeCell ref="A26:B26"/>
    <mergeCell ref="D26:F26"/>
    <mergeCell ref="G26:I26"/>
    <mergeCell ref="J26:L26"/>
    <mergeCell ref="M26:O26"/>
    <mergeCell ref="A27:B27"/>
    <mergeCell ref="D27:F27"/>
    <mergeCell ref="G27:I27"/>
    <mergeCell ref="J27:L27"/>
    <mergeCell ref="M27:O27"/>
    <mergeCell ref="A28:B28"/>
    <mergeCell ref="D28:F28"/>
    <mergeCell ref="G28:I28"/>
    <mergeCell ref="J28:L28"/>
    <mergeCell ref="M28:O28"/>
    <mergeCell ref="A29:B29"/>
    <mergeCell ref="D29:F29"/>
    <mergeCell ref="G29:I29"/>
    <mergeCell ref="J29:L29"/>
    <mergeCell ref="M29:O29"/>
    <mergeCell ref="A30:B30"/>
    <mergeCell ref="D30:F30"/>
    <mergeCell ref="G30:I30"/>
    <mergeCell ref="J30:L30"/>
    <mergeCell ref="M30:O30"/>
    <mergeCell ref="A31:B31"/>
    <mergeCell ref="D31:F31"/>
    <mergeCell ref="G31:I31"/>
    <mergeCell ref="J31:L31"/>
    <mergeCell ref="M31:O31"/>
    <mergeCell ref="A32:B32"/>
    <mergeCell ref="D32:F32"/>
    <mergeCell ref="G32:I32"/>
    <mergeCell ref="J32:L32"/>
    <mergeCell ref="M32:O32"/>
    <mergeCell ref="A33:B33"/>
    <mergeCell ref="D33:F33"/>
    <mergeCell ref="G33:I33"/>
    <mergeCell ref="J33:L33"/>
    <mergeCell ref="M33:O33"/>
    <mergeCell ref="A34:B34"/>
    <mergeCell ref="D34:F34"/>
    <mergeCell ref="G34:I34"/>
    <mergeCell ref="J34:L34"/>
    <mergeCell ref="M34:O34"/>
    <mergeCell ref="A35:B35"/>
    <mergeCell ref="D35:F35"/>
    <mergeCell ref="G35:I35"/>
    <mergeCell ref="J35:L35"/>
    <mergeCell ref="M35:O35"/>
    <mergeCell ref="A38:B38"/>
    <mergeCell ref="D38:F38"/>
    <mergeCell ref="G38:I38"/>
    <mergeCell ref="J38:L38"/>
    <mergeCell ref="M38:O38"/>
    <mergeCell ref="A40:O40"/>
    <mergeCell ref="A36:B36"/>
    <mergeCell ref="D36:F36"/>
    <mergeCell ref="G36:I36"/>
    <mergeCell ref="J36:L36"/>
    <mergeCell ref="M36:O36"/>
    <mergeCell ref="A37:B37"/>
    <mergeCell ref="D37:F37"/>
    <mergeCell ref="G37:I37"/>
    <mergeCell ref="J37:L37"/>
    <mergeCell ref="M37:O37"/>
    <mergeCell ref="A41:O44"/>
    <mergeCell ref="A46:O46"/>
    <mergeCell ref="A47:B49"/>
    <mergeCell ref="C47:C49"/>
    <mergeCell ref="D47:O47"/>
    <mergeCell ref="D48:O48"/>
    <mergeCell ref="D49:F49"/>
    <mergeCell ref="G49:I49"/>
    <mergeCell ref="J49:L49"/>
    <mergeCell ref="M49:O49"/>
    <mergeCell ref="A50:B50"/>
    <mergeCell ref="D50:F50"/>
    <mergeCell ref="G50:I50"/>
    <mergeCell ref="J50:L50"/>
    <mergeCell ref="M50:O50"/>
    <mergeCell ref="A51:B51"/>
    <mergeCell ref="D51:F51"/>
    <mergeCell ref="G51:I51"/>
    <mergeCell ref="J51:L51"/>
    <mergeCell ref="M51:O51"/>
    <mergeCell ref="A52:B52"/>
    <mergeCell ref="D52:F52"/>
    <mergeCell ref="G52:I52"/>
    <mergeCell ref="J52:L52"/>
    <mergeCell ref="M52:O52"/>
    <mergeCell ref="A53:B53"/>
    <mergeCell ref="D53:F53"/>
    <mergeCell ref="G53:I53"/>
    <mergeCell ref="J53:L53"/>
    <mergeCell ref="M53:O53"/>
    <mergeCell ref="A54:B54"/>
    <mergeCell ref="D54:F54"/>
    <mergeCell ref="G54:I54"/>
    <mergeCell ref="J54:L54"/>
    <mergeCell ref="M54:O54"/>
    <mergeCell ref="A55:B55"/>
    <mergeCell ref="D55:F55"/>
    <mergeCell ref="G55:I55"/>
    <mergeCell ref="J55:L55"/>
    <mergeCell ref="M55:O55"/>
    <mergeCell ref="A56:B56"/>
    <mergeCell ref="D56:F56"/>
    <mergeCell ref="G56:I56"/>
    <mergeCell ref="J56:L56"/>
    <mergeCell ref="M56:O56"/>
    <mergeCell ref="A57:B57"/>
    <mergeCell ref="D57:F57"/>
    <mergeCell ref="G57:I57"/>
    <mergeCell ref="J57:L57"/>
    <mergeCell ref="M57:O57"/>
    <mergeCell ref="A58:B58"/>
    <mergeCell ref="D58:F58"/>
    <mergeCell ref="G58:I58"/>
    <mergeCell ref="J58:L58"/>
    <mergeCell ref="M58:O58"/>
    <mergeCell ref="A59:B59"/>
    <mergeCell ref="D59:F59"/>
    <mergeCell ref="G59:I59"/>
    <mergeCell ref="J59:L59"/>
    <mergeCell ref="M59:O59"/>
    <mergeCell ref="A60:B60"/>
    <mergeCell ref="D60:F60"/>
    <mergeCell ref="G60:I60"/>
    <mergeCell ref="J60:L60"/>
    <mergeCell ref="M60:O60"/>
    <mergeCell ref="A61:B61"/>
    <mergeCell ref="D61:F61"/>
    <mergeCell ref="G61:I61"/>
    <mergeCell ref="J61:L61"/>
    <mergeCell ref="M61:O61"/>
    <mergeCell ref="A62:B62"/>
    <mergeCell ref="D62:F62"/>
    <mergeCell ref="G62:I62"/>
    <mergeCell ref="J62:L62"/>
    <mergeCell ref="M62:O62"/>
    <mergeCell ref="A63:B63"/>
    <mergeCell ref="D63:F63"/>
    <mergeCell ref="G63:I63"/>
    <mergeCell ref="J63:L63"/>
    <mergeCell ref="M63:O63"/>
    <mergeCell ref="A68:O68"/>
    <mergeCell ref="A69:O71"/>
    <mergeCell ref="A66:B66"/>
    <mergeCell ref="D66:F66"/>
    <mergeCell ref="G66:I66"/>
    <mergeCell ref="J66:L66"/>
    <mergeCell ref="M66:O66"/>
    <mergeCell ref="A67:O67"/>
    <mergeCell ref="A64:B64"/>
    <mergeCell ref="D64:F64"/>
    <mergeCell ref="G64:I64"/>
    <mergeCell ref="J64:L64"/>
    <mergeCell ref="M64:O64"/>
    <mergeCell ref="A65:B65"/>
    <mergeCell ref="D65:F65"/>
    <mergeCell ref="G65:I65"/>
    <mergeCell ref="J65:L65"/>
    <mergeCell ref="M65:O65"/>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I59"/>
  <sheetViews>
    <sheetView topLeftCell="A6" workbookViewId="0">
      <selection activeCell="A24" sqref="A24:C24"/>
    </sheetView>
  </sheetViews>
  <sheetFormatPr defaultColWidth="9.33203125" defaultRowHeight="15" x14ac:dyDescent="0.25"/>
  <cols>
    <col min="1" max="1" width="9.33203125" style="2" customWidth="1"/>
    <col min="2" max="2" width="14.5546875" style="2" bestFit="1" customWidth="1"/>
    <col min="3" max="8" width="9.33203125" style="2"/>
    <col min="9" max="9" width="11.5546875" style="2" customWidth="1"/>
    <col min="10" max="16384" width="9.33203125" style="2"/>
  </cols>
  <sheetData>
    <row r="1" spans="1:9" x14ac:dyDescent="0.25">
      <c r="A1" s="92" t="str">
        <f>+'Cover Page'!$B$29</f>
        <v>Annual Performance Report 2022</v>
      </c>
      <c r="B1" s="92"/>
      <c r="C1" s="92"/>
      <c r="D1" s="92"/>
      <c r="E1" s="92" t="str">
        <f>+'Cover Page'!$B$33</f>
        <v>Beddington Energy Recovery Facility</v>
      </c>
      <c r="F1" s="92"/>
      <c r="G1" s="92"/>
      <c r="H1" s="92"/>
      <c r="I1" s="92"/>
    </row>
    <row r="3" spans="1:9" ht="15.6" x14ac:dyDescent="0.3">
      <c r="A3" s="1" t="s">
        <v>39</v>
      </c>
      <c r="B3" s="92"/>
      <c r="C3" s="92"/>
      <c r="D3" s="92"/>
      <c r="E3" s="92"/>
      <c r="F3" s="92"/>
      <c r="G3" s="92"/>
      <c r="H3" s="92"/>
      <c r="I3" s="92"/>
    </row>
    <row r="4" spans="1:9" ht="15.6" x14ac:dyDescent="0.3">
      <c r="A4" s="1"/>
      <c r="B4" s="92"/>
      <c r="C4" s="92"/>
      <c r="D4" s="92"/>
      <c r="E4" s="92"/>
      <c r="F4" s="92"/>
      <c r="G4" s="92"/>
      <c r="H4" s="92"/>
      <c r="I4" s="92"/>
    </row>
    <row r="5" spans="1:9" s="3" customFormat="1" ht="21.75" customHeight="1" x14ac:dyDescent="0.25">
      <c r="A5" s="48" t="s">
        <v>301</v>
      </c>
      <c r="B5" s="49"/>
      <c r="C5" s="49"/>
      <c r="D5" s="49"/>
      <c r="E5" s="49"/>
      <c r="F5" s="49"/>
      <c r="G5" s="49"/>
      <c r="H5" s="49"/>
      <c r="I5" s="50"/>
    </row>
    <row r="6" spans="1:9" s="3" customFormat="1" ht="15.75" customHeight="1" x14ac:dyDescent="0.25">
      <c r="A6" s="336" t="s">
        <v>347</v>
      </c>
      <c r="B6" s="239"/>
      <c r="C6" s="239"/>
      <c r="D6" s="239"/>
      <c r="E6" s="239"/>
      <c r="F6" s="239"/>
      <c r="G6" s="239"/>
      <c r="H6" s="239"/>
      <c r="I6" s="240"/>
    </row>
    <row r="7" spans="1:9" s="3" customFormat="1" ht="15.75" customHeight="1" x14ac:dyDescent="0.25">
      <c r="A7" s="244"/>
      <c r="B7" s="245"/>
      <c r="C7" s="245"/>
      <c r="D7" s="245"/>
      <c r="E7" s="245"/>
      <c r="F7" s="245"/>
      <c r="G7" s="245"/>
      <c r="H7" s="245"/>
      <c r="I7" s="246"/>
    </row>
    <row r="8" spans="1:9" s="3" customFormat="1" ht="15.75" customHeight="1" x14ac:dyDescent="0.25">
      <c r="A8" s="230"/>
      <c r="B8" s="231"/>
      <c r="C8" s="231"/>
      <c r="D8" s="231"/>
      <c r="E8" s="231"/>
      <c r="F8" s="231"/>
      <c r="G8" s="231"/>
      <c r="H8" s="231"/>
      <c r="I8" s="232"/>
    </row>
    <row r="9" spans="1:9" s="3" customFormat="1" ht="15.75" customHeight="1" x14ac:dyDescent="0.25">
      <c r="A9" s="236"/>
      <c r="B9" s="237"/>
      <c r="C9" s="237"/>
      <c r="D9" s="237"/>
      <c r="E9" s="237"/>
      <c r="F9" s="237"/>
      <c r="G9" s="237"/>
      <c r="H9" s="237"/>
      <c r="I9" s="238"/>
    </row>
    <row r="10" spans="1:9" s="3" customFormat="1" ht="15.75" customHeight="1" x14ac:dyDescent="0.25">
      <c r="A10" s="230"/>
      <c r="B10" s="231"/>
      <c r="C10" s="231"/>
      <c r="D10" s="231"/>
      <c r="E10" s="231"/>
      <c r="F10" s="231"/>
      <c r="G10" s="231"/>
      <c r="H10" s="231"/>
      <c r="I10" s="232"/>
    </row>
    <row r="11" spans="1:9" s="3" customFormat="1" ht="15.75" customHeight="1" x14ac:dyDescent="0.25">
      <c r="A11" s="236"/>
      <c r="B11" s="237"/>
      <c r="C11" s="237"/>
      <c r="D11" s="237"/>
      <c r="E11" s="237"/>
      <c r="F11" s="237"/>
      <c r="G11" s="237"/>
      <c r="H11" s="237"/>
      <c r="I11" s="238"/>
    </row>
    <row r="12" spans="1:9" s="3" customFormat="1" ht="13.8" x14ac:dyDescent="0.25"/>
    <row r="13" spans="1:9" s="47" customFormat="1" ht="33.75" customHeight="1" x14ac:dyDescent="0.3">
      <c r="A13" s="330" t="s">
        <v>304</v>
      </c>
      <c r="B13" s="331"/>
      <c r="C13" s="331"/>
      <c r="D13" s="331"/>
      <c r="E13" s="331"/>
      <c r="F13" s="331"/>
      <c r="G13" s="331"/>
      <c r="H13" s="331"/>
      <c r="I13" s="332"/>
    </row>
    <row r="14" spans="1:9" ht="15.75" customHeight="1" x14ac:dyDescent="0.25">
      <c r="A14" s="333" t="s">
        <v>305</v>
      </c>
      <c r="B14" s="335"/>
      <c r="C14" s="333" t="s">
        <v>268</v>
      </c>
      <c r="D14" s="334"/>
      <c r="E14" s="334"/>
      <c r="F14" s="334"/>
      <c r="G14" s="334"/>
      <c r="H14" s="334"/>
      <c r="I14" s="334"/>
    </row>
    <row r="15" spans="1:9" ht="15.75" customHeight="1" x14ac:dyDescent="0.25">
      <c r="A15" s="230"/>
      <c r="B15" s="232"/>
      <c r="C15" s="336"/>
      <c r="D15" s="239"/>
      <c r="E15" s="239"/>
      <c r="F15" s="239"/>
      <c r="G15" s="239"/>
      <c r="H15" s="239"/>
      <c r="I15" s="240"/>
    </row>
    <row r="16" spans="1:9" ht="15.75" customHeight="1" x14ac:dyDescent="0.25">
      <c r="A16" s="236"/>
      <c r="B16" s="238"/>
      <c r="C16" s="244"/>
      <c r="D16" s="245"/>
      <c r="E16" s="245"/>
      <c r="F16" s="245"/>
      <c r="G16" s="245"/>
      <c r="H16" s="245"/>
      <c r="I16" s="246"/>
    </row>
    <row r="17" spans="1:9" ht="15.75" customHeight="1" x14ac:dyDescent="0.25">
      <c r="A17" s="336"/>
      <c r="B17" s="240"/>
      <c r="C17" s="336"/>
      <c r="D17" s="239"/>
      <c r="E17" s="239"/>
      <c r="F17" s="239"/>
      <c r="G17" s="239"/>
      <c r="H17" s="239"/>
      <c r="I17" s="240"/>
    </row>
    <row r="18" spans="1:9" ht="15.75" customHeight="1" x14ac:dyDescent="0.25">
      <c r="A18" s="244"/>
      <c r="B18" s="246"/>
      <c r="C18" s="244"/>
      <c r="D18" s="245"/>
      <c r="E18" s="245"/>
      <c r="F18" s="245"/>
      <c r="G18" s="245"/>
      <c r="H18" s="245"/>
      <c r="I18" s="246"/>
    </row>
    <row r="19" spans="1:9" ht="15.75" customHeight="1" x14ac:dyDescent="0.25">
      <c r="A19" s="336"/>
      <c r="B19" s="240"/>
      <c r="C19" s="336"/>
      <c r="D19" s="239"/>
      <c r="E19" s="239"/>
      <c r="F19" s="239"/>
      <c r="G19" s="239"/>
      <c r="H19" s="239"/>
      <c r="I19" s="240"/>
    </row>
    <row r="20" spans="1:9" ht="15.75" customHeight="1" x14ac:dyDescent="0.25">
      <c r="A20" s="244"/>
      <c r="B20" s="246"/>
      <c r="C20" s="244"/>
      <c r="D20" s="245"/>
      <c r="E20" s="245"/>
      <c r="F20" s="245"/>
      <c r="G20" s="245"/>
      <c r="H20" s="245"/>
      <c r="I20" s="246"/>
    </row>
    <row r="22" spans="1:9" ht="22.5" customHeight="1" x14ac:dyDescent="0.25">
      <c r="A22" s="395" t="s">
        <v>348</v>
      </c>
      <c r="B22" s="396"/>
      <c r="C22" s="396"/>
      <c r="D22" s="396"/>
      <c r="E22" s="396"/>
      <c r="F22" s="396"/>
      <c r="G22" s="396"/>
      <c r="H22" s="396"/>
      <c r="I22" s="396"/>
    </row>
    <row r="23" spans="1:9" ht="19.5" customHeight="1" x14ac:dyDescent="0.25">
      <c r="A23" s="397" t="s">
        <v>191</v>
      </c>
      <c r="B23" s="398"/>
      <c r="C23" s="399"/>
      <c r="D23" s="366" t="s">
        <v>349</v>
      </c>
      <c r="E23" s="368"/>
      <c r="F23" s="54" t="s">
        <v>309</v>
      </c>
      <c r="G23" s="54" t="s">
        <v>350</v>
      </c>
      <c r="H23" s="54" t="s">
        <v>351</v>
      </c>
      <c r="I23" s="54" t="s">
        <v>352</v>
      </c>
    </row>
    <row r="24" spans="1:9" ht="26.4" x14ac:dyDescent="0.25">
      <c r="A24" s="392" t="s">
        <v>353</v>
      </c>
      <c r="B24" s="393"/>
      <c r="C24" s="394"/>
      <c r="D24" s="392"/>
      <c r="E24" s="394"/>
      <c r="F24" s="130" t="s">
        <v>354</v>
      </c>
      <c r="G24" s="130"/>
      <c r="H24" s="130"/>
      <c r="I24" s="130"/>
    </row>
    <row r="25" spans="1:9" x14ac:dyDescent="0.25">
      <c r="A25" s="124"/>
      <c r="B25" s="124"/>
      <c r="C25" s="124"/>
      <c r="D25" s="124"/>
      <c r="E25" s="124"/>
      <c r="F25" s="124"/>
      <c r="G25" s="124"/>
      <c r="H25" s="124"/>
      <c r="I25" s="124"/>
    </row>
    <row r="26" spans="1:9" x14ac:dyDescent="0.25">
      <c r="A26" s="124"/>
      <c r="B26" s="124"/>
      <c r="C26" s="124"/>
      <c r="D26" s="124"/>
      <c r="E26" s="124"/>
      <c r="F26" s="124"/>
      <c r="G26" s="124"/>
      <c r="H26" s="124"/>
      <c r="I26" s="124"/>
    </row>
    <row r="59" spans="5:5" x14ac:dyDescent="0.25">
      <c r="E59" s="3"/>
    </row>
  </sheetData>
  <mergeCells count="17">
    <mergeCell ref="A6:I7"/>
    <mergeCell ref="A8:I9"/>
    <mergeCell ref="A10:I11"/>
    <mergeCell ref="A13:I13"/>
    <mergeCell ref="A14:B14"/>
    <mergeCell ref="C14:I14"/>
    <mergeCell ref="A15:B16"/>
    <mergeCell ref="C15:I16"/>
    <mergeCell ref="A17:B18"/>
    <mergeCell ref="C17:I18"/>
    <mergeCell ref="A19:B20"/>
    <mergeCell ref="C19:I20"/>
    <mergeCell ref="A24:C24"/>
    <mergeCell ref="D24:E24"/>
    <mergeCell ref="A22:I22"/>
    <mergeCell ref="A23:C23"/>
    <mergeCell ref="D23:E23"/>
  </mergeCells>
  <pageMargins left="0.7" right="0.7" top="0.75" bottom="0.75" header="0.3" footer="0.3"/>
  <pageSetup paperSize="9" scale="87" orientation="portrait"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O64"/>
  <sheetViews>
    <sheetView topLeftCell="A24" workbookViewId="0">
      <selection activeCell="P41" sqref="P41"/>
    </sheetView>
  </sheetViews>
  <sheetFormatPr defaultColWidth="9.33203125" defaultRowHeight="15" x14ac:dyDescent="0.25"/>
  <cols>
    <col min="1" max="1" width="9.33203125" style="2" customWidth="1"/>
    <col min="2" max="2" width="14.5546875" style="2" bestFit="1" customWidth="1"/>
    <col min="3" max="16384" width="9.33203125" style="2"/>
  </cols>
  <sheetData>
    <row r="1" spans="1:15" x14ac:dyDescent="0.25">
      <c r="A1" s="92" t="str">
        <f>+'Cover Page'!$B$29</f>
        <v>Annual Performance Report 2022</v>
      </c>
      <c r="B1" s="92"/>
      <c r="C1" s="92"/>
      <c r="D1" s="92"/>
      <c r="E1" s="92" t="str">
        <f>+'Cover Page'!$B$33</f>
        <v>Beddington Energy Recovery Facility</v>
      </c>
      <c r="F1" s="92"/>
      <c r="G1" s="92"/>
      <c r="H1" s="92"/>
      <c r="I1" s="92"/>
      <c r="J1" s="92"/>
      <c r="K1" s="92"/>
      <c r="L1" s="92"/>
      <c r="M1" s="92"/>
      <c r="N1" s="92"/>
      <c r="O1" s="92"/>
    </row>
    <row r="2" spans="1:15" ht="7.5" customHeight="1" x14ac:dyDescent="0.25">
      <c r="A2" s="92"/>
      <c r="B2" s="92"/>
      <c r="C2" s="92"/>
      <c r="D2" s="92"/>
      <c r="E2" s="92"/>
      <c r="F2" s="92"/>
      <c r="G2" s="92"/>
      <c r="H2" s="92"/>
      <c r="I2" s="92"/>
      <c r="J2" s="92"/>
      <c r="K2" s="92"/>
      <c r="L2" s="92"/>
      <c r="M2" s="92"/>
      <c r="N2" s="92"/>
      <c r="O2" s="92"/>
    </row>
    <row r="3" spans="1:15" ht="15.6" x14ac:dyDescent="0.3">
      <c r="A3" s="1" t="s">
        <v>40</v>
      </c>
      <c r="B3" s="92"/>
      <c r="C3" s="92"/>
      <c r="D3" s="92"/>
      <c r="E3" s="92"/>
      <c r="F3" s="92"/>
      <c r="G3" s="92"/>
      <c r="H3" s="92"/>
      <c r="I3" s="92"/>
      <c r="J3" s="92"/>
      <c r="K3" s="92"/>
      <c r="L3" s="92"/>
      <c r="M3" s="92"/>
      <c r="N3" s="92"/>
      <c r="O3" s="92"/>
    </row>
    <row r="4" spans="1:15" ht="9.75" customHeight="1" x14ac:dyDescent="0.3">
      <c r="A4" s="1"/>
      <c r="B4" s="92"/>
      <c r="C4" s="92"/>
      <c r="D4" s="92"/>
      <c r="E4" s="92"/>
      <c r="F4" s="92"/>
      <c r="G4" s="92"/>
      <c r="H4" s="92"/>
      <c r="I4" s="92"/>
      <c r="J4" s="92"/>
      <c r="K4" s="92"/>
      <c r="L4" s="92"/>
      <c r="M4" s="92"/>
      <c r="N4" s="92"/>
      <c r="O4" s="92"/>
    </row>
    <row r="5" spans="1:15" s="3" customFormat="1" ht="21.75" customHeight="1" x14ac:dyDescent="0.25">
      <c r="A5" s="118" t="s">
        <v>355</v>
      </c>
      <c r="B5" s="119"/>
      <c r="C5" s="119"/>
      <c r="D5" s="119"/>
      <c r="E5" s="119"/>
      <c r="F5" s="119"/>
      <c r="G5" s="119"/>
      <c r="H5" s="119"/>
      <c r="I5" s="50"/>
    </row>
    <row r="6" spans="1:15" s="3" customFormat="1" ht="15.75" customHeight="1" x14ac:dyDescent="0.25">
      <c r="A6" s="336"/>
      <c r="B6" s="239"/>
      <c r="C6" s="239"/>
      <c r="D6" s="239"/>
      <c r="E6" s="239"/>
      <c r="F6" s="239"/>
      <c r="G6" s="239"/>
      <c r="H6" s="239"/>
      <c r="I6" s="240"/>
    </row>
    <row r="7" spans="1:15" s="3" customFormat="1" ht="15.75" customHeight="1" x14ac:dyDescent="0.25">
      <c r="A7" s="244"/>
      <c r="B7" s="245"/>
      <c r="C7" s="245"/>
      <c r="D7" s="245"/>
      <c r="E7" s="245"/>
      <c r="F7" s="245"/>
      <c r="G7" s="245"/>
      <c r="H7" s="245"/>
      <c r="I7" s="246"/>
    </row>
    <row r="8" spans="1:15" s="3" customFormat="1" ht="14.4" x14ac:dyDescent="0.25">
      <c r="M8" s="101"/>
      <c r="N8" s="101"/>
      <c r="O8" s="101"/>
    </row>
    <row r="9" spans="1:15" s="56" customFormat="1" ht="16.5" customHeight="1" x14ac:dyDescent="0.25">
      <c r="A9" s="411" t="s">
        <v>356</v>
      </c>
      <c r="B9" s="411"/>
      <c r="C9" s="411"/>
      <c r="D9" s="411"/>
      <c r="E9" s="411"/>
      <c r="F9" s="411"/>
      <c r="G9" s="411"/>
      <c r="H9" s="411"/>
      <c r="I9" s="411"/>
      <c r="M9" s="101"/>
      <c r="N9" s="101"/>
      <c r="O9" s="101"/>
    </row>
    <row r="10" spans="1:15" s="56" customFormat="1" ht="16.5" customHeight="1" x14ac:dyDescent="0.25">
      <c r="A10" s="382" t="s">
        <v>219</v>
      </c>
      <c r="B10" s="383"/>
      <c r="C10" s="387" t="s">
        <v>357</v>
      </c>
      <c r="D10" s="412" t="s">
        <v>358</v>
      </c>
      <c r="E10" s="413"/>
      <c r="F10" s="148"/>
      <c r="G10" s="120" t="s">
        <v>352</v>
      </c>
      <c r="H10" s="121"/>
      <c r="I10" s="122"/>
      <c r="M10" s="101"/>
      <c r="N10" s="101"/>
      <c r="O10" s="101"/>
    </row>
    <row r="11" spans="1:15" s="12" customFormat="1" ht="17.25" customHeight="1" x14ac:dyDescent="0.25">
      <c r="A11" s="382"/>
      <c r="B11" s="383"/>
      <c r="C11" s="387"/>
      <c r="D11" s="412"/>
      <c r="E11" s="414"/>
      <c r="F11" s="100" t="s">
        <v>359</v>
      </c>
      <c r="G11" s="100" t="s">
        <v>360</v>
      </c>
      <c r="H11" s="100" t="s">
        <v>361</v>
      </c>
      <c r="I11" s="190" t="s">
        <v>362</v>
      </c>
      <c r="J11" s="124"/>
      <c r="K11" s="124"/>
      <c r="L11" s="101"/>
      <c r="M11" s="124"/>
      <c r="N11" s="124"/>
      <c r="O11" s="124"/>
    </row>
    <row r="12" spans="1:15" s="12" customFormat="1" ht="23.25" customHeight="1" x14ac:dyDescent="0.25">
      <c r="A12" s="257" t="s">
        <v>232</v>
      </c>
      <c r="B12" s="257"/>
      <c r="C12" s="191" t="s">
        <v>363</v>
      </c>
      <c r="D12" s="305" t="s">
        <v>364</v>
      </c>
      <c r="E12" s="264"/>
      <c r="F12" s="130" t="s">
        <v>365</v>
      </c>
      <c r="G12" s="130" t="s">
        <v>366</v>
      </c>
      <c r="H12" s="130" t="s">
        <v>367</v>
      </c>
      <c r="I12" s="192" t="s">
        <v>368</v>
      </c>
      <c r="J12" s="124"/>
      <c r="K12" s="124"/>
      <c r="L12" s="101"/>
      <c r="M12" s="124"/>
      <c r="N12" s="124"/>
      <c r="O12" s="124"/>
    </row>
    <row r="13" spans="1:15" s="12" customFormat="1" ht="23.25" customHeight="1" x14ac:dyDescent="0.25">
      <c r="A13" s="257" t="s">
        <v>369</v>
      </c>
      <c r="B13" s="257"/>
      <c r="C13" s="191" t="s">
        <v>370</v>
      </c>
      <c r="D13" s="305" t="s">
        <v>371</v>
      </c>
      <c r="E13" s="264"/>
      <c r="F13" s="130" t="s">
        <v>372</v>
      </c>
      <c r="G13" s="130" t="s">
        <v>373</v>
      </c>
      <c r="H13" s="130" t="s">
        <v>374</v>
      </c>
      <c r="I13" s="192" t="s">
        <v>375</v>
      </c>
      <c r="J13" s="124"/>
      <c r="K13" s="124"/>
      <c r="L13" s="124"/>
      <c r="M13" s="124"/>
      <c r="N13" s="124"/>
      <c r="O13" s="124"/>
    </row>
    <row r="14" spans="1:15" s="12" customFormat="1" ht="23.25" customHeight="1" x14ac:dyDescent="0.25">
      <c r="A14" s="257" t="s">
        <v>376</v>
      </c>
      <c r="B14" s="257"/>
      <c r="C14" s="191" t="s">
        <v>370</v>
      </c>
      <c r="D14" s="305" t="s">
        <v>371</v>
      </c>
      <c r="E14" s="264"/>
      <c r="F14" s="130">
        <v>1.2999999999999999E-3</v>
      </c>
      <c r="G14" s="130">
        <v>7.7999999999999999E-4</v>
      </c>
      <c r="H14" s="130">
        <v>2E-3</v>
      </c>
      <c r="I14" s="192">
        <v>1.6999999999999999E-3</v>
      </c>
      <c r="J14" s="124"/>
      <c r="K14" s="124"/>
      <c r="L14" s="124"/>
      <c r="M14" s="124"/>
      <c r="N14" s="124"/>
      <c r="O14" s="124"/>
    </row>
    <row r="15" spans="1:15" s="12" customFormat="1" ht="23.25" customHeight="1" x14ac:dyDescent="0.25">
      <c r="A15" s="257" t="s">
        <v>377</v>
      </c>
      <c r="B15" s="257"/>
      <c r="C15" s="191" t="s">
        <v>370</v>
      </c>
      <c r="D15" s="305" t="s">
        <v>378</v>
      </c>
      <c r="E15" s="264"/>
      <c r="F15" s="130">
        <v>2.4E-2</v>
      </c>
      <c r="G15" s="130">
        <v>1.6E-2</v>
      </c>
      <c r="H15" s="130">
        <v>7.6999999999999999E-2</v>
      </c>
      <c r="I15" s="192">
        <v>2.9000000000000001E-2</v>
      </c>
      <c r="J15" s="124"/>
      <c r="K15" s="124"/>
      <c r="L15" s="124"/>
      <c r="M15" s="124"/>
      <c r="N15" s="124"/>
      <c r="O15" s="124"/>
    </row>
    <row r="16" spans="1:15" s="12" customFormat="1" ht="23.25" customHeight="1" x14ac:dyDescent="0.25">
      <c r="A16" s="257" t="s">
        <v>379</v>
      </c>
      <c r="B16" s="257"/>
      <c r="C16" s="191" t="s">
        <v>370</v>
      </c>
      <c r="D16" s="305" t="s">
        <v>380</v>
      </c>
      <c r="E16" s="264"/>
      <c r="F16" s="130">
        <v>5.1999999999999998E-3</v>
      </c>
      <c r="G16" s="130">
        <v>4.1000000000000003E-3</v>
      </c>
      <c r="H16" s="130">
        <v>1.4999999999999999E-2</v>
      </c>
      <c r="I16" s="192">
        <v>5.0000000000000001E-3</v>
      </c>
      <c r="J16" s="124"/>
      <c r="K16" s="124"/>
      <c r="L16" s="124"/>
      <c r="M16" s="124"/>
      <c r="N16" s="124"/>
      <c r="O16" s="124"/>
    </row>
    <row r="17" spans="1:9" s="12" customFormat="1" ht="23.25" customHeight="1" x14ac:dyDescent="0.25">
      <c r="A17" s="257" t="s">
        <v>381</v>
      </c>
      <c r="B17" s="257"/>
      <c r="C17" s="191" t="s">
        <v>370</v>
      </c>
      <c r="D17" s="305" t="s">
        <v>382</v>
      </c>
      <c r="E17" s="264"/>
      <c r="F17" s="130">
        <v>5.6999999999999998E-4</v>
      </c>
      <c r="G17" s="130">
        <v>4.2999999999999999E-4</v>
      </c>
      <c r="H17" s="130">
        <v>1.1000000000000001E-3</v>
      </c>
      <c r="I17" s="192">
        <v>4.4000000000000002E-4</v>
      </c>
    </row>
    <row r="18" spans="1:9" s="12" customFormat="1" ht="23.25" customHeight="1" x14ac:dyDescent="0.25">
      <c r="A18" s="257" t="s">
        <v>383</v>
      </c>
      <c r="B18" s="257"/>
      <c r="C18" s="191" t="s">
        <v>370</v>
      </c>
      <c r="D18" s="305" t="s">
        <v>382</v>
      </c>
      <c r="E18" s="264"/>
      <c r="F18" s="130">
        <v>3.1999999999999999E-5</v>
      </c>
      <c r="G18" s="130">
        <v>2.0999999999999999E-5</v>
      </c>
      <c r="H18" s="130">
        <v>5.5999999999999999E-5</v>
      </c>
      <c r="I18" s="192">
        <v>2.5000000000000001E-5</v>
      </c>
    </row>
    <row r="19" spans="1:9" s="12" customFormat="1" ht="23.25" customHeight="1" x14ac:dyDescent="0.25">
      <c r="A19" s="257" t="s">
        <v>384</v>
      </c>
      <c r="B19" s="257"/>
      <c r="C19" s="191" t="s">
        <v>370</v>
      </c>
      <c r="D19" s="305" t="s">
        <v>382</v>
      </c>
      <c r="E19" s="264"/>
      <c r="F19" s="130">
        <v>2.3E-3</v>
      </c>
      <c r="G19" s="130">
        <v>1.2999999999999999E-3</v>
      </c>
      <c r="H19" s="130">
        <v>3.3E-3</v>
      </c>
      <c r="I19" s="192">
        <v>2.0999999999999999E-3</v>
      </c>
    </row>
    <row r="20" spans="1:9" s="12" customFormat="1" ht="23.25" customHeight="1" x14ac:dyDescent="0.25">
      <c r="A20" s="257" t="s">
        <v>385</v>
      </c>
      <c r="B20" s="257"/>
      <c r="C20" s="191" t="s">
        <v>370</v>
      </c>
      <c r="D20" s="305" t="s">
        <v>382</v>
      </c>
      <c r="E20" s="264"/>
      <c r="F20" s="130">
        <v>5.3E-3</v>
      </c>
      <c r="G20" s="130">
        <v>4.1000000000000003E-3</v>
      </c>
      <c r="H20" s="130">
        <v>1.4999999999999999E-2</v>
      </c>
      <c r="I20" s="192">
        <v>3.3E-3</v>
      </c>
    </row>
    <row r="21" spans="1:9" s="12" customFormat="1" ht="23.25" customHeight="1" x14ac:dyDescent="0.25">
      <c r="A21" s="257" t="s">
        <v>386</v>
      </c>
      <c r="B21" s="257"/>
      <c r="C21" s="191" t="s">
        <v>370</v>
      </c>
      <c r="D21" s="305" t="s">
        <v>382</v>
      </c>
      <c r="E21" s="264"/>
      <c r="F21" s="130">
        <v>5.1000000000000004E-3</v>
      </c>
      <c r="G21" s="130">
        <v>4.1999999999999997E-3</v>
      </c>
      <c r="H21" s="130">
        <v>1.6E-2</v>
      </c>
      <c r="I21" s="192">
        <v>3.5999999999999999E-3</v>
      </c>
    </row>
    <row r="22" spans="1:9" s="12" customFormat="1" ht="23.25" customHeight="1" x14ac:dyDescent="0.25">
      <c r="A22" s="257" t="s">
        <v>387</v>
      </c>
      <c r="B22" s="257"/>
      <c r="C22" s="191" t="s">
        <v>370</v>
      </c>
      <c r="D22" s="305" t="s">
        <v>382</v>
      </c>
      <c r="E22" s="264"/>
      <c r="F22" s="130">
        <v>8.8000000000000005E-3</v>
      </c>
      <c r="G22" s="130">
        <v>7.7000000000000002E-3</v>
      </c>
      <c r="H22" s="130">
        <v>2.3E-2</v>
      </c>
      <c r="I22" s="192">
        <v>6.3E-3</v>
      </c>
    </row>
    <row r="23" spans="1:9" s="12" customFormat="1" ht="23.25" customHeight="1" x14ac:dyDescent="0.25">
      <c r="A23" s="257" t="s">
        <v>388</v>
      </c>
      <c r="B23" s="257"/>
      <c r="C23" s="191" t="s">
        <v>370</v>
      </c>
      <c r="D23" s="305" t="s">
        <v>389</v>
      </c>
      <c r="E23" s="264"/>
      <c r="F23" s="130" t="s">
        <v>390</v>
      </c>
      <c r="G23" s="130" t="s">
        <v>375</v>
      </c>
      <c r="H23" s="130" t="s">
        <v>391</v>
      </c>
      <c r="I23" s="192" t="s">
        <v>375</v>
      </c>
    </row>
    <row r="24" spans="1:9" s="12" customFormat="1" ht="23.25" customHeight="1" x14ac:dyDescent="0.25">
      <c r="A24" s="257" t="s">
        <v>392</v>
      </c>
      <c r="B24" s="257"/>
      <c r="C24" s="191" t="s">
        <v>370</v>
      </c>
      <c r="D24" s="305" t="s">
        <v>389</v>
      </c>
      <c r="E24" s="264"/>
      <c r="F24" s="130">
        <v>1.2E-2</v>
      </c>
      <c r="G24" s="130">
        <v>3.2000000000000002E-3</v>
      </c>
      <c r="H24" s="130" t="s">
        <v>391</v>
      </c>
      <c r="I24" s="192">
        <v>2.8999999999999998E-3</v>
      </c>
    </row>
    <row r="25" spans="1:9" s="12" customFormat="1" ht="23.25" customHeight="1" x14ac:dyDescent="0.25">
      <c r="A25" s="257" t="s">
        <v>393</v>
      </c>
      <c r="B25" s="257"/>
      <c r="C25" s="191" t="s">
        <v>370</v>
      </c>
      <c r="D25" s="305" t="s">
        <v>389</v>
      </c>
      <c r="E25" s="264"/>
      <c r="F25" s="130">
        <v>5.0000000000000001E-3</v>
      </c>
      <c r="G25" s="130" t="s">
        <v>375</v>
      </c>
      <c r="H25" s="130" t="s">
        <v>391</v>
      </c>
      <c r="I25" s="192" t="s">
        <v>375</v>
      </c>
    </row>
    <row r="26" spans="1:9" s="12" customFormat="1" ht="23.25" customHeight="1" x14ac:dyDescent="0.25">
      <c r="A26" s="257" t="s">
        <v>394</v>
      </c>
      <c r="B26" s="257"/>
      <c r="C26" s="191" t="s">
        <v>370</v>
      </c>
      <c r="D26" s="305" t="s">
        <v>389</v>
      </c>
      <c r="E26" s="264"/>
      <c r="F26" s="130">
        <v>1.4E-2</v>
      </c>
      <c r="G26" s="130">
        <v>3.8999999999999998E-3</v>
      </c>
      <c r="H26" s="130" t="s">
        <v>391</v>
      </c>
      <c r="I26" s="192">
        <v>1.9E-3</v>
      </c>
    </row>
    <row r="27" spans="1:9" s="12" customFormat="1" ht="23.25" customHeight="1" x14ac:dyDescent="0.25">
      <c r="A27" s="257" t="s">
        <v>395</v>
      </c>
      <c r="B27" s="257"/>
      <c r="C27" s="191" t="s">
        <v>370</v>
      </c>
      <c r="D27" s="305" t="s">
        <v>389</v>
      </c>
      <c r="E27" s="264"/>
      <c r="F27" s="130">
        <v>6.6E-3</v>
      </c>
      <c r="G27" s="130" t="s">
        <v>375</v>
      </c>
      <c r="H27" s="130" t="s">
        <v>391</v>
      </c>
      <c r="I27" s="192" t="s">
        <v>375</v>
      </c>
    </row>
    <row r="28" spans="1:9" s="12" customFormat="1" ht="23.25" customHeight="1" x14ac:dyDescent="0.25">
      <c r="A28" s="257" t="s">
        <v>396</v>
      </c>
      <c r="B28" s="257"/>
      <c r="C28" s="191" t="s">
        <v>370</v>
      </c>
      <c r="D28" s="305" t="s">
        <v>389</v>
      </c>
      <c r="E28" s="264"/>
      <c r="F28" s="130">
        <v>1.6000000000000001E-3</v>
      </c>
      <c r="G28" s="130" t="s">
        <v>375</v>
      </c>
      <c r="H28" s="130">
        <v>3.3E-3</v>
      </c>
      <c r="I28" s="192" t="s">
        <v>375</v>
      </c>
    </row>
    <row r="29" spans="1:9" s="12" customFormat="1" ht="23.25" customHeight="1" x14ac:dyDescent="0.25">
      <c r="A29" s="257" t="s">
        <v>397</v>
      </c>
      <c r="B29" s="257"/>
      <c r="C29" s="191" t="s">
        <v>370</v>
      </c>
      <c r="D29" s="305" t="s">
        <v>389</v>
      </c>
      <c r="E29" s="264"/>
      <c r="F29" s="130">
        <v>5.7999999999999996E-3</v>
      </c>
      <c r="G29" s="130">
        <v>2.8999999999999998E-3</v>
      </c>
      <c r="H29" s="130">
        <v>5.5999999999999999E-3</v>
      </c>
      <c r="I29" s="192" t="s">
        <v>375</v>
      </c>
    </row>
    <row r="30" spans="1:9" s="12" customFormat="1" ht="23.25" customHeight="1" x14ac:dyDescent="0.25">
      <c r="A30" s="257" t="s">
        <v>398</v>
      </c>
      <c r="B30" s="257"/>
      <c r="C30" s="191" t="s">
        <v>370</v>
      </c>
      <c r="D30" s="305" t="s">
        <v>389</v>
      </c>
      <c r="E30" s="264"/>
      <c r="F30" s="130">
        <v>3.8999999999999998E-3</v>
      </c>
      <c r="G30" s="130" t="s">
        <v>375</v>
      </c>
      <c r="H30" s="130" t="s">
        <v>391</v>
      </c>
      <c r="I30" s="192" t="s">
        <v>375</v>
      </c>
    </row>
    <row r="31" spans="1:9" s="12" customFormat="1" ht="23.25" customHeight="1" x14ac:dyDescent="0.25">
      <c r="A31" s="257" t="s">
        <v>399</v>
      </c>
      <c r="B31" s="257"/>
      <c r="C31" s="191" t="s">
        <v>370</v>
      </c>
      <c r="D31" s="305" t="s">
        <v>389</v>
      </c>
      <c r="E31" s="264"/>
      <c r="F31" s="130" t="s">
        <v>390</v>
      </c>
      <c r="G31" s="130" t="s">
        <v>375</v>
      </c>
      <c r="H31" s="130">
        <v>1.6000000000000001E-3</v>
      </c>
      <c r="I31" s="192">
        <v>1.6000000000000001E-3</v>
      </c>
    </row>
    <row r="32" spans="1:9" s="12" customFormat="1" ht="23.25" customHeight="1" x14ac:dyDescent="0.25">
      <c r="A32" s="257" t="s">
        <v>400</v>
      </c>
      <c r="B32" s="257"/>
      <c r="C32" s="191" t="s">
        <v>370</v>
      </c>
      <c r="D32" s="305" t="s">
        <v>389</v>
      </c>
      <c r="E32" s="264"/>
      <c r="F32" s="130">
        <v>1.7999999999999999E-2</v>
      </c>
      <c r="G32" s="130">
        <v>6.0000000000000001E-3</v>
      </c>
      <c r="H32" s="130">
        <v>1.5299999999999999E-2</v>
      </c>
      <c r="I32" s="192">
        <v>4.4000000000000003E-3</v>
      </c>
    </row>
    <row r="33" spans="1:9" s="12" customFormat="1" ht="23.25" customHeight="1" x14ac:dyDescent="0.25">
      <c r="A33" s="257" t="s">
        <v>401</v>
      </c>
      <c r="B33" s="257"/>
      <c r="C33" s="191" t="s">
        <v>370</v>
      </c>
      <c r="D33" s="305" t="s">
        <v>389</v>
      </c>
      <c r="E33" s="264"/>
      <c r="F33" s="130" t="s">
        <v>390</v>
      </c>
      <c r="G33" s="130" t="s">
        <v>375</v>
      </c>
      <c r="H33" s="130" t="s">
        <v>391</v>
      </c>
      <c r="I33" s="192" t="s">
        <v>375</v>
      </c>
    </row>
    <row r="34" spans="1:9" s="12" customFormat="1" ht="23.25" customHeight="1" x14ac:dyDescent="0.25">
      <c r="A34" s="257" t="s">
        <v>402</v>
      </c>
      <c r="B34" s="257"/>
      <c r="C34" s="191" t="s">
        <v>370</v>
      </c>
      <c r="D34" s="305" t="s">
        <v>389</v>
      </c>
      <c r="E34" s="264"/>
      <c r="F34" s="130" t="s">
        <v>390</v>
      </c>
      <c r="G34" s="130" t="s">
        <v>375</v>
      </c>
      <c r="H34" s="130" t="s">
        <v>391</v>
      </c>
      <c r="I34" s="192" t="s">
        <v>375</v>
      </c>
    </row>
    <row r="35" spans="1:9" s="12" customFormat="1" ht="23.25" customHeight="1" x14ac:dyDescent="0.25">
      <c r="A35" s="257" t="s">
        <v>403</v>
      </c>
      <c r="B35" s="257"/>
      <c r="C35" s="191" t="s">
        <v>370</v>
      </c>
      <c r="D35" s="305" t="s">
        <v>389</v>
      </c>
      <c r="E35" s="264"/>
      <c r="F35" s="130" t="s">
        <v>390</v>
      </c>
      <c r="G35" s="130" t="s">
        <v>375</v>
      </c>
      <c r="H35" s="130" t="s">
        <v>391</v>
      </c>
      <c r="I35" s="192" t="s">
        <v>375</v>
      </c>
    </row>
    <row r="36" spans="1:9" s="12" customFormat="1" ht="23.25" customHeight="1" x14ac:dyDescent="0.25">
      <c r="A36" s="257" t="s">
        <v>404</v>
      </c>
      <c r="B36" s="257"/>
      <c r="C36" s="191" t="s">
        <v>370</v>
      </c>
      <c r="D36" s="305" t="s">
        <v>389</v>
      </c>
      <c r="E36" s="264"/>
      <c r="F36" s="130">
        <v>4.3999999999999997E-2</v>
      </c>
      <c r="G36" s="130">
        <v>6.6000000000000003E-2</v>
      </c>
      <c r="H36" s="130">
        <v>0.15</v>
      </c>
      <c r="I36" s="192">
        <v>1.9199999999999998E-2</v>
      </c>
    </row>
    <row r="37" spans="1:9" s="12" customFormat="1" ht="23.25" customHeight="1" x14ac:dyDescent="0.25">
      <c r="A37" s="257" t="s">
        <v>405</v>
      </c>
      <c r="B37" s="257"/>
      <c r="C37" s="191" t="s">
        <v>370</v>
      </c>
      <c r="D37" s="305" t="s">
        <v>389</v>
      </c>
      <c r="E37" s="264"/>
      <c r="F37" s="130">
        <v>3.3E-3</v>
      </c>
      <c r="G37" s="130">
        <v>1.8E-3</v>
      </c>
      <c r="H37" s="130" t="s">
        <v>391</v>
      </c>
      <c r="I37" s="192" t="s">
        <v>375</v>
      </c>
    </row>
    <row r="38" spans="1:9" s="12" customFormat="1" ht="23.25" customHeight="1" x14ac:dyDescent="0.25">
      <c r="A38" s="408" t="s">
        <v>406</v>
      </c>
      <c r="B38" s="408"/>
      <c r="C38" s="193" t="s">
        <v>370</v>
      </c>
      <c r="D38" s="409" t="s">
        <v>389</v>
      </c>
      <c r="E38" s="410"/>
      <c r="F38" s="130">
        <v>9.6000000000000002E-2</v>
      </c>
      <c r="G38" s="130">
        <v>0.24</v>
      </c>
      <c r="H38" s="130">
        <v>0.27</v>
      </c>
      <c r="I38" s="192">
        <v>0.31</v>
      </c>
    </row>
    <row r="39" spans="1:9" x14ac:dyDescent="0.25">
      <c r="A39" s="400" t="s">
        <v>320</v>
      </c>
      <c r="B39" s="401"/>
      <c r="C39" s="401"/>
      <c r="D39" s="401"/>
      <c r="E39" s="401"/>
      <c r="F39" s="401"/>
      <c r="G39" s="401"/>
      <c r="H39" s="401"/>
      <c r="I39" s="401"/>
    </row>
    <row r="40" spans="1:9" x14ac:dyDescent="0.25">
      <c r="A40" s="402"/>
      <c r="B40" s="403"/>
      <c r="C40" s="403"/>
      <c r="D40" s="403"/>
      <c r="E40" s="403"/>
      <c r="F40" s="403"/>
      <c r="G40" s="403"/>
      <c r="H40" s="403"/>
      <c r="I40" s="404"/>
    </row>
    <row r="41" spans="1:9" x14ac:dyDescent="0.25">
      <c r="A41" s="405"/>
      <c r="B41" s="406"/>
      <c r="C41" s="406"/>
      <c r="D41" s="406"/>
      <c r="E41" s="406"/>
      <c r="F41" s="406"/>
      <c r="G41" s="406"/>
      <c r="H41" s="406"/>
      <c r="I41" s="407"/>
    </row>
    <row r="64" spans="6:6" x14ac:dyDescent="0.25">
      <c r="F64" s="3"/>
    </row>
  </sheetData>
  <mergeCells count="61">
    <mergeCell ref="A9:I9"/>
    <mergeCell ref="A6:I7"/>
    <mergeCell ref="A12:B12"/>
    <mergeCell ref="A13:B13"/>
    <mergeCell ref="D12:E12"/>
    <mergeCell ref="D13:E13"/>
    <mergeCell ref="A10:B11"/>
    <mergeCell ref="D10:E11"/>
    <mergeCell ref="C10:C11"/>
    <mergeCell ref="A17:B17"/>
    <mergeCell ref="A18:B18"/>
    <mergeCell ref="A19:B19"/>
    <mergeCell ref="A14:B14"/>
    <mergeCell ref="A15:B15"/>
    <mergeCell ref="A16:B16"/>
    <mergeCell ref="A40:I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39:I39"/>
    <mergeCell ref="A20:B20"/>
    <mergeCell ref="A21:B21"/>
    <mergeCell ref="A22:B22"/>
    <mergeCell ref="D35:E35"/>
    <mergeCell ref="D36:E36"/>
    <mergeCell ref="A34:B34"/>
    <mergeCell ref="A35:B35"/>
    <mergeCell ref="A36:B36"/>
    <mergeCell ref="A37:B37"/>
    <mergeCell ref="A25:B25"/>
    <mergeCell ref="D33:E33"/>
    <mergeCell ref="D14:E14"/>
    <mergeCell ref="D15:E15"/>
    <mergeCell ref="D16:E16"/>
    <mergeCell ref="D17:E17"/>
    <mergeCell ref="D18:E18"/>
    <mergeCell ref="D19:E19"/>
    <mergeCell ref="D28:E28"/>
    <mergeCell ref="D34:E34"/>
    <mergeCell ref="D20:E20"/>
    <mergeCell ref="D21:E21"/>
    <mergeCell ref="D22:E22"/>
    <mergeCell ref="D23:E23"/>
    <mergeCell ref="D24:E24"/>
    <mergeCell ref="D25:E25"/>
    <mergeCell ref="D32:E32"/>
    <mergeCell ref="D26:E26"/>
    <mergeCell ref="D27:E27"/>
    <mergeCell ref="D29:E29"/>
  </mergeCells>
  <pageMargins left="0.7" right="0.7" top="0.75" bottom="0.75" header="0.3" footer="0.3"/>
  <pageSetup paperSize="9" scale="87" orientation="portrait" r:id="rId1"/>
  <headerFooter scaleWithDoc="0">
    <oddFooter>&amp;C&amp;"Arial,Regular"Page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7"/>
  <sheetViews>
    <sheetView topLeftCell="A9" workbookViewId="0">
      <selection activeCell="P27" sqref="P27"/>
    </sheetView>
  </sheetViews>
  <sheetFormatPr defaultColWidth="9.33203125" defaultRowHeight="15" x14ac:dyDescent="0.25"/>
  <cols>
    <col min="1" max="1" width="21.33203125" style="2" customWidth="1"/>
    <col min="2" max="2" width="13.6640625" style="2" customWidth="1"/>
    <col min="3" max="3" width="16.33203125" style="2" customWidth="1"/>
    <col min="4" max="5" width="11.5546875" style="2" bestFit="1" customWidth="1"/>
    <col min="6" max="6" width="9.33203125" style="2"/>
    <col min="7" max="7" width="11.5546875" style="2" bestFit="1" customWidth="1"/>
    <col min="8" max="12" width="9.33203125" style="2"/>
    <col min="13" max="13" width="10.44140625" style="2" customWidth="1"/>
    <col min="14" max="16384" width="9.33203125" style="2"/>
  </cols>
  <sheetData>
    <row r="1" spans="1:16" x14ac:dyDescent="0.25">
      <c r="A1" s="92" t="str">
        <f>+'Cover Page'!$B$29</f>
        <v>Annual Performance Report 2022</v>
      </c>
      <c r="B1" s="92"/>
      <c r="C1" s="92"/>
      <c r="D1" s="92"/>
      <c r="E1" s="92"/>
      <c r="F1" s="92"/>
      <c r="G1" s="92"/>
      <c r="H1" s="92"/>
      <c r="I1" s="92" t="str">
        <f>+'Cover Page'!$B$33</f>
        <v>Beddington Energy Recovery Facility</v>
      </c>
      <c r="J1" s="92"/>
      <c r="K1" s="92"/>
      <c r="L1" s="92"/>
      <c r="M1" s="92"/>
      <c r="N1" s="92"/>
      <c r="O1" s="92"/>
      <c r="P1" s="92"/>
    </row>
    <row r="3" spans="1:16" ht="15.6" x14ac:dyDescent="0.3">
      <c r="A3" s="1" t="s">
        <v>407</v>
      </c>
      <c r="B3" s="92"/>
      <c r="C3" s="92"/>
      <c r="D3" s="92"/>
      <c r="E3" s="92"/>
      <c r="F3" s="92"/>
      <c r="G3" s="92"/>
      <c r="H3" s="92"/>
      <c r="I3" s="92"/>
      <c r="J3" s="92"/>
      <c r="K3" s="92"/>
      <c r="L3" s="92"/>
      <c r="M3" s="92"/>
      <c r="N3" s="92"/>
      <c r="O3" s="92"/>
      <c r="P3" s="92"/>
    </row>
    <row r="4" spans="1:16" ht="15.6" x14ac:dyDescent="0.3">
      <c r="A4" s="1"/>
      <c r="B4" s="92"/>
      <c r="C4" s="92"/>
      <c r="D4" s="92"/>
      <c r="E4" s="92"/>
      <c r="F4" s="92"/>
      <c r="G4" s="92"/>
      <c r="H4" s="92"/>
      <c r="I4" s="92"/>
      <c r="J4" s="92"/>
      <c r="K4" s="92"/>
      <c r="L4" s="92"/>
      <c r="M4" s="92"/>
      <c r="N4" s="92"/>
      <c r="O4" s="92"/>
      <c r="P4" s="73" t="s">
        <v>2</v>
      </c>
    </row>
    <row r="5" spans="1:16" s="3" customFormat="1" ht="21.75" customHeight="1" x14ac:dyDescent="0.3">
      <c r="A5" s="48" t="s">
        <v>355</v>
      </c>
      <c r="B5" s="49"/>
      <c r="C5" s="49"/>
      <c r="D5" s="49"/>
      <c r="E5" s="49"/>
      <c r="F5" s="49"/>
      <c r="G5" s="49"/>
      <c r="H5" s="49"/>
      <c r="I5" s="49"/>
      <c r="J5" s="49"/>
      <c r="K5" s="49"/>
      <c r="L5" s="49"/>
      <c r="M5" s="50"/>
      <c r="P5" s="74" t="s">
        <v>408</v>
      </c>
    </row>
    <row r="6" spans="1:16" s="3" customFormat="1" ht="15.75" customHeight="1" x14ac:dyDescent="0.25">
      <c r="A6" s="336"/>
      <c r="B6" s="239"/>
      <c r="C6" s="239"/>
      <c r="D6" s="239"/>
      <c r="E6" s="239"/>
      <c r="F6" s="239"/>
      <c r="G6" s="239"/>
      <c r="H6" s="239"/>
      <c r="I6" s="239"/>
      <c r="J6" s="239"/>
      <c r="K6" s="239"/>
      <c r="L6" s="239"/>
      <c r="M6" s="240"/>
      <c r="P6" s="3" t="s">
        <v>409</v>
      </c>
    </row>
    <row r="7" spans="1:16" s="3" customFormat="1" ht="15.75" customHeight="1" x14ac:dyDescent="0.25">
      <c r="A7" s="244"/>
      <c r="B7" s="245"/>
      <c r="C7" s="245"/>
      <c r="D7" s="245"/>
      <c r="E7" s="245"/>
      <c r="F7" s="245"/>
      <c r="G7" s="245"/>
      <c r="H7" s="245"/>
      <c r="I7" s="245"/>
      <c r="J7" s="245"/>
      <c r="K7" s="245"/>
      <c r="L7" s="245"/>
      <c r="M7" s="246"/>
    </row>
    <row r="8" spans="1:16" s="3" customFormat="1" ht="15.75" customHeight="1" x14ac:dyDescent="0.25">
      <c r="A8" s="230"/>
      <c r="B8" s="231"/>
      <c r="C8" s="231"/>
      <c r="D8" s="231"/>
      <c r="E8" s="231"/>
      <c r="F8" s="231"/>
      <c r="G8" s="231"/>
      <c r="H8" s="231"/>
      <c r="I8" s="231"/>
      <c r="J8" s="231"/>
      <c r="K8" s="231"/>
      <c r="L8" s="231"/>
      <c r="M8" s="232"/>
    </row>
    <row r="9" spans="1:16" s="3" customFormat="1" ht="15.75" customHeight="1" x14ac:dyDescent="0.25">
      <c r="A9" s="236"/>
      <c r="B9" s="237"/>
      <c r="C9" s="237"/>
      <c r="D9" s="237"/>
      <c r="E9" s="237"/>
      <c r="F9" s="237"/>
      <c r="G9" s="237"/>
      <c r="H9" s="237"/>
      <c r="I9" s="237"/>
      <c r="J9" s="237"/>
      <c r="K9" s="237"/>
      <c r="L9" s="237"/>
      <c r="M9" s="238"/>
    </row>
    <row r="10" spans="1:16" s="3" customFormat="1" ht="13.8" x14ac:dyDescent="0.25"/>
    <row r="11" spans="1:16" s="56" customFormat="1" ht="16.5" customHeight="1" x14ac:dyDescent="0.25">
      <c r="A11" s="352" t="s">
        <v>410</v>
      </c>
      <c r="B11" s="352"/>
      <c r="C11" s="352"/>
      <c r="D11" s="352"/>
      <c r="E11" s="352"/>
      <c r="F11" s="352"/>
      <c r="G11" s="352"/>
      <c r="H11" s="352"/>
      <c r="I11" s="352"/>
      <c r="J11" s="352"/>
      <c r="K11" s="352"/>
      <c r="L11" s="352"/>
      <c r="M11" s="352"/>
    </row>
    <row r="12" spans="1:16" s="56" customFormat="1" ht="16.5" customHeight="1" x14ac:dyDescent="0.25">
      <c r="A12" s="362" t="s">
        <v>219</v>
      </c>
      <c r="B12" s="386" t="s">
        <v>411</v>
      </c>
      <c r="C12" s="312" t="s">
        <v>358</v>
      </c>
      <c r="D12" s="313" t="s">
        <v>193</v>
      </c>
      <c r="E12" s="365"/>
      <c r="F12" s="313" t="s">
        <v>194</v>
      </c>
      <c r="G12" s="365"/>
      <c r="H12" s="419" t="s">
        <v>195</v>
      </c>
      <c r="I12" s="420"/>
      <c r="J12" s="419" t="s">
        <v>196</v>
      </c>
      <c r="K12" s="420"/>
      <c r="L12" s="419" t="s">
        <v>197</v>
      </c>
      <c r="M12" s="420"/>
    </row>
    <row r="13" spans="1:16" s="12" customFormat="1" ht="17.25" customHeight="1" x14ac:dyDescent="0.25">
      <c r="A13" s="362"/>
      <c r="B13" s="388"/>
      <c r="C13" s="312"/>
      <c r="D13" s="46" t="s">
        <v>351</v>
      </c>
      <c r="E13" s="57" t="s">
        <v>412</v>
      </c>
      <c r="F13" s="46" t="s">
        <v>351</v>
      </c>
      <c r="G13" s="57" t="s">
        <v>412</v>
      </c>
      <c r="H13" s="131" t="s">
        <v>351</v>
      </c>
      <c r="I13" s="132" t="s">
        <v>412</v>
      </c>
      <c r="J13" s="131" t="s">
        <v>351</v>
      </c>
      <c r="K13" s="132" t="s">
        <v>412</v>
      </c>
      <c r="L13" s="131" t="s">
        <v>351</v>
      </c>
      <c r="M13" s="132" t="s">
        <v>412</v>
      </c>
      <c r="N13" s="124"/>
      <c r="O13" s="124"/>
      <c r="P13" s="124"/>
    </row>
    <row r="14" spans="1:16" s="12" customFormat="1" ht="23.25" customHeight="1" x14ac:dyDescent="0.25">
      <c r="A14" s="257" t="s">
        <v>226</v>
      </c>
      <c r="B14" s="127" t="s">
        <v>413</v>
      </c>
      <c r="C14" s="127" t="s">
        <v>414</v>
      </c>
      <c r="D14" s="194">
        <f>NOx!O19</f>
        <v>167</v>
      </c>
      <c r="E14" s="194">
        <f>NOx!N19</f>
        <v>150.91666666666666</v>
      </c>
      <c r="F14" s="194">
        <f>NOx!O34</f>
        <v>161</v>
      </c>
      <c r="G14" s="194">
        <f>NOx!N34</f>
        <v>147.27272727272728</v>
      </c>
      <c r="H14" s="195"/>
      <c r="I14" s="195"/>
      <c r="J14" s="195"/>
      <c r="K14" s="195"/>
      <c r="L14" s="195"/>
      <c r="M14" s="195"/>
      <c r="N14" s="124"/>
      <c r="O14" s="124"/>
      <c r="P14" s="124"/>
    </row>
    <row r="15" spans="1:16" s="12" customFormat="1" ht="23.25" customHeight="1" x14ac:dyDescent="0.25">
      <c r="A15" s="257"/>
      <c r="B15" s="127" t="s">
        <v>415</v>
      </c>
      <c r="C15" s="127" t="s">
        <v>416</v>
      </c>
      <c r="D15" s="194">
        <f>NOx!M19</f>
        <v>308</v>
      </c>
      <c r="E15" s="194">
        <f>NOx!L19</f>
        <v>143.66666666666666</v>
      </c>
      <c r="F15" s="194">
        <f>NOx!M34</f>
        <v>313</v>
      </c>
      <c r="G15" s="194">
        <f>NOx!L34</f>
        <v>147.27272727272728</v>
      </c>
      <c r="H15" s="195"/>
      <c r="I15" s="195"/>
      <c r="J15" s="195"/>
      <c r="K15" s="195"/>
      <c r="L15" s="195"/>
      <c r="M15" s="195"/>
      <c r="N15" s="124"/>
      <c r="O15" s="124"/>
      <c r="P15" s="124"/>
    </row>
    <row r="16" spans="1:16" s="12" customFormat="1" ht="23.25" customHeight="1" x14ac:dyDescent="0.25">
      <c r="A16" s="196" t="s">
        <v>224</v>
      </c>
      <c r="B16" s="197" t="s">
        <v>413</v>
      </c>
      <c r="C16" s="127" t="s">
        <v>417</v>
      </c>
      <c r="D16" s="194">
        <f>Particulates!O19</f>
        <v>0.5</v>
      </c>
      <c r="E16" s="194">
        <f>Particulates!N19</f>
        <v>0.3833333333333333</v>
      </c>
      <c r="F16" s="194">
        <f>Particulates!O34</f>
        <v>1</v>
      </c>
      <c r="G16" s="194">
        <f>Particulates!N34</f>
        <v>0.30833333333333329</v>
      </c>
      <c r="H16" s="195"/>
      <c r="I16" s="195"/>
      <c r="J16" s="195"/>
      <c r="K16" s="195"/>
      <c r="L16" s="195"/>
      <c r="M16" s="195"/>
      <c r="N16" s="124"/>
      <c r="O16" s="124"/>
      <c r="P16" s="124"/>
    </row>
    <row r="17" spans="1:13" s="12" customFormat="1" ht="23.25" customHeight="1" x14ac:dyDescent="0.25">
      <c r="A17" s="196"/>
      <c r="B17" s="127" t="s">
        <v>415</v>
      </c>
      <c r="C17" s="127" t="s">
        <v>418</v>
      </c>
      <c r="D17" s="194">
        <f>Particulates!M19</f>
        <v>3.7</v>
      </c>
      <c r="E17" s="194">
        <f>Particulates!L19</f>
        <v>0.3833333333333333</v>
      </c>
      <c r="F17" s="194">
        <f>Particulates!O34</f>
        <v>1</v>
      </c>
      <c r="G17" s="194">
        <f>Particulates!N34</f>
        <v>0.30833333333333329</v>
      </c>
      <c r="H17" s="195"/>
      <c r="I17" s="195"/>
      <c r="J17" s="195"/>
      <c r="K17" s="195"/>
      <c r="L17" s="195"/>
      <c r="M17" s="195"/>
    </row>
    <row r="18" spans="1:13" s="12" customFormat="1" ht="23.25" customHeight="1" x14ac:dyDescent="0.25">
      <c r="A18" s="196" t="s">
        <v>419</v>
      </c>
      <c r="B18" s="127" t="s">
        <v>413</v>
      </c>
      <c r="C18" s="127" t="s">
        <v>420</v>
      </c>
      <c r="D18" s="194">
        <f>TOC!O19</f>
        <v>2.4</v>
      </c>
      <c r="E18" s="194">
        <f>TOC!N19</f>
        <v>0.65</v>
      </c>
      <c r="F18" s="194">
        <f>TOC!O34</f>
        <v>1.2</v>
      </c>
      <c r="G18" s="194">
        <f>TOC!N34</f>
        <v>0.41666666666666669</v>
      </c>
      <c r="H18" s="195"/>
      <c r="I18" s="195"/>
      <c r="J18" s="195"/>
      <c r="K18" s="195"/>
      <c r="L18" s="195"/>
      <c r="M18" s="195"/>
    </row>
    <row r="19" spans="1:13" s="12" customFormat="1" ht="23.25" customHeight="1" x14ac:dyDescent="0.25">
      <c r="A19" s="196"/>
      <c r="B19" s="127" t="s">
        <v>415</v>
      </c>
      <c r="C19" s="127" t="s">
        <v>421</v>
      </c>
      <c r="D19" s="194">
        <f>TOC!M19</f>
        <v>35.200000000000003</v>
      </c>
      <c r="E19" s="194">
        <f>TOC!L19</f>
        <v>0.65</v>
      </c>
      <c r="F19" s="194">
        <f>TOC!M34</f>
        <v>29.4</v>
      </c>
      <c r="G19" s="194">
        <f>TOC!L34</f>
        <v>0.41666666666666669</v>
      </c>
      <c r="H19" s="195"/>
      <c r="I19" s="195"/>
      <c r="J19" s="195"/>
      <c r="K19" s="195"/>
      <c r="L19" s="195"/>
      <c r="M19" s="195"/>
    </row>
    <row r="20" spans="1:13" s="12" customFormat="1" ht="23.25" customHeight="1" x14ac:dyDescent="0.25">
      <c r="A20" s="196" t="s">
        <v>422</v>
      </c>
      <c r="B20" s="127" t="s">
        <v>413</v>
      </c>
      <c r="C20" s="127" t="s">
        <v>420</v>
      </c>
      <c r="D20" s="194">
        <f>HCl!O19</f>
        <v>7.8</v>
      </c>
      <c r="E20" s="194">
        <f>HCl!N19</f>
        <v>5.6499999999999995</v>
      </c>
      <c r="F20" s="194">
        <f>HCl!O34</f>
        <v>8.1999999999999993</v>
      </c>
      <c r="G20" s="194">
        <f>HCl!L34</f>
        <v>4.083333333333333</v>
      </c>
      <c r="H20" s="195"/>
      <c r="I20" s="195"/>
      <c r="J20" s="195"/>
      <c r="K20" s="195"/>
      <c r="L20" s="195"/>
      <c r="M20" s="195"/>
    </row>
    <row r="21" spans="1:13" s="12" customFormat="1" ht="23.25" customHeight="1" x14ac:dyDescent="0.25">
      <c r="A21" s="196"/>
      <c r="B21" s="127" t="s">
        <v>415</v>
      </c>
      <c r="C21" s="127" t="s">
        <v>423</v>
      </c>
      <c r="D21" s="194">
        <f>HCl!M19</f>
        <v>60.2</v>
      </c>
      <c r="E21" s="194">
        <f>HCl!L19</f>
        <v>5.6499999999999995</v>
      </c>
      <c r="F21" s="194">
        <f>HCl!M34</f>
        <v>76.599999999999994</v>
      </c>
      <c r="G21" s="194">
        <f>HCl!L34</f>
        <v>4.083333333333333</v>
      </c>
      <c r="H21" s="195"/>
      <c r="I21" s="195"/>
      <c r="J21" s="195"/>
      <c r="K21" s="195"/>
      <c r="L21" s="195"/>
      <c r="M21" s="195"/>
    </row>
    <row r="22" spans="1:13" s="12" customFormat="1" ht="23.25" customHeight="1" x14ac:dyDescent="0.25">
      <c r="A22" s="196" t="s">
        <v>227</v>
      </c>
      <c r="B22" s="127" t="s">
        <v>413</v>
      </c>
      <c r="C22" s="127" t="s">
        <v>424</v>
      </c>
      <c r="D22" s="194">
        <f>'SO2'!O19</f>
        <v>24.6</v>
      </c>
      <c r="E22" s="194">
        <f>'SO2'!N19</f>
        <v>10.358333333333333</v>
      </c>
      <c r="F22" s="194">
        <f>'SO2'!O34</f>
        <v>39.1</v>
      </c>
      <c r="G22" s="194">
        <f>'SO2'!N34</f>
        <v>13.404166666666669</v>
      </c>
      <c r="H22" s="195"/>
      <c r="I22" s="195"/>
      <c r="J22" s="195"/>
      <c r="K22" s="195"/>
      <c r="L22" s="195"/>
      <c r="M22" s="195"/>
    </row>
    <row r="23" spans="1:13" s="12" customFormat="1" ht="23.25" customHeight="1" x14ac:dyDescent="0.25">
      <c r="A23" s="196"/>
      <c r="B23" s="127" t="s">
        <v>415</v>
      </c>
      <c r="C23" s="127" t="s">
        <v>414</v>
      </c>
      <c r="D23" s="194">
        <f>'SO2'!M19</f>
        <v>158.1</v>
      </c>
      <c r="E23" s="194">
        <f>'SO2'!L19</f>
        <v>10.358333333333333</v>
      </c>
      <c r="F23" s="194">
        <f>'SO2'!M34</f>
        <v>179.2</v>
      </c>
      <c r="G23" s="194">
        <f>'SO2'!L34</f>
        <v>13.4</v>
      </c>
      <c r="H23" s="195"/>
      <c r="I23" s="195"/>
      <c r="J23" s="195"/>
      <c r="K23" s="195"/>
      <c r="L23" s="195"/>
      <c r="M23" s="195"/>
    </row>
    <row r="24" spans="1:13" s="12" customFormat="1" ht="23.25" customHeight="1" x14ac:dyDescent="0.25">
      <c r="A24" s="196" t="s">
        <v>425</v>
      </c>
      <c r="B24" s="127" t="s">
        <v>413</v>
      </c>
      <c r="C24" s="127" t="s">
        <v>424</v>
      </c>
      <c r="D24" s="194">
        <f>'CO 95% 10 min'!Q19</f>
        <v>51</v>
      </c>
      <c r="E24" s="194">
        <f>'CO 95% 10 min'!P19</f>
        <v>7.180833333333335</v>
      </c>
      <c r="F24" s="194">
        <f>'CO 95% 10 min'!Q34</f>
        <v>77</v>
      </c>
      <c r="G24" s="194">
        <f>'CO 95% 10 min'!P34</f>
        <v>5.2450000000000001</v>
      </c>
      <c r="H24" s="195"/>
      <c r="I24" s="195"/>
      <c r="J24" s="195"/>
      <c r="K24" s="195"/>
      <c r="L24" s="195"/>
      <c r="M24" s="195"/>
    </row>
    <row r="25" spans="1:13" s="12" customFormat="1" ht="23.25" customHeight="1" x14ac:dyDescent="0.25">
      <c r="A25" s="196"/>
      <c r="B25" s="130" t="s">
        <v>426</v>
      </c>
      <c r="C25" s="130" t="s">
        <v>427</v>
      </c>
      <c r="D25" s="194">
        <f>'CO 95% 10 min'!N19</f>
        <v>89</v>
      </c>
      <c r="E25" s="194">
        <f>'CO 95% 10 min'!M19</f>
        <v>7.1816666666666675</v>
      </c>
      <c r="F25" s="194">
        <f>'CO 95% 10 min'!N34</f>
        <v>31</v>
      </c>
      <c r="G25" s="194">
        <f>'CO 95% 10 min'!M34</f>
        <v>5.2450000000000001</v>
      </c>
      <c r="H25" s="195"/>
      <c r="I25" s="195"/>
      <c r="J25" s="195"/>
      <c r="K25" s="195"/>
      <c r="L25" s="195"/>
      <c r="M25" s="195"/>
    </row>
    <row r="26" spans="1:13" s="12" customFormat="1" ht="23.25" customHeight="1" x14ac:dyDescent="0.25">
      <c r="A26" s="198" t="s">
        <v>428</v>
      </c>
      <c r="B26" s="199" t="s">
        <v>413</v>
      </c>
      <c r="C26" s="199" t="s">
        <v>429</v>
      </c>
      <c r="D26" s="200">
        <f>'NH3'!O19</f>
        <v>5.8</v>
      </c>
      <c r="E26" s="200">
        <f>'NH3'!N19</f>
        <v>1.6833333333333333</v>
      </c>
      <c r="F26" s="200">
        <f>'NH3'!O34</f>
        <v>5</v>
      </c>
      <c r="G26" s="200">
        <f>'NH3'!N34</f>
        <v>1.75</v>
      </c>
      <c r="H26" s="201"/>
      <c r="I26" s="201"/>
      <c r="J26" s="201"/>
      <c r="K26" s="201"/>
      <c r="L26" s="201"/>
      <c r="M26" s="201"/>
    </row>
    <row r="27" spans="1:13" s="12" customFormat="1" ht="23.25" customHeight="1" x14ac:dyDescent="0.25">
      <c r="A27" s="415" t="s">
        <v>430</v>
      </c>
      <c r="B27" s="416"/>
      <c r="C27" s="416"/>
      <c r="D27" s="416"/>
      <c r="E27" s="416"/>
      <c r="F27" s="416"/>
      <c r="G27" s="416"/>
      <c r="H27" s="416"/>
      <c r="I27" s="416"/>
      <c r="J27" s="416"/>
      <c r="K27" s="416"/>
      <c r="L27" s="416"/>
      <c r="M27" s="417"/>
    </row>
    <row r="28" spans="1:13" x14ac:dyDescent="0.25">
      <c r="A28" s="82" t="s">
        <v>320</v>
      </c>
      <c r="B28" s="83"/>
      <c r="C28" s="83"/>
      <c r="D28" s="83"/>
      <c r="E28" s="83"/>
      <c r="F28" s="83"/>
      <c r="G28" s="83"/>
      <c r="H28" s="83"/>
      <c r="I28" s="83"/>
      <c r="J28" s="83"/>
      <c r="K28" s="83"/>
      <c r="L28" s="83"/>
      <c r="M28" s="84"/>
    </row>
    <row r="29" spans="1:13" x14ac:dyDescent="0.25">
      <c r="A29" s="418"/>
      <c r="B29" s="418"/>
      <c r="C29" s="418"/>
      <c r="D29" s="418"/>
      <c r="E29" s="418"/>
      <c r="F29" s="418"/>
      <c r="G29" s="418"/>
      <c r="H29" s="418"/>
      <c r="I29" s="418"/>
      <c r="J29" s="418"/>
      <c r="K29" s="418"/>
      <c r="L29" s="418"/>
      <c r="M29" s="418"/>
    </row>
    <row r="30" spans="1:13" x14ac:dyDescent="0.25">
      <c r="A30" s="346"/>
      <c r="B30" s="346"/>
      <c r="C30" s="346"/>
      <c r="D30" s="346"/>
      <c r="E30" s="346"/>
      <c r="F30" s="346"/>
      <c r="G30" s="346"/>
      <c r="H30" s="346"/>
      <c r="I30" s="346"/>
      <c r="J30" s="346"/>
      <c r="K30" s="346"/>
      <c r="L30" s="346"/>
      <c r="M30" s="346"/>
    </row>
    <row r="67" spans="6:6" x14ac:dyDescent="0.25">
      <c r="F67" s="3"/>
    </row>
  </sheetData>
  <mergeCells count="14">
    <mergeCell ref="A27:M27"/>
    <mergeCell ref="A29:M30"/>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7" orientation="landscape" r:id="rId1"/>
  <headerFooter scaleWithDoc="0">
    <oddFooter>&amp;C&amp;"Arial,Regular"Page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52"/>
  <sheetViews>
    <sheetView topLeftCell="A7" workbookViewId="0">
      <selection activeCell="J36" sqref="J36:O79"/>
    </sheetView>
  </sheetViews>
  <sheetFormatPr defaultRowHeight="13.8" x14ac:dyDescent="0.25"/>
  <cols>
    <col min="1" max="1" width="14" style="3" customWidth="1"/>
    <col min="2"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66406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2" t="str">
        <f>+'Cover Page'!$B$29</f>
        <v>Annual Performance Report 2022</v>
      </c>
      <c r="B1" s="92"/>
      <c r="C1" s="92"/>
      <c r="D1" s="92"/>
      <c r="E1" s="92" t="str">
        <f>+'Cover Page'!$B$33</f>
        <v>Beddington Energy Recovery Facility</v>
      </c>
      <c r="F1" s="92"/>
      <c r="G1" s="92"/>
    </row>
    <row r="3" spans="1:19" ht="14.4" x14ac:dyDescent="0.3">
      <c r="A3" s="60" t="s">
        <v>431</v>
      </c>
      <c r="D3" s="76" t="s">
        <v>432</v>
      </c>
      <c r="G3" s="80" t="s">
        <v>433</v>
      </c>
      <c r="J3" s="9" t="str">
        <f>+A3</f>
        <v>Monitoring of Hydrogen Chloride emissions</v>
      </c>
      <c r="L3" s="9"/>
      <c r="N3" s="9" t="s">
        <v>434</v>
      </c>
      <c r="Q3" s="79" t="s">
        <v>2</v>
      </c>
      <c r="R3" s="74"/>
      <c r="S3" s="74"/>
    </row>
    <row r="4" spans="1:19" ht="13.95" customHeight="1" x14ac:dyDescent="0.25">
      <c r="Q4" s="429" t="s">
        <v>435</v>
      </c>
      <c r="R4" s="429"/>
      <c r="S4" s="429"/>
    </row>
    <row r="5" spans="1:19" ht="16.2" x14ac:dyDescent="0.25">
      <c r="A5" s="68" t="s">
        <v>436</v>
      </c>
      <c r="B5" s="423" t="s">
        <v>437</v>
      </c>
      <c r="C5" s="423"/>
      <c r="D5" s="423"/>
      <c r="E5" s="423" t="s">
        <v>438</v>
      </c>
      <c r="F5" s="423"/>
      <c r="G5" s="423"/>
      <c r="J5" s="422"/>
      <c r="K5" s="422"/>
      <c r="L5" s="422"/>
      <c r="M5" s="422"/>
      <c r="N5" s="422"/>
      <c r="O5" s="422"/>
      <c r="Q5" s="429"/>
      <c r="R5" s="429"/>
      <c r="S5" s="429"/>
    </row>
    <row r="6" spans="1:19" s="58" customFormat="1" ht="37.5" customHeight="1" x14ac:dyDescent="0.3">
      <c r="A6" s="65">
        <f>+'Cover Page'!C39</f>
        <v>2022</v>
      </c>
      <c r="B6" s="55" t="s">
        <v>439</v>
      </c>
      <c r="C6" s="55" t="s">
        <v>440</v>
      </c>
      <c r="D6" s="55" t="s">
        <v>441</v>
      </c>
      <c r="E6" s="55" t="s">
        <v>442</v>
      </c>
      <c r="F6" s="55" t="s">
        <v>443</v>
      </c>
      <c r="G6" s="55" t="s">
        <v>444</v>
      </c>
      <c r="H6" s="59"/>
      <c r="J6" s="61">
        <f>+A6</f>
        <v>2022</v>
      </c>
      <c r="K6" s="61" t="s">
        <v>445</v>
      </c>
      <c r="L6" s="67" t="s">
        <v>440</v>
      </c>
      <c r="M6" s="67" t="s">
        <v>446</v>
      </c>
      <c r="N6" s="67" t="s">
        <v>443</v>
      </c>
      <c r="O6" s="67" t="s">
        <v>447</v>
      </c>
      <c r="Q6" s="429"/>
      <c r="R6" s="429"/>
      <c r="S6" s="429"/>
    </row>
    <row r="7" spans="1:19" ht="13.95" customHeight="1" x14ac:dyDescent="0.25">
      <c r="A7" s="66" t="s">
        <v>448</v>
      </c>
      <c r="B7" s="63">
        <v>60</v>
      </c>
      <c r="C7" s="64"/>
      <c r="D7" s="64"/>
      <c r="E7" s="63">
        <v>10</v>
      </c>
      <c r="F7" s="64"/>
      <c r="G7" s="64"/>
      <c r="J7" s="428" t="s">
        <v>193</v>
      </c>
      <c r="K7" s="66" t="s">
        <v>448</v>
      </c>
      <c r="L7" s="102">
        <v>4.9000000000000004</v>
      </c>
      <c r="M7" s="102">
        <v>12.2</v>
      </c>
      <c r="N7" s="102">
        <v>4.9000000000000004</v>
      </c>
      <c r="O7" s="102">
        <v>6.1</v>
      </c>
      <c r="Q7" s="429"/>
      <c r="R7" s="429"/>
      <c r="S7" s="429"/>
    </row>
    <row r="8" spans="1:19" x14ac:dyDescent="0.25">
      <c r="A8" s="66" t="s">
        <v>449</v>
      </c>
      <c r="B8" s="63">
        <v>60</v>
      </c>
      <c r="C8" s="64"/>
      <c r="D8" s="64"/>
      <c r="E8" s="63">
        <v>10</v>
      </c>
      <c r="F8" s="64"/>
      <c r="G8" s="64"/>
      <c r="J8" s="428"/>
      <c r="K8" s="66" t="s">
        <v>449</v>
      </c>
      <c r="L8" s="102">
        <v>5.7</v>
      </c>
      <c r="M8" s="102">
        <v>15.7</v>
      </c>
      <c r="N8" s="102">
        <v>5.7</v>
      </c>
      <c r="O8" s="102">
        <v>6.6</v>
      </c>
      <c r="Q8" s="429"/>
      <c r="R8" s="429"/>
      <c r="S8" s="429"/>
    </row>
    <row r="9" spans="1:19" x14ac:dyDescent="0.25">
      <c r="A9" s="66" t="s">
        <v>450</v>
      </c>
      <c r="B9" s="63">
        <v>60</v>
      </c>
      <c r="C9" s="64"/>
      <c r="D9" s="64"/>
      <c r="E9" s="63">
        <v>10</v>
      </c>
      <c r="F9" s="64"/>
      <c r="G9" s="64"/>
      <c r="J9" s="428"/>
      <c r="K9" s="66" t="s">
        <v>450</v>
      </c>
      <c r="L9" s="102">
        <v>4.7</v>
      </c>
      <c r="M9" s="102">
        <v>10.8</v>
      </c>
      <c r="N9" s="102">
        <v>4.7</v>
      </c>
      <c r="O9" s="102">
        <v>6.5</v>
      </c>
      <c r="Q9" s="78" t="s">
        <v>451</v>
      </c>
    </row>
    <row r="10" spans="1:19" ht="13.95" customHeight="1" x14ac:dyDescent="0.25">
      <c r="A10" s="66" t="s">
        <v>452</v>
      </c>
      <c r="B10" s="63">
        <v>60</v>
      </c>
      <c r="C10" s="64"/>
      <c r="D10" s="64"/>
      <c r="E10" s="63">
        <v>10</v>
      </c>
      <c r="F10" s="64"/>
      <c r="G10" s="64"/>
      <c r="J10" s="428"/>
      <c r="K10" s="66" t="s">
        <v>452</v>
      </c>
      <c r="L10" s="102">
        <v>5.6</v>
      </c>
      <c r="M10" s="102">
        <v>16</v>
      </c>
      <c r="N10" s="102">
        <v>5.6</v>
      </c>
      <c r="O10" s="102">
        <v>6.5</v>
      </c>
      <c r="Q10" s="421" t="s">
        <v>453</v>
      </c>
      <c r="R10" s="421"/>
      <c r="S10" s="421"/>
    </row>
    <row r="11" spans="1:19" x14ac:dyDescent="0.25">
      <c r="A11" s="66" t="s">
        <v>454</v>
      </c>
      <c r="B11" s="63">
        <v>60</v>
      </c>
      <c r="C11" s="64"/>
      <c r="D11" s="64"/>
      <c r="E11" s="63">
        <v>10</v>
      </c>
      <c r="F11" s="64"/>
      <c r="G11" s="64"/>
      <c r="J11" s="428"/>
      <c r="K11" s="66" t="s">
        <v>454</v>
      </c>
      <c r="L11" s="102">
        <v>5.0999999999999996</v>
      </c>
      <c r="M11" s="102">
        <v>60.2</v>
      </c>
      <c r="N11" s="102">
        <v>5.0999999999999996</v>
      </c>
      <c r="O11" s="102">
        <v>7.1</v>
      </c>
      <c r="Q11" s="421"/>
      <c r="R11" s="421"/>
      <c r="S11" s="421"/>
    </row>
    <row r="12" spans="1:19" x14ac:dyDescent="0.25">
      <c r="A12" s="66" t="s">
        <v>455</v>
      </c>
      <c r="B12" s="63">
        <v>60</v>
      </c>
      <c r="C12" s="64"/>
      <c r="D12" s="64"/>
      <c r="E12" s="63">
        <v>10</v>
      </c>
      <c r="F12" s="64"/>
      <c r="G12" s="64"/>
      <c r="J12" s="428"/>
      <c r="K12" s="66" t="s">
        <v>455</v>
      </c>
      <c r="L12" s="102">
        <v>5.3</v>
      </c>
      <c r="M12" s="102">
        <v>12.5</v>
      </c>
      <c r="N12" s="102">
        <v>5.3</v>
      </c>
      <c r="O12" s="102">
        <v>7.1</v>
      </c>
      <c r="Q12" s="421"/>
      <c r="R12" s="421"/>
      <c r="S12" s="421"/>
    </row>
    <row r="13" spans="1:19" ht="13.95" customHeight="1" x14ac:dyDescent="0.25">
      <c r="A13" s="66" t="s">
        <v>456</v>
      </c>
      <c r="B13" s="63">
        <v>60</v>
      </c>
      <c r="C13" s="64"/>
      <c r="D13" s="64"/>
      <c r="E13" s="63">
        <v>10</v>
      </c>
      <c r="F13" s="64"/>
      <c r="G13" s="64"/>
      <c r="J13" s="428"/>
      <c r="K13" s="66" t="s">
        <v>456</v>
      </c>
      <c r="L13" s="102">
        <v>6.6</v>
      </c>
      <c r="M13" s="102">
        <v>14.8</v>
      </c>
      <c r="N13" s="102">
        <v>6.6</v>
      </c>
      <c r="O13" s="102">
        <v>7.4</v>
      </c>
      <c r="Q13" s="421" t="s">
        <v>457</v>
      </c>
      <c r="R13" s="421"/>
      <c r="S13" s="421"/>
    </row>
    <row r="14" spans="1:19" x14ac:dyDescent="0.25">
      <c r="A14" s="66" t="s">
        <v>458</v>
      </c>
      <c r="B14" s="63">
        <v>60</v>
      </c>
      <c r="C14" s="64"/>
      <c r="D14" s="64"/>
      <c r="E14" s="63">
        <v>10</v>
      </c>
      <c r="F14" s="64"/>
      <c r="G14" s="64"/>
      <c r="J14" s="428"/>
      <c r="K14" s="66" t="s">
        <v>458</v>
      </c>
      <c r="L14" s="102">
        <v>6.1</v>
      </c>
      <c r="M14" s="102">
        <v>18.3</v>
      </c>
      <c r="N14" s="102">
        <v>6.1</v>
      </c>
      <c r="O14" s="102">
        <v>7.1</v>
      </c>
      <c r="Q14" s="421"/>
      <c r="R14" s="421"/>
      <c r="S14" s="421"/>
    </row>
    <row r="15" spans="1:19" x14ac:dyDescent="0.25">
      <c r="A15" s="66" t="s">
        <v>459</v>
      </c>
      <c r="B15" s="63">
        <v>60</v>
      </c>
      <c r="C15" s="64"/>
      <c r="D15" s="64"/>
      <c r="E15" s="63">
        <v>10</v>
      </c>
      <c r="F15" s="64"/>
      <c r="G15" s="64"/>
      <c r="J15" s="428"/>
      <c r="K15" s="66" t="s">
        <v>459</v>
      </c>
      <c r="L15" s="102">
        <v>6.2</v>
      </c>
      <c r="M15" s="102">
        <v>20</v>
      </c>
      <c r="N15" s="102">
        <v>6.2</v>
      </c>
      <c r="O15" s="102">
        <v>7.8</v>
      </c>
      <c r="Q15" s="421"/>
      <c r="R15" s="421"/>
      <c r="S15" s="421"/>
    </row>
    <row r="16" spans="1:19" x14ac:dyDescent="0.25">
      <c r="A16" s="66" t="s">
        <v>460</v>
      </c>
      <c r="B16" s="63">
        <v>60</v>
      </c>
      <c r="C16" s="64"/>
      <c r="D16" s="64"/>
      <c r="E16" s="63">
        <v>10</v>
      </c>
      <c r="F16" s="64"/>
      <c r="G16" s="64"/>
      <c r="J16" s="428"/>
      <c r="K16" s="66" t="s">
        <v>460</v>
      </c>
      <c r="L16" s="102">
        <v>5.8</v>
      </c>
      <c r="M16" s="102">
        <v>12</v>
      </c>
      <c r="N16" s="102">
        <v>5.8</v>
      </c>
      <c r="O16" s="102">
        <v>7.3</v>
      </c>
      <c r="Q16" s="421"/>
      <c r="R16" s="421"/>
      <c r="S16" s="421"/>
    </row>
    <row r="17" spans="1:15" x14ac:dyDescent="0.25">
      <c r="A17" s="66" t="s">
        <v>461</v>
      </c>
      <c r="B17" s="63">
        <v>60</v>
      </c>
      <c r="C17" s="64"/>
      <c r="D17" s="64"/>
      <c r="E17" s="63">
        <v>10</v>
      </c>
      <c r="F17" s="64"/>
      <c r="G17" s="64"/>
      <c r="J17" s="428"/>
      <c r="K17" s="66" t="s">
        <v>461</v>
      </c>
      <c r="L17" s="102">
        <v>5.9</v>
      </c>
      <c r="M17" s="102">
        <v>14.9</v>
      </c>
      <c r="N17" s="102">
        <v>5.9</v>
      </c>
      <c r="O17" s="102">
        <v>7.5</v>
      </c>
    </row>
    <row r="18" spans="1:15" x14ac:dyDescent="0.25">
      <c r="A18" s="66" t="s">
        <v>462</v>
      </c>
      <c r="B18" s="63">
        <v>60</v>
      </c>
      <c r="C18" s="64"/>
      <c r="D18" s="64"/>
      <c r="E18" s="63">
        <v>10</v>
      </c>
      <c r="F18" s="64"/>
      <c r="G18" s="64"/>
      <c r="J18" s="428"/>
      <c r="K18" s="66" t="s">
        <v>462</v>
      </c>
      <c r="L18" s="102">
        <v>5.9</v>
      </c>
      <c r="M18" s="102">
        <v>33.1</v>
      </c>
      <c r="N18" s="102">
        <v>5.9</v>
      </c>
      <c r="O18" s="102">
        <v>7.2</v>
      </c>
    </row>
    <row r="19" spans="1:15" x14ac:dyDescent="0.25">
      <c r="J19" s="428"/>
      <c r="K19" s="62" t="s">
        <v>463</v>
      </c>
      <c r="L19" s="104">
        <f>AVERAGE(L7:L18)</f>
        <v>5.6499999999999995</v>
      </c>
      <c r="M19" s="104">
        <f>MAX(M7:M18)</f>
        <v>60.2</v>
      </c>
      <c r="N19" s="104">
        <f>AVERAGE(N7:N18)</f>
        <v>5.6499999999999995</v>
      </c>
      <c r="O19" s="104">
        <f>MAX(O7:O18)</f>
        <v>7.8</v>
      </c>
    </row>
    <row r="21" spans="1:15" ht="41.4" x14ac:dyDescent="0.25">
      <c r="J21" s="61">
        <f>+A6</f>
        <v>2022</v>
      </c>
      <c r="K21" s="61" t="s">
        <v>445</v>
      </c>
      <c r="L21" s="67" t="s">
        <v>440</v>
      </c>
      <c r="M21" s="67" t="s">
        <v>446</v>
      </c>
      <c r="N21" s="67" t="s">
        <v>443</v>
      </c>
      <c r="O21" s="67" t="s">
        <v>447</v>
      </c>
    </row>
    <row r="22" spans="1:15" x14ac:dyDescent="0.25">
      <c r="J22" s="428" t="s">
        <v>194</v>
      </c>
      <c r="K22" s="66" t="s">
        <v>448</v>
      </c>
      <c r="L22" s="102">
        <v>1.7</v>
      </c>
      <c r="M22" s="102">
        <v>3.9</v>
      </c>
      <c r="N22" s="102">
        <v>1.7</v>
      </c>
      <c r="O22" s="102">
        <v>2.4</v>
      </c>
    </row>
    <row r="23" spans="1:15" x14ac:dyDescent="0.25">
      <c r="J23" s="428"/>
      <c r="K23" s="66" t="s">
        <v>449</v>
      </c>
      <c r="L23" s="102">
        <v>2.6</v>
      </c>
      <c r="M23" s="102">
        <v>7</v>
      </c>
      <c r="N23" s="102">
        <v>2.6</v>
      </c>
      <c r="O23" s="102">
        <v>4.0999999999999996</v>
      </c>
    </row>
    <row r="24" spans="1:15" x14ac:dyDescent="0.25">
      <c r="J24" s="428"/>
      <c r="K24" s="66" t="s">
        <v>450</v>
      </c>
      <c r="L24" s="102">
        <v>4.5</v>
      </c>
      <c r="M24" s="102">
        <v>12.8</v>
      </c>
      <c r="N24" s="102">
        <v>4.5</v>
      </c>
      <c r="O24" s="102">
        <v>7.1</v>
      </c>
    </row>
    <row r="25" spans="1:15" x14ac:dyDescent="0.25">
      <c r="J25" s="428"/>
      <c r="K25" s="66" t="s">
        <v>452</v>
      </c>
      <c r="L25" s="102">
        <v>4.9000000000000004</v>
      </c>
      <c r="M25" s="102">
        <v>12.9</v>
      </c>
      <c r="N25" s="102">
        <v>4.9000000000000004</v>
      </c>
      <c r="O25" s="102">
        <v>6.7</v>
      </c>
    </row>
    <row r="26" spans="1:15" x14ac:dyDescent="0.25">
      <c r="J26" s="428"/>
      <c r="K26" s="66" t="s">
        <v>454</v>
      </c>
      <c r="L26" s="102">
        <v>5.3</v>
      </c>
      <c r="M26" s="102">
        <v>36</v>
      </c>
      <c r="N26" s="102">
        <v>5.3</v>
      </c>
      <c r="O26" s="102">
        <v>7.9</v>
      </c>
    </row>
    <row r="27" spans="1:15" x14ac:dyDescent="0.25">
      <c r="J27" s="428"/>
      <c r="K27" s="66" t="s">
        <v>455</v>
      </c>
      <c r="L27" s="102">
        <v>3.7</v>
      </c>
      <c r="M27" s="102">
        <v>12.2</v>
      </c>
      <c r="N27" s="102">
        <v>3.7</v>
      </c>
      <c r="O27" s="102">
        <v>6.3</v>
      </c>
    </row>
    <row r="28" spans="1:15" x14ac:dyDescent="0.25">
      <c r="J28" s="428"/>
      <c r="K28" s="66" t="s">
        <v>456</v>
      </c>
      <c r="L28" s="102">
        <v>5.4</v>
      </c>
      <c r="M28" s="102">
        <v>11.2</v>
      </c>
      <c r="N28" s="102">
        <v>5.4</v>
      </c>
      <c r="O28" s="102">
        <v>7</v>
      </c>
    </row>
    <row r="29" spans="1:15" x14ac:dyDescent="0.25">
      <c r="J29" s="428"/>
      <c r="K29" s="66" t="s">
        <v>458</v>
      </c>
      <c r="L29" s="102">
        <v>3.2</v>
      </c>
      <c r="M29" s="102">
        <v>10</v>
      </c>
      <c r="N29" s="102">
        <v>3.2</v>
      </c>
      <c r="O29" s="102">
        <v>5.7</v>
      </c>
    </row>
    <row r="30" spans="1:15" x14ac:dyDescent="0.25">
      <c r="J30" s="428"/>
      <c r="K30" s="66" t="s">
        <v>459</v>
      </c>
      <c r="L30" s="102">
        <v>4.8</v>
      </c>
      <c r="M30" s="102">
        <v>19.2</v>
      </c>
      <c r="N30" s="102">
        <v>4.8</v>
      </c>
      <c r="O30" s="102">
        <v>6.9</v>
      </c>
    </row>
    <row r="31" spans="1:15" x14ac:dyDescent="0.25">
      <c r="J31" s="428"/>
      <c r="K31" s="66" t="s">
        <v>460</v>
      </c>
      <c r="L31" s="102">
        <v>3.4</v>
      </c>
      <c r="M31" s="102">
        <v>16.600000000000001</v>
      </c>
      <c r="N31" s="102">
        <v>3.4</v>
      </c>
      <c r="O31" s="102">
        <v>6.3</v>
      </c>
    </row>
    <row r="32" spans="1:15" x14ac:dyDescent="0.25">
      <c r="J32" s="428"/>
      <c r="K32" s="66" t="s">
        <v>461</v>
      </c>
      <c r="L32" s="102">
        <v>5.2</v>
      </c>
      <c r="M32" s="102">
        <v>14.3</v>
      </c>
      <c r="N32" s="102">
        <v>5.2</v>
      </c>
      <c r="O32" s="102">
        <v>6.5</v>
      </c>
    </row>
    <row r="33" spans="1:15" x14ac:dyDescent="0.25">
      <c r="J33" s="428"/>
      <c r="K33" s="66" t="s">
        <v>462</v>
      </c>
      <c r="L33" s="102">
        <v>4.3</v>
      </c>
      <c r="M33" s="102">
        <v>76.599999999999994</v>
      </c>
      <c r="N33" s="102">
        <v>4.3</v>
      </c>
      <c r="O33" s="102">
        <v>8.1999999999999993</v>
      </c>
    </row>
    <row r="34" spans="1:15" x14ac:dyDescent="0.25">
      <c r="J34" s="428"/>
      <c r="K34" s="62" t="s">
        <v>463</v>
      </c>
      <c r="L34" s="104">
        <f>AVERAGE(L22:L33)</f>
        <v>4.083333333333333</v>
      </c>
      <c r="M34" s="104">
        <f>MAX(M22:M33)</f>
        <v>76.599999999999994</v>
      </c>
      <c r="N34" s="104">
        <f>AVERAGE(N22:N33)</f>
        <v>4.083333333333333</v>
      </c>
      <c r="O34" s="104">
        <f>MAX(O22:O33)</f>
        <v>8.1999999999999993</v>
      </c>
    </row>
    <row r="48" spans="1:15" x14ac:dyDescent="0.25">
      <c r="A48" s="400" t="s">
        <v>320</v>
      </c>
      <c r="B48" s="401"/>
      <c r="C48" s="401"/>
      <c r="D48" s="401"/>
      <c r="E48" s="401"/>
      <c r="F48" s="401"/>
      <c r="G48" s="427"/>
    </row>
    <row r="49" spans="1:7" x14ac:dyDescent="0.25">
      <c r="A49" s="402"/>
      <c r="B49" s="403"/>
      <c r="C49" s="403"/>
      <c r="D49" s="403"/>
      <c r="E49" s="403"/>
      <c r="F49" s="403"/>
      <c r="G49" s="404"/>
    </row>
    <row r="50" spans="1:7" x14ac:dyDescent="0.25">
      <c r="A50" s="424"/>
      <c r="B50" s="425"/>
      <c r="C50" s="425"/>
      <c r="D50" s="425"/>
      <c r="E50" s="425"/>
      <c r="F50" s="425"/>
      <c r="G50" s="426"/>
    </row>
    <row r="51" spans="1:7" x14ac:dyDescent="0.25">
      <c r="A51" s="424"/>
      <c r="B51" s="425"/>
      <c r="C51" s="425"/>
      <c r="D51" s="425"/>
      <c r="E51" s="425"/>
      <c r="F51" s="425"/>
      <c r="G51" s="426"/>
    </row>
    <row r="52" spans="1:7" x14ac:dyDescent="0.25">
      <c r="A52" s="405"/>
      <c r="B52" s="406"/>
      <c r="C52" s="406"/>
      <c r="D52" s="406"/>
      <c r="E52" s="406"/>
      <c r="F52" s="406"/>
      <c r="G52" s="407"/>
    </row>
  </sheetData>
  <mergeCells count="10">
    <mergeCell ref="Q13:S16"/>
    <mergeCell ref="J5:O5"/>
    <mergeCell ref="B5:D5"/>
    <mergeCell ref="E5:G5"/>
    <mergeCell ref="A49:G52"/>
    <mergeCell ref="A48:G48"/>
    <mergeCell ref="J7:J19"/>
    <mergeCell ref="J22:J34"/>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52"/>
  <sheetViews>
    <sheetView topLeftCell="A17" workbookViewId="0">
      <selection activeCell="L34" sqref="L34:O34"/>
    </sheetView>
  </sheetViews>
  <sheetFormatPr defaultRowHeight="13.8" x14ac:dyDescent="0.25"/>
  <cols>
    <col min="1" max="1" width="14" style="3" customWidth="1"/>
    <col min="2" max="4" width="17" style="35" customWidth="1"/>
    <col min="5" max="5" width="14.6640625" style="35" customWidth="1"/>
    <col min="6"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2"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2" t="str">
        <f>+'Cover Page'!$B$29</f>
        <v>Annual Performance Report 2022</v>
      </c>
      <c r="B1" s="92"/>
      <c r="C1" s="92"/>
      <c r="D1" s="92"/>
      <c r="E1" s="92" t="str">
        <f>+'Cover Page'!$B$33</f>
        <v>Beddington Energy Recovery Facility</v>
      </c>
      <c r="F1" s="92"/>
      <c r="G1" s="92"/>
    </row>
    <row r="3" spans="1:19" ht="14.4" x14ac:dyDescent="0.3">
      <c r="A3" s="60" t="s">
        <v>464</v>
      </c>
      <c r="D3" s="76" t="s">
        <v>432</v>
      </c>
      <c r="G3" s="80" t="s">
        <v>433</v>
      </c>
      <c r="J3" s="9" t="str">
        <f>+A3</f>
        <v>Monitoring of Sulphur dioxide emissions</v>
      </c>
      <c r="L3" s="9"/>
      <c r="N3" s="9" t="s">
        <v>434</v>
      </c>
      <c r="Q3" s="79" t="s">
        <v>2</v>
      </c>
      <c r="R3" s="74"/>
      <c r="S3" s="74"/>
    </row>
    <row r="4" spans="1:19" ht="13.95" customHeight="1" x14ac:dyDescent="0.25">
      <c r="Q4" s="429" t="s">
        <v>435</v>
      </c>
      <c r="R4" s="429"/>
      <c r="S4" s="429"/>
    </row>
    <row r="5" spans="1:19" ht="16.2" x14ac:dyDescent="0.25">
      <c r="A5" s="68" t="s">
        <v>436</v>
      </c>
      <c r="B5" s="423" t="s">
        <v>437</v>
      </c>
      <c r="C5" s="423"/>
      <c r="D5" s="423"/>
      <c r="E5" s="423" t="s">
        <v>438</v>
      </c>
      <c r="F5" s="423"/>
      <c r="G5" s="423"/>
      <c r="J5" s="422"/>
      <c r="K5" s="422"/>
      <c r="L5" s="422"/>
      <c r="M5" s="422"/>
      <c r="N5" s="422"/>
      <c r="O5" s="422"/>
      <c r="Q5" s="429"/>
      <c r="R5" s="429"/>
      <c r="S5" s="429"/>
    </row>
    <row r="6" spans="1:19" s="58" customFormat="1" ht="37.5" customHeight="1" x14ac:dyDescent="0.3">
      <c r="A6" s="65">
        <f>+'Cover Page'!C39</f>
        <v>2022</v>
      </c>
      <c r="B6" s="55" t="s">
        <v>465</v>
      </c>
      <c r="C6" s="55" t="s">
        <v>440</v>
      </c>
      <c r="D6" s="55" t="s">
        <v>441</v>
      </c>
      <c r="E6" s="55" t="s">
        <v>466</v>
      </c>
      <c r="F6" s="55" t="s">
        <v>443</v>
      </c>
      <c r="G6" s="55" t="s">
        <v>444</v>
      </c>
      <c r="H6" s="59"/>
      <c r="J6" s="61">
        <f>+A6</f>
        <v>2022</v>
      </c>
      <c r="K6" s="61" t="s">
        <v>445</v>
      </c>
      <c r="L6" s="67" t="s">
        <v>440</v>
      </c>
      <c r="M6" s="67" t="s">
        <v>446</v>
      </c>
      <c r="N6" s="67" t="s">
        <v>443</v>
      </c>
      <c r="O6" s="67" t="s">
        <v>447</v>
      </c>
      <c r="Q6" s="429"/>
      <c r="R6" s="429"/>
      <c r="S6" s="429"/>
    </row>
    <row r="7" spans="1:19" x14ac:dyDescent="0.25">
      <c r="A7" s="66" t="s">
        <v>448</v>
      </c>
      <c r="B7" s="63">
        <v>200</v>
      </c>
      <c r="C7" s="64"/>
      <c r="D7" s="64"/>
      <c r="E7" s="63">
        <v>50</v>
      </c>
      <c r="F7" s="64"/>
      <c r="G7" s="64"/>
      <c r="J7" s="428" t="s">
        <v>193</v>
      </c>
      <c r="K7" s="66" t="s">
        <v>448</v>
      </c>
      <c r="L7" s="102">
        <v>8.1</v>
      </c>
      <c r="M7" s="102">
        <v>63.1</v>
      </c>
      <c r="N7" s="102">
        <v>8.1</v>
      </c>
      <c r="O7" s="102">
        <v>12</v>
      </c>
      <c r="Q7" s="429"/>
      <c r="R7" s="429"/>
      <c r="S7" s="429"/>
    </row>
    <row r="8" spans="1:19" x14ac:dyDescent="0.25">
      <c r="A8" s="66" t="s">
        <v>449</v>
      </c>
      <c r="B8" s="63">
        <v>200</v>
      </c>
      <c r="C8" s="64"/>
      <c r="D8" s="64"/>
      <c r="E8" s="63">
        <v>50</v>
      </c>
      <c r="F8" s="64"/>
      <c r="G8" s="64"/>
      <c r="J8" s="428"/>
      <c r="K8" s="66" t="s">
        <v>449</v>
      </c>
      <c r="L8" s="102">
        <v>11.5</v>
      </c>
      <c r="M8" s="102">
        <v>104.5</v>
      </c>
      <c r="N8" s="102">
        <v>11.5</v>
      </c>
      <c r="O8" s="102">
        <v>23.3</v>
      </c>
      <c r="Q8" s="429"/>
      <c r="R8" s="429"/>
      <c r="S8" s="429"/>
    </row>
    <row r="9" spans="1:19" x14ac:dyDescent="0.25">
      <c r="A9" s="66" t="s">
        <v>450</v>
      </c>
      <c r="B9" s="63">
        <v>200</v>
      </c>
      <c r="C9" s="64"/>
      <c r="D9" s="64"/>
      <c r="E9" s="63">
        <v>50</v>
      </c>
      <c r="F9" s="64"/>
      <c r="G9" s="64"/>
      <c r="J9" s="428"/>
      <c r="K9" s="66" t="s">
        <v>450</v>
      </c>
      <c r="L9" s="102">
        <v>8.9</v>
      </c>
      <c r="M9" s="102">
        <v>64.900000000000006</v>
      </c>
      <c r="N9" s="102">
        <v>8.9</v>
      </c>
      <c r="O9" s="102">
        <v>13.6</v>
      </c>
      <c r="Q9" s="78" t="s">
        <v>451</v>
      </c>
    </row>
    <row r="10" spans="1:19" ht="14.25" customHeight="1" x14ac:dyDescent="0.25">
      <c r="A10" s="66" t="s">
        <v>452</v>
      </c>
      <c r="B10" s="63">
        <v>200</v>
      </c>
      <c r="C10" s="64"/>
      <c r="D10" s="64"/>
      <c r="E10" s="63">
        <v>50</v>
      </c>
      <c r="F10" s="64"/>
      <c r="G10" s="64"/>
      <c r="J10" s="428"/>
      <c r="K10" s="66" t="s">
        <v>452</v>
      </c>
      <c r="L10" s="102">
        <v>11</v>
      </c>
      <c r="M10" s="102">
        <v>91.4</v>
      </c>
      <c r="N10" s="102">
        <v>11</v>
      </c>
      <c r="O10" s="102">
        <v>20.2</v>
      </c>
      <c r="Q10" s="421" t="s">
        <v>453</v>
      </c>
      <c r="R10" s="421"/>
      <c r="S10" s="421"/>
    </row>
    <row r="11" spans="1:19" x14ac:dyDescent="0.25">
      <c r="A11" s="66" t="s">
        <v>454</v>
      </c>
      <c r="B11" s="63">
        <v>200</v>
      </c>
      <c r="C11" s="64"/>
      <c r="D11" s="64"/>
      <c r="E11" s="63">
        <v>50</v>
      </c>
      <c r="F11" s="64"/>
      <c r="G11" s="64"/>
      <c r="J11" s="428"/>
      <c r="K11" s="66" t="s">
        <v>454</v>
      </c>
      <c r="L11" s="102">
        <v>11.3</v>
      </c>
      <c r="M11" s="102">
        <v>70</v>
      </c>
      <c r="N11" s="102">
        <v>11.3</v>
      </c>
      <c r="O11" s="102">
        <v>18.100000000000001</v>
      </c>
      <c r="Q11" s="421"/>
      <c r="R11" s="421"/>
      <c r="S11" s="421"/>
    </row>
    <row r="12" spans="1:19" x14ac:dyDescent="0.25">
      <c r="A12" s="66" t="s">
        <v>455</v>
      </c>
      <c r="B12" s="63">
        <v>200</v>
      </c>
      <c r="C12" s="64"/>
      <c r="D12" s="64"/>
      <c r="E12" s="63">
        <v>50</v>
      </c>
      <c r="F12" s="64"/>
      <c r="G12" s="64"/>
      <c r="J12" s="428"/>
      <c r="K12" s="66" t="s">
        <v>455</v>
      </c>
      <c r="L12" s="102">
        <v>10.9</v>
      </c>
      <c r="M12" s="102">
        <v>80.900000000000006</v>
      </c>
      <c r="N12" s="102">
        <v>10.9</v>
      </c>
      <c r="O12" s="102">
        <v>20</v>
      </c>
      <c r="Q12" s="421"/>
      <c r="R12" s="421"/>
      <c r="S12" s="421"/>
    </row>
    <row r="13" spans="1:19" ht="14.25" customHeight="1" x14ac:dyDescent="0.25">
      <c r="A13" s="66" t="s">
        <v>456</v>
      </c>
      <c r="B13" s="63">
        <v>200</v>
      </c>
      <c r="C13" s="64"/>
      <c r="D13" s="64"/>
      <c r="E13" s="63">
        <v>50</v>
      </c>
      <c r="F13" s="64"/>
      <c r="G13" s="64"/>
      <c r="J13" s="428"/>
      <c r="K13" s="66" t="s">
        <v>456</v>
      </c>
      <c r="L13" s="102">
        <v>11</v>
      </c>
      <c r="M13" s="102">
        <v>96.9</v>
      </c>
      <c r="N13" s="102">
        <v>11</v>
      </c>
      <c r="O13" s="102">
        <v>17.600000000000001</v>
      </c>
      <c r="Q13" s="421" t="s">
        <v>457</v>
      </c>
      <c r="R13" s="421"/>
      <c r="S13" s="421"/>
    </row>
    <row r="14" spans="1:19" x14ac:dyDescent="0.25">
      <c r="A14" s="66" t="s">
        <v>458</v>
      </c>
      <c r="B14" s="63">
        <v>200</v>
      </c>
      <c r="C14" s="64"/>
      <c r="D14" s="64"/>
      <c r="E14" s="63">
        <v>50</v>
      </c>
      <c r="F14" s="64"/>
      <c r="G14" s="64"/>
      <c r="J14" s="428"/>
      <c r="K14" s="66" t="s">
        <v>458</v>
      </c>
      <c r="L14" s="102">
        <v>10.9</v>
      </c>
      <c r="M14" s="102">
        <v>158.1</v>
      </c>
      <c r="N14" s="102">
        <v>10.9</v>
      </c>
      <c r="O14" s="102">
        <v>16.8</v>
      </c>
      <c r="Q14" s="421"/>
      <c r="R14" s="421"/>
      <c r="S14" s="421"/>
    </row>
    <row r="15" spans="1:19" x14ac:dyDescent="0.25">
      <c r="A15" s="66" t="s">
        <v>459</v>
      </c>
      <c r="B15" s="63">
        <v>200</v>
      </c>
      <c r="C15" s="64"/>
      <c r="D15" s="64"/>
      <c r="E15" s="63">
        <v>50</v>
      </c>
      <c r="F15" s="64"/>
      <c r="G15" s="64"/>
      <c r="J15" s="428"/>
      <c r="K15" s="66" t="s">
        <v>459</v>
      </c>
      <c r="L15" s="102">
        <v>10.5</v>
      </c>
      <c r="M15" s="102">
        <v>85.4</v>
      </c>
      <c r="N15" s="102">
        <v>10.5</v>
      </c>
      <c r="O15" s="102">
        <v>20.5</v>
      </c>
      <c r="Q15" s="421"/>
      <c r="R15" s="421"/>
      <c r="S15" s="421"/>
    </row>
    <row r="16" spans="1:19" x14ac:dyDescent="0.25">
      <c r="A16" s="66" t="s">
        <v>460</v>
      </c>
      <c r="B16" s="63">
        <v>200</v>
      </c>
      <c r="C16" s="64"/>
      <c r="D16" s="64"/>
      <c r="E16" s="63">
        <v>50</v>
      </c>
      <c r="F16" s="64"/>
      <c r="G16" s="64"/>
      <c r="J16" s="428"/>
      <c r="K16" s="66" t="s">
        <v>460</v>
      </c>
      <c r="L16" s="102">
        <v>8</v>
      </c>
      <c r="M16" s="102">
        <v>89.3</v>
      </c>
      <c r="N16" s="102">
        <v>8</v>
      </c>
      <c r="O16" s="102">
        <v>15.3</v>
      </c>
      <c r="Q16" s="421"/>
      <c r="R16" s="421"/>
      <c r="S16" s="421"/>
    </row>
    <row r="17" spans="1:15" x14ac:dyDescent="0.25">
      <c r="A17" s="66" t="s">
        <v>461</v>
      </c>
      <c r="B17" s="63">
        <v>200</v>
      </c>
      <c r="C17" s="64"/>
      <c r="D17" s="64"/>
      <c r="E17" s="63">
        <v>50</v>
      </c>
      <c r="F17" s="64"/>
      <c r="G17" s="64"/>
      <c r="J17" s="428"/>
      <c r="K17" s="66" t="s">
        <v>461</v>
      </c>
      <c r="L17" s="102">
        <v>9.6</v>
      </c>
      <c r="M17" s="102">
        <v>124</v>
      </c>
      <c r="N17" s="102">
        <v>9.6</v>
      </c>
      <c r="O17" s="102">
        <v>24.6</v>
      </c>
    </row>
    <row r="18" spans="1:15" x14ac:dyDescent="0.25">
      <c r="A18" s="66" t="s">
        <v>462</v>
      </c>
      <c r="B18" s="63">
        <v>200</v>
      </c>
      <c r="C18" s="64"/>
      <c r="D18" s="64"/>
      <c r="E18" s="63">
        <v>50</v>
      </c>
      <c r="F18" s="64"/>
      <c r="G18" s="64"/>
      <c r="J18" s="428"/>
      <c r="K18" s="66" t="s">
        <v>462</v>
      </c>
      <c r="L18" s="102">
        <v>12.6</v>
      </c>
      <c r="M18" s="102">
        <v>135.4</v>
      </c>
      <c r="N18" s="102">
        <v>12.6</v>
      </c>
      <c r="O18" s="102">
        <v>20</v>
      </c>
    </row>
    <row r="19" spans="1:15" x14ac:dyDescent="0.25">
      <c r="J19" s="428"/>
      <c r="K19" s="62" t="s">
        <v>463</v>
      </c>
      <c r="L19" s="104">
        <f>AVERAGE(L7:L18)</f>
        <v>10.358333333333333</v>
      </c>
      <c r="M19" s="104">
        <f>MAX(M7:M18)</f>
        <v>158.1</v>
      </c>
      <c r="N19" s="104">
        <f>AVERAGE(N7:N18)</f>
        <v>10.358333333333333</v>
      </c>
      <c r="O19" s="104">
        <f>MAX(O7:O18)</f>
        <v>24.6</v>
      </c>
    </row>
    <row r="21" spans="1:15" ht="41.4" x14ac:dyDescent="0.25">
      <c r="J21" s="61">
        <f>+A6</f>
        <v>2022</v>
      </c>
      <c r="K21" s="61" t="s">
        <v>445</v>
      </c>
      <c r="L21" s="67" t="s">
        <v>440</v>
      </c>
      <c r="M21" s="67" t="s">
        <v>446</v>
      </c>
      <c r="N21" s="67" t="s">
        <v>443</v>
      </c>
      <c r="O21" s="67" t="s">
        <v>447</v>
      </c>
    </row>
    <row r="22" spans="1:15" x14ac:dyDescent="0.25">
      <c r="J22" s="428" t="s">
        <v>194</v>
      </c>
      <c r="K22" s="66" t="s">
        <v>448</v>
      </c>
      <c r="L22" s="102">
        <v>7.3</v>
      </c>
      <c r="M22" s="102">
        <v>87.5</v>
      </c>
      <c r="N22" s="102">
        <v>7.35</v>
      </c>
      <c r="O22" s="102">
        <v>14.1</v>
      </c>
    </row>
    <row r="23" spans="1:15" x14ac:dyDescent="0.25">
      <c r="J23" s="428"/>
      <c r="K23" s="66" t="s">
        <v>449</v>
      </c>
      <c r="L23" s="102">
        <v>6.9</v>
      </c>
      <c r="M23" s="102">
        <v>50.8</v>
      </c>
      <c r="N23" s="102">
        <v>6.9</v>
      </c>
      <c r="O23" s="102">
        <v>12.3</v>
      </c>
    </row>
    <row r="24" spans="1:15" x14ac:dyDescent="0.25">
      <c r="J24" s="428"/>
      <c r="K24" s="66" t="s">
        <v>450</v>
      </c>
      <c r="L24" s="102">
        <v>5.9</v>
      </c>
      <c r="M24" s="102">
        <v>41.6</v>
      </c>
      <c r="N24" s="102">
        <v>5.9</v>
      </c>
      <c r="O24" s="102">
        <v>10.199999999999999</v>
      </c>
    </row>
    <row r="25" spans="1:15" x14ac:dyDescent="0.25">
      <c r="J25" s="428"/>
      <c r="K25" s="66" t="s">
        <v>452</v>
      </c>
      <c r="L25" s="102">
        <v>6.6</v>
      </c>
      <c r="M25" s="102">
        <v>69</v>
      </c>
      <c r="N25" s="102">
        <v>6.6</v>
      </c>
      <c r="O25" s="102">
        <v>11.2</v>
      </c>
    </row>
    <row r="26" spans="1:15" x14ac:dyDescent="0.25">
      <c r="J26" s="428"/>
      <c r="K26" s="66" t="s">
        <v>454</v>
      </c>
      <c r="L26" s="102">
        <v>18.399999999999999</v>
      </c>
      <c r="M26" s="102">
        <v>118.6</v>
      </c>
      <c r="N26" s="102">
        <v>18.399999999999999</v>
      </c>
      <c r="O26" s="102">
        <v>39.1</v>
      </c>
    </row>
    <row r="27" spans="1:15" x14ac:dyDescent="0.25">
      <c r="J27" s="428"/>
      <c r="K27" s="66" t="s">
        <v>455</v>
      </c>
      <c r="L27" s="102">
        <v>14.5</v>
      </c>
      <c r="M27" s="102">
        <v>75</v>
      </c>
      <c r="N27" s="102">
        <v>14.5</v>
      </c>
      <c r="O27" s="102">
        <v>26.9</v>
      </c>
    </row>
    <row r="28" spans="1:15" x14ac:dyDescent="0.25">
      <c r="J28" s="428"/>
      <c r="K28" s="66" t="s">
        <v>456</v>
      </c>
      <c r="L28" s="102">
        <v>15</v>
      </c>
      <c r="M28" s="102">
        <v>120.1</v>
      </c>
      <c r="N28" s="102">
        <v>15</v>
      </c>
      <c r="O28" s="102">
        <v>22.5</v>
      </c>
    </row>
    <row r="29" spans="1:15" x14ac:dyDescent="0.25">
      <c r="J29" s="428"/>
      <c r="K29" s="66" t="s">
        <v>458</v>
      </c>
      <c r="L29" s="102">
        <v>16.7</v>
      </c>
      <c r="M29" s="102">
        <v>125.9</v>
      </c>
      <c r="N29" s="102">
        <v>16.7</v>
      </c>
      <c r="O29" s="102">
        <v>33.299999999999997</v>
      </c>
    </row>
    <row r="30" spans="1:15" x14ac:dyDescent="0.25">
      <c r="J30" s="428"/>
      <c r="K30" s="66" t="s">
        <v>459</v>
      </c>
      <c r="L30" s="102">
        <v>18.3</v>
      </c>
      <c r="M30" s="102">
        <v>130.30000000000001</v>
      </c>
      <c r="N30" s="102">
        <v>18.3</v>
      </c>
      <c r="O30" s="102">
        <v>28.6</v>
      </c>
    </row>
    <row r="31" spans="1:15" x14ac:dyDescent="0.25">
      <c r="J31" s="428"/>
      <c r="K31" s="66" t="s">
        <v>460</v>
      </c>
      <c r="L31" s="102">
        <v>14.6</v>
      </c>
      <c r="M31" s="102">
        <v>132</v>
      </c>
      <c r="N31" s="102">
        <v>14.6</v>
      </c>
      <c r="O31" s="102">
        <v>30.5</v>
      </c>
    </row>
    <row r="32" spans="1:15" x14ac:dyDescent="0.25">
      <c r="J32" s="428"/>
      <c r="K32" s="66" t="s">
        <v>461</v>
      </c>
      <c r="L32" s="102">
        <v>18.3</v>
      </c>
      <c r="M32" s="102">
        <v>125.1</v>
      </c>
      <c r="N32" s="102">
        <v>18.3</v>
      </c>
      <c r="O32" s="102">
        <v>30.5</v>
      </c>
    </row>
    <row r="33" spans="1:15" x14ac:dyDescent="0.25">
      <c r="J33" s="428"/>
      <c r="K33" s="66" t="s">
        <v>462</v>
      </c>
      <c r="L33" s="102">
        <v>18.3</v>
      </c>
      <c r="M33" s="102">
        <v>179.2</v>
      </c>
      <c r="N33" s="102">
        <v>18.3</v>
      </c>
      <c r="O33" s="102">
        <v>31.9</v>
      </c>
    </row>
    <row r="34" spans="1:15" x14ac:dyDescent="0.25">
      <c r="J34" s="428"/>
      <c r="K34" s="62" t="s">
        <v>463</v>
      </c>
      <c r="L34" s="104">
        <f>AVERAGE(L22:L33)</f>
        <v>13.4</v>
      </c>
      <c r="M34" s="104">
        <f>MAX(M22:M33)</f>
        <v>179.2</v>
      </c>
      <c r="N34" s="104">
        <f>AVERAGE(N22:N33)</f>
        <v>13.404166666666669</v>
      </c>
      <c r="O34" s="104">
        <f>MAX(O22:O33)</f>
        <v>39.1</v>
      </c>
    </row>
    <row r="48" spans="1:15" x14ac:dyDescent="0.25">
      <c r="A48" s="400" t="s">
        <v>320</v>
      </c>
      <c r="B48" s="401"/>
      <c r="C48" s="401"/>
      <c r="D48" s="401"/>
      <c r="E48" s="401"/>
      <c r="F48" s="401"/>
      <c r="G48" s="427"/>
    </row>
    <row r="49" spans="1:7" x14ac:dyDescent="0.25">
      <c r="A49" s="402"/>
      <c r="B49" s="403"/>
      <c r="C49" s="403"/>
      <c r="D49" s="403"/>
      <c r="E49" s="403"/>
      <c r="F49" s="403"/>
      <c r="G49" s="404"/>
    </row>
    <row r="50" spans="1:7" x14ac:dyDescent="0.25">
      <c r="A50" s="424"/>
      <c r="B50" s="425"/>
      <c r="C50" s="425"/>
      <c r="D50" s="425"/>
      <c r="E50" s="425"/>
      <c r="F50" s="425"/>
      <c r="G50" s="426"/>
    </row>
    <row r="51" spans="1:7" x14ac:dyDescent="0.25">
      <c r="A51" s="424"/>
      <c r="B51" s="425"/>
      <c r="C51" s="425"/>
      <c r="D51" s="425"/>
      <c r="E51" s="425"/>
      <c r="F51" s="425"/>
      <c r="G51" s="426"/>
    </row>
    <row r="52" spans="1:7" x14ac:dyDescent="0.25">
      <c r="A52" s="405"/>
      <c r="B52" s="406"/>
      <c r="C52" s="406"/>
      <c r="D52" s="406"/>
      <c r="E52" s="406"/>
      <c r="F52" s="406"/>
      <c r="G52" s="407"/>
    </row>
  </sheetData>
  <mergeCells count="10">
    <mergeCell ref="J22:J34"/>
    <mergeCell ref="A48:G48"/>
    <mergeCell ref="A49:G52"/>
    <mergeCell ref="Q4:S8"/>
    <mergeCell ref="Q10:S12"/>
    <mergeCell ref="Q13:S16"/>
    <mergeCell ref="B5:D5"/>
    <mergeCell ref="E5:G5"/>
    <mergeCell ref="J5:O5"/>
    <mergeCell ref="J7:J19"/>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52"/>
  <sheetViews>
    <sheetView topLeftCell="A3" workbookViewId="0">
      <selection activeCell="O19" sqref="O19"/>
    </sheetView>
  </sheetViews>
  <sheetFormatPr defaultRowHeight="13.8" x14ac:dyDescent="0.25"/>
  <cols>
    <col min="1" max="1" width="14" style="3" customWidth="1"/>
    <col min="2" max="4" width="17" style="35" customWidth="1"/>
    <col min="5" max="5" width="14.6640625" style="35" customWidth="1"/>
    <col min="6"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554687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2" t="str">
        <f>+'Cover Page'!$B$29</f>
        <v>Annual Performance Report 2022</v>
      </c>
      <c r="B1" s="92"/>
      <c r="C1" s="92"/>
      <c r="D1" s="92"/>
      <c r="E1" s="92" t="str">
        <f>+'Cover Page'!$B$33</f>
        <v>Beddington Energy Recovery Facility</v>
      </c>
      <c r="F1" s="92"/>
    </row>
    <row r="3" spans="1:19" ht="14.4" x14ac:dyDescent="0.3">
      <c r="A3" s="60" t="s">
        <v>467</v>
      </c>
      <c r="D3" s="76" t="s">
        <v>432</v>
      </c>
      <c r="G3" s="80" t="s">
        <v>433</v>
      </c>
      <c r="J3" s="9" t="str">
        <f>+A3</f>
        <v>Monitoring of Oxides of Nitrogen emissions</v>
      </c>
      <c r="L3" s="9"/>
      <c r="N3" s="9" t="s">
        <v>434</v>
      </c>
      <c r="Q3" s="79" t="s">
        <v>2</v>
      </c>
      <c r="R3" s="74"/>
      <c r="S3" s="74"/>
    </row>
    <row r="4" spans="1:19" ht="13.95" customHeight="1" x14ac:dyDescent="0.25">
      <c r="Q4" s="429" t="s">
        <v>435</v>
      </c>
      <c r="R4" s="429"/>
      <c r="S4" s="429"/>
    </row>
    <row r="5" spans="1:19" ht="16.2" x14ac:dyDescent="0.25">
      <c r="A5" s="68" t="s">
        <v>436</v>
      </c>
      <c r="B5" s="423" t="s">
        <v>437</v>
      </c>
      <c r="C5" s="423"/>
      <c r="D5" s="423"/>
      <c r="E5" s="423" t="s">
        <v>438</v>
      </c>
      <c r="F5" s="423"/>
      <c r="G5" s="423"/>
      <c r="J5" s="422"/>
      <c r="K5" s="422"/>
      <c r="L5" s="422"/>
      <c r="M5" s="422"/>
      <c r="N5" s="422"/>
      <c r="O5" s="422"/>
      <c r="Q5" s="429"/>
      <c r="R5" s="429"/>
      <c r="S5" s="429"/>
    </row>
    <row r="6" spans="1:19" s="58" customFormat="1" ht="37.5" customHeight="1" x14ac:dyDescent="0.3">
      <c r="A6" s="65">
        <f>+'Cover Page'!C39</f>
        <v>2022</v>
      </c>
      <c r="B6" s="55" t="s">
        <v>468</v>
      </c>
      <c r="C6" s="55" t="s">
        <v>440</v>
      </c>
      <c r="D6" s="55" t="s">
        <v>441</v>
      </c>
      <c r="E6" s="55" t="s">
        <v>469</v>
      </c>
      <c r="F6" s="55" t="s">
        <v>443</v>
      </c>
      <c r="G6" s="55" t="s">
        <v>444</v>
      </c>
      <c r="H6" s="59"/>
      <c r="J6" s="61">
        <f>+A6</f>
        <v>2022</v>
      </c>
      <c r="K6" s="61" t="s">
        <v>445</v>
      </c>
      <c r="L6" s="67" t="s">
        <v>440</v>
      </c>
      <c r="M6" s="67" t="s">
        <v>446</v>
      </c>
      <c r="N6" s="67" t="s">
        <v>443</v>
      </c>
      <c r="O6" s="67" t="s">
        <v>447</v>
      </c>
      <c r="Q6" s="429"/>
      <c r="R6" s="429"/>
      <c r="S6" s="429"/>
    </row>
    <row r="7" spans="1:19" x14ac:dyDescent="0.25">
      <c r="A7" s="66" t="s">
        <v>448</v>
      </c>
      <c r="B7" s="63">
        <v>400</v>
      </c>
      <c r="C7" s="64"/>
      <c r="D7" s="64"/>
      <c r="E7" s="63">
        <v>200</v>
      </c>
      <c r="F7" s="64"/>
      <c r="G7" s="64"/>
      <c r="J7" s="428" t="s">
        <v>193</v>
      </c>
      <c r="K7" s="66" t="s">
        <v>448</v>
      </c>
      <c r="L7" s="102">
        <v>146</v>
      </c>
      <c r="M7" s="102">
        <v>207</v>
      </c>
      <c r="N7" s="102">
        <v>146</v>
      </c>
      <c r="O7" s="102">
        <v>147</v>
      </c>
      <c r="Q7" s="429"/>
      <c r="R7" s="429"/>
      <c r="S7" s="429"/>
    </row>
    <row r="8" spans="1:19" x14ac:dyDescent="0.25">
      <c r="A8" s="66" t="s">
        <v>449</v>
      </c>
      <c r="B8" s="63">
        <v>400</v>
      </c>
      <c r="C8" s="64"/>
      <c r="D8" s="64"/>
      <c r="E8" s="63">
        <v>200</v>
      </c>
      <c r="F8" s="64"/>
      <c r="G8" s="64"/>
      <c r="J8" s="428"/>
      <c r="K8" s="66" t="s">
        <v>449</v>
      </c>
      <c r="L8" s="102">
        <v>146</v>
      </c>
      <c r="M8" s="102">
        <v>178</v>
      </c>
      <c r="N8" s="102">
        <v>146</v>
      </c>
      <c r="O8" s="102">
        <v>148</v>
      </c>
      <c r="Q8" s="429"/>
      <c r="R8" s="429"/>
      <c r="S8" s="429"/>
    </row>
    <row r="9" spans="1:19" x14ac:dyDescent="0.25">
      <c r="A9" s="66" t="s">
        <v>450</v>
      </c>
      <c r="B9" s="63">
        <v>400</v>
      </c>
      <c r="C9" s="64"/>
      <c r="D9" s="64"/>
      <c r="E9" s="63">
        <v>200</v>
      </c>
      <c r="F9" s="64"/>
      <c r="G9" s="64"/>
      <c r="J9" s="428"/>
      <c r="K9" s="66" t="s">
        <v>450</v>
      </c>
      <c r="L9" s="102">
        <v>147</v>
      </c>
      <c r="M9" s="102">
        <v>183</v>
      </c>
      <c r="N9" s="102">
        <v>147</v>
      </c>
      <c r="O9" s="102">
        <v>152</v>
      </c>
      <c r="Q9" s="78" t="s">
        <v>451</v>
      </c>
    </row>
    <row r="10" spans="1:19" ht="14.25" customHeight="1" x14ac:dyDescent="0.25">
      <c r="A10" s="66" t="s">
        <v>452</v>
      </c>
      <c r="B10" s="63">
        <v>400</v>
      </c>
      <c r="C10" s="64"/>
      <c r="D10" s="64"/>
      <c r="E10" s="63">
        <v>200</v>
      </c>
      <c r="F10" s="64"/>
      <c r="G10" s="64"/>
      <c r="J10" s="428"/>
      <c r="K10" s="66" t="s">
        <v>452</v>
      </c>
      <c r="L10" s="102">
        <v>149</v>
      </c>
      <c r="M10" s="102">
        <v>270</v>
      </c>
      <c r="N10" s="102">
        <v>149</v>
      </c>
      <c r="O10" s="102">
        <v>156</v>
      </c>
      <c r="Q10" s="421" t="s">
        <v>453</v>
      </c>
      <c r="R10" s="421"/>
      <c r="S10" s="421"/>
    </row>
    <row r="11" spans="1:19" x14ac:dyDescent="0.25">
      <c r="A11" s="66" t="s">
        <v>454</v>
      </c>
      <c r="B11" s="63">
        <v>400</v>
      </c>
      <c r="C11" s="64"/>
      <c r="D11" s="64"/>
      <c r="E11" s="63">
        <v>200</v>
      </c>
      <c r="F11" s="64"/>
      <c r="G11" s="64"/>
      <c r="J11" s="428"/>
      <c r="K11" s="66" t="s">
        <v>454</v>
      </c>
      <c r="L11" s="102">
        <v>71</v>
      </c>
      <c r="M11" s="102">
        <v>308</v>
      </c>
      <c r="N11" s="102">
        <v>158</v>
      </c>
      <c r="O11" s="102">
        <v>158</v>
      </c>
      <c r="Q11" s="421"/>
      <c r="R11" s="421"/>
      <c r="S11" s="421"/>
    </row>
    <row r="12" spans="1:19" x14ac:dyDescent="0.25">
      <c r="A12" s="66" t="s">
        <v>455</v>
      </c>
      <c r="B12" s="63">
        <v>400</v>
      </c>
      <c r="C12" s="64"/>
      <c r="D12" s="64"/>
      <c r="E12" s="63">
        <v>200</v>
      </c>
      <c r="F12" s="64"/>
      <c r="G12" s="64"/>
      <c r="J12" s="428"/>
      <c r="K12" s="66" t="s">
        <v>455</v>
      </c>
      <c r="L12" s="102">
        <v>150</v>
      </c>
      <c r="M12" s="102">
        <v>208</v>
      </c>
      <c r="N12" s="102">
        <v>150</v>
      </c>
      <c r="O12" s="102">
        <v>152</v>
      </c>
      <c r="Q12" s="421"/>
      <c r="R12" s="421"/>
      <c r="S12" s="421"/>
    </row>
    <row r="13" spans="1:19" ht="14.25" customHeight="1" x14ac:dyDescent="0.25">
      <c r="A13" s="66" t="s">
        <v>456</v>
      </c>
      <c r="B13" s="63">
        <v>400</v>
      </c>
      <c r="C13" s="64"/>
      <c r="D13" s="64"/>
      <c r="E13" s="63">
        <v>200</v>
      </c>
      <c r="F13" s="64"/>
      <c r="G13" s="64"/>
      <c r="J13" s="428"/>
      <c r="K13" s="66" t="s">
        <v>456</v>
      </c>
      <c r="L13" s="102">
        <v>148</v>
      </c>
      <c r="M13" s="102">
        <v>267</v>
      </c>
      <c r="N13" s="102">
        <v>148</v>
      </c>
      <c r="O13" s="102">
        <v>149</v>
      </c>
      <c r="Q13" s="421" t="s">
        <v>457</v>
      </c>
      <c r="R13" s="421"/>
      <c r="S13" s="421"/>
    </row>
    <row r="14" spans="1:19" x14ac:dyDescent="0.25">
      <c r="A14" s="66" t="s">
        <v>458</v>
      </c>
      <c r="B14" s="63">
        <v>400</v>
      </c>
      <c r="C14" s="64"/>
      <c r="D14" s="64"/>
      <c r="E14" s="63">
        <v>200</v>
      </c>
      <c r="F14" s="64"/>
      <c r="G14" s="64"/>
      <c r="J14" s="428"/>
      <c r="K14" s="66" t="s">
        <v>458</v>
      </c>
      <c r="L14" s="102">
        <v>150</v>
      </c>
      <c r="M14" s="102">
        <v>257</v>
      </c>
      <c r="N14" s="102">
        <v>150</v>
      </c>
      <c r="O14" s="102">
        <v>154</v>
      </c>
      <c r="Q14" s="421"/>
      <c r="R14" s="421"/>
      <c r="S14" s="421"/>
    </row>
    <row r="15" spans="1:19" x14ac:dyDescent="0.25">
      <c r="A15" s="66" t="s">
        <v>459</v>
      </c>
      <c r="B15" s="63">
        <v>400</v>
      </c>
      <c r="C15" s="64"/>
      <c r="D15" s="64"/>
      <c r="E15" s="63">
        <v>200</v>
      </c>
      <c r="F15" s="64"/>
      <c r="G15" s="64"/>
      <c r="J15" s="428"/>
      <c r="K15" s="66" t="s">
        <v>459</v>
      </c>
      <c r="L15" s="102">
        <v>151</v>
      </c>
      <c r="M15" s="102">
        <v>233</v>
      </c>
      <c r="N15" s="102">
        <v>151</v>
      </c>
      <c r="O15" s="102">
        <v>158</v>
      </c>
      <c r="Q15" s="421"/>
      <c r="R15" s="421"/>
      <c r="S15" s="421"/>
    </row>
    <row r="16" spans="1:19" x14ac:dyDescent="0.25">
      <c r="A16" s="66" t="s">
        <v>460</v>
      </c>
      <c r="B16" s="63">
        <v>400</v>
      </c>
      <c r="C16" s="64"/>
      <c r="D16" s="64"/>
      <c r="E16" s="63">
        <v>200</v>
      </c>
      <c r="F16" s="64"/>
      <c r="G16" s="64"/>
      <c r="J16" s="428"/>
      <c r="K16" s="66" t="s">
        <v>460</v>
      </c>
      <c r="L16" s="102">
        <v>153</v>
      </c>
      <c r="M16" s="102">
        <v>187</v>
      </c>
      <c r="N16" s="102">
        <v>153</v>
      </c>
      <c r="O16" s="102">
        <v>155</v>
      </c>
      <c r="Q16" s="421"/>
      <c r="R16" s="421"/>
      <c r="S16" s="421"/>
    </row>
    <row r="17" spans="1:15" x14ac:dyDescent="0.25">
      <c r="A17" s="66" t="s">
        <v>461</v>
      </c>
      <c r="B17" s="63">
        <v>400</v>
      </c>
      <c r="C17" s="64"/>
      <c r="D17" s="64"/>
      <c r="E17" s="63">
        <v>200</v>
      </c>
      <c r="F17" s="64"/>
      <c r="G17" s="64"/>
      <c r="J17" s="428"/>
      <c r="K17" s="66" t="s">
        <v>461</v>
      </c>
      <c r="L17" s="102">
        <v>156</v>
      </c>
      <c r="M17" s="102">
        <v>206</v>
      </c>
      <c r="N17" s="102">
        <v>156</v>
      </c>
      <c r="O17" s="102">
        <v>167</v>
      </c>
    </row>
    <row r="18" spans="1:15" x14ac:dyDescent="0.25">
      <c r="A18" s="66" t="s">
        <v>462</v>
      </c>
      <c r="B18" s="63">
        <v>400</v>
      </c>
      <c r="C18" s="64"/>
      <c r="D18" s="64"/>
      <c r="E18" s="63">
        <v>200</v>
      </c>
      <c r="F18" s="64"/>
      <c r="G18" s="64"/>
      <c r="J18" s="428"/>
      <c r="K18" s="66" t="s">
        <v>462</v>
      </c>
      <c r="L18" s="102">
        <v>157</v>
      </c>
      <c r="M18" s="102">
        <v>212</v>
      </c>
      <c r="N18" s="102">
        <v>157</v>
      </c>
      <c r="O18" s="102">
        <v>158</v>
      </c>
    </row>
    <row r="19" spans="1:15" x14ac:dyDescent="0.25">
      <c r="J19" s="428"/>
      <c r="K19" s="62" t="s">
        <v>463</v>
      </c>
      <c r="L19" s="104">
        <f>AVERAGE(L7:L18)</f>
        <v>143.66666666666666</v>
      </c>
      <c r="M19" s="104">
        <f>MAX(M7:M18)</f>
        <v>308</v>
      </c>
      <c r="N19" s="104">
        <f>AVERAGE(N7:N18)</f>
        <v>150.91666666666666</v>
      </c>
      <c r="O19" s="104">
        <f>MAX(O7:O18)</f>
        <v>167</v>
      </c>
    </row>
    <row r="21" spans="1:15" ht="41.4" x14ac:dyDescent="0.25">
      <c r="J21" s="61">
        <f>+A6</f>
        <v>2022</v>
      </c>
      <c r="K21" s="61" t="s">
        <v>445</v>
      </c>
      <c r="L21" s="67" t="s">
        <v>440</v>
      </c>
      <c r="M21" s="67" t="s">
        <v>446</v>
      </c>
      <c r="N21" s="67" t="s">
        <v>443</v>
      </c>
      <c r="O21" s="67" t="s">
        <v>447</v>
      </c>
    </row>
    <row r="22" spans="1:15" x14ac:dyDescent="0.25">
      <c r="J22" s="428" t="s">
        <v>194</v>
      </c>
      <c r="K22" s="66" t="s">
        <v>448</v>
      </c>
      <c r="L22" s="102">
        <v>141</v>
      </c>
      <c r="M22" s="102">
        <v>190</v>
      </c>
      <c r="N22" s="102">
        <v>141</v>
      </c>
      <c r="O22" s="102">
        <v>142</v>
      </c>
    </row>
    <row r="23" spans="1:15" x14ac:dyDescent="0.25">
      <c r="J23" s="428"/>
      <c r="K23" s="66" t="s">
        <v>449</v>
      </c>
      <c r="L23" s="102">
        <v>141</v>
      </c>
      <c r="M23" s="102">
        <v>159</v>
      </c>
      <c r="N23" s="102">
        <v>141</v>
      </c>
      <c r="O23" s="102">
        <v>142</v>
      </c>
    </row>
    <row r="24" spans="1:15" x14ac:dyDescent="0.25">
      <c r="J24" s="428"/>
      <c r="K24" s="66" t="s">
        <v>450</v>
      </c>
      <c r="L24" s="102">
        <v>146</v>
      </c>
      <c r="M24" s="102">
        <v>180</v>
      </c>
      <c r="N24" s="102">
        <v>146</v>
      </c>
      <c r="O24" s="102">
        <v>150</v>
      </c>
    </row>
    <row r="25" spans="1:15" x14ac:dyDescent="0.25">
      <c r="J25" s="428"/>
      <c r="K25" s="66" t="s">
        <v>452</v>
      </c>
      <c r="L25" s="102">
        <v>147</v>
      </c>
      <c r="M25" s="102">
        <v>238</v>
      </c>
      <c r="N25" s="102">
        <v>147</v>
      </c>
      <c r="O25" s="102">
        <v>151</v>
      </c>
    </row>
    <row r="26" spans="1:15" x14ac:dyDescent="0.25">
      <c r="J26" s="428"/>
      <c r="K26" s="66" t="s">
        <v>454</v>
      </c>
      <c r="L26" s="102">
        <v>141</v>
      </c>
      <c r="M26" s="102">
        <v>313</v>
      </c>
      <c r="N26" s="102">
        <v>141</v>
      </c>
      <c r="O26" s="102">
        <v>146</v>
      </c>
    </row>
    <row r="27" spans="1:15" x14ac:dyDescent="0.25">
      <c r="J27" s="428"/>
      <c r="K27" s="66" t="s">
        <v>455</v>
      </c>
      <c r="L27" s="102">
        <v>144</v>
      </c>
      <c r="M27" s="102">
        <v>247</v>
      </c>
      <c r="N27" s="102">
        <v>144</v>
      </c>
      <c r="O27" s="102">
        <v>151</v>
      </c>
    </row>
    <row r="28" spans="1:15" x14ac:dyDescent="0.25">
      <c r="J28" s="428"/>
      <c r="K28" s="66" t="s">
        <v>456</v>
      </c>
      <c r="L28" s="102">
        <v>143</v>
      </c>
      <c r="M28" s="102">
        <v>295</v>
      </c>
      <c r="N28" s="102">
        <v>143</v>
      </c>
      <c r="O28" s="102">
        <v>152</v>
      </c>
    </row>
    <row r="29" spans="1:15" x14ac:dyDescent="0.25">
      <c r="J29" s="428"/>
      <c r="K29" s="66" t="s">
        <v>458</v>
      </c>
      <c r="L29" s="102">
        <v>148</v>
      </c>
      <c r="M29" s="102">
        <v>258</v>
      </c>
      <c r="N29" s="102">
        <v>148</v>
      </c>
      <c r="O29" s="102">
        <v>158</v>
      </c>
    </row>
    <row r="30" spans="1:15" x14ac:dyDescent="0.25">
      <c r="J30" s="428"/>
      <c r="K30" s="66" t="s">
        <v>459</v>
      </c>
      <c r="L30" s="102">
        <v>155</v>
      </c>
      <c r="M30" s="102">
        <v>272</v>
      </c>
      <c r="N30" s="102">
        <v>155</v>
      </c>
      <c r="O30" s="102">
        <v>159</v>
      </c>
    </row>
    <row r="31" spans="1:15" x14ac:dyDescent="0.25">
      <c r="J31" s="428"/>
      <c r="K31" s="66" t="s">
        <v>460</v>
      </c>
      <c r="L31" s="102">
        <v>157</v>
      </c>
      <c r="M31" s="102">
        <v>208</v>
      </c>
      <c r="N31" s="102">
        <v>157</v>
      </c>
      <c r="O31" s="102">
        <v>160</v>
      </c>
    </row>
    <row r="32" spans="1:15" x14ac:dyDescent="0.25">
      <c r="J32" s="428"/>
      <c r="K32" s="66" t="s">
        <v>461</v>
      </c>
      <c r="L32" s="102">
        <v>157</v>
      </c>
      <c r="M32" s="102">
        <v>221</v>
      </c>
      <c r="N32" s="116">
        <v>157</v>
      </c>
      <c r="O32" s="102">
        <v>161</v>
      </c>
    </row>
    <row r="33" spans="1:15" x14ac:dyDescent="0.25">
      <c r="J33" s="428"/>
      <c r="K33" s="66" t="s">
        <v>462</v>
      </c>
      <c r="L33" s="102"/>
      <c r="M33" s="102">
        <v>262</v>
      </c>
      <c r="N33" s="102"/>
      <c r="O33" s="102">
        <v>158</v>
      </c>
    </row>
    <row r="34" spans="1:15" x14ac:dyDescent="0.25">
      <c r="J34" s="428"/>
      <c r="K34" s="62" t="s">
        <v>463</v>
      </c>
      <c r="L34" s="103">
        <f>AVERAGE(L22:L33)</f>
        <v>147.27272727272728</v>
      </c>
      <c r="M34" s="103">
        <f>MAX(M22:M33)</f>
        <v>313</v>
      </c>
      <c r="N34" s="103">
        <f>AVERAGE(N22:N33)</f>
        <v>147.27272727272728</v>
      </c>
      <c r="O34" s="103">
        <f>MAX(O22:O33)</f>
        <v>161</v>
      </c>
    </row>
    <row r="48" spans="1:15" x14ac:dyDescent="0.25">
      <c r="A48" s="400" t="s">
        <v>320</v>
      </c>
      <c r="B48" s="401"/>
      <c r="C48" s="401"/>
      <c r="D48" s="401"/>
      <c r="E48" s="401"/>
      <c r="F48" s="401"/>
      <c r="G48" s="427"/>
    </row>
    <row r="49" spans="1:7" x14ac:dyDescent="0.25">
      <c r="A49" s="402"/>
      <c r="B49" s="403"/>
      <c r="C49" s="403"/>
      <c r="D49" s="403"/>
      <c r="E49" s="403"/>
      <c r="F49" s="403"/>
      <c r="G49" s="404"/>
    </row>
    <row r="50" spans="1:7" x14ac:dyDescent="0.25">
      <c r="A50" s="424"/>
      <c r="B50" s="425"/>
      <c r="C50" s="425"/>
      <c r="D50" s="425"/>
      <c r="E50" s="425"/>
      <c r="F50" s="425"/>
      <c r="G50" s="426"/>
    </row>
    <row r="51" spans="1:7" x14ac:dyDescent="0.25">
      <c r="A51" s="424"/>
      <c r="B51" s="425"/>
      <c r="C51" s="425"/>
      <c r="D51" s="425"/>
      <c r="E51" s="425"/>
      <c r="F51" s="425"/>
      <c r="G51" s="426"/>
    </row>
    <row r="52" spans="1:7" x14ac:dyDescent="0.25">
      <c r="A52" s="405"/>
      <c r="B52" s="406"/>
      <c r="C52" s="406"/>
      <c r="D52" s="406"/>
      <c r="E52" s="406"/>
      <c r="F52" s="406"/>
      <c r="G52" s="407"/>
    </row>
  </sheetData>
  <mergeCells count="10">
    <mergeCell ref="J22:J34"/>
    <mergeCell ref="A48:G48"/>
    <mergeCell ref="A49:G52"/>
    <mergeCell ref="Q4:S8"/>
    <mergeCell ref="Q10:S12"/>
    <mergeCell ref="Q13:S16"/>
    <mergeCell ref="B5:D5"/>
    <mergeCell ref="E5:G5"/>
    <mergeCell ref="J5:O5"/>
    <mergeCell ref="J7:J19"/>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52"/>
  <sheetViews>
    <sheetView topLeftCell="A5" workbookViewId="0">
      <selection activeCell="L32" sqref="L31:L32"/>
    </sheetView>
  </sheetViews>
  <sheetFormatPr defaultRowHeight="13.8" x14ac:dyDescent="0.25"/>
  <cols>
    <col min="1" max="1" width="14" style="3" customWidth="1"/>
    <col min="2" max="4" width="17" style="35" customWidth="1"/>
    <col min="5" max="5" width="14.6640625" style="35" customWidth="1"/>
    <col min="6"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66406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2" t="str">
        <f>+'Cover Page'!$B$29</f>
        <v>Annual Performance Report 2022</v>
      </c>
      <c r="B1" s="92"/>
      <c r="C1" s="92"/>
      <c r="D1" s="92"/>
      <c r="E1" s="92" t="str">
        <f>+'Cover Page'!$B$33</f>
        <v>Beddington Energy Recovery Facility</v>
      </c>
    </row>
    <row r="3" spans="1:19" ht="14.4" x14ac:dyDescent="0.3">
      <c r="A3" s="60" t="s">
        <v>470</v>
      </c>
      <c r="D3" s="76" t="s">
        <v>432</v>
      </c>
      <c r="G3" s="80" t="s">
        <v>433</v>
      </c>
      <c r="J3" s="9" t="str">
        <f>+A3</f>
        <v>Monitoring of Total organic carbon emissions</v>
      </c>
      <c r="L3" s="9"/>
      <c r="N3" s="9" t="s">
        <v>434</v>
      </c>
      <c r="Q3" s="79" t="s">
        <v>2</v>
      </c>
      <c r="R3" s="74"/>
      <c r="S3" s="74"/>
    </row>
    <row r="4" spans="1:19" ht="13.95" customHeight="1" x14ac:dyDescent="0.25">
      <c r="Q4" s="429" t="s">
        <v>435</v>
      </c>
      <c r="R4" s="429"/>
      <c r="S4" s="429"/>
    </row>
    <row r="5" spans="1:19" ht="16.2" x14ac:dyDescent="0.25">
      <c r="A5" s="68" t="s">
        <v>436</v>
      </c>
      <c r="B5" s="423" t="s">
        <v>437</v>
      </c>
      <c r="C5" s="423"/>
      <c r="D5" s="423"/>
      <c r="E5" s="423" t="s">
        <v>438</v>
      </c>
      <c r="F5" s="423"/>
      <c r="G5" s="423"/>
      <c r="J5" s="422"/>
      <c r="K5" s="422"/>
      <c r="L5" s="422"/>
      <c r="M5" s="422"/>
      <c r="N5" s="422"/>
      <c r="O5" s="422"/>
      <c r="Q5" s="429"/>
      <c r="R5" s="429"/>
      <c r="S5" s="429"/>
    </row>
    <row r="6" spans="1:19" s="58" customFormat="1" ht="37.5" customHeight="1" x14ac:dyDescent="0.3">
      <c r="A6" s="65">
        <f>+'Cover Page'!C39</f>
        <v>2022</v>
      </c>
      <c r="B6" s="55" t="s">
        <v>471</v>
      </c>
      <c r="C6" s="55" t="s">
        <v>440</v>
      </c>
      <c r="D6" s="55" t="s">
        <v>441</v>
      </c>
      <c r="E6" s="55" t="s">
        <v>472</v>
      </c>
      <c r="F6" s="55" t="s">
        <v>443</v>
      </c>
      <c r="G6" s="55" t="s">
        <v>444</v>
      </c>
      <c r="H6" s="59"/>
      <c r="J6" s="61">
        <f>+A6</f>
        <v>2022</v>
      </c>
      <c r="K6" s="61" t="s">
        <v>445</v>
      </c>
      <c r="L6" s="67" t="s">
        <v>440</v>
      </c>
      <c r="M6" s="67" t="s">
        <v>446</v>
      </c>
      <c r="N6" s="67" t="s">
        <v>443</v>
      </c>
      <c r="O6" s="67" t="s">
        <v>447</v>
      </c>
      <c r="Q6" s="429"/>
      <c r="R6" s="429"/>
      <c r="S6" s="429"/>
    </row>
    <row r="7" spans="1:19" x14ac:dyDescent="0.25">
      <c r="A7" s="66" t="s">
        <v>448</v>
      </c>
      <c r="B7" s="63">
        <v>20</v>
      </c>
      <c r="C7" s="64"/>
      <c r="D7" s="64"/>
      <c r="E7" s="63">
        <v>10</v>
      </c>
      <c r="F7" s="64"/>
      <c r="G7" s="64"/>
      <c r="J7" s="428" t="s">
        <v>193</v>
      </c>
      <c r="K7" s="66" t="s">
        <v>448</v>
      </c>
      <c r="L7" s="102">
        <v>0.4</v>
      </c>
      <c r="M7" s="102">
        <v>10.7</v>
      </c>
      <c r="N7" s="102">
        <v>0.4</v>
      </c>
      <c r="O7" s="102">
        <v>0.7</v>
      </c>
      <c r="Q7" s="429"/>
      <c r="R7" s="429"/>
      <c r="S7" s="429"/>
    </row>
    <row r="8" spans="1:19" x14ac:dyDescent="0.25">
      <c r="A8" s="66" t="s">
        <v>449</v>
      </c>
      <c r="B8" s="63">
        <v>20</v>
      </c>
      <c r="C8" s="64"/>
      <c r="D8" s="64"/>
      <c r="E8" s="63">
        <v>10</v>
      </c>
      <c r="F8" s="64"/>
      <c r="G8" s="64"/>
      <c r="J8" s="428"/>
      <c r="K8" s="66" t="s">
        <v>449</v>
      </c>
      <c r="L8" s="102">
        <v>0.2</v>
      </c>
      <c r="M8" s="102">
        <v>4.2</v>
      </c>
      <c r="N8" s="102">
        <v>0.2</v>
      </c>
      <c r="O8" s="102">
        <v>0.4</v>
      </c>
      <c r="Q8" s="429"/>
      <c r="R8" s="429"/>
      <c r="S8" s="429"/>
    </row>
    <row r="9" spans="1:19" x14ac:dyDescent="0.25">
      <c r="A9" s="66" t="s">
        <v>450</v>
      </c>
      <c r="B9" s="63">
        <v>20</v>
      </c>
      <c r="C9" s="64"/>
      <c r="D9" s="64"/>
      <c r="E9" s="63">
        <v>10</v>
      </c>
      <c r="F9" s="64"/>
      <c r="G9" s="64"/>
      <c r="J9" s="428"/>
      <c r="K9" s="66" t="s">
        <v>450</v>
      </c>
      <c r="L9" s="102">
        <v>0.2</v>
      </c>
      <c r="M9" s="102">
        <v>5.6</v>
      </c>
      <c r="N9" s="102">
        <v>0.2</v>
      </c>
      <c r="O9" s="102">
        <v>0.6</v>
      </c>
      <c r="Q9" s="78" t="s">
        <v>451</v>
      </c>
    </row>
    <row r="10" spans="1:19" ht="14.25" customHeight="1" x14ac:dyDescent="0.25">
      <c r="A10" s="66" t="s">
        <v>452</v>
      </c>
      <c r="B10" s="63">
        <v>20</v>
      </c>
      <c r="C10" s="64"/>
      <c r="D10" s="64"/>
      <c r="E10" s="63">
        <v>10</v>
      </c>
      <c r="F10" s="64"/>
      <c r="G10" s="64"/>
      <c r="J10" s="428"/>
      <c r="K10" s="66" t="s">
        <v>452</v>
      </c>
      <c r="L10" s="102">
        <v>0.2</v>
      </c>
      <c r="M10" s="102">
        <v>6.2</v>
      </c>
      <c r="N10" s="102">
        <v>0.2</v>
      </c>
      <c r="O10" s="102">
        <v>0.4</v>
      </c>
      <c r="Q10" s="421" t="s">
        <v>453</v>
      </c>
      <c r="R10" s="421"/>
      <c r="S10" s="421"/>
    </row>
    <row r="11" spans="1:19" x14ac:dyDescent="0.25">
      <c r="A11" s="66" t="s">
        <v>454</v>
      </c>
      <c r="B11" s="63">
        <v>20</v>
      </c>
      <c r="C11" s="64"/>
      <c r="D11" s="64"/>
      <c r="E11" s="63">
        <v>10</v>
      </c>
      <c r="F11" s="64"/>
      <c r="G11" s="64"/>
      <c r="J11" s="428"/>
      <c r="K11" s="66" t="s">
        <v>454</v>
      </c>
      <c r="L11" s="102">
        <v>0</v>
      </c>
      <c r="M11" s="102">
        <v>19.600000000000001</v>
      </c>
      <c r="N11" s="102">
        <v>0</v>
      </c>
      <c r="O11" s="102">
        <v>0.4</v>
      </c>
      <c r="Q11" s="421"/>
      <c r="R11" s="421"/>
      <c r="S11" s="421"/>
    </row>
    <row r="12" spans="1:19" x14ac:dyDescent="0.25">
      <c r="A12" s="66" t="s">
        <v>455</v>
      </c>
      <c r="B12" s="63">
        <v>20</v>
      </c>
      <c r="C12" s="64"/>
      <c r="D12" s="64"/>
      <c r="E12" s="63">
        <v>10</v>
      </c>
      <c r="F12" s="64"/>
      <c r="G12" s="64"/>
      <c r="J12" s="428"/>
      <c r="K12" s="66" t="s">
        <v>455</v>
      </c>
      <c r="L12" s="102">
        <v>0.3</v>
      </c>
      <c r="M12" s="102">
        <v>35.200000000000003</v>
      </c>
      <c r="N12" s="102">
        <v>0.3</v>
      </c>
      <c r="O12" s="102">
        <v>0.9</v>
      </c>
      <c r="Q12" s="421"/>
      <c r="R12" s="421"/>
      <c r="S12" s="421"/>
    </row>
    <row r="13" spans="1:19" ht="14.25" customHeight="1" x14ac:dyDescent="0.25">
      <c r="A13" s="66" t="s">
        <v>456</v>
      </c>
      <c r="B13" s="63">
        <v>20</v>
      </c>
      <c r="C13" s="64"/>
      <c r="D13" s="64"/>
      <c r="E13" s="63">
        <v>10</v>
      </c>
      <c r="F13" s="64"/>
      <c r="G13" s="64"/>
      <c r="J13" s="428"/>
      <c r="K13" s="66" t="s">
        <v>456</v>
      </c>
      <c r="L13" s="102">
        <v>0.8</v>
      </c>
      <c r="M13" s="102">
        <v>7.9</v>
      </c>
      <c r="N13" s="102">
        <v>0.8</v>
      </c>
      <c r="O13" s="102">
        <v>0.9</v>
      </c>
      <c r="Q13" s="421" t="s">
        <v>457</v>
      </c>
      <c r="R13" s="421"/>
      <c r="S13" s="421"/>
    </row>
    <row r="14" spans="1:19" x14ac:dyDescent="0.25">
      <c r="A14" s="66" t="s">
        <v>458</v>
      </c>
      <c r="B14" s="63">
        <v>20</v>
      </c>
      <c r="C14" s="64"/>
      <c r="D14" s="64"/>
      <c r="E14" s="63">
        <v>10</v>
      </c>
      <c r="F14" s="64"/>
      <c r="G14" s="64"/>
      <c r="J14" s="428"/>
      <c r="K14" s="66" t="s">
        <v>458</v>
      </c>
      <c r="L14" s="102">
        <v>1</v>
      </c>
      <c r="M14" s="102">
        <v>17.7</v>
      </c>
      <c r="N14" s="102">
        <v>1</v>
      </c>
      <c r="O14" s="102">
        <v>1.5</v>
      </c>
      <c r="Q14" s="421"/>
      <c r="R14" s="421"/>
      <c r="S14" s="421"/>
    </row>
    <row r="15" spans="1:19" x14ac:dyDescent="0.25">
      <c r="A15" s="66" t="s">
        <v>459</v>
      </c>
      <c r="B15" s="63">
        <v>20</v>
      </c>
      <c r="C15" s="64"/>
      <c r="D15" s="64"/>
      <c r="E15" s="63">
        <v>10</v>
      </c>
      <c r="F15" s="64"/>
      <c r="G15" s="64"/>
      <c r="J15" s="428"/>
      <c r="K15" s="66" t="s">
        <v>459</v>
      </c>
      <c r="L15" s="102">
        <v>1.3</v>
      </c>
      <c r="M15" s="102">
        <v>22.3</v>
      </c>
      <c r="N15" s="102">
        <v>1.3</v>
      </c>
      <c r="O15" s="102">
        <v>1.8</v>
      </c>
      <c r="Q15" s="421"/>
      <c r="R15" s="421"/>
      <c r="S15" s="421"/>
    </row>
    <row r="16" spans="1:19" x14ac:dyDescent="0.25">
      <c r="A16" s="66" t="s">
        <v>460</v>
      </c>
      <c r="B16" s="63">
        <v>20</v>
      </c>
      <c r="C16" s="64"/>
      <c r="D16" s="64"/>
      <c r="E16" s="63">
        <v>10</v>
      </c>
      <c r="F16" s="64"/>
      <c r="G16" s="64"/>
      <c r="J16" s="428"/>
      <c r="K16" s="66" t="s">
        <v>460</v>
      </c>
      <c r="L16" s="102">
        <v>1.8</v>
      </c>
      <c r="M16" s="102">
        <v>10.5</v>
      </c>
      <c r="N16" s="102">
        <v>1.8</v>
      </c>
      <c r="O16" s="102">
        <v>2.4</v>
      </c>
      <c r="Q16" s="421"/>
      <c r="R16" s="421"/>
      <c r="S16" s="421"/>
    </row>
    <row r="17" spans="1:15" x14ac:dyDescent="0.25">
      <c r="A17" s="66" t="s">
        <v>461</v>
      </c>
      <c r="B17" s="63">
        <v>20</v>
      </c>
      <c r="C17" s="64"/>
      <c r="D17" s="64"/>
      <c r="E17" s="63">
        <v>10</v>
      </c>
      <c r="F17" s="64"/>
      <c r="G17" s="64"/>
      <c r="J17" s="428"/>
      <c r="K17" s="66" t="s">
        <v>461</v>
      </c>
      <c r="L17" s="102">
        <v>1</v>
      </c>
      <c r="M17" s="102">
        <v>8.6</v>
      </c>
      <c r="N17" s="102">
        <v>1</v>
      </c>
      <c r="O17" s="102">
        <v>1.7</v>
      </c>
    </row>
    <row r="18" spans="1:15" x14ac:dyDescent="0.25">
      <c r="A18" s="66" t="s">
        <v>462</v>
      </c>
      <c r="B18" s="63">
        <v>20</v>
      </c>
      <c r="C18" s="64"/>
      <c r="D18" s="64"/>
      <c r="E18" s="63">
        <v>10</v>
      </c>
      <c r="F18" s="64"/>
      <c r="G18" s="64"/>
      <c r="J18" s="428"/>
      <c r="K18" s="66" t="s">
        <v>462</v>
      </c>
      <c r="L18" s="102">
        <v>0.6</v>
      </c>
      <c r="M18" s="102">
        <v>6</v>
      </c>
      <c r="N18" s="102">
        <v>0.6</v>
      </c>
      <c r="O18" s="102">
        <v>0.7</v>
      </c>
    </row>
    <row r="19" spans="1:15" x14ac:dyDescent="0.25">
      <c r="J19" s="428"/>
      <c r="K19" s="62" t="s">
        <v>463</v>
      </c>
      <c r="L19" s="62">
        <f>AVERAGE(L7:L18)</f>
        <v>0.65</v>
      </c>
      <c r="M19" s="62">
        <f>MAX(M7:M18)</f>
        <v>35.200000000000003</v>
      </c>
      <c r="N19" s="62">
        <f>AVERAGE(N7:N18)</f>
        <v>0.65</v>
      </c>
      <c r="O19" s="62">
        <f>MAX(O7:O18)</f>
        <v>2.4</v>
      </c>
    </row>
    <row r="21" spans="1:15" ht="41.4" x14ac:dyDescent="0.25">
      <c r="J21" s="61">
        <f>+A6</f>
        <v>2022</v>
      </c>
      <c r="K21" s="61" t="s">
        <v>445</v>
      </c>
      <c r="L21" s="67" t="s">
        <v>440</v>
      </c>
      <c r="M21" s="67" t="s">
        <v>446</v>
      </c>
      <c r="N21" s="67" t="s">
        <v>443</v>
      </c>
      <c r="O21" s="67" t="s">
        <v>447</v>
      </c>
    </row>
    <row r="22" spans="1:15" x14ac:dyDescent="0.25">
      <c r="J22" s="428" t="s">
        <v>194</v>
      </c>
      <c r="K22" s="66" t="s">
        <v>448</v>
      </c>
      <c r="L22" s="102">
        <v>0.7</v>
      </c>
      <c r="M22" s="102">
        <v>15.9</v>
      </c>
      <c r="N22" s="102">
        <v>0.7</v>
      </c>
      <c r="O22" s="102">
        <v>1.2</v>
      </c>
    </row>
    <row r="23" spans="1:15" x14ac:dyDescent="0.25">
      <c r="J23" s="428"/>
      <c r="K23" s="66" t="s">
        <v>449</v>
      </c>
      <c r="L23" s="102">
        <v>0.5</v>
      </c>
      <c r="M23" s="102">
        <v>8.1999999999999993</v>
      </c>
      <c r="N23" s="102">
        <v>0.5</v>
      </c>
      <c r="O23" s="102">
        <v>0.8</v>
      </c>
    </row>
    <row r="24" spans="1:15" x14ac:dyDescent="0.25">
      <c r="J24" s="428"/>
      <c r="K24" s="66" t="s">
        <v>450</v>
      </c>
      <c r="L24" s="102">
        <v>0.2</v>
      </c>
      <c r="M24" s="102">
        <v>2.1</v>
      </c>
      <c r="N24" s="102">
        <v>0.2</v>
      </c>
      <c r="O24" s="102">
        <v>0.3</v>
      </c>
    </row>
    <row r="25" spans="1:15" x14ac:dyDescent="0.25">
      <c r="J25" s="428"/>
      <c r="K25" s="66" t="s">
        <v>452</v>
      </c>
      <c r="L25" s="102">
        <v>0.1</v>
      </c>
      <c r="M25" s="102">
        <v>12.4</v>
      </c>
      <c r="N25" s="102">
        <v>0.1</v>
      </c>
      <c r="O25" s="102">
        <v>0.6</v>
      </c>
    </row>
    <row r="26" spans="1:15" x14ac:dyDescent="0.25">
      <c r="J26" s="428"/>
      <c r="K26" s="66" t="s">
        <v>454</v>
      </c>
      <c r="L26" s="102">
        <v>0.3</v>
      </c>
      <c r="M26" s="102">
        <v>29.4</v>
      </c>
      <c r="N26" s="102">
        <v>0.3</v>
      </c>
      <c r="O26" s="102">
        <v>0.8</v>
      </c>
    </row>
    <row r="27" spans="1:15" x14ac:dyDescent="0.25">
      <c r="J27" s="428"/>
      <c r="K27" s="66" t="s">
        <v>455</v>
      </c>
      <c r="L27" s="102">
        <v>0.2</v>
      </c>
      <c r="M27" s="102">
        <v>12.4</v>
      </c>
      <c r="N27" s="102">
        <v>0.2</v>
      </c>
      <c r="O27" s="102">
        <v>0.7</v>
      </c>
    </row>
    <row r="28" spans="1:15" x14ac:dyDescent="0.25">
      <c r="J28" s="428"/>
      <c r="K28" s="66" t="s">
        <v>456</v>
      </c>
      <c r="L28" s="102">
        <v>0.4</v>
      </c>
      <c r="M28" s="102">
        <v>13.7</v>
      </c>
      <c r="N28" s="102">
        <v>0.4</v>
      </c>
      <c r="O28" s="102">
        <v>0.8</v>
      </c>
    </row>
    <row r="29" spans="1:15" x14ac:dyDescent="0.25">
      <c r="J29" s="428"/>
      <c r="K29" s="66" t="s">
        <v>458</v>
      </c>
      <c r="L29" s="102">
        <v>0.5</v>
      </c>
      <c r="M29" s="102">
        <v>5.9</v>
      </c>
      <c r="N29" s="102">
        <v>0.5</v>
      </c>
      <c r="O29" s="102">
        <v>0.9</v>
      </c>
    </row>
    <row r="30" spans="1:15" x14ac:dyDescent="0.25">
      <c r="J30" s="428"/>
      <c r="K30" s="66" t="s">
        <v>459</v>
      </c>
      <c r="L30" s="102">
        <v>0.5</v>
      </c>
      <c r="M30" s="102">
        <v>9.4</v>
      </c>
      <c r="N30" s="102">
        <v>0.5</v>
      </c>
      <c r="O30" s="102">
        <v>0.6</v>
      </c>
    </row>
    <row r="31" spans="1:15" x14ac:dyDescent="0.25">
      <c r="J31" s="428"/>
      <c r="K31" s="66" t="s">
        <v>460</v>
      </c>
      <c r="L31" s="117">
        <v>0.5</v>
      </c>
      <c r="M31" s="117">
        <v>7.5</v>
      </c>
      <c r="N31" s="117">
        <v>0.5</v>
      </c>
      <c r="O31" s="117">
        <v>0.9</v>
      </c>
    </row>
    <row r="32" spans="1:15" x14ac:dyDescent="0.25">
      <c r="J32" s="428"/>
      <c r="K32" s="66" t="s">
        <v>461</v>
      </c>
      <c r="L32" s="117">
        <v>0.5</v>
      </c>
      <c r="M32" s="117">
        <v>7.3</v>
      </c>
      <c r="N32" s="117">
        <v>0.5</v>
      </c>
      <c r="O32" s="117">
        <v>0.9</v>
      </c>
    </row>
    <row r="33" spans="1:15" x14ac:dyDescent="0.25">
      <c r="J33" s="428"/>
      <c r="K33" s="66" t="s">
        <v>462</v>
      </c>
      <c r="L33" s="102">
        <v>0.6</v>
      </c>
      <c r="M33" s="102">
        <v>5</v>
      </c>
      <c r="N33" s="102">
        <v>0.6</v>
      </c>
      <c r="O33" s="102">
        <v>0.8</v>
      </c>
    </row>
    <row r="34" spans="1:15" x14ac:dyDescent="0.25">
      <c r="J34" s="428"/>
      <c r="K34" s="62" t="s">
        <v>463</v>
      </c>
      <c r="L34" s="62">
        <f>AVERAGE(L22:L33)</f>
        <v>0.41666666666666669</v>
      </c>
      <c r="M34" s="62">
        <f>MAX(M22:M33)</f>
        <v>29.4</v>
      </c>
      <c r="N34" s="62">
        <f>AVERAGE(N22:N33)</f>
        <v>0.41666666666666669</v>
      </c>
      <c r="O34" s="62">
        <f>MAX(O22:O33)</f>
        <v>1.2</v>
      </c>
    </row>
    <row r="48" spans="1:15" x14ac:dyDescent="0.25">
      <c r="A48" s="400" t="s">
        <v>320</v>
      </c>
      <c r="B48" s="401"/>
      <c r="C48" s="401"/>
      <c r="D48" s="401"/>
      <c r="E48" s="401"/>
      <c r="F48" s="401"/>
      <c r="G48" s="427"/>
    </row>
    <row r="49" spans="1:7" x14ac:dyDescent="0.25">
      <c r="A49" s="402"/>
      <c r="B49" s="403"/>
      <c r="C49" s="403"/>
      <c r="D49" s="403"/>
      <c r="E49" s="403"/>
      <c r="F49" s="403"/>
      <c r="G49" s="404"/>
    </row>
    <row r="50" spans="1:7" x14ac:dyDescent="0.25">
      <c r="A50" s="424"/>
      <c r="B50" s="425"/>
      <c r="C50" s="425"/>
      <c r="D50" s="425"/>
      <c r="E50" s="425"/>
      <c r="F50" s="425"/>
      <c r="G50" s="426"/>
    </row>
    <row r="51" spans="1:7" x14ac:dyDescent="0.25">
      <c r="A51" s="424"/>
      <c r="B51" s="425"/>
      <c r="C51" s="425"/>
      <c r="D51" s="425"/>
      <c r="E51" s="425"/>
      <c r="F51" s="425"/>
      <c r="G51" s="426"/>
    </row>
    <row r="52" spans="1:7" x14ac:dyDescent="0.25">
      <c r="A52" s="405"/>
      <c r="B52" s="406"/>
      <c r="C52" s="406"/>
      <c r="D52" s="406"/>
      <c r="E52" s="406"/>
      <c r="F52" s="406"/>
      <c r="G52" s="407"/>
    </row>
  </sheetData>
  <mergeCells count="10">
    <mergeCell ref="J22:J34"/>
    <mergeCell ref="A48:G48"/>
    <mergeCell ref="A49:G52"/>
    <mergeCell ref="Q4:S8"/>
    <mergeCell ref="Q10:S12"/>
    <mergeCell ref="Q13:S16"/>
    <mergeCell ref="B5:D5"/>
    <mergeCell ref="E5:G5"/>
    <mergeCell ref="J5:O5"/>
    <mergeCell ref="J7:J19"/>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52"/>
  <sheetViews>
    <sheetView topLeftCell="A6" workbookViewId="0">
      <selection activeCell="L34" sqref="L34:O34"/>
    </sheetView>
  </sheetViews>
  <sheetFormatPr defaultRowHeight="13.8" x14ac:dyDescent="0.25"/>
  <cols>
    <col min="1" max="1" width="14" style="3" customWidth="1"/>
    <col min="2" max="4" width="17" style="35" customWidth="1"/>
    <col min="5" max="5" width="14.6640625" style="35" customWidth="1"/>
    <col min="6"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2.332031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2" t="str">
        <f>+'Cover Page'!$B$29</f>
        <v>Annual Performance Report 2022</v>
      </c>
      <c r="B1" s="92"/>
      <c r="C1" s="92"/>
      <c r="D1" s="92"/>
      <c r="E1" s="92" t="str">
        <f>+'Cover Page'!$B$33</f>
        <v>Beddington Energy Recovery Facility</v>
      </c>
    </row>
    <row r="3" spans="1:19" ht="14.4" x14ac:dyDescent="0.3">
      <c r="A3" s="60" t="s">
        <v>473</v>
      </c>
      <c r="D3" s="76" t="s">
        <v>432</v>
      </c>
      <c r="G3" s="80" t="s">
        <v>433</v>
      </c>
      <c r="J3" s="9" t="str">
        <f>+A3</f>
        <v>Monitoring of Particulate matter emissions</v>
      </c>
      <c r="L3" s="9"/>
      <c r="N3" s="9" t="s">
        <v>434</v>
      </c>
      <c r="Q3" s="79" t="s">
        <v>2</v>
      </c>
      <c r="R3" s="74"/>
      <c r="S3" s="74"/>
    </row>
    <row r="4" spans="1:19" ht="13.95" customHeight="1" x14ac:dyDescent="0.25">
      <c r="Q4" s="429" t="s">
        <v>435</v>
      </c>
      <c r="R4" s="429"/>
      <c r="S4" s="429"/>
    </row>
    <row r="5" spans="1:19" ht="16.2" x14ac:dyDescent="0.25">
      <c r="A5" s="68" t="s">
        <v>436</v>
      </c>
      <c r="B5" s="423" t="s">
        <v>437</v>
      </c>
      <c r="C5" s="423"/>
      <c r="D5" s="423"/>
      <c r="E5" s="423" t="s">
        <v>438</v>
      </c>
      <c r="F5" s="423"/>
      <c r="G5" s="423"/>
      <c r="J5" s="422"/>
      <c r="K5" s="422"/>
      <c r="L5" s="422"/>
      <c r="M5" s="422"/>
      <c r="N5" s="422"/>
      <c r="O5" s="422"/>
      <c r="Q5" s="429"/>
      <c r="R5" s="429"/>
      <c r="S5" s="429"/>
    </row>
    <row r="6" spans="1:19" s="58" customFormat="1" ht="37.5" customHeight="1" x14ac:dyDescent="0.3">
      <c r="A6" s="65">
        <f>+'Cover Page'!C39</f>
        <v>2022</v>
      </c>
      <c r="B6" s="55" t="s">
        <v>474</v>
      </c>
      <c r="C6" s="55" t="s">
        <v>440</v>
      </c>
      <c r="D6" s="55" t="s">
        <v>441</v>
      </c>
      <c r="E6" s="55" t="s">
        <v>475</v>
      </c>
      <c r="F6" s="55" t="s">
        <v>443</v>
      </c>
      <c r="G6" s="55" t="s">
        <v>444</v>
      </c>
      <c r="H6" s="59"/>
      <c r="J6" s="61">
        <f>+A6</f>
        <v>2022</v>
      </c>
      <c r="K6" s="61" t="s">
        <v>445</v>
      </c>
      <c r="L6" s="67" t="s">
        <v>440</v>
      </c>
      <c r="M6" s="67" t="s">
        <v>446</v>
      </c>
      <c r="N6" s="67" t="s">
        <v>443</v>
      </c>
      <c r="O6" s="67" t="s">
        <v>447</v>
      </c>
      <c r="Q6" s="429"/>
      <c r="R6" s="429"/>
      <c r="S6" s="429"/>
    </row>
    <row r="7" spans="1:19" x14ac:dyDescent="0.25">
      <c r="A7" s="66" t="s">
        <v>448</v>
      </c>
      <c r="B7" s="63">
        <v>30</v>
      </c>
      <c r="C7" s="64"/>
      <c r="D7" s="64"/>
      <c r="E7" s="63">
        <v>10</v>
      </c>
      <c r="F7" s="64"/>
      <c r="G7" s="64"/>
      <c r="J7" s="428" t="s">
        <v>193</v>
      </c>
      <c r="K7" s="66" t="s">
        <v>448</v>
      </c>
      <c r="L7" s="102">
        <v>0.5</v>
      </c>
      <c r="M7" s="102">
        <v>0.5</v>
      </c>
      <c r="N7" s="102">
        <v>0.5</v>
      </c>
      <c r="O7" s="102">
        <v>0.5</v>
      </c>
      <c r="Q7" s="429"/>
      <c r="R7" s="429"/>
      <c r="S7" s="429"/>
    </row>
    <row r="8" spans="1:19" x14ac:dyDescent="0.25">
      <c r="A8" s="66" t="s">
        <v>449</v>
      </c>
      <c r="B8" s="63">
        <v>30</v>
      </c>
      <c r="C8" s="64"/>
      <c r="D8" s="64"/>
      <c r="E8" s="63">
        <v>10</v>
      </c>
      <c r="F8" s="64"/>
      <c r="G8" s="64"/>
      <c r="J8" s="428"/>
      <c r="K8" s="66" t="s">
        <v>449</v>
      </c>
      <c r="L8" s="102">
        <v>0.4</v>
      </c>
      <c r="M8" s="102">
        <v>0.5</v>
      </c>
      <c r="N8" s="102">
        <v>0.4</v>
      </c>
      <c r="O8" s="102">
        <v>0.5</v>
      </c>
      <c r="Q8" s="429"/>
      <c r="R8" s="429"/>
      <c r="S8" s="429"/>
    </row>
    <row r="9" spans="1:19" x14ac:dyDescent="0.25">
      <c r="A9" s="66" t="s">
        <v>450</v>
      </c>
      <c r="B9" s="63">
        <v>30</v>
      </c>
      <c r="C9" s="64"/>
      <c r="D9" s="64"/>
      <c r="E9" s="63">
        <v>10</v>
      </c>
      <c r="F9" s="64"/>
      <c r="G9" s="64"/>
      <c r="J9" s="428"/>
      <c r="K9" s="66" t="s">
        <v>450</v>
      </c>
      <c r="L9" s="102">
        <v>0.4</v>
      </c>
      <c r="M9" s="102">
        <v>0.6</v>
      </c>
      <c r="N9" s="102">
        <v>0.4</v>
      </c>
      <c r="O9" s="102">
        <v>0.5</v>
      </c>
      <c r="Q9" s="78" t="s">
        <v>451</v>
      </c>
    </row>
    <row r="10" spans="1:19" ht="14.25" customHeight="1" x14ac:dyDescent="0.25">
      <c r="A10" s="66" t="s">
        <v>452</v>
      </c>
      <c r="B10" s="63">
        <v>30</v>
      </c>
      <c r="C10" s="64"/>
      <c r="D10" s="64"/>
      <c r="E10" s="63">
        <v>10</v>
      </c>
      <c r="F10" s="64"/>
      <c r="G10" s="64"/>
      <c r="J10" s="428"/>
      <c r="K10" s="66" t="s">
        <v>452</v>
      </c>
      <c r="L10" s="102">
        <v>0.4</v>
      </c>
      <c r="M10" s="102">
        <v>0.5</v>
      </c>
      <c r="N10" s="102">
        <v>0.4</v>
      </c>
      <c r="O10" s="102">
        <v>0.5</v>
      </c>
      <c r="Q10" s="421" t="s">
        <v>453</v>
      </c>
      <c r="R10" s="421"/>
      <c r="S10" s="421"/>
    </row>
    <row r="11" spans="1:19" x14ac:dyDescent="0.25">
      <c r="A11" s="66" t="s">
        <v>454</v>
      </c>
      <c r="B11" s="63">
        <v>30</v>
      </c>
      <c r="C11" s="64"/>
      <c r="D11" s="64"/>
      <c r="E11" s="63">
        <v>10</v>
      </c>
      <c r="F11" s="64"/>
      <c r="G11" s="64"/>
      <c r="J11" s="428"/>
      <c r="K11" s="66" t="s">
        <v>454</v>
      </c>
      <c r="L11" s="102">
        <v>0.4</v>
      </c>
      <c r="M11" s="102">
        <v>0.5</v>
      </c>
      <c r="N11" s="102">
        <v>0.4</v>
      </c>
      <c r="O11" s="102">
        <v>0.4</v>
      </c>
      <c r="Q11" s="421"/>
      <c r="R11" s="421"/>
      <c r="S11" s="421"/>
    </row>
    <row r="12" spans="1:19" x14ac:dyDescent="0.25">
      <c r="A12" s="66" t="s">
        <v>455</v>
      </c>
      <c r="B12" s="63">
        <v>30</v>
      </c>
      <c r="C12" s="64"/>
      <c r="D12" s="64"/>
      <c r="E12" s="63">
        <v>10</v>
      </c>
      <c r="F12" s="64"/>
      <c r="G12" s="64"/>
      <c r="J12" s="428"/>
      <c r="K12" s="66" t="s">
        <v>455</v>
      </c>
      <c r="L12" s="102">
        <v>0.4</v>
      </c>
      <c r="M12" s="102">
        <v>3.7</v>
      </c>
      <c r="N12" s="102">
        <v>0.4</v>
      </c>
      <c r="O12" s="102">
        <v>0.4</v>
      </c>
      <c r="Q12" s="421"/>
      <c r="R12" s="421"/>
      <c r="S12" s="421"/>
    </row>
    <row r="13" spans="1:19" ht="14.25" customHeight="1" x14ac:dyDescent="0.25">
      <c r="A13" s="66" t="s">
        <v>456</v>
      </c>
      <c r="B13" s="63">
        <v>30</v>
      </c>
      <c r="C13" s="64"/>
      <c r="D13" s="64"/>
      <c r="E13" s="63">
        <v>10</v>
      </c>
      <c r="F13" s="64"/>
      <c r="G13" s="64"/>
      <c r="J13" s="428"/>
      <c r="K13" s="66" t="s">
        <v>456</v>
      </c>
      <c r="L13" s="102">
        <v>0.3</v>
      </c>
      <c r="M13" s="102">
        <v>0.4</v>
      </c>
      <c r="N13" s="102">
        <v>0.3</v>
      </c>
      <c r="O13" s="102">
        <v>0.4</v>
      </c>
      <c r="Q13" s="421" t="s">
        <v>457</v>
      </c>
      <c r="R13" s="421"/>
      <c r="S13" s="421"/>
    </row>
    <row r="14" spans="1:19" x14ac:dyDescent="0.25">
      <c r="A14" s="66" t="s">
        <v>458</v>
      </c>
      <c r="B14" s="63">
        <v>30</v>
      </c>
      <c r="C14" s="64"/>
      <c r="D14" s="64"/>
      <c r="E14" s="63">
        <v>10</v>
      </c>
      <c r="F14" s="64"/>
      <c r="G14" s="64"/>
      <c r="J14" s="428"/>
      <c r="K14" s="66" t="s">
        <v>458</v>
      </c>
      <c r="L14" s="102">
        <v>0.3</v>
      </c>
      <c r="M14" s="102">
        <v>0.5</v>
      </c>
      <c r="N14" s="102">
        <v>0.3</v>
      </c>
      <c r="O14" s="102">
        <v>0.3</v>
      </c>
      <c r="Q14" s="421"/>
      <c r="R14" s="421"/>
      <c r="S14" s="421"/>
    </row>
    <row r="15" spans="1:19" x14ac:dyDescent="0.25">
      <c r="A15" s="66" t="s">
        <v>459</v>
      </c>
      <c r="B15" s="63">
        <v>30</v>
      </c>
      <c r="C15" s="64"/>
      <c r="D15" s="64"/>
      <c r="E15" s="63">
        <v>10</v>
      </c>
      <c r="F15" s="64"/>
      <c r="G15" s="64"/>
      <c r="J15" s="428"/>
      <c r="K15" s="66" t="s">
        <v>459</v>
      </c>
      <c r="L15" s="102">
        <v>0.3</v>
      </c>
      <c r="M15" s="102">
        <v>0.5</v>
      </c>
      <c r="N15" s="102">
        <v>0.3</v>
      </c>
      <c r="O15" s="102">
        <v>0.4</v>
      </c>
      <c r="Q15" s="421"/>
      <c r="R15" s="421"/>
      <c r="S15" s="421"/>
    </row>
    <row r="16" spans="1:19" x14ac:dyDescent="0.25">
      <c r="A16" s="66" t="s">
        <v>460</v>
      </c>
      <c r="B16" s="63">
        <v>30</v>
      </c>
      <c r="C16" s="64"/>
      <c r="D16" s="64"/>
      <c r="E16" s="63">
        <v>10</v>
      </c>
      <c r="F16" s="64"/>
      <c r="G16" s="64"/>
      <c r="J16" s="428"/>
      <c r="K16" s="66" t="s">
        <v>460</v>
      </c>
      <c r="L16" s="102">
        <v>0.4</v>
      </c>
      <c r="M16" s="102">
        <v>0.5</v>
      </c>
      <c r="N16" s="102">
        <v>0.4</v>
      </c>
      <c r="O16" s="102">
        <v>0.4</v>
      </c>
      <c r="Q16" s="421"/>
      <c r="R16" s="421"/>
      <c r="S16" s="421"/>
    </row>
    <row r="17" spans="1:15" x14ac:dyDescent="0.25">
      <c r="A17" s="66" t="s">
        <v>461</v>
      </c>
      <c r="B17" s="63">
        <v>30</v>
      </c>
      <c r="C17" s="64"/>
      <c r="D17" s="64"/>
      <c r="E17" s="63">
        <v>10</v>
      </c>
      <c r="F17" s="64"/>
      <c r="G17" s="64"/>
      <c r="J17" s="428"/>
      <c r="K17" s="66" t="s">
        <v>461</v>
      </c>
      <c r="L17" s="102">
        <v>0.4</v>
      </c>
      <c r="M17" s="102">
        <v>0.5</v>
      </c>
      <c r="N17" s="102">
        <v>0.4</v>
      </c>
      <c r="O17" s="102">
        <v>0.4</v>
      </c>
    </row>
    <row r="18" spans="1:15" x14ac:dyDescent="0.25">
      <c r="A18" s="66" t="s">
        <v>462</v>
      </c>
      <c r="B18" s="63">
        <v>30</v>
      </c>
      <c r="C18" s="64"/>
      <c r="D18" s="64"/>
      <c r="E18" s="63">
        <v>10</v>
      </c>
      <c r="F18" s="64"/>
      <c r="G18" s="64"/>
      <c r="J18" s="428"/>
      <c r="K18" s="66" t="s">
        <v>462</v>
      </c>
      <c r="L18" s="102">
        <v>0.4</v>
      </c>
      <c r="M18" s="102">
        <v>0.5</v>
      </c>
      <c r="N18" s="102">
        <v>0.4</v>
      </c>
      <c r="O18" s="102">
        <v>0.4</v>
      </c>
    </row>
    <row r="19" spans="1:15" x14ac:dyDescent="0.25">
      <c r="J19" s="428"/>
      <c r="K19" s="62" t="s">
        <v>463</v>
      </c>
      <c r="L19" s="104">
        <f>AVERAGE(L7:L18)</f>
        <v>0.3833333333333333</v>
      </c>
      <c r="M19" s="104">
        <f>MAX(M7:M18)</f>
        <v>3.7</v>
      </c>
      <c r="N19" s="104">
        <f>AVERAGE(N7:N18)</f>
        <v>0.3833333333333333</v>
      </c>
      <c r="O19" s="104">
        <f>MAX(O7:O18)</f>
        <v>0.5</v>
      </c>
    </row>
    <row r="21" spans="1:15" ht="41.4" x14ac:dyDescent="0.25">
      <c r="J21" s="61">
        <f>+A6</f>
        <v>2022</v>
      </c>
      <c r="K21" s="61" t="s">
        <v>445</v>
      </c>
      <c r="L21" s="67" t="s">
        <v>440</v>
      </c>
      <c r="M21" s="67" t="s">
        <v>446</v>
      </c>
      <c r="N21" s="67" t="s">
        <v>443</v>
      </c>
      <c r="O21" s="67" t="s">
        <v>447</v>
      </c>
    </row>
    <row r="22" spans="1:15" x14ac:dyDescent="0.25">
      <c r="J22" s="428" t="s">
        <v>194</v>
      </c>
      <c r="K22" s="66" t="s">
        <v>448</v>
      </c>
      <c r="L22" s="102">
        <v>0.4</v>
      </c>
      <c r="M22" s="102">
        <v>0.4</v>
      </c>
      <c r="N22" s="102">
        <v>0.4</v>
      </c>
      <c r="O22" s="102">
        <v>0.4</v>
      </c>
    </row>
    <row r="23" spans="1:15" x14ac:dyDescent="0.25">
      <c r="J23" s="428"/>
      <c r="K23" s="66" t="s">
        <v>449</v>
      </c>
      <c r="L23" s="102">
        <v>0.3</v>
      </c>
      <c r="M23" s="102">
        <v>0.4</v>
      </c>
      <c r="N23" s="102">
        <v>0.3</v>
      </c>
      <c r="O23" s="102">
        <v>0.4</v>
      </c>
    </row>
    <row r="24" spans="1:15" x14ac:dyDescent="0.25">
      <c r="J24" s="428"/>
      <c r="K24" s="66" t="s">
        <v>450</v>
      </c>
      <c r="L24" s="102">
        <v>0.3</v>
      </c>
      <c r="M24" s="102">
        <v>0.4</v>
      </c>
      <c r="N24" s="102">
        <v>0.3</v>
      </c>
      <c r="O24" s="102">
        <v>0.4</v>
      </c>
    </row>
    <row r="25" spans="1:15" x14ac:dyDescent="0.25">
      <c r="J25" s="428"/>
      <c r="K25" s="66" t="s">
        <v>452</v>
      </c>
      <c r="L25" s="102">
        <v>0.3</v>
      </c>
      <c r="M25" s="102">
        <v>0.4</v>
      </c>
      <c r="N25" s="102">
        <v>0.3</v>
      </c>
      <c r="O25" s="102">
        <v>0.4</v>
      </c>
    </row>
    <row r="26" spans="1:15" x14ac:dyDescent="0.25">
      <c r="J26" s="428"/>
      <c r="K26" s="66" t="s">
        <v>454</v>
      </c>
      <c r="L26" s="102">
        <v>0.3</v>
      </c>
      <c r="M26" s="102">
        <v>0.4</v>
      </c>
      <c r="N26" s="102">
        <v>0.3</v>
      </c>
      <c r="O26" s="102">
        <v>0.3</v>
      </c>
    </row>
    <row r="27" spans="1:15" x14ac:dyDescent="0.25">
      <c r="J27" s="428"/>
      <c r="K27" s="66" t="s">
        <v>455</v>
      </c>
      <c r="L27" s="102">
        <v>0.3</v>
      </c>
      <c r="M27" s="102">
        <v>0.7</v>
      </c>
      <c r="N27" s="102">
        <v>0.3</v>
      </c>
      <c r="O27" s="102">
        <v>0.4</v>
      </c>
    </row>
    <row r="28" spans="1:15" x14ac:dyDescent="0.25">
      <c r="J28" s="428"/>
      <c r="K28" s="66" t="s">
        <v>456</v>
      </c>
      <c r="L28" s="102">
        <v>0.3</v>
      </c>
      <c r="M28" s="102">
        <v>2.4</v>
      </c>
      <c r="N28" s="102">
        <v>0.3</v>
      </c>
      <c r="O28" s="102">
        <v>1</v>
      </c>
    </row>
    <row r="29" spans="1:15" x14ac:dyDescent="0.25">
      <c r="J29" s="428"/>
      <c r="K29" s="66" t="s">
        <v>458</v>
      </c>
      <c r="L29" s="102">
        <v>0.3</v>
      </c>
      <c r="M29" s="102">
        <v>0.8</v>
      </c>
      <c r="N29" s="102">
        <v>0.3</v>
      </c>
      <c r="O29" s="102">
        <v>0.4</v>
      </c>
    </row>
    <row r="30" spans="1:15" x14ac:dyDescent="0.25">
      <c r="J30" s="428"/>
      <c r="K30" s="66" t="s">
        <v>459</v>
      </c>
      <c r="L30" s="102">
        <v>0.3</v>
      </c>
      <c r="M30" s="102">
        <v>0.5</v>
      </c>
      <c r="N30" s="102">
        <v>0.3</v>
      </c>
      <c r="O30" s="102">
        <v>0.3</v>
      </c>
    </row>
    <row r="31" spans="1:15" x14ac:dyDescent="0.25">
      <c r="J31" s="428"/>
      <c r="K31" s="66" t="s">
        <v>460</v>
      </c>
      <c r="L31" s="102">
        <v>0.3</v>
      </c>
      <c r="M31" s="102">
        <v>0.4</v>
      </c>
      <c r="N31" s="102">
        <v>0.3</v>
      </c>
      <c r="O31" s="102">
        <v>0.3</v>
      </c>
    </row>
    <row r="32" spans="1:15" x14ac:dyDescent="0.25">
      <c r="J32" s="428"/>
      <c r="K32" s="66" t="s">
        <v>461</v>
      </c>
      <c r="L32" s="102">
        <v>0.3</v>
      </c>
      <c r="M32" s="102">
        <v>0.4</v>
      </c>
      <c r="N32" s="102">
        <v>0.3</v>
      </c>
      <c r="O32" s="102">
        <v>0.3</v>
      </c>
    </row>
    <row r="33" spans="1:15" x14ac:dyDescent="0.25">
      <c r="J33" s="428"/>
      <c r="K33" s="66" t="s">
        <v>462</v>
      </c>
      <c r="L33" s="102">
        <v>0.3</v>
      </c>
      <c r="M33" s="102">
        <v>0.5</v>
      </c>
      <c r="N33" s="102">
        <v>0.3</v>
      </c>
      <c r="O33" s="102">
        <v>0.4</v>
      </c>
    </row>
    <row r="34" spans="1:15" x14ac:dyDescent="0.25">
      <c r="J34" s="428"/>
      <c r="K34" s="62" t="s">
        <v>463</v>
      </c>
      <c r="L34" s="104">
        <f>AVERAGE(L22:L33)</f>
        <v>0.30833333333333329</v>
      </c>
      <c r="M34" s="104">
        <f>MAX(M22:M33)</f>
        <v>2.4</v>
      </c>
      <c r="N34" s="104">
        <f>AVERAGE(N22:N33)</f>
        <v>0.30833333333333329</v>
      </c>
      <c r="O34" s="104">
        <f>MAX(O22:O33)</f>
        <v>1</v>
      </c>
    </row>
    <row r="48" spans="1:15" x14ac:dyDescent="0.25">
      <c r="A48" s="400" t="s">
        <v>320</v>
      </c>
      <c r="B48" s="401"/>
      <c r="C48" s="401"/>
      <c r="D48" s="401"/>
      <c r="E48" s="401"/>
      <c r="F48" s="401"/>
      <c r="G48" s="427"/>
    </row>
    <row r="49" spans="1:7" x14ac:dyDescent="0.25">
      <c r="A49" s="402"/>
      <c r="B49" s="403"/>
      <c r="C49" s="403"/>
      <c r="D49" s="403"/>
      <c r="E49" s="403"/>
      <c r="F49" s="403"/>
      <c r="G49" s="404"/>
    </row>
    <row r="50" spans="1:7" x14ac:dyDescent="0.25">
      <c r="A50" s="424"/>
      <c r="B50" s="425"/>
      <c r="C50" s="425"/>
      <c r="D50" s="425"/>
      <c r="E50" s="425"/>
      <c r="F50" s="425"/>
      <c r="G50" s="426"/>
    </row>
    <row r="51" spans="1:7" x14ac:dyDescent="0.25">
      <c r="A51" s="424"/>
      <c r="B51" s="425"/>
      <c r="C51" s="425"/>
      <c r="D51" s="425"/>
      <c r="E51" s="425"/>
      <c r="F51" s="425"/>
      <c r="G51" s="426"/>
    </row>
    <row r="52" spans="1:7" x14ac:dyDescent="0.25">
      <c r="A52" s="405"/>
      <c r="B52" s="406"/>
      <c r="C52" s="406"/>
      <c r="D52" s="406"/>
      <c r="E52" s="406"/>
      <c r="F52" s="406"/>
      <c r="G52" s="407"/>
    </row>
  </sheetData>
  <mergeCells count="10">
    <mergeCell ref="J22:J34"/>
    <mergeCell ref="A48:G48"/>
    <mergeCell ref="A49:G52"/>
    <mergeCell ref="Q4:S8"/>
    <mergeCell ref="Q10:S12"/>
    <mergeCell ref="Q13:S16"/>
    <mergeCell ref="B5:D5"/>
    <mergeCell ref="E5:G5"/>
    <mergeCell ref="J5:O5"/>
    <mergeCell ref="J7:J19"/>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52"/>
  <sheetViews>
    <sheetView topLeftCell="A5" workbookViewId="0">
      <selection activeCell="M34" sqref="M34"/>
    </sheetView>
  </sheetViews>
  <sheetFormatPr defaultRowHeight="13.8" x14ac:dyDescent="0.25"/>
  <cols>
    <col min="1" max="1" width="14" style="3" customWidth="1"/>
    <col min="2" max="2" width="12.6640625" style="35" customWidth="1"/>
    <col min="3" max="3" width="15.33203125" style="35" customWidth="1"/>
    <col min="4" max="4" width="17.6640625" style="35" customWidth="1"/>
    <col min="5" max="5" width="14.6640625" style="35" customWidth="1"/>
    <col min="6" max="6" width="11.5546875" style="35" customWidth="1"/>
    <col min="7" max="7" width="15" style="35" customWidth="1"/>
    <col min="8" max="8" width="14.6640625" style="35" customWidth="1"/>
    <col min="9" max="12" width="9.33203125" style="3"/>
    <col min="13" max="13" width="15.44140625" style="3" customWidth="1"/>
    <col min="14" max="14" width="17.6640625" style="3" customWidth="1"/>
    <col min="15" max="15" width="17.44140625" style="3" bestFit="1" customWidth="1"/>
    <col min="16" max="16" width="13.6640625" style="3" customWidth="1"/>
    <col min="17" max="17" width="15" style="3" customWidth="1"/>
    <col min="18" max="20" width="9.33203125" style="3"/>
    <col min="21" max="21" width="22.44140625" style="3" customWidth="1"/>
    <col min="22" max="258" width="9.33203125" style="3"/>
    <col min="259" max="259" width="14" style="3" customWidth="1"/>
    <col min="260" max="265" width="10.33203125" style="3" customWidth="1"/>
    <col min="266" max="514" width="9.33203125" style="3"/>
    <col min="515" max="515" width="14" style="3" customWidth="1"/>
    <col min="516" max="521" width="10.33203125" style="3" customWidth="1"/>
    <col min="522" max="770" width="9.33203125" style="3"/>
    <col min="771" max="771" width="14" style="3" customWidth="1"/>
    <col min="772" max="777" width="10.33203125" style="3" customWidth="1"/>
    <col min="778" max="1026" width="9.33203125" style="3"/>
    <col min="1027" max="1027" width="14" style="3" customWidth="1"/>
    <col min="1028" max="1033" width="10.33203125" style="3" customWidth="1"/>
    <col min="1034" max="1282" width="9.33203125" style="3"/>
    <col min="1283" max="1283" width="14" style="3" customWidth="1"/>
    <col min="1284" max="1289" width="10.33203125" style="3" customWidth="1"/>
    <col min="1290" max="1538" width="9.33203125" style="3"/>
    <col min="1539" max="1539" width="14" style="3" customWidth="1"/>
    <col min="1540" max="1545" width="10.33203125" style="3" customWidth="1"/>
    <col min="1546" max="1794" width="9.33203125" style="3"/>
    <col min="1795" max="1795" width="14" style="3" customWidth="1"/>
    <col min="1796" max="1801" width="10.33203125" style="3" customWidth="1"/>
    <col min="1802" max="2050" width="9.33203125" style="3"/>
    <col min="2051" max="2051" width="14" style="3" customWidth="1"/>
    <col min="2052" max="2057" width="10.33203125" style="3" customWidth="1"/>
    <col min="2058" max="2306" width="9.33203125" style="3"/>
    <col min="2307" max="2307" width="14" style="3" customWidth="1"/>
    <col min="2308" max="2313" width="10.33203125" style="3" customWidth="1"/>
    <col min="2314" max="2562" width="9.33203125" style="3"/>
    <col min="2563" max="2563" width="14" style="3" customWidth="1"/>
    <col min="2564" max="2569" width="10.33203125" style="3" customWidth="1"/>
    <col min="2570" max="2818" width="9.33203125" style="3"/>
    <col min="2819" max="2819" width="14" style="3" customWidth="1"/>
    <col min="2820" max="2825" width="10.33203125" style="3" customWidth="1"/>
    <col min="2826" max="3074" width="9.33203125" style="3"/>
    <col min="3075" max="3075" width="14" style="3" customWidth="1"/>
    <col min="3076" max="3081" width="10.33203125" style="3" customWidth="1"/>
    <col min="3082" max="3330" width="9.33203125" style="3"/>
    <col min="3331" max="3331" width="14" style="3" customWidth="1"/>
    <col min="3332" max="3337" width="10.33203125" style="3" customWidth="1"/>
    <col min="3338" max="3586" width="9.33203125" style="3"/>
    <col min="3587" max="3587" width="14" style="3" customWidth="1"/>
    <col min="3588" max="3593" width="10.33203125" style="3" customWidth="1"/>
    <col min="3594" max="3842" width="9.33203125" style="3"/>
    <col min="3843" max="3843" width="14" style="3" customWidth="1"/>
    <col min="3844" max="3849" width="10.33203125" style="3" customWidth="1"/>
    <col min="3850" max="4098" width="9.33203125" style="3"/>
    <col min="4099" max="4099" width="14" style="3" customWidth="1"/>
    <col min="4100" max="4105" width="10.33203125" style="3" customWidth="1"/>
    <col min="4106" max="4354" width="9.33203125" style="3"/>
    <col min="4355" max="4355" width="14" style="3" customWidth="1"/>
    <col min="4356" max="4361" width="10.33203125" style="3" customWidth="1"/>
    <col min="4362" max="4610" width="9.33203125" style="3"/>
    <col min="4611" max="4611" width="14" style="3" customWidth="1"/>
    <col min="4612" max="4617" width="10.33203125" style="3" customWidth="1"/>
    <col min="4618" max="4866" width="9.33203125" style="3"/>
    <col min="4867" max="4867" width="14" style="3" customWidth="1"/>
    <col min="4868" max="4873" width="10.33203125" style="3" customWidth="1"/>
    <col min="4874" max="5122" width="9.33203125" style="3"/>
    <col min="5123" max="5123" width="14" style="3" customWidth="1"/>
    <col min="5124" max="5129" width="10.33203125" style="3" customWidth="1"/>
    <col min="5130" max="5378" width="9.33203125" style="3"/>
    <col min="5379" max="5379" width="14" style="3" customWidth="1"/>
    <col min="5380" max="5385" width="10.33203125" style="3" customWidth="1"/>
    <col min="5386" max="5634" width="9.33203125" style="3"/>
    <col min="5635" max="5635" width="14" style="3" customWidth="1"/>
    <col min="5636" max="5641" width="10.33203125" style="3" customWidth="1"/>
    <col min="5642" max="5890" width="9.33203125" style="3"/>
    <col min="5891" max="5891" width="14" style="3" customWidth="1"/>
    <col min="5892" max="5897" width="10.33203125" style="3" customWidth="1"/>
    <col min="5898" max="6146" width="9.33203125" style="3"/>
    <col min="6147" max="6147" width="14" style="3" customWidth="1"/>
    <col min="6148" max="6153" width="10.33203125" style="3" customWidth="1"/>
    <col min="6154" max="6402" width="9.33203125" style="3"/>
    <col min="6403" max="6403" width="14" style="3" customWidth="1"/>
    <col min="6404" max="6409" width="10.33203125" style="3" customWidth="1"/>
    <col min="6410" max="6658" width="9.33203125" style="3"/>
    <col min="6659" max="6659" width="14" style="3" customWidth="1"/>
    <col min="6660" max="6665" width="10.33203125" style="3" customWidth="1"/>
    <col min="6666" max="6914" width="9.33203125" style="3"/>
    <col min="6915" max="6915" width="14" style="3" customWidth="1"/>
    <col min="6916" max="6921" width="10.33203125" style="3" customWidth="1"/>
    <col min="6922" max="7170" width="9.33203125" style="3"/>
    <col min="7171" max="7171" width="14" style="3" customWidth="1"/>
    <col min="7172" max="7177" width="10.33203125" style="3" customWidth="1"/>
    <col min="7178" max="7426" width="9.33203125" style="3"/>
    <col min="7427" max="7427" width="14" style="3" customWidth="1"/>
    <col min="7428" max="7433" width="10.33203125" style="3" customWidth="1"/>
    <col min="7434" max="7682" width="9.33203125" style="3"/>
    <col min="7683" max="7683" width="14" style="3" customWidth="1"/>
    <col min="7684" max="7689" width="10.33203125" style="3" customWidth="1"/>
    <col min="7690" max="7938" width="9.33203125" style="3"/>
    <col min="7939" max="7939" width="14" style="3" customWidth="1"/>
    <col min="7940" max="7945" width="10.33203125" style="3" customWidth="1"/>
    <col min="7946" max="8194" width="9.33203125" style="3"/>
    <col min="8195" max="8195" width="14" style="3" customWidth="1"/>
    <col min="8196" max="8201" width="10.33203125" style="3" customWidth="1"/>
    <col min="8202" max="8450" width="9.33203125" style="3"/>
    <col min="8451" max="8451" width="14" style="3" customWidth="1"/>
    <col min="8452" max="8457" width="10.33203125" style="3" customWidth="1"/>
    <col min="8458" max="8706" width="9.33203125" style="3"/>
    <col min="8707" max="8707" width="14" style="3" customWidth="1"/>
    <col min="8708" max="8713" width="10.33203125" style="3" customWidth="1"/>
    <col min="8714" max="8962" width="9.33203125" style="3"/>
    <col min="8963" max="8963" width="14" style="3" customWidth="1"/>
    <col min="8964" max="8969" width="10.33203125" style="3" customWidth="1"/>
    <col min="8970" max="9218" width="9.33203125" style="3"/>
    <col min="9219" max="9219" width="14" style="3" customWidth="1"/>
    <col min="9220" max="9225" width="10.33203125" style="3" customWidth="1"/>
    <col min="9226" max="9474" width="9.33203125" style="3"/>
    <col min="9475" max="9475" width="14" style="3" customWidth="1"/>
    <col min="9476" max="9481" width="10.33203125" style="3" customWidth="1"/>
    <col min="9482" max="9730" width="9.33203125" style="3"/>
    <col min="9731" max="9731" width="14" style="3" customWidth="1"/>
    <col min="9732" max="9737" width="10.33203125" style="3" customWidth="1"/>
    <col min="9738" max="9986" width="9.33203125" style="3"/>
    <col min="9987" max="9987" width="14" style="3" customWidth="1"/>
    <col min="9988" max="9993" width="10.33203125" style="3" customWidth="1"/>
    <col min="9994" max="10242" width="9.33203125" style="3"/>
    <col min="10243" max="10243" width="14" style="3" customWidth="1"/>
    <col min="10244" max="10249" width="10.33203125" style="3" customWidth="1"/>
    <col min="10250" max="10498" width="9.33203125" style="3"/>
    <col min="10499" max="10499" width="14" style="3" customWidth="1"/>
    <col min="10500" max="10505" width="10.33203125" style="3" customWidth="1"/>
    <col min="10506" max="10754" width="9.33203125" style="3"/>
    <col min="10755" max="10755" width="14" style="3" customWidth="1"/>
    <col min="10756" max="10761" width="10.33203125" style="3" customWidth="1"/>
    <col min="10762" max="11010" width="9.33203125" style="3"/>
    <col min="11011" max="11011" width="14" style="3" customWidth="1"/>
    <col min="11012" max="11017" width="10.33203125" style="3" customWidth="1"/>
    <col min="11018" max="11266" width="9.33203125" style="3"/>
    <col min="11267" max="11267" width="14" style="3" customWidth="1"/>
    <col min="11268" max="11273" width="10.33203125" style="3" customWidth="1"/>
    <col min="11274" max="11522" width="9.33203125" style="3"/>
    <col min="11523" max="11523" width="14" style="3" customWidth="1"/>
    <col min="11524" max="11529" width="10.33203125" style="3" customWidth="1"/>
    <col min="11530" max="11778" width="9.33203125" style="3"/>
    <col min="11779" max="11779" width="14" style="3" customWidth="1"/>
    <col min="11780" max="11785" width="10.33203125" style="3" customWidth="1"/>
    <col min="11786" max="12034" width="9.33203125" style="3"/>
    <col min="12035" max="12035" width="14" style="3" customWidth="1"/>
    <col min="12036" max="12041" width="10.33203125" style="3" customWidth="1"/>
    <col min="12042" max="12290" width="9.33203125" style="3"/>
    <col min="12291" max="12291" width="14" style="3" customWidth="1"/>
    <col min="12292" max="12297" width="10.33203125" style="3" customWidth="1"/>
    <col min="12298" max="12546" width="9.33203125" style="3"/>
    <col min="12547" max="12547" width="14" style="3" customWidth="1"/>
    <col min="12548" max="12553" width="10.33203125" style="3" customWidth="1"/>
    <col min="12554" max="12802" width="9.33203125" style="3"/>
    <col min="12803" max="12803" width="14" style="3" customWidth="1"/>
    <col min="12804" max="12809" width="10.33203125" style="3" customWidth="1"/>
    <col min="12810" max="13058" width="9.33203125" style="3"/>
    <col min="13059" max="13059" width="14" style="3" customWidth="1"/>
    <col min="13060" max="13065" width="10.33203125" style="3" customWidth="1"/>
    <col min="13066" max="13314" width="9.33203125" style="3"/>
    <col min="13315" max="13315" width="14" style="3" customWidth="1"/>
    <col min="13316" max="13321" width="10.33203125" style="3" customWidth="1"/>
    <col min="13322" max="13570" width="9.33203125" style="3"/>
    <col min="13571" max="13571" width="14" style="3" customWidth="1"/>
    <col min="13572" max="13577" width="10.33203125" style="3" customWidth="1"/>
    <col min="13578" max="13826" width="9.33203125" style="3"/>
    <col min="13827" max="13827" width="14" style="3" customWidth="1"/>
    <col min="13828" max="13833" width="10.33203125" style="3" customWidth="1"/>
    <col min="13834" max="14082" width="9.33203125" style="3"/>
    <col min="14083" max="14083" width="14" style="3" customWidth="1"/>
    <col min="14084" max="14089" width="10.33203125" style="3" customWidth="1"/>
    <col min="14090" max="14338" width="9.33203125" style="3"/>
    <col min="14339" max="14339" width="14" style="3" customWidth="1"/>
    <col min="14340" max="14345" width="10.33203125" style="3" customWidth="1"/>
    <col min="14346" max="14594" width="9.33203125" style="3"/>
    <col min="14595" max="14595" width="14" style="3" customWidth="1"/>
    <col min="14596" max="14601" width="10.33203125" style="3" customWidth="1"/>
    <col min="14602" max="14850" width="9.33203125" style="3"/>
    <col min="14851" max="14851" width="14" style="3" customWidth="1"/>
    <col min="14852" max="14857" width="10.33203125" style="3" customWidth="1"/>
    <col min="14858" max="15106" width="9.33203125" style="3"/>
    <col min="15107" max="15107" width="14" style="3" customWidth="1"/>
    <col min="15108" max="15113" width="10.33203125" style="3" customWidth="1"/>
    <col min="15114" max="15362" width="9.33203125" style="3"/>
    <col min="15363" max="15363" width="14" style="3" customWidth="1"/>
    <col min="15364" max="15369" width="10.33203125" style="3" customWidth="1"/>
    <col min="15370" max="15618" width="9.33203125" style="3"/>
    <col min="15619" max="15619" width="14" style="3" customWidth="1"/>
    <col min="15620" max="15625" width="10.33203125" style="3" customWidth="1"/>
    <col min="15626" max="15874" width="9.33203125" style="3"/>
    <col min="15875" max="15875" width="14" style="3" customWidth="1"/>
    <col min="15876" max="15881" width="10.33203125" style="3" customWidth="1"/>
    <col min="15882" max="16130" width="9.33203125" style="3"/>
    <col min="16131" max="16131" width="14" style="3" customWidth="1"/>
    <col min="16132" max="16137" width="10.33203125" style="3" customWidth="1"/>
    <col min="16138" max="16384" width="9.33203125" style="3"/>
  </cols>
  <sheetData>
    <row r="1" spans="1:21" ht="15" x14ac:dyDescent="0.25">
      <c r="A1" s="92" t="str">
        <f>+'Cover Page'!$B$29</f>
        <v>Annual Performance Report 2022</v>
      </c>
      <c r="B1" s="92"/>
      <c r="C1" s="92"/>
      <c r="D1" s="92"/>
      <c r="E1" s="92" t="str">
        <f>+'Cover Page'!$B$33</f>
        <v>Beddington Energy Recovery Facility</v>
      </c>
    </row>
    <row r="3" spans="1:21" ht="14.4" x14ac:dyDescent="0.3">
      <c r="A3" s="60" t="s">
        <v>476</v>
      </c>
      <c r="E3" s="76" t="s">
        <v>432</v>
      </c>
      <c r="H3" s="80" t="s">
        <v>477</v>
      </c>
      <c r="J3" s="9" t="str">
        <f>+A3</f>
        <v>Monitoring of Carbon Monoxide (10-minute avg)</v>
      </c>
      <c r="L3" s="9"/>
      <c r="O3" s="9" t="s">
        <v>434</v>
      </c>
      <c r="Q3" s="77" t="s">
        <v>2</v>
      </c>
      <c r="S3" s="79" t="s">
        <v>2</v>
      </c>
      <c r="T3" s="74"/>
      <c r="U3" s="74"/>
    </row>
    <row r="4" spans="1:21" ht="13.95" customHeight="1" x14ac:dyDescent="0.25">
      <c r="S4" s="429" t="s">
        <v>478</v>
      </c>
      <c r="T4" s="429"/>
      <c r="U4" s="429"/>
    </row>
    <row r="5" spans="1:21" ht="16.2" x14ac:dyDescent="0.25">
      <c r="A5" s="68" t="s">
        <v>436</v>
      </c>
      <c r="B5" s="423" t="s">
        <v>479</v>
      </c>
      <c r="C5" s="423"/>
      <c r="D5" s="423"/>
      <c r="E5" s="423"/>
      <c r="F5" s="423" t="s">
        <v>438</v>
      </c>
      <c r="G5" s="423"/>
      <c r="H5" s="423"/>
      <c r="K5" s="422"/>
      <c r="L5" s="422"/>
      <c r="M5" s="422"/>
      <c r="N5" s="422"/>
      <c r="O5" s="422"/>
      <c r="P5" s="422"/>
      <c r="Q5" s="422"/>
      <c r="S5" s="429"/>
      <c r="T5" s="429"/>
      <c r="U5" s="429"/>
    </row>
    <row r="6" spans="1:21" s="58" customFormat="1" ht="37.5" customHeight="1" x14ac:dyDescent="0.3">
      <c r="A6" s="65">
        <f>+'Cover Page'!C39</f>
        <v>2022</v>
      </c>
      <c r="B6" s="55" t="s">
        <v>480</v>
      </c>
      <c r="C6" s="55" t="s">
        <v>481</v>
      </c>
      <c r="D6" s="55" t="s">
        <v>482</v>
      </c>
      <c r="E6" s="55" t="s">
        <v>483</v>
      </c>
      <c r="F6" s="55" t="s">
        <v>484</v>
      </c>
      <c r="G6" s="55" t="s">
        <v>443</v>
      </c>
      <c r="H6" s="55" t="s">
        <v>444</v>
      </c>
      <c r="I6" s="59"/>
      <c r="K6" s="61">
        <f>+A6</f>
        <v>2022</v>
      </c>
      <c r="L6" s="61" t="s">
        <v>445</v>
      </c>
      <c r="M6" s="55" t="s">
        <v>481</v>
      </c>
      <c r="N6" s="55" t="s">
        <v>482</v>
      </c>
      <c r="O6" s="55" t="s">
        <v>483</v>
      </c>
      <c r="P6" s="67" t="s">
        <v>443</v>
      </c>
      <c r="Q6" s="67" t="s">
        <v>447</v>
      </c>
      <c r="S6" s="429"/>
      <c r="T6" s="429"/>
      <c r="U6" s="429"/>
    </row>
    <row r="7" spans="1:21" x14ac:dyDescent="0.25">
      <c r="A7" s="66" t="s">
        <v>448</v>
      </c>
      <c r="B7" s="69">
        <v>150</v>
      </c>
      <c r="C7" s="64"/>
      <c r="D7" s="64"/>
      <c r="E7" s="64"/>
      <c r="F7" s="69">
        <v>50</v>
      </c>
      <c r="G7" s="64"/>
      <c r="H7" s="64"/>
      <c r="K7" s="428" t="s">
        <v>193</v>
      </c>
      <c r="L7" s="66" t="s">
        <v>448</v>
      </c>
      <c r="M7" s="102">
        <v>5.44</v>
      </c>
      <c r="N7" s="102">
        <v>10</v>
      </c>
      <c r="O7" s="102">
        <v>869</v>
      </c>
      <c r="P7" s="102">
        <v>5.44</v>
      </c>
      <c r="Q7" s="102">
        <v>20</v>
      </c>
      <c r="S7" s="429"/>
      <c r="T7" s="429"/>
      <c r="U7" s="429"/>
    </row>
    <row r="8" spans="1:21" x14ac:dyDescent="0.25">
      <c r="A8" s="66" t="s">
        <v>449</v>
      </c>
      <c r="B8" s="63">
        <f>+B7</f>
        <v>150</v>
      </c>
      <c r="C8" s="64"/>
      <c r="D8" s="64"/>
      <c r="E8" s="64"/>
      <c r="F8" s="63">
        <f>+F7</f>
        <v>50</v>
      </c>
      <c r="G8" s="64"/>
      <c r="H8" s="64"/>
      <c r="K8" s="428"/>
      <c r="L8" s="66" t="s">
        <v>449</v>
      </c>
      <c r="M8" s="102">
        <v>5.49</v>
      </c>
      <c r="N8" s="102">
        <v>13</v>
      </c>
      <c r="O8" s="102">
        <v>709</v>
      </c>
      <c r="P8" s="102">
        <v>5.49</v>
      </c>
      <c r="Q8" s="102">
        <v>11</v>
      </c>
      <c r="S8" s="429"/>
      <c r="T8" s="429"/>
      <c r="U8" s="429"/>
    </row>
    <row r="9" spans="1:21" x14ac:dyDescent="0.25">
      <c r="A9" s="66" t="s">
        <v>450</v>
      </c>
      <c r="B9" s="63">
        <f t="shared" ref="B9:B18" si="0">+B8</f>
        <v>150</v>
      </c>
      <c r="C9" s="64"/>
      <c r="D9" s="64"/>
      <c r="E9" s="64"/>
      <c r="F9" s="63">
        <f t="shared" ref="F9:F18" si="1">+F8</f>
        <v>50</v>
      </c>
      <c r="G9" s="64"/>
      <c r="H9" s="64"/>
      <c r="K9" s="428"/>
      <c r="L9" s="66" t="s">
        <v>450</v>
      </c>
      <c r="M9" s="102">
        <v>5.47</v>
      </c>
      <c r="N9" s="102">
        <v>8</v>
      </c>
      <c r="O9" s="102">
        <v>1676</v>
      </c>
      <c r="P9" s="102">
        <v>5.5</v>
      </c>
      <c r="Q9" s="102">
        <v>18</v>
      </c>
      <c r="S9" s="78" t="s">
        <v>485</v>
      </c>
    </row>
    <row r="10" spans="1:21" x14ac:dyDescent="0.25">
      <c r="A10" s="66" t="s">
        <v>452</v>
      </c>
      <c r="B10" s="63">
        <f t="shared" si="0"/>
        <v>150</v>
      </c>
      <c r="C10" s="64"/>
      <c r="D10" s="64"/>
      <c r="E10" s="64"/>
      <c r="F10" s="63">
        <f t="shared" si="1"/>
        <v>50</v>
      </c>
      <c r="G10" s="64"/>
      <c r="H10" s="64"/>
      <c r="K10" s="428"/>
      <c r="L10" s="66" t="s">
        <v>452</v>
      </c>
      <c r="M10" s="102">
        <v>5.14</v>
      </c>
      <c r="N10" s="102">
        <v>11</v>
      </c>
      <c r="O10" s="102">
        <v>942</v>
      </c>
      <c r="P10" s="102">
        <v>5.14</v>
      </c>
      <c r="Q10" s="102">
        <v>10</v>
      </c>
      <c r="S10" s="421" t="s">
        <v>486</v>
      </c>
      <c r="T10" s="421"/>
      <c r="U10" s="421"/>
    </row>
    <row r="11" spans="1:21" x14ac:dyDescent="0.25">
      <c r="A11" s="66" t="s">
        <v>454</v>
      </c>
      <c r="B11" s="63">
        <f t="shared" si="0"/>
        <v>150</v>
      </c>
      <c r="C11" s="64"/>
      <c r="D11" s="64"/>
      <c r="E11" s="64"/>
      <c r="F11" s="63">
        <f t="shared" si="1"/>
        <v>50</v>
      </c>
      <c r="G11" s="64"/>
      <c r="H11" s="64"/>
      <c r="K11" s="428"/>
      <c r="L11" s="66" t="s">
        <v>454</v>
      </c>
      <c r="M11" s="102">
        <v>6.14</v>
      </c>
      <c r="N11" s="102">
        <v>8</v>
      </c>
      <c r="O11" s="102">
        <v>6491</v>
      </c>
      <c r="P11" s="102">
        <v>6.1</v>
      </c>
      <c r="Q11" s="102">
        <v>51</v>
      </c>
      <c r="S11" s="421"/>
      <c r="T11" s="421"/>
      <c r="U11" s="421"/>
    </row>
    <row r="12" spans="1:21" x14ac:dyDescent="0.25">
      <c r="A12" s="66" t="s">
        <v>455</v>
      </c>
      <c r="B12" s="63">
        <f t="shared" si="0"/>
        <v>150</v>
      </c>
      <c r="C12" s="64"/>
      <c r="D12" s="64"/>
      <c r="E12" s="64"/>
      <c r="F12" s="63">
        <f t="shared" si="1"/>
        <v>50</v>
      </c>
      <c r="G12" s="64"/>
      <c r="H12" s="64"/>
      <c r="K12" s="428"/>
      <c r="L12" s="66" t="s">
        <v>455</v>
      </c>
      <c r="M12" s="102">
        <v>7.4</v>
      </c>
      <c r="N12" s="102">
        <v>12</v>
      </c>
      <c r="O12" s="102">
        <v>4580</v>
      </c>
      <c r="P12" s="102">
        <v>7.4</v>
      </c>
      <c r="Q12" s="102">
        <v>44</v>
      </c>
      <c r="S12" s="421"/>
      <c r="T12" s="421"/>
      <c r="U12" s="421"/>
    </row>
    <row r="13" spans="1:21" x14ac:dyDescent="0.25">
      <c r="A13" s="66" t="s">
        <v>456</v>
      </c>
      <c r="B13" s="63">
        <f t="shared" si="0"/>
        <v>150</v>
      </c>
      <c r="C13" s="64"/>
      <c r="D13" s="64"/>
      <c r="E13" s="64"/>
      <c r="F13" s="63">
        <f t="shared" si="1"/>
        <v>50</v>
      </c>
      <c r="G13" s="64"/>
      <c r="H13" s="64"/>
      <c r="K13" s="428"/>
      <c r="L13" s="66" t="s">
        <v>456</v>
      </c>
      <c r="M13" s="102">
        <v>7.2</v>
      </c>
      <c r="N13" s="102">
        <v>28</v>
      </c>
      <c r="O13" s="102">
        <v>3117</v>
      </c>
      <c r="P13" s="102">
        <v>7.2</v>
      </c>
      <c r="Q13" s="102">
        <v>33</v>
      </c>
      <c r="S13" s="421" t="s">
        <v>487</v>
      </c>
      <c r="T13" s="421"/>
      <c r="U13" s="421"/>
    </row>
    <row r="14" spans="1:21" x14ac:dyDescent="0.25">
      <c r="A14" s="66" t="s">
        <v>458</v>
      </c>
      <c r="B14" s="63">
        <f t="shared" si="0"/>
        <v>150</v>
      </c>
      <c r="C14" s="64"/>
      <c r="D14" s="64"/>
      <c r="E14" s="64"/>
      <c r="F14" s="63">
        <f t="shared" si="1"/>
        <v>50</v>
      </c>
      <c r="G14" s="64"/>
      <c r="H14" s="64"/>
      <c r="K14" s="428"/>
      <c r="L14" s="66" t="s">
        <v>458</v>
      </c>
      <c r="M14" s="102">
        <v>8.1</v>
      </c>
      <c r="N14" s="102">
        <v>32</v>
      </c>
      <c r="O14" s="102">
        <v>1746</v>
      </c>
      <c r="P14" s="102">
        <v>8.1</v>
      </c>
      <c r="Q14" s="102">
        <v>24</v>
      </c>
      <c r="S14" s="421"/>
      <c r="T14" s="421"/>
      <c r="U14" s="421"/>
    </row>
    <row r="15" spans="1:21" x14ac:dyDescent="0.25">
      <c r="A15" s="66" t="s">
        <v>459</v>
      </c>
      <c r="B15" s="63">
        <f t="shared" si="0"/>
        <v>150</v>
      </c>
      <c r="C15" s="64"/>
      <c r="D15" s="64"/>
      <c r="E15" s="64"/>
      <c r="F15" s="63">
        <f t="shared" si="1"/>
        <v>50</v>
      </c>
      <c r="G15" s="64"/>
      <c r="H15" s="64"/>
      <c r="K15" s="428"/>
      <c r="L15" s="66" t="s">
        <v>459</v>
      </c>
      <c r="M15" s="102">
        <v>10.5</v>
      </c>
      <c r="N15" s="102">
        <v>89</v>
      </c>
      <c r="O15" s="102">
        <v>3535</v>
      </c>
      <c r="P15" s="102">
        <v>10.5</v>
      </c>
      <c r="Q15" s="102">
        <v>30</v>
      </c>
      <c r="S15" s="421"/>
      <c r="T15" s="421"/>
      <c r="U15" s="421"/>
    </row>
    <row r="16" spans="1:21" x14ac:dyDescent="0.25">
      <c r="A16" s="66" t="s">
        <v>460</v>
      </c>
      <c r="B16" s="63">
        <f t="shared" si="0"/>
        <v>150</v>
      </c>
      <c r="C16" s="64"/>
      <c r="D16" s="64"/>
      <c r="E16" s="64"/>
      <c r="F16" s="63">
        <f t="shared" si="1"/>
        <v>50</v>
      </c>
      <c r="G16" s="64"/>
      <c r="H16" s="64"/>
      <c r="K16" s="428"/>
      <c r="L16" s="66" t="s">
        <v>460</v>
      </c>
      <c r="M16" s="102">
        <v>8.9</v>
      </c>
      <c r="N16" s="102">
        <v>58</v>
      </c>
      <c r="O16" s="102">
        <v>612</v>
      </c>
      <c r="P16" s="102">
        <v>8.9</v>
      </c>
      <c r="Q16" s="102">
        <v>15</v>
      </c>
      <c r="S16" s="421"/>
      <c r="T16" s="421"/>
      <c r="U16" s="421"/>
    </row>
    <row r="17" spans="1:17" x14ac:dyDescent="0.25">
      <c r="A17" s="66" t="s">
        <v>461</v>
      </c>
      <c r="B17" s="63">
        <f t="shared" si="0"/>
        <v>150</v>
      </c>
      <c r="C17" s="64"/>
      <c r="D17" s="64"/>
      <c r="E17" s="64"/>
      <c r="F17" s="63">
        <f t="shared" si="1"/>
        <v>50</v>
      </c>
      <c r="G17" s="64"/>
      <c r="H17" s="64"/>
      <c r="K17" s="428"/>
      <c r="L17" s="66" t="s">
        <v>461</v>
      </c>
      <c r="M17" s="102">
        <v>8</v>
      </c>
      <c r="N17" s="102">
        <v>14</v>
      </c>
      <c r="O17" s="102">
        <v>323</v>
      </c>
      <c r="P17" s="102">
        <v>8</v>
      </c>
      <c r="Q17" s="102">
        <v>10</v>
      </c>
    </row>
    <row r="18" spans="1:17" x14ac:dyDescent="0.25">
      <c r="A18" s="66" t="s">
        <v>462</v>
      </c>
      <c r="B18" s="63">
        <f t="shared" si="0"/>
        <v>150</v>
      </c>
      <c r="C18" s="64"/>
      <c r="D18" s="64"/>
      <c r="E18" s="64"/>
      <c r="F18" s="63">
        <f t="shared" si="1"/>
        <v>50</v>
      </c>
      <c r="G18" s="64"/>
      <c r="H18" s="64"/>
      <c r="K18" s="428"/>
      <c r="L18" s="66" t="s">
        <v>462</v>
      </c>
      <c r="M18" s="102">
        <v>8.4</v>
      </c>
      <c r="N18" s="102">
        <v>20</v>
      </c>
      <c r="O18" s="102">
        <v>757</v>
      </c>
      <c r="P18" s="102">
        <v>8.4</v>
      </c>
      <c r="Q18" s="102">
        <v>12</v>
      </c>
    </row>
    <row r="19" spans="1:17" x14ac:dyDescent="0.25">
      <c r="K19" s="428"/>
      <c r="L19" s="62" t="s">
        <v>463</v>
      </c>
      <c r="M19" s="104">
        <f>AVERAGE(M7:M18)</f>
        <v>7.1816666666666675</v>
      </c>
      <c r="N19" s="104">
        <f>MAX(N7:N18)</f>
        <v>89</v>
      </c>
      <c r="O19" s="104">
        <f>MAX(O7:O18)</f>
        <v>6491</v>
      </c>
      <c r="P19" s="104">
        <f>AVERAGE(P7:P18)</f>
        <v>7.180833333333335</v>
      </c>
      <c r="Q19" s="104">
        <f>MAX(Q7:Q18)</f>
        <v>51</v>
      </c>
    </row>
    <row r="21" spans="1:17" ht="27.6" x14ac:dyDescent="0.25">
      <c r="K21" s="61">
        <f>+A6</f>
        <v>2022</v>
      </c>
      <c r="L21" s="61" t="s">
        <v>445</v>
      </c>
      <c r="M21" s="55" t="s">
        <v>481</v>
      </c>
      <c r="N21" s="55" t="s">
        <v>482</v>
      </c>
      <c r="O21" s="55" t="s">
        <v>483</v>
      </c>
      <c r="P21" s="67" t="s">
        <v>443</v>
      </c>
      <c r="Q21" s="67" t="s">
        <v>447</v>
      </c>
    </row>
    <row r="22" spans="1:17" x14ac:dyDescent="0.25">
      <c r="K22" s="428" t="s">
        <v>194</v>
      </c>
      <c r="L22" s="66" t="s">
        <v>448</v>
      </c>
      <c r="M22" s="102">
        <v>3.5</v>
      </c>
      <c r="N22" s="102">
        <v>7</v>
      </c>
      <c r="O22" s="102">
        <v>2869</v>
      </c>
      <c r="P22" s="102">
        <v>3.5</v>
      </c>
      <c r="Q22" s="102">
        <v>38</v>
      </c>
    </row>
    <row r="23" spans="1:17" x14ac:dyDescent="0.25">
      <c r="K23" s="428"/>
      <c r="L23" s="66" t="s">
        <v>449</v>
      </c>
      <c r="M23" s="102">
        <v>2.71</v>
      </c>
      <c r="N23" s="102">
        <v>9</v>
      </c>
      <c r="O23" s="102">
        <v>883</v>
      </c>
      <c r="P23" s="102">
        <v>2.71</v>
      </c>
      <c r="Q23" s="102">
        <v>16</v>
      </c>
    </row>
    <row r="24" spans="1:17" x14ac:dyDescent="0.25">
      <c r="K24" s="428"/>
      <c r="L24" s="66" t="s">
        <v>450</v>
      </c>
      <c r="M24" s="102">
        <v>2.5299999999999998</v>
      </c>
      <c r="N24" s="102">
        <v>6</v>
      </c>
      <c r="O24" s="102">
        <v>219</v>
      </c>
      <c r="P24" s="102">
        <v>2.5299999999999998</v>
      </c>
      <c r="Q24" s="102">
        <v>4</v>
      </c>
    </row>
    <row r="25" spans="1:17" x14ac:dyDescent="0.25">
      <c r="K25" s="428"/>
      <c r="L25" s="66" t="s">
        <v>452</v>
      </c>
      <c r="M25" s="102">
        <v>4.2</v>
      </c>
      <c r="N25" s="102">
        <v>6</v>
      </c>
      <c r="O25" s="102">
        <v>1736</v>
      </c>
      <c r="P25" s="102">
        <v>4.2</v>
      </c>
      <c r="Q25" s="102">
        <v>16</v>
      </c>
    </row>
    <row r="26" spans="1:17" x14ac:dyDescent="0.25">
      <c r="K26" s="428"/>
      <c r="L26" s="66" t="s">
        <v>454</v>
      </c>
      <c r="M26" s="102">
        <v>9.1999999999999993</v>
      </c>
      <c r="N26" s="102">
        <v>13</v>
      </c>
      <c r="O26" s="102">
        <v>6731</v>
      </c>
      <c r="P26" s="102">
        <v>9.1999999999999993</v>
      </c>
      <c r="Q26" s="102">
        <v>77</v>
      </c>
    </row>
    <row r="27" spans="1:17" x14ac:dyDescent="0.25">
      <c r="K27" s="428"/>
      <c r="L27" s="66" t="s">
        <v>455</v>
      </c>
      <c r="M27" s="102">
        <v>3.1</v>
      </c>
      <c r="N27" s="102">
        <v>8</v>
      </c>
      <c r="O27" s="102">
        <v>351</v>
      </c>
      <c r="P27" s="102">
        <v>3.1</v>
      </c>
      <c r="Q27" s="102">
        <v>7</v>
      </c>
    </row>
    <row r="28" spans="1:17" x14ac:dyDescent="0.25">
      <c r="K28" s="428"/>
      <c r="L28" s="66" t="s">
        <v>456</v>
      </c>
      <c r="M28" s="102">
        <v>7.2</v>
      </c>
      <c r="N28" s="102">
        <v>31</v>
      </c>
      <c r="O28" s="102">
        <v>1571</v>
      </c>
      <c r="P28" s="102">
        <v>7.2</v>
      </c>
      <c r="Q28" s="102">
        <v>28</v>
      </c>
    </row>
    <row r="29" spans="1:17" x14ac:dyDescent="0.25">
      <c r="K29" s="428"/>
      <c r="L29" s="66" t="s">
        <v>458</v>
      </c>
      <c r="M29" s="102">
        <v>4.9000000000000004</v>
      </c>
      <c r="N29" s="102">
        <v>14</v>
      </c>
      <c r="O29" s="102">
        <v>728</v>
      </c>
      <c r="P29" s="102">
        <v>4.9000000000000004</v>
      </c>
      <c r="Q29" s="102">
        <v>9</v>
      </c>
    </row>
    <row r="30" spans="1:17" x14ac:dyDescent="0.25">
      <c r="K30" s="428"/>
      <c r="L30" s="66" t="s">
        <v>459</v>
      </c>
      <c r="M30" s="102">
        <v>5.2</v>
      </c>
      <c r="N30" s="102">
        <v>10</v>
      </c>
      <c r="O30" s="102">
        <v>286</v>
      </c>
      <c r="P30" s="102">
        <v>5.2</v>
      </c>
      <c r="Q30" s="102">
        <v>8</v>
      </c>
    </row>
    <row r="31" spans="1:17" x14ac:dyDescent="0.25">
      <c r="K31" s="428"/>
      <c r="L31" s="66" t="s">
        <v>460</v>
      </c>
      <c r="M31" s="102">
        <v>6.3</v>
      </c>
      <c r="N31" s="102">
        <v>27</v>
      </c>
      <c r="O31" s="102">
        <v>309</v>
      </c>
      <c r="P31" s="102">
        <v>6.3</v>
      </c>
      <c r="Q31" s="102">
        <v>10</v>
      </c>
    </row>
    <row r="32" spans="1:17" x14ac:dyDescent="0.25">
      <c r="K32" s="428"/>
      <c r="L32" s="66" t="s">
        <v>461</v>
      </c>
      <c r="M32" s="102">
        <v>7.6</v>
      </c>
      <c r="N32" s="102">
        <v>10</v>
      </c>
      <c r="O32" s="102">
        <v>309</v>
      </c>
      <c r="P32" s="102">
        <v>7.6</v>
      </c>
      <c r="Q32" s="102">
        <v>8</v>
      </c>
    </row>
    <row r="33" spans="1:17" x14ac:dyDescent="0.25">
      <c r="K33" s="428"/>
      <c r="L33" s="66" t="s">
        <v>462</v>
      </c>
      <c r="M33" s="102">
        <v>6.5</v>
      </c>
      <c r="N33" s="102">
        <v>12</v>
      </c>
      <c r="O33" s="102">
        <v>154</v>
      </c>
      <c r="P33" s="102">
        <v>6.5</v>
      </c>
      <c r="Q33" s="102">
        <v>7</v>
      </c>
    </row>
    <row r="34" spans="1:17" x14ac:dyDescent="0.25">
      <c r="K34" s="428"/>
      <c r="L34" s="62" t="s">
        <v>463</v>
      </c>
      <c r="M34" s="104">
        <f>AVERAGE(M22:M33)</f>
        <v>5.2450000000000001</v>
      </c>
      <c r="N34" s="104">
        <f>MAX(N22:N33)</f>
        <v>31</v>
      </c>
      <c r="O34" s="104">
        <f>MAX(O22:O33)</f>
        <v>6731</v>
      </c>
      <c r="P34" s="104">
        <f>AVERAGE(P22:P33)</f>
        <v>5.2450000000000001</v>
      </c>
      <c r="Q34" s="104">
        <f>MAX(Q22:Q33)</f>
        <v>77</v>
      </c>
    </row>
    <row r="48" spans="1:17" x14ac:dyDescent="0.25">
      <c r="A48" s="400" t="s">
        <v>320</v>
      </c>
      <c r="B48" s="401"/>
      <c r="C48" s="401"/>
      <c r="D48" s="401"/>
      <c r="E48" s="401"/>
      <c r="F48" s="401"/>
      <c r="G48" s="401"/>
      <c r="H48" s="427"/>
    </row>
    <row r="49" spans="1:8" x14ac:dyDescent="0.25">
      <c r="A49" s="430" t="s">
        <v>488</v>
      </c>
      <c r="B49" s="431"/>
      <c r="C49" s="431"/>
      <c r="D49" s="431"/>
      <c r="E49" s="431"/>
      <c r="F49" s="431"/>
      <c r="G49" s="431"/>
      <c r="H49" s="432"/>
    </row>
    <row r="50" spans="1:8" x14ac:dyDescent="0.25">
      <c r="A50" s="433"/>
      <c r="B50" s="434"/>
      <c r="C50" s="434"/>
      <c r="D50" s="434"/>
      <c r="E50" s="434"/>
      <c r="F50" s="434"/>
      <c r="G50" s="434"/>
      <c r="H50" s="435"/>
    </row>
    <row r="51" spans="1:8" x14ac:dyDescent="0.25">
      <c r="A51" s="433"/>
      <c r="B51" s="434"/>
      <c r="C51" s="434"/>
      <c r="D51" s="434"/>
      <c r="E51" s="434"/>
      <c r="F51" s="434"/>
      <c r="G51" s="434"/>
      <c r="H51" s="435"/>
    </row>
    <row r="52" spans="1:8" x14ac:dyDescent="0.25">
      <c r="A52" s="436"/>
      <c r="B52" s="437"/>
      <c r="C52" s="437"/>
      <c r="D52" s="437"/>
      <c r="E52" s="437"/>
      <c r="F52" s="437"/>
      <c r="G52" s="437"/>
      <c r="H52" s="438"/>
    </row>
  </sheetData>
  <mergeCells count="10">
    <mergeCell ref="K22:K34"/>
    <mergeCell ref="A48:H48"/>
    <mergeCell ref="A49:H52"/>
    <mergeCell ref="S4:U8"/>
    <mergeCell ref="S10:U12"/>
    <mergeCell ref="S13:U16"/>
    <mergeCell ref="B5:E5"/>
    <mergeCell ref="F5:H5"/>
    <mergeCell ref="K5:Q5"/>
    <mergeCell ref="K7:K19"/>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52"/>
  <sheetViews>
    <sheetView topLeftCell="A8" workbookViewId="0">
      <selection activeCell="L34" sqref="L34:O34"/>
    </sheetView>
  </sheetViews>
  <sheetFormatPr defaultRowHeight="13.8" x14ac:dyDescent="0.25"/>
  <cols>
    <col min="1" max="1" width="14" style="3" customWidth="1"/>
    <col min="2" max="4" width="17" style="35" customWidth="1"/>
    <col min="5" max="5" width="14.6640625" style="35" customWidth="1"/>
    <col min="6"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2"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2" t="str">
        <f>+'Cover Page'!$B$29</f>
        <v>Annual Performance Report 2022</v>
      </c>
      <c r="B1" s="92"/>
      <c r="C1" s="92"/>
      <c r="D1" s="92"/>
      <c r="E1" s="92" t="str">
        <f>+'Cover Page'!$B$33</f>
        <v>Beddington Energy Recovery Facility</v>
      </c>
    </row>
    <row r="3" spans="1:19" ht="14.4" x14ac:dyDescent="0.3">
      <c r="A3" s="60" t="s">
        <v>489</v>
      </c>
      <c r="D3" s="76" t="s">
        <v>432</v>
      </c>
      <c r="G3" s="80" t="s">
        <v>433</v>
      </c>
      <c r="J3" s="9" t="str">
        <f>+A3</f>
        <v xml:space="preserve">Monitoring of Ammnonia emissions </v>
      </c>
      <c r="L3" s="9"/>
      <c r="N3" s="9" t="s">
        <v>434</v>
      </c>
      <c r="Q3" s="79" t="s">
        <v>2</v>
      </c>
      <c r="R3" s="74"/>
      <c r="S3" s="74"/>
    </row>
    <row r="4" spans="1:19" ht="13.95" customHeight="1" x14ac:dyDescent="0.25">
      <c r="Q4" s="429" t="s">
        <v>435</v>
      </c>
      <c r="R4" s="429"/>
      <c r="S4" s="429"/>
    </row>
    <row r="5" spans="1:19" ht="16.2" x14ac:dyDescent="0.25">
      <c r="A5" s="68" t="s">
        <v>436</v>
      </c>
      <c r="B5" s="423" t="s">
        <v>437</v>
      </c>
      <c r="C5" s="423"/>
      <c r="D5" s="423"/>
      <c r="E5" s="423" t="s">
        <v>438</v>
      </c>
      <c r="F5" s="423"/>
      <c r="G5" s="423"/>
      <c r="J5" s="422"/>
      <c r="K5" s="422"/>
      <c r="L5" s="422"/>
      <c r="M5" s="422"/>
      <c r="N5" s="422"/>
      <c r="O5" s="422"/>
      <c r="Q5" s="429"/>
      <c r="R5" s="429"/>
      <c r="S5" s="429"/>
    </row>
    <row r="6" spans="1:19" s="58" customFormat="1" ht="37.5" customHeight="1" x14ac:dyDescent="0.3">
      <c r="A6" s="65">
        <f>+'Cover Page'!C39</f>
        <v>2022</v>
      </c>
      <c r="B6" s="55" t="s">
        <v>490</v>
      </c>
      <c r="C6" s="55" t="s">
        <v>440</v>
      </c>
      <c r="D6" s="55" t="s">
        <v>441</v>
      </c>
      <c r="E6" s="55" t="s">
        <v>491</v>
      </c>
      <c r="F6" s="55" t="s">
        <v>443</v>
      </c>
      <c r="G6" s="55" t="s">
        <v>444</v>
      </c>
      <c r="H6" s="59"/>
      <c r="J6" s="61">
        <f>+A6</f>
        <v>2022</v>
      </c>
      <c r="K6" s="61" t="s">
        <v>445</v>
      </c>
      <c r="L6" s="67" t="s">
        <v>440</v>
      </c>
      <c r="M6" s="67" t="s">
        <v>446</v>
      </c>
      <c r="N6" s="67" t="s">
        <v>443</v>
      </c>
      <c r="O6" s="67" t="s">
        <v>447</v>
      </c>
      <c r="Q6" s="429"/>
      <c r="R6" s="429"/>
      <c r="S6" s="429"/>
    </row>
    <row r="7" spans="1:19" x14ac:dyDescent="0.25">
      <c r="A7" s="66" t="s">
        <v>448</v>
      </c>
      <c r="B7" s="69">
        <v>0</v>
      </c>
      <c r="C7" s="64"/>
      <c r="D7" s="64"/>
      <c r="E7" s="69">
        <v>10</v>
      </c>
      <c r="F7" s="64"/>
      <c r="G7" s="64"/>
      <c r="J7" s="428" t="s">
        <v>193</v>
      </c>
      <c r="K7" s="66" t="s">
        <v>448</v>
      </c>
      <c r="L7" s="102">
        <v>1.9</v>
      </c>
      <c r="M7" s="102">
        <v>5</v>
      </c>
      <c r="N7" s="102">
        <v>1.9</v>
      </c>
      <c r="O7" s="102">
        <v>2.9</v>
      </c>
      <c r="Q7" s="429"/>
      <c r="R7" s="429"/>
      <c r="S7" s="429"/>
    </row>
    <row r="8" spans="1:19" x14ac:dyDescent="0.25">
      <c r="A8" s="66" t="s">
        <v>449</v>
      </c>
      <c r="B8" s="63">
        <f>+B7</f>
        <v>0</v>
      </c>
      <c r="C8" s="64"/>
      <c r="D8" s="64"/>
      <c r="E8" s="63">
        <f>+E7</f>
        <v>10</v>
      </c>
      <c r="F8" s="64"/>
      <c r="G8" s="64"/>
      <c r="J8" s="428"/>
      <c r="K8" s="66" t="s">
        <v>449</v>
      </c>
      <c r="L8" s="102">
        <v>1.9</v>
      </c>
      <c r="M8" s="102">
        <v>9.4</v>
      </c>
      <c r="N8" s="102">
        <v>1.9</v>
      </c>
      <c r="O8" s="102">
        <v>2.6</v>
      </c>
      <c r="Q8" s="429"/>
      <c r="R8" s="429"/>
      <c r="S8" s="429"/>
    </row>
    <row r="9" spans="1:19" x14ac:dyDescent="0.25">
      <c r="A9" s="66" t="s">
        <v>450</v>
      </c>
      <c r="B9" s="63">
        <f t="shared" ref="B9:B18" si="0">+B8</f>
        <v>0</v>
      </c>
      <c r="C9" s="64"/>
      <c r="D9" s="64"/>
      <c r="E9" s="63">
        <f t="shared" ref="E9:E18" si="1">+E8</f>
        <v>10</v>
      </c>
      <c r="F9" s="64"/>
      <c r="G9" s="64"/>
      <c r="J9" s="428"/>
      <c r="K9" s="66" t="s">
        <v>450</v>
      </c>
      <c r="L9" s="102">
        <v>1.6</v>
      </c>
      <c r="M9" s="102">
        <v>7</v>
      </c>
      <c r="N9" s="102">
        <v>1.6</v>
      </c>
      <c r="O9" s="102">
        <v>2.2000000000000002</v>
      </c>
      <c r="Q9" s="78" t="s">
        <v>451</v>
      </c>
    </row>
    <row r="10" spans="1:19" ht="14.25" customHeight="1" x14ac:dyDescent="0.25">
      <c r="A10" s="66" t="s">
        <v>452</v>
      </c>
      <c r="B10" s="63">
        <f t="shared" si="0"/>
        <v>0</v>
      </c>
      <c r="C10" s="64"/>
      <c r="D10" s="64"/>
      <c r="E10" s="63">
        <f t="shared" si="1"/>
        <v>10</v>
      </c>
      <c r="F10" s="64"/>
      <c r="G10" s="64"/>
      <c r="J10" s="428"/>
      <c r="K10" s="66" t="s">
        <v>452</v>
      </c>
      <c r="L10" s="102">
        <v>1.8</v>
      </c>
      <c r="M10" s="102">
        <v>20.5</v>
      </c>
      <c r="N10" s="102">
        <v>1.8</v>
      </c>
      <c r="O10" s="102">
        <v>5.8</v>
      </c>
      <c r="Q10" s="421" t="s">
        <v>453</v>
      </c>
      <c r="R10" s="421"/>
      <c r="S10" s="421"/>
    </row>
    <row r="11" spans="1:19" x14ac:dyDescent="0.25">
      <c r="A11" s="66" t="s">
        <v>454</v>
      </c>
      <c r="B11" s="63">
        <f t="shared" si="0"/>
        <v>0</v>
      </c>
      <c r="C11" s="64"/>
      <c r="D11" s="64"/>
      <c r="E11" s="63">
        <f t="shared" si="1"/>
        <v>10</v>
      </c>
      <c r="F11" s="64"/>
      <c r="G11" s="64"/>
      <c r="J11" s="428"/>
      <c r="K11" s="66" t="s">
        <v>454</v>
      </c>
      <c r="L11" s="102">
        <v>1.9</v>
      </c>
      <c r="M11" s="102">
        <v>17</v>
      </c>
      <c r="N11" s="102">
        <v>1.9</v>
      </c>
      <c r="O11" s="102">
        <v>2.7</v>
      </c>
      <c r="Q11" s="421"/>
      <c r="R11" s="421"/>
      <c r="S11" s="421"/>
    </row>
    <row r="12" spans="1:19" x14ac:dyDescent="0.25">
      <c r="A12" s="66" t="s">
        <v>455</v>
      </c>
      <c r="B12" s="63">
        <f t="shared" si="0"/>
        <v>0</v>
      </c>
      <c r="C12" s="64"/>
      <c r="D12" s="64"/>
      <c r="E12" s="63">
        <f t="shared" si="1"/>
        <v>10</v>
      </c>
      <c r="F12" s="64"/>
      <c r="G12" s="64"/>
      <c r="J12" s="428"/>
      <c r="K12" s="66" t="s">
        <v>455</v>
      </c>
      <c r="L12" s="102">
        <v>1.6</v>
      </c>
      <c r="M12" s="102">
        <v>8.6999999999999993</v>
      </c>
      <c r="N12" s="102">
        <v>1.6</v>
      </c>
      <c r="O12" s="102">
        <v>2.9</v>
      </c>
      <c r="Q12" s="421"/>
      <c r="R12" s="421"/>
      <c r="S12" s="421"/>
    </row>
    <row r="13" spans="1:19" ht="14.25" customHeight="1" x14ac:dyDescent="0.25">
      <c r="A13" s="66" t="s">
        <v>456</v>
      </c>
      <c r="B13" s="63">
        <f t="shared" si="0"/>
        <v>0</v>
      </c>
      <c r="C13" s="64"/>
      <c r="D13" s="64"/>
      <c r="E13" s="63">
        <f t="shared" si="1"/>
        <v>10</v>
      </c>
      <c r="F13" s="64"/>
      <c r="G13" s="64"/>
      <c r="J13" s="428"/>
      <c r="K13" s="66" t="s">
        <v>456</v>
      </c>
      <c r="L13" s="102">
        <v>1.3</v>
      </c>
      <c r="M13" s="102">
        <v>8.4</v>
      </c>
      <c r="N13" s="102">
        <v>1.3</v>
      </c>
      <c r="O13" s="102">
        <v>2.5</v>
      </c>
      <c r="Q13" s="421" t="s">
        <v>457</v>
      </c>
      <c r="R13" s="421"/>
      <c r="S13" s="421"/>
    </row>
    <row r="14" spans="1:19" x14ac:dyDescent="0.25">
      <c r="A14" s="66" t="s">
        <v>458</v>
      </c>
      <c r="B14" s="63">
        <f t="shared" si="0"/>
        <v>0</v>
      </c>
      <c r="C14" s="64"/>
      <c r="D14" s="64"/>
      <c r="E14" s="63">
        <f t="shared" si="1"/>
        <v>10</v>
      </c>
      <c r="F14" s="64"/>
      <c r="G14" s="64"/>
      <c r="J14" s="428"/>
      <c r="K14" s="66" t="s">
        <v>458</v>
      </c>
      <c r="L14" s="102">
        <v>1.4</v>
      </c>
      <c r="M14" s="102">
        <v>13.2</v>
      </c>
      <c r="N14" s="102">
        <v>1.4</v>
      </c>
      <c r="O14" s="102">
        <v>2.5</v>
      </c>
      <c r="Q14" s="421"/>
      <c r="R14" s="421"/>
      <c r="S14" s="421"/>
    </row>
    <row r="15" spans="1:19" x14ac:dyDescent="0.25">
      <c r="A15" s="66" t="s">
        <v>459</v>
      </c>
      <c r="B15" s="63">
        <f t="shared" si="0"/>
        <v>0</v>
      </c>
      <c r="C15" s="64"/>
      <c r="D15" s="64"/>
      <c r="E15" s="63">
        <f t="shared" si="1"/>
        <v>10</v>
      </c>
      <c r="F15" s="64"/>
      <c r="G15" s="64"/>
      <c r="J15" s="428"/>
      <c r="K15" s="66" t="s">
        <v>459</v>
      </c>
      <c r="L15" s="102">
        <v>1.7</v>
      </c>
      <c r="M15" s="102">
        <v>18.399999999999999</v>
      </c>
      <c r="N15" s="102">
        <v>1.7</v>
      </c>
      <c r="O15" s="102">
        <v>2.9</v>
      </c>
      <c r="Q15" s="421"/>
      <c r="R15" s="421"/>
      <c r="S15" s="421"/>
    </row>
    <row r="16" spans="1:19" x14ac:dyDescent="0.25">
      <c r="A16" s="66" t="s">
        <v>460</v>
      </c>
      <c r="B16" s="63">
        <f t="shared" si="0"/>
        <v>0</v>
      </c>
      <c r="C16" s="64"/>
      <c r="D16" s="64"/>
      <c r="E16" s="63">
        <f t="shared" si="1"/>
        <v>10</v>
      </c>
      <c r="F16" s="64"/>
      <c r="G16" s="64"/>
      <c r="J16" s="428"/>
      <c r="K16" s="66" t="s">
        <v>460</v>
      </c>
      <c r="L16" s="102">
        <v>1.6</v>
      </c>
      <c r="M16" s="102">
        <v>7.9</v>
      </c>
      <c r="N16" s="102">
        <v>1.6</v>
      </c>
      <c r="O16" s="102">
        <v>2.8</v>
      </c>
      <c r="Q16" s="421"/>
      <c r="R16" s="421"/>
      <c r="S16" s="421"/>
    </row>
    <row r="17" spans="1:15" x14ac:dyDescent="0.25">
      <c r="A17" s="66" t="s">
        <v>461</v>
      </c>
      <c r="B17" s="63">
        <f t="shared" si="0"/>
        <v>0</v>
      </c>
      <c r="C17" s="64"/>
      <c r="D17" s="64"/>
      <c r="E17" s="63">
        <f t="shared" si="1"/>
        <v>10</v>
      </c>
      <c r="F17" s="64"/>
      <c r="G17" s="64"/>
      <c r="J17" s="428"/>
      <c r="K17" s="66" t="s">
        <v>461</v>
      </c>
      <c r="L17" s="102">
        <v>2.1</v>
      </c>
      <c r="M17" s="102">
        <v>13.7</v>
      </c>
      <c r="N17" s="102">
        <v>2.1</v>
      </c>
      <c r="O17" s="102">
        <v>4.2</v>
      </c>
    </row>
    <row r="18" spans="1:15" x14ac:dyDescent="0.25">
      <c r="A18" s="66" t="s">
        <v>462</v>
      </c>
      <c r="B18" s="63">
        <f t="shared" si="0"/>
        <v>0</v>
      </c>
      <c r="C18" s="64"/>
      <c r="D18" s="64"/>
      <c r="E18" s="63">
        <f t="shared" si="1"/>
        <v>10</v>
      </c>
      <c r="F18" s="64"/>
      <c r="G18" s="64"/>
      <c r="J18" s="428"/>
      <c r="K18" s="66" t="s">
        <v>462</v>
      </c>
      <c r="L18" s="102">
        <v>1.4</v>
      </c>
      <c r="M18" s="102">
        <v>6.8</v>
      </c>
      <c r="N18" s="102">
        <v>1.4</v>
      </c>
      <c r="O18" s="102">
        <v>1.9</v>
      </c>
    </row>
    <row r="19" spans="1:15" x14ac:dyDescent="0.25">
      <c r="J19" s="428"/>
      <c r="K19" s="62" t="s">
        <v>463</v>
      </c>
      <c r="L19" s="104">
        <f>AVERAGE(L7:L18)</f>
        <v>1.6833333333333333</v>
      </c>
      <c r="M19" s="104">
        <f>MAX(M7:M18)</f>
        <v>20.5</v>
      </c>
      <c r="N19" s="104">
        <f>AVERAGE(N7:N18)</f>
        <v>1.6833333333333333</v>
      </c>
      <c r="O19" s="104">
        <f>MAX(O7:O18)</f>
        <v>5.8</v>
      </c>
    </row>
    <row r="21" spans="1:15" ht="41.4" x14ac:dyDescent="0.25">
      <c r="J21" s="61">
        <f>+A6</f>
        <v>2022</v>
      </c>
      <c r="K21" s="61" t="s">
        <v>445</v>
      </c>
      <c r="L21" s="67" t="s">
        <v>440</v>
      </c>
      <c r="M21" s="67" t="s">
        <v>446</v>
      </c>
      <c r="N21" s="67" t="s">
        <v>443</v>
      </c>
      <c r="O21" s="67" t="s">
        <v>447</v>
      </c>
    </row>
    <row r="22" spans="1:15" x14ac:dyDescent="0.25">
      <c r="J22" s="428" t="s">
        <v>194</v>
      </c>
      <c r="K22" s="66" t="s">
        <v>448</v>
      </c>
      <c r="L22" s="102">
        <v>1.4</v>
      </c>
      <c r="M22" s="102">
        <v>7.1</v>
      </c>
      <c r="N22" s="102">
        <v>1.4</v>
      </c>
      <c r="O22" s="102">
        <v>2.1</v>
      </c>
    </row>
    <row r="23" spans="1:15" x14ac:dyDescent="0.25">
      <c r="J23" s="428"/>
      <c r="K23" s="66" t="s">
        <v>449</v>
      </c>
      <c r="L23" s="102">
        <v>1.2</v>
      </c>
      <c r="M23" s="102">
        <v>3.4</v>
      </c>
      <c r="N23" s="102">
        <v>1.2</v>
      </c>
      <c r="O23" s="102">
        <v>1.9</v>
      </c>
    </row>
    <row r="24" spans="1:15" x14ac:dyDescent="0.25">
      <c r="J24" s="428"/>
      <c r="K24" s="66" t="s">
        <v>450</v>
      </c>
      <c r="L24" s="102">
        <v>1.7</v>
      </c>
      <c r="M24" s="102">
        <v>9.8000000000000007</v>
      </c>
      <c r="N24" s="102">
        <v>1.7</v>
      </c>
      <c r="O24" s="102">
        <v>3.6</v>
      </c>
    </row>
    <row r="25" spans="1:15" x14ac:dyDescent="0.25">
      <c r="J25" s="428"/>
      <c r="K25" s="66" t="s">
        <v>452</v>
      </c>
      <c r="L25" s="102">
        <v>1.6</v>
      </c>
      <c r="M25" s="102">
        <v>5.3</v>
      </c>
      <c r="N25" s="102">
        <v>1.6</v>
      </c>
      <c r="O25" s="102">
        <v>2.5</v>
      </c>
    </row>
    <row r="26" spans="1:15" x14ac:dyDescent="0.25">
      <c r="J26" s="428"/>
      <c r="K26" s="66" t="s">
        <v>454</v>
      </c>
      <c r="L26" s="102">
        <v>2.5</v>
      </c>
      <c r="M26" s="102">
        <v>17.600000000000001</v>
      </c>
      <c r="N26" s="102">
        <v>2.5</v>
      </c>
      <c r="O26" s="102">
        <v>4.3</v>
      </c>
    </row>
    <row r="27" spans="1:15" x14ac:dyDescent="0.25">
      <c r="J27" s="428"/>
      <c r="K27" s="66" t="s">
        <v>455</v>
      </c>
      <c r="L27" s="102">
        <v>1.5</v>
      </c>
      <c r="M27" s="102">
        <v>7.5</v>
      </c>
      <c r="N27" s="102">
        <v>1.5</v>
      </c>
      <c r="O27" s="102">
        <v>2.7</v>
      </c>
    </row>
    <row r="28" spans="1:15" x14ac:dyDescent="0.25">
      <c r="J28" s="428"/>
      <c r="K28" s="66" t="s">
        <v>456</v>
      </c>
      <c r="L28" s="102">
        <v>1.6</v>
      </c>
      <c r="M28" s="102">
        <v>13.1</v>
      </c>
      <c r="N28" s="102">
        <v>1.6</v>
      </c>
      <c r="O28" s="102">
        <v>2.5</v>
      </c>
    </row>
    <row r="29" spans="1:15" x14ac:dyDescent="0.25">
      <c r="J29" s="428"/>
      <c r="K29" s="66" t="s">
        <v>458</v>
      </c>
      <c r="L29" s="102">
        <v>1.8</v>
      </c>
      <c r="M29" s="102">
        <v>9.6999999999999993</v>
      </c>
      <c r="N29" s="102">
        <v>1.8</v>
      </c>
      <c r="O29" s="102">
        <v>2.8</v>
      </c>
    </row>
    <row r="30" spans="1:15" x14ac:dyDescent="0.25">
      <c r="J30" s="428"/>
      <c r="K30" s="66" t="s">
        <v>459</v>
      </c>
      <c r="L30" s="102">
        <v>1.7</v>
      </c>
      <c r="M30" s="102">
        <v>11.5</v>
      </c>
      <c r="N30" s="102">
        <v>1.7</v>
      </c>
      <c r="O30" s="102">
        <v>2.5</v>
      </c>
    </row>
    <row r="31" spans="1:15" x14ac:dyDescent="0.25">
      <c r="J31" s="428"/>
      <c r="K31" s="66" t="s">
        <v>460</v>
      </c>
      <c r="L31" s="102">
        <v>1.7</v>
      </c>
      <c r="M31" s="102">
        <v>3.5</v>
      </c>
      <c r="N31" s="102">
        <v>1.7</v>
      </c>
      <c r="O31" s="102">
        <v>2.1</v>
      </c>
    </row>
    <row r="32" spans="1:15" x14ac:dyDescent="0.25">
      <c r="J32" s="428"/>
      <c r="K32" s="66" t="s">
        <v>461</v>
      </c>
      <c r="L32" s="102">
        <v>2.6</v>
      </c>
      <c r="M32" s="102">
        <v>13</v>
      </c>
      <c r="N32" s="102">
        <v>2.6</v>
      </c>
      <c r="O32" s="102">
        <v>5</v>
      </c>
    </row>
    <row r="33" spans="1:15" x14ac:dyDescent="0.25">
      <c r="J33" s="428"/>
      <c r="K33" s="66" t="s">
        <v>462</v>
      </c>
      <c r="L33" s="102">
        <v>1.7</v>
      </c>
      <c r="M33" s="102">
        <v>9.6999999999999993</v>
      </c>
      <c r="N33" s="102">
        <v>1.7</v>
      </c>
      <c r="O33" s="102">
        <v>2.5</v>
      </c>
    </row>
    <row r="34" spans="1:15" x14ac:dyDescent="0.25">
      <c r="J34" s="428"/>
      <c r="K34" s="62" t="s">
        <v>463</v>
      </c>
      <c r="L34" s="104">
        <f>AVERAGE(L22:L33)</f>
        <v>1.75</v>
      </c>
      <c r="M34" s="104">
        <f>MAX(M22:M33)</f>
        <v>17.600000000000001</v>
      </c>
      <c r="N34" s="104">
        <f>AVERAGE(N22:N33)</f>
        <v>1.75</v>
      </c>
      <c r="O34" s="104">
        <f>MAX(O22:O33)</f>
        <v>5</v>
      </c>
    </row>
    <row r="48" spans="1:15" x14ac:dyDescent="0.25">
      <c r="A48" s="400" t="s">
        <v>320</v>
      </c>
      <c r="B48" s="401"/>
      <c r="C48" s="401"/>
      <c r="D48" s="401"/>
      <c r="E48" s="401"/>
      <c r="F48" s="401"/>
      <c r="G48" s="427"/>
    </row>
    <row r="49" spans="1:7" x14ac:dyDescent="0.25">
      <c r="A49" s="402" t="s">
        <v>492</v>
      </c>
      <c r="B49" s="403"/>
      <c r="C49" s="403"/>
      <c r="D49" s="403"/>
      <c r="E49" s="403"/>
      <c r="F49" s="403"/>
      <c r="G49" s="404"/>
    </row>
    <row r="50" spans="1:7" x14ac:dyDescent="0.25">
      <c r="A50" s="424"/>
      <c r="B50" s="425"/>
      <c r="C50" s="425"/>
      <c r="D50" s="425"/>
      <c r="E50" s="425"/>
      <c r="F50" s="425"/>
      <c r="G50" s="426"/>
    </row>
    <row r="51" spans="1:7" x14ac:dyDescent="0.25">
      <c r="A51" s="424"/>
      <c r="B51" s="425"/>
      <c r="C51" s="425"/>
      <c r="D51" s="425"/>
      <c r="E51" s="425"/>
      <c r="F51" s="425"/>
      <c r="G51" s="426"/>
    </row>
    <row r="52" spans="1:7" x14ac:dyDescent="0.25">
      <c r="A52" s="405"/>
      <c r="B52" s="406"/>
      <c r="C52" s="406"/>
      <c r="D52" s="406"/>
      <c r="E52" s="406"/>
      <c r="F52" s="406"/>
      <c r="G52" s="407"/>
    </row>
  </sheetData>
  <mergeCells count="10">
    <mergeCell ref="J22:J34"/>
    <mergeCell ref="A48:G48"/>
    <mergeCell ref="A49:G52"/>
    <mergeCell ref="Q4:S8"/>
    <mergeCell ref="Q10:S12"/>
    <mergeCell ref="Q13:S16"/>
    <mergeCell ref="B5:D5"/>
    <mergeCell ref="E5:G5"/>
    <mergeCell ref="J5:O5"/>
    <mergeCell ref="J7:J19"/>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3C2FC-6B13-45CC-B9F8-0362D4FEFF6C}">
  <sheetPr>
    <tabColor rgb="FF92D050"/>
  </sheetPr>
  <dimension ref="A1"/>
  <sheetViews>
    <sheetView workbookViewId="0"/>
  </sheetViews>
  <sheetFormatPr defaultRowHeight="14.4" x14ac:dyDescent="0.3"/>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662745e8-e224-48e8-a2e3-254862b8c2f5">
      <Value>6</Value>
      <Value>10</Value>
      <Value>9</Value>
      <Value>8</Value>
      <Value>7</Value>
    </TaxCatchAll>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4.xml><?xml version="1.0" encoding="utf-8"?>
<?mso-contentType ?>
<SharedContentType xmlns="Microsoft.SharePoint.Taxonomy.ContentTypeSync" SourceId="d1117845-93f6-4da3-abaa-fcb4fa669c78" ContentTypeId="0x010100A5BF1C78D9F64B679A5EBDE1C6598EBC01" PreviousValue="false"/>
</file>

<file path=customXml/itemProps1.xml><?xml version="1.0" encoding="utf-8"?>
<ds:datastoreItem xmlns:ds="http://schemas.openxmlformats.org/officeDocument/2006/customXml" ds:itemID="{130E79B3-286C-4594-AC93-4243D3FE78E7}">
  <ds:schemaRefs>
    <ds:schemaRef ds:uri="http://schemas.microsoft.com/sharepoint/v3/contenttype/forms"/>
  </ds:schemaRefs>
</ds:datastoreItem>
</file>

<file path=customXml/itemProps2.xml><?xml version="1.0" encoding="utf-8"?>
<ds:datastoreItem xmlns:ds="http://schemas.openxmlformats.org/officeDocument/2006/customXml" ds:itemID="{DCC2E58E-5BFC-4BEA-A829-3B6C37FA48D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62745e8-e224-48e8-a2e3-254862b8c2f5"/>
    <ds:schemaRef ds:uri="a30ec2d3-6aa3-4f23-a79e-22af4b182761"/>
    <ds:schemaRef ds:uri="e76eb3f9-f7d4-4afe-8d75-1839375753c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3A65312-EDD8-4ED5-85CD-21EC9D2BFEF5}">
  <ds:schemaRefs>
    <ds:schemaRef ds:uri="http://schemas.microsoft.com/office/2006/metadata/properties"/>
    <ds:schemaRef ds:uri="http://schemas.microsoft.com/office/infopath/2007/PartnerControls"/>
    <ds:schemaRef ds:uri="662745e8-e224-48e8-a2e3-254862b8c2f5"/>
    <ds:schemaRef ds:uri="http://schemas.microsoft.com/sharepoint/v3"/>
  </ds:schemaRefs>
</ds:datastoreItem>
</file>

<file path=customXml/itemProps4.xml><?xml version="1.0" encoding="utf-8"?>
<ds:datastoreItem xmlns:ds="http://schemas.openxmlformats.org/officeDocument/2006/customXml" ds:itemID="{B0174EE2-326C-4B18-AF4C-A96860FE3FD4}">
  <ds:schemaRefs>
    <ds:schemaRef ds:uri="Microsoft.SharePoint.Taxonomy.ContentTypeSyn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23</vt:i4>
      </vt:variant>
    </vt:vector>
  </HeadingPairs>
  <TitlesOfParts>
    <vt:vector size="47" baseType="lpstr">
      <vt:lpstr>Cover Page</vt:lpstr>
      <vt:lpstr>Contents</vt:lpstr>
      <vt:lpstr>Facility Info</vt:lpstr>
      <vt:lpstr>Operational Data</vt:lpstr>
      <vt:lpstr>Operational Summary</vt:lpstr>
      <vt:lpstr>Perf. Form 1</vt:lpstr>
      <vt:lpstr>Energy Form 1</vt:lpstr>
      <vt:lpstr>Permit Compliance</vt:lpstr>
      <vt:lpstr>Improvements</vt:lpstr>
      <vt:lpstr>Public Liasion</vt:lpstr>
      <vt:lpstr>CO2 N2O</vt:lpstr>
      <vt:lpstr>Residue Quality </vt:lpstr>
      <vt:lpstr>Residue Quality metal content</vt:lpstr>
      <vt:lpstr>Water</vt:lpstr>
      <vt:lpstr>Air (periodic)</vt:lpstr>
      <vt:lpstr>Air (CEMS)</vt:lpstr>
      <vt:lpstr>HCl</vt:lpstr>
      <vt:lpstr>SO2</vt:lpstr>
      <vt:lpstr>NOx</vt:lpstr>
      <vt:lpstr>TOC</vt:lpstr>
      <vt:lpstr>Particulates</vt:lpstr>
      <vt:lpstr>CO 95% 10 min</vt:lpstr>
      <vt:lpstr>NH3</vt:lpstr>
      <vt:lpstr>Sheet1</vt:lpstr>
      <vt:lpstr>'Air (CEMS)'!Print_Area</vt:lpstr>
      <vt:lpstr>'Air (periodic)'!Print_Area</vt:lpstr>
      <vt:lpstr>'CO 95% 10 min'!Print_Area</vt:lpstr>
      <vt:lpstr>'CO2 N2O'!Print_Area</vt:lpstr>
      <vt:lpstr>Contents!Print_Area</vt:lpstr>
      <vt:lpstr>'Cover Page'!Print_Area</vt:lpstr>
      <vt:lpstr>'Energy Form 1'!Print_Area</vt:lpstr>
      <vt:lpstr>'Facility Info'!Print_Area</vt:lpstr>
      <vt:lpstr>HCl!Print_Area</vt:lpstr>
      <vt:lpstr>Improvements!Print_Area</vt:lpstr>
      <vt:lpstr>'NH3'!Print_Area</vt:lpstr>
      <vt:lpstr>NOx!Print_Area</vt:lpstr>
      <vt:lpstr>'Operational Data'!Print_Area</vt:lpstr>
      <vt:lpstr>'Operational Summary'!Print_Area</vt:lpstr>
      <vt:lpstr>Particulates!Print_Area</vt:lpstr>
      <vt:lpstr>'Perf. Form 1'!Print_Area</vt:lpstr>
      <vt:lpstr>'Permit Compliance'!Print_Area</vt:lpstr>
      <vt:lpstr>'Public Liasion'!Print_Area</vt:lpstr>
      <vt:lpstr>'Residue Quality '!Print_Area</vt:lpstr>
      <vt:lpstr>'Residue Quality metal content'!Print_Area</vt:lpstr>
      <vt:lpstr>'SO2'!Print_Area</vt:lpstr>
      <vt:lpstr>TOC!Print_Area</vt:lpstr>
      <vt:lpstr>Water!Print_Area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Freeman, Ben</cp:lastModifiedBy>
  <cp:revision/>
  <dcterms:created xsi:type="dcterms:W3CDTF">2019-04-02T06:44:55Z</dcterms:created>
  <dcterms:modified xsi:type="dcterms:W3CDTF">2023-03-22T17:03:03Z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MediaServiceImageTags">
    <vt:lpwstr/>
  </property>
  <property fmtid="{D5CDD505-2E9C-101B-9397-08002B2CF9AE}" pid="4" name="InformationType">
    <vt:lpwstr/>
  </property>
  <property fmtid="{D5CDD505-2E9C-101B-9397-08002B2CF9AE}" pid="5" name="Distribution">
    <vt:lpwstr>9;#Internal EA|b77da37e-7166-4741-8c12-4679faab22d9</vt:lpwstr>
  </property>
  <property fmtid="{D5CDD505-2E9C-101B-9397-08002B2CF9AE}" pid="6" name="HOCopyrightLevel">
    <vt:lpwstr>7;#Crown|69589897-2828-4761-976e-717fd8e631c9</vt:lpwstr>
  </property>
  <property fmtid="{D5CDD505-2E9C-101B-9397-08002B2CF9AE}" pid="7" name="HOGovernmentSecurityClassification">
    <vt:lpwstr>6;#Official|14c80daa-741b-422c-9722-f71693c9ede4</vt:lpwstr>
  </property>
  <property fmtid="{D5CDD505-2E9C-101B-9397-08002B2CF9AE}" pid="8" name="HOSiteType">
    <vt:lpwstr>10;#Community|144ac7d7-0b9a-42f9-9385-2935294b6de3</vt:lpwstr>
  </property>
  <property fmtid="{D5CDD505-2E9C-101B-9397-08002B2CF9AE}" pid="9" name="OrganisationalUnit">
    <vt:lpwstr>8;#EA|d5f78ddb-b1b6-4328-9877-d7e3ed06fdac</vt:lpwstr>
  </property>
</Properties>
</file>