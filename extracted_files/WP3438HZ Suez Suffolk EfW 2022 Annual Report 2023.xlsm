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embeddings/oleObject1.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419" codeName="{00000000-0000-0000-0000-000000000000}"/>
  <workbookPr codeName="ThisWorkbook" defaultThemeVersion="166925"/>
  <mc:AlternateContent xmlns:mc="http://schemas.openxmlformats.org/markup-compatibility/2006">
    <mc:Choice Requires="x15">
      <x15ac:absPath xmlns:x15ac="http://schemas.microsoft.com/office/spreadsheetml/2010/11/ac" url="H:\Environment Department\02 Site Specific\Suffolk EfW\11 Reporting\Annual Reports\2022\"/>
    </mc:Choice>
  </mc:AlternateContent>
  <xr:revisionPtr revIDLastSave="0" documentId="13_ncr:1_{73DD7D5C-D20E-49FB-B32F-632CEA36FB55}" xr6:coauthVersionLast="47" xr6:coauthVersionMax="47" xr10:uidLastSave="{00000000-0000-0000-0000-000000000000}"/>
  <bookViews>
    <workbookView xWindow="23880" yWindow="-4695" windowWidth="19440" windowHeight="15000" tabRatio="888" xr2:uid="{EE2D8CE5-FD2F-4A7B-BE8C-E1048EF63C9C}"/>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95% 10 min" sheetId="30" r:id="rId21"/>
    <sheet name="NH3" sheetId="31" r:id="rId22"/>
  </sheets>
  <definedNames>
    <definedName name="_xlnm.Print_Area" localSheetId="14">'Air (CEMS)'!$A$1:$M$30</definedName>
    <definedName name="_xlnm.Print_Area" localSheetId="13">'Air (periodic)'!$A$1:$J$42</definedName>
    <definedName name="_xlnm.Print_Area" localSheetId="20">'CO 95% 10 min'!$A$1:$H$52</definedName>
    <definedName name="_xlnm.Print_Area" localSheetId="10">'CO2 N2O'!$A$1:$C$24</definedName>
    <definedName name="_xlnm.Print_Area" localSheetId="1">Contents!$A$1:$J$48</definedName>
    <definedName name="_xlnm.Print_Area" localSheetId="0">'Cover Page'!$A$1:$J$56</definedName>
    <definedName name="_xlnm.Print_Area" localSheetId="6">'Energy Form 1'!$A$1:$I$29</definedName>
    <definedName name="_xlnm.Print_Area" localSheetId="2">'Facility Info'!$A$1:$I$52</definedName>
    <definedName name="_xlnm.Print_Area" localSheetId="15">HCl!$A$1:$G$52</definedName>
    <definedName name="_xlnm.Print_Area" localSheetId="8">Improvements!$A$1:$I$48</definedName>
    <definedName name="_xlnm.Print_Area" localSheetId="21">'NH3'!$A$1:$G$52</definedName>
    <definedName name="_xlnm.Print_Area" localSheetId="17">NOx!$A$1:$G$52</definedName>
    <definedName name="_xlnm.Print_Area" localSheetId="3">'Operational Data'!$A$1:$H$65</definedName>
    <definedName name="_xlnm.Print_Area" localSheetId="4">'Operational Summary'!$A$1:$I$52</definedName>
    <definedName name="_xlnm.Print_Area" localSheetId="19">Particulates!$A$1:$G$52</definedName>
    <definedName name="_xlnm.Print_Area" localSheetId="5">'Perf. Form 1'!$A$1:$J$55</definedName>
    <definedName name="_xlnm.Print_Area" localSheetId="7">'Permit Compliance'!$A$1:$J$34</definedName>
    <definedName name="_xlnm.Print_Area" localSheetId="9">'Public Liasion'!$A$1:$I$29</definedName>
    <definedName name="_xlnm.Print_Area" localSheetId="11">'Residue Quality '!$A$1:$G$41</definedName>
    <definedName name="_xlnm.Print_Area" localSheetId="16">'SO2'!$A$1:$G$52</definedName>
    <definedName name="_xlnm.Print_Area" localSheetId="18">TOC!$A$1:$G$52</definedName>
    <definedName name="_xlnm.Print_Area" localSheetId="12">Water!$A$1:$I$30</definedName>
  </definedNames>
  <calcPr calcId="191028"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32" l="1"/>
  <c r="G3" i="8"/>
  <c r="G3" i="7"/>
  <c r="D13" i="8" l="1"/>
  <c r="C14" i="9" l="1"/>
  <c r="C12" i="9"/>
  <c r="I46" i="7" l="1"/>
  <c r="E34" i="7"/>
  <c r="E33" i="7"/>
  <c r="E25" i="24"/>
  <c r="G25" i="24"/>
  <c r="F25" i="24"/>
  <c r="D25" i="24"/>
  <c r="Q34" i="30"/>
  <c r="P34" i="30"/>
  <c r="O34" i="30"/>
  <c r="N34" i="30"/>
  <c r="M34" i="30"/>
  <c r="N19" i="30"/>
  <c r="M19" i="30"/>
  <c r="G23" i="24" l="1"/>
  <c r="F23" i="24"/>
  <c r="E23" i="24"/>
  <c r="D23" i="24"/>
  <c r="G22" i="24"/>
  <c r="F22" i="24"/>
  <c r="E22" i="24"/>
  <c r="D22" i="24"/>
  <c r="G21" i="24"/>
  <c r="F21" i="24"/>
  <c r="E21" i="24"/>
  <c r="D21" i="24"/>
  <c r="G20" i="24"/>
  <c r="F20" i="24"/>
  <c r="E20" i="24"/>
  <c r="D20" i="24"/>
  <c r="G19" i="24"/>
  <c r="F19" i="24"/>
  <c r="E19" i="24"/>
  <c r="D19" i="24"/>
  <c r="G18" i="24"/>
  <c r="F18" i="24"/>
  <c r="E18" i="24"/>
  <c r="D18" i="24"/>
  <c r="G17" i="24"/>
  <c r="F17" i="24"/>
  <c r="E17" i="24"/>
  <c r="D17" i="24"/>
  <c r="G16" i="24"/>
  <c r="F16" i="24"/>
  <c r="E16" i="24"/>
  <c r="D16" i="24"/>
  <c r="G15" i="24"/>
  <c r="F15" i="24"/>
  <c r="E15" i="24"/>
  <c r="D15" i="24"/>
  <c r="G14" i="24"/>
  <c r="F14" i="24"/>
  <c r="E14" i="24"/>
  <c r="D14" i="24"/>
  <c r="H59" i="6" l="1"/>
  <c r="C14" i="32"/>
  <c r="E35" i="7"/>
  <c r="F8" i="31"/>
  <c r="G8" i="31"/>
  <c r="F9" i="31"/>
  <c r="G9" i="31"/>
  <c r="F10" i="31"/>
  <c r="G10" i="31"/>
  <c r="F11" i="31"/>
  <c r="G11" i="31"/>
  <c r="F12" i="31"/>
  <c r="G12" i="31"/>
  <c r="F13" i="31"/>
  <c r="G13" i="31"/>
  <c r="F14" i="31"/>
  <c r="G14" i="31"/>
  <c r="F15" i="31"/>
  <c r="G15" i="31"/>
  <c r="F16" i="31"/>
  <c r="G16" i="31"/>
  <c r="F17" i="31"/>
  <c r="G17" i="31"/>
  <c r="F18" i="31"/>
  <c r="G18" i="31"/>
  <c r="G7" i="31"/>
  <c r="C8" i="31"/>
  <c r="D8" i="31"/>
  <c r="C9" i="31"/>
  <c r="D9" i="31"/>
  <c r="C10" i="31"/>
  <c r="D10" i="31"/>
  <c r="C11" i="31"/>
  <c r="D11" i="31"/>
  <c r="C12" i="31"/>
  <c r="D12" i="31"/>
  <c r="C13" i="31"/>
  <c r="D13" i="31"/>
  <c r="C14" i="31"/>
  <c r="D14" i="31"/>
  <c r="C15" i="31"/>
  <c r="D15" i="31"/>
  <c r="C16" i="31"/>
  <c r="D16" i="31"/>
  <c r="C17" i="31"/>
  <c r="D17" i="31"/>
  <c r="C18" i="31"/>
  <c r="D18" i="31"/>
  <c r="D7" i="31"/>
  <c r="F7" i="31"/>
  <c r="C7" i="31"/>
  <c r="G8" i="30"/>
  <c r="H8" i="30"/>
  <c r="G9" i="30"/>
  <c r="H9" i="30"/>
  <c r="G10" i="30"/>
  <c r="H10" i="30"/>
  <c r="G11" i="30"/>
  <c r="H11" i="30"/>
  <c r="G12" i="30"/>
  <c r="H12" i="30"/>
  <c r="G13" i="30"/>
  <c r="H13" i="30"/>
  <c r="G14" i="30"/>
  <c r="H14" i="30"/>
  <c r="G15" i="30"/>
  <c r="H15" i="30"/>
  <c r="G16" i="30"/>
  <c r="H16" i="30"/>
  <c r="G17" i="30"/>
  <c r="H17" i="30"/>
  <c r="G18" i="30"/>
  <c r="H18" i="30"/>
  <c r="H7" i="30"/>
  <c r="G7" i="30"/>
  <c r="C8" i="30"/>
  <c r="D8" i="30"/>
  <c r="E8" i="30"/>
  <c r="C9" i="30"/>
  <c r="D9" i="30"/>
  <c r="E9" i="30"/>
  <c r="C10" i="30"/>
  <c r="D10" i="30"/>
  <c r="E10" i="30"/>
  <c r="C11" i="30"/>
  <c r="D11" i="30"/>
  <c r="E11" i="30"/>
  <c r="C12" i="30"/>
  <c r="D12" i="30"/>
  <c r="E12" i="30"/>
  <c r="C13" i="30"/>
  <c r="D13" i="30"/>
  <c r="E13" i="30"/>
  <c r="C14" i="30"/>
  <c r="D14" i="30"/>
  <c r="E14" i="30"/>
  <c r="C15" i="30"/>
  <c r="D15" i="30"/>
  <c r="E15" i="30"/>
  <c r="C16" i="30"/>
  <c r="D16" i="30"/>
  <c r="E16" i="30"/>
  <c r="C17" i="30"/>
  <c r="D17" i="30"/>
  <c r="E17" i="30"/>
  <c r="C18" i="30"/>
  <c r="D18" i="30"/>
  <c r="E18" i="30"/>
  <c r="D7" i="30"/>
  <c r="E7" i="30"/>
  <c r="C7" i="30"/>
  <c r="F8" i="28"/>
  <c r="G8" i="28"/>
  <c r="F9" i="28"/>
  <c r="G9" i="28"/>
  <c r="F10" i="28"/>
  <c r="G10" i="28"/>
  <c r="F11" i="28"/>
  <c r="G11" i="28"/>
  <c r="F12" i="28"/>
  <c r="G12" i="28"/>
  <c r="F13" i="28"/>
  <c r="G13" i="28"/>
  <c r="F14" i="28"/>
  <c r="G14" i="28"/>
  <c r="F15" i="28"/>
  <c r="G15" i="28"/>
  <c r="F16" i="28"/>
  <c r="G16" i="28"/>
  <c r="F17" i="28"/>
  <c r="G17" i="28"/>
  <c r="F18" i="28"/>
  <c r="G18" i="28"/>
  <c r="G7" i="28"/>
  <c r="C18" i="28"/>
  <c r="D18" i="28"/>
  <c r="C8" i="28"/>
  <c r="D8" i="28"/>
  <c r="C9" i="28"/>
  <c r="D9" i="28"/>
  <c r="C10" i="28"/>
  <c r="D10" i="28"/>
  <c r="C11" i="28"/>
  <c r="D11" i="28"/>
  <c r="C12" i="28"/>
  <c r="D12" i="28"/>
  <c r="C13" i="28"/>
  <c r="D13" i="28"/>
  <c r="C14" i="28"/>
  <c r="D14" i="28"/>
  <c r="C15" i="28"/>
  <c r="D15" i="28"/>
  <c r="C16" i="28"/>
  <c r="D16" i="28"/>
  <c r="C17" i="28"/>
  <c r="D17" i="28"/>
  <c r="D7" i="28"/>
  <c r="F7" i="28"/>
  <c r="C7" i="28"/>
  <c r="F8" i="27"/>
  <c r="G8" i="27"/>
  <c r="F9" i="27"/>
  <c r="G9" i="27"/>
  <c r="F10" i="27"/>
  <c r="G10" i="27"/>
  <c r="F11" i="27"/>
  <c r="G11" i="27"/>
  <c r="F12" i="27"/>
  <c r="G12" i="27"/>
  <c r="F13" i="27"/>
  <c r="G13" i="27"/>
  <c r="F14" i="27"/>
  <c r="G14" i="27"/>
  <c r="F15" i="27"/>
  <c r="G15" i="27"/>
  <c r="F16" i="27"/>
  <c r="G16" i="27"/>
  <c r="F17" i="27"/>
  <c r="G17" i="27"/>
  <c r="F18" i="27"/>
  <c r="G18" i="27"/>
  <c r="G7" i="27"/>
  <c r="C8" i="27"/>
  <c r="D8" i="27"/>
  <c r="C9" i="27"/>
  <c r="D9" i="27"/>
  <c r="C10" i="27"/>
  <c r="D10" i="27"/>
  <c r="C11" i="27"/>
  <c r="D11" i="27"/>
  <c r="C12" i="27"/>
  <c r="D12" i="27"/>
  <c r="C13" i="27"/>
  <c r="D13" i="27"/>
  <c r="C14" i="27"/>
  <c r="D14" i="27"/>
  <c r="C15" i="27"/>
  <c r="D15" i="27"/>
  <c r="C16" i="27"/>
  <c r="D16" i="27"/>
  <c r="C17" i="27"/>
  <c r="D17" i="27"/>
  <c r="C18" i="27"/>
  <c r="D18" i="27"/>
  <c r="D7" i="27"/>
  <c r="F7" i="27"/>
  <c r="C7" i="27"/>
  <c r="F8" i="26"/>
  <c r="G8" i="26"/>
  <c r="F9" i="26"/>
  <c r="G9" i="26"/>
  <c r="F10" i="26"/>
  <c r="G10" i="26"/>
  <c r="F11" i="26"/>
  <c r="G11" i="26"/>
  <c r="F12" i="26"/>
  <c r="G12" i="26"/>
  <c r="F13" i="26"/>
  <c r="G13" i="26"/>
  <c r="F14" i="26"/>
  <c r="G14" i="26"/>
  <c r="F15" i="26"/>
  <c r="G15" i="26"/>
  <c r="F16" i="26"/>
  <c r="G16" i="26"/>
  <c r="F17" i="26"/>
  <c r="G17" i="26"/>
  <c r="F18" i="26"/>
  <c r="G18" i="26"/>
  <c r="G7" i="26"/>
  <c r="C8" i="26"/>
  <c r="D8" i="26"/>
  <c r="C9" i="26"/>
  <c r="D9" i="26"/>
  <c r="C10" i="26"/>
  <c r="D10" i="26"/>
  <c r="C11" i="26"/>
  <c r="D11" i="26"/>
  <c r="C12" i="26"/>
  <c r="D12" i="26"/>
  <c r="C13" i="26"/>
  <c r="D13" i="26"/>
  <c r="C14" i="26"/>
  <c r="D14" i="26"/>
  <c r="C15" i="26"/>
  <c r="D15" i="26"/>
  <c r="C16" i="26"/>
  <c r="D16" i="26"/>
  <c r="C17" i="26"/>
  <c r="D17" i="26"/>
  <c r="C18" i="26"/>
  <c r="D18" i="26"/>
  <c r="D7" i="26"/>
  <c r="F7" i="26"/>
  <c r="C7" i="26"/>
  <c r="F8" i="25"/>
  <c r="G8" i="25"/>
  <c r="F9" i="25"/>
  <c r="G9" i="25"/>
  <c r="F10" i="25"/>
  <c r="G10" i="25"/>
  <c r="F11" i="25"/>
  <c r="G11" i="25"/>
  <c r="F12" i="25"/>
  <c r="G12" i="25"/>
  <c r="F13" i="25"/>
  <c r="G13" i="25"/>
  <c r="F14" i="25"/>
  <c r="G14" i="25"/>
  <c r="F15" i="25"/>
  <c r="G15" i="25"/>
  <c r="F16" i="25"/>
  <c r="G16" i="25"/>
  <c r="F17" i="25"/>
  <c r="G17" i="25"/>
  <c r="F18" i="25"/>
  <c r="G18" i="25"/>
  <c r="G7" i="25"/>
  <c r="C8" i="25"/>
  <c r="D8" i="25"/>
  <c r="C9" i="25"/>
  <c r="D9" i="25"/>
  <c r="C10" i="25"/>
  <c r="D10" i="25"/>
  <c r="C11" i="25"/>
  <c r="D11" i="25"/>
  <c r="C12" i="25"/>
  <c r="D12" i="25"/>
  <c r="C13" i="25"/>
  <c r="D13" i="25"/>
  <c r="C14" i="25"/>
  <c r="D14" i="25"/>
  <c r="C15" i="25"/>
  <c r="D15" i="25"/>
  <c r="C16" i="25"/>
  <c r="D16" i="25"/>
  <c r="C17" i="25"/>
  <c r="D17" i="25"/>
  <c r="C18" i="25"/>
  <c r="D18" i="25"/>
  <c r="D7" i="25"/>
  <c r="F7" i="25"/>
  <c r="C7" i="25"/>
  <c r="F8" i="13"/>
  <c r="G8" i="13"/>
  <c r="F9" i="13"/>
  <c r="G9" i="13"/>
  <c r="F10" i="13"/>
  <c r="G10" i="13"/>
  <c r="F11" i="13"/>
  <c r="G11" i="13"/>
  <c r="F12" i="13"/>
  <c r="G12" i="13"/>
  <c r="F13" i="13"/>
  <c r="G13" i="13"/>
  <c r="F14" i="13"/>
  <c r="G14" i="13"/>
  <c r="F15" i="13"/>
  <c r="G15" i="13"/>
  <c r="F16" i="13"/>
  <c r="G16" i="13"/>
  <c r="F17" i="13"/>
  <c r="G17" i="13"/>
  <c r="F18" i="13"/>
  <c r="G18" i="13"/>
  <c r="G7" i="13"/>
  <c r="F7" i="13"/>
  <c r="C8" i="13"/>
  <c r="D8" i="13"/>
  <c r="C9" i="13"/>
  <c r="D9" i="13"/>
  <c r="C10" i="13"/>
  <c r="D10" i="13"/>
  <c r="C11" i="13"/>
  <c r="D11" i="13"/>
  <c r="C12" i="13"/>
  <c r="D12" i="13"/>
  <c r="C13" i="13"/>
  <c r="D13" i="13"/>
  <c r="C14" i="13"/>
  <c r="D14" i="13"/>
  <c r="C15" i="13"/>
  <c r="D15" i="13"/>
  <c r="C16" i="13"/>
  <c r="D16" i="13"/>
  <c r="C17" i="13"/>
  <c r="D17" i="13"/>
  <c r="C18" i="13"/>
  <c r="D18" i="13"/>
  <c r="D7" i="13"/>
  <c r="C7" i="13"/>
  <c r="C1" i="32" l="1"/>
  <c r="A1" i="32"/>
  <c r="I19" i="7" l="1"/>
  <c r="I20" i="7"/>
  <c r="I21" i="7"/>
  <c r="I22" i="7"/>
  <c r="I18" i="7"/>
  <c r="I12" i="7"/>
  <c r="I13" i="7"/>
  <c r="I14" i="7"/>
  <c r="I11" i="7"/>
  <c r="C18" i="6" l="1"/>
  <c r="C21" i="6" s="1"/>
  <c r="H61" i="6" l="1"/>
  <c r="G13" i="6" l="1"/>
  <c r="H13" i="6" s="1"/>
  <c r="G45" i="6"/>
  <c r="J3" i="31" l="1"/>
  <c r="J3" i="30"/>
  <c r="J3" i="28"/>
  <c r="J3" i="27"/>
  <c r="J3" i="26"/>
  <c r="J3" i="25"/>
  <c r="J3" i="13"/>
  <c r="G19" i="6" l="1"/>
  <c r="G59" i="6" l="1"/>
  <c r="G65" i="6"/>
  <c r="G64" i="6"/>
  <c r="H64" i="6" s="1"/>
  <c r="G63" i="6"/>
  <c r="G61" i="6"/>
  <c r="G53" i="6"/>
  <c r="G54" i="6"/>
  <c r="G60" i="6"/>
  <c r="D46" i="7" l="1"/>
  <c r="H54" i="6"/>
  <c r="C46" i="7"/>
  <c r="H53" i="6"/>
  <c r="G58" i="6"/>
  <c r="H58" i="6" s="1"/>
  <c r="D18" i="6"/>
  <c r="D21" i="6" s="1"/>
  <c r="E18" i="6"/>
  <c r="E21" i="6" s="1"/>
  <c r="F18" i="6"/>
  <c r="F21" i="6" s="1"/>
  <c r="G21" i="6" l="1"/>
  <c r="E1" i="31"/>
  <c r="A1" i="31"/>
  <c r="E1" i="30"/>
  <c r="A1" i="30"/>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F24" i="24"/>
  <c r="G24" i="24"/>
  <c r="Q19" i="30"/>
  <c r="D24" i="24" s="1"/>
  <c r="P19" i="30"/>
  <c r="E24" i="24" s="1"/>
  <c r="O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O79" i="28"/>
  <c r="N79" i="28"/>
  <c r="M79" i="28"/>
  <c r="L79" i="28"/>
  <c r="O64" i="28"/>
  <c r="N64" i="28"/>
  <c r="M64" i="28"/>
  <c r="L64" i="28"/>
  <c r="O49" i="28"/>
  <c r="N49" i="28"/>
  <c r="M49" i="28"/>
  <c r="L49" i="28"/>
  <c r="O34" i="28"/>
  <c r="N34" i="28"/>
  <c r="M34" i="28"/>
  <c r="L34" i="28"/>
  <c r="O19" i="28"/>
  <c r="N19" i="28"/>
  <c r="M19" i="28"/>
  <c r="L19" i="28"/>
  <c r="A6" i="28"/>
  <c r="J66" i="28" s="1"/>
  <c r="O79" i="27"/>
  <c r="N79" i="27"/>
  <c r="M79" i="27"/>
  <c r="L79" i="27"/>
  <c r="O64" i="27"/>
  <c r="N64" i="27"/>
  <c r="M64" i="27"/>
  <c r="L64" i="27"/>
  <c r="O49" i="27"/>
  <c r="N49" i="27"/>
  <c r="M49" i="27"/>
  <c r="L49" i="27"/>
  <c r="O34" i="27"/>
  <c r="N34" i="27"/>
  <c r="M34" i="27"/>
  <c r="L34" i="27"/>
  <c r="O19" i="27"/>
  <c r="N19" i="27"/>
  <c r="M19" i="27"/>
  <c r="L19" i="27"/>
  <c r="A6" i="27"/>
  <c r="J66" i="27" s="1"/>
  <c r="O79" i="26"/>
  <c r="N79" i="26"/>
  <c r="M79" i="26"/>
  <c r="L79" i="26"/>
  <c r="O64" i="26"/>
  <c r="N64" i="26"/>
  <c r="M64" i="26"/>
  <c r="L64" i="26"/>
  <c r="O49" i="26"/>
  <c r="N49" i="26"/>
  <c r="M49" i="26"/>
  <c r="L49" i="26"/>
  <c r="O34" i="26"/>
  <c r="N34" i="26"/>
  <c r="M34" i="26"/>
  <c r="L34" i="26"/>
  <c r="O19" i="26"/>
  <c r="N19" i="26"/>
  <c r="M19" i="26"/>
  <c r="L19" i="26"/>
  <c r="A6" i="26"/>
  <c r="J66" i="26" s="1"/>
  <c r="O79" i="25"/>
  <c r="N79" i="25"/>
  <c r="M79" i="25"/>
  <c r="L79" i="25"/>
  <c r="O64" i="25"/>
  <c r="N64" i="25"/>
  <c r="M64" i="25"/>
  <c r="L64" i="25"/>
  <c r="O49" i="25"/>
  <c r="N49" i="25"/>
  <c r="M49" i="25"/>
  <c r="L49" i="25"/>
  <c r="O34" i="25"/>
  <c r="N34" i="25"/>
  <c r="M34" i="25"/>
  <c r="L34" i="25"/>
  <c r="O19" i="25"/>
  <c r="N19" i="25"/>
  <c r="M19" i="25"/>
  <c r="L19" i="25"/>
  <c r="A6" i="25"/>
  <c r="J66" i="25" s="1"/>
  <c r="O79" i="13"/>
  <c r="N79" i="13"/>
  <c r="M79" i="13"/>
  <c r="L79" i="13"/>
  <c r="O64" i="13"/>
  <c r="N64" i="13"/>
  <c r="M64" i="13"/>
  <c r="L64" i="13"/>
  <c r="O49" i="13"/>
  <c r="N49" i="13"/>
  <c r="M49" i="13"/>
  <c r="L49" i="13"/>
  <c r="O34" i="13"/>
  <c r="N34" i="13"/>
  <c r="M34" i="13"/>
  <c r="L34" i="13"/>
  <c r="O19" i="13"/>
  <c r="N19" i="13"/>
  <c r="M19" i="13"/>
  <c r="L19" i="13"/>
  <c r="A6" i="13"/>
  <c r="J66" i="13" s="1"/>
  <c r="H45" i="6" l="1"/>
  <c r="J36" i="27"/>
  <c r="J66" i="31"/>
  <c r="J21" i="28"/>
  <c r="J21" i="27"/>
  <c r="J21" i="26"/>
  <c r="J21" i="25"/>
  <c r="J36" i="13"/>
  <c r="J51" i="13"/>
  <c r="J21" i="13"/>
  <c r="J6" i="13"/>
  <c r="J21" i="31"/>
  <c r="J6" i="31"/>
  <c r="J36" i="31"/>
  <c r="K6" i="30"/>
  <c r="K36" i="30"/>
  <c r="K51" i="30"/>
  <c r="K21" i="30"/>
  <c r="J36" i="28"/>
  <c r="J51" i="28"/>
  <c r="J6" i="28"/>
  <c r="J51" i="27"/>
  <c r="J6" i="27"/>
  <c r="J51" i="26"/>
  <c r="J36" i="26"/>
  <c r="J6" i="26"/>
  <c r="J36" i="25"/>
  <c r="J51" i="25"/>
  <c r="J6" i="25"/>
  <c r="D28" i="6"/>
  <c r="E28" i="6"/>
  <c r="F28" i="6"/>
  <c r="C28" i="6"/>
  <c r="G7" i="8"/>
  <c r="D7" i="8"/>
  <c r="B5" i="8"/>
  <c r="A3" i="8"/>
  <c r="A1" i="8"/>
  <c r="G23" i="7"/>
  <c r="E23" i="7"/>
  <c r="G15" i="7"/>
  <c r="E15" i="7"/>
  <c r="I15" i="7" s="1"/>
  <c r="B4" i="7"/>
  <c r="A3" i="7"/>
  <c r="A1" i="7"/>
  <c r="A8" i="7" s="1"/>
  <c r="H65" i="6"/>
  <c r="H63" i="6"/>
  <c r="G50" i="6"/>
  <c r="G49" i="6"/>
  <c r="G48" i="6"/>
  <c r="H48" i="6" s="1"/>
  <c r="G47" i="6"/>
  <c r="H47" i="6" s="1"/>
  <c r="G46" i="6"/>
  <c r="H46" i="6" s="1"/>
  <c r="G44" i="6"/>
  <c r="H44" i="6" s="1"/>
  <c r="G43" i="6"/>
  <c r="H43" i="6" s="1"/>
  <c r="G42" i="6"/>
  <c r="H42" i="6" s="1"/>
  <c r="G39" i="6"/>
  <c r="H39" i="6" s="1"/>
  <c r="G38" i="6"/>
  <c r="H38" i="6" s="1"/>
  <c r="G37" i="6"/>
  <c r="H37" i="6" s="1"/>
  <c r="G36" i="6"/>
  <c r="H36" i="6" s="1"/>
  <c r="G35" i="6"/>
  <c r="H35" i="6" s="1"/>
  <c r="G34" i="6"/>
  <c r="H34" i="6" s="1"/>
  <c r="G30" i="6"/>
  <c r="G29" i="6"/>
  <c r="G27" i="6"/>
  <c r="G26" i="6"/>
  <c r="H26" i="6" s="1"/>
  <c r="G25" i="6"/>
  <c r="G24" i="6"/>
  <c r="H24" i="6" s="1"/>
  <c r="G20" i="6"/>
  <c r="H20" i="6" s="1"/>
  <c r="G15" i="6"/>
  <c r="H15" i="6" s="1"/>
  <c r="G14" i="6"/>
  <c r="G12" i="6"/>
  <c r="H12" i="6" s="1"/>
  <c r="G11" i="6"/>
  <c r="G10" i="6"/>
  <c r="G9" i="6"/>
  <c r="G8" i="6"/>
  <c r="D11" i="8" l="1"/>
  <c r="H27" i="6"/>
  <c r="D14" i="8"/>
  <c r="H30" i="6"/>
  <c r="I23" i="7"/>
  <c r="D12" i="8"/>
  <c r="H25" i="6"/>
  <c r="H33" i="7"/>
  <c r="H35" i="7"/>
  <c r="E37" i="7"/>
  <c r="H37" i="7" s="1"/>
  <c r="E36" i="7"/>
  <c r="H36" i="7" s="1"/>
  <c r="G24" i="7"/>
  <c r="G18" i="6"/>
  <c r="G28" i="6"/>
  <c r="E24" i="7"/>
  <c r="I24" i="7" s="1"/>
  <c r="H34" i="7"/>
  <c r="D10" i="8"/>
  <c r="G10" i="8"/>
  <c r="A31" i="7"/>
  <c r="A43" i="7" s="1"/>
  <c r="C7" i="32" l="1"/>
  <c r="H21" i="6"/>
  <c r="H8" i="6"/>
  <c r="H19" i="6"/>
  <c r="H10" i="6"/>
  <c r="G11" i="8"/>
  <c r="G12" i="8"/>
  <c r="H14" i="6"/>
  <c r="G14" i="8"/>
  <c r="H11" i="6"/>
  <c r="H9" i="6"/>
</calcChain>
</file>

<file path=xl/sharedStrings.xml><?xml version="1.0" encoding="utf-8"?>
<sst xmlns="http://schemas.openxmlformats.org/spreadsheetml/2006/main" count="1493" uniqueCount="461">
  <si>
    <t>Add company logo</t>
  </si>
  <si>
    <t>Version 22.3  30/11/22</t>
  </si>
  <si>
    <t>Add photo</t>
  </si>
  <si>
    <t>Notes:</t>
  </si>
  <si>
    <t>This template may require adjustments by individual operators to meet specific reporting requirements as defined in the site Permit(s)</t>
  </si>
  <si>
    <t>Annual Performance Report 2022</t>
  </si>
  <si>
    <t>Permit EPR/WP3438HZ</t>
  </si>
  <si>
    <t>Suffolk Energy from Waste Facility</t>
  </si>
  <si>
    <t>SUEZ Recycling and Recovery Suffolk Ltd</t>
  </si>
  <si>
    <t>Year:</t>
  </si>
  <si>
    <t>Address:</t>
  </si>
  <si>
    <t>Lodge Lane, Great Blakenham, Suffolk, IP6 0JE</t>
  </si>
  <si>
    <t xml:space="preserve">Tel: </t>
  </si>
  <si>
    <t>01473 839149</t>
  </si>
  <si>
    <t xml:space="preserve">Email: </t>
  </si>
  <si>
    <t>james.clarke@suez.com</t>
  </si>
  <si>
    <t>Prepared by:</t>
  </si>
  <si>
    <t>Richard Watkins</t>
  </si>
  <si>
    <t>Position:</t>
  </si>
  <si>
    <t>EIR Manager</t>
  </si>
  <si>
    <t>Robert Taylor</t>
  </si>
  <si>
    <t>Technical Plant Engineer</t>
  </si>
  <si>
    <t>Approved by:</t>
  </si>
  <si>
    <t>James Clarke</t>
  </si>
  <si>
    <t>EfW Plant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</si>
  <si>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</si>
  <si>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</si>
  <si>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</si>
  <si>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</si>
  <si>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</si>
  <si>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</si>
  <si>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</si>
  <si>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</si>
  <si>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</si>
  <si>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</si>
  <si>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</si>
  <si>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</si>
  <si>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</si>
  <si>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</si>
  <si>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</si>
  <si>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Liaison</t>
  </si>
  <si>
    <t>Carbon dioxide and nitrous oxide emissions</t>
  </si>
  <si>
    <t xml:space="preserve">Residue Quality </t>
  </si>
  <si>
    <t>Emissions to Water</t>
  </si>
  <si>
    <t>Emissions to Air (periodically monitored)</t>
  </si>
  <si>
    <t>Emissions to Air (continuously monitored)</t>
  </si>
  <si>
    <t>Hydrogen Chloride emissions</t>
  </si>
  <si>
    <t>Sulphur Dioxide emissions</t>
  </si>
  <si>
    <t>Oxides of Nitrogen emissions</t>
  </si>
  <si>
    <t>Total Organic Carbon emissions</t>
  </si>
  <si>
    <t>Particulate Matter emissions</t>
  </si>
  <si>
    <t>Carbon Monoxide emissions</t>
  </si>
  <si>
    <t>Version Control</t>
  </si>
  <si>
    <t>Information</t>
  </si>
  <si>
    <t>Date</t>
  </si>
  <si>
    <t>Original issue</t>
  </si>
  <si>
    <t>Line availability data amended in Operational Data</t>
  </si>
  <si>
    <t>Q2 APCR tonnage amended</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</si>
  <si>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</si>
  <si>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</si>
  <si>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</si>
  <si>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</si>
  <si>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</si>
  <si>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</si>
  <si>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This non-hazardous waste incinerator operates 24/7 across two furnace lines and can receive up to 295,000 tonnes of municipal waste and commercial/Industrial waste per annum. The heat produced by waste incineration is used to raise superheated steam which generates approximately 179,000 MWh/annum of electricity.
Activities associated with the incineration are receipt and storage of municipal waste and commercial/industrial waste, production of steam and electricity, abatement of flue gas and handling of Incinerator Bottom Ash (IBA) and Air Pollution Control Residue (APCR).
Suffolk EfW commissioning finished on 1st December 2014, when the plant was handed over from the EPC
contractor to SUEZ UK. Permit conditions have applied since this date. The data included in this report corresponds to the following period: 1st January 2021 to 31st December 2021.</t>
  </si>
  <si>
    <t xml:space="preserve">Include summary of plant design, design capacity, no. of combustion lines, electrical and heat capacity and any other general information that describes the facility, its location and purpose </t>
  </si>
  <si>
    <t>Summary of Operational Processes and Procedures</t>
  </si>
  <si>
    <t>RECEPTION HALL &amp; BUNKER
Incoming waste is delivered to site by refuse collection trucks. It is then checked in, weighed and delivered
into the reception hall.  A large reception hall allows for refuse collection trucks to manoeuvre and tip waste safely. Air needed for combustion is drawn into the furnace from here so that negative pressure is maintained in order to avoid odour and dust escaping the building.  Waste vehicles reverse to a wheel stop and tip their loads into a large concrete bunker. Mixing of waste occurs as the cranes driver sorts the waste looking for unsuitable material to be removed, and to improve the homogeneity of the incinerator feedstock.
CONTROL ROOM
The plant’s control room centralises the operation of all equipment, including the grab cranes used to mix and load waste into a hopper that feeds the furnace. All on-site functions are monitored automatically and manually.  Its systems verify in real time that equipment is functioning properly, continuously monitor the combustion gas, and maximise the efficiency of the entire EfW process.
GRATE AND BOILER
Waste is lifted into the charging hoppers by the crane. From here it falls into the furnace-charging chute and then is introduced onto the grate system by hydraulic feeders for incineration. An auxiliary burner can be used to help keeping the temperature above 850°C if required. The thermal energy released from the burning is used to convert water to super-heated steam along a boiler composed of 6 vertical passes. At high pressure, this steam drives a turbine to generate electricity.
ELECTRICITY GENERATION
Electricity is generated at 11kv, with an electric production of 203,863 MWh/annum and exporting 180,346 MWh/annum to the national grid.
INCINERATOR BOTTOM ASH (IBA)
Ash left on the grate after incineration is carried by conveyor, after quenching, to the IBA processing facility.  Up to 65,000 tonne of IBA is processed on site by the removal of ferrous and non-ferrous metal, stabilised and separated into fraction sizes of IBA prior to the export from site of the processed IBA and metals for re-use.
EMISSION CONTROL &amp; AIR POLLUTION CONTROL RESIDUE (APCR)
The gases from the furnace are subject to a rigorous cleaning process involving urea as selective non-catalytic reduction (SNCR), lime and active carbon injections. This removes oxides of nitrogen, acidic gases, dioxins, and heavy metals from the gas stream.  The cleaned gas passes through fine-fabric bag filters to remove solid particles before it is emitted through the stack. The resultant APCR residue, or fly-ash, contains particles from the incineration process, lime used in the flue gas treatment, salts and carbon dust. It is stored in a sealed silo until it is tankered away for recycling.
EMISSIONS MONITORING
As they pass through the stack, the residual flue gases from the process are continuously monitored before release. This data is relayed automatically to the control room.</t>
  </si>
  <si>
    <t>Include summary of key processes and procedures such as (but not limited to); waste reception, control rooms, grate, bed and boiler,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</si>
  <si>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</si>
  <si>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</si>
  <si>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</si>
  <si>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</si>
  <si>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</si>
  <si>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</si>
  <si>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</si>
  <si>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</si>
  <si>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</si>
  <si>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</si>
  <si>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</si>
  <si>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</si>
  <si>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</si>
  <si>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</si>
  <si>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</si>
  <si>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</si>
  <si>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</si>
  <si>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</si>
  <si>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</si>
  <si>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Availability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</si>
  <si>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</si>
  <si>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</si>
  <si>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 xml:space="preserve"> -   </t>
  </si>
  <si>
    <t>Clinical</t>
  </si>
  <si>
    <t xml:space="preserve">Waste wood (biomass) </t>
  </si>
  <si>
    <t>Refuse Derived Fuel * - H'hold/LA</t>
  </si>
  <si>
    <t>Refuse Derived Fuel *  - C&amp;I</t>
  </si>
  <si>
    <t>Other [Please specify]</t>
  </si>
  <si>
    <t>Total waste received</t>
  </si>
  <si>
    <t xml:space="preserve">Rejected Waste </t>
  </si>
  <si>
    <t>Unprocessed waste transferred out</t>
  </si>
  <si>
    <t>Total waste combusted</t>
  </si>
  <si>
    <t>Energy Usage / Export</t>
  </si>
  <si>
    <t>KWh/te</t>
  </si>
  <si>
    <t>Power Generated</t>
  </si>
  <si>
    <t>MWh</t>
  </si>
  <si>
    <t>Power Exported</t>
  </si>
  <si>
    <t>Power Used on site</t>
  </si>
  <si>
    <t>Power Imported</t>
  </si>
  <si>
    <t>Parasitic Load</t>
  </si>
  <si>
    <t>Thermal Energy Produced **</t>
  </si>
  <si>
    <t>Thermal Energy Exported **</t>
  </si>
  <si>
    <t>R1 value (if applicable)</t>
  </si>
  <si>
    <t>Waste Disposal &amp; Recovery</t>
  </si>
  <si>
    <t>% inputs</t>
  </si>
  <si>
    <t>APC Residues - produced</t>
  </si>
  <si>
    <t>IBA - produced</t>
  </si>
  <si>
    <t>Metals recycling</t>
  </si>
  <si>
    <t>Other</t>
  </si>
  <si>
    <t>Raw Material Usage</t>
  </si>
  <si>
    <t>kg or Ltr /te</t>
  </si>
  <si>
    <t>Mains Water</t>
  </si>
  <si>
    <t>ltrs</t>
  </si>
  <si>
    <t>Other Water</t>
  </si>
  <si>
    <t>Ammonia</t>
  </si>
  <si>
    <t>kgs</t>
  </si>
  <si>
    <t>Urea</t>
  </si>
  <si>
    <t>Activated Carbon</t>
  </si>
  <si>
    <t>Lime / hydrated lime</t>
  </si>
  <si>
    <t>Fuel oil</t>
  </si>
  <si>
    <t>Gas</t>
  </si>
  <si>
    <t>cf</t>
  </si>
  <si>
    <t xml:space="preserve">Summary </t>
  </si>
  <si>
    <t>Line/Unit</t>
  </si>
  <si>
    <t xml:space="preserve">Hrs in year </t>
  </si>
  <si>
    <t>Availability of waste combustion by line, hrs</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</si>
  <si>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</si>
  <si>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</si>
  <si>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</si>
  <si>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</si>
  <si>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</si>
  <si>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</si>
  <si>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</si>
  <si>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</si>
  <si>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</si>
  <si>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</si>
  <si>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</si>
  <si>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</si>
  <si>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t xml:space="preserve">Suffolk EfW has continued to have a successful operating period in 2022 continuing to demonstrate high levels of availability.  2022 was a change in operating philosophy where the lines were subject to only a single planned outage in the calendar year.
The outage was an unusually lengthy one to facilitate replacement of two banks of superheaters on each line, with the superheaters being upgraded with an Inconel overlay over the entire surface of one bank and over the first two rows of tubes of the other bank.  The Inconel overlay will be more resistant to corrosion and reduce the frequency of future heating surface replacements.  The outage also saw significant repairs / replacement of the bag filter casing which had been subject to corrosion and ongoing replacement of refractory tiles in pass 1. Further works in the outage included the completion of a minor service on the turbine leading to the turbine being out of service for approximately 16 days.
The plant has spent a proportion of the year without a complete feed train as the condensate reheater was identified as leaking during routine maintenance inspections during the outage and it is hoped that this will be returned to service in the early part of 2023.
</t>
  </si>
  <si>
    <t xml:space="preserve">Include summary of key operational and/or maintenance activity undertaken in the year, such as any major component upgrades and/or replacements </t>
  </si>
  <si>
    <t>Summary of Residue Handling for the reporting year</t>
  </si>
  <si>
    <r>
      <t>All IBA produced by the EfW plant is transferred to the IBA recycling plant by conveyor, the IBA recycling plant is operated by Blue Phoenix. The IBA is non-hazardous, as confirmed by weekly analysis of the IBA,  and undergoes a mechanical separation process to remove all ferrous and non-ferrous metals leaving an IBA aggregate product. The metals are transferred to other operators for recycling and the IBA is applied to land in construction activities as a replacement for virgin (quarried) aggregate. This is in accordance with Environment Agency Regulatory Position Statement (RPS) 206 "</t>
    </r>
    <r>
      <rPr>
        <i/>
        <sz val="10"/>
        <color theme="1"/>
        <rFont val="Arial"/>
        <family val="2"/>
      </rPr>
      <t>Using unbound IBAA in construction activities</t>
    </r>
    <r>
      <rPr>
        <sz val="10"/>
        <color theme="1"/>
        <rFont val="Arial"/>
        <family val="2"/>
      </rPr>
      <t>".
Air Pollution Control (APC) residues is the fly ash from the boiler mixed with dry sorbents such as carbon and lime in the flu gas treatment plant. The APC residue is hazardous and is therefore collected and disposed of to landfill
Some additional residues may be produced during cleaning of the boiler during cleaning activities in planned maintenance outages. This boiler ash, often mixed with grit blast residues from the cleaning process, is disposed of to landfill.</t>
    </r>
  </si>
  <si>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</si>
  <si>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</si>
  <si>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</si>
  <si>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</si>
  <si>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</si>
  <si>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</si>
  <si>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</si>
  <si>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</si>
  <si>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</si>
  <si>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</si>
  <si>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</si>
  <si>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</si>
  <si>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</si>
  <si>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</si>
  <si>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</si>
  <si>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</si>
  <si>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D05</t>
  </si>
  <si>
    <t>IBA</t>
  </si>
  <si>
    <t>Total Hazardous Waste</t>
  </si>
  <si>
    <t>2) Non-Hazardous Wastes</t>
  </si>
  <si>
    <t>R05</t>
  </si>
  <si>
    <t>Ferrous Metal</t>
  </si>
  <si>
    <t>R04</t>
  </si>
  <si>
    <t>Process Water</t>
  </si>
  <si>
    <t>Non-ferrous metal</t>
  </si>
  <si>
    <t>Total Non-Hazardous Waste</t>
  </si>
  <si>
    <t>TOTAL WASTE</t>
  </si>
  <si>
    <t>Operator’s comments :</t>
  </si>
  <si>
    <t>Annual Reporting of Water and Other Raw Material Usage</t>
  </si>
  <si>
    <t>Raw Material</t>
  </si>
  <si>
    <t>Usage</t>
  </si>
  <si>
    <t>Specific Usage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</si>
  <si>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</si>
  <si>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</si>
  <si>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</si>
  <si>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r>
      <rPr>
        <sz val="10"/>
        <color rgb="FF000000"/>
        <rFont val="Arial"/>
        <family val="2"/>
      </rPr>
      <t>m</t>
    </r>
    <r>
      <rPr>
        <vertAlign val="superscript"/>
        <sz val="10"/>
        <color rgb="FF000000"/>
        <rFont val="Arial"/>
        <family val="2"/>
      </rPr>
      <t>3</t>
    </r>
  </si>
  <si>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</si>
  <si>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</si>
  <si>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</si>
  <si>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</si>
  <si>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</si>
  <si>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</si>
  <si>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</si>
  <si>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</si>
  <si>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</si>
  <si>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</si>
  <si>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</si>
  <si>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</si>
  <si>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</si>
  <si>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</si>
  <si>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</si>
  <si>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</si>
  <si>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</si>
  <si>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</si>
  <si>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</si>
  <si>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</si>
  <si>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</si>
  <si>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</si>
  <si>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</si>
  <si>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Usage (KWh/tonne incinerated</t>
  </si>
  <si>
    <t>Electricity Produced</t>
  </si>
  <si>
    <t xml:space="preserve">Electricity Imported   </t>
  </si>
  <si>
    <t>Electricity Exported</t>
  </si>
  <si>
    <t>Gas Oil</t>
  </si>
  <si>
    <t>Steam/hot water exported</t>
  </si>
  <si>
    <t>GWh</t>
  </si>
  <si>
    <t>Fuel oil in litres is converted to tonnes using a density value of 0.85.</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</si>
  <si>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</si>
  <si>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</si>
  <si>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</si>
  <si>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</si>
  <si>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</si>
  <si>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</si>
  <si>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</si>
  <si>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</si>
  <si>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</si>
  <si>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</si>
  <si>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</si>
  <si>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</si>
  <si>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100.00% 95% of 10-min averages</t>
  </si>
  <si>
    <t>Total organic carbon</t>
  </si>
  <si>
    <t>Hydrogen chloride</t>
  </si>
  <si>
    <t>Summary of any notifications or non-compliances under the permit</t>
  </si>
  <si>
    <t>Summary of notification or non-compliance [including Line/Reference]</t>
  </si>
  <si>
    <t xml:space="preserve">Reason </t>
  </si>
  <si>
    <t>Measures taken to prevent reoccurrence</t>
  </si>
  <si>
    <t>SUF-001-22 SO2 half hourly avg breach on Line 2</t>
  </si>
  <si>
    <t>High levels in waste</t>
  </si>
  <si>
    <t>Waste supplier suspended and audits of all 3rd party suppliers commenced</t>
  </si>
  <si>
    <t>SUF-002-22 SO2 half hourly avg breach on Line 1</t>
  </si>
  <si>
    <t>SUF-003-22 TOC half hourly avg breach on Line 2</t>
  </si>
  <si>
    <t>Combustion conditions due to plant trip</t>
  </si>
  <si>
    <t>Incident briefings and training drills</t>
  </si>
  <si>
    <t>SUF-004-22 TOC half hourly avg breach on Line 1</t>
  </si>
  <si>
    <t>Combustion control</t>
  </si>
  <si>
    <t>Alarm management and reconfig.</t>
  </si>
  <si>
    <t>Summary of any complaints received and actions to taken to resolve them.</t>
  </si>
  <si>
    <t>Summary of complaint [including Line/Reference]</t>
  </si>
  <si>
    <t>Reason *</t>
  </si>
  <si>
    <t>Odour of IBA at complainants home</t>
  </si>
  <si>
    <t>Not substantiated</t>
  </si>
  <si>
    <t>Off site odour checks implemented for 30 days</t>
  </si>
  <si>
    <t>Odour of IBA in field/picnic area adjacent to site</t>
  </si>
  <si>
    <t>Repeat of complaints from 27/01/22</t>
  </si>
  <si>
    <t>Odour was detected by Comms Mgr. Dust suppression increased over raw ash conveyor to IBA plant.</t>
  </si>
  <si>
    <t>Info from CLG re odour complaints on Facebook</t>
  </si>
  <si>
    <t>EA informed</t>
  </si>
  <si>
    <t>Burning smell detected by complainant between 5pm and 6pm every night for the last 2 years</t>
  </si>
  <si>
    <t>EA informed and offsite odour checks implemented for 30 days.</t>
  </si>
  <si>
    <t>* including whether substantiated by the operator or the EA</t>
  </si>
  <si>
    <t>Summary of Plant Improvements</t>
  </si>
  <si>
    <t>Summary of any efficiency improvements that have been completed within the year.</t>
  </si>
  <si>
    <t>Further optimisation of the air cooled condenser cleaning regime has been undertaken in 2022 resulting in more frequent cleaning and an overall improvement in overall cycle efficiency.</t>
  </si>
  <si>
    <t>Summary of any permit improvement conditions that have been completed within the year and the resulting environmental benefits.</t>
  </si>
  <si>
    <t>Nil</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</si>
  <si>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</si>
  <si>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</si>
  <si>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Details of Public &amp; Stakeholder Liaison</t>
  </si>
  <si>
    <t>Summary of events held during the reporting year.</t>
  </si>
  <si>
    <t>Description</t>
  </si>
  <si>
    <t>Suffolk Show
The Suffolk show is a 2 day event where SUEZ join the wider Suffolk Waste Partnership to speak to members of the public about how their waste is treated.</t>
  </si>
  <si>
    <t>Throughout the year</t>
  </si>
  <si>
    <t xml:space="preserve">34 adult tours  26 school/community group tours </t>
  </si>
  <si>
    <t>10 outreach projects
Projects inlcuded visits to a Brownies group and SEND school as well as speaking at a Stroke Survivors Group.</t>
  </si>
  <si>
    <t>List of events planned for next year</t>
  </si>
  <si>
    <t>Suffolk Show</t>
  </si>
  <si>
    <t xml:space="preserve">Adult tours and school/community group tours </t>
  </si>
  <si>
    <t xml:space="preserve">Outreach projects </t>
  </si>
  <si>
    <t>If you wish to be involved in the public liasion programme, please contact Siobhan.o'dell@suez.com</t>
  </si>
  <si>
    <t>Carbon dioxide emissions and biogenic content of waste inputs</t>
  </si>
  <si>
    <r>
      <t xml:space="preserve">Carbon dioxide emissions </t>
    </r>
    <r>
      <rPr>
        <sz val="12"/>
        <color theme="1"/>
        <rFont val="Arial"/>
        <family val="2"/>
      </rPr>
      <t>(all types of plant)</t>
    </r>
  </si>
  <si>
    <t>Annual mass of carbon dioxide released</t>
  </si>
  <si>
    <t xml:space="preserve">x tonnes </t>
  </si>
  <si>
    <t>Annual mass of carbon dioxide released per tonne of waste burned</t>
  </si>
  <si>
    <t>Annual mass of carbon dioxide released per MWh of energy exported</t>
  </si>
  <si>
    <t>Description of how annual carbon dioxide mass emission has been calculated</t>
  </si>
  <si>
    <r>
      <t>Calibrated CEMs measurements for flow, CO</t>
    </r>
    <r>
      <rPr>
        <i/>
        <vertAlign val="subscript"/>
        <sz val="11"/>
        <rFont val="Arial"/>
        <family val="2"/>
      </rPr>
      <t>2</t>
    </r>
    <r>
      <rPr>
        <i/>
        <sz val="11"/>
        <rFont val="Arial"/>
        <family val="2"/>
      </rPr>
      <t xml:space="preserve"> and O</t>
    </r>
    <r>
      <rPr>
        <i/>
        <vertAlign val="subscript"/>
        <sz val="11"/>
        <rFont val="Arial"/>
        <family val="2"/>
      </rPr>
      <t>2</t>
    </r>
    <r>
      <rPr>
        <i/>
        <sz val="11"/>
        <rFont val="Arial"/>
        <family val="2"/>
      </rPr>
      <t>.</t>
    </r>
  </si>
  <si>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</si>
  <si>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</si>
  <si>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</si>
  <si>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Description of how annual nitrous oxide mass emission has been calculated</t>
  </si>
  <si>
    <r>
      <t>Periodic measurement of N</t>
    </r>
    <r>
      <rPr>
        <i/>
        <vertAlign val="subscript"/>
        <sz val="11"/>
        <rFont val="Arial"/>
        <family val="2"/>
      </rPr>
      <t>2</t>
    </r>
    <r>
      <rPr>
        <i/>
        <sz val="11"/>
        <rFont val="Arial"/>
        <family val="2"/>
      </rPr>
      <t>O, with CEMs flow</t>
    </r>
  </si>
  <si>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</si>
  <si>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</si>
  <si>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x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</si>
  <si>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</si>
  <si>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</si>
  <si>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x %</t>
  </si>
  <si>
    <t>Description of how biogenic NCV percentage has been calculated or estimated</t>
  </si>
  <si>
    <t>Periodic waste sampling (annual) is carried out in order to determine the biogenic fraction, and from this a factor is derived to determine the proportion of biogenic CO2 emitted from the plant.</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</si>
  <si>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</si>
  <si>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</si>
  <si>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</si>
  <si>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</si>
  <si>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</si>
  <si>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</si>
  <si>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</si>
  <si>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The samples for the quarterly IBA analysis were taken on the 26/01/2022, the 12/04/2022, the 11/07/2022 and the 24/10/2022.</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</si>
  <si>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</si>
  <si>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</si>
  <si>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</si>
  <si>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</si>
  <si>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</si>
  <si>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</si>
  <si>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</si>
  <si>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</si>
  <si>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</si>
  <si>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N/A</t>
  </si>
  <si>
    <t>Total Organic Carbon (average %)</t>
  </si>
  <si>
    <t>&lt;3%</t>
  </si>
  <si>
    <t>No. of Assessments Undertaken</t>
  </si>
  <si>
    <t>---</t>
  </si>
  <si>
    <t>No. of Hazardous Results</t>
  </si>
  <si>
    <t>Comments :</t>
  </si>
  <si>
    <r>
      <rPr>
        <sz val="11"/>
        <rFont val="Arial"/>
        <family val="2"/>
      </rPr>
      <t>Jan 2022 TOC = 2.50 %
Apr 2022 TOC = 1.60 %
Jul 2022 TOC = 1.81 %</t>
    </r>
    <r>
      <rPr>
        <sz val="11"/>
        <color rgb="FFFF0000"/>
        <rFont val="Arial"/>
        <family val="2"/>
      </rPr>
      <t xml:space="preserve">
</t>
    </r>
    <r>
      <rPr>
        <sz val="11"/>
        <rFont val="Arial"/>
        <family val="2"/>
      </rPr>
      <t>Oct 2022 TOC = 1.02 %</t>
    </r>
  </si>
  <si>
    <t>There are no discharges to water regulated by the permit. The discharge point S1 has a volume limit of 24m3 per day as detailed in table S3.4. Compliance with the discharge volume limit is reported to the Environment Agency on a quarterly basis in line with permit requirements.</t>
  </si>
  <si>
    <t>Emissions to Water / Sewer</t>
  </si>
  <si>
    <t>Monitoring Frequency</t>
  </si>
  <si>
    <t>Target</t>
  </si>
  <si>
    <t>Max.</t>
  </si>
  <si>
    <t>Average</t>
  </si>
  <si>
    <t>Summary of monitoring undertaken, standards used and compliance</t>
  </si>
  <si>
    <t>The compliance monitoring visits were carried out during April and September/October 2022. There were no non-compliances identified during either visit.</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</si>
  <si>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</si>
  <si>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</si>
  <si>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</si>
  <si>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</si>
  <si>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</si>
  <si>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Hydrogen fluoride</t>
  </si>
  <si>
    <t>1 hr</t>
  </si>
  <si>
    <r>
      <t>2 mg/m</t>
    </r>
    <r>
      <rPr>
        <vertAlign val="superscript"/>
        <sz val="10"/>
        <color theme="1"/>
        <rFont val="Arial"/>
        <family val="2"/>
      </rPr>
      <t>3</t>
    </r>
  </si>
  <si>
    <t>None set mg/m3</t>
  </si>
  <si>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</si>
  <si>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</si>
  <si>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</si>
  <si>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</si>
  <si>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</si>
  <si>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</si>
  <si>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</si>
  <si>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</si>
  <si>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</si>
  <si>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</si>
  <si>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</si>
  <si>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</si>
  <si>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</si>
  <si>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</si>
  <si>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</si>
  <si>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</si>
  <si>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</si>
  <si>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</si>
  <si>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</si>
  <si>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</si>
  <si>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</si>
  <si>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</si>
  <si>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</si>
  <si>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</si>
  <si>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</si>
  <si>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</si>
  <si>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</si>
  <si>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</si>
  <si>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</si>
  <si>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</si>
  <si>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</si>
  <si>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</si>
  <si>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The average result is calculated from the reported values for the H1 and H2 compliance monitoring campaigns. Where results are reported at the laboratory limit of detection the &lt; qualifier is removed for calculation of the average emission as a conservative measure. Where the average has been calculated in this way the reported value is highlighted bold.</t>
  </si>
  <si>
    <t>Template may require adjustment for any bespoke monitoring requirements of permit</t>
  </si>
  <si>
    <t>The CEMS set up comprises a multigas analyser, FID analyser and oxygen probe for extractive sampling where flue gases are drawn continuously via a heated line to the analysers in the CEMS room for each incineration line. In situ sampling i.e. where the probes are installed directly into the flue gas flow in the stack is for the dust probes only. The set up for the duty analysers is mirrored by the standby analysers. The standby analysers can be switched between incineration Lines 1 and 2 as required. Continuous monitoring is provided by the CEMS as required by the permit. The CEMS are installed in accordance with EN14181 and relevant Environment Agency guidance.</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</si>
  <si>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</si>
  <si>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</si>
  <si>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</si>
  <si>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</si>
  <si>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</si>
  <si>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</si>
  <si>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</si>
  <si>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</si>
  <si>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</si>
  <si>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</si>
  <si>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</si>
  <si>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</si>
  <si>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</si>
  <si>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</si>
  <si>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</si>
  <si>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</si>
  <si>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</si>
  <si>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95%ile 10-min avg</t>
  </si>
  <si>
    <r>
      <t>150 mg/m</t>
    </r>
    <r>
      <rPr>
        <vertAlign val="superscript"/>
        <sz val="10"/>
        <color theme="1"/>
        <rFont val="Arial"/>
        <family val="2"/>
      </rPr>
      <t>3</t>
    </r>
    <r>
      <rPr>
        <sz val="10"/>
        <color theme="1"/>
        <rFont val="Arial"/>
        <family val="2"/>
      </rPr>
      <t xml:space="preserve"> *</t>
    </r>
  </si>
  <si>
    <t xml:space="preserve"> Ammonia</t>
  </si>
  <si>
    <t>No limit set</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</si>
  <si>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</si>
  <si>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</si>
  <si>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</si>
  <si>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</si>
  <si>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</si>
  <si>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</si>
  <si>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</si>
  <si>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</si>
  <si>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</si>
  <si>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</si>
  <si>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</si>
  <si>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</si>
  <si>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</si>
  <si>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</si>
  <si>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</si>
  <si>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</si>
  <si>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</si>
  <si>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</si>
  <si>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</si>
  <si>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</si>
  <si>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</si>
  <si>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</si>
  <si>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</si>
  <si>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</si>
  <si>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</si>
  <si>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</si>
  <si>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</si>
  <si>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</si>
  <si>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</si>
  <si>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</si>
  <si>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</si>
  <si>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</si>
  <si>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</si>
  <si>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</si>
  <si>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</si>
  <si>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</si>
  <si>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</si>
  <si>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</si>
  <si>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</si>
  <si>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</si>
  <si>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</si>
  <si>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</si>
  <si>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</si>
  <si>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</si>
  <si>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</si>
  <si>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</si>
  <si>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</si>
  <si>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</si>
  <si>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</si>
  <si>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</si>
  <si>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</si>
  <si>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</si>
  <si>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</si>
  <si>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Daily CO ELV</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</si>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</sst>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
    <numFmt numFmtId="170" formatCode="0.000"/>
    <numFmt numFmtId="171" formatCode="#,##0.00_ ;\-#,##0.00\ "/>
  </numFmts>
  <fonts count="44">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u/>
      <sz val="11"/>
      <color theme="10"/>
      <name val="Calibri"/>
      <family val="2"/>
      <scheme val="minor"/>
    </font>
    <font>
      <i/>
      <sz val="10"/>
      <color theme="1"/>
      <name val="Arial"/>
      <family val="2"/>
    </font>
    <font>
      <i/>
      <sz val="11"/>
      <name val="Arial"/>
      <family val="2"/>
    </font>
    <font>
      <i/>
      <vertAlign val="subscript"/>
      <sz val="11"/>
      <name val="Arial"/>
      <family val="2"/>
    </font>
    <font>
      <sz val="11"/>
      <name val="Calibri"/>
      <family val="2"/>
      <scheme val="minor"/>
    </font>
    <font>
      <sz val="10"/>
      <color rgb="FFFF0000"/>
      <name val="Arial"/>
      <family val="2"/>
    </font>
    <font>
      <sz val="10"/>
      <name val="Arial"/>
      <family val="2"/>
    </font>
    <font>
      <sz val="11"/>
      <name val="Arial"/>
      <family val="2"/>
    </font>
    <font>
      <sz val="10"/>
      <color rgb="FF000000"/>
      <name val="Arial"/>
      <family val="2"/>
    </font>
    <font>
      <vertAlign val="superscript"/>
      <sz val="10"/>
      <color rgb="FF000000"/>
      <name val="Arial"/>
      <family val="2"/>
    </font>
  </fonts>
  <fills count="9">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
      <patternFill patternType="solid">
        <fgColor rgb="FFFFFF00"/>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34" fillId="0" borderId="0" applyNumberFormat="0" applyFill="0" applyBorder="0" applyAlignment="0" applyProtection="0"/>
  </cellStyleXfs>
  <cellXfs count="436">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0" borderId="2" xfId="0" applyFont="1" applyBorder="1" applyAlignment="1">
      <alignment horizontal="center" vertical="top"/>
    </xf>
    <xf numFmtId="0" fontId="2" fillId="0" borderId="2" xfId="0" applyFont="1" applyBorder="1" applyAlignment="1">
      <alignment horizontal="center" vertical="top" wrapText="1"/>
    </xf>
    <xf numFmtId="0" fontId="1" fillId="0" borderId="11" xfId="0" applyFont="1" applyBorder="1"/>
    <xf numFmtId="0" fontId="1" fillId="0" borderId="0" xfId="0" applyFont="1"/>
    <xf numFmtId="0" fontId="10" fillId="5" borderId="2" xfId="0" applyFont="1" applyFill="1" applyBorder="1" applyAlignment="1">
      <alignment horizontal="center" vertical="center" wrapText="1"/>
    </xf>
    <xf numFmtId="169" fontId="6" fillId="5" borderId="2" xfId="0" applyNumberFormat="1" applyFont="1" applyFill="1" applyBorder="1" applyAlignment="1">
      <alignment horizontal="center"/>
    </xf>
    <xf numFmtId="169" fontId="6" fillId="0" borderId="2" xfId="0" applyNumberFormat="1" applyFont="1" applyBorder="1"/>
    <xf numFmtId="2" fontId="6" fillId="5" borderId="2" xfId="0" applyNumberFormat="1" applyFont="1" applyFill="1" applyBorder="1" applyAlignment="1">
      <alignment horizontal="center"/>
    </xf>
    <xf numFmtId="0" fontId="2" fillId="5" borderId="2" xfId="0" applyFont="1" applyFill="1" applyBorder="1" applyAlignment="1">
      <alignment horizontal="center" vertical="center"/>
    </xf>
    <xf numFmtId="170" fontId="2" fillId="5" borderId="2" xfId="0" applyNumberFormat="1" applyFont="1" applyFill="1" applyBorder="1" applyAlignment="1">
      <alignment horizontal="center" vertical="center"/>
    </xf>
    <xf numFmtId="3" fontId="2" fillId="5" borderId="2" xfId="0" applyNumberFormat="1" applyFont="1" applyFill="1" applyBorder="1" applyAlignment="1">
      <alignment horizontal="center" vertical="center"/>
    </xf>
    <xf numFmtId="2" fontId="1" fillId="5" borderId="2" xfId="0" applyNumberFormat="1" applyFont="1" applyFill="1" applyBorder="1" applyAlignment="1">
      <alignment horizontal="center" vertical="center" wrapText="1"/>
    </xf>
    <xf numFmtId="2" fontId="6" fillId="0" borderId="2" xfId="0" applyNumberFormat="1" applyFont="1" applyBorder="1"/>
    <xf numFmtId="0" fontId="1" fillId="5" borderId="2" xfId="0" applyFont="1" applyFill="1" applyBorder="1" applyAlignment="1">
      <alignment horizontal="center" vertical="center" wrapText="1"/>
    </xf>
    <xf numFmtId="165" fontId="1" fillId="0" borderId="10" xfId="2" applyNumberFormat="1" applyFont="1" applyBorder="1" applyAlignment="1">
      <alignment horizontal="center"/>
    </xf>
    <xf numFmtId="14" fontId="15" fillId="0" borderId="12" xfId="0" applyNumberFormat="1" applyFont="1" applyBorder="1"/>
    <xf numFmtId="2" fontId="2" fillId="5" borderId="2" xfId="0" applyNumberFormat="1" applyFont="1" applyFill="1" applyBorder="1" applyAlignment="1">
      <alignment horizontal="center" vertical="center"/>
    </xf>
    <xf numFmtId="0" fontId="6" fillId="0" borderId="0" xfId="0" applyFont="1" applyAlignment="1">
      <alignment wrapText="1"/>
    </xf>
    <xf numFmtId="0" fontId="6" fillId="2" borderId="2" xfId="0" applyFont="1" applyFill="1" applyBorder="1" applyAlignment="1">
      <alignment horizontal="center" wrapText="1"/>
    </xf>
    <xf numFmtId="0" fontId="1" fillId="2" borderId="2" xfId="0" applyFont="1" applyFill="1" applyBorder="1" applyAlignment="1">
      <alignment horizontal="center" vertical="center" wrapText="1"/>
    </xf>
    <xf numFmtId="0" fontId="1" fillId="2" borderId="2" xfId="0" applyFont="1" applyFill="1" applyBorder="1" applyAlignment="1">
      <alignment vertical="center" wrapText="1"/>
    </xf>
    <xf numFmtId="17" fontId="2" fillId="0" borderId="0" xfId="0" applyNumberFormat="1" applyFont="1"/>
    <xf numFmtId="0" fontId="2" fillId="0" borderId="0" xfId="0" applyFont="1" applyAlignment="1">
      <alignment wrapText="1"/>
    </xf>
    <xf numFmtId="0" fontId="2" fillId="0" borderId="0" xfId="0" applyFont="1" applyAlignment="1">
      <alignment horizontal="left"/>
    </xf>
    <xf numFmtId="0" fontId="2" fillId="0" borderId="4" xfId="0" applyFont="1" applyBorder="1"/>
    <xf numFmtId="0" fontId="2" fillId="0" borderId="5" xfId="0" applyFont="1" applyBorder="1"/>
    <xf numFmtId="0" fontId="1" fillId="2" borderId="2" xfId="0" applyFont="1" applyFill="1" applyBorder="1" applyAlignment="1">
      <alignment horizontal="center"/>
    </xf>
    <xf numFmtId="14" fontId="1" fillId="2" borderId="2" xfId="0" applyNumberFormat="1" applyFont="1" applyFill="1" applyBorder="1" applyAlignment="1">
      <alignment horizontal="center"/>
    </xf>
    <xf numFmtId="0" fontId="1" fillId="2" borderId="2" xfId="0" applyFont="1" applyFill="1" applyBorder="1" applyAlignment="1">
      <alignment horizontal="center" vertical="top"/>
    </xf>
    <xf numFmtId="0" fontId="2" fillId="0" borderId="7" xfId="0" applyFont="1" applyBorder="1"/>
    <xf numFmtId="0" fontId="2" fillId="0" borderId="8" xfId="0" applyFont="1" applyBorder="1"/>
    <xf numFmtId="0" fontId="2" fillId="0" borderId="11" xfId="0" applyFont="1" applyBorder="1"/>
    <xf numFmtId="0" fontId="2" fillId="0" borderId="12" xfId="0" applyFont="1" applyBorder="1"/>
    <xf numFmtId="0" fontId="2" fillId="0" borderId="13" xfId="0" applyFont="1" applyBorder="1"/>
    <xf numFmtId="0" fontId="1" fillId="0" borderId="0" xfId="0" applyFont="1" applyAlignment="1">
      <alignment horizontal="center"/>
    </xf>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vertical="center"/>
    </xf>
    <xf numFmtId="164" fontId="1" fillId="2" borderId="7" xfId="1" applyNumberFormat="1" applyFont="1" applyFill="1" applyBorder="1" applyAlignment="1">
      <alignment horizontal="center"/>
    </xf>
    <xf numFmtId="165" fontId="1" fillId="0" borderId="8" xfId="2" applyNumberFormat="1" applyFont="1" applyBorder="1" applyAlignment="1">
      <alignment horizontal="center"/>
    </xf>
    <xf numFmtId="0" fontId="1" fillId="0" borderId="9" xfId="0" applyFont="1" applyBorder="1" applyAlignment="1">
      <alignment vertical="center"/>
    </xf>
    <xf numFmtId="164" fontId="1" fillId="2" borderId="0" xfId="1" applyNumberFormat="1" applyFont="1" applyFill="1" applyBorder="1" applyAlignment="1">
      <alignment horizontal="center"/>
    </xf>
    <xf numFmtId="0" fontId="1" fillId="7" borderId="9" xfId="0" applyFont="1" applyFill="1" applyBorder="1" applyAlignment="1">
      <alignment vertical="center"/>
    </xf>
    <xf numFmtId="165" fontId="1" fillId="0" borderId="10" xfId="2" applyNumberFormat="1" applyFont="1" applyFill="1" applyBorder="1" applyAlignment="1">
      <alignment horizont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6" xfId="0" applyFont="1" applyBorder="1"/>
    <xf numFmtId="164" fontId="1" fillId="0" borderId="8" xfId="0" applyNumberFormat="1" applyFont="1" applyBorder="1" applyAlignment="1">
      <alignment horizontal="center"/>
    </xf>
    <xf numFmtId="0" fontId="1" fillId="0" borderId="9" xfId="0" applyFont="1" applyBorder="1"/>
    <xf numFmtId="164" fontId="1" fillId="2" borderId="0" xfId="1" applyNumberFormat="1" applyFont="1" applyFill="1" applyAlignment="1">
      <alignment horizontal="center"/>
    </xf>
    <xf numFmtId="164" fontId="1" fillId="0" borderId="10" xfId="0" applyNumberFormat="1" applyFont="1" applyBorder="1" applyAlignment="1">
      <alignment horizontal="center"/>
    </xf>
    <xf numFmtId="0" fontId="1" fillId="0" borderId="0" xfId="0" applyFont="1" applyAlignment="1">
      <alignment horizontal="center" vertical="center"/>
    </xf>
    <xf numFmtId="165" fontId="1" fillId="0" borderId="0" xfId="2" applyNumberFormat="1" applyFont="1" applyAlignment="1">
      <alignment horizontal="center" vertical="center"/>
    </xf>
    <xf numFmtId="0" fontId="1" fillId="0" borderId="12" xfId="0" applyFont="1" applyBorder="1"/>
    <xf numFmtId="166" fontId="1" fillId="2" borderId="12" xfId="0" applyNumberFormat="1" applyFont="1" applyFill="1" applyBorder="1"/>
    <xf numFmtId="166" fontId="1" fillId="0" borderId="12" xfId="0" applyNumberFormat="1" applyFont="1" applyBorder="1"/>
    <xf numFmtId="171" fontId="1" fillId="2" borderId="12" xfId="0" applyNumberFormat="1" applyFont="1" applyFill="1" applyBorder="1"/>
    <xf numFmtId="0" fontId="1" fillId="0" borderId="6" xfId="0" applyFont="1" applyBorder="1" applyAlignment="1">
      <alignment horizontal="center" vertical="center"/>
    </xf>
    <xf numFmtId="0" fontId="1" fillId="0" borderId="8" xfId="0" quotePrefix="1" applyFont="1" applyBorder="1" applyAlignment="1">
      <alignment horizontal="center"/>
    </xf>
    <xf numFmtId="0" fontId="1" fillId="2" borderId="9" xfId="0" applyFont="1" applyFill="1" applyBorder="1"/>
    <xf numFmtId="0" fontId="1" fillId="2" borderId="11" xfId="0" applyFont="1" applyFill="1" applyBorder="1"/>
    <xf numFmtId="164" fontId="1" fillId="2" borderId="12" xfId="1" applyNumberFormat="1" applyFont="1" applyFill="1" applyBorder="1" applyAlignment="1">
      <alignment horizontal="center"/>
    </xf>
    <xf numFmtId="0" fontId="1" fillId="0" borderId="3" xfId="0" applyFont="1" applyBorder="1" applyAlignment="1">
      <alignment horizontal="center" vertical="center"/>
    </xf>
    <xf numFmtId="164" fontId="1" fillId="2" borderId="7" xfId="1" applyNumberFormat="1" applyFont="1" applyFill="1" applyBorder="1" applyAlignment="1">
      <alignment horizontal="center" vertical="center"/>
    </xf>
    <xf numFmtId="43" fontId="1" fillId="0" borderId="10" xfId="0" applyNumberFormat="1" applyFont="1" applyBorder="1" applyAlignment="1">
      <alignment horizontal="center" vertical="center"/>
    </xf>
    <xf numFmtId="43" fontId="1" fillId="5" borderId="10" xfId="0" applyNumberFormat="1" applyFont="1" applyFill="1" applyBorder="1" applyAlignment="1">
      <alignment horizontal="center" vertical="center"/>
    </xf>
    <xf numFmtId="0" fontId="1" fillId="2" borderId="12" xfId="0" applyFont="1" applyFill="1" applyBorder="1" applyAlignment="1">
      <alignment horizontal="center" vertical="center"/>
    </xf>
    <xf numFmtId="43" fontId="1" fillId="5" borderId="13" xfId="0" applyNumberFormat="1" applyFont="1" applyFill="1" applyBorder="1" applyAlignment="1">
      <alignment horizontal="center" vertical="center"/>
    </xf>
    <xf numFmtId="0" fontId="1" fillId="0" borderId="6" xfId="0" applyFont="1" applyBorder="1" applyAlignment="1">
      <alignment horizontal="center"/>
    </xf>
    <xf numFmtId="165" fontId="1" fillId="0" borderId="10" xfId="2" quotePrefix="1" applyNumberFormat="1" applyFont="1" applyBorder="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0" fontId="1" fillId="0" borderId="0" xfId="0" applyFont="1" applyAlignment="1">
      <alignment vertical="center"/>
    </xf>
    <xf numFmtId="4" fontId="1" fillId="0" borderId="2" xfId="0" applyNumberFormat="1" applyFont="1" applyBorder="1" applyAlignment="1">
      <alignment horizontal="center" vertical="center" wrapText="1"/>
    </xf>
    <xf numFmtId="4" fontId="1" fillId="2" borderId="2" xfId="0" applyNumberFormat="1" applyFont="1" applyFill="1" applyBorder="1" applyAlignment="1">
      <alignment horizontal="center" vertical="center" wrapText="1"/>
    </xf>
    <xf numFmtId="3" fontId="1" fillId="2" borderId="2" xfId="0" applyNumberFormat="1" applyFont="1" applyFill="1" applyBorder="1" applyAlignment="1">
      <alignment horizontal="center" vertical="center" wrapText="1"/>
    </xf>
    <xf numFmtId="0" fontId="2" fillId="2" borderId="2" xfId="0" applyFont="1" applyFill="1" applyBorder="1"/>
    <xf numFmtId="0" fontId="1" fillId="0" borderId="2" xfId="0" applyFont="1" applyBorder="1" applyAlignment="1">
      <alignment horizontal="center" vertical="center" wrapText="1"/>
    </xf>
    <xf numFmtId="9" fontId="1" fillId="0" borderId="2" xfId="0" applyNumberFormat="1" applyFont="1" applyBorder="1" applyAlignment="1">
      <alignment horizontal="center" vertical="center" wrapText="1"/>
    </xf>
    <xf numFmtId="0" fontId="1" fillId="0" borderId="2" xfId="0" applyFont="1" applyBorder="1" applyAlignment="1">
      <alignment horizontal="center"/>
    </xf>
    <xf numFmtId="0" fontId="1" fillId="0" borderId="2" xfId="0" applyFont="1" applyBorder="1" applyAlignment="1">
      <alignment horizontal="left" vertical="center" wrapText="1"/>
    </xf>
    <xf numFmtId="0" fontId="1" fillId="0" borderId="2" xfId="0" applyFont="1" applyBorder="1" applyAlignment="1">
      <alignment vertical="center" wrapText="1"/>
    </xf>
    <xf numFmtId="0" fontId="1" fillId="0" borderId="1" xfId="0" applyFont="1" applyBorder="1" applyAlignment="1">
      <alignment horizontal="left" vertical="center" wrapText="1"/>
    </xf>
    <xf numFmtId="0" fontId="1" fillId="0" borderId="1" xfId="0" applyFont="1" applyBorder="1" applyAlignment="1">
      <alignment horizontal="center" vertical="center" wrapText="1"/>
    </xf>
    <xf numFmtId="0" fontId="1" fillId="5" borderId="1" xfId="0" applyFont="1" applyFill="1" applyBorder="1" applyAlignment="1">
      <alignment horizontal="center" vertical="center" wrapText="1"/>
    </xf>
    <xf numFmtId="4" fontId="42" fillId="0" borderId="2" xfId="0" applyNumberFormat="1" applyFont="1" applyBorder="1" applyAlignment="1">
      <alignment horizontal="center" vertical="center" wrapText="1"/>
    </xf>
    <xf numFmtId="0" fontId="2" fillId="2" borderId="0" xfId="0" applyFont="1" applyFill="1" applyAlignment="1">
      <alignment horizontal="center" vertical="center"/>
    </xf>
    <xf numFmtId="0" fontId="2" fillId="2" borderId="0" xfId="0" applyFont="1" applyFill="1" applyAlignment="1">
      <alignment horizontal="left"/>
    </xf>
    <xf numFmtId="0" fontId="1" fillId="2" borderId="2" xfId="0" applyFont="1" applyFill="1" applyBorder="1" applyAlignment="1">
      <alignment horizontal="left" vertical="top"/>
    </xf>
    <xf numFmtId="0" fontId="6" fillId="0" borderId="0" xfId="0" applyFont="1" applyAlignment="1">
      <alignment horizontal="left" vertical="top"/>
    </xf>
    <xf numFmtId="0" fontId="23" fillId="0" borderId="0" xfId="0" applyFont="1" applyAlignment="1">
      <alignment horizontal="left" vertical="top" wrapText="1"/>
    </xf>
    <xf numFmtId="0" fontId="2" fillId="0" borderId="0" xfId="0" applyFont="1" applyAlignment="1">
      <alignment horizontal="left" vertical="center"/>
    </xf>
    <xf numFmtId="0" fontId="6" fillId="0" borderId="0" xfId="0" applyFont="1" applyAlignment="1">
      <alignment vertical="top"/>
    </xf>
    <xf numFmtId="0" fontId="23" fillId="0" borderId="0" xfId="0" applyFont="1" applyAlignment="1">
      <alignment horizontal="left" vertical="top"/>
    </xf>
    <xf numFmtId="0" fontId="2" fillId="0" borderId="0" xfId="0" applyFont="1" applyAlignment="1">
      <alignment horizontal="left" vertical="top"/>
    </xf>
    <xf numFmtId="0" fontId="2" fillId="0" borderId="7" xfId="0" applyFont="1" applyBorder="1" applyAlignment="1">
      <alignment horizontal="left" vertical="top"/>
    </xf>
    <xf numFmtId="0" fontId="10" fillId="0" borderId="0" xfId="0" applyFont="1" applyAlignment="1">
      <alignment horizontal="left" vertical="top"/>
    </xf>
    <xf numFmtId="0" fontId="2" fillId="0" borderId="4" xfId="0" applyFont="1" applyBorder="1" applyAlignment="1">
      <alignment horizontal="left" vertical="top"/>
    </xf>
    <xf numFmtId="0" fontId="2" fillId="2" borderId="0" xfId="0" applyFont="1" applyFill="1" applyAlignment="1">
      <alignment horizontal="left" vertical="top"/>
    </xf>
    <xf numFmtId="14" fontId="1" fillId="2" borderId="2" xfId="0" applyNumberFormat="1" applyFont="1" applyFill="1" applyBorder="1" applyAlignment="1">
      <alignment horizontal="left" vertical="top"/>
    </xf>
    <xf numFmtId="14" fontId="6" fillId="0" borderId="0" xfId="0" applyNumberFormat="1" applyFont="1" applyAlignment="1">
      <alignment horizontal="center"/>
    </xf>
    <xf numFmtId="14" fontId="6" fillId="0" borderId="0" xfId="0" applyNumberFormat="1" applyFont="1"/>
    <xf numFmtId="14" fontId="1" fillId="5" borderId="2" xfId="0" applyNumberFormat="1" applyFont="1" applyFill="1" applyBorder="1" applyAlignment="1">
      <alignment horizontal="center" vertical="center" wrapText="1"/>
    </xf>
    <xf numFmtId="14" fontId="1" fillId="0" borderId="0" xfId="0" applyNumberFormat="1" applyFont="1"/>
    <xf numFmtId="14" fontId="2" fillId="0" borderId="0" xfId="0" applyNumberFormat="1" applyFont="1"/>
    <xf numFmtId="14" fontId="2" fillId="0" borderId="7" xfId="0" applyNumberFormat="1" applyFont="1" applyBorder="1"/>
    <xf numFmtId="164" fontId="1" fillId="8" borderId="7" xfId="1" applyNumberFormat="1" applyFont="1" applyFill="1" applyBorder="1" applyAlignment="1">
      <alignment horizontal="center"/>
    </xf>
    <xf numFmtId="0" fontId="2" fillId="0" borderId="0" xfId="0" applyFont="1" applyAlignment="1">
      <alignment horizontal="left" vertical="center" wrapText="1"/>
    </xf>
    <xf numFmtId="0" fontId="22" fillId="0" borderId="0" xfId="0" applyFont="1" applyAlignment="1">
      <alignment horizontal="left" wrapText="1"/>
    </xf>
    <xf numFmtId="0" fontId="8" fillId="2" borderId="0" xfId="0" applyFont="1" applyFill="1" applyAlignment="1">
      <alignment horizontal="center"/>
    </xf>
    <xf numFmtId="0" fontId="2" fillId="2" borderId="0" xfId="0" applyFont="1" applyFill="1" applyAlignment="1">
      <alignment horizontal="center" vertical="center"/>
    </xf>
    <xf numFmtId="0" fontId="2" fillId="2" borderId="0" xfId="0" applyFont="1" applyFill="1" applyAlignment="1">
      <alignment horizontal="left" vertical="center"/>
    </xf>
    <xf numFmtId="14" fontId="2" fillId="2" borderId="0" xfId="0" applyNumberFormat="1" applyFont="1" applyFill="1" applyAlignment="1">
      <alignment horizontal="left"/>
    </xf>
    <xf numFmtId="0" fontId="2" fillId="2" borderId="0" xfId="0" applyFont="1" applyFill="1" applyAlignment="1">
      <alignment horizontal="left"/>
    </xf>
    <xf numFmtId="0" fontId="34" fillId="2" borderId="0" xfId="3" applyFill="1" applyAlignment="1">
      <alignment horizontal="left"/>
    </xf>
    <xf numFmtId="0" fontId="6" fillId="3" borderId="2" xfId="0" applyFont="1" applyFill="1" applyBorder="1" applyAlignment="1">
      <alignment horizontal="left"/>
    </xf>
    <xf numFmtId="0" fontId="7" fillId="0" borderId="2" xfId="0" applyFont="1" applyBorder="1" applyAlignment="1">
      <alignment horizontal="left"/>
    </xf>
    <xf numFmtId="0" fontId="6"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1" fillId="2" borderId="2" xfId="0" applyFont="1" applyFill="1" applyBorder="1" applyAlignment="1">
      <alignment horizontal="left" vertical="top"/>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1" fillId="2" borderId="2" xfId="0" applyFont="1" applyFill="1" applyBorder="1" applyAlignment="1">
      <alignment horizontal="left"/>
    </xf>
    <xf numFmtId="0" fontId="10" fillId="0" borderId="2" xfId="0" applyFont="1" applyBorder="1" applyAlignment="1">
      <alignment horizontal="left" vertical="top"/>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2" fillId="0" borderId="0" xfId="0" applyFont="1" applyAlignment="1">
      <alignment horizontal="left" vertical="top" wrapText="1"/>
    </xf>
    <xf numFmtId="0" fontId="1" fillId="0" borderId="6" xfId="0" applyFont="1" applyBorder="1" applyAlignment="1">
      <alignment horizontal="left" vertical="center" wrapText="1"/>
    </xf>
    <xf numFmtId="0" fontId="1" fillId="0" borderId="9" xfId="0" applyFont="1" applyBorder="1" applyAlignment="1">
      <alignment horizontal="left" vertical="center" wrapText="1"/>
    </xf>
    <xf numFmtId="0" fontId="12" fillId="0" borderId="0" xfId="0" applyFont="1" applyAlignment="1">
      <alignment horizontal="left" wrapText="1"/>
    </xf>
    <xf numFmtId="0" fontId="12" fillId="0" borderId="0" xfId="0" applyFont="1" applyAlignment="1">
      <alignment horizontal="left" vertical="top" wrapText="1"/>
    </xf>
    <xf numFmtId="0" fontId="1" fillId="0" borderId="7" xfId="0" applyFont="1" applyBorder="1" applyAlignment="1">
      <alignment horizontal="center" vertical="center" textRotation="90"/>
    </xf>
    <xf numFmtId="0" fontId="1" fillId="0" borderId="0" xfId="0" applyFont="1" applyAlignment="1">
      <alignment horizontal="center" vertical="center" textRotation="90"/>
    </xf>
    <xf numFmtId="0" fontId="1" fillId="0" borderId="12" xfId="0" applyFont="1" applyBorder="1" applyAlignment="1">
      <alignment horizontal="center" vertical="center" textRotation="90"/>
    </xf>
    <xf numFmtId="164" fontId="6" fillId="2" borderId="7" xfId="1" applyNumberFormat="1" applyFont="1" applyFill="1" applyBorder="1" applyAlignment="1"/>
    <xf numFmtId="0" fontId="1" fillId="0" borderId="0" xfId="0" applyFont="1" applyAlignment="1">
      <alignment horizontal="center" textRotation="90"/>
    </xf>
    <xf numFmtId="0" fontId="1" fillId="0" borderId="2" xfId="0" applyFont="1" applyBorder="1" applyAlignment="1">
      <alignment horizontal="left" vertical="center" wrapText="1"/>
    </xf>
    <xf numFmtId="0" fontId="1" fillId="2" borderId="2" xfId="0" applyFont="1" applyFill="1" applyBorder="1" applyAlignment="1">
      <alignment horizontal="center" vertical="center" wrapText="1"/>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6" fillId="0" borderId="0" xfId="0" applyFont="1" applyAlignment="1">
      <alignment horizontal="left"/>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1" fillId="2" borderId="2" xfId="0" applyFont="1" applyFill="1" applyBorder="1" applyAlignment="1">
      <alignment horizontal="left"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4" xfId="0" applyFont="1" applyBorder="1" applyAlignment="1">
      <alignment vertical="center" wrapText="1"/>
    </xf>
    <xf numFmtId="0" fontId="1" fillId="0" borderId="1" xfId="0" applyFont="1" applyBorder="1" applyAlignment="1">
      <alignment vertical="center" wrapText="1"/>
    </xf>
    <xf numFmtId="168" fontId="1" fillId="0" borderId="1" xfId="0" applyNumberFormat="1" applyFont="1" applyBorder="1" applyAlignment="1">
      <alignment horizontal="center" vertical="center" wrapText="1"/>
    </xf>
    <xf numFmtId="0" fontId="1" fillId="2" borderId="2" xfId="0" applyFont="1" applyFill="1" applyBorder="1" applyAlignment="1">
      <alignment vertical="center" wrapText="1"/>
    </xf>
    <xf numFmtId="0" fontId="1" fillId="0" borderId="2" xfId="0" applyFont="1" applyBorder="1" applyAlignment="1">
      <alignment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 fillId="0" borderId="5" xfId="0" applyFont="1" applyBorder="1" applyAlignment="1">
      <alignment horizontal="left" vertical="center" wrapText="1"/>
    </xf>
    <xf numFmtId="0" fontId="1" fillId="0" borderId="3" xfId="0"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165" fontId="1" fillId="0" borderId="2" xfId="2" applyNumberFormat="1" applyFont="1" applyBorder="1" applyAlignment="1">
      <alignment horizontal="center"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3" fontId="1" fillId="0" borderId="3" xfId="0" applyNumberFormat="1" applyFont="1" applyBorder="1" applyAlignment="1">
      <alignment horizontal="center" vertical="center" wrapText="1"/>
    </xf>
    <xf numFmtId="3" fontId="1" fillId="0" borderId="5" xfId="0" applyNumberFormat="1" applyFont="1" applyBorder="1" applyAlignment="1">
      <alignment horizontal="center" vertical="center"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0" fontId="14" fillId="4" borderId="2" xfId="0" applyFont="1" applyFill="1" applyBorder="1" applyAlignment="1">
      <alignment horizontal="left" vertical="center" wrapText="1"/>
    </xf>
    <xf numFmtId="167" fontId="6" fillId="0" borderId="0" xfId="0" applyNumberFormat="1" applyFont="1" applyAlignment="1">
      <alignment horizontal="center" vertical="top"/>
    </xf>
    <xf numFmtId="3" fontId="1" fillId="0" borderId="2" xfId="0" applyNumberFormat="1" applyFont="1" applyBorder="1" applyAlignment="1">
      <alignment horizontal="center" vertical="center" wrapText="1"/>
    </xf>
    <xf numFmtId="1" fontId="1" fillId="0" borderId="2" xfId="0" applyNumberFormat="1" applyFont="1" applyBorder="1" applyAlignment="1">
      <alignment horizontal="center" vertical="center"/>
    </xf>
    <xf numFmtId="0" fontId="1" fillId="0" borderId="2" xfId="0" applyFont="1" applyBorder="1" applyAlignment="1">
      <alignment horizontal="center" vertical="center" wrapText="1"/>
    </xf>
    <xf numFmtId="169" fontId="1" fillId="5" borderId="2" xfId="0" applyNumberFormat="1" applyFont="1" applyFill="1" applyBorder="1" applyAlignment="1">
      <alignment horizontal="center" vertical="center" wrapText="1"/>
    </xf>
    <xf numFmtId="0" fontId="1" fillId="0" borderId="2" xfId="0" applyFont="1" applyBorder="1" applyAlignment="1">
      <alignment horizontal="left"/>
    </xf>
    <xf numFmtId="0" fontId="1" fillId="2" borderId="2" xfId="0" applyFont="1" applyFill="1" applyBorder="1" applyAlignment="1">
      <alignment horizontal="left" vertical="top" wrapText="1"/>
    </xf>
    <xf numFmtId="0" fontId="10" fillId="0" borderId="7" xfId="0" applyFont="1" applyBorder="1" applyAlignment="1">
      <alignment horizontal="center" wrapText="1"/>
    </xf>
    <xf numFmtId="0" fontId="7" fillId="0" borderId="2" xfId="0" applyFont="1" applyBorder="1" applyAlignment="1">
      <alignment horizontal="left" vertical="center" wrapText="1"/>
    </xf>
    <xf numFmtId="10" fontId="1" fillId="2" borderId="2" xfId="0" applyNumberFormat="1" applyFont="1" applyFill="1" applyBorder="1" applyAlignment="1">
      <alignment horizontal="center" vertical="center"/>
    </xf>
    <xf numFmtId="10" fontId="1" fillId="2" borderId="3" xfId="0" applyNumberFormat="1" applyFont="1" applyFill="1" applyBorder="1" applyAlignment="1">
      <alignment horizontal="center" vertical="center"/>
    </xf>
    <xf numFmtId="10" fontId="1" fillId="2" borderId="4" xfId="0" applyNumberFormat="1" applyFont="1" applyFill="1" applyBorder="1" applyAlignment="1">
      <alignment horizontal="center" vertical="center"/>
    </xf>
    <xf numFmtId="10" fontId="1" fillId="2" borderId="5" xfId="0" applyNumberFormat="1" applyFont="1" applyFill="1" applyBorder="1" applyAlignment="1">
      <alignment horizontal="center" vertical="center"/>
    </xf>
    <xf numFmtId="0" fontId="1" fillId="2" borderId="2" xfId="0" applyFont="1" applyFill="1" applyBorder="1" applyAlignment="1">
      <alignment horizontal="center" vertical="center"/>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6" fillId="7" borderId="3" xfId="0" applyFont="1" applyFill="1" applyBorder="1" applyAlignment="1">
      <alignment horizontal="center"/>
    </xf>
    <xf numFmtId="0" fontId="6" fillId="7" borderId="5" xfId="0" applyFont="1" applyFill="1" applyBorder="1" applyAlignment="1">
      <alignment horizontal="center"/>
    </xf>
    <xf numFmtId="0" fontId="10" fillId="0" borderId="2" xfId="0" applyFont="1" applyBorder="1" applyAlignment="1">
      <alignment horizontal="center" vertical="center" wrapText="1"/>
    </xf>
    <xf numFmtId="14" fontId="1" fillId="2" borderId="2" xfId="0" applyNumberFormat="1" applyFont="1" applyFill="1" applyBorder="1" applyAlignment="1">
      <alignment horizontal="left" vertical="top" wrapText="1"/>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1" fillId="2" borderId="6" xfId="0" applyFont="1" applyFill="1" applyBorder="1" applyAlignment="1">
      <alignment horizontal="left"/>
    </xf>
    <xf numFmtId="0" fontId="1" fillId="2" borderId="7" xfId="0" applyFont="1" applyFill="1" applyBorder="1" applyAlignment="1">
      <alignment horizontal="left"/>
    </xf>
    <xf numFmtId="0" fontId="1" fillId="2" borderId="8" xfId="0" applyFont="1" applyFill="1" applyBorder="1" applyAlignment="1">
      <alignment horizontal="left"/>
    </xf>
    <xf numFmtId="0" fontId="1" fillId="2" borderId="9" xfId="0" applyFont="1" applyFill="1" applyBorder="1" applyAlignment="1">
      <alignment horizontal="left"/>
    </xf>
    <xf numFmtId="0" fontId="1" fillId="2" borderId="0" xfId="0" applyFont="1" applyFill="1" applyAlignment="1">
      <alignment horizontal="left"/>
    </xf>
    <xf numFmtId="0" fontId="1" fillId="2" borderId="10" xfId="0" applyFont="1" applyFill="1" applyBorder="1" applyAlignment="1">
      <alignment horizontal="left"/>
    </xf>
    <xf numFmtId="0" fontId="1" fillId="2" borderId="11" xfId="0" applyFont="1" applyFill="1" applyBorder="1" applyAlignment="1">
      <alignment horizontal="left"/>
    </xf>
    <xf numFmtId="0" fontId="1" fillId="2" borderId="12" xfId="0" applyFont="1" applyFill="1" applyBorder="1" applyAlignment="1">
      <alignment horizontal="left"/>
    </xf>
    <xf numFmtId="0" fontId="1" fillId="2" borderId="13" xfId="0" applyFont="1" applyFill="1" applyBorder="1" applyAlignment="1">
      <alignment horizontal="left"/>
    </xf>
    <xf numFmtId="0" fontId="1" fillId="2" borderId="6" xfId="0" applyFont="1" applyFill="1" applyBorder="1" applyAlignment="1">
      <alignment horizontal="left" vertical="top"/>
    </xf>
    <xf numFmtId="0" fontId="7" fillId="0" borderId="3" xfId="0" applyFont="1" applyBorder="1" applyAlignment="1">
      <alignment horizontal="left" vertical="center"/>
    </xf>
    <xf numFmtId="0" fontId="7" fillId="0" borderId="5" xfId="0" applyFont="1" applyBorder="1" applyAlignment="1">
      <alignment horizontal="left" vertical="center"/>
    </xf>
    <xf numFmtId="0" fontId="7" fillId="0" borderId="4" xfId="0" applyFont="1" applyBorder="1" applyAlignment="1">
      <alignment horizontal="left" vertical="center"/>
    </xf>
    <xf numFmtId="17" fontId="1" fillId="2" borderId="6" xfId="0" applyNumberFormat="1" applyFont="1" applyFill="1" applyBorder="1" applyAlignment="1">
      <alignment horizontal="left" vertical="top"/>
    </xf>
    <xf numFmtId="0" fontId="0" fillId="0" borderId="0" xfId="0" applyAlignment="1">
      <alignment wrapText="1"/>
    </xf>
    <xf numFmtId="0" fontId="2" fillId="0" borderId="0" xfId="0" applyFont="1" applyAlignment="1">
      <alignment vertical="top" wrapText="1"/>
    </xf>
    <xf numFmtId="0" fontId="36" fillId="0" borderId="2" xfId="0" applyFont="1" applyBorder="1" applyAlignment="1">
      <alignment vertical="top" wrapText="1"/>
    </xf>
    <xf numFmtId="0" fontId="0" fillId="0" borderId="2" xfId="0" applyBorder="1" applyAlignment="1">
      <alignment vertical="top" wrapText="1"/>
    </xf>
    <xf numFmtId="0" fontId="4" fillId="0" borderId="2" xfId="0" applyFont="1" applyBorder="1" applyAlignment="1">
      <alignment vertical="top" wrapText="1"/>
    </xf>
    <xf numFmtId="0" fontId="0" fillId="0" borderId="2" xfId="0" applyBorder="1" applyAlignment="1">
      <alignment vertical="top"/>
    </xf>
    <xf numFmtId="0" fontId="36" fillId="0" borderId="3" xfId="0" applyFont="1" applyBorder="1" applyAlignment="1">
      <alignment vertical="top" wrapText="1"/>
    </xf>
    <xf numFmtId="0" fontId="38" fillId="0" borderId="5" xfId="0" applyFont="1" applyBorder="1" applyAlignment="1">
      <alignment vertical="top" wrapText="1"/>
    </xf>
    <xf numFmtId="0" fontId="2" fillId="0" borderId="2" xfId="0" applyFont="1" applyBorder="1" applyAlignment="1">
      <alignment vertical="top" wrapText="1"/>
    </xf>
    <xf numFmtId="0" fontId="38" fillId="0" borderId="2" xfId="0" applyFont="1" applyBorder="1" applyAlignment="1">
      <alignment vertical="top" wrapText="1"/>
    </xf>
    <xf numFmtId="0" fontId="40" fillId="2" borderId="6" xfId="0" applyFont="1" applyFill="1" applyBorder="1" applyAlignment="1">
      <alignment horizontal="left" vertical="top" wrapText="1"/>
    </xf>
    <xf numFmtId="0" fontId="39" fillId="2" borderId="7" xfId="0" applyFont="1" applyFill="1" applyBorder="1" applyAlignment="1">
      <alignment horizontal="left" vertical="top" wrapText="1"/>
    </xf>
    <xf numFmtId="0" fontId="39" fillId="2" borderId="8" xfId="0" applyFont="1" applyFill="1" applyBorder="1" applyAlignment="1">
      <alignment horizontal="left" vertical="top" wrapText="1"/>
    </xf>
    <xf numFmtId="0" fontId="39" fillId="2" borderId="11" xfId="0" applyFont="1" applyFill="1" applyBorder="1" applyAlignment="1">
      <alignment horizontal="left" vertical="top" wrapText="1"/>
    </xf>
    <xf numFmtId="0" fontId="39" fillId="2" borderId="12" xfId="0" applyFont="1" applyFill="1" applyBorder="1" applyAlignment="1">
      <alignment horizontal="left" vertical="top" wrapText="1"/>
    </xf>
    <xf numFmtId="0" fontId="39" fillId="2" borderId="13" xfId="0" applyFont="1" applyFill="1" applyBorder="1" applyAlignment="1">
      <alignment horizontal="left" vertical="top" wrapText="1"/>
    </xf>
    <xf numFmtId="0" fontId="1" fillId="5" borderId="2" xfId="0" applyFont="1" applyFill="1" applyBorder="1" applyAlignment="1">
      <alignment horizontal="center" vertical="center" wrapText="1"/>
    </xf>
    <xf numFmtId="0" fontId="18" fillId="0" borderId="2" xfId="0" applyFont="1" applyBorder="1" applyAlignment="1">
      <alignment horizontal="left" vertical="center" wrapText="1"/>
    </xf>
    <xf numFmtId="0" fontId="19" fillId="2" borderId="2" xfId="0" applyFont="1" applyFill="1" applyBorder="1" applyAlignment="1">
      <alignment horizontal="left" vertical="top" wrapText="1"/>
    </xf>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 fillId="5" borderId="6" xfId="0" applyFont="1" applyFill="1" applyBorder="1" applyAlignment="1">
      <alignment horizontal="left" vertical="center" wrapText="1"/>
    </xf>
    <xf numFmtId="0" fontId="1" fillId="5" borderId="7" xfId="0" applyFont="1" applyFill="1" applyBorder="1" applyAlignment="1">
      <alignment horizontal="left" vertical="center" wrapText="1"/>
    </xf>
    <xf numFmtId="0" fontId="1" fillId="5" borderId="8" xfId="0" applyFont="1" applyFill="1" applyBorder="1" applyAlignment="1">
      <alignment horizontal="left" vertical="center" wrapText="1"/>
    </xf>
    <xf numFmtId="0" fontId="1" fillId="5" borderId="3" xfId="0" applyFont="1" applyFill="1" applyBorder="1" applyAlignment="1">
      <alignment horizontal="left" vertical="center" wrapText="1"/>
    </xf>
    <xf numFmtId="0" fontId="1" fillId="5" borderId="5" xfId="0" applyFont="1" applyFill="1" applyBorder="1" applyAlignment="1">
      <alignment horizontal="left" vertical="center" wrapText="1"/>
    </xf>
    <xf numFmtId="0" fontId="1" fillId="5" borderId="2" xfId="0" applyFont="1" applyFill="1" applyBorder="1" applyAlignment="1">
      <alignment horizontal="left" vertical="center" wrapText="1"/>
    </xf>
    <xf numFmtId="0" fontId="23" fillId="0" borderId="0" xfId="0" applyFont="1" applyAlignment="1">
      <alignment horizontal="left" vertical="top" wrapText="1"/>
    </xf>
    <xf numFmtId="17" fontId="1" fillId="2" borderId="6" xfId="0" applyNumberFormat="1" applyFont="1" applyFill="1" applyBorder="1" applyAlignment="1">
      <alignment horizontal="left" vertical="top" wrapText="1"/>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3"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2.4500000000000002</c:v>
                </c:pt>
                <c:pt idx="1">
                  <c:v>2.4</c:v>
                </c:pt>
                <c:pt idx="2">
                  <c:v>3.25</c:v>
                </c:pt>
                <c:pt idx="3">
                  <c:v>3.3</c:v>
                </c:pt>
                <c:pt idx="4">
                  <c:v>4</c:v>
                </c:pt>
                <c:pt idx="5">
                  <c:v>3.35</c:v>
                </c:pt>
                <c:pt idx="6">
                  <c:v>5.15</c:v>
                </c:pt>
                <c:pt idx="7">
                  <c:v>4.6500000000000004</c:v>
                </c:pt>
                <c:pt idx="8">
                  <c:v>4.8499999999999996</c:v>
                </c:pt>
                <c:pt idx="9" formatCode="0.00">
                  <c:v>3.2887096774193543</c:v>
                </c:pt>
                <c:pt idx="10" formatCode="0.00">
                  <c:v>4.5381666666666671</c:v>
                </c:pt>
                <c:pt idx="11" formatCode="0.00">
                  <c:v>2.5599272486772486</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8.0500000000000007</c:v>
                </c:pt>
                <c:pt idx="1">
                  <c:v>6.4499999999999993</c:v>
                </c:pt>
                <c:pt idx="2">
                  <c:v>9.8000000000000007</c:v>
                </c:pt>
                <c:pt idx="3">
                  <c:v>10.050000000000001</c:v>
                </c:pt>
                <c:pt idx="4">
                  <c:v>15.1</c:v>
                </c:pt>
                <c:pt idx="5">
                  <c:v>18.75</c:v>
                </c:pt>
                <c:pt idx="6">
                  <c:v>28.45</c:v>
                </c:pt>
                <c:pt idx="7">
                  <c:v>16.549999999999997</c:v>
                </c:pt>
                <c:pt idx="8">
                  <c:v>11.55</c:v>
                </c:pt>
                <c:pt idx="9">
                  <c:v>12.445</c:v>
                </c:pt>
                <c:pt idx="10">
                  <c:v>16.995000000000001</c:v>
                </c:pt>
                <c:pt idx="11">
                  <c:v>13.68</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2.4500000000000002</c:v>
                </c:pt>
                <c:pt idx="1">
                  <c:v>2.4</c:v>
                </c:pt>
                <c:pt idx="2">
                  <c:v>3.25</c:v>
                </c:pt>
                <c:pt idx="3">
                  <c:v>3.3</c:v>
                </c:pt>
                <c:pt idx="4">
                  <c:v>4</c:v>
                </c:pt>
                <c:pt idx="5">
                  <c:v>3.35</c:v>
                </c:pt>
                <c:pt idx="6">
                  <c:v>5.15</c:v>
                </c:pt>
                <c:pt idx="7">
                  <c:v>4.6500000000000004</c:v>
                </c:pt>
                <c:pt idx="8">
                  <c:v>4.8499999999999996</c:v>
                </c:pt>
                <c:pt idx="9" formatCode="0.00">
                  <c:v>3.2887096774193543</c:v>
                </c:pt>
                <c:pt idx="10" formatCode="0.00">
                  <c:v>4.5381666666666671</c:v>
                </c:pt>
                <c:pt idx="11" formatCode="0.00">
                  <c:v>2.5599272486772486</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3.95</c:v>
                </c:pt>
                <c:pt idx="1">
                  <c:v>4.0999999999999996</c:v>
                </c:pt>
                <c:pt idx="2">
                  <c:v>6.05</c:v>
                </c:pt>
                <c:pt idx="3">
                  <c:v>6.3</c:v>
                </c:pt>
                <c:pt idx="4">
                  <c:v>6.1</c:v>
                </c:pt>
                <c:pt idx="5">
                  <c:v>6.3000000000000007</c:v>
                </c:pt>
                <c:pt idx="6">
                  <c:v>7.3</c:v>
                </c:pt>
                <c:pt idx="7">
                  <c:v>6.7</c:v>
                </c:pt>
                <c:pt idx="8">
                  <c:v>6.7</c:v>
                </c:pt>
                <c:pt idx="9">
                  <c:v>5.665</c:v>
                </c:pt>
                <c:pt idx="10">
                  <c:v>7.0350000000000001</c:v>
                </c:pt>
                <c:pt idx="11">
                  <c:v>6.2850000000000001</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34.200000000000003</c:v>
                </c:pt>
                <c:pt idx="1">
                  <c:v>35.099999999999994</c:v>
                </c:pt>
                <c:pt idx="2">
                  <c:v>31.55</c:v>
                </c:pt>
                <c:pt idx="3">
                  <c:v>29.75</c:v>
                </c:pt>
                <c:pt idx="4">
                  <c:v>31.799999999999997</c:v>
                </c:pt>
                <c:pt idx="5">
                  <c:v>33.049999999999997</c:v>
                </c:pt>
                <c:pt idx="6">
                  <c:v>29.5</c:v>
                </c:pt>
                <c:pt idx="7">
                  <c:v>26.2</c:v>
                </c:pt>
                <c:pt idx="8">
                  <c:v>30.65</c:v>
                </c:pt>
                <c:pt idx="9">
                  <c:v>36.593548387096767</c:v>
                </c:pt>
                <c:pt idx="10">
                  <c:v>31.948333333333323</c:v>
                </c:pt>
                <c:pt idx="11">
                  <c:v>37.570965608465606</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309.64999999999998</c:v>
                </c:pt>
                <c:pt idx="1">
                  <c:v>146.35</c:v>
                </c:pt>
                <c:pt idx="2">
                  <c:v>129.64999999999998</c:v>
                </c:pt>
                <c:pt idx="3">
                  <c:v>85.95</c:v>
                </c:pt>
                <c:pt idx="4">
                  <c:v>89.300000000000011</c:v>
                </c:pt>
                <c:pt idx="5">
                  <c:v>125.5</c:v>
                </c:pt>
                <c:pt idx="6">
                  <c:v>129.44999999999999</c:v>
                </c:pt>
                <c:pt idx="7">
                  <c:v>66.25</c:v>
                </c:pt>
                <c:pt idx="8">
                  <c:v>75.349999999999994</c:v>
                </c:pt>
                <c:pt idx="9">
                  <c:v>112.9</c:v>
                </c:pt>
                <c:pt idx="10">
                  <c:v>154.30000000000001</c:v>
                </c:pt>
                <c:pt idx="11">
                  <c:v>106</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34.200000000000003</c:v>
                </c:pt>
                <c:pt idx="1">
                  <c:v>35.099999999999994</c:v>
                </c:pt>
                <c:pt idx="2">
                  <c:v>31.55</c:v>
                </c:pt>
                <c:pt idx="3">
                  <c:v>29.75</c:v>
                </c:pt>
                <c:pt idx="4">
                  <c:v>31.799999999999997</c:v>
                </c:pt>
                <c:pt idx="5">
                  <c:v>33.049999999999997</c:v>
                </c:pt>
                <c:pt idx="6">
                  <c:v>29.5</c:v>
                </c:pt>
                <c:pt idx="7">
                  <c:v>26.2</c:v>
                </c:pt>
                <c:pt idx="8">
                  <c:v>30.65</c:v>
                </c:pt>
                <c:pt idx="9">
                  <c:v>36.593548387096767</c:v>
                </c:pt>
                <c:pt idx="10">
                  <c:v>31.948333333333323</c:v>
                </c:pt>
                <c:pt idx="11">
                  <c:v>37.570965608465606</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41.6</c:v>
                </c:pt>
                <c:pt idx="1">
                  <c:v>40.35</c:v>
                </c:pt>
                <c:pt idx="2">
                  <c:v>40.1</c:v>
                </c:pt>
                <c:pt idx="3">
                  <c:v>38.15</c:v>
                </c:pt>
                <c:pt idx="4">
                  <c:v>35.299999999999997</c:v>
                </c:pt>
                <c:pt idx="5">
                  <c:v>42</c:v>
                </c:pt>
                <c:pt idx="6">
                  <c:v>38.1</c:v>
                </c:pt>
                <c:pt idx="7">
                  <c:v>35.049999999999997</c:v>
                </c:pt>
                <c:pt idx="8">
                  <c:v>38.950000000000003</c:v>
                </c:pt>
                <c:pt idx="9">
                  <c:v>41.55</c:v>
                </c:pt>
                <c:pt idx="10">
                  <c:v>40.4</c:v>
                </c:pt>
                <c:pt idx="11">
                  <c:v>50.5</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180</c:v>
                </c:pt>
                <c:pt idx="1">
                  <c:v>180.45</c:v>
                </c:pt>
                <c:pt idx="2">
                  <c:v>180.15</c:v>
                </c:pt>
                <c:pt idx="3">
                  <c:v>180.6</c:v>
                </c:pt>
                <c:pt idx="4">
                  <c:v>180.75</c:v>
                </c:pt>
                <c:pt idx="5">
                  <c:v>182.15</c:v>
                </c:pt>
                <c:pt idx="6">
                  <c:v>180.95</c:v>
                </c:pt>
                <c:pt idx="7">
                  <c:v>180.3</c:v>
                </c:pt>
                <c:pt idx="8">
                  <c:v>180.45</c:v>
                </c:pt>
                <c:pt idx="9">
                  <c:v>180.38064516129032</c:v>
                </c:pt>
                <c:pt idx="10">
                  <c:v>180.30500000000001</c:v>
                </c:pt>
                <c:pt idx="11">
                  <c:v>180.59861111111113</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205.45</c:v>
                </c:pt>
                <c:pt idx="1">
                  <c:v>238.7</c:v>
                </c:pt>
                <c:pt idx="2">
                  <c:v>262</c:v>
                </c:pt>
                <c:pt idx="3">
                  <c:v>277.89999999999998</c:v>
                </c:pt>
                <c:pt idx="4">
                  <c:v>208.5</c:v>
                </c:pt>
                <c:pt idx="5">
                  <c:v>256.14999999999998</c:v>
                </c:pt>
                <c:pt idx="6">
                  <c:v>246.05</c:v>
                </c:pt>
                <c:pt idx="7">
                  <c:v>257.60000000000002</c:v>
                </c:pt>
                <c:pt idx="8">
                  <c:v>245.95</c:v>
                </c:pt>
                <c:pt idx="9">
                  <c:v>260.2</c:v>
                </c:pt>
                <c:pt idx="10">
                  <c:v>237.75</c:v>
                </c:pt>
                <c:pt idx="11">
                  <c:v>274.89999999999998</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180</c:v>
                </c:pt>
                <c:pt idx="1">
                  <c:v>180.45</c:v>
                </c:pt>
                <c:pt idx="2">
                  <c:v>180.15</c:v>
                </c:pt>
                <c:pt idx="3">
                  <c:v>180.6</c:v>
                </c:pt>
                <c:pt idx="4">
                  <c:v>180.75</c:v>
                </c:pt>
                <c:pt idx="5">
                  <c:v>182.15</c:v>
                </c:pt>
                <c:pt idx="6">
                  <c:v>180.95</c:v>
                </c:pt>
                <c:pt idx="7">
                  <c:v>180.3</c:v>
                </c:pt>
                <c:pt idx="8">
                  <c:v>180.45</c:v>
                </c:pt>
                <c:pt idx="9">
                  <c:v>180.38064516129032</c:v>
                </c:pt>
                <c:pt idx="10">
                  <c:v>180.30500000000001</c:v>
                </c:pt>
                <c:pt idx="11">
                  <c:v>180.59861111111113</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180.85</c:v>
                </c:pt>
                <c:pt idx="1">
                  <c:v>184.45</c:v>
                </c:pt>
                <c:pt idx="2">
                  <c:v>183.95</c:v>
                </c:pt>
                <c:pt idx="3">
                  <c:v>184.35</c:v>
                </c:pt>
                <c:pt idx="4">
                  <c:v>184.45</c:v>
                </c:pt>
                <c:pt idx="5">
                  <c:v>192.05</c:v>
                </c:pt>
                <c:pt idx="6">
                  <c:v>188.75</c:v>
                </c:pt>
                <c:pt idx="7">
                  <c:v>185.45</c:v>
                </c:pt>
                <c:pt idx="8">
                  <c:v>184.14999999999998</c:v>
                </c:pt>
                <c:pt idx="9">
                  <c:v>187.5</c:v>
                </c:pt>
                <c:pt idx="10">
                  <c:v>186.15</c:v>
                </c:pt>
                <c:pt idx="11">
                  <c:v>188.35</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0.4</c:v>
                </c:pt>
                <c:pt idx="1">
                  <c:v>0.4</c:v>
                </c:pt>
                <c:pt idx="2">
                  <c:v>0.4</c:v>
                </c:pt>
                <c:pt idx="3">
                  <c:v>0.45</c:v>
                </c:pt>
                <c:pt idx="4">
                  <c:v>0.75</c:v>
                </c:pt>
                <c:pt idx="5">
                  <c:v>0.6</c:v>
                </c:pt>
                <c:pt idx="6">
                  <c:v>0.6</c:v>
                </c:pt>
                <c:pt idx="7">
                  <c:v>0.6</c:v>
                </c:pt>
                <c:pt idx="8">
                  <c:v>0.5</c:v>
                </c:pt>
                <c:pt idx="9">
                  <c:v>0.44354838709677424</c:v>
                </c:pt>
                <c:pt idx="10">
                  <c:v>0.9850000000000001</c:v>
                </c:pt>
                <c:pt idx="11">
                  <c:v>0.42757936507936523</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3.2</c:v>
                </c:pt>
                <c:pt idx="1">
                  <c:v>4.4000000000000004</c:v>
                </c:pt>
                <c:pt idx="2">
                  <c:v>7.95</c:v>
                </c:pt>
                <c:pt idx="3">
                  <c:v>9.2000000000000011</c:v>
                </c:pt>
                <c:pt idx="4">
                  <c:v>2</c:v>
                </c:pt>
                <c:pt idx="5">
                  <c:v>18.5</c:v>
                </c:pt>
                <c:pt idx="6">
                  <c:v>17</c:v>
                </c:pt>
                <c:pt idx="7">
                  <c:v>11.549999999999999</c:v>
                </c:pt>
                <c:pt idx="8">
                  <c:v>6.35</c:v>
                </c:pt>
                <c:pt idx="9">
                  <c:v>8.9499999999999993</c:v>
                </c:pt>
                <c:pt idx="10">
                  <c:v>81.75</c:v>
                </c:pt>
                <c:pt idx="11">
                  <c:v>4.45</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0.4</c:v>
                </c:pt>
                <c:pt idx="1">
                  <c:v>0.4</c:v>
                </c:pt>
                <c:pt idx="2">
                  <c:v>0.4</c:v>
                </c:pt>
                <c:pt idx="3">
                  <c:v>0.45</c:v>
                </c:pt>
                <c:pt idx="4">
                  <c:v>0.75</c:v>
                </c:pt>
                <c:pt idx="5">
                  <c:v>0.6</c:v>
                </c:pt>
                <c:pt idx="6">
                  <c:v>0.6</c:v>
                </c:pt>
                <c:pt idx="7">
                  <c:v>0.6</c:v>
                </c:pt>
                <c:pt idx="8">
                  <c:v>0.5</c:v>
                </c:pt>
                <c:pt idx="9">
                  <c:v>0.44354838709677424</c:v>
                </c:pt>
                <c:pt idx="10">
                  <c:v>0.9850000000000001</c:v>
                </c:pt>
                <c:pt idx="11">
                  <c:v>0.42757936507936523</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0.65</c:v>
                </c:pt>
                <c:pt idx="1">
                  <c:v>0.7</c:v>
                </c:pt>
                <c:pt idx="2">
                  <c:v>0.55000000000000004</c:v>
                </c:pt>
                <c:pt idx="3">
                  <c:v>0.8</c:v>
                </c:pt>
                <c:pt idx="4">
                  <c:v>1.1000000000000001</c:v>
                </c:pt>
                <c:pt idx="5">
                  <c:v>1.1000000000000001</c:v>
                </c:pt>
                <c:pt idx="6">
                  <c:v>0.95000000000000007</c:v>
                </c:pt>
                <c:pt idx="7">
                  <c:v>0.75</c:v>
                </c:pt>
                <c:pt idx="8">
                  <c:v>0.7</c:v>
                </c:pt>
                <c:pt idx="9">
                  <c:v>0.6</c:v>
                </c:pt>
                <c:pt idx="10">
                  <c:v>18.3</c:v>
                </c:pt>
                <c:pt idx="11">
                  <c:v>0.7</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1</c:v>
                </c:pt>
                <c:pt idx="1">
                  <c:v>1</c:v>
                </c:pt>
                <c:pt idx="2">
                  <c:v>1</c:v>
                </c:pt>
                <c:pt idx="3">
                  <c:v>0.95000000000000007</c:v>
                </c:pt>
                <c:pt idx="4">
                  <c:v>1.4</c:v>
                </c:pt>
                <c:pt idx="5">
                  <c:v>1.5</c:v>
                </c:pt>
                <c:pt idx="6">
                  <c:v>1.7000000000000002</c:v>
                </c:pt>
                <c:pt idx="7">
                  <c:v>1.85</c:v>
                </c:pt>
                <c:pt idx="8">
                  <c:v>1.9000000000000001</c:v>
                </c:pt>
                <c:pt idx="9">
                  <c:v>1.1967741935483867</c:v>
                </c:pt>
                <c:pt idx="10">
                  <c:v>1.0466666666666669</c:v>
                </c:pt>
                <c:pt idx="11">
                  <c:v>0.82830687830687832</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2.85</c:v>
                </c:pt>
                <c:pt idx="1">
                  <c:v>1.5</c:v>
                </c:pt>
                <c:pt idx="2">
                  <c:v>1.55</c:v>
                </c:pt>
                <c:pt idx="3">
                  <c:v>1.4</c:v>
                </c:pt>
                <c:pt idx="4">
                  <c:v>5.45</c:v>
                </c:pt>
                <c:pt idx="5">
                  <c:v>2.6</c:v>
                </c:pt>
                <c:pt idx="6">
                  <c:v>2.2999999999999998</c:v>
                </c:pt>
                <c:pt idx="7">
                  <c:v>2.3499999999999996</c:v>
                </c:pt>
                <c:pt idx="8">
                  <c:v>2.8</c:v>
                </c:pt>
                <c:pt idx="9">
                  <c:v>2.65</c:v>
                </c:pt>
                <c:pt idx="10">
                  <c:v>1.8</c:v>
                </c:pt>
                <c:pt idx="11">
                  <c:v>1.4</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1</c:v>
                </c:pt>
                <c:pt idx="1">
                  <c:v>1</c:v>
                </c:pt>
                <c:pt idx="2">
                  <c:v>1</c:v>
                </c:pt>
                <c:pt idx="3">
                  <c:v>0.95000000000000007</c:v>
                </c:pt>
                <c:pt idx="4">
                  <c:v>1.4</c:v>
                </c:pt>
                <c:pt idx="5">
                  <c:v>1.5</c:v>
                </c:pt>
                <c:pt idx="6">
                  <c:v>1.7000000000000002</c:v>
                </c:pt>
                <c:pt idx="7">
                  <c:v>1.85</c:v>
                </c:pt>
                <c:pt idx="8">
                  <c:v>1.9000000000000001</c:v>
                </c:pt>
                <c:pt idx="9">
                  <c:v>1.1967741935483867</c:v>
                </c:pt>
                <c:pt idx="10">
                  <c:v>1.0466666666666669</c:v>
                </c:pt>
                <c:pt idx="11">
                  <c:v>0.82830687830687832</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2</c:v>
                </c:pt>
                <c:pt idx="1">
                  <c:v>1.1000000000000001</c:v>
                </c:pt>
                <c:pt idx="2">
                  <c:v>1.35</c:v>
                </c:pt>
                <c:pt idx="3">
                  <c:v>1.25</c:v>
                </c:pt>
                <c:pt idx="4">
                  <c:v>1.9</c:v>
                </c:pt>
                <c:pt idx="5">
                  <c:v>1.9000000000000001</c:v>
                </c:pt>
                <c:pt idx="6">
                  <c:v>1.9</c:v>
                </c:pt>
                <c:pt idx="7">
                  <c:v>2</c:v>
                </c:pt>
                <c:pt idx="8">
                  <c:v>2</c:v>
                </c:pt>
                <c:pt idx="9">
                  <c:v>2.15</c:v>
                </c:pt>
                <c:pt idx="10">
                  <c:v>1.25</c:v>
                </c:pt>
                <c:pt idx="11">
                  <c:v>1.2</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0.00</c:formatCode>
                <c:ptCount val="12"/>
                <c:pt idx="0">
                  <c:v>3.0292789936065674</c:v>
                </c:pt>
                <c:pt idx="1">
                  <c:v>2.7805604934692383</c:v>
                </c:pt>
                <c:pt idx="2">
                  <c:v>2.7595510482788086</c:v>
                </c:pt>
                <c:pt idx="3">
                  <c:v>4.6353120803833008</c:v>
                </c:pt>
                <c:pt idx="4">
                  <c:v>48.109964847564697</c:v>
                </c:pt>
                <c:pt idx="5">
                  <c:v>25.304357528686523</c:v>
                </c:pt>
                <c:pt idx="6">
                  <c:v>18.666644096374512</c:v>
                </c:pt>
                <c:pt idx="7">
                  <c:v>14.009921312332153</c:v>
                </c:pt>
                <c:pt idx="8">
                  <c:v>9.4694819450378418</c:v>
                </c:pt>
                <c:pt idx="9">
                  <c:v>5.7138299942016602</c:v>
                </c:pt>
                <c:pt idx="10">
                  <c:v>10.176422595977783</c:v>
                </c:pt>
                <c:pt idx="11">
                  <c:v>28.357871055603027</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362.1</c:v>
                </c:pt>
                <c:pt idx="1">
                  <c:v>353.29999999999995</c:v>
                </c:pt>
                <c:pt idx="2">
                  <c:v>285.55</c:v>
                </c:pt>
                <c:pt idx="3">
                  <c:v>335.2</c:v>
                </c:pt>
                <c:pt idx="4">
                  <c:v>268</c:v>
                </c:pt>
                <c:pt idx="5">
                  <c:v>508.85</c:v>
                </c:pt>
                <c:pt idx="6">
                  <c:v>398.8</c:v>
                </c:pt>
                <c:pt idx="7">
                  <c:v>358.1</c:v>
                </c:pt>
                <c:pt idx="8">
                  <c:v>385.75</c:v>
                </c:pt>
                <c:pt idx="9">
                  <c:v>406</c:v>
                </c:pt>
                <c:pt idx="10">
                  <c:v>451.5</c:v>
                </c:pt>
                <c:pt idx="11">
                  <c:v>228</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pt idx="0">
                  <c:v>1</c:v>
                </c:pt>
                <c:pt idx="1">
                  <c:v>1</c:v>
                </c:pt>
                <c:pt idx="2">
                  <c:v>0.95</c:v>
                </c:pt>
                <c:pt idx="3">
                  <c:v>0.9</c:v>
                </c:pt>
                <c:pt idx="4">
                  <c:v>0.44999999999999996</c:v>
                </c:pt>
                <c:pt idx="5">
                  <c:v>1.6</c:v>
                </c:pt>
                <c:pt idx="6">
                  <c:v>2.25</c:v>
                </c:pt>
                <c:pt idx="7">
                  <c:v>1.75</c:v>
                </c:pt>
                <c:pt idx="8">
                  <c:v>2</c:v>
                </c:pt>
                <c:pt idx="9">
                  <c:v>2.15</c:v>
                </c:pt>
                <c:pt idx="10">
                  <c:v>2.35</c:v>
                </c:pt>
                <c:pt idx="11">
                  <c:v>1.7000000000000002</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3.25</c:v>
                </c:pt>
                <c:pt idx="1">
                  <c:v>3.25</c:v>
                </c:pt>
                <c:pt idx="2">
                  <c:v>3.75</c:v>
                </c:pt>
                <c:pt idx="3">
                  <c:v>3.75</c:v>
                </c:pt>
                <c:pt idx="4">
                  <c:v>1.7</c:v>
                </c:pt>
                <c:pt idx="5">
                  <c:v>9.15</c:v>
                </c:pt>
                <c:pt idx="6">
                  <c:v>7</c:v>
                </c:pt>
                <c:pt idx="7">
                  <c:v>6.85</c:v>
                </c:pt>
                <c:pt idx="8">
                  <c:v>6.9</c:v>
                </c:pt>
                <c:pt idx="9">
                  <c:v>4.5500000000000007</c:v>
                </c:pt>
                <c:pt idx="10">
                  <c:v>5.85</c:v>
                </c:pt>
                <c:pt idx="11">
                  <c:v>3.8</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438150</xdr:colOff>
          <xdr:row>8</xdr:row>
          <xdr:rowOff>114300</xdr:rowOff>
        </xdr:from>
        <xdr:to>
          <xdr:col>15</xdr:col>
          <xdr:colOff>285750</xdr:colOff>
          <xdr:row>11</xdr:row>
          <xdr:rowOff>19050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5</xdr:row>
          <xdr:rowOff>104775</xdr:rowOff>
        </xdr:from>
        <xdr:to>
          <xdr:col>15</xdr:col>
          <xdr:colOff>295275</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2</xdr:col>
      <xdr:colOff>102374</xdr:colOff>
      <xdr:row>0</xdr:row>
      <xdr:rowOff>0</xdr:rowOff>
    </xdr:from>
    <xdr:to>
      <xdr:col>6</xdr:col>
      <xdr:colOff>448683</xdr:colOff>
      <xdr:row>6</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93609" y="0"/>
          <a:ext cx="2811603"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xdr:row>
      <xdr:rowOff>190499</xdr:rowOff>
    </xdr:from>
    <xdr:to>
      <xdr:col>9</xdr:col>
      <xdr:colOff>8019</xdr:colOff>
      <xdr:row>24</xdr:row>
      <xdr:rowOff>190499</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19125" y="1333499"/>
          <a:ext cx="5313444" cy="3438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1</xdr:row>
          <xdr:rowOff>38100</xdr:rowOff>
        </xdr:from>
        <xdr:to>
          <xdr:col>8</xdr:col>
          <xdr:colOff>361950</xdr:colOff>
          <xdr:row>7</xdr:row>
          <xdr:rowOff>323850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james.clarke@suez.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A1:P54"/>
  <sheetViews>
    <sheetView tabSelected="1" topLeftCell="A10" zoomScale="85" zoomScaleNormal="85" zoomScaleSheetLayoutView="100" workbookViewId="0">
      <selection activeCell="C54" sqref="C54:D54"/>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4" width="9.28515625" style="2"/>
    <col min="15" max="15" width="9.28515625" style="2" customWidth="1"/>
    <col min="16" max="16384" width="9.28515625" style="2"/>
  </cols>
  <sheetData>
    <row r="1" spans="1:16">
      <c r="A1" s="92"/>
      <c r="B1" s="92"/>
      <c r="C1" s="92"/>
      <c r="D1" s="186" t="s">
        <v>0</v>
      </c>
      <c r="E1" s="186"/>
      <c r="F1" s="186"/>
      <c r="G1" s="186"/>
      <c r="H1" s="92"/>
      <c r="I1" s="92"/>
      <c r="J1" s="92"/>
      <c r="K1" s="92"/>
      <c r="L1" s="92"/>
      <c r="M1" s="92"/>
      <c r="N1" s="92"/>
      <c r="O1" s="92"/>
      <c r="P1" s="92"/>
    </row>
    <row r="2" spans="1:16">
      <c r="A2" s="92"/>
      <c r="B2" s="92"/>
      <c r="C2" s="92"/>
      <c r="D2" s="186"/>
      <c r="E2" s="186"/>
      <c r="F2" s="186"/>
      <c r="G2" s="186"/>
      <c r="H2" s="92"/>
      <c r="I2" s="92"/>
      <c r="J2" s="92"/>
      <c r="K2" s="92"/>
      <c r="L2" s="92"/>
      <c r="M2" s="92"/>
      <c r="N2" s="92" t="s">
        <v>1</v>
      </c>
      <c r="O2" s="92"/>
      <c r="P2" s="117"/>
    </row>
    <row r="3" spans="1:16">
      <c r="A3" s="92"/>
      <c r="B3" s="92"/>
      <c r="C3" s="92"/>
      <c r="D3" s="186"/>
      <c r="E3" s="186"/>
      <c r="F3" s="186"/>
      <c r="G3" s="198"/>
      <c r="H3" s="92"/>
      <c r="I3" s="92"/>
      <c r="J3" s="92"/>
      <c r="K3" s="92"/>
      <c r="L3" s="92"/>
      <c r="M3" s="92"/>
      <c r="N3" s="117"/>
      <c r="O3" s="92"/>
      <c r="P3" s="92"/>
    </row>
    <row r="4" spans="1:16">
      <c r="A4" s="92"/>
      <c r="B4" s="92"/>
      <c r="C4" s="92"/>
      <c r="D4" s="186"/>
      <c r="E4" s="186"/>
      <c r="F4" s="186"/>
      <c r="G4" s="186"/>
      <c r="H4" s="92"/>
      <c r="I4" s="92"/>
      <c r="J4" s="92"/>
      <c r="K4" s="92"/>
      <c r="L4" s="92"/>
      <c r="M4" s="92"/>
      <c r="N4" s="92"/>
      <c r="O4" s="92"/>
      <c r="P4" s="92"/>
    </row>
    <row r="5" spans="1:16">
      <c r="A5" s="118"/>
      <c r="B5" s="92"/>
      <c r="C5" s="92"/>
      <c r="D5" s="186"/>
      <c r="E5" s="186"/>
      <c r="F5" s="186"/>
      <c r="G5" s="186"/>
      <c r="H5" s="92"/>
      <c r="I5" s="92"/>
      <c r="J5" s="92"/>
      <c r="K5" s="92"/>
      <c r="L5" s="92"/>
      <c r="M5" s="92"/>
      <c r="N5" s="92"/>
      <c r="O5" s="92"/>
      <c r="P5" s="92"/>
    </row>
    <row r="6" spans="1:16">
      <c r="A6" s="92"/>
      <c r="B6" s="92"/>
      <c r="C6" s="92"/>
      <c r="D6" s="186"/>
      <c r="E6" s="186"/>
      <c r="F6" s="186"/>
      <c r="G6" s="186"/>
      <c r="H6" s="92"/>
      <c r="I6" s="92"/>
      <c r="J6" s="92"/>
      <c r="K6" s="92"/>
      <c r="L6" s="92"/>
      <c r="M6" s="92"/>
      <c r="N6" s="92"/>
      <c r="O6" s="92"/>
      <c r="P6" s="92"/>
    </row>
    <row r="8" spans="1:16" ht="15.75" customHeight="1">
      <c r="A8" s="92"/>
      <c r="B8" s="210" t="s">
        <v>2</v>
      </c>
      <c r="C8" s="210"/>
      <c r="D8" s="210"/>
      <c r="E8" s="210"/>
      <c r="F8" s="210"/>
      <c r="G8" s="210"/>
      <c r="H8" s="210"/>
      <c r="I8" s="210"/>
      <c r="J8" s="92"/>
      <c r="K8" s="92"/>
      <c r="L8" s="92"/>
      <c r="M8" s="92"/>
      <c r="N8" s="71"/>
      <c r="O8" s="92"/>
      <c r="P8" s="92"/>
    </row>
    <row r="9" spans="1:16">
      <c r="A9" s="92"/>
      <c r="B9" s="210"/>
      <c r="C9" s="210"/>
      <c r="D9" s="210"/>
      <c r="E9" s="210"/>
      <c r="F9" s="210"/>
      <c r="G9" s="210"/>
      <c r="H9" s="210"/>
      <c r="I9" s="210"/>
      <c r="J9" s="92"/>
      <c r="K9" s="92"/>
      <c r="L9" s="92"/>
      <c r="M9" s="92"/>
      <c r="N9" s="92"/>
      <c r="O9" s="92"/>
      <c r="P9" s="92"/>
    </row>
    <row r="10" spans="1:16">
      <c r="A10" s="92"/>
      <c r="B10" s="210"/>
      <c r="C10" s="210"/>
      <c r="D10" s="210"/>
      <c r="E10" s="210"/>
      <c r="F10" s="210"/>
      <c r="G10" s="210"/>
      <c r="H10" s="210"/>
      <c r="I10" s="210"/>
      <c r="J10" s="92"/>
      <c r="K10" s="92"/>
      <c r="L10" s="92"/>
      <c r="M10" s="92"/>
      <c r="N10" s="92"/>
      <c r="O10" s="92"/>
      <c r="P10" s="92"/>
    </row>
    <row r="11" spans="1:16">
      <c r="A11" s="92"/>
      <c r="B11" s="210"/>
      <c r="C11" s="210"/>
      <c r="D11" s="210"/>
      <c r="E11" s="210"/>
      <c r="F11" s="210"/>
      <c r="G11" s="210"/>
      <c r="H11" s="210"/>
      <c r="I11" s="210"/>
      <c r="J11" s="92"/>
      <c r="K11" s="92"/>
      <c r="L11" s="92"/>
      <c r="M11" s="92"/>
      <c r="N11" s="92"/>
      <c r="O11" s="92"/>
      <c r="P11" s="92"/>
    </row>
    <row r="12" spans="1:16">
      <c r="A12" s="92"/>
      <c r="B12" s="210"/>
      <c r="C12" s="210"/>
      <c r="D12" s="210"/>
      <c r="E12" s="210"/>
      <c r="F12" s="210"/>
      <c r="G12" s="210"/>
      <c r="H12" s="210"/>
      <c r="I12" s="210"/>
      <c r="J12" s="92"/>
      <c r="K12" s="92"/>
      <c r="L12" s="92"/>
      <c r="M12" s="92"/>
      <c r="N12" s="92"/>
      <c r="O12" s="92"/>
      <c r="P12" s="92"/>
    </row>
    <row r="13" spans="1:16">
      <c r="A13" s="92"/>
      <c r="B13" s="210"/>
      <c r="C13" s="210"/>
      <c r="D13" s="210"/>
      <c r="E13" s="210"/>
      <c r="F13" s="210"/>
      <c r="G13" s="210"/>
      <c r="H13" s="210"/>
      <c r="I13" s="210"/>
      <c r="J13" s="92"/>
      <c r="K13" s="92"/>
      <c r="L13" s="92"/>
      <c r="M13" s="92"/>
      <c r="N13" s="75" t="s">
        <v>3</v>
      </c>
      <c r="O13" s="73"/>
      <c r="P13" s="73"/>
    </row>
    <row r="14" spans="1:16" ht="15.6" customHeight="1">
      <c r="A14" s="92"/>
      <c r="B14" s="210"/>
      <c r="C14" s="210"/>
      <c r="D14" s="210"/>
      <c r="E14" s="210"/>
      <c r="F14" s="210"/>
      <c r="G14" s="210"/>
      <c r="H14" s="210"/>
      <c r="I14" s="210"/>
      <c r="J14" s="92"/>
      <c r="K14" s="92"/>
      <c r="L14" s="92"/>
      <c r="M14" s="92"/>
      <c r="N14" s="208" t="s">
        <v>4</v>
      </c>
      <c r="O14" s="208"/>
      <c r="P14" s="208"/>
    </row>
    <row r="15" spans="1:16">
      <c r="A15" s="92"/>
      <c r="B15" s="210"/>
      <c r="C15" s="210"/>
      <c r="D15" s="210"/>
      <c r="E15" s="210"/>
      <c r="F15" s="210"/>
      <c r="G15" s="210"/>
      <c r="H15" s="210"/>
      <c r="I15" s="210"/>
      <c r="J15" s="92"/>
      <c r="K15" s="92"/>
      <c r="L15" s="92"/>
      <c r="M15" s="92"/>
      <c r="N15" s="208"/>
      <c r="O15" s="208"/>
      <c r="P15" s="208"/>
    </row>
    <row r="16" spans="1:16">
      <c r="A16" s="92"/>
      <c r="B16" s="210"/>
      <c r="C16" s="210"/>
      <c r="D16" s="210"/>
      <c r="E16" s="210"/>
      <c r="F16" s="210"/>
      <c r="G16" s="210"/>
      <c r="H16" s="210"/>
      <c r="I16" s="210"/>
      <c r="J16" s="92"/>
      <c r="K16" s="92"/>
      <c r="L16" s="92"/>
      <c r="M16" s="92"/>
      <c r="N16" s="208"/>
      <c r="O16" s="208"/>
      <c r="P16" s="208"/>
    </row>
    <row r="17" spans="2:16">
      <c r="B17" s="210"/>
      <c r="C17" s="210"/>
      <c r="D17" s="210"/>
      <c r="E17" s="210"/>
      <c r="F17" s="210"/>
      <c r="G17" s="210"/>
      <c r="H17" s="210"/>
      <c r="I17" s="210"/>
      <c r="J17" s="92"/>
      <c r="K17" s="92"/>
      <c r="L17" s="92"/>
      <c r="M17" s="92"/>
      <c r="N17" s="208"/>
      <c r="O17" s="208"/>
      <c r="P17" s="208"/>
    </row>
    <row r="18" spans="2:16">
      <c r="B18" s="210"/>
      <c r="C18" s="210"/>
      <c r="D18" s="210"/>
      <c r="E18" s="210"/>
      <c r="F18" s="210"/>
      <c r="G18" s="210"/>
      <c r="H18" s="210"/>
      <c r="I18" s="210"/>
      <c r="J18" s="92"/>
      <c r="K18" s="92"/>
      <c r="L18" s="92"/>
      <c r="M18" s="92"/>
      <c r="N18" s="208"/>
      <c r="O18" s="208"/>
      <c r="P18" s="208"/>
    </row>
    <row r="19" spans="2:16">
      <c r="B19" s="210"/>
      <c r="C19" s="210"/>
      <c r="D19" s="210"/>
      <c r="E19" s="210"/>
      <c r="F19" s="210"/>
      <c r="G19" s="210"/>
      <c r="H19" s="210"/>
      <c r="I19" s="210"/>
      <c r="J19" s="92"/>
      <c r="K19" s="92"/>
      <c r="L19" s="92"/>
      <c r="M19" s="92"/>
      <c r="N19" s="208"/>
      <c r="O19" s="208"/>
      <c r="P19" s="208"/>
    </row>
    <row r="20" spans="2:16">
      <c r="B20" s="210"/>
      <c r="C20" s="210"/>
      <c r="D20" s="210"/>
      <c r="E20" s="210"/>
      <c r="F20" s="210"/>
      <c r="G20" s="210"/>
      <c r="H20" s="210"/>
      <c r="I20" s="210"/>
      <c r="J20" s="92"/>
      <c r="K20" s="92"/>
      <c r="L20" s="92"/>
      <c r="M20" s="92"/>
      <c r="N20" s="92"/>
      <c r="O20" s="92"/>
      <c r="P20" s="92"/>
    </row>
    <row r="21" spans="2:16">
      <c r="B21" s="210"/>
      <c r="C21" s="210"/>
      <c r="D21" s="210"/>
      <c r="E21" s="210"/>
      <c r="F21" s="210"/>
      <c r="G21" s="210"/>
      <c r="H21" s="210"/>
      <c r="I21" s="210"/>
      <c r="J21" s="92"/>
      <c r="K21" s="92"/>
      <c r="L21" s="92"/>
      <c r="M21" s="92"/>
      <c r="N21" s="92"/>
      <c r="O21" s="92"/>
      <c r="P21" s="92"/>
    </row>
    <row r="22" spans="2:16">
      <c r="B22" s="210"/>
      <c r="C22" s="210"/>
      <c r="D22" s="210"/>
      <c r="E22" s="210"/>
      <c r="F22" s="210"/>
      <c r="G22" s="210"/>
      <c r="H22" s="210"/>
      <c r="I22" s="210"/>
      <c r="J22" s="92"/>
      <c r="K22" s="92"/>
      <c r="L22" s="92"/>
      <c r="M22" s="92"/>
      <c r="N22" s="92"/>
      <c r="O22" s="92"/>
      <c r="P22" s="92"/>
    </row>
    <row r="23" spans="2:16">
      <c r="B23" s="210"/>
      <c r="C23" s="210"/>
      <c r="D23" s="210"/>
      <c r="E23" s="210"/>
      <c r="F23" s="210"/>
      <c r="G23" s="210"/>
      <c r="H23" s="210"/>
      <c r="I23" s="210"/>
      <c r="J23" s="92"/>
      <c r="K23" s="92"/>
      <c r="L23" s="92"/>
      <c r="M23" s="92"/>
      <c r="N23" s="92"/>
      <c r="O23" s="92"/>
      <c r="P23" s="92"/>
    </row>
    <row r="24" spans="2:16">
      <c r="B24" s="210"/>
      <c r="C24" s="210"/>
      <c r="D24" s="210"/>
      <c r="E24" s="210"/>
      <c r="F24" s="210"/>
      <c r="G24" s="210"/>
      <c r="H24" s="210"/>
      <c r="I24" s="210"/>
      <c r="J24" s="92"/>
      <c r="K24" s="92"/>
      <c r="L24" s="92"/>
      <c r="M24" s="92"/>
      <c r="N24" s="92"/>
      <c r="O24" s="92"/>
      <c r="P24" s="92"/>
    </row>
    <row r="29" spans="2:16" ht="18">
      <c r="B29" s="209" t="s">
        <v>5</v>
      </c>
      <c r="C29" s="209"/>
      <c r="D29" s="209"/>
      <c r="E29" s="209"/>
      <c r="F29" s="209"/>
      <c r="G29" s="209"/>
      <c r="H29" s="209"/>
      <c r="I29" s="209"/>
      <c r="J29" s="92"/>
      <c r="K29" s="92"/>
      <c r="L29" s="92"/>
      <c r="M29" s="92"/>
      <c r="N29" s="92"/>
      <c r="O29" s="92"/>
      <c r="P29" s="92"/>
    </row>
    <row r="30" spans="2:16" ht="18">
      <c r="B30" s="92"/>
      <c r="C30" s="7"/>
      <c r="D30" s="8"/>
      <c r="E30" s="8"/>
      <c r="F30" s="8"/>
      <c r="G30" s="8"/>
      <c r="H30" s="8"/>
      <c r="I30" s="8"/>
      <c r="J30" s="92"/>
      <c r="K30" s="92"/>
      <c r="L30" s="92"/>
      <c r="M30" s="92"/>
      <c r="N30" s="92"/>
      <c r="O30" s="92"/>
      <c r="P30" s="92"/>
    </row>
    <row r="31" spans="2:16" ht="18">
      <c r="B31" s="209" t="s">
        <v>6</v>
      </c>
      <c r="C31" s="209"/>
      <c r="D31" s="209"/>
      <c r="E31" s="209"/>
      <c r="F31" s="209"/>
      <c r="G31" s="209"/>
      <c r="H31" s="209"/>
      <c r="I31" s="209"/>
      <c r="J31" s="92"/>
      <c r="K31" s="92"/>
      <c r="L31" s="92"/>
      <c r="M31" s="92"/>
      <c r="N31" s="92"/>
      <c r="O31" s="92"/>
      <c r="P31" s="92"/>
    </row>
    <row r="32" spans="2:16" ht="18">
      <c r="B32" s="92"/>
      <c r="C32" s="7"/>
      <c r="D32" s="8"/>
      <c r="E32" s="8"/>
      <c r="F32" s="8"/>
      <c r="G32" s="8"/>
      <c r="H32" s="8"/>
      <c r="I32" s="8"/>
      <c r="J32" s="92"/>
      <c r="K32" s="92"/>
      <c r="L32" s="92"/>
      <c r="M32" s="92"/>
      <c r="N32" s="92"/>
      <c r="O32" s="92"/>
      <c r="P32" s="92"/>
    </row>
    <row r="33" spans="2:9" ht="18">
      <c r="B33" s="209" t="s">
        <v>7</v>
      </c>
      <c r="C33" s="209"/>
      <c r="D33" s="209"/>
      <c r="E33" s="209"/>
      <c r="F33" s="209"/>
      <c r="G33" s="209"/>
      <c r="H33" s="209"/>
      <c r="I33" s="209"/>
    </row>
    <row r="34" spans="2:9" ht="18">
      <c r="B34" s="92"/>
      <c r="C34" s="7"/>
      <c r="D34" s="8"/>
      <c r="E34" s="8"/>
      <c r="F34" s="8"/>
      <c r="G34" s="8"/>
      <c r="H34" s="8"/>
      <c r="I34" s="8"/>
    </row>
    <row r="35" spans="2:9" ht="18">
      <c r="B35" s="209"/>
      <c r="C35" s="209"/>
      <c r="D35" s="209"/>
      <c r="E35" s="209"/>
      <c r="F35" s="209"/>
      <c r="G35" s="209"/>
      <c r="H35" s="209"/>
      <c r="I35" s="209"/>
    </row>
    <row r="37" spans="2:9" ht="18">
      <c r="B37" s="209" t="s">
        <v>8</v>
      </c>
      <c r="C37" s="209"/>
      <c r="D37" s="209"/>
      <c r="E37" s="209"/>
      <c r="F37" s="209"/>
      <c r="G37" s="209"/>
      <c r="H37" s="209"/>
      <c r="I37" s="209"/>
    </row>
    <row r="39" spans="2:9">
      <c r="B39" s="92" t="s">
        <v>9</v>
      </c>
      <c r="C39" s="187">
        <v>2022</v>
      </c>
      <c r="D39" s="119"/>
      <c r="E39" s="119"/>
      <c r="F39" s="119"/>
      <c r="G39" s="119"/>
      <c r="H39" s="119"/>
      <c r="I39" s="119"/>
    </row>
    <row r="40" spans="2:9" ht="14.25" customHeight="1">
      <c r="B40" s="92"/>
      <c r="C40" s="119"/>
      <c r="D40" s="119"/>
      <c r="E40" s="119"/>
      <c r="F40" s="119"/>
      <c r="G40" s="119"/>
      <c r="H40" s="119"/>
      <c r="I40" s="119"/>
    </row>
    <row r="41" spans="2:9">
      <c r="B41" s="119" t="s">
        <v>10</v>
      </c>
      <c r="C41" s="213" t="s">
        <v>11</v>
      </c>
      <c r="D41" s="213"/>
      <c r="E41" s="213"/>
      <c r="F41" s="213"/>
      <c r="G41" s="213"/>
      <c r="H41" s="213"/>
      <c r="I41" s="213"/>
    </row>
    <row r="42" spans="2:9">
      <c r="B42" s="119"/>
      <c r="C42" s="119"/>
      <c r="D42" s="119"/>
      <c r="E42" s="119"/>
      <c r="F42" s="119"/>
      <c r="G42" s="119"/>
      <c r="H42" s="119"/>
      <c r="I42" s="119"/>
    </row>
    <row r="43" spans="2:9">
      <c r="B43" s="119" t="s">
        <v>12</v>
      </c>
      <c r="C43" s="213" t="s">
        <v>13</v>
      </c>
      <c r="D43" s="213"/>
      <c r="E43" s="213"/>
      <c r="F43" s="119"/>
      <c r="G43" s="119"/>
      <c r="H43" s="119"/>
      <c r="I43" s="119"/>
    </row>
    <row r="44" spans="2:9">
      <c r="B44" s="119"/>
      <c r="C44" s="92"/>
      <c r="D44" s="92"/>
      <c r="E44" s="92"/>
      <c r="F44" s="92"/>
      <c r="G44" s="92"/>
      <c r="H44" s="92"/>
      <c r="I44" s="92"/>
    </row>
    <row r="45" spans="2:9" ht="15.75">
      <c r="B45" s="119" t="s">
        <v>14</v>
      </c>
      <c r="C45" s="214" t="s">
        <v>15</v>
      </c>
      <c r="D45" s="213"/>
      <c r="E45" s="213"/>
      <c r="F45" s="92"/>
      <c r="G45" s="92"/>
      <c r="H45" s="92"/>
      <c r="I45" s="92"/>
    </row>
    <row r="46" spans="2:9">
      <c r="B46" s="119"/>
      <c r="C46" s="92"/>
      <c r="D46" s="92"/>
      <c r="E46" s="92"/>
      <c r="F46" s="92"/>
      <c r="G46" s="92"/>
      <c r="H46" s="92"/>
      <c r="I46" s="92"/>
    </row>
    <row r="47" spans="2:9">
      <c r="B47" s="119" t="s">
        <v>16</v>
      </c>
      <c r="C47" s="211" t="s">
        <v>17</v>
      </c>
      <c r="D47" s="211"/>
      <c r="E47" s="191"/>
      <c r="F47" s="191" t="s">
        <v>18</v>
      </c>
      <c r="G47" s="211" t="s">
        <v>19</v>
      </c>
      <c r="H47" s="211"/>
      <c r="I47" s="211"/>
    </row>
    <row r="48" spans="2:9">
      <c r="B48" s="119"/>
      <c r="C48" s="211" t="s">
        <v>20</v>
      </c>
      <c r="D48" s="211"/>
      <c r="E48" s="191"/>
      <c r="F48" s="191"/>
      <c r="G48" s="211" t="s">
        <v>21</v>
      </c>
      <c r="H48" s="211"/>
      <c r="I48" s="211"/>
    </row>
    <row r="49" spans="2:9">
      <c r="B49" s="119"/>
      <c r="C49" s="191"/>
      <c r="D49" s="191"/>
      <c r="E49" s="191"/>
      <c r="F49" s="191"/>
      <c r="G49" s="191"/>
      <c r="H49" s="191"/>
      <c r="I49" s="191"/>
    </row>
    <row r="50" spans="2:9">
      <c r="B50" s="119" t="s">
        <v>22</v>
      </c>
      <c r="C50" s="211" t="s">
        <v>23</v>
      </c>
      <c r="D50" s="211"/>
      <c r="E50" s="191"/>
      <c r="F50" s="191" t="s">
        <v>18</v>
      </c>
      <c r="G50" s="211" t="s">
        <v>24</v>
      </c>
      <c r="H50" s="211"/>
      <c r="I50" s="211"/>
    </row>
    <row r="51" spans="2:9">
      <c r="B51" s="119"/>
      <c r="C51" s="92"/>
      <c r="D51" s="92"/>
      <c r="E51" s="92"/>
      <c r="F51" s="92"/>
      <c r="G51" s="92"/>
      <c r="H51" s="92"/>
      <c r="I51" s="92"/>
    </row>
    <row r="52" spans="2:9">
      <c r="B52" s="119" t="s">
        <v>25</v>
      </c>
      <c r="C52" s="187">
        <v>3</v>
      </c>
      <c r="D52" s="92"/>
      <c r="E52" s="92"/>
      <c r="F52" s="92"/>
      <c r="G52" s="92"/>
      <c r="H52" s="92"/>
      <c r="I52" s="92"/>
    </row>
    <row r="53" spans="2:9">
      <c r="B53" s="119"/>
      <c r="C53" s="92"/>
      <c r="D53" s="92"/>
      <c r="E53" s="92"/>
      <c r="F53" s="92"/>
      <c r="G53" s="92"/>
      <c r="H53" s="92"/>
      <c r="I53" s="92"/>
    </row>
    <row r="54" spans="2:9">
      <c r="B54" s="119" t="s">
        <v>26</v>
      </c>
      <c r="C54" s="212">
        <v>45013</v>
      </c>
      <c r="D54" s="213"/>
      <c r="E54" s="92"/>
      <c r="F54" s="92"/>
      <c r="G54" s="92"/>
      <c r="H54" s="92"/>
      <c r="I54" s="92"/>
    </row>
  </sheetData>
  <mergeCells count="17">
    <mergeCell ref="C50:D50"/>
    <mergeCell ref="G50:I50"/>
    <mergeCell ref="C54:D54"/>
    <mergeCell ref="B37:I37"/>
    <mergeCell ref="C41:I41"/>
    <mergeCell ref="C43:E43"/>
    <mergeCell ref="C45:E45"/>
    <mergeCell ref="C47:D47"/>
    <mergeCell ref="G47:I47"/>
    <mergeCell ref="C48:D48"/>
    <mergeCell ref="G48:I48"/>
    <mergeCell ref="N14:P19"/>
    <mergeCell ref="B35:I35"/>
    <mergeCell ref="B8:I24"/>
    <mergeCell ref="B29:I29"/>
    <mergeCell ref="B31:I31"/>
    <mergeCell ref="B33:I33"/>
  </mergeCells>
  <hyperlinks>
    <hyperlink ref="C45" r:id="rId1" xr:uid="{22984A6E-B08E-4B83-9BF2-4A8DF9C2D067}"/>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438150</xdr:colOff>
                    <xdr:row>8</xdr:row>
                    <xdr:rowOff>114300</xdr:rowOff>
                  </from>
                  <to>
                    <xdr:col>15</xdr:col>
                    <xdr:colOff>285750</xdr:colOff>
                    <xdr:row>11</xdr:row>
                    <xdr:rowOff>19050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447675</xdr:colOff>
                    <xdr:row>5</xdr:row>
                    <xdr:rowOff>104775</xdr:rowOff>
                  </from>
                  <to>
                    <xdr:col>15</xdr:col>
                    <xdr:colOff>295275</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topLeftCell="A25" zoomScaleNormal="100" zoomScaleSheetLayoutView="85" workbookViewId="0">
      <selection activeCell="A32" sqref="A32"/>
    </sheetView>
  </sheetViews>
  <sheetFormatPr defaultColWidth="9.28515625" defaultRowHeight="15"/>
  <cols>
    <col min="1" max="1" width="9.28515625" style="2" customWidth="1"/>
    <col min="2" max="2" width="14.5703125" style="2" bestFit="1" customWidth="1"/>
    <col min="3" max="7" width="9.28515625" style="2"/>
    <col min="8" max="8" width="11.5703125" style="2" bestFit="1" customWidth="1"/>
    <col min="9" max="9" width="9.28515625" style="2"/>
    <col min="10" max="10" width="11.5703125" style="2" customWidth="1"/>
    <col min="11" max="16384" width="9.28515625" style="2"/>
  </cols>
  <sheetData>
    <row r="1" spans="1:15">
      <c r="A1" s="92" t="str">
        <f>+'Cover Page'!$B$29</f>
        <v>Annual Performance Report 2022</v>
      </c>
      <c r="B1" s="92"/>
      <c r="C1" s="92"/>
      <c r="D1" s="92"/>
      <c r="E1" s="92" t="str">
        <f>+'Cover Page'!$B$33</f>
        <v>Suffolk Energy from Waste Facility</v>
      </c>
      <c r="F1" s="92"/>
      <c r="G1" s="92"/>
      <c r="H1" s="92"/>
      <c r="I1" s="92"/>
      <c r="J1" s="92"/>
      <c r="K1" s="92"/>
      <c r="L1" s="92"/>
      <c r="M1" s="92"/>
      <c r="N1" s="92"/>
      <c r="O1" s="92"/>
    </row>
    <row r="3" spans="1:15" ht="15.75">
      <c r="A3" s="53" t="s">
        <v>27</v>
      </c>
      <c r="B3" s="120"/>
      <c r="C3" s="120"/>
      <c r="D3" s="120"/>
      <c r="E3" s="120"/>
      <c r="F3" s="120"/>
      <c r="G3" s="197"/>
      <c r="H3" s="121"/>
      <c r="I3" s="92"/>
      <c r="J3" s="92"/>
      <c r="K3" s="75" t="s">
        <v>3</v>
      </c>
      <c r="L3" s="92"/>
      <c r="M3" s="92"/>
      <c r="N3" s="92"/>
      <c r="O3" s="92"/>
    </row>
    <row r="4" spans="1:15" ht="15.75">
      <c r="A4" s="5" t="s">
        <v>28</v>
      </c>
      <c r="B4" s="216" t="s">
        <v>29</v>
      </c>
      <c r="C4" s="216"/>
      <c r="D4" s="216"/>
      <c r="E4" s="216"/>
      <c r="F4" s="216"/>
      <c r="G4" s="216"/>
      <c r="H4" s="6" t="s">
        <v>30</v>
      </c>
      <c r="I4" s="92"/>
      <c r="J4" s="92"/>
      <c r="K4" s="73" t="s">
        <v>31</v>
      </c>
      <c r="L4" s="92"/>
      <c r="M4" s="92"/>
      <c r="N4" s="92"/>
      <c r="O4" s="92"/>
    </row>
    <row r="5" spans="1:15" ht="15.6" customHeight="1">
      <c r="A5" s="114"/>
      <c r="B5" s="215" t="s">
        <v>32</v>
      </c>
      <c r="C5" s="215"/>
      <c r="D5" s="215"/>
      <c r="E5" s="215"/>
      <c r="F5" s="215"/>
      <c r="G5" s="215"/>
      <c r="H5" s="4"/>
      <c r="I5" s="92"/>
      <c r="J5" s="92"/>
      <c r="K5" s="208" t="s">
        <v>33</v>
      </c>
      <c r="L5" s="208"/>
      <c r="M5" s="208"/>
      <c r="N5" s="208"/>
      <c r="O5" s="208"/>
    </row>
    <row r="6" spans="1:15">
      <c r="A6" s="4"/>
      <c r="B6" s="215" t="s">
        <v>34</v>
      </c>
      <c r="C6" s="215"/>
      <c r="D6" s="215"/>
      <c r="E6" s="215"/>
      <c r="F6" s="215"/>
      <c r="G6" s="215"/>
      <c r="H6" s="4"/>
      <c r="I6" s="92"/>
      <c r="J6" s="92"/>
      <c r="K6" s="208"/>
      <c r="L6" s="208"/>
      <c r="M6" s="208"/>
      <c r="N6" s="208"/>
      <c r="O6" s="208"/>
    </row>
    <row r="7" spans="1:15" ht="15.75" customHeight="1">
      <c r="A7" s="4"/>
      <c r="B7" s="215" t="s">
        <v>35</v>
      </c>
      <c r="C7" s="215"/>
      <c r="D7" s="215"/>
      <c r="E7" s="215"/>
      <c r="F7" s="215"/>
      <c r="G7" s="215"/>
      <c r="H7" s="4"/>
      <c r="I7" s="92"/>
      <c r="J7" s="92"/>
      <c r="K7" s="208"/>
      <c r="L7" s="208"/>
      <c r="M7" s="208"/>
      <c r="N7" s="208"/>
      <c r="O7" s="208"/>
    </row>
    <row r="8" spans="1:15">
      <c r="A8" s="4"/>
      <c r="B8" s="215" t="s">
        <v>36</v>
      </c>
      <c r="C8" s="215"/>
      <c r="D8" s="215"/>
      <c r="E8" s="215"/>
      <c r="F8" s="215"/>
      <c r="G8" s="215"/>
      <c r="H8" s="4"/>
      <c r="I8" s="92"/>
      <c r="J8" s="92"/>
      <c r="K8" s="208"/>
      <c r="L8" s="208"/>
      <c r="M8" s="208"/>
      <c r="N8" s="208"/>
      <c r="O8" s="208"/>
    </row>
    <row r="9" spans="1:15">
      <c r="A9" s="4"/>
      <c r="B9" s="215" t="s">
        <v>37</v>
      </c>
      <c r="C9" s="215"/>
      <c r="D9" s="215"/>
      <c r="E9" s="215"/>
      <c r="F9" s="215"/>
      <c r="G9" s="215"/>
      <c r="H9" s="4"/>
      <c r="I9" s="92"/>
      <c r="J9" s="92"/>
      <c r="K9" s="92"/>
      <c r="L9" s="92"/>
      <c r="M9" s="92"/>
      <c r="N9" s="92"/>
      <c r="O9" s="92"/>
    </row>
    <row r="10" spans="1:15">
      <c r="A10" s="4"/>
      <c r="B10" s="215" t="s">
        <v>38</v>
      </c>
      <c r="C10" s="215"/>
      <c r="D10" s="215"/>
      <c r="E10" s="215"/>
      <c r="F10" s="215"/>
      <c r="G10" s="215"/>
      <c r="H10" s="4"/>
      <c r="I10" s="92"/>
      <c r="J10" s="92"/>
      <c r="K10" s="92"/>
      <c r="L10" s="92"/>
      <c r="M10" s="92"/>
      <c r="N10" s="92"/>
      <c r="O10" s="92"/>
    </row>
    <row r="11" spans="1:15">
      <c r="A11" s="4"/>
      <c r="B11" s="215" t="s">
        <v>39</v>
      </c>
      <c r="C11" s="215"/>
      <c r="D11" s="215"/>
      <c r="E11" s="215"/>
      <c r="F11" s="215"/>
      <c r="G11" s="215"/>
      <c r="H11" s="4"/>
      <c r="I11" s="92"/>
      <c r="J11" s="92"/>
      <c r="K11" s="92"/>
      <c r="L11" s="92"/>
      <c r="M11" s="92"/>
      <c r="N11" s="92"/>
      <c r="O11" s="92"/>
    </row>
    <row r="12" spans="1:15">
      <c r="A12" s="4"/>
      <c r="B12" s="215" t="s">
        <v>40</v>
      </c>
      <c r="C12" s="215"/>
      <c r="D12" s="215"/>
      <c r="E12" s="215"/>
      <c r="F12" s="215"/>
      <c r="G12" s="215"/>
      <c r="H12" s="4"/>
      <c r="I12" s="92"/>
      <c r="J12" s="92"/>
      <c r="K12" s="92"/>
      <c r="L12" s="92"/>
      <c r="M12" s="92"/>
      <c r="N12" s="92"/>
      <c r="O12" s="92"/>
    </row>
    <row r="13" spans="1:15" ht="15.75">
      <c r="A13" s="4"/>
      <c r="B13" s="217" t="s">
        <v>41</v>
      </c>
      <c r="C13" s="218"/>
      <c r="D13" s="218"/>
      <c r="E13" s="218"/>
      <c r="F13" s="218"/>
      <c r="G13" s="219"/>
      <c r="H13" s="4"/>
      <c r="I13" s="92"/>
      <c r="J13" s="92"/>
      <c r="K13" s="92"/>
      <c r="L13" s="92"/>
      <c r="M13" s="92"/>
      <c r="N13" s="92"/>
      <c r="O13" s="92"/>
    </row>
    <row r="14" spans="1:15">
      <c r="A14" s="4"/>
      <c r="B14" s="215" t="s">
        <v>42</v>
      </c>
      <c r="C14" s="215"/>
      <c r="D14" s="215"/>
      <c r="E14" s="215"/>
      <c r="F14" s="215"/>
      <c r="G14" s="215"/>
      <c r="H14" s="4"/>
      <c r="I14" s="92"/>
      <c r="J14" s="92"/>
      <c r="K14" s="92"/>
      <c r="L14" s="92"/>
      <c r="M14" s="92"/>
      <c r="N14" s="92"/>
      <c r="O14" s="92"/>
    </row>
    <row r="15" spans="1:15">
      <c r="A15" s="4"/>
      <c r="B15" s="215" t="s">
        <v>43</v>
      </c>
      <c r="C15" s="215"/>
      <c r="D15" s="215"/>
      <c r="E15" s="215"/>
      <c r="F15" s="215"/>
      <c r="G15" s="215"/>
      <c r="H15" s="4"/>
      <c r="I15" s="92"/>
      <c r="J15" s="92"/>
      <c r="K15" s="92"/>
      <c r="L15" s="92"/>
      <c r="M15" s="92"/>
      <c r="N15" s="92"/>
      <c r="O15" s="92"/>
    </row>
    <row r="16" spans="1:15">
      <c r="A16" s="4"/>
      <c r="B16" s="215" t="s">
        <v>44</v>
      </c>
      <c r="C16" s="215"/>
      <c r="D16" s="215"/>
      <c r="E16" s="215"/>
      <c r="F16" s="215"/>
      <c r="G16" s="215"/>
      <c r="H16" s="4"/>
      <c r="I16" s="92"/>
      <c r="J16" s="92"/>
      <c r="K16" s="92"/>
      <c r="L16" s="92"/>
      <c r="M16" s="92"/>
      <c r="N16" s="92"/>
      <c r="O16" s="92"/>
    </row>
    <row r="17" spans="1:8">
      <c r="A17" s="4"/>
      <c r="B17" s="215" t="s">
        <v>45</v>
      </c>
      <c r="C17" s="215"/>
      <c r="D17" s="215"/>
      <c r="E17" s="215"/>
      <c r="F17" s="215"/>
      <c r="G17" s="215"/>
      <c r="H17" s="4"/>
    </row>
    <row r="18" spans="1:8">
      <c r="A18" s="4"/>
      <c r="B18" s="215" t="s">
        <v>46</v>
      </c>
      <c r="C18" s="215"/>
      <c r="D18" s="215"/>
      <c r="E18" s="215"/>
      <c r="F18" s="215"/>
      <c r="G18" s="215"/>
      <c r="H18" s="4"/>
    </row>
    <row r="19" spans="1:8">
      <c r="A19" s="4"/>
      <c r="B19" s="215" t="s">
        <v>47</v>
      </c>
      <c r="C19" s="215"/>
      <c r="D19" s="215"/>
      <c r="E19" s="215"/>
      <c r="F19" s="215"/>
      <c r="G19" s="215"/>
      <c r="H19" s="4"/>
    </row>
    <row r="20" spans="1:8">
      <c r="A20" s="4"/>
      <c r="B20" s="215" t="s">
        <v>48</v>
      </c>
      <c r="C20" s="215"/>
      <c r="D20" s="215"/>
      <c r="E20" s="215"/>
      <c r="F20" s="215"/>
      <c r="G20" s="215"/>
      <c r="H20" s="4"/>
    </row>
    <row r="21" spans="1:8">
      <c r="A21" s="4"/>
      <c r="B21" s="215" t="s">
        <v>49</v>
      </c>
      <c r="C21" s="215"/>
      <c r="D21" s="215"/>
      <c r="E21" s="215"/>
      <c r="F21" s="215"/>
      <c r="G21" s="215"/>
      <c r="H21" s="4"/>
    </row>
    <row r="22" spans="1:8">
      <c r="A22" s="4"/>
      <c r="B22" s="215" t="s">
        <v>50</v>
      </c>
      <c r="C22" s="215"/>
      <c r="D22" s="215"/>
      <c r="E22" s="215"/>
      <c r="F22" s="215"/>
      <c r="G22" s="215"/>
      <c r="H22" s="4"/>
    </row>
    <row r="23" spans="1:8">
      <c r="A23" s="4"/>
      <c r="B23" s="221" t="s">
        <v>51</v>
      </c>
      <c r="C23" s="222"/>
      <c r="D23" s="222"/>
      <c r="E23" s="222"/>
      <c r="F23" s="222"/>
      <c r="G23" s="223"/>
      <c r="H23" s="4"/>
    </row>
    <row r="24" spans="1:8">
      <c r="A24" s="4"/>
      <c r="B24" s="224"/>
      <c r="C24" s="224"/>
      <c r="D24" s="224"/>
      <c r="E24" s="224"/>
      <c r="F24" s="224"/>
      <c r="G24" s="224"/>
      <c r="H24" s="4"/>
    </row>
    <row r="25" spans="1:8">
      <c r="A25" s="4"/>
      <c r="B25" s="224"/>
      <c r="C25" s="224"/>
      <c r="D25" s="224"/>
      <c r="E25" s="224"/>
      <c r="F25" s="224"/>
      <c r="G25" s="224"/>
      <c r="H25" s="4"/>
    </row>
    <row r="27" spans="1:8" ht="15.75">
      <c r="A27" s="52" t="s">
        <v>52</v>
      </c>
      <c r="B27" s="120"/>
      <c r="C27" s="120"/>
      <c r="D27" s="120"/>
      <c r="E27" s="120"/>
      <c r="F27" s="120"/>
      <c r="G27" s="120"/>
      <c r="H27" s="121"/>
    </row>
    <row r="28" spans="1:8">
      <c r="A28" s="10" t="s">
        <v>28</v>
      </c>
      <c r="B28" s="225" t="s">
        <v>53</v>
      </c>
      <c r="C28" s="225"/>
      <c r="D28" s="225"/>
      <c r="E28" s="225"/>
      <c r="F28" s="225"/>
      <c r="G28" s="225"/>
      <c r="H28" s="11" t="s">
        <v>54</v>
      </c>
    </row>
    <row r="29" spans="1:8">
      <c r="A29" s="122">
        <v>1</v>
      </c>
      <c r="B29" s="226" t="s">
        <v>55</v>
      </c>
      <c r="C29" s="226"/>
      <c r="D29" s="226"/>
      <c r="E29" s="226"/>
      <c r="F29" s="226"/>
      <c r="G29" s="226"/>
      <c r="H29" s="123"/>
    </row>
    <row r="30" spans="1:8">
      <c r="A30" s="122">
        <v>2</v>
      </c>
      <c r="B30" s="226" t="s">
        <v>56</v>
      </c>
      <c r="C30" s="226"/>
      <c r="D30" s="226"/>
      <c r="E30" s="226"/>
      <c r="F30" s="226"/>
      <c r="G30" s="226"/>
      <c r="H30" s="123">
        <v>44981</v>
      </c>
    </row>
    <row r="31" spans="1:8">
      <c r="A31" s="122">
        <v>3</v>
      </c>
      <c r="B31" s="226" t="s">
        <v>57</v>
      </c>
      <c r="C31" s="226"/>
      <c r="D31" s="226"/>
      <c r="E31" s="226"/>
      <c r="F31" s="226"/>
      <c r="G31" s="226"/>
      <c r="H31" s="123">
        <v>45013</v>
      </c>
    </row>
    <row r="32" spans="1:8">
      <c r="A32" s="122"/>
      <c r="B32" s="226"/>
      <c r="C32" s="226"/>
      <c r="D32" s="226"/>
      <c r="E32" s="226"/>
      <c r="F32" s="226"/>
      <c r="G32" s="226"/>
      <c r="H32" s="122"/>
    </row>
    <row r="33" spans="1:10">
      <c r="A33" s="122"/>
      <c r="B33" s="226"/>
      <c r="C33" s="226"/>
      <c r="D33" s="226"/>
      <c r="E33" s="226"/>
      <c r="F33" s="226"/>
      <c r="G33" s="226"/>
      <c r="H33" s="122"/>
      <c r="I33" s="92"/>
      <c r="J33" s="92"/>
    </row>
    <row r="35" spans="1:10" ht="14.25" customHeight="1">
      <c r="A35" s="52" t="s">
        <v>58</v>
      </c>
      <c r="B35" s="120"/>
      <c r="C35" s="120"/>
      <c r="D35" s="120"/>
      <c r="E35" s="120"/>
      <c r="F35" s="120"/>
      <c r="G35" s="120"/>
      <c r="H35" s="121"/>
      <c r="I35" s="92"/>
      <c r="J35" s="92"/>
    </row>
    <row r="36" spans="1:10">
      <c r="A36" s="13" t="s">
        <v>59</v>
      </c>
      <c r="B36" s="227" t="s">
        <v>60</v>
      </c>
      <c r="C36" s="227"/>
      <c r="D36" s="227"/>
      <c r="E36" s="227"/>
      <c r="F36" s="227"/>
      <c r="G36" s="227"/>
      <c r="H36" s="14" t="s">
        <v>61</v>
      </c>
      <c r="I36" s="92"/>
      <c r="J36" s="92"/>
    </row>
    <row r="37" spans="1:10">
      <c r="A37" s="124"/>
      <c r="B37" s="220"/>
      <c r="C37" s="220"/>
      <c r="D37" s="220"/>
      <c r="E37" s="220"/>
      <c r="F37" s="220"/>
      <c r="G37" s="220"/>
      <c r="H37" s="124"/>
      <c r="I37" s="92"/>
      <c r="J37" s="92"/>
    </row>
    <row r="38" spans="1:10">
      <c r="A38" s="124"/>
      <c r="B38" s="220"/>
      <c r="C38" s="220"/>
      <c r="D38" s="220"/>
      <c r="E38" s="220"/>
      <c r="F38" s="220"/>
      <c r="G38" s="220"/>
      <c r="H38" s="124"/>
      <c r="I38" s="92"/>
      <c r="J38" s="92"/>
    </row>
    <row r="39" spans="1:10">
      <c r="A39" s="124"/>
      <c r="B39" s="220"/>
      <c r="C39" s="220"/>
      <c r="D39" s="220"/>
      <c r="E39" s="220"/>
      <c r="F39" s="220"/>
      <c r="G39" s="220"/>
      <c r="H39" s="124"/>
      <c r="I39" s="92"/>
      <c r="J39" s="92"/>
    </row>
    <row r="40" spans="1:10">
      <c r="A40" s="124"/>
      <c r="B40" s="220"/>
      <c r="C40" s="220"/>
      <c r="D40" s="220"/>
      <c r="E40" s="220"/>
      <c r="F40" s="220"/>
      <c r="G40" s="220"/>
      <c r="H40" s="124"/>
      <c r="I40" s="92"/>
      <c r="J40" s="92"/>
    </row>
    <row r="41" spans="1:10">
      <c r="A41" s="124"/>
      <c r="B41" s="220"/>
      <c r="C41" s="220"/>
      <c r="D41" s="220"/>
      <c r="E41" s="220"/>
      <c r="F41" s="220"/>
      <c r="G41" s="220"/>
      <c r="H41" s="124"/>
      <c r="I41" s="92"/>
      <c r="J41" s="92"/>
    </row>
    <row r="42" spans="1:10">
      <c r="A42" s="124"/>
      <c r="B42" s="220"/>
      <c r="C42" s="220"/>
      <c r="D42" s="220"/>
      <c r="E42" s="220"/>
      <c r="F42" s="220"/>
      <c r="G42" s="220"/>
      <c r="H42" s="124"/>
      <c r="I42" s="92"/>
      <c r="J42" s="92"/>
    </row>
    <row r="43" spans="1:10">
      <c r="A43" s="124"/>
      <c r="B43" s="220"/>
      <c r="C43" s="220"/>
      <c r="D43" s="220"/>
      <c r="E43" s="220"/>
      <c r="F43" s="220"/>
      <c r="G43" s="220"/>
      <c r="H43" s="124"/>
      <c r="I43" s="92"/>
      <c r="J43" s="92"/>
    </row>
    <row r="45" spans="1:10">
      <c r="A45" s="228" t="s">
        <v>62</v>
      </c>
      <c r="B45" s="229"/>
      <c r="C45" s="229"/>
      <c r="D45" s="229"/>
      <c r="E45" s="229"/>
      <c r="F45" s="229"/>
      <c r="G45" s="229"/>
      <c r="H45" s="229"/>
      <c r="I45" s="229"/>
      <c r="J45" s="230"/>
    </row>
    <row r="46" spans="1:10">
      <c r="A46" s="231"/>
      <c r="B46" s="232"/>
      <c r="C46" s="232"/>
      <c r="D46" s="232"/>
      <c r="E46" s="232"/>
      <c r="F46" s="232"/>
      <c r="G46" s="232"/>
      <c r="H46" s="232"/>
      <c r="I46" s="232"/>
      <c r="J46" s="233"/>
    </row>
    <row r="47" spans="1:10">
      <c r="A47" s="231"/>
      <c r="B47" s="232"/>
      <c r="C47" s="232"/>
      <c r="D47" s="232"/>
      <c r="E47" s="232"/>
      <c r="F47" s="232"/>
      <c r="G47" s="232"/>
      <c r="H47" s="232"/>
      <c r="I47" s="232"/>
      <c r="J47" s="233"/>
    </row>
    <row r="48" spans="1:10">
      <c r="A48" s="234"/>
      <c r="B48" s="235"/>
      <c r="C48" s="235"/>
      <c r="D48" s="235"/>
      <c r="E48" s="235"/>
      <c r="F48" s="235"/>
      <c r="G48" s="235"/>
      <c r="H48" s="235"/>
      <c r="I48" s="235"/>
      <c r="J48" s="236"/>
    </row>
    <row r="66" spans="6:6">
      <c r="F66" s="3"/>
    </row>
  </sheetData>
  <mergeCells count="38">
    <mergeCell ref="A45:J48"/>
    <mergeCell ref="B38:G38"/>
    <mergeCell ref="B39:G39"/>
    <mergeCell ref="B40:G40"/>
    <mergeCell ref="B41:G41"/>
    <mergeCell ref="B42:G42"/>
    <mergeCell ref="B43:G43"/>
    <mergeCell ref="B37:G37"/>
    <mergeCell ref="B23:G23"/>
    <mergeCell ref="B24:G24"/>
    <mergeCell ref="B25:G25"/>
    <mergeCell ref="B28:G28"/>
    <mergeCell ref="B29:G29"/>
    <mergeCell ref="B30:G30"/>
    <mergeCell ref="B31:G31"/>
    <mergeCell ref="B32:G32"/>
    <mergeCell ref="B33:G33"/>
    <mergeCell ref="B36:G36"/>
    <mergeCell ref="B22:G22"/>
    <mergeCell ref="B10:G10"/>
    <mergeCell ref="B11:G11"/>
    <mergeCell ref="B12:G12"/>
    <mergeCell ref="B14:G14"/>
    <mergeCell ref="B15:G15"/>
    <mergeCell ref="B16:G16"/>
    <mergeCell ref="B17:G17"/>
    <mergeCell ref="B18:G18"/>
    <mergeCell ref="B19:G19"/>
    <mergeCell ref="B20:G20"/>
    <mergeCell ref="B21:G21"/>
    <mergeCell ref="B13:G13"/>
    <mergeCell ref="K5:O8"/>
    <mergeCell ref="B9:G9"/>
    <mergeCell ref="B4:G4"/>
    <mergeCell ref="B5:G5"/>
    <mergeCell ref="B6:G6"/>
    <mergeCell ref="B7:G7"/>
    <mergeCell ref="B8:G8"/>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zoomScaleNormal="100" zoomScaleSheetLayoutView="100" workbookViewId="0">
      <selection activeCell="K22" sqref="K22:N31"/>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2" t="str">
        <f>+'Cover Page'!$B$29</f>
        <v>Annual Performance Report 2022</v>
      </c>
      <c r="B1" s="92"/>
      <c r="C1" s="92"/>
      <c r="D1" s="92"/>
      <c r="E1" s="92" t="str">
        <f>+'Cover Page'!$B$33</f>
        <v>Suffolk Energy from Waste Facility</v>
      </c>
      <c r="F1" s="92"/>
      <c r="G1" s="92"/>
      <c r="H1" s="92"/>
      <c r="I1" s="92"/>
      <c r="J1" s="92"/>
      <c r="K1" s="92"/>
      <c r="L1" s="92"/>
      <c r="M1" s="92"/>
      <c r="N1" s="92"/>
    </row>
    <row r="3" spans="1:14" ht="15.75">
      <c r="A3" s="51" t="s">
        <v>63</v>
      </c>
      <c r="B3" s="125"/>
      <c r="C3" s="125"/>
      <c r="D3" s="125"/>
      <c r="E3" s="125"/>
      <c r="F3" s="125"/>
      <c r="G3" s="195"/>
      <c r="H3" s="125"/>
      <c r="I3" s="126"/>
      <c r="J3" s="92"/>
      <c r="K3" s="81" t="s">
        <v>3</v>
      </c>
      <c r="L3" s="92"/>
      <c r="M3" s="92"/>
      <c r="N3" s="92"/>
    </row>
    <row r="4" spans="1:14">
      <c r="A4" s="127"/>
      <c r="B4" s="128"/>
      <c r="C4" s="128"/>
      <c r="D4" s="128"/>
      <c r="E4" s="128"/>
      <c r="F4" s="128"/>
      <c r="G4" s="128"/>
      <c r="H4" s="128"/>
      <c r="I4" s="129"/>
      <c r="J4" s="92"/>
      <c r="K4" s="92"/>
      <c r="L4" s="92"/>
      <c r="M4" s="92"/>
      <c r="N4" s="92"/>
    </row>
    <row r="5" spans="1:14" ht="15.75" customHeight="1">
      <c r="A5" s="237" t="s">
        <v>64</v>
      </c>
      <c r="B5" s="238"/>
      <c r="C5" s="238"/>
      <c r="D5" s="238"/>
      <c r="E5" s="238"/>
      <c r="F5" s="238"/>
      <c r="G5" s="238"/>
      <c r="H5" s="238"/>
      <c r="I5" s="239"/>
      <c r="J5" s="92"/>
      <c r="K5" s="254" t="s">
        <v>65</v>
      </c>
      <c r="L5" s="254"/>
      <c r="M5" s="254"/>
      <c r="N5" s="254"/>
    </row>
    <row r="6" spans="1:14">
      <c r="A6" s="240"/>
      <c r="B6" s="241"/>
      <c r="C6" s="241"/>
      <c r="D6" s="241"/>
      <c r="E6" s="241"/>
      <c r="F6" s="241"/>
      <c r="G6" s="241"/>
      <c r="H6" s="241"/>
      <c r="I6" s="242"/>
      <c r="J6" s="92"/>
      <c r="K6" s="254"/>
      <c r="L6" s="254"/>
      <c r="M6" s="254"/>
      <c r="N6" s="254"/>
    </row>
    <row r="7" spans="1:14">
      <c r="A7" s="240"/>
      <c r="B7" s="241"/>
      <c r="C7" s="241"/>
      <c r="D7" s="241"/>
      <c r="E7" s="241"/>
      <c r="F7" s="241"/>
      <c r="G7" s="241"/>
      <c r="H7" s="241"/>
      <c r="I7" s="242"/>
      <c r="J7" s="92"/>
      <c r="K7" s="254"/>
      <c r="L7" s="254"/>
      <c r="M7" s="254"/>
      <c r="N7" s="254"/>
    </row>
    <row r="8" spans="1:14" ht="7.5" customHeight="1">
      <c r="A8" s="240"/>
      <c r="B8" s="241"/>
      <c r="C8" s="241"/>
      <c r="D8" s="241"/>
      <c r="E8" s="241"/>
      <c r="F8" s="241"/>
      <c r="G8" s="241"/>
      <c r="H8" s="241"/>
      <c r="I8" s="242"/>
      <c r="J8" s="92"/>
      <c r="K8" s="254"/>
      <c r="L8" s="254"/>
      <c r="M8" s="254"/>
      <c r="N8" s="254"/>
    </row>
    <row r="9" spans="1:14">
      <c r="A9" s="240"/>
      <c r="B9" s="241"/>
      <c r="C9" s="241"/>
      <c r="D9" s="241"/>
      <c r="E9" s="241"/>
      <c r="F9" s="241"/>
      <c r="G9" s="241"/>
      <c r="H9" s="241"/>
      <c r="I9" s="242"/>
      <c r="J9" s="92"/>
      <c r="K9" s="254"/>
      <c r="L9" s="254"/>
      <c r="M9" s="254"/>
      <c r="N9" s="254"/>
    </row>
    <row r="10" spans="1:14">
      <c r="A10" s="240"/>
      <c r="B10" s="241"/>
      <c r="C10" s="241"/>
      <c r="D10" s="241"/>
      <c r="E10" s="241"/>
      <c r="F10" s="241"/>
      <c r="G10" s="241"/>
      <c r="H10" s="241"/>
      <c r="I10" s="242"/>
      <c r="J10" s="92"/>
      <c r="K10" s="254"/>
      <c r="L10" s="254"/>
      <c r="M10" s="254"/>
      <c r="N10" s="254"/>
    </row>
    <row r="11" spans="1:14" ht="11.25" customHeight="1">
      <c r="A11" s="240"/>
      <c r="B11" s="241"/>
      <c r="C11" s="241"/>
      <c r="D11" s="241"/>
      <c r="E11" s="241"/>
      <c r="F11" s="241"/>
      <c r="G11" s="241"/>
      <c r="H11" s="241"/>
      <c r="I11" s="242"/>
      <c r="J11" s="92"/>
      <c r="K11" s="254"/>
      <c r="L11" s="254"/>
      <c r="M11" s="254"/>
      <c r="N11" s="254"/>
    </row>
    <row r="12" spans="1:14">
      <c r="A12" s="240"/>
      <c r="B12" s="241"/>
      <c r="C12" s="241"/>
      <c r="D12" s="241"/>
      <c r="E12" s="241"/>
      <c r="F12" s="241"/>
      <c r="G12" s="241"/>
      <c r="H12" s="241"/>
      <c r="I12" s="242"/>
      <c r="J12" s="92"/>
      <c r="K12" s="254"/>
      <c r="L12" s="254"/>
      <c r="M12" s="254"/>
      <c r="N12" s="254"/>
    </row>
    <row r="13" spans="1:14">
      <c r="A13" s="240"/>
      <c r="B13" s="241"/>
      <c r="C13" s="241"/>
      <c r="D13" s="241"/>
      <c r="E13" s="241"/>
      <c r="F13" s="241"/>
      <c r="G13" s="241"/>
      <c r="H13" s="241"/>
      <c r="I13" s="242"/>
      <c r="J13" s="92"/>
      <c r="K13" s="254"/>
      <c r="L13" s="254"/>
      <c r="M13" s="254"/>
      <c r="N13" s="254"/>
    </row>
    <row r="14" spans="1:14">
      <c r="A14" s="240"/>
      <c r="B14" s="241"/>
      <c r="C14" s="241"/>
      <c r="D14" s="241"/>
      <c r="E14" s="241"/>
      <c r="F14" s="241"/>
      <c r="G14" s="241"/>
      <c r="H14" s="241"/>
      <c r="I14" s="242"/>
      <c r="J14" s="92"/>
      <c r="K14" s="254"/>
      <c r="L14" s="254"/>
      <c r="M14" s="254"/>
      <c r="N14" s="254"/>
    </row>
    <row r="15" spans="1:14" ht="9" customHeight="1">
      <c r="A15" s="240"/>
      <c r="B15" s="241"/>
      <c r="C15" s="241"/>
      <c r="D15" s="241"/>
      <c r="E15" s="241"/>
      <c r="F15" s="241"/>
      <c r="G15" s="241"/>
      <c r="H15" s="241"/>
      <c r="I15" s="242"/>
      <c r="J15" s="92"/>
      <c r="K15" s="92"/>
      <c r="L15" s="92"/>
      <c r="M15" s="92"/>
      <c r="N15" s="92"/>
    </row>
    <row r="16" spans="1:14" ht="5.25" customHeight="1">
      <c r="A16" s="240"/>
      <c r="B16" s="241"/>
      <c r="C16" s="241"/>
      <c r="D16" s="241"/>
      <c r="E16" s="241"/>
      <c r="F16" s="241"/>
      <c r="G16" s="241"/>
      <c r="H16" s="241"/>
      <c r="I16" s="242"/>
      <c r="J16" s="92"/>
      <c r="K16" s="92"/>
      <c r="L16" s="92"/>
      <c r="M16" s="92"/>
      <c r="N16" s="92"/>
    </row>
    <row r="17" spans="1:14" ht="5.25" customHeight="1">
      <c r="A17" s="240"/>
      <c r="B17" s="241"/>
      <c r="C17" s="241"/>
      <c r="D17" s="241"/>
      <c r="E17" s="241"/>
      <c r="F17" s="241"/>
      <c r="G17" s="241"/>
      <c r="H17" s="241"/>
      <c r="I17" s="242"/>
      <c r="J17" s="92"/>
      <c r="K17" s="92"/>
      <c r="L17" s="92"/>
      <c r="M17" s="92"/>
      <c r="N17" s="92"/>
    </row>
    <row r="18" spans="1:14" ht="12" customHeight="1">
      <c r="A18" s="243"/>
      <c r="B18" s="244"/>
      <c r="C18" s="244"/>
      <c r="D18" s="244"/>
      <c r="E18" s="244"/>
      <c r="F18" s="244"/>
      <c r="G18" s="244"/>
      <c r="H18" s="244"/>
      <c r="I18" s="245"/>
      <c r="J18" s="92"/>
      <c r="K18" s="92"/>
      <c r="L18" s="92"/>
      <c r="M18" s="92"/>
      <c r="N18" s="92"/>
    </row>
    <row r="20" spans="1:14" ht="15.75">
      <c r="A20" s="51" t="s">
        <v>66</v>
      </c>
      <c r="B20" s="125"/>
      <c r="C20" s="125"/>
      <c r="D20" s="125"/>
      <c r="E20" s="125"/>
      <c r="F20" s="125"/>
      <c r="G20" s="125"/>
      <c r="H20" s="125"/>
      <c r="I20" s="126"/>
      <c r="J20" s="92"/>
      <c r="K20" s="92"/>
      <c r="L20" s="92"/>
      <c r="M20" s="92"/>
      <c r="N20" s="92"/>
    </row>
    <row r="21" spans="1:14">
      <c r="A21" s="127"/>
      <c r="B21" s="128"/>
      <c r="C21" s="128"/>
      <c r="D21" s="128"/>
      <c r="E21" s="128"/>
      <c r="F21" s="128"/>
      <c r="G21" s="128"/>
      <c r="H21" s="128"/>
      <c r="I21" s="129"/>
      <c r="J21" s="92"/>
      <c r="K21" s="92"/>
      <c r="L21" s="92"/>
      <c r="M21" s="92"/>
      <c r="N21" s="92"/>
    </row>
    <row r="22" spans="1:14">
      <c r="A22" s="237" t="s">
        <v>67</v>
      </c>
      <c r="B22" s="246"/>
      <c r="C22" s="246"/>
      <c r="D22" s="246"/>
      <c r="E22" s="246"/>
      <c r="F22" s="246"/>
      <c r="G22" s="246"/>
      <c r="H22" s="246"/>
      <c r="I22" s="247"/>
      <c r="J22" s="92"/>
      <c r="K22" s="254" t="s">
        <v>68</v>
      </c>
      <c r="L22" s="254"/>
      <c r="M22" s="254"/>
      <c r="N22" s="254"/>
    </row>
    <row r="23" spans="1:14">
      <c r="A23" s="248"/>
      <c r="B23" s="249"/>
      <c r="C23" s="249"/>
      <c r="D23" s="249"/>
      <c r="E23" s="249"/>
      <c r="F23" s="249"/>
      <c r="G23" s="249"/>
      <c r="H23" s="249"/>
      <c r="I23" s="250"/>
      <c r="J23" s="92"/>
      <c r="K23" s="254"/>
      <c r="L23" s="254"/>
      <c r="M23" s="254"/>
      <c r="N23" s="254"/>
    </row>
    <row r="24" spans="1:14" ht="76.5" customHeight="1">
      <c r="A24" s="248"/>
      <c r="B24" s="249"/>
      <c r="C24" s="249"/>
      <c r="D24" s="249"/>
      <c r="E24" s="249"/>
      <c r="F24" s="249"/>
      <c r="G24" s="249"/>
      <c r="H24" s="249"/>
      <c r="I24" s="250"/>
      <c r="J24" s="92"/>
      <c r="K24" s="254"/>
      <c r="L24" s="254"/>
      <c r="M24" s="254"/>
      <c r="N24" s="254"/>
    </row>
    <row r="25" spans="1:14">
      <c r="A25" s="248"/>
      <c r="B25" s="249"/>
      <c r="C25" s="249"/>
      <c r="D25" s="249"/>
      <c r="E25" s="249"/>
      <c r="F25" s="249"/>
      <c r="G25" s="249"/>
      <c r="H25" s="249"/>
      <c r="I25" s="250"/>
      <c r="J25" s="92"/>
      <c r="K25" s="254"/>
      <c r="L25" s="254"/>
      <c r="M25" s="254"/>
      <c r="N25" s="254"/>
    </row>
    <row r="26" spans="1:14">
      <c r="A26" s="248"/>
      <c r="B26" s="249"/>
      <c r="C26" s="249"/>
      <c r="D26" s="249"/>
      <c r="E26" s="249"/>
      <c r="F26" s="249"/>
      <c r="G26" s="249"/>
      <c r="H26" s="249"/>
      <c r="I26" s="250"/>
      <c r="J26" s="92"/>
      <c r="K26" s="254"/>
      <c r="L26" s="254"/>
      <c r="M26" s="254"/>
      <c r="N26" s="254"/>
    </row>
    <row r="27" spans="1:14">
      <c r="A27" s="248"/>
      <c r="B27" s="249"/>
      <c r="C27" s="249"/>
      <c r="D27" s="249"/>
      <c r="E27" s="249"/>
      <c r="F27" s="249"/>
      <c r="G27" s="249"/>
      <c r="H27" s="249"/>
      <c r="I27" s="250"/>
      <c r="J27" s="92"/>
      <c r="K27" s="254"/>
      <c r="L27" s="254"/>
      <c r="M27" s="254"/>
      <c r="N27" s="254"/>
    </row>
    <row r="28" spans="1:14">
      <c r="A28" s="248"/>
      <c r="B28" s="249"/>
      <c r="C28" s="249"/>
      <c r="D28" s="249"/>
      <c r="E28" s="249"/>
      <c r="F28" s="249"/>
      <c r="G28" s="249"/>
      <c r="H28" s="249"/>
      <c r="I28" s="250"/>
      <c r="J28" s="92"/>
      <c r="K28" s="254"/>
      <c r="L28" s="254"/>
      <c r="M28" s="254"/>
      <c r="N28" s="254"/>
    </row>
    <row r="29" spans="1:14">
      <c r="A29" s="248"/>
      <c r="B29" s="249"/>
      <c r="C29" s="249"/>
      <c r="D29" s="249"/>
      <c r="E29" s="249"/>
      <c r="F29" s="249"/>
      <c r="G29" s="249"/>
      <c r="H29" s="249"/>
      <c r="I29" s="250"/>
      <c r="J29" s="92"/>
      <c r="K29" s="254"/>
      <c r="L29" s="254"/>
      <c r="M29" s="254"/>
      <c r="N29" s="254"/>
    </row>
    <row r="30" spans="1:14">
      <c r="A30" s="248"/>
      <c r="B30" s="249"/>
      <c r="C30" s="249"/>
      <c r="D30" s="249"/>
      <c r="E30" s="249"/>
      <c r="F30" s="249"/>
      <c r="G30" s="249"/>
      <c r="H30" s="249"/>
      <c r="I30" s="250"/>
      <c r="J30" s="92"/>
      <c r="K30" s="254"/>
      <c r="L30" s="254"/>
      <c r="M30" s="254"/>
      <c r="N30" s="254"/>
    </row>
    <row r="31" spans="1:14">
      <c r="A31" s="248"/>
      <c r="B31" s="249"/>
      <c r="C31" s="249"/>
      <c r="D31" s="249"/>
      <c r="E31" s="249"/>
      <c r="F31" s="249"/>
      <c r="G31" s="249"/>
      <c r="H31" s="249"/>
      <c r="I31" s="250"/>
      <c r="J31" s="92"/>
      <c r="K31" s="254"/>
      <c r="L31" s="254"/>
      <c r="M31" s="254"/>
      <c r="N31" s="254"/>
    </row>
    <row r="32" spans="1:14">
      <c r="A32" s="248"/>
      <c r="B32" s="249"/>
      <c r="C32" s="249"/>
      <c r="D32" s="249"/>
      <c r="E32" s="249"/>
      <c r="F32" s="249"/>
      <c r="G32" s="249"/>
      <c r="H32" s="249"/>
      <c r="I32" s="250"/>
      <c r="J32" s="92"/>
      <c r="K32" s="92"/>
      <c r="L32" s="92"/>
      <c r="M32" s="92"/>
      <c r="N32" s="92"/>
    </row>
    <row r="33" spans="1:9">
      <c r="A33" s="248"/>
      <c r="B33" s="249"/>
      <c r="C33" s="249"/>
      <c r="D33" s="249"/>
      <c r="E33" s="249"/>
      <c r="F33" s="249"/>
      <c r="G33" s="249"/>
      <c r="H33" s="249"/>
      <c r="I33" s="250"/>
    </row>
    <row r="34" spans="1:9">
      <c r="A34" s="248"/>
      <c r="B34" s="249"/>
      <c r="C34" s="249"/>
      <c r="D34" s="249"/>
      <c r="E34" s="249"/>
      <c r="F34" s="249"/>
      <c r="G34" s="249"/>
      <c r="H34" s="249"/>
      <c r="I34" s="250"/>
    </row>
    <row r="35" spans="1:9">
      <c r="A35" s="248"/>
      <c r="B35" s="249"/>
      <c r="C35" s="249"/>
      <c r="D35" s="249"/>
      <c r="E35" s="249"/>
      <c r="F35" s="249"/>
      <c r="G35" s="249"/>
      <c r="H35" s="249"/>
      <c r="I35" s="250"/>
    </row>
    <row r="36" spans="1:9">
      <c r="A36" s="248"/>
      <c r="B36" s="249"/>
      <c r="C36" s="249"/>
      <c r="D36" s="249"/>
      <c r="E36" s="249"/>
      <c r="F36" s="249"/>
      <c r="G36" s="249"/>
      <c r="H36" s="249"/>
      <c r="I36" s="250"/>
    </row>
    <row r="37" spans="1:9">
      <c r="A37" s="248"/>
      <c r="B37" s="249"/>
      <c r="C37" s="249"/>
      <c r="D37" s="249"/>
      <c r="E37" s="249"/>
      <c r="F37" s="249"/>
      <c r="G37" s="249"/>
      <c r="H37" s="249"/>
      <c r="I37" s="250"/>
    </row>
    <row r="38" spans="1:9">
      <c r="A38" s="248"/>
      <c r="B38" s="249"/>
      <c r="C38" s="249"/>
      <c r="D38" s="249"/>
      <c r="E38" s="249"/>
      <c r="F38" s="249"/>
      <c r="G38" s="249"/>
      <c r="H38" s="249"/>
      <c r="I38" s="250"/>
    </row>
    <row r="39" spans="1:9">
      <c r="A39" s="248"/>
      <c r="B39" s="249"/>
      <c r="C39" s="249"/>
      <c r="D39" s="249"/>
      <c r="E39" s="249"/>
      <c r="F39" s="249"/>
      <c r="G39" s="249"/>
      <c r="H39" s="249"/>
      <c r="I39" s="250"/>
    </row>
    <row r="40" spans="1:9" ht="14.25" customHeight="1">
      <c r="A40" s="248"/>
      <c r="B40" s="249"/>
      <c r="C40" s="249"/>
      <c r="D40" s="249"/>
      <c r="E40" s="249"/>
      <c r="F40" s="249"/>
      <c r="G40" s="249"/>
      <c r="H40" s="249"/>
      <c r="I40" s="250"/>
    </row>
    <row r="41" spans="1:9">
      <c r="A41" s="248"/>
      <c r="B41" s="249"/>
      <c r="C41" s="249"/>
      <c r="D41" s="249"/>
      <c r="E41" s="249"/>
      <c r="F41" s="249"/>
      <c r="G41" s="249"/>
      <c r="H41" s="249"/>
      <c r="I41" s="250"/>
    </row>
    <row r="42" spans="1:9">
      <c r="A42" s="248"/>
      <c r="B42" s="249"/>
      <c r="C42" s="249"/>
      <c r="D42" s="249"/>
      <c r="E42" s="249"/>
      <c r="F42" s="249"/>
      <c r="G42" s="249"/>
      <c r="H42" s="249"/>
      <c r="I42" s="250"/>
    </row>
    <row r="43" spans="1:9">
      <c r="A43" s="248"/>
      <c r="B43" s="249"/>
      <c r="C43" s="249"/>
      <c r="D43" s="249"/>
      <c r="E43" s="249"/>
      <c r="F43" s="249"/>
      <c r="G43" s="249"/>
      <c r="H43" s="249"/>
      <c r="I43" s="250"/>
    </row>
    <row r="44" spans="1:9" ht="48" customHeight="1">
      <c r="A44" s="248"/>
      <c r="B44" s="249"/>
      <c r="C44" s="249"/>
      <c r="D44" s="249"/>
      <c r="E44" s="249"/>
      <c r="F44" s="249"/>
      <c r="G44" s="249"/>
      <c r="H44" s="249"/>
      <c r="I44" s="250"/>
    </row>
    <row r="45" spans="1:9">
      <c r="A45" s="248"/>
      <c r="B45" s="249"/>
      <c r="C45" s="249"/>
      <c r="D45" s="249"/>
      <c r="E45" s="249"/>
      <c r="F45" s="249"/>
      <c r="G45" s="249"/>
      <c r="H45" s="249"/>
      <c r="I45" s="250"/>
    </row>
    <row r="46" spans="1:9">
      <c r="A46" s="248"/>
      <c r="B46" s="249"/>
      <c r="C46" s="249"/>
      <c r="D46" s="249"/>
      <c r="E46" s="249"/>
      <c r="F46" s="249"/>
      <c r="G46" s="249"/>
      <c r="H46" s="249"/>
      <c r="I46" s="250"/>
    </row>
    <row r="47" spans="1:9">
      <c r="A47" s="248"/>
      <c r="B47" s="249"/>
      <c r="C47" s="249"/>
      <c r="D47" s="249"/>
      <c r="E47" s="249"/>
      <c r="F47" s="249"/>
      <c r="G47" s="249"/>
      <c r="H47" s="249"/>
      <c r="I47" s="250"/>
    </row>
    <row r="48" spans="1:9">
      <c r="A48" s="248"/>
      <c r="B48" s="249"/>
      <c r="C48" s="249"/>
      <c r="D48" s="249"/>
      <c r="E48" s="249"/>
      <c r="F48" s="249"/>
      <c r="G48" s="249"/>
      <c r="H48" s="249"/>
      <c r="I48" s="250"/>
    </row>
    <row r="49" spans="1:9">
      <c r="A49" s="248"/>
      <c r="B49" s="249"/>
      <c r="C49" s="249"/>
      <c r="D49" s="249"/>
      <c r="E49" s="249"/>
      <c r="F49" s="249"/>
      <c r="G49" s="249"/>
      <c r="H49" s="249"/>
      <c r="I49" s="250"/>
    </row>
    <row r="50" spans="1:9">
      <c r="A50" s="248"/>
      <c r="B50" s="249"/>
      <c r="C50" s="249"/>
      <c r="D50" s="249"/>
      <c r="E50" s="249"/>
      <c r="F50" s="249"/>
      <c r="G50" s="249"/>
      <c r="H50" s="249"/>
      <c r="I50" s="250"/>
    </row>
    <row r="51" spans="1:9">
      <c r="A51" s="248"/>
      <c r="B51" s="249"/>
      <c r="C51" s="249"/>
      <c r="D51" s="249"/>
      <c r="E51" s="249"/>
      <c r="F51" s="249"/>
      <c r="G51" s="249"/>
      <c r="H51" s="249"/>
      <c r="I51" s="250"/>
    </row>
    <row r="52" spans="1:9">
      <c r="A52" s="248"/>
      <c r="B52" s="249"/>
      <c r="C52" s="249"/>
      <c r="D52" s="249"/>
      <c r="E52" s="249"/>
      <c r="F52" s="249"/>
      <c r="G52" s="249"/>
      <c r="H52" s="249"/>
      <c r="I52" s="250"/>
    </row>
    <row r="53" spans="1:9">
      <c r="A53" s="248"/>
      <c r="B53" s="249"/>
      <c r="C53" s="249"/>
      <c r="D53" s="249"/>
      <c r="E53" s="249"/>
      <c r="F53" s="249"/>
      <c r="G53" s="249"/>
      <c r="H53" s="249"/>
      <c r="I53" s="250"/>
    </row>
    <row r="54" spans="1:9" ht="15.75" customHeight="1">
      <c r="A54" s="251"/>
      <c r="B54" s="252"/>
      <c r="C54" s="252"/>
      <c r="D54" s="252"/>
      <c r="E54" s="252"/>
      <c r="F54" s="252"/>
      <c r="G54" s="252"/>
      <c r="H54" s="252"/>
      <c r="I54" s="253"/>
    </row>
    <row r="66" spans="6:6">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8"/>
  <sheetViews>
    <sheetView topLeftCell="A7" zoomScaleNormal="100" zoomScaleSheetLayoutView="100" workbookViewId="0">
      <selection activeCell="D34" sqref="D34"/>
    </sheetView>
  </sheetViews>
  <sheetFormatPr defaultColWidth="9.28515625" defaultRowHeight="15"/>
  <cols>
    <col min="1" max="1" width="28.42578125" style="2" customWidth="1"/>
    <col min="2" max="2" width="8.28515625" style="12" customWidth="1"/>
    <col min="3" max="3" width="10.28515625" style="12" bestFit="1" customWidth="1"/>
    <col min="4" max="4" width="10.140625" style="12" customWidth="1"/>
    <col min="5" max="5" width="10.42578125" style="12" customWidth="1"/>
    <col min="6" max="6" width="10.5703125" style="12" customWidth="1"/>
    <col min="7" max="7" width="11.28515625" style="15" customWidth="1"/>
    <col min="8" max="8" width="11.5703125" style="16" customWidth="1"/>
    <col min="9" max="10" width="9.28515625" style="2"/>
    <col min="11" max="11" width="38.42578125" style="2" customWidth="1"/>
    <col min="12" max="16384" width="9.28515625" style="2"/>
  </cols>
  <sheetData>
    <row r="1" spans="1:11">
      <c r="A1" s="92" t="str">
        <f>+'Cover Page'!$B$29</f>
        <v>Annual Performance Report 2022</v>
      </c>
      <c r="B1" s="92"/>
      <c r="C1" s="92"/>
      <c r="D1" s="92"/>
      <c r="E1" s="92" t="str">
        <f>+'Cover Page'!$B$33</f>
        <v>Suffolk Energy from Waste Facility</v>
      </c>
      <c r="F1" s="92"/>
      <c r="G1" s="92"/>
      <c r="H1" s="92"/>
      <c r="I1" s="92"/>
      <c r="J1" s="92"/>
      <c r="K1" s="92"/>
    </row>
    <row r="3" spans="1:11" ht="15.75">
      <c r="A3" s="1" t="s">
        <v>34</v>
      </c>
      <c r="B3" s="99"/>
      <c r="C3" s="99"/>
      <c r="D3" s="99"/>
      <c r="E3" s="99"/>
      <c r="F3" s="99"/>
      <c r="G3" s="196"/>
      <c r="H3" s="99"/>
      <c r="I3" s="92"/>
      <c r="J3" s="92"/>
      <c r="K3" s="81" t="s">
        <v>3</v>
      </c>
    </row>
    <row r="4" spans="1:11">
      <c r="A4" s="18" t="s">
        <v>69</v>
      </c>
      <c r="B4" s="262">
        <v>295000</v>
      </c>
      <c r="C4" s="262"/>
      <c r="D4" s="20" t="s">
        <v>70</v>
      </c>
      <c r="E4" s="19">
        <v>89</v>
      </c>
      <c r="F4" s="20" t="s">
        <v>71</v>
      </c>
      <c r="G4" s="19">
        <v>26</v>
      </c>
      <c r="H4" s="70" t="s">
        <v>72</v>
      </c>
      <c r="I4" s="92"/>
      <c r="J4" s="92"/>
      <c r="K4" s="17" t="s">
        <v>73</v>
      </c>
    </row>
    <row r="5" spans="1:11" ht="15.75">
      <c r="A5" s="21" t="s">
        <v>74</v>
      </c>
      <c r="B5" s="22">
        <v>2</v>
      </c>
      <c r="C5" s="23"/>
      <c r="D5" s="23" t="s">
        <v>75</v>
      </c>
      <c r="E5" s="23"/>
      <c r="F5" s="24">
        <v>1</v>
      </c>
      <c r="G5" s="25"/>
      <c r="H5" s="26"/>
      <c r="I5" s="92"/>
      <c r="J5" s="92"/>
      <c r="K5" s="17" t="s">
        <v>76</v>
      </c>
    </row>
    <row r="6" spans="1:11">
      <c r="A6" s="3"/>
      <c r="B6" s="99"/>
      <c r="C6" s="99"/>
      <c r="D6" s="99"/>
      <c r="E6" s="99"/>
      <c r="F6" s="99"/>
      <c r="H6" s="130"/>
      <c r="I6" s="92"/>
      <c r="J6" s="92"/>
      <c r="K6" s="257" t="s">
        <v>77</v>
      </c>
    </row>
    <row r="7" spans="1:11" ht="15.75">
      <c r="A7" s="9" t="s">
        <v>78</v>
      </c>
      <c r="B7" s="131" t="s">
        <v>79</v>
      </c>
      <c r="C7" s="132" t="s">
        <v>80</v>
      </c>
      <c r="D7" s="132" t="s">
        <v>81</v>
      </c>
      <c r="E7" s="132" t="s">
        <v>82</v>
      </c>
      <c r="F7" s="132" t="s">
        <v>83</v>
      </c>
      <c r="G7" s="27" t="s">
        <v>84</v>
      </c>
      <c r="H7" s="133" t="s">
        <v>85</v>
      </c>
      <c r="I7" s="92"/>
      <c r="J7" s="92"/>
      <c r="K7" s="257"/>
    </row>
    <row r="8" spans="1:11" ht="15.75" customHeight="1">
      <c r="A8" s="134" t="s">
        <v>86</v>
      </c>
      <c r="B8" s="259" t="s">
        <v>87</v>
      </c>
      <c r="C8" s="135">
        <v>58723</v>
      </c>
      <c r="D8" s="135">
        <v>47415</v>
      </c>
      <c r="E8" s="135">
        <v>56885</v>
      </c>
      <c r="F8" s="135">
        <v>56638</v>
      </c>
      <c r="G8" s="28">
        <f>SUM(C8:F8)</f>
        <v>219661</v>
      </c>
      <c r="H8" s="136">
        <f t="shared" ref="H8:H15" si="0">IF(G8&gt;0,G8/$G$18,"-")</f>
        <v>0.77608581210230465</v>
      </c>
      <c r="I8" s="92"/>
      <c r="J8" s="92"/>
      <c r="K8" s="258" t="s">
        <v>88</v>
      </c>
    </row>
    <row r="9" spans="1:11">
      <c r="A9" s="137" t="s">
        <v>89</v>
      </c>
      <c r="B9" s="260"/>
      <c r="C9" s="138">
        <v>14377</v>
      </c>
      <c r="D9" s="138">
        <v>8231</v>
      </c>
      <c r="E9" s="138">
        <v>15948</v>
      </c>
      <c r="F9" s="138">
        <v>20012</v>
      </c>
      <c r="G9" s="88">
        <f t="shared" ref="G9:G15" si="1">SUM(C9:F9)</f>
        <v>58568</v>
      </c>
      <c r="H9" s="110">
        <f t="shared" si="0"/>
        <v>0.20692700954292195</v>
      </c>
      <c r="I9" s="92"/>
      <c r="J9" s="92"/>
      <c r="K9" s="258"/>
    </row>
    <row r="10" spans="1:11">
      <c r="A10" s="137" t="s">
        <v>90</v>
      </c>
      <c r="B10" s="260"/>
      <c r="C10" s="138" t="s">
        <v>91</v>
      </c>
      <c r="D10" s="138" t="s">
        <v>91</v>
      </c>
      <c r="E10" s="138" t="s">
        <v>91</v>
      </c>
      <c r="F10" s="138" t="s">
        <v>91</v>
      </c>
      <c r="G10" s="88">
        <f t="shared" si="1"/>
        <v>0</v>
      </c>
      <c r="H10" s="110" t="str">
        <f t="shared" si="0"/>
        <v>-</v>
      </c>
      <c r="I10" s="92"/>
      <c r="J10" s="92"/>
      <c r="K10" s="258"/>
    </row>
    <row r="11" spans="1:11">
      <c r="A11" s="137" t="s">
        <v>92</v>
      </c>
      <c r="B11" s="260"/>
      <c r="C11" s="138">
        <v>960</v>
      </c>
      <c r="D11" s="138">
        <v>518</v>
      </c>
      <c r="E11" s="138">
        <v>1418</v>
      </c>
      <c r="F11" s="138">
        <v>1912</v>
      </c>
      <c r="G11" s="88">
        <f t="shared" si="1"/>
        <v>4808</v>
      </c>
      <c r="H11" s="110">
        <f t="shared" si="0"/>
        <v>1.6987178354773404E-2</v>
      </c>
      <c r="I11" s="92"/>
      <c r="J11" s="92"/>
      <c r="K11" s="258"/>
    </row>
    <row r="12" spans="1:11">
      <c r="A12" s="137" t="s">
        <v>93</v>
      </c>
      <c r="B12" s="260"/>
      <c r="C12" s="138"/>
      <c r="D12" s="138"/>
      <c r="E12" s="138"/>
      <c r="F12" s="138"/>
      <c r="G12" s="88">
        <f t="shared" si="1"/>
        <v>0</v>
      </c>
      <c r="H12" s="110" t="str">
        <f t="shared" si="0"/>
        <v>-</v>
      </c>
      <c r="I12" s="92"/>
      <c r="J12" s="92"/>
      <c r="K12" s="258"/>
    </row>
    <row r="13" spans="1:11">
      <c r="A13" s="137" t="s">
        <v>94</v>
      </c>
      <c r="B13" s="260"/>
      <c r="C13" s="138"/>
      <c r="D13" s="138"/>
      <c r="E13" s="138"/>
      <c r="F13" s="138"/>
      <c r="G13" s="88">
        <f t="shared" ref="G13" si="2">SUM(C13:F13)</f>
        <v>0</v>
      </c>
      <c r="H13" s="110" t="str">
        <f t="shared" si="0"/>
        <v>-</v>
      </c>
      <c r="I13" s="92"/>
      <c r="J13" s="92"/>
      <c r="K13" s="258"/>
    </row>
    <row r="14" spans="1:11">
      <c r="A14" s="137" t="s">
        <v>95</v>
      </c>
      <c r="B14" s="260"/>
      <c r="C14" s="138"/>
      <c r="D14" s="138"/>
      <c r="E14" s="138"/>
      <c r="F14" s="138"/>
      <c r="G14" s="88">
        <f t="shared" si="1"/>
        <v>0</v>
      </c>
      <c r="H14" s="110" t="str">
        <f t="shared" si="0"/>
        <v>-</v>
      </c>
      <c r="I14" s="92"/>
      <c r="J14" s="92"/>
      <c r="K14" s="258"/>
    </row>
    <row r="15" spans="1:11">
      <c r="A15" s="139" t="s">
        <v>96</v>
      </c>
      <c r="B15" s="260"/>
      <c r="C15" s="138"/>
      <c r="D15" s="138"/>
      <c r="E15" s="138"/>
      <c r="F15" s="138"/>
      <c r="G15" s="88">
        <f t="shared" si="1"/>
        <v>0</v>
      </c>
      <c r="H15" s="110" t="str">
        <f t="shared" si="0"/>
        <v>-</v>
      </c>
      <c r="I15" s="92"/>
      <c r="J15" s="92"/>
      <c r="K15" s="258"/>
    </row>
    <row r="16" spans="1:11">
      <c r="A16" s="139" t="s">
        <v>96</v>
      </c>
      <c r="B16" s="260"/>
      <c r="C16" s="138"/>
      <c r="D16" s="138"/>
      <c r="E16" s="138"/>
      <c r="F16" s="138"/>
      <c r="G16" s="88"/>
      <c r="H16" s="110"/>
      <c r="I16" s="92"/>
      <c r="J16" s="92"/>
      <c r="K16" s="258"/>
    </row>
    <row r="17" spans="1:12">
      <c r="A17" s="139" t="s">
        <v>96</v>
      </c>
      <c r="B17" s="260"/>
      <c r="C17" s="138"/>
      <c r="D17" s="138"/>
      <c r="E17" s="138"/>
      <c r="F17" s="138"/>
      <c r="G17" s="88"/>
      <c r="H17" s="110"/>
      <c r="I17" s="92"/>
      <c r="J17" s="92"/>
      <c r="K17" s="258"/>
      <c r="L17" s="92"/>
    </row>
    <row r="18" spans="1:12">
      <c r="A18" s="90" t="s">
        <v>97</v>
      </c>
      <c r="B18" s="260"/>
      <c r="C18" s="88">
        <f>SUM(C8:C17)</f>
        <v>74060</v>
      </c>
      <c r="D18" s="88">
        <f>SUM(D8:D17)</f>
        <v>56164</v>
      </c>
      <c r="E18" s="88">
        <f>SUM(E8:E17)</f>
        <v>74251</v>
      </c>
      <c r="F18" s="88">
        <f>SUM(F8:F17)</f>
        <v>78562</v>
      </c>
      <c r="G18" s="88">
        <f>SUM(G8:G17)</f>
        <v>283037</v>
      </c>
      <c r="H18" s="140">
        <v>1</v>
      </c>
      <c r="I18" s="92"/>
      <c r="J18" s="92"/>
      <c r="K18" s="258"/>
      <c r="L18" s="92"/>
    </row>
    <row r="19" spans="1:12">
      <c r="A19" s="137" t="s">
        <v>98</v>
      </c>
      <c r="B19" s="260"/>
      <c r="C19" s="138"/>
      <c r="D19" s="138"/>
      <c r="E19" s="138"/>
      <c r="F19" s="138"/>
      <c r="G19" s="88">
        <f t="shared" ref="G19" si="3">SUM(C19:F19)</f>
        <v>0</v>
      </c>
      <c r="H19" s="110" t="str">
        <f t="shared" ref="H19" si="4">IF(G19&gt;0,G19/$G$18,"-")</f>
        <v>-</v>
      </c>
      <c r="I19" s="92"/>
      <c r="J19" s="92"/>
      <c r="K19" s="258"/>
      <c r="L19" s="92"/>
    </row>
    <row r="20" spans="1:12">
      <c r="A20" s="137" t="s">
        <v>99</v>
      </c>
      <c r="B20" s="260"/>
      <c r="C20" s="138"/>
      <c r="D20" s="138"/>
      <c r="E20" s="138"/>
      <c r="F20" s="138"/>
      <c r="G20" s="88">
        <f t="shared" ref="G20" si="5">SUM(C20:F20)</f>
        <v>0</v>
      </c>
      <c r="H20" s="110" t="str">
        <f>IF(G20&gt;0,G20/$G$18,"-")</f>
        <v>-</v>
      </c>
      <c r="I20" s="92"/>
      <c r="J20" s="92"/>
      <c r="K20" s="92"/>
      <c r="L20" s="92"/>
    </row>
    <row r="21" spans="1:12">
      <c r="A21" s="91" t="s">
        <v>100</v>
      </c>
      <c r="B21" s="141"/>
      <c r="C21" s="89">
        <f>C18-SUM(C19:C20)</f>
        <v>74060</v>
      </c>
      <c r="D21" s="89">
        <f t="shared" ref="D21:F21" si="6">D18-SUM(D19:D20)</f>
        <v>56164</v>
      </c>
      <c r="E21" s="89">
        <f t="shared" si="6"/>
        <v>74251</v>
      </c>
      <c r="F21" s="89">
        <f t="shared" si="6"/>
        <v>78562</v>
      </c>
      <c r="G21" s="30">
        <f>SUM(C21:F21)</f>
        <v>283037</v>
      </c>
      <c r="H21" s="142">
        <f>IF(G21&gt;0,G21/$G$18,"-")</f>
        <v>1</v>
      </c>
      <c r="I21" s="92"/>
      <c r="J21" s="92"/>
      <c r="K21" s="92"/>
      <c r="L21" s="92"/>
    </row>
    <row r="22" spans="1:12">
      <c r="A22" s="3"/>
      <c r="B22" s="99"/>
      <c r="C22" s="130"/>
      <c r="D22" s="130"/>
      <c r="E22" s="130"/>
      <c r="F22" s="130"/>
      <c r="G22" s="31"/>
      <c r="H22" s="130"/>
      <c r="I22" s="92"/>
      <c r="J22" s="92"/>
      <c r="K22" s="92"/>
      <c r="L22" s="92"/>
    </row>
    <row r="23" spans="1:12" ht="15.75">
      <c r="A23" s="9" t="s">
        <v>101</v>
      </c>
      <c r="B23" s="131" t="s">
        <v>79</v>
      </c>
      <c r="C23" s="143" t="s">
        <v>80</v>
      </c>
      <c r="D23" s="143" t="s">
        <v>81</v>
      </c>
      <c r="E23" s="143" t="s">
        <v>82</v>
      </c>
      <c r="F23" s="143" t="s">
        <v>83</v>
      </c>
      <c r="G23" s="32" t="s">
        <v>84</v>
      </c>
      <c r="H23" s="144" t="s">
        <v>102</v>
      </c>
      <c r="I23" s="92"/>
      <c r="J23" s="92"/>
      <c r="K23" s="92"/>
      <c r="L23" s="92"/>
    </row>
    <row r="24" spans="1:12" ht="15" customHeight="1">
      <c r="A24" s="145" t="s">
        <v>103</v>
      </c>
      <c r="B24" s="259" t="s">
        <v>104</v>
      </c>
      <c r="C24" s="135">
        <v>55024.430399999997</v>
      </c>
      <c r="D24" s="135">
        <v>35216.058224</v>
      </c>
      <c r="E24" s="135">
        <v>55184.134559999991</v>
      </c>
      <c r="F24" s="135">
        <v>54009.475439999995</v>
      </c>
      <c r="G24" s="28">
        <f t="shared" ref="G24:G27" si="7">SUM(C24:F24)</f>
        <v>199434.09862399998</v>
      </c>
      <c r="H24" s="146">
        <f>IF(G24&gt;0,G24*1000/$G$21,"-")</f>
        <v>704.62200568830212</v>
      </c>
      <c r="I24" s="92"/>
      <c r="J24" s="92"/>
      <c r="K24" s="92"/>
      <c r="L24" s="92"/>
    </row>
    <row r="25" spans="1:12">
      <c r="A25" s="147" t="s">
        <v>105</v>
      </c>
      <c r="B25" s="260"/>
      <c r="C25" s="148">
        <v>48959.739000000001</v>
      </c>
      <c r="D25" s="148">
        <v>30956.052000000003</v>
      </c>
      <c r="E25" s="148">
        <v>49190.413999999997</v>
      </c>
      <c r="F25" s="148">
        <v>47983.368999999992</v>
      </c>
      <c r="G25" s="29">
        <f>SUM(C25:F25)</f>
        <v>177089.57399999996</v>
      </c>
      <c r="H25" s="149">
        <f>IF(G25&gt;0,G25*1000/$G$21,"-")</f>
        <v>625.67640979801217</v>
      </c>
      <c r="I25" s="92"/>
      <c r="J25" s="92"/>
      <c r="K25" s="92"/>
      <c r="L25" s="92"/>
    </row>
    <row r="26" spans="1:12">
      <c r="A26" s="147" t="s">
        <v>106</v>
      </c>
      <c r="B26" s="260"/>
      <c r="C26" s="148">
        <v>6064.6913999999961</v>
      </c>
      <c r="D26" s="148">
        <v>4260.006223999997</v>
      </c>
      <c r="E26" s="148">
        <v>5993.7205599999943</v>
      </c>
      <c r="F26" s="148">
        <v>6026.1064400000032</v>
      </c>
      <c r="G26" s="29">
        <f>SUM(C26:F26)</f>
        <v>22344.524623999991</v>
      </c>
      <c r="H26" s="149">
        <f>IF(G26&gt;0,G26*1000/$G$21,"-")</f>
        <v>78.945595890289923</v>
      </c>
      <c r="I26" s="92"/>
      <c r="J26" s="92"/>
      <c r="K26" s="92"/>
      <c r="L26" s="92"/>
    </row>
    <row r="27" spans="1:12">
      <c r="A27" s="147" t="s">
        <v>107</v>
      </c>
      <c r="B27" s="260"/>
      <c r="C27" s="148">
        <v>2.9969999999999999</v>
      </c>
      <c r="D27" s="148">
        <v>607.52700000000004</v>
      </c>
      <c r="E27" s="148">
        <v>3.827</v>
      </c>
      <c r="F27" s="148">
        <v>2.1789999999999998</v>
      </c>
      <c r="G27" s="29">
        <f t="shared" si="7"/>
        <v>616.53</v>
      </c>
      <c r="H27" s="149">
        <f>IF(G27&gt;0,G27*1000/$G$21,"-")</f>
        <v>2.1782664457297103</v>
      </c>
      <c r="I27" s="92"/>
      <c r="J27" s="92"/>
      <c r="K27" s="92"/>
      <c r="L27" s="92"/>
    </row>
    <row r="28" spans="1:12">
      <c r="A28" s="147" t="s">
        <v>108</v>
      </c>
      <c r="B28" s="150" t="s">
        <v>85</v>
      </c>
      <c r="C28" s="151">
        <f>IF(C24&gt;0,1-C25/(C24+C27),"-")</f>
        <v>0.11026661951490757</v>
      </c>
      <c r="D28" s="151">
        <f>IF(D24&gt;0,1-D25/(D24+D27),"-")</f>
        <v>0.13587509998131053</v>
      </c>
      <c r="E28" s="151">
        <f>IF(E24&gt;0,1-E25/(E24+E27),"-")</f>
        <v>0.10867492457534411</v>
      </c>
      <c r="F28" s="151">
        <f>IF(F24&gt;0,1-F25/(F24+F27),"-")</f>
        <v>0.11161082737609251</v>
      </c>
      <c r="G28" s="151">
        <f>IF(G24&gt;0,1-G25/(G24+G27),"-")</f>
        <v>0.11477621830999529</v>
      </c>
      <c r="H28" s="149"/>
      <c r="I28" s="92"/>
      <c r="J28" s="92"/>
      <c r="K28" s="92"/>
      <c r="L28" s="92"/>
    </row>
    <row r="29" spans="1:12">
      <c r="A29" s="147" t="s">
        <v>109</v>
      </c>
      <c r="B29" s="263" t="s">
        <v>104</v>
      </c>
      <c r="C29" s="148"/>
      <c r="D29" s="148"/>
      <c r="E29" s="148"/>
      <c r="F29" s="148"/>
      <c r="G29" s="29">
        <f t="shared" ref="G29:G30" si="8">SUM(C29:F29)</f>
        <v>0</v>
      </c>
      <c r="H29" s="149"/>
      <c r="I29" s="92"/>
      <c r="J29" s="92"/>
      <c r="K29" s="92"/>
      <c r="L29" s="92"/>
    </row>
    <row r="30" spans="1:12">
      <c r="A30" s="147" t="s">
        <v>110</v>
      </c>
      <c r="B30" s="263"/>
      <c r="C30" s="148"/>
      <c r="D30" s="148"/>
      <c r="E30" s="148"/>
      <c r="F30" s="148"/>
      <c r="G30" s="29">
        <f t="shared" si="8"/>
        <v>0</v>
      </c>
      <c r="H30" s="149" t="str">
        <f>IF(G30&gt;0,G30*1000/$G$21,"-")</f>
        <v>-</v>
      </c>
      <c r="I30" s="92"/>
      <c r="J30" s="92"/>
      <c r="K30" s="17"/>
      <c r="L30" s="17"/>
    </row>
    <row r="31" spans="1:12">
      <c r="A31" s="98" t="s">
        <v>111</v>
      </c>
      <c r="B31" s="152"/>
      <c r="C31" s="153"/>
      <c r="D31" s="153"/>
      <c r="E31" s="153"/>
      <c r="F31" s="153"/>
      <c r="G31" s="154"/>
      <c r="H31" s="155">
        <v>0.83</v>
      </c>
      <c r="I31" s="92"/>
      <c r="J31" s="92"/>
      <c r="K31" s="92"/>
      <c r="L31" s="17"/>
    </row>
    <row r="32" spans="1:12">
      <c r="A32" s="3"/>
      <c r="B32" s="99"/>
      <c r="C32" s="130"/>
      <c r="D32" s="130"/>
      <c r="E32" s="130"/>
      <c r="F32" s="130"/>
      <c r="G32" s="31"/>
      <c r="H32" s="130"/>
      <c r="I32" s="92"/>
      <c r="J32" s="92"/>
      <c r="K32" s="92"/>
      <c r="L32" s="17"/>
    </row>
    <row r="33" spans="1:12" ht="15.75">
      <c r="A33" s="9" t="s">
        <v>112</v>
      </c>
      <c r="B33" s="156" t="s">
        <v>79</v>
      </c>
      <c r="C33" s="143" t="s">
        <v>80</v>
      </c>
      <c r="D33" s="143" t="s">
        <v>81</v>
      </c>
      <c r="E33" s="143" t="s">
        <v>82</v>
      </c>
      <c r="F33" s="143" t="s">
        <v>83</v>
      </c>
      <c r="G33" s="32" t="s">
        <v>84</v>
      </c>
      <c r="H33" s="157" t="s">
        <v>113</v>
      </c>
      <c r="I33" s="92"/>
      <c r="J33" s="92"/>
      <c r="K33" s="92"/>
      <c r="L33" s="17"/>
    </row>
    <row r="34" spans="1:12" ht="15" customHeight="1">
      <c r="A34" s="145" t="s">
        <v>114</v>
      </c>
      <c r="B34" s="259" t="s">
        <v>87</v>
      </c>
      <c r="C34" s="135">
        <v>1818.6</v>
      </c>
      <c r="D34" s="206">
        <v>1472.8</v>
      </c>
      <c r="E34" s="135">
        <v>1731.54</v>
      </c>
      <c r="F34" s="135">
        <v>2023.5400000000002</v>
      </c>
      <c r="G34" s="28">
        <f t="shared" ref="G34:G35" si="9">SUM(C34:F34)</f>
        <v>7046.48</v>
      </c>
      <c r="H34" s="136">
        <f>IF(G34&gt;0,G34/$G$21,"-")</f>
        <v>2.4895967665004928E-2</v>
      </c>
      <c r="I34" s="92"/>
      <c r="J34" s="92"/>
      <c r="K34" s="17"/>
      <c r="L34" s="17"/>
    </row>
    <row r="35" spans="1:12" ht="15" customHeight="1">
      <c r="A35" s="147" t="s">
        <v>115</v>
      </c>
      <c r="B35" s="260"/>
      <c r="C35" s="148">
        <v>13341.779999999999</v>
      </c>
      <c r="D35" s="148">
        <v>10119.619999999999</v>
      </c>
      <c r="E35" s="148">
        <v>11413.98</v>
      </c>
      <c r="F35" s="148">
        <v>13179.720000000001</v>
      </c>
      <c r="G35" s="29">
        <f t="shared" si="9"/>
        <v>48055.1</v>
      </c>
      <c r="H35" s="110">
        <f t="shared" ref="H35:H39" si="10">IF(G35&gt;0,G35/$G$21,"-")</f>
        <v>0.16978380918395827</v>
      </c>
      <c r="I35" s="92"/>
      <c r="J35" s="92"/>
      <c r="K35" s="17"/>
      <c r="L35" s="17"/>
    </row>
    <row r="36" spans="1:12" ht="15" customHeight="1">
      <c r="A36" s="147" t="s">
        <v>116</v>
      </c>
      <c r="B36" s="260"/>
      <c r="C36" s="148">
        <v>2344.54</v>
      </c>
      <c r="D36" s="148">
        <v>2181.7799999999997</v>
      </c>
      <c r="E36" s="148">
        <v>2462.62</v>
      </c>
      <c r="F36" s="148">
        <v>2474.46</v>
      </c>
      <c r="G36" s="29">
        <f t="shared" ref="G36:G39" si="11">SUM(C36:F36)</f>
        <v>9463.4</v>
      </c>
      <c r="H36" s="110">
        <f t="shared" si="10"/>
        <v>3.3435204584559612E-2</v>
      </c>
      <c r="I36" s="92"/>
      <c r="J36" s="92"/>
      <c r="K36" s="92"/>
      <c r="L36" s="92"/>
    </row>
    <row r="37" spans="1:12">
      <c r="A37" s="158" t="s">
        <v>117</v>
      </c>
      <c r="B37" s="260"/>
      <c r="C37" s="148">
        <v>0</v>
      </c>
      <c r="D37" s="148">
        <v>0</v>
      </c>
      <c r="E37" s="148">
        <v>0</v>
      </c>
      <c r="F37" s="148">
        <v>0</v>
      </c>
      <c r="G37" s="29">
        <f t="shared" ref="G37" si="12">SUM(C37:F37)</f>
        <v>0</v>
      </c>
      <c r="H37" s="110" t="str">
        <f t="shared" si="10"/>
        <v>-</v>
      </c>
      <c r="I37" s="92"/>
      <c r="J37" s="92"/>
      <c r="K37" s="92"/>
      <c r="L37" s="92"/>
    </row>
    <row r="38" spans="1:12">
      <c r="A38" s="158" t="s">
        <v>117</v>
      </c>
      <c r="B38" s="260"/>
      <c r="C38" s="148">
        <v>0</v>
      </c>
      <c r="D38" s="148">
        <v>0</v>
      </c>
      <c r="E38" s="148">
        <v>0</v>
      </c>
      <c r="F38" s="148">
        <v>0</v>
      </c>
      <c r="G38" s="29">
        <f t="shared" si="11"/>
        <v>0</v>
      </c>
      <c r="H38" s="110" t="str">
        <f t="shared" si="10"/>
        <v>-</v>
      </c>
      <c r="I38" s="92"/>
      <c r="J38" s="92"/>
      <c r="K38" s="92"/>
      <c r="L38" s="92"/>
    </row>
    <row r="39" spans="1:12">
      <c r="A39" s="159" t="s">
        <v>117</v>
      </c>
      <c r="B39" s="261"/>
      <c r="C39" s="160">
        <v>0</v>
      </c>
      <c r="D39" s="160">
        <v>0</v>
      </c>
      <c r="E39" s="160">
        <v>0</v>
      </c>
      <c r="F39" s="160">
        <v>0</v>
      </c>
      <c r="G39" s="30">
        <f t="shared" si="11"/>
        <v>0</v>
      </c>
      <c r="H39" s="142" t="str">
        <f t="shared" si="10"/>
        <v>-</v>
      </c>
      <c r="I39" s="92"/>
      <c r="J39" s="92"/>
      <c r="K39" s="92"/>
      <c r="L39" s="92"/>
    </row>
    <row r="40" spans="1:12">
      <c r="A40" s="99"/>
      <c r="B40" s="99"/>
      <c r="C40" s="130"/>
      <c r="D40" s="130"/>
      <c r="E40" s="130"/>
      <c r="F40" s="130"/>
      <c r="G40" s="31"/>
      <c r="H40" s="130"/>
      <c r="I40" s="92"/>
      <c r="J40" s="92"/>
      <c r="K40" s="92"/>
      <c r="L40" s="92"/>
    </row>
    <row r="41" spans="1:12" ht="15.75">
      <c r="A41" s="9" t="s">
        <v>118</v>
      </c>
      <c r="B41" s="161" t="s">
        <v>79</v>
      </c>
      <c r="C41" s="132" t="s">
        <v>80</v>
      </c>
      <c r="D41" s="132" t="s">
        <v>81</v>
      </c>
      <c r="E41" s="132" t="s">
        <v>82</v>
      </c>
      <c r="F41" s="132" t="s">
        <v>83</v>
      </c>
      <c r="G41" s="27" t="s">
        <v>84</v>
      </c>
      <c r="H41" s="133" t="s">
        <v>119</v>
      </c>
      <c r="I41" s="92"/>
      <c r="J41" s="92"/>
      <c r="K41" s="92"/>
      <c r="L41" s="92"/>
    </row>
    <row r="42" spans="1:12" ht="15.6" customHeight="1">
      <c r="A42" s="145" t="s">
        <v>120</v>
      </c>
      <c r="B42" s="150" t="s">
        <v>121</v>
      </c>
      <c r="C42" s="162">
        <v>9066000</v>
      </c>
      <c r="D42" s="162">
        <v>7854000</v>
      </c>
      <c r="E42" s="162">
        <v>8653000</v>
      </c>
      <c r="F42" s="162">
        <v>9482000</v>
      </c>
      <c r="G42" s="28">
        <f t="shared" ref="G42:G50" si="13">SUM(C42:F42)</f>
        <v>35055000</v>
      </c>
      <c r="H42" s="163">
        <f>IF(G42&gt;0,G42/$G$21,"-")</f>
        <v>123.85306514695958</v>
      </c>
      <c r="I42" s="92"/>
      <c r="J42" s="92"/>
      <c r="K42" s="92"/>
      <c r="L42" s="92"/>
    </row>
    <row r="43" spans="1:12">
      <c r="A43" s="147" t="s">
        <v>122</v>
      </c>
      <c r="B43" s="150" t="s">
        <v>121</v>
      </c>
      <c r="C43" s="148"/>
      <c r="D43" s="148"/>
      <c r="E43" s="148"/>
      <c r="F43" s="148"/>
      <c r="G43" s="29">
        <f t="shared" si="13"/>
        <v>0</v>
      </c>
      <c r="H43" s="163" t="str">
        <f t="shared" ref="H43:H48" si="14">IF(G43&gt;0,G43/$G$21,"-")</f>
        <v>-</v>
      </c>
      <c r="I43" s="92"/>
      <c r="J43" s="92"/>
      <c r="K43" s="92"/>
      <c r="L43" s="92"/>
    </row>
    <row r="44" spans="1:12" ht="15.6" customHeight="1">
      <c r="A44" s="147" t="s">
        <v>123</v>
      </c>
      <c r="B44" s="150" t="s">
        <v>124</v>
      </c>
      <c r="C44" s="148"/>
      <c r="D44" s="148"/>
      <c r="E44" s="148"/>
      <c r="F44" s="148"/>
      <c r="G44" s="29">
        <f t="shared" si="13"/>
        <v>0</v>
      </c>
      <c r="H44" s="163" t="str">
        <f t="shared" si="14"/>
        <v>-</v>
      </c>
      <c r="I44" s="92"/>
      <c r="J44" s="92"/>
      <c r="K44" s="92"/>
      <c r="L44" s="92"/>
    </row>
    <row r="45" spans="1:12" ht="15.6" customHeight="1">
      <c r="A45" s="147" t="s">
        <v>125</v>
      </c>
      <c r="B45" s="150" t="s">
        <v>124</v>
      </c>
      <c r="C45" s="148">
        <v>200879.3076</v>
      </c>
      <c r="D45" s="148">
        <v>164240.72955999998</v>
      </c>
      <c r="E45" s="148">
        <v>190914.26988000001</v>
      </c>
      <c r="F45" s="148">
        <v>197917.512259296</v>
      </c>
      <c r="G45" s="29">
        <f t="shared" ref="G45" si="15">SUM(C45:F45)</f>
        <v>753951.81929929601</v>
      </c>
      <c r="H45" s="163">
        <f t="shared" si="14"/>
        <v>2.6637924345555386</v>
      </c>
      <c r="I45" s="92"/>
      <c r="J45" s="92"/>
      <c r="K45" s="92"/>
      <c r="L45" s="92"/>
    </row>
    <row r="46" spans="1:12">
      <c r="A46" s="147" t="s">
        <v>126</v>
      </c>
      <c r="B46" s="150" t="s">
        <v>124</v>
      </c>
      <c r="C46" s="148">
        <v>22740.463968</v>
      </c>
      <c r="D46" s="148">
        <v>20561</v>
      </c>
      <c r="E46" s="148">
        <v>23058</v>
      </c>
      <c r="F46" s="148">
        <v>17734</v>
      </c>
      <c r="G46" s="29">
        <f t="shared" si="13"/>
        <v>84093.463967999996</v>
      </c>
      <c r="H46" s="163">
        <f t="shared" si="14"/>
        <v>0.29711120442910288</v>
      </c>
      <c r="I46" s="92"/>
      <c r="J46" s="92"/>
      <c r="K46" s="92"/>
      <c r="L46" s="92"/>
    </row>
    <row r="47" spans="1:12">
      <c r="A47" s="147" t="s">
        <v>127</v>
      </c>
      <c r="B47" s="150" t="s">
        <v>124</v>
      </c>
      <c r="C47" s="148">
        <v>735434.01013920014</v>
      </c>
      <c r="D47" s="148">
        <v>505097</v>
      </c>
      <c r="E47" s="148">
        <v>520285</v>
      </c>
      <c r="F47" s="148">
        <v>378142</v>
      </c>
      <c r="G47" s="29">
        <f t="shared" si="13"/>
        <v>2138958.0101391999</v>
      </c>
      <c r="H47" s="163">
        <f t="shared" si="14"/>
        <v>7.557167473295717</v>
      </c>
      <c r="I47" s="92"/>
      <c r="J47" s="92"/>
      <c r="K47" s="92"/>
      <c r="L47" s="92"/>
    </row>
    <row r="48" spans="1:12">
      <c r="A48" s="147" t="s">
        <v>128</v>
      </c>
      <c r="B48" s="150" t="s">
        <v>121</v>
      </c>
      <c r="C48" s="148">
        <v>17874.770129259199</v>
      </c>
      <c r="D48" s="148">
        <v>123416.72732251896</v>
      </c>
      <c r="E48" s="148">
        <v>36172.291812000003</v>
      </c>
      <c r="F48" s="148">
        <v>29246.018484933596</v>
      </c>
      <c r="G48" s="29">
        <f t="shared" si="13"/>
        <v>206709.80774871176</v>
      </c>
      <c r="H48" s="163">
        <f t="shared" si="14"/>
        <v>0.73032786437360397</v>
      </c>
      <c r="I48" s="92"/>
      <c r="J48" s="92"/>
      <c r="K48" s="92"/>
      <c r="L48" s="92"/>
    </row>
    <row r="49" spans="1:10">
      <c r="A49" s="147" t="s">
        <v>129</v>
      </c>
      <c r="B49" s="150" t="s">
        <v>130</v>
      </c>
      <c r="C49" s="148">
        <v>0</v>
      </c>
      <c r="D49" s="148">
        <v>0</v>
      </c>
      <c r="E49" s="148">
        <v>0</v>
      </c>
      <c r="F49" s="148">
        <v>0</v>
      </c>
      <c r="G49" s="29">
        <f t="shared" si="13"/>
        <v>0</v>
      </c>
      <c r="H49" s="164"/>
      <c r="I49" s="92"/>
      <c r="J49" s="92"/>
    </row>
    <row r="50" spans="1:10">
      <c r="A50" s="98" t="s">
        <v>117</v>
      </c>
      <c r="B50" s="165"/>
      <c r="C50" s="160">
        <v>0</v>
      </c>
      <c r="D50" s="160">
        <v>0</v>
      </c>
      <c r="E50" s="160">
        <v>0</v>
      </c>
      <c r="F50" s="160">
        <v>0</v>
      </c>
      <c r="G50" s="30">
        <f t="shared" si="13"/>
        <v>0</v>
      </c>
      <c r="H50" s="166"/>
      <c r="I50" s="92"/>
      <c r="J50" s="92"/>
    </row>
    <row r="51" spans="1:10">
      <c r="A51" s="99"/>
      <c r="B51" s="99"/>
      <c r="C51" s="130"/>
      <c r="D51" s="130"/>
      <c r="E51" s="130"/>
      <c r="F51" s="130"/>
      <c r="G51" s="31"/>
      <c r="H51" s="130"/>
      <c r="I51" s="92"/>
      <c r="J51" s="92"/>
    </row>
    <row r="52" spans="1:10" ht="15.75">
      <c r="A52" s="9" t="s">
        <v>131</v>
      </c>
      <c r="B52" s="167" t="s">
        <v>132</v>
      </c>
      <c r="C52" s="143" t="s">
        <v>80</v>
      </c>
      <c r="D52" s="143" t="s">
        <v>81</v>
      </c>
      <c r="E52" s="143" t="s">
        <v>82</v>
      </c>
      <c r="F52" s="143" t="s">
        <v>83</v>
      </c>
      <c r="G52" s="32" t="s">
        <v>84</v>
      </c>
      <c r="H52" s="144"/>
      <c r="I52" s="92"/>
      <c r="J52" s="86" t="s">
        <v>133</v>
      </c>
    </row>
    <row r="53" spans="1:10" ht="14.25" customHeight="1">
      <c r="A53" s="255" t="s">
        <v>134</v>
      </c>
      <c r="B53" s="143">
        <v>1</v>
      </c>
      <c r="C53" s="135">
        <v>2159</v>
      </c>
      <c r="D53" s="135">
        <v>1577.5</v>
      </c>
      <c r="E53" s="135">
        <v>2155</v>
      </c>
      <c r="F53" s="135">
        <v>2153.6999999999998</v>
      </c>
      <c r="G53" s="28">
        <f t="shared" ref="G53:G65" si="16">SUM(C53:F53)</f>
        <v>8045.2</v>
      </c>
      <c r="H53" s="136">
        <f>G53/$J$53</f>
        <v>0.91840182648401825</v>
      </c>
      <c r="I53" s="92"/>
      <c r="J53" s="87">
        <v>8760</v>
      </c>
    </row>
    <row r="54" spans="1:10" ht="14.25" customHeight="1">
      <c r="A54" s="256"/>
      <c r="B54" s="130">
        <v>2</v>
      </c>
      <c r="C54" s="138">
        <v>2108.5</v>
      </c>
      <c r="D54" s="138">
        <v>1677.2</v>
      </c>
      <c r="E54" s="138">
        <v>2204.6999999999998</v>
      </c>
      <c r="F54" s="138">
        <v>2143.6999999999998</v>
      </c>
      <c r="G54" s="29">
        <f t="shared" si="16"/>
        <v>8134.0999999999995</v>
      </c>
      <c r="H54" s="110">
        <f>G54/$J$53</f>
        <v>0.92855022831050227</v>
      </c>
      <c r="I54" s="92"/>
      <c r="J54" s="92"/>
    </row>
    <row r="55" spans="1:10" ht="14.25" customHeight="1">
      <c r="A55" s="256"/>
      <c r="B55" s="130">
        <v>3</v>
      </c>
      <c r="C55" s="138"/>
      <c r="D55" s="138"/>
      <c r="E55" s="138"/>
      <c r="F55" s="138"/>
      <c r="G55" s="29"/>
      <c r="H55" s="110"/>
      <c r="I55" s="92"/>
      <c r="J55" s="92"/>
    </row>
    <row r="56" spans="1:10" ht="14.25" customHeight="1">
      <c r="A56" s="256"/>
      <c r="B56" s="130">
        <v>4</v>
      </c>
      <c r="C56" s="138"/>
      <c r="D56" s="138"/>
      <c r="E56" s="138"/>
      <c r="F56" s="138"/>
      <c r="G56" s="29"/>
      <c r="H56" s="110"/>
      <c r="I56" s="92"/>
      <c r="J56" s="92"/>
    </row>
    <row r="57" spans="1:10" ht="14.25" customHeight="1">
      <c r="A57" s="256"/>
      <c r="B57" s="130">
        <v>5</v>
      </c>
      <c r="C57" s="138"/>
      <c r="D57" s="138"/>
      <c r="E57" s="138"/>
      <c r="F57" s="138"/>
      <c r="G57" s="29"/>
      <c r="H57" s="110"/>
      <c r="I57" s="92"/>
      <c r="J57" s="92"/>
    </row>
    <row r="58" spans="1:10" ht="14.25" customHeight="1">
      <c r="A58" s="147" t="s">
        <v>135</v>
      </c>
      <c r="B58" s="130"/>
      <c r="C58" s="138"/>
      <c r="D58" s="138"/>
      <c r="E58" s="138"/>
      <c r="F58" s="138"/>
      <c r="G58" s="29">
        <f>AVERAGE(G53:G57)</f>
        <v>8089.65</v>
      </c>
      <c r="H58" s="110">
        <f>G58/$J$53</f>
        <v>0.9234760273972602</v>
      </c>
      <c r="I58" s="92"/>
      <c r="J58" s="92"/>
    </row>
    <row r="59" spans="1:10" ht="14.25" customHeight="1">
      <c r="A59" s="147" t="s">
        <v>136</v>
      </c>
      <c r="B59" s="130">
        <v>1</v>
      </c>
      <c r="C59" s="138">
        <v>2158.9499999999998</v>
      </c>
      <c r="D59" s="138">
        <v>1675.95</v>
      </c>
      <c r="E59" s="138">
        <v>2206.3919999999998</v>
      </c>
      <c r="F59" s="138">
        <v>2207.1579999999999</v>
      </c>
      <c r="G59" s="29">
        <f t="shared" si="16"/>
        <v>8248.4499999999989</v>
      </c>
      <c r="H59" s="110">
        <f>G59/$J$53</f>
        <v>0.94160388127853867</v>
      </c>
      <c r="I59" s="92"/>
      <c r="J59" s="92"/>
    </row>
    <row r="60" spans="1:10">
      <c r="A60" s="147" t="s">
        <v>136</v>
      </c>
      <c r="B60" s="130">
        <v>2</v>
      </c>
      <c r="C60" s="148"/>
      <c r="D60" s="148"/>
      <c r="E60" s="148"/>
      <c r="F60" s="148"/>
      <c r="G60" s="29">
        <f t="shared" si="16"/>
        <v>0</v>
      </c>
      <c r="H60" s="110"/>
      <c r="I60" s="92"/>
      <c r="J60" s="92"/>
    </row>
    <row r="61" spans="1:10">
      <c r="A61" s="147" t="s">
        <v>137</v>
      </c>
      <c r="B61" s="130"/>
      <c r="C61" s="148"/>
      <c r="D61" s="148"/>
      <c r="E61" s="148"/>
      <c r="F61" s="148"/>
      <c r="G61" s="29">
        <f t="shared" si="16"/>
        <v>0</v>
      </c>
      <c r="H61" s="110" t="str">
        <f>IF(B61&gt;0,G60/J53,"n/a")</f>
        <v>n/a</v>
      </c>
      <c r="I61" s="92"/>
      <c r="J61" s="92"/>
    </row>
    <row r="62" spans="1:10">
      <c r="A62" s="147" t="s">
        <v>138</v>
      </c>
      <c r="B62" s="130" t="s">
        <v>139</v>
      </c>
      <c r="C62" s="148">
        <v>9137.2482709293399</v>
      </c>
      <c r="D62" s="148">
        <v>8779.9845723922517</v>
      </c>
      <c r="E62" s="148">
        <v>9185.7759051971334</v>
      </c>
      <c r="F62" s="148">
        <v>8870.9023273809526</v>
      </c>
      <c r="G62" s="29"/>
      <c r="H62" s="168" t="s">
        <v>140</v>
      </c>
      <c r="I62" s="92"/>
      <c r="J62" s="92"/>
    </row>
    <row r="63" spans="1:10">
      <c r="A63" s="147" t="s">
        <v>141</v>
      </c>
      <c r="B63" s="130" t="s">
        <v>142</v>
      </c>
      <c r="C63" s="148">
        <v>0</v>
      </c>
      <c r="D63" s="148">
        <v>0</v>
      </c>
      <c r="E63" s="148">
        <v>0</v>
      </c>
      <c r="F63" s="148">
        <v>0</v>
      </c>
      <c r="G63" s="29">
        <f t="shared" si="16"/>
        <v>0</v>
      </c>
      <c r="H63" s="149" t="str">
        <f>IF(G63&gt;0,"yes","no")</f>
        <v>no</v>
      </c>
      <c r="I63" s="92"/>
      <c r="J63" s="92"/>
    </row>
    <row r="64" spans="1:10">
      <c r="A64" s="147" t="s">
        <v>143</v>
      </c>
      <c r="B64" s="130" t="s">
        <v>144</v>
      </c>
      <c r="C64" s="148">
        <v>0</v>
      </c>
      <c r="D64" s="148">
        <v>0</v>
      </c>
      <c r="E64" s="148">
        <v>0</v>
      </c>
      <c r="F64" s="148">
        <v>0</v>
      </c>
      <c r="G64" s="29">
        <f t="shared" si="16"/>
        <v>0</v>
      </c>
      <c r="H64" s="169">
        <f>+(G64)/J53</f>
        <v>0</v>
      </c>
      <c r="I64" s="92"/>
      <c r="J64" s="92"/>
    </row>
    <row r="65" spans="1:8">
      <c r="A65" s="98" t="s">
        <v>145</v>
      </c>
      <c r="B65" s="170" t="s">
        <v>142</v>
      </c>
      <c r="C65" s="160">
        <v>2</v>
      </c>
      <c r="D65" s="160">
        <v>1</v>
      </c>
      <c r="E65" s="160">
        <v>1</v>
      </c>
      <c r="F65" s="160">
        <v>0</v>
      </c>
      <c r="G65" s="30">
        <f t="shared" si="16"/>
        <v>4</v>
      </c>
      <c r="H65" s="171" t="str">
        <f>IF(G65&gt;0,"yes","no")</f>
        <v>yes</v>
      </c>
    </row>
    <row r="78" spans="1:8">
      <c r="A78" s="92"/>
      <c r="B78" s="99"/>
      <c r="C78" s="99"/>
      <c r="D78" s="99"/>
      <c r="E78" s="99"/>
      <c r="F78" s="3"/>
      <c r="H78" s="130"/>
    </row>
  </sheetData>
  <mergeCells count="8">
    <mergeCell ref="A53:A57"/>
    <mergeCell ref="K6:K7"/>
    <mergeCell ref="K8:K19"/>
    <mergeCell ref="B34:B39"/>
    <mergeCell ref="B4:C4"/>
    <mergeCell ref="B8:B20"/>
    <mergeCell ref="B24:B27"/>
    <mergeCell ref="B29:B30"/>
  </mergeCells>
  <phoneticPr fontId="25" type="noConversion"/>
  <pageMargins left="0.7" right="0.7" top="0.75" bottom="0.75" header="0.3" footer="0.3"/>
  <pageSetup paperSize="9" scale="86" orientation="portrait" r:id="rId1"/>
  <headerFooter scaleWithDoc="0">
    <oddFooter>&amp;C&amp;"Arial,Regular"Page &amp;P</oddFooter>
  </headerFooter>
  <rowBreaks count="1" manualBreakCount="1">
    <brk id="50" max="16383" man="1"/>
  </rowBreaks>
  <ignoredErrors>
    <ignoredError sqref="G59:G60 G54"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topLeftCell="A28" zoomScaleNormal="100" zoomScaleSheetLayoutView="115" workbookViewId="0">
      <selection activeCell="L26" sqref="L26"/>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2" t="str">
        <f>+'Cover Page'!$B$29</f>
        <v>Annual Performance Report 2022</v>
      </c>
      <c r="B1" s="92"/>
      <c r="C1" s="92"/>
      <c r="D1" s="92"/>
      <c r="E1" s="92" t="str">
        <f>+'Cover Page'!$B$33</f>
        <v>Suffolk Energy from Waste Facility</v>
      </c>
      <c r="F1" s="92"/>
      <c r="G1" s="92"/>
      <c r="H1" s="92"/>
      <c r="I1" s="92"/>
      <c r="J1" s="92"/>
      <c r="K1" s="92"/>
      <c r="L1" s="92"/>
      <c r="M1" s="92"/>
      <c r="N1" s="92"/>
    </row>
    <row r="3" spans="1:14" ht="15.75">
      <c r="A3" s="51" t="s">
        <v>146</v>
      </c>
      <c r="B3" s="125"/>
      <c r="C3" s="125"/>
      <c r="D3" s="125"/>
      <c r="E3" s="125"/>
      <c r="F3" s="125"/>
      <c r="G3" s="195"/>
      <c r="H3" s="125"/>
      <c r="I3" s="126"/>
      <c r="J3" s="92"/>
      <c r="K3" s="81" t="s">
        <v>3</v>
      </c>
      <c r="L3" s="92"/>
      <c r="M3" s="92"/>
      <c r="N3" s="92"/>
    </row>
    <row r="4" spans="1:14">
      <c r="A4" s="127"/>
      <c r="B4" s="128"/>
      <c r="C4" s="128"/>
      <c r="D4" s="128"/>
      <c r="E4" s="128"/>
      <c r="F4" s="128"/>
      <c r="G4" s="128"/>
      <c r="H4" s="128"/>
      <c r="I4" s="129"/>
      <c r="J4" s="92"/>
      <c r="K4" s="92"/>
      <c r="L4" s="92"/>
      <c r="M4" s="92"/>
      <c r="N4" s="92"/>
    </row>
    <row r="5" spans="1:14" ht="15.75" customHeight="1">
      <c r="A5" s="237" t="s">
        <v>147</v>
      </c>
      <c r="B5" s="238"/>
      <c r="C5" s="238"/>
      <c r="D5" s="238"/>
      <c r="E5" s="238"/>
      <c r="F5" s="238"/>
      <c r="G5" s="238"/>
      <c r="H5" s="238"/>
      <c r="I5" s="239"/>
      <c r="J5" s="92"/>
      <c r="K5" s="254" t="s">
        <v>148</v>
      </c>
      <c r="L5" s="254"/>
      <c r="M5" s="254"/>
      <c r="N5" s="254"/>
    </row>
    <row r="6" spans="1:14">
      <c r="A6" s="240"/>
      <c r="B6" s="241"/>
      <c r="C6" s="241"/>
      <c r="D6" s="241"/>
      <c r="E6" s="241"/>
      <c r="F6" s="241"/>
      <c r="G6" s="241"/>
      <c r="H6" s="241"/>
      <c r="I6" s="242"/>
      <c r="J6" s="92"/>
      <c r="K6" s="254"/>
      <c r="L6" s="254"/>
      <c r="M6" s="254"/>
      <c r="N6" s="254"/>
    </row>
    <row r="7" spans="1:14">
      <c r="A7" s="240"/>
      <c r="B7" s="241"/>
      <c r="C7" s="241"/>
      <c r="D7" s="241"/>
      <c r="E7" s="241"/>
      <c r="F7" s="241"/>
      <c r="G7" s="241"/>
      <c r="H7" s="241"/>
      <c r="I7" s="242"/>
      <c r="J7" s="92"/>
      <c r="K7" s="254"/>
      <c r="L7" s="254"/>
      <c r="M7" s="254"/>
      <c r="N7" s="254"/>
    </row>
    <row r="8" spans="1:14" ht="15.75" customHeight="1">
      <c r="A8" s="240"/>
      <c r="B8" s="241"/>
      <c r="C8" s="241"/>
      <c r="D8" s="241"/>
      <c r="E8" s="241"/>
      <c r="F8" s="241"/>
      <c r="G8" s="241"/>
      <c r="H8" s="241"/>
      <c r="I8" s="242"/>
      <c r="J8" s="92"/>
      <c r="K8" s="254"/>
      <c r="L8" s="254"/>
      <c r="M8" s="254"/>
      <c r="N8" s="254"/>
    </row>
    <row r="9" spans="1:14" ht="15.75" customHeight="1">
      <c r="A9" s="240"/>
      <c r="B9" s="241"/>
      <c r="C9" s="241"/>
      <c r="D9" s="241"/>
      <c r="E9" s="241"/>
      <c r="F9" s="241"/>
      <c r="G9" s="241"/>
      <c r="H9" s="241"/>
      <c r="I9" s="242"/>
      <c r="J9" s="92"/>
      <c r="K9" s="254"/>
      <c r="L9" s="254"/>
      <c r="M9" s="254"/>
      <c r="N9" s="254"/>
    </row>
    <row r="10" spans="1:14" ht="5.25" customHeight="1">
      <c r="A10" s="240"/>
      <c r="B10" s="241"/>
      <c r="C10" s="241"/>
      <c r="D10" s="241"/>
      <c r="E10" s="241"/>
      <c r="F10" s="241"/>
      <c r="G10" s="241"/>
      <c r="H10" s="241"/>
      <c r="I10" s="242"/>
      <c r="J10" s="92"/>
      <c r="K10" s="254"/>
      <c r="L10" s="254"/>
      <c r="M10" s="254"/>
      <c r="N10" s="254"/>
    </row>
    <row r="11" spans="1:14" ht="15.75" customHeight="1">
      <c r="A11" s="240"/>
      <c r="B11" s="241"/>
      <c r="C11" s="241"/>
      <c r="D11" s="241"/>
      <c r="E11" s="241"/>
      <c r="F11" s="241"/>
      <c r="G11" s="241"/>
      <c r="H11" s="241"/>
      <c r="I11" s="242"/>
      <c r="J11" s="92"/>
      <c r="K11" s="254"/>
      <c r="L11" s="254"/>
      <c r="M11" s="254"/>
      <c r="N11" s="254"/>
    </row>
    <row r="12" spans="1:14" ht="15.75" customHeight="1">
      <c r="A12" s="240"/>
      <c r="B12" s="241"/>
      <c r="C12" s="241"/>
      <c r="D12" s="241"/>
      <c r="E12" s="241"/>
      <c r="F12" s="241"/>
      <c r="G12" s="241"/>
      <c r="H12" s="241"/>
      <c r="I12" s="242"/>
      <c r="J12" s="92"/>
      <c r="K12" s="254"/>
      <c r="L12" s="254"/>
      <c r="M12" s="254"/>
      <c r="N12" s="254"/>
    </row>
    <row r="13" spans="1:14" ht="13.5" customHeight="1">
      <c r="A13" s="240"/>
      <c r="B13" s="241"/>
      <c r="C13" s="241"/>
      <c r="D13" s="241"/>
      <c r="E13" s="241"/>
      <c r="F13" s="241"/>
      <c r="G13" s="241"/>
      <c r="H13" s="241"/>
      <c r="I13" s="242"/>
      <c r="J13" s="92"/>
      <c r="K13" s="254"/>
      <c r="L13" s="254"/>
      <c r="M13" s="254"/>
      <c r="N13" s="254"/>
    </row>
    <row r="14" spans="1:14" ht="15.75" hidden="1" customHeight="1">
      <c r="A14" s="240"/>
      <c r="B14" s="241"/>
      <c r="C14" s="241"/>
      <c r="D14" s="241"/>
      <c r="E14" s="241"/>
      <c r="F14" s="241"/>
      <c r="G14" s="241"/>
      <c r="H14" s="241"/>
      <c r="I14" s="242"/>
      <c r="J14" s="92"/>
      <c r="K14" s="254"/>
      <c r="L14" s="254"/>
      <c r="M14" s="254"/>
      <c r="N14" s="254"/>
    </row>
    <row r="15" spans="1:14" ht="15.75" customHeight="1">
      <c r="A15" s="240"/>
      <c r="B15" s="241"/>
      <c r="C15" s="241"/>
      <c r="D15" s="241"/>
      <c r="E15" s="241"/>
      <c r="F15" s="241"/>
      <c r="G15" s="241"/>
      <c r="H15" s="241"/>
      <c r="I15" s="242"/>
      <c r="J15" s="92"/>
      <c r="K15" s="92"/>
      <c r="L15" s="92"/>
      <c r="M15" s="92"/>
      <c r="N15" s="92"/>
    </row>
    <row r="16" spans="1:14" ht="4.5" customHeight="1">
      <c r="A16" s="240"/>
      <c r="B16" s="241"/>
      <c r="C16" s="241"/>
      <c r="D16" s="241"/>
      <c r="E16" s="241"/>
      <c r="F16" s="241"/>
      <c r="G16" s="241"/>
      <c r="H16" s="241"/>
      <c r="I16" s="242"/>
      <c r="J16" s="92"/>
      <c r="K16" s="92"/>
      <c r="L16" s="92"/>
      <c r="M16" s="92"/>
      <c r="N16" s="92"/>
    </row>
    <row r="17" spans="1:14" ht="15.75" customHeight="1">
      <c r="A17" s="240"/>
      <c r="B17" s="241"/>
      <c r="C17" s="241"/>
      <c r="D17" s="241"/>
      <c r="E17" s="241"/>
      <c r="F17" s="241"/>
      <c r="G17" s="241"/>
      <c r="H17" s="241"/>
      <c r="I17" s="242"/>
      <c r="J17" s="92"/>
      <c r="K17" s="92"/>
      <c r="L17" s="92"/>
      <c r="M17" s="92"/>
      <c r="N17" s="92"/>
    </row>
    <row r="18" spans="1:14" ht="6" customHeight="1">
      <c r="A18" s="240"/>
      <c r="B18" s="241"/>
      <c r="C18" s="241"/>
      <c r="D18" s="241"/>
      <c r="E18" s="241"/>
      <c r="F18" s="241"/>
      <c r="G18" s="241"/>
      <c r="H18" s="241"/>
      <c r="I18" s="242"/>
      <c r="J18" s="92"/>
      <c r="K18" s="92"/>
      <c r="L18" s="92"/>
      <c r="M18" s="92"/>
      <c r="N18" s="92"/>
    </row>
    <row r="19" spans="1:14" ht="10.5" customHeight="1">
      <c r="A19" s="240"/>
      <c r="B19" s="241"/>
      <c r="C19" s="241"/>
      <c r="D19" s="241"/>
      <c r="E19" s="241"/>
      <c r="F19" s="241"/>
      <c r="G19" s="241"/>
      <c r="H19" s="241"/>
      <c r="I19" s="242"/>
      <c r="J19" s="92"/>
      <c r="K19" s="92"/>
      <c r="L19" s="92"/>
      <c r="M19" s="92"/>
      <c r="N19" s="92"/>
    </row>
    <row r="20" spans="1:14" ht="6" customHeight="1">
      <c r="A20" s="240"/>
      <c r="B20" s="241"/>
      <c r="C20" s="241"/>
      <c r="D20" s="241"/>
      <c r="E20" s="241"/>
      <c r="F20" s="241"/>
      <c r="G20" s="241"/>
      <c r="H20" s="241"/>
      <c r="I20" s="242"/>
      <c r="J20" s="92"/>
      <c r="K20" s="92"/>
      <c r="L20" s="92"/>
      <c r="M20" s="92"/>
      <c r="N20" s="92"/>
    </row>
    <row r="21" spans="1:14" ht="3" customHeight="1">
      <c r="A21" s="240"/>
      <c r="B21" s="241"/>
      <c r="C21" s="241"/>
      <c r="D21" s="241"/>
      <c r="E21" s="241"/>
      <c r="F21" s="241"/>
      <c r="G21" s="241"/>
      <c r="H21" s="241"/>
      <c r="I21" s="242"/>
      <c r="J21" s="92"/>
      <c r="K21" s="92"/>
      <c r="L21" s="92"/>
      <c r="M21" s="92"/>
      <c r="N21" s="92"/>
    </row>
    <row r="22" spans="1:14" ht="6" customHeight="1">
      <c r="A22" s="240"/>
      <c r="B22" s="241"/>
      <c r="C22" s="241"/>
      <c r="D22" s="241"/>
      <c r="E22" s="241"/>
      <c r="F22" s="241"/>
      <c r="G22" s="241"/>
      <c r="H22" s="241"/>
      <c r="I22" s="242"/>
      <c r="J22" s="92"/>
      <c r="K22" s="94"/>
      <c r="L22" s="94"/>
      <c r="M22" s="94"/>
      <c r="N22" s="94"/>
    </row>
    <row r="23" spans="1:14" ht="7.5" customHeight="1">
      <c r="A23" s="240"/>
      <c r="B23" s="241"/>
      <c r="C23" s="241"/>
      <c r="D23" s="241"/>
      <c r="E23" s="241"/>
      <c r="F23" s="241"/>
      <c r="G23" s="241"/>
      <c r="H23" s="241"/>
      <c r="I23" s="242"/>
      <c r="J23" s="92"/>
      <c r="K23" s="94"/>
      <c r="L23" s="94"/>
      <c r="M23" s="94"/>
      <c r="N23" s="94"/>
    </row>
    <row r="24" spans="1:14" ht="7.5" customHeight="1">
      <c r="A24" s="240"/>
      <c r="B24" s="241"/>
      <c r="C24" s="241"/>
      <c r="D24" s="241"/>
      <c r="E24" s="241"/>
      <c r="F24" s="241"/>
      <c r="G24" s="241"/>
      <c r="H24" s="241"/>
      <c r="I24" s="242"/>
      <c r="J24" s="92"/>
      <c r="K24" s="94"/>
      <c r="L24" s="94"/>
      <c r="M24" s="94"/>
      <c r="N24" s="94"/>
    </row>
    <row r="25" spans="1:14">
      <c r="A25" s="240"/>
      <c r="B25" s="241"/>
      <c r="C25" s="241"/>
      <c r="D25" s="241"/>
      <c r="E25" s="241"/>
      <c r="F25" s="241"/>
      <c r="G25" s="241"/>
      <c r="H25" s="241"/>
      <c r="I25" s="242"/>
      <c r="J25" s="92"/>
      <c r="K25" s="94"/>
      <c r="L25" s="94"/>
      <c r="M25" s="94"/>
      <c r="N25" s="94"/>
    </row>
    <row r="26" spans="1:14">
      <c r="A26" s="240"/>
      <c r="B26" s="241"/>
      <c r="C26" s="241"/>
      <c r="D26" s="241"/>
      <c r="E26" s="241"/>
      <c r="F26" s="241"/>
      <c r="G26" s="241"/>
      <c r="H26" s="241"/>
      <c r="I26" s="242"/>
      <c r="J26" s="92"/>
      <c r="K26" s="94"/>
      <c r="L26" s="94"/>
      <c r="M26" s="94"/>
      <c r="N26" s="94"/>
    </row>
    <row r="27" spans="1:14">
      <c r="A27" s="243"/>
      <c r="B27" s="244"/>
      <c r="C27" s="244"/>
      <c r="D27" s="244"/>
      <c r="E27" s="244"/>
      <c r="F27" s="244"/>
      <c r="G27" s="244"/>
      <c r="H27" s="244"/>
      <c r="I27" s="245"/>
      <c r="J27" s="92"/>
      <c r="K27" s="94"/>
      <c r="L27" s="94"/>
      <c r="M27" s="94"/>
      <c r="N27" s="94"/>
    </row>
    <row r="28" spans="1:14">
      <c r="A28" s="92"/>
      <c r="B28" s="92"/>
      <c r="C28" s="92"/>
      <c r="D28" s="92"/>
      <c r="E28" s="92"/>
      <c r="F28" s="92"/>
      <c r="G28" s="92"/>
      <c r="H28" s="92"/>
      <c r="I28" s="92"/>
      <c r="J28" s="92"/>
      <c r="K28" s="94"/>
      <c r="L28" s="94"/>
      <c r="M28" s="94"/>
      <c r="N28" s="94"/>
    </row>
    <row r="29" spans="1:14" ht="15.75">
      <c r="A29" s="51" t="s">
        <v>149</v>
      </c>
      <c r="B29" s="125"/>
      <c r="C29" s="125"/>
      <c r="D29" s="125"/>
      <c r="E29" s="125"/>
      <c r="F29" s="125"/>
      <c r="G29" s="125"/>
      <c r="H29" s="205"/>
      <c r="I29" s="126"/>
      <c r="J29" s="92"/>
      <c r="K29" s="94"/>
      <c r="L29" s="94"/>
      <c r="M29" s="94"/>
      <c r="N29" s="94"/>
    </row>
    <row r="30" spans="1:14">
      <c r="A30" s="127"/>
      <c r="B30" s="128"/>
      <c r="C30" s="128"/>
      <c r="D30" s="128"/>
      <c r="E30" s="128"/>
      <c r="F30" s="128"/>
      <c r="G30" s="128"/>
      <c r="H30" s="128"/>
      <c r="I30" s="129"/>
      <c r="J30" s="92"/>
      <c r="K30" s="94"/>
      <c r="L30" s="94"/>
      <c r="M30" s="94"/>
      <c r="N30" s="94"/>
    </row>
    <row r="31" spans="1:14">
      <c r="A31" s="237" t="s">
        <v>150</v>
      </c>
      <c r="B31" s="246"/>
      <c r="C31" s="246"/>
      <c r="D31" s="246"/>
      <c r="E31" s="246"/>
      <c r="F31" s="246"/>
      <c r="G31" s="246"/>
      <c r="H31" s="246"/>
      <c r="I31" s="247"/>
      <c r="J31" s="92"/>
      <c r="K31" s="254" t="s">
        <v>151</v>
      </c>
      <c r="L31" s="254"/>
      <c r="M31" s="254"/>
      <c r="N31" s="254"/>
    </row>
    <row r="32" spans="1:14">
      <c r="A32" s="248"/>
      <c r="B32" s="249"/>
      <c r="C32" s="249"/>
      <c r="D32" s="249"/>
      <c r="E32" s="249"/>
      <c r="F32" s="249"/>
      <c r="G32" s="249"/>
      <c r="H32" s="249"/>
      <c r="I32" s="250"/>
      <c r="J32" s="92"/>
      <c r="K32" s="254"/>
      <c r="L32" s="254"/>
      <c r="M32" s="254"/>
      <c r="N32" s="254"/>
    </row>
    <row r="33" spans="1:14">
      <c r="A33" s="248"/>
      <c r="B33" s="249"/>
      <c r="C33" s="249"/>
      <c r="D33" s="249"/>
      <c r="E33" s="249"/>
      <c r="F33" s="249"/>
      <c r="G33" s="249"/>
      <c r="H33" s="249"/>
      <c r="I33" s="250"/>
      <c r="J33" s="92"/>
      <c r="K33" s="254"/>
      <c r="L33" s="254"/>
      <c r="M33" s="254"/>
      <c r="N33" s="254"/>
    </row>
    <row r="34" spans="1:14">
      <c r="A34" s="248"/>
      <c r="B34" s="249"/>
      <c r="C34" s="249"/>
      <c r="D34" s="249"/>
      <c r="E34" s="249"/>
      <c r="F34" s="249"/>
      <c r="G34" s="249"/>
      <c r="H34" s="249"/>
      <c r="I34" s="250"/>
      <c r="J34" s="92"/>
      <c r="K34" s="254"/>
      <c r="L34" s="254"/>
      <c r="M34" s="254"/>
      <c r="N34" s="254"/>
    </row>
    <row r="35" spans="1:14">
      <c r="A35" s="248"/>
      <c r="B35" s="249"/>
      <c r="C35" s="249"/>
      <c r="D35" s="249"/>
      <c r="E35" s="249"/>
      <c r="F35" s="249"/>
      <c r="G35" s="249"/>
      <c r="H35" s="249"/>
      <c r="I35" s="250"/>
      <c r="J35" s="92"/>
      <c r="K35" s="254"/>
      <c r="L35" s="254"/>
      <c r="M35" s="254"/>
      <c r="N35" s="254"/>
    </row>
    <row r="36" spans="1:14">
      <c r="A36" s="248"/>
      <c r="B36" s="249"/>
      <c r="C36" s="249"/>
      <c r="D36" s="249"/>
      <c r="E36" s="249"/>
      <c r="F36" s="249"/>
      <c r="G36" s="249"/>
      <c r="H36" s="249"/>
      <c r="I36" s="250"/>
      <c r="J36" s="92"/>
      <c r="K36" s="254"/>
      <c r="L36" s="254"/>
      <c r="M36" s="254"/>
      <c r="N36" s="254"/>
    </row>
    <row r="37" spans="1:14">
      <c r="A37" s="248"/>
      <c r="B37" s="249"/>
      <c r="C37" s="249"/>
      <c r="D37" s="249"/>
      <c r="E37" s="249"/>
      <c r="F37" s="249"/>
      <c r="G37" s="249"/>
      <c r="H37" s="249"/>
      <c r="I37" s="250"/>
      <c r="J37" s="92"/>
      <c r="K37" s="254"/>
      <c r="L37" s="254"/>
      <c r="M37" s="254"/>
      <c r="N37" s="254"/>
    </row>
    <row r="38" spans="1:14" ht="14.25" customHeight="1">
      <c r="A38" s="248"/>
      <c r="B38" s="249"/>
      <c r="C38" s="249"/>
      <c r="D38" s="249"/>
      <c r="E38" s="249"/>
      <c r="F38" s="249"/>
      <c r="G38" s="249"/>
      <c r="H38" s="249"/>
      <c r="I38" s="250"/>
      <c r="J38" s="92"/>
      <c r="K38" s="254"/>
      <c r="L38" s="254"/>
      <c r="M38" s="254"/>
      <c r="N38" s="254"/>
    </row>
    <row r="39" spans="1:14">
      <c r="A39" s="248"/>
      <c r="B39" s="249"/>
      <c r="C39" s="249"/>
      <c r="D39" s="249"/>
      <c r="E39" s="249"/>
      <c r="F39" s="249"/>
      <c r="G39" s="249"/>
      <c r="H39" s="249"/>
      <c r="I39" s="250"/>
      <c r="J39" s="92"/>
      <c r="K39" s="254"/>
      <c r="L39" s="254"/>
      <c r="M39" s="254"/>
      <c r="N39" s="254"/>
    </row>
    <row r="40" spans="1:14">
      <c r="A40" s="248"/>
      <c r="B40" s="249"/>
      <c r="C40" s="249"/>
      <c r="D40" s="249"/>
      <c r="E40" s="249"/>
      <c r="F40" s="249"/>
      <c r="G40" s="249"/>
      <c r="H40" s="249"/>
      <c r="I40" s="250"/>
      <c r="J40" s="92"/>
      <c r="K40" s="254"/>
      <c r="L40" s="254"/>
      <c r="M40" s="254"/>
      <c r="N40" s="254"/>
    </row>
    <row r="41" spans="1:14">
      <c r="A41" s="248"/>
      <c r="B41" s="249"/>
      <c r="C41" s="249"/>
      <c r="D41" s="249"/>
      <c r="E41" s="249"/>
      <c r="F41" s="249"/>
      <c r="G41" s="249"/>
      <c r="H41" s="249"/>
      <c r="I41" s="250"/>
      <c r="J41" s="92"/>
      <c r="K41" s="92"/>
      <c r="L41" s="92"/>
      <c r="M41" s="92"/>
      <c r="N41" s="92"/>
    </row>
    <row r="42" spans="1:14">
      <c r="A42" s="248"/>
      <c r="B42" s="249"/>
      <c r="C42" s="249"/>
      <c r="D42" s="249"/>
      <c r="E42" s="249"/>
      <c r="F42" s="249"/>
      <c r="G42" s="249"/>
      <c r="H42" s="249"/>
      <c r="I42" s="250"/>
      <c r="J42" s="92"/>
      <c r="K42" s="92"/>
      <c r="L42" s="92"/>
      <c r="M42" s="92"/>
      <c r="N42" s="92"/>
    </row>
    <row r="43" spans="1:14">
      <c r="A43" s="248"/>
      <c r="B43" s="249"/>
      <c r="C43" s="249"/>
      <c r="D43" s="249"/>
      <c r="E43" s="249"/>
      <c r="F43" s="249"/>
      <c r="G43" s="249"/>
      <c r="H43" s="249"/>
      <c r="I43" s="250"/>
      <c r="J43" s="92"/>
      <c r="K43" s="92"/>
      <c r="L43" s="92"/>
      <c r="M43" s="92"/>
      <c r="N43" s="92"/>
    </row>
    <row r="44" spans="1:14">
      <c r="A44" s="248"/>
      <c r="B44" s="249"/>
      <c r="C44" s="249"/>
      <c r="D44" s="249"/>
      <c r="E44" s="249"/>
      <c r="F44" s="249"/>
      <c r="G44" s="249"/>
      <c r="H44" s="249"/>
      <c r="I44" s="250"/>
      <c r="J44" s="92"/>
      <c r="K44" s="92"/>
      <c r="L44" s="92"/>
      <c r="M44" s="92"/>
      <c r="N44" s="92"/>
    </row>
    <row r="45" spans="1:14">
      <c r="A45" s="248"/>
      <c r="B45" s="249"/>
      <c r="C45" s="249"/>
      <c r="D45" s="249"/>
      <c r="E45" s="249"/>
      <c r="F45" s="249"/>
      <c r="G45" s="249"/>
      <c r="H45" s="249"/>
      <c r="I45" s="250"/>
      <c r="J45" s="92"/>
      <c r="K45" s="92"/>
      <c r="L45" s="92"/>
      <c r="M45" s="92"/>
      <c r="N45" s="92"/>
    </row>
    <row r="46" spans="1:14">
      <c r="A46" s="248"/>
      <c r="B46" s="249"/>
      <c r="C46" s="249"/>
      <c r="D46" s="249"/>
      <c r="E46" s="249"/>
      <c r="F46" s="249"/>
      <c r="G46" s="249"/>
      <c r="H46" s="249"/>
      <c r="I46" s="250"/>
      <c r="J46" s="92"/>
      <c r="K46" s="92"/>
      <c r="L46" s="92"/>
      <c r="M46" s="92"/>
      <c r="N46" s="92"/>
    </row>
    <row r="47" spans="1:14">
      <c r="A47" s="248"/>
      <c r="B47" s="249"/>
      <c r="C47" s="249"/>
      <c r="D47" s="249"/>
      <c r="E47" s="249"/>
      <c r="F47" s="249"/>
      <c r="G47" s="249"/>
      <c r="H47" s="249"/>
      <c r="I47" s="250"/>
      <c r="J47" s="92"/>
      <c r="K47" s="92"/>
      <c r="L47" s="92"/>
      <c r="M47" s="92"/>
      <c r="N47" s="92"/>
    </row>
    <row r="48" spans="1:14">
      <c r="A48" s="248"/>
      <c r="B48" s="249"/>
      <c r="C48" s="249"/>
      <c r="D48" s="249"/>
      <c r="E48" s="249"/>
      <c r="F48" s="249"/>
      <c r="G48" s="249"/>
      <c r="H48" s="249"/>
      <c r="I48" s="250"/>
      <c r="J48" s="92"/>
      <c r="K48" s="92"/>
      <c r="L48" s="92"/>
      <c r="M48" s="92"/>
      <c r="N48" s="92"/>
    </row>
    <row r="49" spans="1:9">
      <c r="A49" s="248"/>
      <c r="B49" s="249"/>
      <c r="C49" s="249"/>
      <c r="D49" s="249"/>
      <c r="E49" s="249"/>
      <c r="F49" s="249"/>
      <c r="G49" s="249"/>
      <c r="H49" s="249"/>
      <c r="I49" s="250"/>
    </row>
    <row r="50" spans="1:9">
      <c r="A50" s="248"/>
      <c r="B50" s="249"/>
      <c r="C50" s="249"/>
      <c r="D50" s="249"/>
      <c r="E50" s="249"/>
      <c r="F50" s="249"/>
      <c r="G50" s="249"/>
      <c r="H50" s="249"/>
      <c r="I50" s="250"/>
    </row>
    <row r="51" spans="1:9">
      <c r="A51" s="248"/>
      <c r="B51" s="249"/>
      <c r="C51" s="249"/>
      <c r="D51" s="249"/>
      <c r="E51" s="249"/>
      <c r="F51" s="249"/>
      <c r="G51" s="249"/>
      <c r="H51" s="249"/>
      <c r="I51" s="250"/>
    </row>
    <row r="52" spans="1:9">
      <c r="A52" s="251"/>
      <c r="B52" s="252"/>
      <c r="C52" s="252"/>
      <c r="D52" s="252"/>
      <c r="E52" s="252"/>
      <c r="F52" s="252"/>
      <c r="G52" s="252"/>
      <c r="H52" s="252"/>
      <c r="I52" s="253"/>
    </row>
    <row r="66" spans="6:6">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zoomScaleNormal="100" zoomScaleSheetLayoutView="160" workbookViewId="0">
      <selection activeCell="L26" sqref="L26"/>
    </sheetView>
  </sheetViews>
  <sheetFormatPr defaultColWidth="9.28515625" defaultRowHeight="15"/>
  <cols>
    <col min="1" max="7" width="9.28515625" style="2"/>
    <col min="8" max="8" width="11.28515625" style="2" bestFit="1" customWidth="1"/>
    <col min="9" max="16384" width="9.28515625" style="2"/>
  </cols>
  <sheetData>
    <row r="1" spans="1:10" ht="15.75">
      <c r="A1" s="33">
        <f>+'Cover Page'!C39</f>
        <v>2022</v>
      </c>
      <c r="B1" s="34" t="s">
        <v>152</v>
      </c>
      <c r="C1" s="34"/>
      <c r="D1" s="34"/>
      <c r="E1" s="34"/>
      <c r="F1" s="34"/>
      <c r="G1" s="34"/>
      <c r="H1" s="34"/>
      <c r="I1" s="34"/>
      <c r="J1" s="34"/>
    </row>
    <row r="2" spans="1:10" ht="8.25" customHeight="1">
      <c r="A2" s="92"/>
      <c r="B2" s="92"/>
      <c r="C2" s="92"/>
      <c r="D2" s="92"/>
      <c r="E2" s="92"/>
      <c r="F2" s="92"/>
      <c r="G2" s="92"/>
      <c r="H2" s="92"/>
      <c r="I2" s="92"/>
      <c r="J2" s="92"/>
    </row>
    <row r="3" spans="1:10" s="3" customFormat="1" ht="14.25">
      <c r="A3" s="268" t="str">
        <f>+'Cover Page'!B31</f>
        <v>Permit EPR/WP3438HZ</v>
      </c>
      <c r="B3" s="268"/>
      <c r="C3" s="268"/>
      <c r="D3" s="268"/>
      <c r="E3" s="268"/>
      <c r="F3" s="3" t="s">
        <v>153</v>
      </c>
      <c r="G3" s="189" t="str">
        <f>+'Cover Page'!B37:B37</f>
        <v>SUEZ Recycling and Recovery Suffolk Ltd</v>
      </c>
      <c r="H3" s="192"/>
      <c r="I3" s="192"/>
    </row>
    <row r="4" spans="1:10" s="3" customFormat="1" ht="14.25">
      <c r="A4" s="3" t="s">
        <v>154</v>
      </c>
      <c r="B4" s="268" t="str">
        <f>+'Cover Page'!B33:I33</f>
        <v>Suffolk Energy from Waste Facility</v>
      </c>
      <c r="C4" s="268"/>
      <c r="D4" s="268"/>
      <c r="E4" s="268"/>
      <c r="F4" s="3" t="s">
        <v>155</v>
      </c>
      <c r="G4" s="3" t="s">
        <v>156</v>
      </c>
    </row>
    <row r="5" spans="1:10" s="3" customFormat="1" ht="6.75" customHeight="1">
      <c r="A5" s="113"/>
    </row>
    <row r="6" spans="1:10" s="3" customFormat="1" ht="15.75" customHeight="1">
      <c r="A6" s="3" t="s">
        <v>157</v>
      </c>
      <c r="D6" s="269">
        <v>44562</v>
      </c>
      <c r="E6" s="269"/>
      <c r="F6" s="35" t="s">
        <v>158</v>
      </c>
      <c r="G6" s="269">
        <v>44926</v>
      </c>
      <c r="H6" s="269"/>
    </row>
    <row r="7" spans="1:10" s="3" customFormat="1" ht="7.5" customHeight="1"/>
    <row r="8" spans="1:10" s="3" customFormat="1" ht="15.75">
      <c r="A8" s="9">
        <f>+A1</f>
        <v>2022</v>
      </c>
      <c r="B8" s="34" t="s">
        <v>159</v>
      </c>
      <c r="C8"/>
      <c r="D8"/>
      <c r="E8"/>
      <c r="F8"/>
      <c r="G8"/>
    </row>
    <row r="9" spans="1:10" s="3" customFormat="1" ht="28.5" customHeight="1">
      <c r="A9" s="270" t="s">
        <v>160</v>
      </c>
      <c r="B9" s="270"/>
      <c r="C9" s="270" t="s">
        <v>161</v>
      </c>
      <c r="D9" s="270"/>
      <c r="E9" s="270" t="s">
        <v>162</v>
      </c>
      <c r="F9" s="270"/>
      <c r="G9" s="270" t="s">
        <v>163</v>
      </c>
      <c r="H9" s="270"/>
      <c r="I9" s="270" t="s">
        <v>164</v>
      </c>
      <c r="J9" s="270"/>
    </row>
    <row r="10" spans="1:10" s="3" customFormat="1" ht="14.25" customHeight="1">
      <c r="A10" s="264" t="s">
        <v>165</v>
      </c>
      <c r="B10" s="264"/>
      <c r="C10" s="264"/>
      <c r="D10" s="264"/>
      <c r="E10" s="264"/>
      <c r="F10" s="264"/>
      <c r="G10" s="264"/>
      <c r="H10" s="264"/>
      <c r="I10" s="264"/>
      <c r="J10" s="264"/>
    </row>
    <row r="11" spans="1:10" s="3" customFormat="1" ht="14.25" customHeight="1">
      <c r="A11" s="264" t="s">
        <v>166</v>
      </c>
      <c r="B11" s="264"/>
      <c r="C11" s="265" t="s">
        <v>167</v>
      </c>
      <c r="D11" s="265"/>
      <c r="E11" s="266">
        <v>7046.46</v>
      </c>
      <c r="F11" s="266"/>
      <c r="G11" s="266"/>
      <c r="H11" s="266"/>
      <c r="I11" s="267">
        <f>IF((E11+G11)&gt;0,(E11+G11)/'Operational Data'!$G$21, "-")</f>
        <v>2.489589700286535E-2</v>
      </c>
      <c r="J11" s="267"/>
    </row>
    <row r="12" spans="1:10" s="3" customFormat="1" ht="14.25" customHeight="1">
      <c r="A12" s="264" t="s">
        <v>168</v>
      </c>
      <c r="B12" s="264"/>
      <c r="C12" s="265"/>
      <c r="D12" s="265"/>
      <c r="E12" s="266"/>
      <c r="F12" s="266"/>
      <c r="G12" s="266"/>
      <c r="H12" s="266"/>
      <c r="I12" s="267" t="str">
        <f>IF((E12+G12)&gt;0,(E12+G12)/'Operational Data'!$G$21, "-")</f>
        <v>-</v>
      </c>
      <c r="J12" s="267"/>
    </row>
    <row r="13" spans="1:10" s="3" customFormat="1" ht="14.25" customHeight="1">
      <c r="A13" s="271"/>
      <c r="B13" s="271"/>
      <c r="C13" s="265"/>
      <c r="D13" s="265"/>
      <c r="E13" s="266"/>
      <c r="F13" s="266"/>
      <c r="G13" s="266"/>
      <c r="H13" s="266"/>
      <c r="I13" s="267" t="str">
        <f>IF((E13+G13)&gt;0,(E13+G13)/'Operational Data'!$G$21, "-")</f>
        <v>-</v>
      </c>
      <c r="J13" s="267"/>
    </row>
    <row r="14" spans="1:10" s="3" customFormat="1" ht="14.25" customHeight="1">
      <c r="A14" s="271"/>
      <c r="B14" s="271"/>
      <c r="C14" s="265"/>
      <c r="D14" s="265"/>
      <c r="E14" s="266"/>
      <c r="F14" s="266"/>
      <c r="G14" s="266"/>
      <c r="H14" s="266"/>
      <c r="I14" s="267" t="str">
        <f>IF((E14+G14)&gt;0,(E14+G14)/'Operational Data'!$G$21, "-")</f>
        <v>-</v>
      </c>
      <c r="J14" s="267"/>
    </row>
    <row r="15" spans="1:10" s="3" customFormat="1" ht="14.25" customHeight="1">
      <c r="A15" s="278" t="s">
        <v>169</v>
      </c>
      <c r="B15" s="278"/>
      <c r="C15" s="278"/>
      <c r="D15" s="278"/>
      <c r="E15" s="279">
        <f>SUM(E11:F14)</f>
        <v>7046.46</v>
      </c>
      <c r="F15" s="279"/>
      <c r="G15" s="279">
        <f>SUM(G11:H14)</f>
        <v>0</v>
      </c>
      <c r="H15" s="279"/>
      <c r="I15" s="267">
        <f>IF((E15+G15)&gt;0,(E15+G15)/'Operational Data'!$G$21, "-")</f>
        <v>2.489589700286535E-2</v>
      </c>
      <c r="J15" s="267"/>
    </row>
    <row r="16" spans="1:10" s="3" customFormat="1" ht="14.25" customHeight="1">
      <c r="A16" s="272"/>
      <c r="B16" s="273"/>
      <c r="C16" s="273"/>
      <c r="D16" s="273"/>
      <c r="E16" s="274"/>
      <c r="F16" s="274"/>
      <c r="G16" s="274"/>
      <c r="H16" s="274"/>
      <c r="I16" s="275"/>
      <c r="J16" s="276"/>
    </row>
    <row r="17" spans="1:10" s="3" customFormat="1" ht="14.25" customHeight="1">
      <c r="A17" s="277" t="s">
        <v>170</v>
      </c>
      <c r="B17" s="277"/>
      <c r="C17" s="277"/>
      <c r="D17" s="277"/>
      <c r="E17" s="277"/>
      <c r="F17" s="277"/>
      <c r="G17" s="277"/>
      <c r="H17" s="277"/>
      <c r="I17" s="277"/>
      <c r="J17" s="277"/>
    </row>
    <row r="18" spans="1:10" ht="14.25" customHeight="1">
      <c r="A18" s="264" t="s">
        <v>168</v>
      </c>
      <c r="B18" s="264"/>
      <c r="C18" s="265" t="s">
        <v>171</v>
      </c>
      <c r="D18" s="265"/>
      <c r="E18" s="266"/>
      <c r="F18" s="266"/>
      <c r="G18" s="266">
        <v>48055.1</v>
      </c>
      <c r="H18" s="266"/>
      <c r="I18" s="267">
        <f>IF((E18+G18)&gt;0,(E18+G18)/'Operational Data'!$G$21, "-")</f>
        <v>0.16978380918395827</v>
      </c>
      <c r="J18" s="267"/>
    </row>
    <row r="19" spans="1:10" s="3" customFormat="1" ht="14.25" customHeight="1">
      <c r="A19" s="264" t="s">
        <v>172</v>
      </c>
      <c r="B19" s="264"/>
      <c r="C19" s="265" t="s">
        <v>173</v>
      </c>
      <c r="D19" s="265"/>
      <c r="E19" s="266"/>
      <c r="F19" s="266"/>
      <c r="G19" s="266">
        <v>6400.56</v>
      </c>
      <c r="H19" s="266"/>
      <c r="I19" s="267">
        <f>IF((E19+G19)&gt;0,(E19+G19)/'Operational Data'!$G$21, "-")</f>
        <v>2.2613863205163991E-2</v>
      </c>
      <c r="J19" s="267"/>
    </row>
    <row r="20" spans="1:10" s="3" customFormat="1" ht="14.25" customHeight="1">
      <c r="A20" s="264" t="s">
        <v>174</v>
      </c>
      <c r="B20" s="264"/>
      <c r="C20" s="265"/>
      <c r="D20" s="265"/>
      <c r="E20" s="266"/>
      <c r="F20" s="266"/>
      <c r="G20" s="266"/>
      <c r="H20" s="266"/>
      <c r="I20" s="267" t="str">
        <f>IF((E20+G20)&gt;0,(E20+G20)/'Operational Data'!$G$21, "-")</f>
        <v>-</v>
      </c>
      <c r="J20" s="267"/>
    </row>
    <row r="21" spans="1:10" s="3" customFormat="1" ht="14.25" customHeight="1">
      <c r="A21" s="280" t="s">
        <v>175</v>
      </c>
      <c r="B21" s="280"/>
      <c r="C21" s="265" t="s">
        <v>173</v>
      </c>
      <c r="D21" s="265"/>
      <c r="E21" s="266"/>
      <c r="F21" s="266"/>
      <c r="G21" s="266">
        <v>3127.14</v>
      </c>
      <c r="H21" s="266"/>
      <c r="I21" s="267">
        <f>IF((E21+G21)&gt;0,(E21+G21)/'Operational Data'!$G$21, "-")</f>
        <v>1.1048520158141869E-2</v>
      </c>
      <c r="J21" s="267"/>
    </row>
    <row r="22" spans="1:10" s="3" customFormat="1" ht="14.25" customHeight="1">
      <c r="A22" s="280"/>
      <c r="B22" s="280"/>
      <c r="C22" s="265"/>
      <c r="D22" s="265"/>
      <c r="E22" s="266"/>
      <c r="F22" s="266"/>
      <c r="G22" s="266"/>
      <c r="H22" s="266"/>
      <c r="I22" s="267" t="str">
        <f>IF((E22+G22)&gt;0,(E22+G22)/'Operational Data'!$G$21, "-")</f>
        <v>-</v>
      </c>
      <c r="J22" s="267"/>
    </row>
    <row r="23" spans="1:10" s="3" customFormat="1" ht="14.25" customHeight="1">
      <c r="A23" s="281" t="s">
        <v>176</v>
      </c>
      <c r="B23" s="281"/>
      <c r="C23" s="281"/>
      <c r="D23" s="281"/>
      <c r="E23" s="279">
        <f>SUM(E18:F22)</f>
        <v>0</v>
      </c>
      <c r="F23" s="279"/>
      <c r="G23" s="279">
        <f>SUM(G18:H22)</f>
        <v>57582.799999999996</v>
      </c>
      <c r="H23" s="279"/>
      <c r="I23" s="267">
        <f>IF((E23+G23)&gt;0,(E23+G23)/'Operational Data'!$G$21, "-")</f>
        <v>0.20344619254726412</v>
      </c>
      <c r="J23" s="267"/>
    </row>
    <row r="24" spans="1:10" s="3" customFormat="1" ht="14.25" customHeight="1">
      <c r="A24" s="291" t="s">
        <v>177</v>
      </c>
      <c r="B24" s="291"/>
      <c r="C24" s="291"/>
      <c r="D24" s="291"/>
      <c r="E24" s="292">
        <f>+E23+E15</f>
        <v>7046.46</v>
      </c>
      <c r="F24" s="292"/>
      <c r="G24" s="292">
        <f>+G23+G15</f>
        <v>57582.799999999996</v>
      </c>
      <c r="H24" s="292"/>
      <c r="I24" s="293">
        <f>IF((E24+G24)&gt;0,(E24+G24)/'Operational Data'!$G$21, "-")</f>
        <v>0.22834208955012947</v>
      </c>
      <c r="J24" s="293"/>
    </row>
    <row r="25" spans="1:10" s="3" customFormat="1" ht="8.25" customHeight="1">
      <c r="A25" s="172"/>
      <c r="B25"/>
      <c r="C25"/>
      <c r="D25"/>
      <c r="E25"/>
      <c r="F25"/>
      <c r="G25"/>
    </row>
    <row r="26" spans="1:10" s="3" customFormat="1" ht="14.25" customHeight="1">
      <c r="A26" s="294" t="s">
        <v>178</v>
      </c>
      <c r="B26" s="294"/>
      <c r="C26" s="294"/>
      <c r="D26" s="294"/>
      <c r="E26" s="294"/>
      <c r="F26" s="294"/>
      <c r="G26" s="294"/>
      <c r="H26" s="294"/>
      <c r="I26" s="294"/>
      <c r="J26" s="294"/>
    </row>
    <row r="27" spans="1:10" s="3" customFormat="1" ht="14.25" customHeight="1">
      <c r="A27" s="295"/>
      <c r="B27" s="295"/>
      <c r="C27" s="295"/>
      <c r="D27" s="295"/>
      <c r="E27" s="295"/>
      <c r="F27" s="295"/>
      <c r="G27" s="295"/>
      <c r="H27" s="295"/>
      <c r="I27" s="295"/>
      <c r="J27" s="295"/>
    </row>
    <row r="28" spans="1:10" s="3" customFormat="1" ht="14.25" customHeight="1">
      <c r="A28" s="295"/>
      <c r="B28" s="295"/>
      <c r="C28" s="295"/>
      <c r="D28" s="295"/>
      <c r="E28" s="295"/>
      <c r="F28" s="295"/>
      <c r="G28" s="295"/>
      <c r="H28" s="295"/>
      <c r="I28" s="295"/>
      <c r="J28" s="295"/>
    </row>
    <row r="29" spans="1:10" s="3" customFormat="1" ht="14.25" customHeight="1">
      <c r="A29" s="295"/>
      <c r="B29" s="295"/>
      <c r="C29" s="295"/>
      <c r="D29" s="295"/>
      <c r="E29" s="295"/>
      <c r="F29" s="295"/>
      <c r="G29" s="295"/>
      <c r="H29" s="295"/>
      <c r="I29" s="295"/>
      <c r="J29" s="295"/>
    </row>
    <row r="30" spans="1:10" s="3" customFormat="1" ht="14.25" customHeight="1">
      <c r="A30" s="172"/>
      <c r="B30"/>
      <c r="C30"/>
      <c r="D30"/>
      <c r="E30"/>
      <c r="F30"/>
      <c r="G30"/>
    </row>
    <row r="31" spans="1:10" s="3" customFormat="1" ht="14.25" customHeight="1">
      <c r="A31" s="1">
        <f>+A1</f>
        <v>2022</v>
      </c>
      <c r="B31" s="34" t="s">
        <v>179</v>
      </c>
      <c r="C31" s="34"/>
      <c r="D31" s="34"/>
      <c r="E31" s="34"/>
      <c r="F31" s="34"/>
    </row>
    <row r="32" spans="1:10" s="3" customFormat="1" ht="24.75" customHeight="1">
      <c r="A32" s="282" t="s">
        <v>180</v>
      </c>
      <c r="B32" s="283"/>
      <c r="C32" s="283"/>
      <c r="D32" s="284"/>
      <c r="E32" s="38" t="s">
        <v>181</v>
      </c>
      <c r="F32" s="39"/>
      <c r="G32" s="40" t="s">
        <v>79</v>
      </c>
      <c r="H32" s="285" t="s">
        <v>182</v>
      </c>
      <c r="I32" s="286"/>
      <c r="J32" s="41" t="s">
        <v>79</v>
      </c>
    </row>
    <row r="33" spans="1:10" s="3" customFormat="1" ht="14.25" customHeight="1">
      <c r="A33" s="272" t="s">
        <v>120</v>
      </c>
      <c r="B33" s="273"/>
      <c r="C33" s="273"/>
      <c r="D33" s="287"/>
      <c r="E33" s="288">
        <f>+'Operational Data'!G42/1000</f>
        <v>35055</v>
      </c>
      <c r="F33" s="276"/>
      <c r="G33" s="173" t="s">
        <v>183</v>
      </c>
      <c r="H33" s="289">
        <f>IF(E33&gt;0,E33/'Operational Data'!$G$21,"-")</f>
        <v>0.12385306514695958</v>
      </c>
      <c r="I33" s="290"/>
      <c r="J33" s="173" t="s">
        <v>184</v>
      </c>
    </row>
    <row r="34" spans="1:10" s="3" customFormat="1" ht="14.25" customHeight="1">
      <c r="A34" s="272" t="s">
        <v>185</v>
      </c>
      <c r="B34" s="273"/>
      <c r="C34" s="273"/>
      <c r="D34" s="287"/>
      <c r="E34" s="288">
        <f>+'Operational Data'!G43/1000+'Operational Data'!G42/1000</f>
        <v>35055</v>
      </c>
      <c r="F34" s="276"/>
      <c r="G34" s="185" t="s">
        <v>186</v>
      </c>
      <c r="H34" s="289">
        <f>IF(E34&gt;0,E34/'Operational Data'!$G$21,"-")</f>
        <v>0.12385306514695958</v>
      </c>
      <c r="I34" s="290"/>
      <c r="J34" s="173" t="s">
        <v>184</v>
      </c>
    </row>
    <row r="35" spans="1:10" s="3" customFormat="1" ht="14.25" customHeight="1">
      <c r="A35" s="272" t="s">
        <v>187</v>
      </c>
      <c r="B35" s="273"/>
      <c r="C35" s="273"/>
      <c r="D35" s="287"/>
      <c r="E35" s="296">
        <f>+'Operational Data'!G45</f>
        <v>753951.81929929601</v>
      </c>
      <c r="F35" s="297"/>
      <c r="G35" s="173" t="s">
        <v>188</v>
      </c>
      <c r="H35" s="289">
        <f>IF(E35&gt;0,E35/'Operational Data'!$G$21,"-")</f>
        <v>2.6637924345555386</v>
      </c>
      <c r="I35" s="290"/>
      <c r="J35" s="173" t="s">
        <v>189</v>
      </c>
    </row>
    <row r="36" spans="1:10" s="3" customFormat="1" ht="14.25" customHeight="1">
      <c r="A36" s="272" t="s">
        <v>126</v>
      </c>
      <c r="B36" s="273"/>
      <c r="C36" s="273"/>
      <c r="D36" s="287"/>
      <c r="E36" s="296">
        <f>+'Operational Data'!G46</f>
        <v>84093.463967999996</v>
      </c>
      <c r="F36" s="297"/>
      <c r="G36" s="173" t="s">
        <v>188</v>
      </c>
      <c r="H36" s="289">
        <f>IF(E36&gt;0,E36/'Operational Data'!$G$21,"-")</f>
        <v>0.29711120442910288</v>
      </c>
      <c r="I36" s="290"/>
      <c r="J36" s="173" t="s">
        <v>189</v>
      </c>
    </row>
    <row r="37" spans="1:10" s="3" customFormat="1" ht="14.25" customHeight="1">
      <c r="A37" s="272" t="s">
        <v>190</v>
      </c>
      <c r="B37" s="273"/>
      <c r="C37" s="273"/>
      <c r="D37" s="287"/>
      <c r="E37" s="296">
        <f>+'Operational Data'!G47</f>
        <v>2138958.0101391999</v>
      </c>
      <c r="F37" s="297"/>
      <c r="G37" s="173" t="s">
        <v>188</v>
      </c>
      <c r="H37" s="289">
        <f>IF(E37&gt;0,E37/'Operational Data'!$G$21,"-")</f>
        <v>7.557167473295717</v>
      </c>
      <c r="I37" s="290"/>
      <c r="J37" s="173" t="s">
        <v>189</v>
      </c>
    </row>
    <row r="38" spans="1:10" s="3" customFormat="1" ht="14.25" customHeight="1">
      <c r="A38" s="298"/>
      <c r="B38" s="299"/>
      <c r="C38" s="299"/>
      <c r="D38" s="300"/>
      <c r="E38" s="301"/>
      <c r="F38" s="302"/>
      <c r="G38" s="174"/>
      <c r="H38" s="303"/>
      <c r="I38" s="304"/>
      <c r="J38" s="174"/>
    </row>
    <row r="39" spans="1:10" s="3" customFormat="1" ht="14.25" customHeight="1">
      <c r="A39" s="294" t="s">
        <v>178</v>
      </c>
      <c r="B39" s="294"/>
      <c r="C39" s="294"/>
      <c r="D39" s="294"/>
      <c r="E39" s="294"/>
      <c r="F39" s="294"/>
      <c r="G39" s="294"/>
      <c r="H39" s="294"/>
      <c r="I39" s="294"/>
      <c r="J39" s="294"/>
    </row>
    <row r="40" spans="1:10" s="3" customFormat="1" ht="14.25" customHeight="1">
      <c r="A40" s="295"/>
      <c r="B40" s="295"/>
      <c r="C40" s="295"/>
      <c r="D40" s="295"/>
      <c r="E40" s="295"/>
      <c r="F40" s="295"/>
      <c r="G40" s="295"/>
      <c r="H40" s="295"/>
      <c r="I40" s="295"/>
      <c r="J40" s="295"/>
    </row>
    <row r="41" spans="1:10" s="3" customFormat="1" ht="14.25" customHeight="1">
      <c r="A41" s="295"/>
      <c r="B41" s="295"/>
      <c r="C41" s="295"/>
      <c r="D41" s="295"/>
      <c r="E41" s="295"/>
      <c r="F41" s="295"/>
      <c r="G41" s="295"/>
      <c r="H41" s="295"/>
      <c r="I41" s="295"/>
      <c r="J41" s="295"/>
    </row>
    <row r="42" spans="1:10" s="3" customFormat="1" ht="14.25" customHeight="1">
      <c r="A42" s="42"/>
      <c r="B42" s="42"/>
      <c r="C42" s="42"/>
      <c r="D42" s="42"/>
      <c r="E42" s="42"/>
      <c r="F42" s="42"/>
      <c r="G42" s="42"/>
      <c r="H42" s="42"/>
      <c r="I42" s="42"/>
      <c r="J42" s="42"/>
    </row>
    <row r="43" spans="1:10" s="3" customFormat="1" ht="14.25" customHeight="1">
      <c r="A43" s="34">
        <f>+A31</f>
        <v>2022</v>
      </c>
      <c r="B43" s="34" t="s">
        <v>191</v>
      </c>
      <c r="C43" s="34"/>
      <c r="D43" s="34"/>
      <c r="E43" s="34"/>
      <c r="F43" s="34"/>
      <c r="G43" s="92"/>
    </row>
    <row r="44" spans="1:10" ht="14.25" customHeight="1">
      <c r="A44" s="305" t="s">
        <v>192</v>
      </c>
      <c r="B44" s="305"/>
      <c r="C44" s="305" t="s">
        <v>193</v>
      </c>
      <c r="D44" s="305"/>
      <c r="E44" s="305"/>
      <c r="F44" s="305"/>
      <c r="G44" s="305"/>
      <c r="H44" s="305"/>
      <c r="I44" s="305"/>
      <c r="J44" s="305"/>
    </row>
    <row r="45" spans="1:10" ht="14.25" customHeight="1">
      <c r="A45" s="43"/>
      <c r="B45" s="43"/>
      <c r="C45" s="36" t="s">
        <v>194</v>
      </c>
      <c r="D45" s="36" t="s">
        <v>195</v>
      </c>
      <c r="E45" s="36" t="s">
        <v>196</v>
      </c>
      <c r="F45" s="36" t="s">
        <v>197</v>
      </c>
      <c r="G45" s="36" t="s">
        <v>198</v>
      </c>
      <c r="H45" s="36"/>
      <c r="I45" s="36" t="s">
        <v>199</v>
      </c>
      <c r="J45" s="36" t="s">
        <v>200</v>
      </c>
    </row>
    <row r="46" spans="1:10" ht="31.5" customHeight="1">
      <c r="A46" s="264" t="s">
        <v>201</v>
      </c>
      <c r="B46" s="264"/>
      <c r="C46" s="175">
        <f>'Operational Data'!G53</f>
        <v>8045.2</v>
      </c>
      <c r="D46" s="175">
        <f>'Operational Data'!G54</f>
        <v>8134.0999999999995</v>
      </c>
      <c r="E46" s="116"/>
      <c r="F46" s="176"/>
      <c r="G46" s="176"/>
      <c r="H46" s="176"/>
      <c r="I46" s="175">
        <f>'Operational Data'!G59</f>
        <v>8248.4499999999989</v>
      </c>
      <c r="J46" s="176"/>
    </row>
    <row r="47" spans="1:10" ht="43.5" customHeight="1">
      <c r="A47" s="264" t="s">
        <v>202</v>
      </c>
      <c r="B47" s="264"/>
      <c r="C47" s="116">
        <v>0</v>
      </c>
      <c r="D47" s="116">
        <v>0</v>
      </c>
      <c r="E47" s="116"/>
      <c r="F47" s="176"/>
      <c r="G47" s="176"/>
      <c r="H47" s="176"/>
      <c r="I47" s="176"/>
      <c r="J47" s="176"/>
    </row>
    <row r="48" spans="1:10" ht="42.75" customHeight="1">
      <c r="A48" s="264" t="s">
        <v>203</v>
      </c>
      <c r="B48" s="264"/>
      <c r="C48" s="116">
        <v>0</v>
      </c>
      <c r="D48" s="116">
        <v>0</v>
      </c>
      <c r="E48" s="116"/>
      <c r="F48" s="176"/>
      <c r="G48" s="176"/>
      <c r="H48" s="176"/>
      <c r="I48" s="176"/>
      <c r="J48" s="176"/>
    </row>
    <row r="49" spans="1:10" ht="8.25" customHeight="1">
      <c r="A49" s="92"/>
      <c r="B49" s="92"/>
      <c r="C49" s="92"/>
      <c r="D49" s="92"/>
      <c r="E49" s="92"/>
      <c r="F49" s="92"/>
      <c r="G49" s="92"/>
      <c r="H49" s="92"/>
      <c r="I49" s="92"/>
      <c r="J49" s="92"/>
    </row>
    <row r="50" spans="1:10">
      <c r="A50" s="294" t="s">
        <v>178</v>
      </c>
      <c r="B50" s="294"/>
      <c r="C50" s="294"/>
      <c r="D50" s="294"/>
      <c r="E50" s="294"/>
      <c r="F50" s="294"/>
      <c r="G50" s="294"/>
      <c r="H50" s="294"/>
      <c r="I50" s="294"/>
      <c r="J50" s="294"/>
    </row>
    <row r="51" spans="1:10">
      <c r="A51" s="295"/>
      <c r="B51" s="295"/>
      <c r="C51" s="295"/>
      <c r="D51" s="295"/>
      <c r="E51" s="295"/>
      <c r="F51" s="295"/>
      <c r="G51" s="295"/>
      <c r="H51" s="295"/>
      <c r="I51" s="295"/>
      <c r="J51" s="295"/>
    </row>
    <row r="52" spans="1:10">
      <c r="A52" s="295"/>
      <c r="B52" s="295"/>
      <c r="C52" s="295"/>
      <c r="D52" s="295"/>
      <c r="E52" s="295"/>
      <c r="F52" s="295"/>
      <c r="G52" s="295"/>
      <c r="H52" s="295"/>
      <c r="I52" s="295"/>
      <c r="J52" s="295"/>
    </row>
    <row r="54" spans="1:10">
      <c r="A54" s="3" t="s">
        <v>204</v>
      </c>
      <c r="B54" s="44" t="s">
        <v>17</v>
      </c>
      <c r="C54" s="44"/>
      <c r="D54" s="44"/>
      <c r="E54" s="44"/>
      <c r="F54" s="3"/>
      <c r="G54" s="3" t="s">
        <v>205</v>
      </c>
      <c r="H54" s="111">
        <v>44950</v>
      </c>
      <c r="I54" s="44"/>
      <c r="J54" s="92"/>
    </row>
    <row r="62" spans="1:10">
      <c r="A62" s="92"/>
      <c r="B62" s="92"/>
      <c r="C62" s="92"/>
      <c r="D62" s="92"/>
      <c r="E62" s="92"/>
      <c r="F62" s="3"/>
      <c r="G62" s="92"/>
      <c r="H62" s="92"/>
      <c r="I62" s="92"/>
      <c r="J62" s="92"/>
    </row>
  </sheetData>
  <mergeCells count="104">
    <mergeCell ref="A48:B48"/>
    <mergeCell ref="A50:J50"/>
    <mergeCell ref="A51:J52"/>
    <mergeCell ref="A39:J39"/>
    <mergeCell ref="A40:J41"/>
    <mergeCell ref="A44:B44"/>
    <mergeCell ref="C44:J44"/>
    <mergeCell ref="A46:B46"/>
    <mergeCell ref="A47:B47"/>
    <mergeCell ref="A37:D37"/>
    <mergeCell ref="E37:F37"/>
    <mergeCell ref="H37:I37"/>
    <mergeCell ref="A38:D38"/>
    <mergeCell ref="E38:F38"/>
    <mergeCell ref="H38:I38"/>
    <mergeCell ref="A35:D35"/>
    <mergeCell ref="E35:F35"/>
    <mergeCell ref="H35:I35"/>
    <mergeCell ref="A36:D36"/>
    <mergeCell ref="E36:F36"/>
    <mergeCell ref="H36:I36"/>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22:B22"/>
    <mergeCell ref="C22:D22"/>
    <mergeCell ref="E22:F22"/>
    <mergeCell ref="G22:H22"/>
    <mergeCell ref="I22:J22"/>
    <mergeCell ref="A23:D23"/>
    <mergeCell ref="E23:F23"/>
    <mergeCell ref="G23:H23"/>
    <mergeCell ref="I23:J23"/>
    <mergeCell ref="A20:B20"/>
    <mergeCell ref="C20:D20"/>
    <mergeCell ref="E20:F20"/>
    <mergeCell ref="G20:H20"/>
    <mergeCell ref="I20:J20"/>
    <mergeCell ref="A21:B21"/>
    <mergeCell ref="C21:D21"/>
    <mergeCell ref="E21:F21"/>
    <mergeCell ref="G21:H21"/>
    <mergeCell ref="I21:J21"/>
    <mergeCell ref="A18:B18"/>
    <mergeCell ref="C18:D18"/>
    <mergeCell ref="E18:F18"/>
    <mergeCell ref="G18:H18"/>
    <mergeCell ref="I18:J18"/>
    <mergeCell ref="A19:B19"/>
    <mergeCell ref="C19:D19"/>
    <mergeCell ref="E19:F19"/>
    <mergeCell ref="G19:H19"/>
    <mergeCell ref="I19:J19"/>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2:B12"/>
    <mergeCell ref="C12:D12"/>
    <mergeCell ref="E12:F12"/>
    <mergeCell ref="G12:H12"/>
    <mergeCell ref="I12:J12"/>
    <mergeCell ref="A13:B13"/>
    <mergeCell ref="C13:D13"/>
    <mergeCell ref="E13:F13"/>
    <mergeCell ref="G13:H13"/>
    <mergeCell ref="I13:J13"/>
    <mergeCell ref="A10:J10"/>
    <mergeCell ref="A11:B11"/>
    <mergeCell ref="C11:D11"/>
    <mergeCell ref="E11:F11"/>
    <mergeCell ref="G11:H11"/>
    <mergeCell ref="I11:J11"/>
    <mergeCell ref="A3:E3"/>
    <mergeCell ref="B4:E4"/>
    <mergeCell ref="D6:E6"/>
    <mergeCell ref="G6:H6"/>
    <mergeCell ref="A9:B9"/>
    <mergeCell ref="C9:D9"/>
    <mergeCell ref="E9:F9"/>
    <mergeCell ref="G9:H9"/>
    <mergeCell ref="I9:J9"/>
  </mergeCells>
  <pageMargins left="0.25" right="0.25"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topLeftCell="A19" zoomScaleNormal="100" zoomScaleSheetLayoutView="175" workbookViewId="0">
      <selection activeCell="L26" sqref="L26"/>
    </sheetView>
  </sheetViews>
  <sheetFormatPr defaultColWidth="9.28515625" defaultRowHeight="15"/>
  <cols>
    <col min="1" max="1" width="9.42578125" style="2" bestFit="1" customWidth="1"/>
    <col min="2" max="7" width="9.28515625" style="2"/>
    <col min="8" max="8" width="11.28515625" style="2" bestFit="1" customWidth="1"/>
    <col min="9" max="16384" width="9.28515625" style="2"/>
  </cols>
  <sheetData>
    <row r="1" spans="1:10" ht="15.75">
      <c r="A1" s="33">
        <f>+'Cover Page'!C39</f>
        <v>2022</v>
      </c>
      <c r="B1" s="34" t="s">
        <v>206</v>
      </c>
      <c r="C1" s="34"/>
      <c r="D1" s="34"/>
      <c r="E1" s="34"/>
      <c r="F1" s="34"/>
      <c r="G1" s="34"/>
      <c r="H1" s="34"/>
      <c r="I1" s="34"/>
      <c r="J1" s="34"/>
    </row>
    <row r="3" spans="1:10" s="3" customFormat="1" ht="15" customHeight="1">
      <c r="A3" s="3" t="str">
        <f>+'Cover Page'!B31</f>
        <v>Permit EPR/WP3438HZ</v>
      </c>
      <c r="F3" s="3" t="s">
        <v>153</v>
      </c>
      <c r="G3" s="189" t="str">
        <f>+'Cover Page'!B37:B37</f>
        <v>SUEZ Recycling and Recovery Suffolk Ltd</v>
      </c>
      <c r="H3" s="192"/>
      <c r="I3" s="192"/>
    </row>
    <row r="4" spans="1:10" s="3" customFormat="1" ht="14.25"/>
    <row r="5" spans="1:10" s="3" customFormat="1" ht="14.25">
      <c r="A5" s="3" t="s">
        <v>154</v>
      </c>
      <c r="B5" s="268" t="str">
        <f>+'Cover Page'!B33:I33</f>
        <v>Suffolk Energy from Waste Facility</v>
      </c>
      <c r="C5" s="268"/>
      <c r="D5" s="268"/>
      <c r="E5" s="268"/>
      <c r="F5" s="3" t="s">
        <v>155</v>
      </c>
      <c r="G5" s="3" t="s">
        <v>207</v>
      </c>
    </row>
    <row r="6" spans="1:10" s="3" customFormat="1" ht="14.25"/>
    <row r="7" spans="1:10" s="3" customFormat="1" ht="15.75" customHeight="1">
      <c r="A7" s="3" t="s">
        <v>157</v>
      </c>
      <c r="D7" s="306">
        <f>+'Perf. Form 1'!D6:E6</f>
        <v>44562</v>
      </c>
      <c r="E7" s="306"/>
      <c r="F7" s="35" t="s">
        <v>158</v>
      </c>
      <c r="G7" s="306">
        <f>+'Perf. Form 1'!G6:H6</f>
        <v>44926</v>
      </c>
      <c r="H7" s="306"/>
    </row>
    <row r="8" spans="1:10" s="3" customFormat="1">
      <c r="B8"/>
      <c r="C8"/>
      <c r="D8"/>
    </row>
    <row r="9" spans="1:10" s="3" customFormat="1" ht="37.5" customHeight="1">
      <c r="A9" s="305" t="s">
        <v>208</v>
      </c>
      <c r="B9" s="305"/>
      <c r="C9" s="305"/>
      <c r="D9" s="270" t="s">
        <v>209</v>
      </c>
      <c r="E9" s="270"/>
      <c r="F9" s="36" t="s">
        <v>79</v>
      </c>
      <c r="G9" s="305" t="s">
        <v>210</v>
      </c>
      <c r="H9" s="305"/>
      <c r="I9" s="305"/>
    </row>
    <row r="10" spans="1:10" s="3" customFormat="1" ht="24.75" customHeight="1">
      <c r="A10" s="264" t="s">
        <v>211</v>
      </c>
      <c r="B10" s="264"/>
      <c r="C10" s="264"/>
      <c r="D10" s="307">
        <f>+'Operational Data'!G24</f>
        <v>199434.09862399998</v>
      </c>
      <c r="E10" s="307"/>
      <c r="F10" s="177" t="s">
        <v>104</v>
      </c>
      <c r="G10" s="308">
        <f>+'Operational Data'!H24</f>
        <v>704.62200568830212</v>
      </c>
      <c r="H10" s="308"/>
      <c r="I10" s="308"/>
    </row>
    <row r="11" spans="1:10" s="3" customFormat="1" ht="24.75" customHeight="1">
      <c r="A11" s="264" t="s">
        <v>212</v>
      </c>
      <c r="B11" s="264"/>
      <c r="C11" s="264"/>
      <c r="D11" s="309">
        <f>+'Operational Data'!G27</f>
        <v>616.53</v>
      </c>
      <c r="E11" s="309"/>
      <c r="F11" s="177" t="s">
        <v>104</v>
      </c>
      <c r="G11" s="308">
        <f>+'Operational Data'!H27</f>
        <v>2.1782664457297103</v>
      </c>
      <c r="H11" s="308"/>
      <c r="I11" s="308"/>
    </row>
    <row r="12" spans="1:10" s="3" customFormat="1" ht="24.75" customHeight="1">
      <c r="A12" s="264" t="s">
        <v>213</v>
      </c>
      <c r="B12" s="264"/>
      <c r="C12" s="264"/>
      <c r="D12" s="307">
        <f>+'Operational Data'!G25</f>
        <v>177089.57399999996</v>
      </c>
      <c r="E12" s="307"/>
      <c r="F12" s="177" t="s">
        <v>104</v>
      </c>
      <c r="G12" s="308">
        <f>+'Operational Data'!H25</f>
        <v>625.67640979801217</v>
      </c>
      <c r="H12" s="308"/>
      <c r="I12" s="308"/>
    </row>
    <row r="13" spans="1:10" s="3" customFormat="1" ht="24.75" customHeight="1">
      <c r="A13" s="264" t="s">
        <v>214</v>
      </c>
      <c r="B13" s="264"/>
      <c r="C13" s="264"/>
      <c r="D13" s="310">
        <f>'Operational Data'!G48*0.85/1000</f>
        <v>175.70333658640499</v>
      </c>
      <c r="E13" s="310"/>
      <c r="F13" s="177" t="s">
        <v>87</v>
      </c>
      <c r="G13" s="311"/>
      <c r="H13" s="311"/>
      <c r="I13" s="311"/>
    </row>
    <row r="14" spans="1:10" s="3" customFormat="1" ht="24.75" customHeight="1">
      <c r="A14" s="264" t="s">
        <v>215</v>
      </c>
      <c r="B14" s="264"/>
      <c r="C14" s="264"/>
      <c r="D14" s="307">
        <f>+'Operational Data'!G30</f>
        <v>0</v>
      </c>
      <c r="E14" s="307"/>
      <c r="F14" s="177" t="s">
        <v>216</v>
      </c>
      <c r="G14" s="308" t="str">
        <f>+'Operational Data'!H30</f>
        <v>-</v>
      </c>
      <c r="H14" s="308"/>
      <c r="I14" s="308"/>
    </row>
    <row r="15" spans="1:10" s="3" customFormat="1" ht="24.75" customHeight="1">
      <c r="A15" s="271"/>
      <c r="B15" s="271"/>
      <c r="C15" s="271"/>
      <c r="D15" s="271"/>
      <c r="E15" s="271"/>
      <c r="F15" s="115"/>
      <c r="G15" s="226"/>
      <c r="H15" s="226"/>
      <c r="I15" s="226"/>
    </row>
    <row r="16" spans="1:10" s="3" customFormat="1" ht="24.75" customHeight="1">
      <c r="A16" s="271"/>
      <c r="B16" s="271"/>
      <c r="C16" s="271"/>
      <c r="D16" s="271"/>
      <c r="E16" s="271"/>
      <c r="F16" s="115"/>
      <c r="G16" s="226"/>
      <c r="H16" s="226"/>
      <c r="I16" s="226"/>
    </row>
    <row r="17" spans="1:9" s="3" customFormat="1">
      <c r="A17" s="45"/>
      <c r="B17"/>
      <c r="C17"/>
      <c r="D17"/>
    </row>
    <row r="18" spans="1:9" s="3" customFormat="1" ht="24" customHeight="1">
      <c r="A18" s="294" t="s">
        <v>178</v>
      </c>
      <c r="B18" s="294"/>
      <c r="C18" s="294"/>
      <c r="D18" s="294"/>
      <c r="E18" s="294"/>
      <c r="F18" s="294"/>
      <c r="G18" s="294"/>
      <c r="H18" s="294"/>
      <c r="I18" s="294"/>
    </row>
    <row r="19" spans="1:9" s="3" customFormat="1" ht="14.25">
      <c r="A19" s="312" t="s">
        <v>217</v>
      </c>
      <c r="B19" s="312"/>
      <c r="C19" s="312"/>
      <c r="D19" s="312"/>
      <c r="E19" s="312"/>
      <c r="F19" s="312"/>
      <c r="G19" s="312"/>
      <c r="H19" s="312"/>
      <c r="I19" s="312"/>
    </row>
    <row r="20" spans="1:9" s="3" customFormat="1" ht="14.25">
      <c r="A20" s="312"/>
      <c r="B20" s="312"/>
      <c r="C20" s="312"/>
      <c r="D20" s="312"/>
      <c r="E20" s="312"/>
      <c r="F20" s="312"/>
      <c r="G20" s="312"/>
      <c r="H20" s="312"/>
      <c r="I20" s="312"/>
    </row>
    <row r="21" spans="1:9" s="3" customFormat="1" ht="14.25">
      <c r="A21" s="312"/>
      <c r="B21" s="312"/>
      <c r="C21" s="312"/>
      <c r="D21" s="312"/>
      <c r="E21" s="312"/>
      <c r="F21" s="312"/>
      <c r="G21" s="312"/>
      <c r="H21" s="312"/>
      <c r="I21" s="312"/>
    </row>
    <row r="22" spans="1:9" s="3" customFormat="1" ht="14.25">
      <c r="A22" s="312"/>
      <c r="B22" s="312"/>
      <c r="C22" s="312"/>
      <c r="D22" s="312"/>
      <c r="E22" s="312"/>
      <c r="F22" s="312"/>
      <c r="G22" s="312"/>
      <c r="H22" s="312"/>
      <c r="I22" s="312"/>
    </row>
    <row r="23" spans="1:9" s="3" customFormat="1" ht="14.25">
      <c r="A23" s="312"/>
      <c r="B23" s="312"/>
      <c r="C23" s="312"/>
      <c r="D23" s="312"/>
      <c r="E23" s="312"/>
      <c r="F23" s="312"/>
      <c r="G23" s="312"/>
      <c r="H23" s="312"/>
      <c r="I23" s="312"/>
    </row>
    <row r="24" spans="1:9" s="3" customFormat="1" ht="14.25">
      <c r="A24" s="312"/>
      <c r="B24" s="312"/>
      <c r="C24" s="312"/>
      <c r="D24" s="312"/>
      <c r="E24" s="312"/>
      <c r="F24" s="312"/>
      <c r="G24" s="312"/>
      <c r="H24" s="312"/>
      <c r="I24" s="312"/>
    </row>
    <row r="25" spans="1:9" s="3" customFormat="1" ht="14.25">
      <c r="A25" s="312"/>
      <c r="B25" s="312"/>
      <c r="C25" s="312"/>
      <c r="D25" s="312"/>
      <c r="E25" s="312"/>
      <c r="F25" s="312"/>
      <c r="G25" s="312"/>
      <c r="H25" s="312"/>
      <c r="I25" s="312"/>
    </row>
    <row r="26" spans="1:9" s="3" customFormat="1" ht="14.25">
      <c r="A26" s="42"/>
      <c r="B26" s="42"/>
      <c r="C26" s="42"/>
      <c r="D26" s="42"/>
      <c r="E26" s="42"/>
      <c r="F26" s="42"/>
      <c r="G26" s="42"/>
      <c r="H26" s="42"/>
      <c r="I26" s="42"/>
    </row>
    <row r="27" spans="1:9" s="3" customFormat="1" ht="14.25"/>
    <row r="28" spans="1:9" s="3" customFormat="1" ht="14.25"/>
    <row r="29" spans="1:9" s="3" customFormat="1" ht="14.25">
      <c r="A29" s="3" t="s">
        <v>204</v>
      </c>
      <c r="B29" s="44" t="s">
        <v>17</v>
      </c>
      <c r="C29" s="44"/>
      <c r="D29" s="44"/>
      <c r="E29" s="44"/>
      <c r="G29" s="3" t="s">
        <v>205</v>
      </c>
      <c r="H29" s="111"/>
      <c r="I29" s="44"/>
    </row>
    <row r="30" spans="1:9" s="3" customFormat="1" ht="14.25"/>
    <row r="31" spans="1:9" ht="14.25" customHeight="1">
      <c r="A31" s="3"/>
      <c r="B31" s="3"/>
      <c r="C31" s="3"/>
      <c r="D31" s="3"/>
      <c r="E31" s="3"/>
      <c r="F31" s="3"/>
      <c r="G31" s="3"/>
      <c r="H31" s="3"/>
      <c r="I31" s="3"/>
    </row>
    <row r="32" spans="1:9" s="3" customFormat="1" ht="14.25"/>
    <row r="33" spans="1:9" s="3" customFormat="1" ht="14.25"/>
    <row r="34" spans="1:9" s="3" customFormat="1">
      <c r="A34" s="92"/>
      <c r="B34" s="92"/>
      <c r="C34" s="92"/>
      <c r="D34" s="92"/>
      <c r="E34" s="92"/>
      <c r="F34" s="92"/>
      <c r="G34" s="92"/>
      <c r="H34" s="92"/>
      <c r="I34" s="92"/>
    </row>
    <row r="35" spans="1:9" s="3" customFormat="1" ht="14.25"/>
    <row r="36" spans="1:9" s="3" customFormat="1" ht="14.25"/>
    <row r="37" spans="1:9" s="3" customFormat="1" ht="14.25"/>
    <row r="38" spans="1:9" s="3" customFormat="1" ht="14.25"/>
    <row r="39" spans="1:9" s="3" customFormat="1" ht="14.25"/>
    <row r="40" spans="1:9" s="3" customFormat="1" ht="14.25"/>
    <row r="41" spans="1:9" s="3" customFormat="1" ht="14.25"/>
    <row r="42" spans="1:9" s="3" customFormat="1" ht="14.25"/>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29">
    <mergeCell ref="A16:C16"/>
    <mergeCell ref="D16:E16"/>
    <mergeCell ref="G16:I16"/>
    <mergeCell ref="A18:I18"/>
    <mergeCell ref="A19:I25"/>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B5:E5"/>
    <mergeCell ref="D7:E7"/>
    <mergeCell ref="G7:H7"/>
    <mergeCell ref="A9:C9"/>
    <mergeCell ref="D9:E9"/>
    <mergeCell ref="G9:I9"/>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6"/>
  <sheetViews>
    <sheetView topLeftCell="A22" zoomScaleNormal="100" zoomScaleSheetLayoutView="100" workbookViewId="0">
      <selection activeCell="L26" sqref="L26"/>
    </sheetView>
  </sheetViews>
  <sheetFormatPr defaultColWidth="9.28515625" defaultRowHeight="15"/>
  <cols>
    <col min="1" max="1" width="12.28515625" style="2" customWidth="1"/>
    <col min="2" max="2" width="11.7109375" style="2" customWidth="1"/>
    <col min="3" max="3" width="18.28515625" style="2" bestFit="1" customWidth="1"/>
    <col min="4" max="4" width="12.5703125" style="2" bestFit="1" customWidth="1"/>
    <col min="5" max="5" width="3.28515625" style="2" customWidth="1"/>
    <col min="6" max="8" width="9.28515625" style="2"/>
    <col min="9" max="9" width="8.7109375" style="2" customWidth="1"/>
    <col min="10" max="10" width="9.28515625" style="2" hidden="1" customWidth="1"/>
    <col min="11" max="11" width="10.7109375" style="2" bestFit="1" customWidth="1"/>
    <col min="12" max="12" width="31.7109375" style="2" customWidth="1"/>
    <col min="13" max="16384" width="9.28515625" style="2"/>
  </cols>
  <sheetData>
    <row r="1" spans="1:15">
      <c r="A1" s="92" t="str">
        <f>+'Cover Page'!$B$29</f>
        <v>Annual Performance Report 2022</v>
      </c>
      <c r="B1" s="92"/>
      <c r="C1" s="92"/>
      <c r="D1" s="92"/>
      <c r="E1" s="92" t="str">
        <f>+'Cover Page'!$B$33</f>
        <v>Suffolk Energy from Waste Facility</v>
      </c>
      <c r="F1" s="92"/>
      <c r="G1" s="92"/>
      <c r="H1" s="92"/>
      <c r="I1" s="92"/>
      <c r="J1" s="92"/>
      <c r="K1" s="92"/>
      <c r="L1" s="92"/>
      <c r="M1" s="92"/>
      <c r="N1" s="92"/>
      <c r="O1" s="92"/>
    </row>
    <row r="3" spans="1:15" ht="15.75">
      <c r="A3" s="1" t="s">
        <v>218</v>
      </c>
      <c r="B3" s="92"/>
      <c r="C3" s="92"/>
      <c r="D3" s="92"/>
      <c r="E3" s="92"/>
      <c r="F3" s="92"/>
      <c r="G3" s="194"/>
      <c r="H3" s="92"/>
      <c r="I3" s="92"/>
      <c r="J3" s="92"/>
      <c r="K3" s="92"/>
      <c r="L3" s="92"/>
      <c r="M3" s="92"/>
      <c r="N3" s="92"/>
      <c r="O3" s="92"/>
    </row>
    <row r="4" spans="1:15" ht="15.75">
      <c r="A4" s="1"/>
      <c r="B4" s="92"/>
      <c r="C4" s="92"/>
      <c r="D4" s="92"/>
      <c r="E4" s="92"/>
      <c r="F4" s="92"/>
      <c r="G4" s="92"/>
      <c r="H4" s="92"/>
      <c r="I4" s="92"/>
      <c r="J4" s="92"/>
      <c r="K4" s="92"/>
      <c r="L4" s="92"/>
      <c r="M4" s="92"/>
      <c r="N4" s="92"/>
      <c r="O4" s="92"/>
    </row>
    <row r="5" spans="1:15" ht="15.75">
      <c r="A5" s="9" t="s">
        <v>219</v>
      </c>
      <c r="B5" s="92"/>
      <c r="C5" s="92"/>
      <c r="D5" s="92"/>
      <c r="E5" s="92"/>
      <c r="F5" s="92"/>
      <c r="G5" s="92"/>
      <c r="H5" s="92"/>
      <c r="I5" s="92"/>
      <c r="J5" s="92"/>
      <c r="K5" s="92"/>
      <c r="L5" s="92"/>
      <c r="M5" s="92"/>
      <c r="N5" s="92"/>
      <c r="O5" s="92"/>
    </row>
    <row r="6" spans="1:15" ht="15.75">
      <c r="A6" s="9"/>
      <c r="B6" s="92"/>
      <c r="C6" s="92"/>
      <c r="D6" s="92"/>
      <c r="E6" s="92"/>
      <c r="F6" s="92"/>
      <c r="G6" s="92"/>
      <c r="H6" s="92"/>
      <c r="I6" s="92"/>
      <c r="J6" s="92"/>
      <c r="K6" s="92"/>
      <c r="L6" s="92"/>
      <c r="M6" s="92"/>
      <c r="N6" s="92"/>
      <c r="O6" s="92"/>
    </row>
    <row r="7" spans="1:15">
      <c r="A7" s="99" t="s">
        <v>220</v>
      </c>
      <c r="B7" s="92"/>
      <c r="C7" s="92"/>
      <c r="D7" s="92"/>
      <c r="E7" s="92"/>
      <c r="F7" s="92"/>
      <c r="G7" s="92"/>
      <c r="H7" s="92"/>
      <c r="I7" s="92"/>
      <c r="J7" s="92"/>
      <c r="K7" s="92"/>
      <c r="L7" s="92"/>
      <c r="M7" s="92"/>
      <c r="N7" s="92"/>
      <c r="O7" s="92"/>
    </row>
    <row r="8" spans="1:15" s="3" customFormat="1" ht="25.5" customHeight="1">
      <c r="A8" s="320" t="s">
        <v>221</v>
      </c>
      <c r="B8" s="321"/>
      <c r="C8" s="320" t="s">
        <v>222</v>
      </c>
      <c r="D8" s="322"/>
      <c r="E8" s="322"/>
      <c r="F8" s="322"/>
      <c r="G8" s="322"/>
      <c r="H8" s="322"/>
      <c r="I8" s="321"/>
      <c r="L8" s="81" t="s">
        <v>3</v>
      </c>
    </row>
    <row r="9" spans="1:15" s="3" customFormat="1" ht="22.5" customHeight="1">
      <c r="A9" s="323"/>
      <c r="B9" s="324"/>
      <c r="C9" s="325" t="s">
        <v>223</v>
      </c>
      <c r="D9" s="325"/>
      <c r="E9" s="325"/>
      <c r="F9" s="325" t="s">
        <v>224</v>
      </c>
      <c r="G9" s="325"/>
      <c r="H9" s="325"/>
      <c r="I9" s="325"/>
      <c r="L9" s="254" t="s">
        <v>225</v>
      </c>
      <c r="M9" s="254"/>
      <c r="N9" s="254"/>
      <c r="O9" s="254"/>
    </row>
    <row r="10" spans="1:15" s="3" customFormat="1" ht="22.5" customHeight="1">
      <c r="A10" s="314" t="s">
        <v>226</v>
      </c>
      <c r="B10" s="314"/>
      <c r="C10" s="315">
        <v>1</v>
      </c>
      <c r="D10" s="315"/>
      <c r="E10" s="315"/>
      <c r="F10" s="316">
        <v>1</v>
      </c>
      <c r="G10" s="317"/>
      <c r="H10" s="317"/>
      <c r="I10" s="318"/>
      <c r="L10" s="254"/>
      <c r="M10" s="254"/>
      <c r="N10" s="254"/>
      <c r="O10" s="254"/>
    </row>
    <row r="11" spans="1:15" s="3" customFormat="1" ht="22.5" customHeight="1">
      <c r="A11" s="314" t="s">
        <v>227</v>
      </c>
      <c r="B11" s="314"/>
      <c r="C11" s="315">
        <v>1</v>
      </c>
      <c r="D11" s="315"/>
      <c r="E11" s="315"/>
      <c r="F11" s="316">
        <v>1</v>
      </c>
      <c r="G11" s="317"/>
      <c r="H11" s="317"/>
      <c r="I11" s="318"/>
      <c r="L11" s="254"/>
      <c r="M11" s="254"/>
      <c r="N11" s="254"/>
      <c r="O11" s="254"/>
    </row>
    <row r="12" spans="1:15" s="3" customFormat="1" ht="22.5" customHeight="1">
      <c r="A12" s="314" t="s">
        <v>228</v>
      </c>
      <c r="B12" s="314"/>
      <c r="C12" s="315">
        <f>1-(0.5*2)/(365*24*2)</f>
        <v>0.99994292237442928</v>
      </c>
      <c r="D12" s="315"/>
      <c r="E12" s="315"/>
      <c r="F12" s="316">
        <v>1</v>
      </c>
      <c r="G12" s="317"/>
      <c r="H12" s="317"/>
      <c r="I12" s="318"/>
      <c r="L12" s="254"/>
      <c r="M12" s="254"/>
      <c r="N12" s="254"/>
      <c r="O12" s="254"/>
    </row>
    <row r="13" spans="1:15" s="3" customFormat="1" ht="22.5" customHeight="1">
      <c r="A13" s="314" t="s">
        <v>229</v>
      </c>
      <c r="B13" s="314"/>
      <c r="C13" s="265" t="s">
        <v>230</v>
      </c>
      <c r="D13" s="319"/>
      <c r="E13" s="319"/>
      <c r="F13" s="316">
        <v>1</v>
      </c>
      <c r="G13" s="317"/>
      <c r="H13" s="317"/>
      <c r="I13" s="318"/>
      <c r="L13" s="254"/>
      <c r="M13" s="254"/>
      <c r="N13" s="254"/>
      <c r="O13" s="254"/>
    </row>
    <row r="14" spans="1:15" s="3" customFormat="1" ht="22.5" customHeight="1">
      <c r="A14" s="314" t="s">
        <v>231</v>
      </c>
      <c r="B14" s="314"/>
      <c r="C14" s="315">
        <f>1-(0.5*2)/(365*24*2)</f>
        <v>0.99994292237442928</v>
      </c>
      <c r="D14" s="315"/>
      <c r="E14" s="315"/>
      <c r="F14" s="316">
        <v>1</v>
      </c>
      <c r="G14" s="317"/>
      <c r="H14" s="317"/>
      <c r="I14" s="318"/>
      <c r="L14" s="254"/>
      <c r="M14" s="254"/>
      <c r="N14" s="254"/>
      <c r="O14" s="254"/>
    </row>
    <row r="15" spans="1:15" s="3" customFormat="1" ht="22.5" customHeight="1">
      <c r="A15" s="314" t="s">
        <v>232</v>
      </c>
      <c r="B15" s="314"/>
      <c r="C15" s="315">
        <v>1</v>
      </c>
      <c r="D15" s="315"/>
      <c r="E15" s="315"/>
      <c r="F15" s="316">
        <v>1</v>
      </c>
      <c r="G15" s="317"/>
      <c r="H15" s="317"/>
      <c r="I15" s="318"/>
      <c r="L15" s="254"/>
      <c r="M15" s="254"/>
      <c r="N15" s="254"/>
      <c r="O15" s="254"/>
    </row>
    <row r="16" spans="1:15" s="3" customFormat="1" ht="22.5" customHeight="1">
      <c r="A16" s="326"/>
      <c r="B16" s="327"/>
      <c r="C16" s="319"/>
      <c r="D16" s="319"/>
      <c r="E16" s="319"/>
      <c r="F16" s="316"/>
      <c r="G16" s="317"/>
      <c r="H16" s="317"/>
      <c r="I16" s="318"/>
      <c r="L16" s="254"/>
      <c r="M16" s="254"/>
      <c r="N16" s="254"/>
      <c r="O16" s="254"/>
    </row>
    <row r="17" spans="1:15" s="3" customFormat="1" ht="14.25">
      <c r="L17" s="254"/>
      <c r="M17" s="254"/>
      <c r="N17" s="254"/>
      <c r="O17" s="254"/>
    </row>
    <row r="18" spans="1:15" s="45" customFormat="1" ht="21.75" customHeight="1">
      <c r="A18" s="330" t="s">
        <v>233</v>
      </c>
      <c r="B18" s="331"/>
      <c r="C18" s="331"/>
      <c r="D18" s="331"/>
      <c r="E18" s="331"/>
      <c r="F18" s="331"/>
      <c r="G18" s="331"/>
      <c r="H18" s="331"/>
      <c r="I18" s="331"/>
      <c r="J18" s="331"/>
      <c r="K18" s="332"/>
    </row>
    <row r="19" spans="1:15" s="3" customFormat="1" ht="38.25" customHeight="1">
      <c r="A19" s="46" t="s">
        <v>54</v>
      </c>
      <c r="B19" s="328" t="s">
        <v>234</v>
      </c>
      <c r="C19" s="328"/>
      <c r="D19" s="328"/>
      <c r="E19" s="328" t="s">
        <v>235</v>
      </c>
      <c r="F19" s="328"/>
      <c r="G19" s="328"/>
      <c r="H19" s="328" t="s">
        <v>236</v>
      </c>
      <c r="I19" s="328"/>
      <c r="J19" s="328"/>
      <c r="K19" s="72"/>
    </row>
    <row r="20" spans="1:15" s="3" customFormat="1" ht="65.25" customHeight="1">
      <c r="A20" s="199">
        <v>44582</v>
      </c>
      <c r="B20" s="312" t="s">
        <v>237</v>
      </c>
      <c r="C20" s="312"/>
      <c r="D20" s="312"/>
      <c r="E20" s="220" t="s">
        <v>238</v>
      </c>
      <c r="F20" s="220"/>
      <c r="G20" s="220"/>
      <c r="H20" s="312" t="s">
        <v>239</v>
      </c>
      <c r="I20" s="312"/>
      <c r="J20" s="312"/>
      <c r="K20" s="72"/>
    </row>
    <row r="21" spans="1:15" s="3" customFormat="1" ht="69.75" customHeight="1">
      <c r="A21" s="199">
        <v>44595</v>
      </c>
      <c r="B21" s="312" t="s">
        <v>240</v>
      </c>
      <c r="C21" s="312"/>
      <c r="D21" s="312"/>
      <c r="E21" s="220" t="s">
        <v>238</v>
      </c>
      <c r="F21" s="220"/>
      <c r="G21" s="220"/>
      <c r="H21" s="312" t="s">
        <v>239</v>
      </c>
      <c r="I21" s="312"/>
      <c r="J21" s="312"/>
      <c r="K21" s="72"/>
    </row>
    <row r="22" spans="1:15" s="3" customFormat="1" ht="28.5" customHeight="1">
      <c r="A22" s="199">
        <v>44722</v>
      </c>
      <c r="B22" s="312" t="s">
        <v>241</v>
      </c>
      <c r="C22" s="312"/>
      <c r="D22" s="312"/>
      <c r="E22" s="312" t="s">
        <v>242</v>
      </c>
      <c r="F22" s="312"/>
      <c r="G22" s="312"/>
      <c r="H22" s="312" t="s">
        <v>243</v>
      </c>
      <c r="I22" s="312"/>
      <c r="J22" s="312"/>
      <c r="K22" s="72"/>
    </row>
    <row r="23" spans="1:15" s="3" customFormat="1" ht="31.5" customHeight="1">
      <c r="A23" s="199">
        <v>44760</v>
      </c>
      <c r="B23" s="312" t="s">
        <v>244</v>
      </c>
      <c r="C23" s="312"/>
      <c r="D23" s="312"/>
      <c r="E23" s="220" t="s">
        <v>245</v>
      </c>
      <c r="F23" s="220"/>
      <c r="G23" s="220"/>
      <c r="H23" s="312" t="s">
        <v>246</v>
      </c>
      <c r="I23" s="312"/>
      <c r="J23" s="312"/>
      <c r="K23" s="72"/>
    </row>
    <row r="24" spans="1:15" s="3" customFormat="1" ht="14.25">
      <c r="A24" s="188"/>
      <c r="B24" s="220"/>
      <c r="C24" s="220"/>
      <c r="D24" s="220"/>
      <c r="E24" s="220"/>
      <c r="F24" s="220"/>
      <c r="G24" s="220"/>
      <c r="H24" s="220"/>
      <c r="I24" s="220"/>
      <c r="J24" s="220"/>
      <c r="K24" s="72"/>
    </row>
    <row r="25" spans="1:15" s="3" customFormat="1" ht="14.25"/>
    <row r="26" spans="1:15" s="45" customFormat="1" ht="22.5" customHeight="1">
      <c r="A26" s="330" t="s">
        <v>247</v>
      </c>
      <c r="B26" s="331"/>
      <c r="C26" s="331"/>
      <c r="D26" s="331"/>
      <c r="E26" s="331"/>
      <c r="F26" s="331"/>
      <c r="G26" s="331"/>
      <c r="H26" s="331"/>
      <c r="I26" s="331"/>
      <c r="J26" s="331"/>
      <c r="K26" s="332"/>
    </row>
    <row r="27" spans="1:15" s="3" customFormat="1" ht="39" customHeight="1">
      <c r="A27" s="46" t="s">
        <v>54</v>
      </c>
      <c r="B27" s="328" t="s">
        <v>248</v>
      </c>
      <c r="C27" s="328"/>
      <c r="D27" s="328"/>
      <c r="E27" s="328" t="s">
        <v>249</v>
      </c>
      <c r="F27" s="328"/>
      <c r="G27" s="328"/>
      <c r="H27" s="328" t="s">
        <v>236</v>
      </c>
      <c r="I27" s="328"/>
      <c r="J27" s="328"/>
      <c r="K27" s="72"/>
    </row>
    <row r="28" spans="1:15" s="3" customFormat="1" ht="51" customHeight="1">
      <c r="A28" s="199">
        <v>44575</v>
      </c>
      <c r="B28" s="220" t="s">
        <v>250</v>
      </c>
      <c r="C28" s="220"/>
      <c r="D28" s="220"/>
      <c r="E28" s="220" t="s">
        <v>251</v>
      </c>
      <c r="F28" s="220"/>
      <c r="G28" s="220"/>
      <c r="H28" s="312" t="s">
        <v>252</v>
      </c>
      <c r="I28" s="312"/>
      <c r="J28" s="312"/>
      <c r="K28" s="72"/>
    </row>
    <row r="29" spans="1:15" s="3" customFormat="1" ht="60.75" customHeight="1">
      <c r="A29" s="199">
        <v>44588</v>
      </c>
      <c r="B29" s="220" t="s">
        <v>253</v>
      </c>
      <c r="C29" s="220"/>
      <c r="D29" s="220"/>
      <c r="E29" s="220" t="s">
        <v>251</v>
      </c>
      <c r="F29" s="220"/>
      <c r="G29" s="220"/>
      <c r="H29" s="329"/>
      <c r="I29" s="312"/>
      <c r="J29" s="312"/>
      <c r="K29" s="72"/>
    </row>
    <row r="30" spans="1:15" ht="76.5" customHeight="1">
      <c r="A30" s="199">
        <v>44595</v>
      </c>
      <c r="B30" s="220" t="s">
        <v>254</v>
      </c>
      <c r="C30" s="220"/>
      <c r="D30" s="220"/>
      <c r="E30" s="220" t="s">
        <v>251</v>
      </c>
      <c r="F30" s="220"/>
      <c r="G30" s="220"/>
      <c r="H30" s="312" t="s">
        <v>255</v>
      </c>
      <c r="I30" s="312"/>
      <c r="J30" s="312"/>
      <c r="K30" s="72"/>
      <c r="L30" s="92"/>
      <c r="M30" s="92"/>
      <c r="N30" s="92"/>
      <c r="O30" s="92"/>
    </row>
    <row r="31" spans="1:15" s="3" customFormat="1" ht="14.25">
      <c r="A31" s="199">
        <v>44784</v>
      </c>
      <c r="B31" s="220" t="s">
        <v>256</v>
      </c>
      <c r="C31" s="220"/>
      <c r="D31" s="220"/>
      <c r="E31" s="220" t="s">
        <v>251</v>
      </c>
      <c r="F31" s="220"/>
      <c r="G31" s="220"/>
      <c r="H31" s="220" t="s">
        <v>257</v>
      </c>
      <c r="I31" s="220"/>
      <c r="J31" s="220"/>
      <c r="K31" s="72"/>
    </row>
    <row r="32" spans="1:15" s="3" customFormat="1" ht="55.5" customHeight="1">
      <c r="A32" s="199">
        <v>44914</v>
      </c>
      <c r="B32" s="312" t="s">
        <v>258</v>
      </c>
      <c r="C32" s="312"/>
      <c r="D32" s="312"/>
      <c r="E32" s="220" t="s">
        <v>251</v>
      </c>
      <c r="F32" s="220"/>
      <c r="G32" s="220"/>
      <c r="H32" s="312" t="s">
        <v>259</v>
      </c>
      <c r="I32" s="312"/>
      <c r="J32" s="312"/>
      <c r="K32" s="72"/>
    </row>
    <row r="33" spans="1:10" s="3" customFormat="1" ht="29.25" customHeight="1">
      <c r="A33" s="99"/>
      <c r="E33" s="313" t="s">
        <v>260</v>
      </c>
      <c r="F33" s="313"/>
      <c r="G33" s="313"/>
      <c r="H33" s="313"/>
      <c r="I33" s="313"/>
      <c r="J33" s="99"/>
    </row>
    <row r="66" spans="6:6">
      <c r="F66" s="3"/>
    </row>
  </sheetData>
  <mergeCells count="66">
    <mergeCell ref="A26:K26"/>
    <mergeCell ref="A18:K18"/>
    <mergeCell ref="B31:D31"/>
    <mergeCell ref="E31:G31"/>
    <mergeCell ref="H31:J31"/>
    <mergeCell ref="B27:D27"/>
    <mergeCell ref="E27:G27"/>
    <mergeCell ref="H27:J27"/>
    <mergeCell ref="B28:D28"/>
    <mergeCell ref="E28:G28"/>
    <mergeCell ref="H28:J28"/>
    <mergeCell ref="B23:D23"/>
    <mergeCell ref="E23:G23"/>
    <mergeCell ref="H23:J23"/>
    <mergeCell ref="B24:D24"/>
    <mergeCell ref="E24:G24"/>
    <mergeCell ref="B32:D32"/>
    <mergeCell ref="E32:G32"/>
    <mergeCell ref="H32:J32"/>
    <mergeCell ref="B29:D29"/>
    <mergeCell ref="E29:G29"/>
    <mergeCell ref="H29:J29"/>
    <mergeCell ref="B30:D30"/>
    <mergeCell ref="E30:G30"/>
    <mergeCell ref="H30:J30"/>
    <mergeCell ref="H24:J24"/>
    <mergeCell ref="B21:D21"/>
    <mergeCell ref="E21:G21"/>
    <mergeCell ref="H21:J21"/>
    <mergeCell ref="B22:D22"/>
    <mergeCell ref="E22:G22"/>
    <mergeCell ref="H22:J22"/>
    <mergeCell ref="B19:D19"/>
    <mergeCell ref="E19:G19"/>
    <mergeCell ref="H19:J19"/>
    <mergeCell ref="B20:D20"/>
    <mergeCell ref="E20:G20"/>
    <mergeCell ref="H20:J20"/>
    <mergeCell ref="C16:E16"/>
    <mergeCell ref="F16:I16"/>
    <mergeCell ref="A16:B16"/>
    <mergeCell ref="F14:I14"/>
    <mergeCell ref="A15:B15"/>
    <mergeCell ref="C15:E15"/>
    <mergeCell ref="F15:I15"/>
    <mergeCell ref="A8:B8"/>
    <mergeCell ref="C8:I8"/>
    <mergeCell ref="A9:B9"/>
    <mergeCell ref="C9:E9"/>
    <mergeCell ref="F9:I9"/>
    <mergeCell ref="L9:O17"/>
    <mergeCell ref="E33:I33"/>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6"/>
  <sheetViews>
    <sheetView zoomScaleNormal="100" zoomScaleSheetLayoutView="115" workbookViewId="0">
      <selection activeCell="L26" sqref="L26"/>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2" t="str">
        <f>+'Cover Page'!$B$29</f>
        <v>Annual Performance Report 2022</v>
      </c>
      <c r="B1" s="92"/>
      <c r="C1" s="92"/>
      <c r="D1" s="92"/>
      <c r="E1" s="92" t="str">
        <f>+'Cover Page'!$B$33</f>
        <v>Suffolk Energy from Waste Facility</v>
      </c>
      <c r="F1" s="92"/>
      <c r="G1" s="92"/>
      <c r="H1" s="92"/>
      <c r="I1" s="92"/>
    </row>
    <row r="3" spans="1:9" ht="15.75">
      <c r="A3" s="1" t="s">
        <v>261</v>
      </c>
      <c r="B3" s="92"/>
      <c r="C3" s="92"/>
      <c r="D3" s="92"/>
      <c r="E3" s="92"/>
      <c r="F3" s="92"/>
      <c r="G3" s="194"/>
      <c r="H3" s="92"/>
      <c r="I3" s="92"/>
    </row>
    <row r="4" spans="1:9" ht="15.75">
      <c r="A4" s="1"/>
      <c r="B4" s="92"/>
      <c r="C4" s="92"/>
      <c r="D4" s="92"/>
      <c r="E4" s="92"/>
      <c r="F4" s="92"/>
      <c r="G4" s="92"/>
      <c r="H4" s="92"/>
      <c r="I4" s="92"/>
    </row>
    <row r="5" spans="1:9" s="3" customFormat="1" ht="26.25" customHeight="1">
      <c r="A5" s="333" t="s">
        <v>262</v>
      </c>
      <c r="B5" s="334"/>
      <c r="C5" s="334"/>
      <c r="D5" s="334"/>
      <c r="E5" s="334"/>
      <c r="F5" s="334"/>
      <c r="G5" s="334"/>
      <c r="H5" s="334"/>
      <c r="I5" s="335"/>
    </row>
    <row r="6" spans="1:9" s="3" customFormat="1" ht="31.5" customHeight="1">
      <c r="A6" s="237" t="s">
        <v>263</v>
      </c>
      <c r="B6" s="238"/>
      <c r="C6" s="238"/>
      <c r="D6" s="238"/>
      <c r="E6" s="238"/>
      <c r="F6" s="238"/>
      <c r="G6" s="238"/>
      <c r="H6" s="238"/>
      <c r="I6" s="239"/>
    </row>
    <row r="7" spans="1:9" s="3" customFormat="1" ht="15.75" customHeight="1">
      <c r="A7" s="240"/>
      <c r="B7" s="241"/>
      <c r="C7" s="241"/>
      <c r="D7" s="241"/>
      <c r="E7" s="241"/>
      <c r="F7" s="241"/>
      <c r="G7" s="241"/>
      <c r="H7" s="241"/>
      <c r="I7" s="242"/>
    </row>
    <row r="8" spans="1:9" s="3" customFormat="1" ht="15.75" customHeight="1">
      <c r="A8" s="240"/>
      <c r="B8" s="241"/>
      <c r="C8" s="241"/>
      <c r="D8" s="241"/>
      <c r="E8" s="241"/>
      <c r="F8" s="241"/>
      <c r="G8" s="241"/>
      <c r="H8" s="241"/>
      <c r="I8" s="242"/>
    </row>
    <row r="9" spans="1:9" s="3" customFormat="1" ht="15.75" customHeight="1">
      <c r="A9" s="240"/>
      <c r="B9" s="241"/>
      <c r="C9" s="241"/>
      <c r="D9" s="241"/>
      <c r="E9" s="241"/>
      <c r="F9" s="241"/>
      <c r="G9" s="241"/>
      <c r="H9" s="241"/>
      <c r="I9" s="242"/>
    </row>
    <row r="10" spans="1:9" s="3" customFormat="1" ht="15.75" customHeight="1">
      <c r="A10" s="240"/>
      <c r="B10" s="241"/>
      <c r="C10" s="241"/>
      <c r="D10" s="241"/>
      <c r="E10" s="241"/>
      <c r="F10" s="241"/>
      <c r="G10" s="241"/>
      <c r="H10" s="241"/>
      <c r="I10" s="242"/>
    </row>
    <row r="11" spans="1:9" s="3" customFormat="1" ht="15.75" customHeight="1">
      <c r="A11" s="240"/>
      <c r="B11" s="241"/>
      <c r="C11" s="241"/>
      <c r="D11" s="241"/>
      <c r="E11" s="241"/>
      <c r="F11" s="241"/>
      <c r="G11" s="241"/>
      <c r="H11" s="241"/>
      <c r="I11" s="242"/>
    </row>
    <row r="12" spans="1:9" s="3" customFormat="1" ht="15.75" customHeight="1">
      <c r="A12" s="240"/>
      <c r="B12" s="241"/>
      <c r="C12" s="241"/>
      <c r="D12" s="241"/>
      <c r="E12" s="241"/>
      <c r="F12" s="241"/>
      <c r="G12" s="241"/>
      <c r="H12" s="241"/>
      <c r="I12" s="242"/>
    </row>
    <row r="13" spans="1:9" s="3" customFormat="1" ht="15.75" customHeight="1">
      <c r="A13" s="240"/>
      <c r="B13" s="241"/>
      <c r="C13" s="241"/>
      <c r="D13" s="241"/>
      <c r="E13" s="241"/>
      <c r="F13" s="241"/>
      <c r="G13" s="241"/>
      <c r="H13" s="241"/>
      <c r="I13" s="242"/>
    </row>
    <row r="14" spans="1:9" s="3" customFormat="1" ht="15.75" customHeight="1">
      <c r="A14" s="243"/>
      <c r="B14" s="244"/>
      <c r="C14" s="244"/>
      <c r="D14" s="244"/>
      <c r="E14" s="244"/>
      <c r="F14" s="244"/>
      <c r="G14" s="244"/>
      <c r="H14" s="244"/>
      <c r="I14" s="245"/>
    </row>
    <row r="15" spans="1:9" s="3" customFormat="1" ht="14.25"/>
    <row r="16" spans="1:9" s="47" customFormat="1" ht="33.75" customHeight="1">
      <c r="A16" s="333" t="s">
        <v>264</v>
      </c>
      <c r="B16" s="334"/>
      <c r="C16" s="334"/>
      <c r="D16" s="334"/>
      <c r="E16" s="334"/>
      <c r="F16" s="334"/>
      <c r="G16" s="334"/>
      <c r="H16" s="334"/>
      <c r="I16" s="335"/>
    </row>
    <row r="17" spans="1:9" ht="15.75" customHeight="1">
      <c r="A17" s="345" t="s">
        <v>265</v>
      </c>
      <c r="B17" s="246"/>
      <c r="C17" s="246"/>
      <c r="D17" s="246"/>
      <c r="E17" s="246"/>
      <c r="F17" s="246"/>
      <c r="G17" s="246"/>
      <c r="H17" s="246"/>
      <c r="I17" s="247"/>
    </row>
    <row r="18" spans="1:9" ht="15.75" customHeight="1">
      <c r="A18" s="248"/>
      <c r="B18" s="249"/>
      <c r="C18" s="249"/>
      <c r="D18" s="249"/>
      <c r="E18" s="249"/>
      <c r="F18" s="249"/>
      <c r="G18" s="249"/>
      <c r="H18" s="249"/>
      <c r="I18" s="250"/>
    </row>
    <row r="19" spans="1:9" ht="15.75" customHeight="1">
      <c r="A19" s="248"/>
      <c r="B19" s="249"/>
      <c r="C19" s="249"/>
      <c r="D19" s="249"/>
      <c r="E19" s="249"/>
      <c r="F19" s="249"/>
      <c r="G19" s="249"/>
      <c r="H19" s="249"/>
      <c r="I19" s="250"/>
    </row>
    <row r="20" spans="1:9" ht="15.75" customHeight="1">
      <c r="A20" s="248"/>
      <c r="B20" s="249"/>
      <c r="C20" s="249"/>
      <c r="D20" s="249"/>
      <c r="E20" s="249"/>
      <c r="F20" s="249"/>
      <c r="G20" s="249"/>
      <c r="H20" s="249"/>
      <c r="I20" s="250"/>
    </row>
    <row r="21" spans="1:9" ht="15.75" customHeight="1">
      <c r="A21" s="248"/>
      <c r="B21" s="249"/>
      <c r="C21" s="249"/>
      <c r="D21" s="249"/>
      <c r="E21" s="249"/>
      <c r="F21" s="249"/>
      <c r="G21" s="249"/>
      <c r="H21" s="249"/>
      <c r="I21" s="250"/>
    </row>
    <row r="22" spans="1:9" ht="15.75" customHeight="1">
      <c r="A22" s="248"/>
      <c r="B22" s="249"/>
      <c r="C22" s="249"/>
      <c r="D22" s="249"/>
      <c r="E22" s="249"/>
      <c r="F22" s="249"/>
      <c r="G22" s="249"/>
      <c r="H22" s="249"/>
      <c r="I22" s="250"/>
    </row>
    <row r="23" spans="1:9" ht="15.75" customHeight="1">
      <c r="A23" s="248"/>
      <c r="B23" s="249"/>
      <c r="C23" s="249"/>
      <c r="D23" s="249"/>
      <c r="E23" s="249"/>
      <c r="F23" s="249"/>
      <c r="G23" s="249"/>
      <c r="H23" s="249"/>
      <c r="I23" s="250"/>
    </row>
    <row r="24" spans="1:9" ht="15.75" customHeight="1">
      <c r="A24" s="248"/>
      <c r="B24" s="249"/>
      <c r="C24" s="249"/>
      <c r="D24" s="249"/>
      <c r="E24" s="249"/>
      <c r="F24" s="249"/>
      <c r="G24" s="249"/>
      <c r="H24" s="249"/>
      <c r="I24" s="250"/>
    </row>
    <row r="25" spans="1:9" ht="15.75" customHeight="1">
      <c r="A25" s="251"/>
      <c r="B25" s="252"/>
      <c r="C25" s="252"/>
      <c r="D25" s="252"/>
      <c r="E25" s="252"/>
      <c r="F25" s="252"/>
      <c r="G25" s="252"/>
      <c r="H25" s="252"/>
      <c r="I25" s="253"/>
    </row>
    <row r="26" spans="1:9" ht="15.75">
      <c r="A26" s="1"/>
      <c r="B26" s="92"/>
      <c r="C26" s="92"/>
      <c r="D26" s="92"/>
      <c r="E26" s="92"/>
      <c r="F26" s="92"/>
      <c r="G26" s="92"/>
      <c r="H26" s="92"/>
      <c r="I26" s="92"/>
    </row>
    <row r="27" spans="1:9" ht="36.75" customHeight="1">
      <c r="A27" s="333" t="s">
        <v>266</v>
      </c>
      <c r="B27" s="334"/>
      <c r="C27" s="334"/>
      <c r="D27" s="334"/>
      <c r="E27" s="334"/>
      <c r="F27" s="334"/>
      <c r="G27" s="334"/>
      <c r="H27" s="334"/>
      <c r="I27" s="335"/>
    </row>
    <row r="28" spans="1:9" ht="15.75" customHeight="1">
      <c r="A28" s="345" t="s">
        <v>265</v>
      </c>
      <c r="B28" s="246"/>
      <c r="C28" s="246"/>
      <c r="D28" s="246"/>
      <c r="E28" s="246"/>
      <c r="F28" s="246"/>
      <c r="G28" s="246"/>
      <c r="H28" s="246"/>
      <c r="I28" s="247"/>
    </row>
    <row r="29" spans="1:9" ht="15.75" customHeight="1">
      <c r="A29" s="248"/>
      <c r="B29" s="249"/>
      <c r="C29" s="249"/>
      <c r="D29" s="249"/>
      <c r="E29" s="249"/>
      <c r="F29" s="249"/>
      <c r="G29" s="249"/>
      <c r="H29" s="249"/>
      <c r="I29" s="250"/>
    </row>
    <row r="30" spans="1:9" ht="15.75" customHeight="1">
      <c r="A30" s="248"/>
      <c r="B30" s="249"/>
      <c r="C30" s="249"/>
      <c r="D30" s="249"/>
      <c r="E30" s="249"/>
      <c r="F30" s="249"/>
      <c r="G30" s="249"/>
      <c r="H30" s="249"/>
      <c r="I30" s="250"/>
    </row>
    <row r="31" spans="1:9" ht="15.75" customHeight="1">
      <c r="A31" s="248"/>
      <c r="B31" s="249"/>
      <c r="C31" s="249"/>
      <c r="D31" s="249"/>
      <c r="E31" s="249"/>
      <c r="F31" s="249"/>
      <c r="G31" s="249"/>
      <c r="H31" s="249"/>
      <c r="I31" s="250"/>
    </row>
    <row r="32" spans="1:9" ht="15.75" customHeight="1">
      <c r="A32" s="248"/>
      <c r="B32" s="249"/>
      <c r="C32" s="249"/>
      <c r="D32" s="249"/>
      <c r="E32" s="249"/>
      <c r="F32" s="249"/>
      <c r="G32" s="249"/>
      <c r="H32" s="249"/>
      <c r="I32" s="250"/>
    </row>
    <row r="33" spans="1:9" ht="15.75" customHeight="1">
      <c r="A33" s="248"/>
      <c r="B33" s="249"/>
      <c r="C33" s="249"/>
      <c r="D33" s="249"/>
      <c r="E33" s="249"/>
      <c r="F33" s="249"/>
      <c r="G33" s="249"/>
      <c r="H33" s="249"/>
      <c r="I33" s="250"/>
    </row>
    <row r="34" spans="1:9" ht="15.75" customHeight="1">
      <c r="A34" s="248"/>
      <c r="B34" s="249"/>
      <c r="C34" s="249"/>
      <c r="D34" s="249"/>
      <c r="E34" s="249"/>
      <c r="F34" s="249"/>
      <c r="G34" s="249"/>
      <c r="H34" s="249"/>
      <c r="I34" s="250"/>
    </row>
    <row r="35" spans="1:9" ht="15.75" customHeight="1">
      <c r="A35" s="248"/>
      <c r="B35" s="249"/>
      <c r="C35" s="249"/>
      <c r="D35" s="249"/>
      <c r="E35" s="249"/>
      <c r="F35" s="249"/>
      <c r="G35" s="249"/>
      <c r="H35" s="249"/>
      <c r="I35" s="250"/>
    </row>
    <row r="36" spans="1:9" ht="15.75" customHeight="1">
      <c r="A36" s="251"/>
      <c r="B36" s="252"/>
      <c r="C36" s="252"/>
      <c r="D36" s="252"/>
      <c r="E36" s="252"/>
      <c r="F36" s="252"/>
      <c r="G36" s="252"/>
      <c r="H36" s="252"/>
      <c r="I36" s="253"/>
    </row>
    <row r="38" spans="1:9" ht="33" customHeight="1">
      <c r="A38" s="333" t="s">
        <v>267</v>
      </c>
      <c r="B38" s="334"/>
      <c r="C38" s="334"/>
      <c r="D38" s="334"/>
      <c r="E38" s="334"/>
      <c r="F38" s="334"/>
      <c r="G38" s="334"/>
      <c r="H38" s="334"/>
      <c r="I38" s="335"/>
    </row>
    <row r="39" spans="1:9" ht="15.75" customHeight="1">
      <c r="A39" s="336"/>
      <c r="B39" s="337"/>
      <c r="C39" s="337"/>
      <c r="D39" s="337"/>
      <c r="E39" s="337"/>
      <c r="F39" s="337"/>
      <c r="G39" s="337"/>
      <c r="H39" s="337"/>
      <c r="I39" s="338"/>
    </row>
    <row r="40" spans="1:9" ht="15.75" customHeight="1">
      <c r="A40" s="339"/>
      <c r="B40" s="340"/>
      <c r="C40" s="340"/>
      <c r="D40" s="340"/>
      <c r="E40" s="340"/>
      <c r="F40" s="340"/>
      <c r="G40" s="340"/>
      <c r="H40" s="340"/>
      <c r="I40" s="341"/>
    </row>
    <row r="41" spans="1:9" ht="15.75" customHeight="1">
      <c r="A41" s="339"/>
      <c r="B41" s="340"/>
      <c r="C41" s="340"/>
      <c r="D41" s="340"/>
      <c r="E41" s="340"/>
      <c r="F41" s="340"/>
      <c r="G41" s="340"/>
      <c r="H41" s="340"/>
      <c r="I41" s="341"/>
    </row>
    <row r="42" spans="1:9" ht="15.75" customHeight="1">
      <c r="A42" s="339"/>
      <c r="B42" s="340"/>
      <c r="C42" s="340"/>
      <c r="D42" s="340"/>
      <c r="E42" s="340"/>
      <c r="F42" s="340"/>
      <c r="G42" s="340"/>
      <c r="H42" s="340"/>
      <c r="I42" s="341"/>
    </row>
    <row r="43" spans="1:9" ht="15.75" customHeight="1">
      <c r="A43" s="339"/>
      <c r="B43" s="340"/>
      <c r="C43" s="340"/>
      <c r="D43" s="340"/>
      <c r="E43" s="340"/>
      <c r="F43" s="340"/>
      <c r="G43" s="340"/>
      <c r="H43" s="340"/>
      <c r="I43" s="341"/>
    </row>
    <row r="44" spans="1:9" ht="15.75" customHeight="1">
      <c r="A44" s="339"/>
      <c r="B44" s="340"/>
      <c r="C44" s="340"/>
      <c r="D44" s="340"/>
      <c r="E44" s="340"/>
      <c r="F44" s="340"/>
      <c r="G44" s="340"/>
      <c r="H44" s="340"/>
      <c r="I44" s="341"/>
    </row>
    <row r="45" spans="1:9" ht="15.75" customHeight="1">
      <c r="A45" s="339"/>
      <c r="B45" s="340"/>
      <c r="C45" s="340"/>
      <c r="D45" s="340"/>
      <c r="E45" s="340"/>
      <c r="F45" s="340"/>
      <c r="G45" s="340"/>
      <c r="H45" s="340"/>
      <c r="I45" s="341"/>
    </row>
    <row r="46" spans="1:9" ht="15.75" customHeight="1">
      <c r="A46" s="339"/>
      <c r="B46" s="340"/>
      <c r="C46" s="340"/>
      <c r="D46" s="340"/>
      <c r="E46" s="340"/>
      <c r="F46" s="340"/>
      <c r="G46" s="340"/>
      <c r="H46" s="340"/>
      <c r="I46" s="341"/>
    </row>
    <row r="47" spans="1:9" ht="15.75" customHeight="1">
      <c r="A47" s="339"/>
      <c r="B47" s="340"/>
      <c r="C47" s="340"/>
      <c r="D47" s="340"/>
      <c r="E47" s="340"/>
      <c r="F47" s="340"/>
      <c r="G47" s="340"/>
      <c r="H47" s="340"/>
      <c r="I47" s="341"/>
    </row>
    <row r="48" spans="1:9" ht="15.75" customHeight="1">
      <c r="A48" s="342"/>
      <c r="B48" s="343"/>
      <c r="C48" s="343"/>
      <c r="D48" s="343"/>
      <c r="E48" s="343"/>
      <c r="F48" s="343"/>
      <c r="G48" s="343"/>
      <c r="H48" s="343"/>
      <c r="I48" s="344"/>
    </row>
    <row r="66" spans="6:6">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6"/>
  <sheetViews>
    <sheetView zoomScaleNormal="100" zoomScaleSheetLayoutView="100" workbookViewId="0">
      <selection activeCell="L26" sqref="L26"/>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2" t="str">
        <f>+'Cover Page'!$B$29</f>
        <v>Annual Performance Report 2022</v>
      </c>
      <c r="B1" s="92"/>
      <c r="C1" s="92"/>
      <c r="D1" s="92"/>
      <c r="E1" s="92" t="str">
        <f>+'Cover Page'!$B$33</f>
        <v>Suffolk Energy from Waste Facility</v>
      </c>
      <c r="F1" s="92"/>
      <c r="G1" s="92"/>
      <c r="H1" s="92"/>
      <c r="I1" s="92"/>
    </row>
    <row r="3" spans="1:9" ht="15.75">
      <c r="A3" s="1" t="s">
        <v>268</v>
      </c>
      <c r="B3" s="92"/>
      <c r="C3" s="92"/>
      <c r="D3" s="92"/>
      <c r="E3" s="92"/>
      <c r="F3" s="92"/>
      <c r="G3" s="194"/>
      <c r="H3" s="92"/>
      <c r="I3" s="92"/>
    </row>
    <row r="4" spans="1:9" ht="15.75">
      <c r="A4" s="1"/>
      <c r="B4" s="92"/>
      <c r="C4" s="92"/>
      <c r="D4" s="92"/>
      <c r="E4" s="92"/>
      <c r="F4" s="92"/>
      <c r="G4" s="92"/>
      <c r="H4" s="92"/>
      <c r="I4" s="92"/>
    </row>
    <row r="5" spans="1:9" s="3" customFormat="1" ht="28.5" customHeight="1">
      <c r="A5" s="48" t="s">
        <v>269</v>
      </c>
      <c r="B5" s="49"/>
      <c r="C5" s="49"/>
      <c r="D5" s="49"/>
      <c r="E5" s="49"/>
      <c r="F5" s="49"/>
      <c r="G5" s="49"/>
      <c r="H5" s="49"/>
      <c r="I5" s="50"/>
    </row>
    <row r="6" spans="1:9" s="3" customFormat="1" ht="15.75" customHeight="1">
      <c r="A6" s="346" t="s">
        <v>54</v>
      </c>
      <c r="B6" s="347"/>
      <c r="C6" s="346" t="s">
        <v>270</v>
      </c>
      <c r="D6" s="348"/>
      <c r="E6" s="348"/>
      <c r="F6" s="348"/>
      <c r="G6" s="348"/>
      <c r="H6" s="348"/>
      <c r="I6" s="347"/>
    </row>
    <row r="7" spans="1:9" s="3" customFormat="1" ht="15.75" customHeight="1">
      <c r="A7" s="349">
        <v>44682</v>
      </c>
      <c r="B7" s="247"/>
      <c r="C7" s="237" t="s">
        <v>271</v>
      </c>
      <c r="D7" s="246"/>
      <c r="E7" s="246"/>
      <c r="F7" s="246"/>
      <c r="G7" s="246"/>
      <c r="H7" s="246"/>
      <c r="I7" s="247"/>
    </row>
    <row r="8" spans="1:9" s="3" customFormat="1" ht="37.5" customHeight="1">
      <c r="A8" s="251"/>
      <c r="B8" s="253"/>
      <c r="C8" s="251"/>
      <c r="D8" s="252"/>
      <c r="E8" s="252"/>
      <c r="F8" s="252"/>
      <c r="G8" s="252"/>
      <c r="H8" s="252"/>
      <c r="I8" s="253"/>
    </row>
    <row r="9" spans="1:9" s="3" customFormat="1" ht="15.75" customHeight="1">
      <c r="A9" s="345" t="s">
        <v>272</v>
      </c>
      <c r="B9" s="247"/>
      <c r="C9" s="345" t="s">
        <v>273</v>
      </c>
      <c r="D9" s="246"/>
      <c r="E9" s="246"/>
      <c r="F9" s="246"/>
      <c r="G9" s="246"/>
      <c r="H9" s="246"/>
      <c r="I9" s="247"/>
    </row>
    <row r="10" spans="1:9" s="3" customFormat="1" ht="15.75" customHeight="1">
      <c r="A10" s="251"/>
      <c r="B10" s="253"/>
      <c r="C10" s="251"/>
      <c r="D10" s="252"/>
      <c r="E10" s="252"/>
      <c r="F10" s="252"/>
      <c r="G10" s="252"/>
      <c r="H10" s="252"/>
      <c r="I10" s="253"/>
    </row>
    <row r="11" spans="1:9" s="3" customFormat="1" ht="15.75" customHeight="1">
      <c r="A11" s="345" t="s">
        <v>272</v>
      </c>
      <c r="B11" s="247"/>
      <c r="C11" s="237" t="s">
        <v>274</v>
      </c>
      <c r="D11" s="246"/>
      <c r="E11" s="246"/>
      <c r="F11" s="246"/>
      <c r="G11" s="246"/>
      <c r="H11" s="246"/>
      <c r="I11" s="247"/>
    </row>
    <row r="12" spans="1:9" s="3" customFormat="1" ht="33.75" customHeight="1">
      <c r="A12" s="251"/>
      <c r="B12" s="253"/>
      <c r="C12" s="251"/>
      <c r="D12" s="252"/>
      <c r="E12" s="252"/>
      <c r="F12" s="252"/>
      <c r="G12" s="252"/>
      <c r="H12" s="252"/>
      <c r="I12" s="253"/>
    </row>
    <row r="13" spans="1:9" s="3" customFormat="1" ht="15.75" customHeight="1">
      <c r="A13" s="345"/>
      <c r="B13" s="247"/>
      <c r="C13" s="345"/>
      <c r="D13" s="246"/>
      <c r="E13" s="246"/>
      <c r="F13" s="246"/>
      <c r="G13" s="246"/>
      <c r="H13" s="246"/>
      <c r="I13" s="247"/>
    </row>
    <row r="14" spans="1:9" s="3" customFormat="1" ht="15.75" customHeight="1">
      <c r="A14" s="251"/>
      <c r="B14" s="253"/>
      <c r="C14" s="251"/>
      <c r="D14" s="252"/>
      <c r="E14" s="252"/>
      <c r="F14" s="252"/>
      <c r="G14" s="252"/>
      <c r="H14" s="252"/>
      <c r="I14" s="253"/>
    </row>
    <row r="15" spans="1:9" s="3" customFormat="1" ht="14.25"/>
    <row r="16" spans="1:9" s="47" customFormat="1" ht="33.75" customHeight="1">
      <c r="A16" s="333" t="s">
        <v>275</v>
      </c>
      <c r="B16" s="334"/>
      <c r="C16" s="334"/>
      <c r="D16" s="334"/>
      <c r="E16" s="334"/>
      <c r="F16" s="334"/>
      <c r="G16" s="334"/>
      <c r="H16" s="334"/>
      <c r="I16" s="335"/>
    </row>
    <row r="17" spans="1:9" ht="15.75" customHeight="1">
      <c r="A17" s="346" t="s">
        <v>54</v>
      </c>
      <c r="B17" s="347"/>
      <c r="C17" s="346" t="s">
        <v>270</v>
      </c>
      <c r="D17" s="348"/>
      <c r="E17" s="348"/>
      <c r="F17" s="348"/>
      <c r="G17" s="348"/>
      <c r="H17" s="348"/>
      <c r="I17" s="348"/>
    </row>
    <row r="18" spans="1:9" ht="15.75" customHeight="1">
      <c r="A18" s="349">
        <v>45047</v>
      </c>
      <c r="B18" s="247"/>
      <c r="C18" s="345" t="s">
        <v>276</v>
      </c>
      <c r="D18" s="246"/>
      <c r="E18" s="246"/>
      <c r="F18" s="246"/>
      <c r="G18" s="246"/>
      <c r="H18" s="246"/>
      <c r="I18" s="247"/>
    </row>
    <row r="19" spans="1:9" ht="15.75" customHeight="1">
      <c r="A19" s="251"/>
      <c r="B19" s="253"/>
      <c r="C19" s="251"/>
      <c r="D19" s="252"/>
      <c r="E19" s="252"/>
      <c r="F19" s="252"/>
      <c r="G19" s="252"/>
      <c r="H19" s="252"/>
      <c r="I19" s="253"/>
    </row>
    <row r="20" spans="1:9" ht="15.75" customHeight="1">
      <c r="A20" s="345" t="s">
        <v>272</v>
      </c>
      <c r="B20" s="247"/>
      <c r="C20" s="345" t="s">
        <v>277</v>
      </c>
      <c r="D20" s="246"/>
      <c r="E20" s="246"/>
      <c r="F20" s="246"/>
      <c r="G20" s="246"/>
      <c r="H20" s="246"/>
      <c r="I20" s="247"/>
    </row>
    <row r="21" spans="1:9" ht="15.75" customHeight="1">
      <c r="A21" s="251"/>
      <c r="B21" s="253"/>
      <c r="C21" s="251"/>
      <c r="D21" s="252"/>
      <c r="E21" s="252"/>
      <c r="F21" s="252"/>
      <c r="G21" s="252"/>
      <c r="H21" s="252"/>
      <c r="I21" s="253"/>
    </row>
    <row r="22" spans="1:9" ht="15.75" customHeight="1">
      <c r="A22" s="345" t="s">
        <v>272</v>
      </c>
      <c r="B22" s="247"/>
      <c r="C22" s="345" t="s">
        <v>278</v>
      </c>
      <c r="D22" s="246"/>
      <c r="E22" s="246"/>
      <c r="F22" s="246"/>
      <c r="G22" s="246"/>
      <c r="H22" s="246"/>
      <c r="I22" s="247"/>
    </row>
    <row r="23" spans="1:9" ht="15.75" customHeight="1">
      <c r="A23" s="251"/>
      <c r="B23" s="253"/>
      <c r="C23" s="251"/>
      <c r="D23" s="252"/>
      <c r="E23" s="252"/>
      <c r="F23" s="252"/>
      <c r="G23" s="252"/>
      <c r="H23" s="252"/>
      <c r="I23" s="253"/>
    </row>
    <row r="24" spans="1:9" ht="15.75" customHeight="1">
      <c r="A24" s="345"/>
      <c r="B24" s="247"/>
      <c r="C24" s="345"/>
      <c r="D24" s="246"/>
      <c r="E24" s="246"/>
      <c r="F24" s="246"/>
      <c r="G24" s="246"/>
      <c r="H24" s="246"/>
      <c r="I24" s="247"/>
    </row>
    <row r="25" spans="1:9" ht="15.75" customHeight="1">
      <c r="A25" s="251"/>
      <c r="B25" s="253"/>
      <c r="C25" s="251"/>
      <c r="D25" s="252"/>
      <c r="E25" s="252"/>
      <c r="F25" s="252"/>
      <c r="G25" s="252"/>
      <c r="H25" s="252"/>
      <c r="I25" s="253"/>
    </row>
    <row r="26" spans="1:9" ht="15.75" customHeight="1">
      <c r="A26" s="345"/>
      <c r="B26" s="247"/>
      <c r="C26" s="345"/>
      <c r="D26" s="246"/>
      <c r="E26" s="246"/>
      <c r="F26" s="246"/>
      <c r="G26" s="246"/>
      <c r="H26" s="246"/>
      <c r="I26" s="247"/>
    </row>
    <row r="27" spans="1:9" ht="15.75" customHeight="1">
      <c r="A27" s="251"/>
      <c r="B27" s="253"/>
      <c r="C27" s="251"/>
      <c r="D27" s="252"/>
      <c r="E27" s="252"/>
      <c r="F27" s="252"/>
      <c r="G27" s="252"/>
      <c r="H27" s="252"/>
      <c r="I27" s="253"/>
    </row>
    <row r="28" spans="1:9" ht="15.75">
      <c r="A28" s="1"/>
      <c r="B28" s="92"/>
      <c r="C28" s="92"/>
      <c r="D28" s="92"/>
      <c r="E28" s="92"/>
      <c r="F28" s="92"/>
      <c r="G28" s="92"/>
      <c r="H28" s="92"/>
      <c r="I28" s="92"/>
    </row>
    <row r="29" spans="1:9" ht="36.75" customHeight="1">
      <c r="A29" s="333" t="s">
        <v>279</v>
      </c>
      <c r="B29" s="334"/>
      <c r="C29" s="334"/>
      <c r="D29" s="334"/>
      <c r="E29" s="334"/>
      <c r="F29" s="334"/>
      <c r="G29" s="334"/>
      <c r="H29" s="334"/>
      <c r="I29" s="335"/>
    </row>
    <row r="66" spans="6:6">
      <c r="F66" s="3"/>
    </row>
  </sheetData>
  <mergeCells count="24">
    <mergeCell ref="A24:B25"/>
    <mergeCell ref="C24:I25"/>
    <mergeCell ref="A26:B27"/>
    <mergeCell ref="C26:I27"/>
    <mergeCell ref="A29:I29"/>
    <mergeCell ref="A18:B19"/>
    <mergeCell ref="C18:I19"/>
    <mergeCell ref="A20:B21"/>
    <mergeCell ref="C20:I21"/>
    <mergeCell ref="A22:B23"/>
    <mergeCell ref="C22:I23"/>
    <mergeCell ref="A17:B17"/>
    <mergeCell ref="C17:I17"/>
    <mergeCell ref="A6:B6"/>
    <mergeCell ref="C6:I6"/>
    <mergeCell ref="A7:B8"/>
    <mergeCell ref="C7:I8"/>
    <mergeCell ref="A9:B10"/>
    <mergeCell ref="C9:I10"/>
    <mergeCell ref="A11:B12"/>
    <mergeCell ref="C11:I12"/>
    <mergeCell ref="A13:B14"/>
    <mergeCell ref="C13:I14"/>
    <mergeCell ref="A16:I16"/>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2CF8C-5A84-41BE-B575-33283D7A64D1}">
  <sheetPr>
    <tabColor rgb="FF00B050"/>
  </sheetPr>
  <dimension ref="A1:O29"/>
  <sheetViews>
    <sheetView zoomScaleNormal="100" zoomScaleSheetLayoutView="115" workbookViewId="0">
      <selection activeCell="L26" sqref="L26"/>
    </sheetView>
  </sheetViews>
  <sheetFormatPr defaultColWidth="8.85546875" defaultRowHeight="15"/>
  <cols>
    <col min="1" max="1" width="36.7109375" style="92" customWidth="1"/>
    <col min="2" max="2" width="17.7109375" style="92" customWidth="1"/>
    <col min="3" max="3" width="37.28515625" style="92" customWidth="1"/>
    <col min="4" max="14" width="8.85546875" style="92"/>
    <col min="15" max="15" width="9" style="92" customWidth="1"/>
    <col min="16" max="16384" width="8.85546875" style="92"/>
  </cols>
  <sheetData>
    <row r="1" spans="1:15">
      <c r="A1" s="92" t="str">
        <f>+'Cover Page'!$B$29</f>
        <v>Annual Performance Report 2022</v>
      </c>
      <c r="C1" s="92" t="str">
        <f>+'Cover Page'!$B$33</f>
        <v>Suffolk Energy from Waste Facility</v>
      </c>
    </row>
    <row r="2" spans="1:15" ht="10.15" customHeight="1"/>
    <row r="3" spans="1:15" ht="15.75">
      <c r="A3" s="1" t="s">
        <v>280</v>
      </c>
      <c r="E3" s="81" t="s">
        <v>3</v>
      </c>
      <c r="G3" s="194"/>
    </row>
    <row r="4" spans="1:15" ht="9.4" customHeight="1"/>
    <row r="5" spans="1:15">
      <c r="A5" s="354" t="s">
        <v>281</v>
      </c>
      <c r="B5" s="355"/>
      <c r="C5" s="355"/>
    </row>
    <row r="6" spans="1:15" ht="30">
      <c r="A6" s="93" t="s">
        <v>282</v>
      </c>
      <c r="B6" s="96" t="s">
        <v>283</v>
      </c>
      <c r="C6" s="106">
        <v>274203</v>
      </c>
    </row>
    <row r="7" spans="1:15" ht="45">
      <c r="A7" s="93" t="s">
        <v>284</v>
      </c>
      <c r="B7" s="96" t="s">
        <v>283</v>
      </c>
      <c r="C7" s="112">
        <f>C6/'Operational Data'!G18</f>
        <v>0.96878853294798917</v>
      </c>
    </row>
    <row r="8" spans="1:15" ht="45">
      <c r="A8" s="93" t="s">
        <v>285</v>
      </c>
      <c r="B8" s="96" t="s">
        <v>283</v>
      </c>
      <c r="C8" s="105">
        <f>C6/'Operational Data'!G25</f>
        <v>1.5483859032830474</v>
      </c>
    </row>
    <row r="9" spans="1:15" ht="89.45" customHeight="1">
      <c r="A9" s="93" t="s">
        <v>286</v>
      </c>
      <c r="B9" s="356" t="s">
        <v>287</v>
      </c>
      <c r="C9" s="357"/>
      <c r="E9" s="351" t="s">
        <v>288</v>
      </c>
      <c r="F9" s="350"/>
      <c r="G9" s="350"/>
      <c r="H9" s="350"/>
      <c r="I9" s="350"/>
      <c r="J9" s="350"/>
      <c r="K9" s="350"/>
      <c r="L9" s="350"/>
      <c r="M9" s="350"/>
      <c r="N9" s="350"/>
      <c r="O9" s="350"/>
    </row>
    <row r="10" spans="1:15" ht="8.65" customHeight="1">
      <c r="A10" s="94"/>
      <c r="B10" s="95"/>
      <c r="C10" s="95"/>
    </row>
    <row r="11" spans="1:15">
      <c r="A11" s="358" t="s">
        <v>289</v>
      </c>
      <c r="B11" s="355"/>
      <c r="C11" s="355"/>
    </row>
    <row r="12" spans="1:15" ht="33.4" customHeight="1">
      <c r="A12" s="93" t="s">
        <v>290</v>
      </c>
      <c r="B12" s="96" t="s">
        <v>283</v>
      </c>
      <c r="C12" s="104">
        <v>6.1260000000000003</v>
      </c>
    </row>
    <row r="13" spans="1:15" ht="101.45" customHeight="1">
      <c r="A13" s="93" t="s">
        <v>291</v>
      </c>
      <c r="B13" s="352" t="s">
        <v>292</v>
      </c>
      <c r="C13" s="359"/>
      <c r="E13" s="254" t="s">
        <v>293</v>
      </c>
      <c r="F13" s="350"/>
      <c r="G13" s="350"/>
      <c r="H13" s="350"/>
      <c r="I13" s="350"/>
      <c r="J13" s="350"/>
      <c r="K13" s="350"/>
      <c r="L13" s="350"/>
      <c r="M13" s="350"/>
      <c r="N13" s="350"/>
      <c r="O13" s="350"/>
    </row>
    <row r="14" spans="1:15" ht="58.9" customHeight="1">
      <c r="A14" s="93" t="s">
        <v>294</v>
      </c>
      <c r="B14" s="97" t="s">
        <v>295</v>
      </c>
      <c r="C14" s="106">
        <f>C12*298+C6</f>
        <v>276028.54800000001</v>
      </c>
    </row>
    <row r="15" spans="1:15" ht="6.4" customHeight="1">
      <c r="A15" s="94"/>
      <c r="B15" s="95"/>
      <c r="C15" s="95"/>
    </row>
    <row r="16" spans="1:15" ht="39" customHeight="1">
      <c r="A16" s="354" t="s">
        <v>296</v>
      </c>
      <c r="B16" s="355"/>
      <c r="C16" s="355"/>
    </row>
    <row r="17" spans="1:15" ht="49.15" customHeight="1">
      <c r="A17" s="93" t="s">
        <v>297</v>
      </c>
      <c r="B17" s="96" t="s">
        <v>298</v>
      </c>
      <c r="C17" s="104">
        <v>63.4</v>
      </c>
    </row>
    <row r="18" spans="1:15" ht="103.15" customHeight="1">
      <c r="A18" s="93" t="s">
        <v>299</v>
      </c>
      <c r="B18" s="352" t="s">
        <v>300</v>
      </c>
      <c r="C18" s="353"/>
      <c r="E18" s="254" t="s">
        <v>301</v>
      </c>
      <c r="F18" s="350"/>
      <c r="G18" s="350"/>
      <c r="H18" s="350"/>
      <c r="I18" s="350"/>
      <c r="J18" s="350"/>
      <c r="K18" s="350"/>
      <c r="L18" s="350"/>
      <c r="M18" s="350"/>
      <c r="N18" s="350"/>
      <c r="O18" s="350"/>
    </row>
    <row r="19" spans="1:15" ht="34.15" customHeight="1">
      <c r="A19" s="93" t="s">
        <v>302</v>
      </c>
      <c r="B19" s="96" t="s">
        <v>298</v>
      </c>
      <c r="C19" s="104">
        <v>63.4</v>
      </c>
    </row>
    <row r="20" spans="1:15" ht="92.45" customHeight="1">
      <c r="A20" s="93" t="s">
        <v>303</v>
      </c>
      <c r="B20" s="352" t="s">
        <v>300</v>
      </c>
      <c r="C20" s="353"/>
      <c r="E20" s="254" t="s">
        <v>304</v>
      </c>
      <c r="F20" s="350"/>
      <c r="G20" s="350"/>
      <c r="H20" s="350"/>
      <c r="I20" s="350"/>
      <c r="J20" s="350"/>
      <c r="K20" s="350"/>
      <c r="L20" s="350"/>
      <c r="M20" s="350"/>
      <c r="N20" s="350"/>
      <c r="O20" s="350"/>
    </row>
    <row r="21" spans="1:15" ht="10.15" customHeight="1"/>
    <row r="22" spans="1:15">
      <c r="A22" s="92" t="s">
        <v>305</v>
      </c>
    </row>
    <row r="23" spans="1:15">
      <c r="A23" s="312"/>
      <c r="B23" s="312"/>
      <c r="C23" s="312"/>
    </row>
    <row r="24" spans="1:15" ht="64.900000000000006" customHeight="1">
      <c r="A24" s="312"/>
      <c r="B24" s="312"/>
      <c r="C24" s="312"/>
    </row>
    <row r="29" spans="1:15">
      <c r="H29" s="204"/>
    </row>
  </sheetData>
  <mergeCells count="12">
    <mergeCell ref="A23:C24"/>
    <mergeCell ref="A5:C5"/>
    <mergeCell ref="B9:C9"/>
    <mergeCell ref="A11:C11"/>
    <mergeCell ref="B13:C13"/>
    <mergeCell ref="A16:C16"/>
    <mergeCell ref="B18:C18"/>
    <mergeCell ref="E20:O20"/>
    <mergeCell ref="E18:O18"/>
    <mergeCell ref="E13:O13"/>
    <mergeCell ref="E9:O9"/>
    <mergeCell ref="B20:C20"/>
  </mergeCells>
  <pageMargins left="0.7" right="0.7" top="0.75" bottom="0.75" header="0.3" footer="0.3"/>
  <pageSetup paperSize="9" scale="95"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57150</xdr:colOff>
                <xdr:row>1</xdr:row>
                <xdr:rowOff>38100</xdr:rowOff>
              </from>
              <to>
                <xdr:col>8</xdr:col>
                <xdr:colOff>361950</xdr:colOff>
                <xdr:row>7</xdr:row>
                <xdr:rowOff>323850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zoomScaleNormal="100" zoomScaleSheetLayoutView="100" workbookViewId="0">
      <selection activeCell="L26" sqref="L26"/>
    </sheetView>
  </sheetViews>
  <sheetFormatPr defaultColWidth="9.28515625" defaultRowHeight="15"/>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9">
      <c r="A1" s="92" t="str">
        <f>+'Cover Page'!$B$29</f>
        <v>Annual Performance Report 2022</v>
      </c>
      <c r="B1" s="92"/>
      <c r="C1" s="92"/>
      <c r="D1" s="92"/>
      <c r="E1" s="92" t="str">
        <f>+'Cover Page'!$B$33</f>
        <v>Suffolk Energy from Waste Facility</v>
      </c>
      <c r="F1" s="92"/>
      <c r="G1" s="92"/>
      <c r="H1" s="92"/>
      <c r="I1" s="92"/>
    </row>
    <row r="3" spans="1:9" ht="15.75">
      <c r="A3" s="1" t="s">
        <v>306</v>
      </c>
      <c r="B3" s="92"/>
      <c r="C3" s="92"/>
      <c r="D3" s="92"/>
      <c r="E3" s="92"/>
      <c r="F3" s="92"/>
      <c r="G3" s="194"/>
      <c r="H3" s="92"/>
      <c r="I3" s="92"/>
    </row>
    <row r="4" spans="1:9" ht="15.75">
      <c r="A4" s="1"/>
      <c r="B4" s="92"/>
      <c r="C4" s="92"/>
      <c r="D4" s="92"/>
      <c r="E4" s="92"/>
      <c r="F4" s="92"/>
      <c r="G4" s="92"/>
      <c r="H4" s="92"/>
      <c r="I4" s="92"/>
    </row>
    <row r="5" spans="1:9" s="3" customFormat="1" ht="21.75" customHeight="1">
      <c r="A5" s="48" t="s">
        <v>307</v>
      </c>
      <c r="B5" s="49"/>
      <c r="C5" s="49"/>
      <c r="D5" s="49"/>
      <c r="E5" s="49"/>
      <c r="F5" s="49"/>
      <c r="G5" s="50"/>
    </row>
    <row r="6" spans="1:9" s="3" customFormat="1" ht="15.75" customHeight="1">
      <c r="A6" s="360" t="s">
        <v>308</v>
      </c>
      <c r="B6" s="361"/>
      <c r="C6" s="361"/>
      <c r="D6" s="361"/>
      <c r="E6" s="361"/>
      <c r="F6" s="361"/>
      <c r="G6" s="362"/>
    </row>
    <row r="7" spans="1:9" s="3" customFormat="1" ht="15.75" customHeight="1">
      <c r="A7" s="363"/>
      <c r="B7" s="364"/>
      <c r="C7" s="364"/>
      <c r="D7" s="364"/>
      <c r="E7" s="364"/>
      <c r="F7" s="364"/>
      <c r="G7" s="365"/>
    </row>
    <row r="8" spans="1:9" s="3" customFormat="1" ht="15.75" customHeight="1">
      <c r="A8" s="237"/>
      <c r="B8" s="238"/>
      <c r="C8" s="238"/>
      <c r="D8" s="238"/>
      <c r="E8" s="238"/>
      <c r="F8" s="238"/>
      <c r="G8" s="239"/>
    </row>
    <row r="9" spans="1:9" s="3" customFormat="1" ht="15.75" customHeight="1">
      <c r="A9" s="243"/>
      <c r="B9" s="244"/>
      <c r="C9" s="244"/>
      <c r="D9" s="244"/>
      <c r="E9" s="244"/>
      <c r="F9" s="244"/>
      <c r="G9" s="245"/>
    </row>
    <row r="10" spans="1:9" s="3" customFormat="1" ht="15.75" customHeight="1">
      <c r="A10" s="237"/>
      <c r="B10" s="238"/>
      <c r="C10" s="238"/>
      <c r="D10" s="238"/>
      <c r="E10" s="238"/>
      <c r="F10" s="238"/>
      <c r="G10" s="239"/>
    </row>
    <row r="11" spans="1:9" s="3" customFormat="1" ht="15.75" customHeight="1">
      <c r="A11" s="243"/>
      <c r="B11" s="244"/>
      <c r="C11" s="244"/>
      <c r="D11" s="244"/>
      <c r="E11" s="244"/>
      <c r="F11" s="244"/>
      <c r="G11" s="245"/>
    </row>
    <row r="12" spans="1:9" s="3" customFormat="1" ht="14.25"/>
    <row r="13" spans="1:9" s="47" customFormat="1" ht="33.75" customHeight="1">
      <c r="A13" s="333" t="s">
        <v>309</v>
      </c>
      <c r="B13" s="334"/>
      <c r="C13" s="334"/>
      <c r="D13" s="334"/>
      <c r="E13" s="334"/>
      <c r="F13" s="334"/>
      <c r="G13" s="335"/>
      <c r="H13" s="207"/>
      <c r="I13" s="207"/>
    </row>
    <row r="14" spans="1:9" ht="15.75" customHeight="1">
      <c r="A14" s="346" t="s">
        <v>310</v>
      </c>
      <c r="B14" s="347"/>
      <c r="C14" s="346" t="s">
        <v>270</v>
      </c>
      <c r="D14" s="348"/>
      <c r="E14" s="348"/>
      <c r="F14" s="348"/>
      <c r="G14" s="348"/>
      <c r="H14" s="92"/>
      <c r="I14" s="92"/>
    </row>
    <row r="15" spans="1:9" ht="15.75" customHeight="1">
      <c r="A15" s="237"/>
      <c r="B15" s="239"/>
      <c r="C15" s="345"/>
      <c r="D15" s="246"/>
      <c r="E15" s="246"/>
      <c r="F15" s="246"/>
      <c r="G15" s="247"/>
      <c r="H15" s="92"/>
      <c r="I15" s="92"/>
    </row>
    <row r="16" spans="1:9" ht="15.75" customHeight="1">
      <c r="A16" s="243"/>
      <c r="B16" s="245"/>
      <c r="C16" s="251"/>
      <c r="D16" s="252"/>
      <c r="E16" s="252"/>
      <c r="F16" s="252"/>
      <c r="G16" s="253"/>
      <c r="H16" s="92"/>
      <c r="I16" s="92"/>
    </row>
    <row r="17" spans="1:11" ht="15.75" customHeight="1">
      <c r="A17" s="345"/>
      <c r="B17" s="247"/>
      <c r="C17" s="345"/>
      <c r="D17" s="246"/>
      <c r="E17" s="246"/>
      <c r="F17" s="246"/>
      <c r="G17" s="247"/>
      <c r="H17" s="92"/>
      <c r="I17" s="92"/>
      <c r="J17" s="92"/>
      <c r="K17" s="92"/>
    </row>
    <row r="18" spans="1:11" ht="15.75" customHeight="1">
      <c r="A18" s="251"/>
      <c r="B18" s="253"/>
      <c r="C18" s="251"/>
      <c r="D18" s="252"/>
      <c r="E18" s="252"/>
      <c r="F18" s="252"/>
      <c r="G18" s="253"/>
      <c r="H18" s="92"/>
      <c r="I18" s="92"/>
      <c r="J18" s="92"/>
      <c r="K18" s="92"/>
    </row>
    <row r="19" spans="1:11" ht="15.75" customHeight="1">
      <c r="A19" s="345"/>
      <c r="B19" s="247"/>
      <c r="C19" s="345"/>
      <c r="D19" s="246"/>
      <c r="E19" s="246"/>
      <c r="F19" s="246"/>
      <c r="G19" s="247"/>
      <c r="H19" s="92"/>
      <c r="I19" s="92"/>
      <c r="J19" s="92"/>
      <c r="K19" s="92"/>
    </row>
    <row r="20" spans="1:11" ht="15.75" customHeight="1">
      <c r="A20" s="251"/>
      <c r="B20" s="253"/>
      <c r="C20" s="251"/>
      <c r="D20" s="252"/>
      <c r="E20" s="252"/>
      <c r="F20" s="252"/>
      <c r="G20" s="253"/>
      <c r="H20" s="92"/>
      <c r="I20" s="92"/>
      <c r="J20" s="92"/>
      <c r="K20" s="92"/>
    </row>
    <row r="21" spans="1:11" ht="15.75" customHeight="1">
      <c r="A21" s="345"/>
      <c r="B21" s="247"/>
      <c r="C21" s="345"/>
      <c r="D21" s="246"/>
      <c r="E21" s="246"/>
      <c r="F21" s="246"/>
      <c r="G21" s="247"/>
      <c r="H21" s="92"/>
      <c r="I21" s="92"/>
      <c r="J21" s="92"/>
      <c r="K21" s="92"/>
    </row>
    <row r="22" spans="1:11" ht="15.75" customHeight="1">
      <c r="A22" s="251"/>
      <c r="B22" s="253"/>
      <c r="C22" s="251"/>
      <c r="D22" s="252"/>
      <c r="E22" s="252"/>
      <c r="F22" s="252"/>
      <c r="G22" s="253"/>
      <c r="H22" s="92"/>
      <c r="I22" s="92"/>
      <c r="J22" s="92"/>
      <c r="K22" s="92"/>
    </row>
    <row r="23" spans="1:11" ht="15.75" customHeight="1">
      <c r="A23" s="345"/>
      <c r="B23" s="247"/>
      <c r="C23" s="345"/>
      <c r="D23" s="246"/>
      <c r="E23" s="246"/>
      <c r="F23" s="246"/>
      <c r="G23" s="247"/>
      <c r="H23" s="92"/>
      <c r="I23" s="92"/>
      <c r="J23" s="92"/>
      <c r="K23" s="92"/>
    </row>
    <row r="24" spans="1:11" ht="15.75" customHeight="1">
      <c r="A24" s="251"/>
      <c r="B24" s="253"/>
      <c r="C24" s="251"/>
      <c r="D24" s="252"/>
      <c r="E24" s="252"/>
      <c r="F24" s="252"/>
      <c r="G24" s="253"/>
      <c r="H24" s="92"/>
      <c r="I24" s="92"/>
      <c r="J24" s="92"/>
      <c r="K24" s="92"/>
    </row>
    <row r="26" spans="1:11">
      <c r="A26" s="99"/>
      <c r="B26" s="99"/>
      <c r="C26" s="99"/>
      <c r="D26" s="99"/>
      <c r="E26" s="99"/>
      <c r="F26" s="99"/>
      <c r="G26" s="99"/>
      <c r="H26" s="92"/>
      <c r="I26" s="92"/>
      <c r="J26" s="92"/>
      <c r="K26" s="92"/>
    </row>
    <row r="27" spans="1:11" s="56" customFormat="1" ht="16.5" customHeight="1">
      <c r="A27" s="367" t="s">
        <v>311</v>
      </c>
      <c r="B27" s="367"/>
      <c r="C27" s="367"/>
      <c r="D27" s="367"/>
      <c r="E27" s="367"/>
      <c r="F27" s="367"/>
      <c r="G27" s="367"/>
    </row>
    <row r="28" spans="1:11" s="12" customFormat="1" ht="17.25" customHeight="1">
      <c r="A28" s="370" t="s">
        <v>312</v>
      </c>
      <c r="B28" s="370"/>
      <c r="C28" s="328" t="s">
        <v>313</v>
      </c>
      <c r="D28" s="328" t="s">
        <v>314</v>
      </c>
      <c r="E28" s="328"/>
      <c r="F28" s="328"/>
      <c r="G28" s="328"/>
      <c r="H28" s="99"/>
      <c r="I28" s="99"/>
      <c r="J28" s="99"/>
      <c r="K28" s="99"/>
    </row>
    <row r="29" spans="1:11" s="12" customFormat="1" ht="17.25" customHeight="1">
      <c r="A29" s="370"/>
      <c r="B29" s="370"/>
      <c r="C29" s="328"/>
      <c r="D29" s="328" t="s">
        <v>315</v>
      </c>
      <c r="E29" s="328"/>
      <c r="F29" s="328" t="s">
        <v>166</v>
      </c>
      <c r="G29" s="328"/>
      <c r="H29" s="203"/>
      <c r="I29" s="99"/>
      <c r="J29" s="99"/>
      <c r="K29" s="99"/>
    </row>
    <row r="30" spans="1:11" s="37" customFormat="1" ht="38.1" customHeight="1">
      <c r="A30" s="264" t="s">
        <v>316</v>
      </c>
      <c r="B30" s="264"/>
      <c r="C30" s="178" t="s">
        <v>317</v>
      </c>
      <c r="D30" s="366" t="s">
        <v>318</v>
      </c>
      <c r="E30" s="366"/>
      <c r="F30" s="371"/>
      <c r="G30" s="372"/>
      <c r="H30" s="172"/>
      <c r="I30" s="172"/>
      <c r="J30" s="99"/>
      <c r="K30" s="99"/>
    </row>
    <row r="31" spans="1:11" s="37" customFormat="1" ht="38.1" customHeight="1">
      <c r="A31" s="264" t="s">
        <v>319</v>
      </c>
      <c r="B31" s="264"/>
      <c r="C31" s="177" t="s">
        <v>320</v>
      </c>
      <c r="D31" s="366">
        <v>1.73</v>
      </c>
      <c r="E31" s="366"/>
      <c r="F31" s="371"/>
      <c r="G31" s="372"/>
      <c r="H31" s="172"/>
      <c r="I31" s="172"/>
      <c r="J31" s="99"/>
      <c r="K31" s="99"/>
    </row>
    <row r="32" spans="1:11" s="37" customFormat="1" ht="38.1" customHeight="1">
      <c r="A32" s="264" t="s">
        <v>321</v>
      </c>
      <c r="B32" s="264"/>
      <c r="C32" s="177" t="s">
        <v>322</v>
      </c>
      <c r="D32" s="366">
        <v>4</v>
      </c>
      <c r="E32" s="366"/>
      <c r="F32" s="373">
        <v>4</v>
      </c>
      <c r="G32" s="374"/>
      <c r="H32" s="172"/>
      <c r="I32" s="172"/>
      <c r="J32" s="99"/>
      <c r="K32" s="99"/>
    </row>
    <row r="33" spans="1:7" s="37" customFormat="1" ht="38.1" customHeight="1">
      <c r="A33" s="264" t="s">
        <v>323</v>
      </c>
      <c r="B33" s="264"/>
      <c r="C33" s="177" t="s">
        <v>322</v>
      </c>
      <c r="D33" s="366">
        <v>0</v>
      </c>
      <c r="E33" s="366"/>
      <c r="F33" s="371"/>
      <c r="G33" s="372"/>
    </row>
    <row r="35" spans="1:7">
      <c r="A35" s="294" t="s">
        <v>324</v>
      </c>
      <c r="B35" s="294"/>
      <c r="C35" s="294"/>
      <c r="D35" s="294"/>
      <c r="E35" s="294"/>
      <c r="F35" s="294"/>
      <c r="G35" s="294"/>
    </row>
    <row r="36" spans="1:7">
      <c r="A36" s="368" t="s">
        <v>325</v>
      </c>
      <c r="B36" s="369"/>
      <c r="C36" s="369"/>
      <c r="D36" s="369"/>
      <c r="E36" s="369"/>
      <c r="F36" s="369"/>
      <c r="G36" s="369"/>
    </row>
    <row r="37" spans="1:7">
      <c r="A37" s="369"/>
      <c r="B37" s="369"/>
      <c r="C37" s="369"/>
      <c r="D37" s="369"/>
      <c r="E37" s="369"/>
      <c r="F37" s="369"/>
      <c r="G37" s="369"/>
    </row>
    <row r="38" spans="1:7">
      <c r="A38" s="369"/>
      <c r="B38" s="369"/>
      <c r="C38" s="369"/>
      <c r="D38" s="369"/>
      <c r="E38" s="369"/>
      <c r="F38" s="369"/>
      <c r="G38" s="369"/>
    </row>
    <row r="39" spans="1:7">
      <c r="A39" s="369"/>
      <c r="B39" s="369"/>
      <c r="C39" s="369"/>
      <c r="D39" s="369"/>
      <c r="E39" s="369"/>
      <c r="F39" s="369"/>
      <c r="G39" s="369"/>
    </row>
    <row r="40" spans="1:7">
      <c r="A40" s="369"/>
      <c r="B40" s="369"/>
      <c r="C40" s="369"/>
      <c r="D40" s="369"/>
      <c r="E40" s="369"/>
      <c r="F40" s="369"/>
      <c r="G40" s="369"/>
    </row>
    <row r="41" spans="1:7">
      <c r="A41" s="369"/>
      <c r="B41" s="369"/>
      <c r="C41" s="369"/>
      <c r="D41" s="369"/>
      <c r="E41" s="369"/>
      <c r="F41" s="369"/>
      <c r="G41" s="369"/>
    </row>
    <row r="56" spans="6:6">
      <c r="F56" s="3"/>
    </row>
  </sheetData>
  <mergeCells count="36">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 ref="A21:B22"/>
    <mergeCell ref="C21:G22"/>
    <mergeCell ref="A23:B24"/>
    <mergeCell ref="C23:G24"/>
    <mergeCell ref="D32:E32"/>
    <mergeCell ref="C28:C29"/>
    <mergeCell ref="D29:E29"/>
    <mergeCell ref="F29:G29"/>
    <mergeCell ref="D28:G28"/>
    <mergeCell ref="A27:G27"/>
    <mergeCell ref="A6:G7"/>
    <mergeCell ref="A8:G9"/>
    <mergeCell ref="A10:G11"/>
    <mergeCell ref="A15:B16"/>
    <mergeCell ref="C15:G16"/>
    <mergeCell ref="A17:B18"/>
    <mergeCell ref="C17:G18"/>
    <mergeCell ref="A19:B20"/>
    <mergeCell ref="C19:G20"/>
    <mergeCell ref="A13:G13"/>
    <mergeCell ref="A14:B14"/>
    <mergeCell ref="C14:G14"/>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I66"/>
  <sheetViews>
    <sheetView zoomScaleNormal="100" zoomScaleSheetLayoutView="145" workbookViewId="0">
      <selection activeCell="L26" sqref="L26"/>
    </sheetView>
  </sheetViews>
  <sheetFormatPr defaultColWidth="9.28515625" defaultRowHeight="15"/>
  <cols>
    <col min="1" max="1" width="9.28515625" style="2" customWidth="1"/>
    <col min="2" max="2" width="14.5703125" style="2" bestFit="1" customWidth="1"/>
    <col min="3" max="4" width="9.28515625" style="2"/>
    <col min="5" max="5" width="11.140625" style="2" customWidth="1"/>
    <col min="6" max="8" width="9.28515625" style="2"/>
    <col min="9" max="9" width="11.5703125" style="2" customWidth="1"/>
    <col min="10" max="16384" width="9.28515625" style="2"/>
  </cols>
  <sheetData>
    <row r="1" spans="1:9">
      <c r="A1" s="92" t="str">
        <f>+'Cover Page'!$B$29</f>
        <v>Annual Performance Report 2022</v>
      </c>
      <c r="B1" s="92"/>
      <c r="C1" s="92"/>
      <c r="D1" s="92"/>
      <c r="E1" s="92" t="str">
        <f>+'Cover Page'!$B$33</f>
        <v>Suffolk Energy from Waste Facility</v>
      </c>
      <c r="F1" s="92"/>
      <c r="G1" s="92"/>
      <c r="H1" s="92"/>
      <c r="I1" s="92"/>
    </row>
    <row r="3" spans="1:9" ht="15.75">
      <c r="A3" s="1" t="s">
        <v>43</v>
      </c>
      <c r="B3" s="92"/>
      <c r="C3" s="92"/>
      <c r="D3" s="92"/>
      <c r="E3" s="92"/>
      <c r="F3" s="92"/>
      <c r="G3" s="194"/>
      <c r="H3" s="92"/>
      <c r="I3" s="92"/>
    </row>
    <row r="4" spans="1:9" ht="15.75">
      <c r="A4" s="1"/>
      <c r="B4" s="92"/>
      <c r="C4" s="92"/>
      <c r="D4" s="92"/>
      <c r="E4" s="92"/>
      <c r="F4" s="92"/>
      <c r="G4" s="92"/>
      <c r="H4" s="92"/>
      <c r="I4" s="92"/>
    </row>
    <row r="5" spans="1:9" s="3" customFormat="1" ht="21.75" customHeight="1">
      <c r="A5" s="48" t="s">
        <v>307</v>
      </c>
      <c r="B5" s="49"/>
      <c r="C5" s="49"/>
      <c r="D5" s="49"/>
      <c r="E5" s="49"/>
      <c r="F5" s="49"/>
      <c r="G5" s="49"/>
      <c r="H5" s="49"/>
      <c r="I5" s="50"/>
    </row>
    <row r="6" spans="1:9" s="3" customFormat="1" ht="27" customHeight="1">
      <c r="A6" s="237" t="s">
        <v>326</v>
      </c>
      <c r="B6" s="238"/>
      <c r="C6" s="238"/>
      <c r="D6" s="238"/>
      <c r="E6" s="238"/>
      <c r="F6" s="238"/>
      <c r="G6" s="238"/>
      <c r="H6" s="238"/>
      <c r="I6" s="239"/>
    </row>
    <row r="7" spans="1:9" s="3" customFormat="1" ht="34.5" customHeight="1">
      <c r="A7" s="243"/>
      <c r="B7" s="244"/>
      <c r="C7" s="244"/>
      <c r="D7" s="244"/>
      <c r="E7" s="244"/>
      <c r="F7" s="244"/>
      <c r="G7" s="244"/>
      <c r="H7" s="244"/>
      <c r="I7" s="245"/>
    </row>
    <row r="8" spans="1:9" s="3" customFormat="1" ht="15.75" customHeight="1">
      <c r="A8" s="237"/>
      <c r="B8" s="238"/>
      <c r="C8" s="238"/>
      <c r="D8" s="238"/>
      <c r="E8" s="238"/>
      <c r="F8" s="238"/>
      <c r="G8" s="238"/>
      <c r="H8" s="238"/>
      <c r="I8" s="239"/>
    </row>
    <row r="9" spans="1:9" s="3" customFormat="1" ht="15.75" customHeight="1">
      <c r="A9" s="243"/>
      <c r="B9" s="244"/>
      <c r="C9" s="244"/>
      <c r="D9" s="244"/>
      <c r="E9" s="244"/>
      <c r="F9" s="244"/>
      <c r="G9" s="244"/>
      <c r="H9" s="244"/>
      <c r="I9" s="245"/>
    </row>
    <row r="10" spans="1:9" s="3" customFormat="1" ht="15.75" customHeight="1">
      <c r="A10" s="237"/>
      <c r="B10" s="238"/>
      <c r="C10" s="238"/>
      <c r="D10" s="238"/>
      <c r="E10" s="238"/>
      <c r="F10" s="238"/>
      <c r="G10" s="238"/>
      <c r="H10" s="238"/>
      <c r="I10" s="239"/>
    </row>
    <row r="11" spans="1:9" s="3" customFormat="1" ht="15.75" customHeight="1">
      <c r="A11" s="243"/>
      <c r="B11" s="244"/>
      <c r="C11" s="244"/>
      <c r="D11" s="244"/>
      <c r="E11" s="244"/>
      <c r="F11" s="244"/>
      <c r="G11" s="244"/>
      <c r="H11" s="244"/>
      <c r="I11" s="245"/>
    </row>
    <row r="12" spans="1:9" s="3" customFormat="1" ht="14.25"/>
    <row r="13" spans="1:9" s="47" customFormat="1" ht="33.75" customHeight="1">
      <c r="A13" s="333" t="s">
        <v>309</v>
      </c>
      <c r="B13" s="334"/>
      <c r="C13" s="334"/>
      <c r="D13" s="334"/>
      <c r="E13" s="334"/>
      <c r="F13" s="334"/>
      <c r="G13" s="334"/>
      <c r="H13" s="334"/>
      <c r="I13" s="335"/>
    </row>
    <row r="14" spans="1:9" ht="15.75" customHeight="1">
      <c r="A14" s="346" t="s">
        <v>310</v>
      </c>
      <c r="B14" s="347"/>
      <c r="C14" s="346" t="s">
        <v>270</v>
      </c>
      <c r="D14" s="348"/>
      <c r="E14" s="348"/>
      <c r="F14" s="348"/>
      <c r="G14" s="348"/>
      <c r="H14" s="348"/>
      <c r="I14" s="348"/>
    </row>
    <row r="15" spans="1:9" ht="15.75" customHeight="1">
      <c r="A15" s="237"/>
      <c r="B15" s="239"/>
      <c r="C15" s="345"/>
      <c r="D15" s="246"/>
      <c r="E15" s="246"/>
      <c r="F15" s="246"/>
      <c r="G15" s="246"/>
      <c r="H15" s="246"/>
      <c r="I15" s="247"/>
    </row>
    <row r="16" spans="1:9" ht="15.75" customHeight="1">
      <c r="A16" s="243"/>
      <c r="B16" s="245"/>
      <c r="C16" s="251"/>
      <c r="D16" s="252"/>
      <c r="E16" s="252"/>
      <c r="F16" s="252"/>
      <c r="G16" s="252"/>
      <c r="H16" s="252"/>
      <c r="I16" s="253"/>
    </row>
    <row r="17" spans="1:9" ht="15.75" customHeight="1">
      <c r="A17" s="345"/>
      <c r="B17" s="247"/>
      <c r="C17" s="345"/>
      <c r="D17" s="246"/>
      <c r="E17" s="246"/>
      <c r="F17" s="246"/>
      <c r="G17" s="246"/>
      <c r="H17" s="246"/>
      <c r="I17" s="247"/>
    </row>
    <row r="18" spans="1:9" ht="15.75" customHeight="1">
      <c r="A18" s="251"/>
      <c r="B18" s="253"/>
      <c r="C18" s="251"/>
      <c r="D18" s="252"/>
      <c r="E18" s="252"/>
      <c r="F18" s="252"/>
      <c r="G18" s="252"/>
      <c r="H18" s="252"/>
      <c r="I18" s="253"/>
    </row>
    <row r="19" spans="1:9" ht="15.75" customHeight="1">
      <c r="A19" s="345"/>
      <c r="B19" s="247"/>
      <c r="C19" s="345"/>
      <c r="D19" s="246"/>
      <c r="E19" s="246"/>
      <c r="F19" s="246"/>
      <c r="G19" s="246"/>
      <c r="H19" s="246"/>
      <c r="I19" s="247"/>
    </row>
    <row r="20" spans="1:9" ht="15.75" customHeight="1">
      <c r="A20" s="251"/>
      <c r="B20" s="253"/>
      <c r="C20" s="251"/>
      <c r="D20" s="252"/>
      <c r="E20" s="252"/>
      <c r="F20" s="252"/>
      <c r="G20" s="252"/>
      <c r="H20" s="252"/>
      <c r="I20" s="253"/>
    </row>
    <row r="22" spans="1:9" ht="22.5" customHeight="1">
      <c r="A22" s="375" t="s">
        <v>327</v>
      </c>
      <c r="B22" s="376"/>
      <c r="C22" s="376"/>
      <c r="D22" s="376"/>
      <c r="E22" s="376"/>
      <c r="F22" s="376"/>
      <c r="G22" s="376"/>
      <c r="H22" s="376"/>
      <c r="I22" s="376"/>
    </row>
    <row r="23" spans="1:9" ht="19.5" customHeight="1">
      <c r="A23" s="377" t="s">
        <v>192</v>
      </c>
      <c r="B23" s="378"/>
      <c r="C23" s="379"/>
      <c r="D23" s="380" t="s">
        <v>328</v>
      </c>
      <c r="E23" s="381"/>
      <c r="F23" s="54" t="s">
        <v>313</v>
      </c>
      <c r="G23" s="54" t="s">
        <v>329</v>
      </c>
      <c r="H23" s="54" t="s">
        <v>330</v>
      </c>
      <c r="I23" s="54" t="s">
        <v>331</v>
      </c>
    </row>
    <row r="24" spans="1:9">
      <c r="A24" s="382"/>
      <c r="B24" s="383"/>
      <c r="C24" s="384"/>
      <c r="D24" s="385"/>
      <c r="E24" s="386"/>
      <c r="F24" s="109"/>
      <c r="G24" s="109"/>
      <c r="H24" s="109"/>
      <c r="I24" s="109"/>
    </row>
    <row r="25" spans="1:9">
      <c r="A25" s="382"/>
      <c r="B25" s="383"/>
      <c r="C25" s="384"/>
      <c r="D25" s="385"/>
      <c r="E25" s="386"/>
      <c r="F25" s="109"/>
      <c r="G25" s="109"/>
      <c r="H25" s="109"/>
      <c r="I25" s="109"/>
    </row>
    <row r="26" spans="1:9">
      <c r="A26" s="382"/>
      <c r="B26" s="383"/>
      <c r="C26" s="384"/>
      <c r="D26" s="385"/>
      <c r="E26" s="386"/>
      <c r="F26" s="109"/>
      <c r="G26" s="109"/>
      <c r="H26" s="109"/>
      <c r="I26" s="109"/>
    </row>
    <row r="27" spans="1:9">
      <c r="A27" s="382"/>
      <c r="B27" s="383"/>
      <c r="C27" s="384"/>
      <c r="D27" s="385"/>
      <c r="E27" s="386"/>
      <c r="F27" s="109"/>
      <c r="G27" s="109"/>
      <c r="H27" s="109"/>
      <c r="I27" s="109"/>
    </row>
    <row r="28" spans="1:9">
      <c r="A28" s="382"/>
      <c r="B28" s="383"/>
      <c r="C28" s="384"/>
      <c r="D28" s="385"/>
      <c r="E28" s="386"/>
      <c r="F28" s="109"/>
      <c r="G28" s="109"/>
      <c r="H28" s="109"/>
      <c r="I28" s="109"/>
    </row>
    <row r="29" spans="1:9">
      <c r="A29" s="382"/>
      <c r="B29" s="383"/>
      <c r="C29" s="384"/>
      <c r="D29" s="385"/>
      <c r="E29" s="386"/>
      <c r="F29" s="109"/>
      <c r="G29" s="109"/>
      <c r="H29" s="202"/>
      <c r="I29" s="109"/>
    </row>
    <row r="30" spans="1:9">
      <c r="A30" s="387"/>
      <c r="B30" s="387"/>
      <c r="C30" s="387"/>
      <c r="D30" s="385"/>
      <c r="E30" s="386"/>
      <c r="F30" s="109"/>
      <c r="G30" s="109"/>
      <c r="H30" s="109"/>
      <c r="I30" s="109"/>
    </row>
    <row r="31" spans="1:9">
      <c r="A31" s="99"/>
      <c r="B31" s="99"/>
      <c r="C31" s="99"/>
      <c r="D31" s="99"/>
      <c r="E31" s="99"/>
      <c r="F31" s="99"/>
      <c r="G31" s="99"/>
      <c r="H31" s="99"/>
      <c r="I31" s="99"/>
    </row>
    <row r="32" spans="1:9">
      <c r="A32" s="99"/>
      <c r="B32" s="99"/>
      <c r="C32" s="99"/>
      <c r="D32" s="99"/>
      <c r="E32" s="99"/>
      <c r="F32" s="99"/>
      <c r="G32" s="99"/>
      <c r="H32" s="99"/>
      <c r="I32" s="99"/>
    </row>
    <row r="33" spans="1:9">
      <c r="A33" s="99"/>
      <c r="B33" s="99"/>
      <c r="C33" s="99"/>
      <c r="D33" s="99"/>
      <c r="E33" s="99"/>
      <c r="F33" s="99"/>
      <c r="G33" s="99"/>
      <c r="H33" s="99"/>
      <c r="I33" s="99"/>
    </row>
    <row r="66" spans="5:5">
      <c r="E66" s="3"/>
    </row>
  </sheetData>
  <mergeCells count="29">
    <mergeCell ref="A30:C30"/>
    <mergeCell ref="D30:E30"/>
    <mergeCell ref="A27:C27"/>
    <mergeCell ref="D27:E27"/>
    <mergeCell ref="A28:C28"/>
    <mergeCell ref="D28:E28"/>
    <mergeCell ref="A29:C29"/>
    <mergeCell ref="D29:E29"/>
    <mergeCell ref="A24:C24"/>
    <mergeCell ref="D24:E24"/>
    <mergeCell ref="A25:C25"/>
    <mergeCell ref="D25:E25"/>
    <mergeCell ref="A26:C26"/>
    <mergeCell ref="D26:E26"/>
    <mergeCell ref="A22:I22"/>
    <mergeCell ref="A23:C23"/>
    <mergeCell ref="D23:E23"/>
    <mergeCell ref="A15:B16"/>
    <mergeCell ref="C15:I16"/>
    <mergeCell ref="A17:B18"/>
    <mergeCell ref="C17:I18"/>
    <mergeCell ref="A19:B20"/>
    <mergeCell ref="C19:I20"/>
    <mergeCell ref="A6:I7"/>
    <mergeCell ref="A8:I9"/>
    <mergeCell ref="A10:I11"/>
    <mergeCell ref="A13:I13"/>
    <mergeCell ref="A14:B14"/>
    <mergeCell ref="C14:I14"/>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S65"/>
  <sheetViews>
    <sheetView topLeftCell="A4" zoomScaleNormal="100" zoomScaleSheetLayoutView="100" workbookViewId="0">
      <selection activeCell="L26" sqref="L26"/>
    </sheetView>
  </sheetViews>
  <sheetFormatPr defaultColWidth="9.28515625" defaultRowHeight="15"/>
  <cols>
    <col min="1" max="1" width="9.28515625" style="2" customWidth="1"/>
    <col min="2" max="2" width="14.5703125" style="2" bestFit="1" customWidth="1"/>
    <col min="3" max="5" width="9.28515625" style="2"/>
    <col min="6" max="6" width="11.42578125" style="2" customWidth="1"/>
    <col min="7" max="7" width="11.28515625" style="2" customWidth="1"/>
    <col min="8" max="9" width="9.28515625" style="2"/>
    <col min="10" max="10" width="10.42578125" style="2" customWidth="1"/>
    <col min="11" max="16" width="9.28515625" style="2"/>
    <col min="17" max="17" width="10.7109375" style="2" customWidth="1"/>
    <col min="18" max="16384" width="9.28515625" style="2"/>
  </cols>
  <sheetData>
    <row r="1" spans="1:19">
      <c r="A1" s="92" t="str">
        <f>+'Cover Page'!$B$29</f>
        <v>Annual Performance Report 2022</v>
      </c>
      <c r="B1" s="92"/>
      <c r="C1" s="92"/>
      <c r="D1" s="92"/>
      <c r="E1" s="92" t="str">
        <f>+'Cover Page'!$B$33</f>
        <v>Suffolk Energy from Waste Facility</v>
      </c>
      <c r="F1" s="92"/>
      <c r="G1" s="92"/>
      <c r="H1" s="92"/>
      <c r="I1" s="92"/>
      <c r="J1" s="92"/>
      <c r="K1" s="92"/>
      <c r="L1" s="92"/>
      <c r="M1" s="92"/>
      <c r="N1" s="92"/>
      <c r="O1" s="92"/>
      <c r="P1" s="92"/>
      <c r="Q1" s="92"/>
      <c r="R1" s="92"/>
      <c r="S1" s="92"/>
    </row>
    <row r="2" spans="1:19" ht="7.5" customHeight="1">
      <c r="A2" s="92"/>
      <c r="B2" s="92"/>
      <c r="C2" s="92"/>
      <c r="D2" s="92"/>
      <c r="E2" s="92"/>
      <c r="F2" s="92"/>
      <c r="G2" s="92"/>
      <c r="H2" s="92"/>
      <c r="I2" s="92"/>
      <c r="J2" s="92"/>
      <c r="K2" s="92"/>
      <c r="L2" s="92"/>
      <c r="M2" s="92"/>
      <c r="N2" s="92"/>
      <c r="O2" s="92"/>
      <c r="P2" s="92"/>
      <c r="Q2" s="92"/>
      <c r="R2" s="92"/>
      <c r="S2" s="92"/>
    </row>
    <row r="3" spans="1:19" ht="15.75">
      <c r="A3" s="1" t="s">
        <v>44</v>
      </c>
      <c r="B3" s="92"/>
      <c r="C3" s="92"/>
      <c r="D3" s="92"/>
      <c r="E3" s="92"/>
      <c r="F3" s="92"/>
      <c r="G3" s="194"/>
      <c r="H3" s="92"/>
      <c r="I3" s="92"/>
      <c r="J3" s="92"/>
      <c r="K3" s="92"/>
      <c r="L3" s="92"/>
      <c r="M3" s="92"/>
      <c r="N3" s="92"/>
      <c r="O3" s="92"/>
      <c r="P3" s="92"/>
      <c r="Q3" s="92"/>
      <c r="R3" s="92"/>
      <c r="S3" s="92"/>
    </row>
    <row r="4" spans="1:19" ht="9.75" customHeight="1">
      <c r="A4" s="1"/>
      <c r="B4" s="92"/>
      <c r="C4" s="92"/>
      <c r="D4" s="92"/>
      <c r="E4" s="92"/>
      <c r="F4" s="92"/>
      <c r="G4" s="92"/>
      <c r="H4" s="92"/>
      <c r="I4" s="92"/>
      <c r="J4" s="92"/>
      <c r="K4" s="92"/>
      <c r="L4" s="92"/>
      <c r="M4" s="92"/>
      <c r="N4" s="92"/>
      <c r="O4" s="92"/>
      <c r="P4" s="92"/>
      <c r="Q4" s="92"/>
      <c r="R4" s="92"/>
      <c r="S4" s="92"/>
    </row>
    <row r="5" spans="1:19" s="3" customFormat="1" ht="21.75" customHeight="1">
      <c r="A5" s="48" t="s">
        <v>332</v>
      </c>
      <c r="B5" s="49"/>
      <c r="C5" s="49"/>
      <c r="D5" s="49"/>
      <c r="E5" s="49"/>
      <c r="F5" s="49"/>
      <c r="G5" s="49"/>
      <c r="H5" s="49"/>
      <c r="I5" s="49"/>
      <c r="J5" s="50"/>
      <c r="M5" s="82" t="s">
        <v>3</v>
      </c>
    </row>
    <row r="6" spans="1:19" s="3" customFormat="1" ht="15.75" customHeight="1">
      <c r="A6" s="389" t="s">
        <v>333</v>
      </c>
      <c r="B6" s="238"/>
      <c r="C6" s="238"/>
      <c r="D6" s="238"/>
      <c r="E6" s="238"/>
      <c r="F6" s="238"/>
      <c r="G6" s="238"/>
      <c r="H6" s="238"/>
      <c r="I6" s="238"/>
      <c r="J6" s="239"/>
      <c r="M6" s="388" t="s">
        <v>334</v>
      </c>
      <c r="N6" s="388"/>
      <c r="O6" s="388"/>
      <c r="P6" s="388"/>
    </row>
    <row r="7" spans="1:19" s="3" customFormat="1" ht="15.75" customHeight="1">
      <c r="A7" s="243"/>
      <c r="B7" s="244"/>
      <c r="C7" s="244"/>
      <c r="D7" s="244"/>
      <c r="E7" s="244"/>
      <c r="F7" s="244"/>
      <c r="G7" s="244"/>
      <c r="H7" s="244"/>
      <c r="I7" s="244"/>
      <c r="J7" s="245"/>
      <c r="M7" s="388"/>
      <c r="N7" s="388"/>
      <c r="O7" s="388"/>
      <c r="P7" s="388"/>
    </row>
    <row r="8" spans="1:19" s="3" customFormat="1" ht="14.25">
      <c r="M8" s="388"/>
      <c r="N8" s="388"/>
      <c r="O8" s="388"/>
      <c r="P8" s="388"/>
    </row>
    <row r="9" spans="1:19" s="56" customFormat="1" ht="16.5" customHeight="1">
      <c r="A9" s="367" t="s">
        <v>335</v>
      </c>
      <c r="B9" s="367"/>
      <c r="C9" s="367"/>
      <c r="D9" s="367"/>
      <c r="E9" s="367"/>
      <c r="F9" s="367"/>
      <c r="G9" s="367"/>
      <c r="H9" s="367"/>
      <c r="I9" s="367"/>
      <c r="J9" s="367"/>
      <c r="M9" s="388"/>
      <c r="N9" s="388"/>
      <c r="O9" s="388"/>
      <c r="P9" s="388"/>
    </row>
    <row r="10" spans="1:19" s="56" customFormat="1" ht="16.5" customHeight="1">
      <c r="A10" s="390" t="s">
        <v>221</v>
      </c>
      <c r="B10" s="391"/>
      <c r="C10" s="401" t="s">
        <v>336</v>
      </c>
      <c r="D10" s="397" t="s">
        <v>337</v>
      </c>
      <c r="E10" s="398"/>
      <c r="F10" s="394" t="s">
        <v>331</v>
      </c>
      <c r="G10" s="395"/>
      <c r="H10" s="395"/>
      <c r="I10" s="395"/>
      <c r="J10" s="396"/>
      <c r="M10" s="388" t="s">
        <v>338</v>
      </c>
      <c r="N10" s="388"/>
      <c r="O10" s="388"/>
      <c r="P10" s="388"/>
    </row>
    <row r="11" spans="1:19" s="12" customFormat="1" ht="17.25" customHeight="1">
      <c r="A11" s="392"/>
      <c r="B11" s="393"/>
      <c r="C11" s="402"/>
      <c r="D11" s="399"/>
      <c r="E11" s="400"/>
      <c r="F11" s="46" t="s">
        <v>194</v>
      </c>
      <c r="G11" s="46" t="s">
        <v>195</v>
      </c>
      <c r="H11" s="46" t="s">
        <v>196</v>
      </c>
      <c r="I11" s="46" t="s">
        <v>197</v>
      </c>
      <c r="J11" s="46" t="s">
        <v>198</v>
      </c>
      <c r="K11" s="99"/>
      <c r="L11" s="99"/>
      <c r="M11" s="388"/>
      <c r="N11" s="388"/>
      <c r="O11" s="388"/>
      <c r="P11" s="388"/>
      <c r="Q11" s="99"/>
      <c r="R11" s="99"/>
      <c r="S11" s="99"/>
    </row>
    <row r="12" spans="1:19" s="12" customFormat="1" ht="23.25" customHeight="1">
      <c r="A12" s="264" t="s">
        <v>339</v>
      </c>
      <c r="B12" s="264"/>
      <c r="C12" s="179" t="s">
        <v>340</v>
      </c>
      <c r="D12" s="309" t="s">
        <v>341</v>
      </c>
      <c r="E12" s="309"/>
      <c r="F12" s="100">
        <v>3.1E-2</v>
      </c>
      <c r="G12" s="100">
        <v>3.1E-2</v>
      </c>
      <c r="H12" s="109"/>
      <c r="I12" s="109"/>
      <c r="J12" s="109"/>
      <c r="K12" s="99"/>
      <c r="L12" s="99"/>
      <c r="M12" s="388"/>
      <c r="N12" s="388"/>
      <c r="O12" s="388"/>
      <c r="P12" s="388"/>
      <c r="Q12" s="99"/>
      <c r="R12" s="15"/>
      <c r="S12" s="15"/>
    </row>
    <row r="13" spans="1:19" s="12" customFormat="1" ht="23.25" customHeight="1">
      <c r="A13" s="264" t="s">
        <v>123</v>
      </c>
      <c r="B13" s="264"/>
      <c r="C13" s="179" t="s">
        <v>340</v>
      </c>
      <c r="D13" s="309" t="s">
        <v>342</v>
      </c>
      <c r="E13" s="309"/>
      <c r="F13" s="100">
        <v>3.65</v>
      </c>
      <c r="G13" s="100">
        <v>1.19</v>
      </c>
      <c r="H13" s="109"/>
      <c r="I13" s="109"/>
      <c r="J13" s="109"/>
      <c r="K13" s="99"/>
      <c r="L13" s="99"/>
      <c r="M13" s="190"/>
      <c r="N13" s="190"/>
      <c r="O13" s="190"/>
      <c r="P13" s="190"/>
      <c r="Q13" s="99"/>
      <c r="R13" s="15"/>
      <c r="S13" s="15"/>
    </row>
    <row r="14" spans="1:19" s="12" customFormat="1" ht="23.25" customHeight="1">
      <c r="A14" s="264" t="s">
        <v>343</v>
      </c>
      <c r="B14" s="264"/>
      <c r="C14" s="179" t="s">
        <v>344</v>
      </c>
      <c r="D14" s="309" t="s">
        <v>345</v>
      </c>
      <c r="E14" s="309"/>
      <c r="F14" s="100">
        <v>1.5149999999999999E-3</v>
      </c>
      <c r="G14" s="100">
        <v>1.475E-3</v>
      </c>
      <c r="H14" s="109"/>
      <c r="I14" s="109"/>
      <c r="J14" s="109"/>
      <c r="K14" s="99"/>
      <c r="L14" s="99"/>
      <c r="M14" s="99"/>
      <c r="N14" s="99"/>
      <c r="O14" s="99"/>
      <c r="P14" s="99"/>
      <c r="Q14" s="99"/>
      <c r="R14" s="15"/>
      <c r="S14" s="15"/>
    </row>
    <row r="15" spans="1:19" s="12" customFormat="1" ht="23.25" customHeight="1">
      <c r="A15" s="264" t="s">
        <v>346</v>
      </c>
      <c r="B15" s="264"/>
      <c r="C15" s="179" t="s">
        <v>344</v>
      </c>
      <c r="D15" s="309" t="s">
        <v>345</v>
      </c>
      <c r="E15" s="309"/>
      <c r="F15" s="109">
        <v>7.2499999999999995E-4</v>
      </c>
      <c r="G15" s="109">
        <v>5.2000000000000006E-4</v>
      </c>
      <c r="H15" s="109"/>
      <c r="I15" s="109"/>
      <c r="J15" s="109"/>
      <c r="K15" s="99"/>
      <c r="L15" s="99"/>
      <c r="M15" s="99"/>
      <c r="N15" s="99"/>
      <c r="O15" s="99"/>
      <c r="P15" s="99"/>
      <c r="Q15" s="99"/>
      <c r="R15" s="99"/>
      <c r="S15" s="99"/>
    </row>
    <row r="16" spans="1:19" s="12" customFormat="1" ht="36" customHeight="1">
      <c r="A16" s="264" t="s">
        <v>347</v>
      </c>
      <c r="B16" s="264"/>
      <c r="C16" s="179" t="s">
        <v>344</v>
      </c>
      <c r="D16" s="309" t="s">
        <v>348</v>
      </c>
      <c r="E16" s="309"/>
      <c r="F16" s="109">
        <v>1.46E-2</v>
      </c>
      <c r="G16" s="109">
        <v>1.6500000000000001E-2</v>
      </c>
      <c r="H16" s="109"/>
      <c r="I16" s="109"/>
      <c r="J16" s="109"/>
      <c r="K16" s="99"/>
      <c r="L16" s="99"/>
      <c r="M16" s="99"/>
      <c r="N16" s="99"/>
      <c r="O16" s="99"/>
      <c r="P16" s="99"/>
      <c r="Q16" s="99"/>
      <c r="R16" s="99"/>
      <c r="S16" s="99"/>
    </row>
    <row r="17" spans="1:19" s="12" customFormat="1" ht="23.25" customHeight="1">
      <c r="A17" s="264" t="s">
        <v>349</v>
      </c>
      <c r="B17" s="264"/>
      <c r="C17" s="179" t="s">
        <v>344</v>
      </c>
      <c r="D17" s="309" t="s">
        <v>350</v>
      </c>
      <c r="E17" s="309"/>
      <c r="F17" s="109">
        <v>3.2500000000000003E-3</v>
      </c>
      <c r="G17" s="109">
        <v>1.9499999999999999E-3</v>
      </c>
      <c r="H17" s="109"/>
      <c r="I17" s="109"/>
      <c r="J17" s="109"/>
      <c r="K17" s="99"/>
      <c r="L17" s="99"/>
      <c r="M17" s="99"/>
      <c r="N17" s="99"/>
      <c r="O17" s="99"/>
      <c r="P17" s="99"/>
      <c r="Q17" s="99"/>
      <c r="R17" s="99"/>
      <c r="S17" s="99"/>
    </row>
    <row r="18" spans="1:19" s="12" customFormat="1" ht="23.25" customHeight="1">
      <c r="A18" s="264" t="s">
        <v>351</v>
      </c>
      <c r="B18" s="264"/>
      <c r="C18" s="179" t="s">
        <v>344</v>
      </c>
      <c r="D18" s="309" t="s">
        <v>352</v>
      </c>
      <c r="E18" s="309"/>
      <c r="F18" s="109">
        <v>1.9000000000000001E-4</v>
      </c>
      <c r="G18" s="109">
        <v>1.3499999999999997E-4</v>
      </c>
      <c r="H18" s="109"/>
      <c r="I18" s="109"/>
      <c r="J18" s="109"/>
      <c r="K18" s="99"/>
      <c r="L18" s="99"/>
      <c r="M18" s="99"/>
      <c r="N18" s="99"/>
      <c r="O18" s="99"/>
      <c r="P18" s="99"/>
      <c r="Q18" s="99"/>
      <c r="R18" s="99"/>
      <c r="S18" s="99"/>
    </row>
    <row r="19" spans="1:19" s="12" customFormat="1" ht="23.25" customHeight="1">
      <c r="A19" s="264" t="s">
        <v>353</v>
      </c>
      <c r="B19" s="264"/>
      <c r="C19" s="179" t="s">
        <v>344</v>
      </c>
      <c r="D19" s="309" t="s">
        <v>352</v>
      </c>
      <c r="E19" s="309"/>
      <c r="F19" s="109">
        <v>1.0549999999999999E-5</v>
      </c>
      <c r="G19" s="109">
        <v>7.4999999999999993E-6</v>
      </c>
      <c r="H19" s="109"/>
      <c r="I19" s="109"/>
      <c r="J19" s="109"/>
      <c r="K19" s="99"/>
      <c r="L19" s="99"/>
      <c r="M19" s="99"/>
      <c r="N19" s="99"/>
      <c r="O19" s="99"/>
      <c r="P19" s="99"/>
      <c r="Q19" s="99"/>
      <c r="R19" s="99"/>
      <c r="S19" s="99"/>
    </row>
    <row r="20" spans="1:19" s="12" customFormat="1" ht="23.25" customHeight="1">
      <c r="A20" s="264" t="s">
        <v>354</v>
      </c>
      <c r="B20" s="264"/>
      <c r="C20" s="179" t="s">
        <v>344</v>
      </c>
      <c r="D20" s="309" t="s">
        <v>352</v>
      </c>
      <c r="E20" s="309"/>
      <c r="F20" s="109">
        <v>5.9000000000000003E-4</v>
      </c>
      <c r="G20" s="109">
        <v>5.1500000000000005E-4</v>
      </c>
      <c r="H20" s="109"/>
      <c r="I20" s="109"/>
      <c r="J20" s="109"/>
      <c r="K20" s="99"/>
      <c r="L20" s="99"/>
      <c r="M20" s="99"/>
      <c r="N20" s="99"/>
      <c r="O20" s="99"/>
      <c r="P20" s="99"/>
      <c r="Q20" s="99"/>
      <c r="R20" s="99"/>
      <c r="S20" s="99"/>
    </row>
    <row r="21" spans="1:19" s="12" customFormat="1" ht="23.25" customHeight="1">
      <c r="A21" s="264" t="s">
        <v>355</v>
      </c>
      <c r="B21" s="264"/>
      <c r="C21" s="179" t="s">
        <v>344</v>
      </c>
      <c r="D21" s="309" t="s">
        <v>352</v>
      </c>
      <c r="E21" s="309"/>
      <c r="F21" s="109">
        <v>3.65E-3</v>
      </c>
      <c r="G21" s="109">
        <v>2.0499999999999997E-3</v>
      </c>
      <c r="H21" s="109"/>
      <c r="I21" s="109"/>
      <c r="J21" s="109"/>
      <c r="K21" s="99"/>
      <c r="L21" s="99"/>
      <c r="M21" s="99"/>
      <c r="N21" s="99"/>
      <c r="O21" s="99"/>
      <c r="P21" s="99"/>
      <c r="Q21" s="99"/>
      <c r="R21" s="99"/>
      <c r="S21" s="99"/>
    </row>
    <row r="22" spans="1:19" s="12" customFormat="1" ht="23.25" customHeight="1">
      <c r="A22" s="264" t="s">
        <v>356</v>
      </c>
      <c r="B22" s="264"/>
      <c r="C22" s="179" t="s">
        <v>344</v>
      </c>
      <c r="D22" s="309" t="s">
        <v>352</v>
      </c>
      <c r="E22" s="309"/>
      <c r="F22" s="109">
        <v>4.0000000000000001E-3</v>
      </c>
      <c r="G22" s="109">
        <v>2.2499999999999998E-3</v>
      </c>
      <c r="H22" s="109"/>
      <c r="I22" s="109"/>
      <c r="J22" s="109"/>
      <c r="K22" s="99"/>
      <c r="L22" s="99"/>
      <c r="M22" s="99"/>
      <c r="N22" s="99"/>
      <c r="O22" s="99"/>
      <c r="P22" s="99"/>
      <c r="Q22" s="99"/>
      <c r="R22" s="99"/>
      <c r="S22" s="99"/>
    </row>
    <row r="23" spans="1:19" s="12" customFormat="1" ht="23.25" customHeight="1">
      <c r="A23" s="264" t="s">
        <v>357</v>
      </c>
      <c r="B23" s="264"/>
      <c r="C23" s="179" t="s">
        <v>344</v>
      </c>
      <c r="D23" s="309" t="s">
        <v>352</v>
      </c>
      <c r="E23" s="309"/>
      <c r="F23" s="109">
        <v>5.3E-3</v>
      </c>
      <c r="G23" s="109">
        <v>3.2500000000000003E-3</v>
      </c>
      <c r="H23" s="109"/>
      <c r="I23" s="109"/>
      <c r="J23" s="109"/>
      <c r="K23" s="99"/>
      <c r="L23" s="99"/>
      <c r="M23" s="99"/>
      <c r="N23" s="99"/>
      <c r="O23" s="99"/>
      <c r="P23" s="99"/>
      <c r="Q23" s="99"/>
      <c r="R23" s="99"/>
      <c r="S23" s="99"/>
    </row>
    <row r="24" spans="1:19" s="12" customFormat="1" ht="23.25" customHeight="1">
      <c r="A24" s="264" t="s">
        <v>358</v>
      </c>
      <c r="B24" s="264"/>
      <c r="C24" s="179" t="s">
        <v>344</v>
      </c>
      <c r="D24" s="309" t="s">
        <v>359</v>
      </c>
      <c r="E24" s="309"/>
      <c r="F24" s="100">
        <v>1E-3</v>
      </c>
      <c r="G24" s="100">
        <v>9.1E-4</v>
      </c>
      <c r="H24" s="109"/>
      <c r="I24" s="109"/>
      <c r="J24" s="109"/>
      <c r="K24" s="99"/>
      <c r="L24" s="99"/>
      <c r="M24" s="99"/>
      <c r="N24" s="99"/>
      <c r="O24" s="99"/>
      <c r="P24" s="99"/>
      <c r="Q24" s="99"/>
      <c r="R24" s="15"/>
      <c r="S24" s="15"/>
    </row>
    <row r="25" spans="1:19" s="12" customFormat="1" ht="23.25" customHeight="1">
      <c r="A25" s="264" t="s">
        <v>360</v>
      </c>
      <c r="B25" s="264"/>
      <c r="C25" s="179" t="s">
        <v>344</v>
      </c>
      <c r="D25" s="309" t="s">
        <v>359</v>
      </c>
      <c r="E25" s="309"/>
      <c r="F25" s="100">
        <v>1E-3</v>
      </c>
      <c r="G25" s="100">
        <v>9.1E-4</v>
      </c>
      <c r="H25" s="109"/>
      <c r="I25" s="109"/>
      <c r="J25" s="109"/>
      <c r="K25" s="99"/>
      <c r="L25" s="99"/>
      <c r="M25" s="99"/>
      <c r="N25" s="99"/>
      <c r="O25" s="99"/>
      <c r="P25" s="99"/>
      <c r="Q25" s="99"/>
      <c r="R25" s="15"/>
      <c r="S25" s="15"/>
    </row>
    <row r="26" spans="1:19" s="12" customFormat="1" ht="23.25" customHeight="1">
      <c r="A26" s="264" t="s">
        <v>361</v>
      </c>
      <c r="B26" s="264"/>
      <c r="C26" s="179" t="s">
        <v>344</v>
      </c>
      <c r="D26" s="309" t="s">
        <v>359</v>
      </c>
      <c r="E26" s="309"/>
      <c r="F26" s="100">
        <v>1E-3</v>
      </c>
      <c r="G26" s="100">
        <v>9.1E-4</v>
      </c>
      <c r="H26" s="109"/>
      <c r="I26" s="109"/>
      <c r="J26" s="109"/>
      <c r="K26" s="99"/>
      <c r="L26" s="99"/>
      <c r="M26" s="99"/>
      <c r="N26" s="99"/>
      <c r="O26" s="99"/>
      <c r="P26" s="99"/>
      <c r="Q26" s="99"/>
      <c r="R26" s="15"/>
      <c r="S26" s="15"/>
    </row>
    <row r="27" spans="1:19" s="12" customFormat="1" ht="23.25" customHeight="1">
      <c r="A27" s="264" t="s">
        <v>362</v>
      </c>
      <c r="B27" s="264"/>
      <c r="C27" s="179" t="s">
        <v>344</v>
      </c>
      <c r="D27" s="309" t="s">
        <v>359</v>
      </c>
      <c r="E27" s="309"/>
      <c r="F27" s="100">
        <v>1E-3</v>
      </c>
      <c r="G27" s="100">
        <v>9.1E-4</v>
      </c>
      <c r="H27" s="109"/>
      <c r="I27" s="109"/>
      <c r="J27" s="109"/>
      <c r="K27" s="99"/>
      <c r="L27" s="99"/>
      <c r="M27" s="99"/>
      <c r="N27" s="99"/>
      <c r="O27" s="99"/>
      <c r="P27" s="99"/>
      <c r="Q27" s="99"/>
      <c r="R27" s="15"/>
      <c r="S27" s="15"/>
    </row>
    <row r="28" spans="1:19" s="12" customFormat="1" ht="23.25" customHeight="1">
      <c r="A28" s="264" t="s">
        <v>363</v>
      </c>
      <c r="B28" s="264"/>
      <c r="C28" s="179" t="s">
        <v>344</v>
      </c>
      <c r="D28" s="309" t="s">
        <v>359</v>
      </c>
      <c r="E28" s="309"/>
      <c r="F28" s="100">
        <v>1E-3</v>
      </c>
      <c r="G28" s="100">
        <v>9.1E-4</v>
      </c>
      <c r="H28" s="109"/>
      <c r="I28" s="109"/>
      <c r="J28" s="109"/>
      <c r="K28" s="99"/>
      <c r="L28" s="99"/>
      <c r="M28" s="99"/>
      <c r="N28" s="99"/>
      <c r="O28" s="99"/>
      <c r="P28" s="99"/>
      <c r="Q28" s="99"/>
      <c r="R28" s="15"/>
      <c r="S28" s="15"/>
    </row>
    <row r="29" spans="1:19" s="12" customFormat="1" ht="23.25" customHeight="1">
      <c r="A29" s="264" t="s">
        <v>364</v>
      </c>
      <c r="B29" s="264"/>
      <c r="C29" s="179" t="s">
        <v>344</v>
      </c>
      <c r="D29" s="309" t="s">
        <v>359</v>
      </c>
      <c r="E29" s="309"/>
      <c r="F29" s="100">
        <v>1E-3</v>
      </c>
      <c r="G29" s="100">
        <v>9.1E-4</v>
      </c>
      <c r="H29" s="202"/>
      <c r="I29" s="109"/>
      <c r="J29" s="109"/>
      <c r="K29" s="99"/>
      <c r="L29" s="99"/>
      <c r="M29" s="99"/>
      <c r="N29" s="99"/>
      <c r="O29" s="99"/>
      <c r="P29" s="99"/>
      <c r="Q29" s="99"/>
      <c r="R29" s="15"/>
      <c r="S29" s="15"/>
    </row>
    <row r="30" spans="1:19" s="12" customFormat="1" ht="23.25" customHeight="1">
      <c r="A30" s="264" t="s">
        <v>365</v>
      </c>
      <c r="B30" s="264"/>
      <c r="C30" s="179" t="s">
        <v>344</v>
      </c>
      <c r="D30" s="309" t="s">
        <v>359</v>
      </c>
      <c r="E30" s="309"/>
      <c r="F30" s="100">
        <v>1E-3</v>
      </c>
      <c r="G30" s="100">
        <v>9.1E-4</v>
      </c>
      <c r="H30" s="109"/>
      <c r="I30" s="109"/>
      <c r="J30" s="109"/>
      <c r="K30" s="99"/>
      <c r="L30" s="99"/>
      <c r="M30" s="99"/>
      <c r="N30" s="99"/>
      <c r="O30" s="99"/>
      <c r="P30" s="99"/>
      <c r="Q30" s="99"/>
      <c r="R30" s="15"/>
      <c r="S30" s="15"/>
    </row>
    <row r="31" spans="1:19" s="12" customFormat="1" ht="23.25" customHeight="1">
      <c r="A31" s="264" t="s">
        <v>366</v>
      </c>
      <c r="B31" s="264"/>
      <c r="C31" s="179" t="s">
        <v>344</v>
      </c>
      <c r="D31" s="309" t="s">
        <v>359</v>
      </c>
      <c r="E31" s="309"/>
      <c r="F31" s="100">
        <v>1E-3</v>
      </c>
      <c r="G31" s="100">
        <v>9.1E-4</v>
      </c>
      <c r="H31" s="109"/>
      <c r="I31" s="109"/>
      <c r="J31" s="109"/>
      <c r="K31" s="99"/>
      <c r="L31" s="99"/>
      <c r="M31" s="99"/>
      <c r="N31" s="99"/>
      <c r="O31" s="99"/>
      <c r="P31" s="99"/>
      <c r="Q31" s="99"/>
      <c r="R31" s="15"/>
      <c r="S31" s="15"/>
    </row>
    <row r="32" spans="1:19" s="12" customFormat="1" ht="23.25" customHeight="1">
      <c r="A32" s="264" t="s">
        <v>367</v>
      </c>
      <c r="B32" s="264"/>
      <c r="C32" s="179" t="s">
        <v>344</v>
      </c>
      <c r="D32" s="309" t="s">
        <v>359</v>
      </c>
      <c r="E32" s="309"/>
      <c r="F32" s="100">
        <v>1E-3</v>
      </c>
      <c r="G32" s="100">
        <v>9.1E-4</v>
      </c>
      <c r="H32" s="109"/>
      <c r="I32" s="109"/>
      <c r="J32" s="109"/>
      <c r="K32" s="99"/>
      <c r="L32" s="99"/>
      <c r="M32" s="99"/>
      <c r="N32" s="99"/>
      <c r="O32" s="99"/>
      <c r="P32" s="99"/>
      <c r="Q32" s="99"/>
      <c r="R32" s="15"/>
      <c r="S32" s="15"/>
    </row>
    <row r="33" spans="1:19" s="12" customFormat="1" ht="23.25" customHeight="1">
      <c r="A33" s="264" t="s">
        <v>368</v>
      </c>
      <c r="B33" s="264"/>
      <c r="C33" s="179" t="s">
        <v>344</v>
      </c>
      <c r="D33" s="309" t="s">
        <v>359</v>
      </c>
      <c r="E33" s="309"/>
      <c r="F33" s="100">
        <v>1E-3</v>
      </c>
      <c r="G33" s="100">
        <v>9.1E-4</v>
      </c>
      <c r="H33" s="109"/>
      <c r="I33" s="109"/>
      <c r="J33" s="109"/>
      <c r="K33" s="99"/>
      <c r="L33" s="99"/>
      <c r="M33" s="99"/>
      <c r="N33" s="99"/>
      <c r="O33" s="99"/>
      <c r="P33" s="99"/>
      <c r="Q33" s="99"/>
      <c r="R33" s="15"/>
      <c r="S33" s="15"/>
    </row>
    <row r="34" spans="1:19" s="12" customFormat="1" ht="23.25" customHeight="1">
      <c r="A34" s="264" t="s">
        <v>369</v>
      </c>
      <c r="B34" s="264"/>
      <c r="C34" s="179" t="s">
        <v>344</v>
      </c>
      <c r="D34" s="309" t="s">
        <v>359</v>
      </c>
      <c r="E34" s="309"/>
      <c r="F34" s="100">
        <v>1E-3</v>
      </c>
      <c r="G34" s="100">
        <v>9.1E-4</v>
      </c>
      <c r="H34" s="109"/>
      <c r="I34" s="109"/>
      <c r="J34" s="109"/>
      <c r="K34" s="99"/>
      <c r="L34" s="99"/>
      <c r="M34" s="99"/>
      <c r="N34" s="99"/>
      <c r="O34" s="99"/>
      <c r="P34" s="99"/>
      <c r="Q34" s="99"/>
      <c r="R34" s="15"/>
      <c r="S34" s="15"/>
    </row>
    <row r="35" spans="1:19" s="12" customFormat="1" ht="23.25" customHeight="1">
      <c r="A35" s="264" t="s">
        <v>370</v>
      </c>
      <c r="B35" s="264"/>
      <c r="C35" s="179" t="s">
        <v>344</v>
      </c>
      <c r="D35" s="309" t="s">
        <v>359</v>
      </c>
      <c r="E35" s="309"/>
      <c r="F35" s="100">
        <v>1E-3</v>
      </c>
      <c r="G35" s="100">
        <v>9.1E-4</v>
      </c>
      <c r="H35" s="109"/>
      <c r="I35" s="109"/>
      <c r="J35" s="109"/>
      <c r="K35" s="99"/>
      <c r="L35" s="99"/>
      <c r="M35" s="99"/>
      <c r="N35" s="99"/>
      <c r="O35" s="99"/>
      <c r="P35" s="99"/>
      <c r="Q35" s="99"/>
      <c r="R35" s="15"/>
      <c r="S35" s="15"/>
    </row>
    <row r="36" spans="1:19" s="12" customFormat="1" ht="23.25" customHeight="1">
      <c r="A36" s="264" t="s">
        <v>371</v>
      </c>
      <c r="B36" s="264"/>
      <c r="C36" s="179" t="s">
        <v>344</v>
      </c>
      <c r="D36" s="309" t="s">
        <v>359</v>
      </c>
      <c r="E36" s="309"/>
      <c r="F36" s="100">
        <v>1E-3</v>
      </c>
      <c r="G36" s="100">
        <v>9.1E-4</v>
      </c>
      <c r="H36" s="109"/>
      <c r="I36" s="109"/>
      <c r="J36" s="109"/>
      <c r="K36" s="99"/>
      <c r="L36" s="99"/>
      <c r="M36" s="99"/>
      <c r="N36" s="99"/>
      <c r="O36" s="99"/>
      <c r="P36" s="99"/>
      <c r="Q36" s="99"/>
      <c r="R36" s="15"/>
      <c r="S36" s="15"/>
    </row>
    <row r="37" spans="1:19" s="12" customFormat="1" ht="23.25" customHeight="1">
      <c r="A37" s="264" t="s">
        <v>372</v>
      </c>
      <c r="B37" s="264"/>
      <c r="C37" s="179" t="s">
        <v>344</v>
      </c>
      <c r="D37" s="309" t="s">
        <v>359</v>
      </c>
      <c r="E37" s="309"/>
      <c r="F37" s="109">
        <v>1.225E-2</v>
      </c>
      <c r="G37" s="109">
        <v>2.1000000000000001E-2</v>
      </c>
      <c r="H37" s="109"/>
      <c r="I37" s="109"/>
      <c r="J37" s="109"/>
      <c r="K37" s="99"/>
      <c r="L37" s="99"/>
      <c r="M37" s="99"/>
      <c r="N37" s="99"/>
      <c r="O37" s="99"/>
      <c r="P37" s="99"/>
      <c r="Q37" s="99"/>
      <c r="R37" s="99"/>
      <c r="S37" s="99"/>
    </row>
    <row r="38" spans="1:19" s="12" customFormat="1" ht="23.25" customHeight="1">
      <c r="A38" s="264" t="s">
        <v>373</v>
      </c>
      <c r="B38" s="264"/>
      <c r="C38" s="179" t="s">
        <v>344</v>
      </c>
      <c r="D38" s="309" t="s">
        <v>359</v>
      </c>
      <c r="E38" s="309"/>
      <c r="F38" s="100">
        <v>1E-3</v>
      </c>
      <c r="G38" s="100">
        <v>9.1E-4</v>
      </c>
      <c r="H38" s="109"/>
      <c r="I38" s="109"/>
      <c r="J38" s="109"/>
      <c r="K38" s="99"/>
      <c r="L38" s="99"/>
      <c r="M38" s="99"/>
      <c r="N38" s="99"/>
      <c r="O38" s="99"/>
      <c r="P38" s="99"/>
      <c r="Q38" s="99"/>
      <c r="R38" s="15"/>
      <c r="S38" s="15"/>
    </row>
    <row r="39" spans="1:19" s="12" customFormat="1" ht="23.25" customHeight="1">
      <c r="A39" s="264" t="s">
        <v>374</v>
      </c>
      <c r="B39" s="264"/>
      <c r="C39" s="179" t="s">
        <v>344</v>
      </c>
      <c r="D39" s="309" t="s">
        <v>359</v>
      </c>
      <c r="E39" s="309"/>
      <c r="F39" s="109">
        <v>9.0499999999999997E-2</v>
      </c>
      <c r="G39" s="109">
        <v>9.0499999999999997E-2</v>
      </c>
      <c r="H39" s="109"/>
      <c r="I39" s="109"/>
      <c r="J39" s="109"/>
      <c r="K39" s="99"/>
      <c r="L39" s="99"/>
      <c r="M39" s="99"/>
      <c r="N39" s="99"/>
      <c r="O39" s="99"/>
      <c r="P39" s="99"/>
      <c r="Q39" s="99"/>
      <c r="R39" s="99"/>
      <c r="S39" s="99"/>
    </row>
    <row r="40" spans="1:19">
      <c r="A40" s="294" t="s">
        <v>324</v>
      </c>
      <c r="B40" s="294"/>
      <c r="C40" s="294"/>
      <c r="D40" s="294"/>
      <c r="E40" s="294"/>
      <c r="F40" s="294"/>
      <c r="G40" s="294"/>
      <c r="H40" s="294"/>
      <c r="I40" s="294"/>
      <c r="J40" s="294"/>
      <c r="K40" s="92"/>
      <c r="L40" s="92"/>
      <c r="M40" s="92"/>
      <c r="N40" s="92"/>
      <c r="O40" s="92"/>
      <c r="P40" s="92"/>
      <c r="Q40" s="92"/>
      <c r="R40" s="92"/>
      <c r="S40" s="92"/>
    </row>
    <row r="41" spans="1:19">
      <c r="A41" s="295" t="s">
        <v>375</v>
      </c>
      <c r="B41" s="295"/>
      <c r="C41" s="295"/>
      <c r="D41" s="295"/>
      <c r="E41" s="295"/>
      <c r="F41" s="295"/>
      <c r="G41" s="295"/>
      <c r="H41" s="295"/>
      <c r="I41" s="295"/>
      <c r="J41" s="295"/>
      <c r="K41" s="92"/>
      <c r="L41" s="92"/>
      <c r="M41" s="92"/>
      <c r="N41" s="92"/>
      <c r="O41" s="92"/>
      <c r="P41" s="92"/>
      <c r="Q41" s="92"/>
      <c r="R41" s="92"/>
      <c r="S41" s="92"/>
    </row>
    <row r="42" spans="1:19" ht="45" customHeight="1">
      <c r="A42" s="295"/>
      <c r="B42" s="295"/>
      <c r="C42" s="295"/>
      <c r="D42" s="295"/>
      <c r="E42" s="295"/>
      <c r="F42" s="295"/>
      <c r="G42" s="295"/>
      <c r="H42" s="295"/>
      <c r="I42" s="295"/>
      <c r="J42" s="295"/>
      <c r="K42" s="92"/>
      <c r="L42" s="92"/>
      <c r="M42" s="92"/>
      <c r="N42" s="92"/>
      <c r="O42" s="92"/>
      <c r="P42" s="92"/>
      <c r="Q42" s="92"/>
      <c r="R42" s="92"/>
      <c r="S42" s="92"/>
    </row>
    <row r="65" spans="6:6">
      <c r="F65" s="3"/>
    </row>
  </sheetData>
  <mergeCells count="66">
    <mergeCell ref="D20:E20"/>
    <mergeCell ref="D29:E29"/>
    <mergeCell ref="D35:E35"/>
    <mergeCell ref="D21:E21"/>
    <mergeCell ref="D22:E22"/>
    <mergeCell ref="D23:E23"/>
    <mergeCell ref="D24:E24"/>
    <mergeCell ref="D25:E25"/>
    <mergeCell ref="D26:E26"/>
    <mergeCell ref="D33:E33"/>
    <mergeCell ref="D27:E27"/>
    <mergeCell ref="D28:E28"/>
    <mergeCell ref="D30:E30"/>
    <mergeCell ref="D15:E15"/>
    <mergeCell ref="D16:E16"/>
    <mergeCell ref="D17:E17"/>
    <mergeCell ref="D18:E18"/>
    <mergeCell ref="D19:E19"/>
    <mergeCell ref="A40:J40"/>
    <mergeCell ref="A21:B21"/>
    <mergeCell ref="A22:B22"/>
    <mergeCell ref="A23:B23"/>
    <mergeCell ref="D36:E36"/>
    <mergeCell ref="D37:E37"/>
    <mergeCell ref="A35:B35"/>
    <mergeCell ref="A36:B36"/>
    <mergeCell ref="A37:B37"/>
    <mergeCell ref="A38:B38"/>
    <mergeCell ref="A26:B26"/>
    <mergeCell ref="D34:E34"/>
    <mergeCell ref="A41:J42"/>
    <mergeCell ref="A27:B27"/>
    <mergeCell ref="A28:B28"/>
    <mergeCell ref="A24:B24"/>
    <mergeCell ref="A25:B25"/>
    <mergeCell ref="A39:B39"/>
    <mergeCell ref="A29:B29"/>
    <mergeCell ref="A30:B30"/>
    <mergeCell ref="A31:B31"/>
    <mergeCell ref="A32:B32"/>
    <mergeCell ref="A33:B33"/>
    <mergeCell ref="A34:B34"/>
    <mergeCell ref="D39:E39"/>
    <mergeCell ref="D31:E31"/>
    <mergeCell ref="D32:E32"/>
    <mergeCell ref="D38:E38"/>
    <mergeCell ref="A18:B18"/>
    <mergeCell ref="A19:B19"/>
    <mergeCell ref="A20:B20"/>
    <mergeCell ref="A15:B15"/>
    <mergeCell ref="A16:B16"/>
    <mergeCell ref="A17:B17"/>
    <mergeCell ref="A14:B14"/>
    <mergeCell ref="D12:E12"/>
    <mergeCell ref="D14:E14"/>
    <mergeCell ref="A10:B11"/>
    <mergeCell ref="F10:J10"/>
    <mergeCell ref="D10:E11"/>
    <mergeCell ref="C10:C11"/>
    <mergeCell ref="A13:B13"/>
    <mergeCell ref="D13:E13"/>
    <mergeCell ref="M6:P9"/>
    <mergeCell ref="M10:P12"/>
    <mergeCell ref="A9:J9"/>
    <mergeCell ref="A6:J7"/>
    <mergeCell ref="A12:B12"/>
  </mergeCells>
  <pageMargins left="0.7" right="0.7" top="0.75" bottom="0.75" header="0.3" footer="0.3"/>
  <pageSetup paperSize="9" scale="84"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7"/>
  <sheetViews>
    <sheetView zoomScaleNormal="100" workbookViewId="0">
      <selection activeCell="L26" sqref="L26"/>
    </sheetView>
  </sheetViews>
  <sheetFormatPr defaultColWidth="9.28515625" defaultRowHeight="15"/>
  <cols>
    <col min="1" max="1" width="21.28515625" style="2" customWidth="1"/>
    <col min="2" max="2" width="13.7109375" style="2" customWidth="1"/>
    <col min="3" max="3" width="16.28515625" style="2" customWidth="1"/>
    <col min="4" max="4" width="11.5703125" style="2" bestFit="1" customWidth="1"/>
    <col min="5" max="5" width="9.28515625" style="2"/>
    <col min="6" max="6" width="11.5703125" style="2" bestFit="1" customWidth="1"/>
    <col min="7" max="12" width="9.28515625" style="2"/>
    <col min="13" max="13" width="10.42578125" style="2" customWidth="1"/>
    <col min="14" max="16384" width="9.28515625" style="2"/>
  </cols>
  <sheetData>
    <row r="1" spans="1:16">
      <c r="A1" s="92" t="str">
        <f>+'Cover Page'!$B$29</f>
        <v>Annual Performance Report 2022</v>
      </c>
      <c r="B1" s="92"/>
      <c r="C1" s="92"/>
      <c r="D1" s="92"/>
      <c r="E1" s="92"/>
      <c r="F1" s="92"/>
      <c r="G1" s="92"/>
      <c r="H1" s="92"/>
      <c r="I1" s="92" t="str">
        <f>+'Cover Page'!$B$33</f>
        <v>Suffolk Energy from Waste Facility</v>
      </c>
      <c r="J1" s="92"/>
      <c r="K1" s="92"/>
      <c r="L1" s="92"/>
      <c r="M1" s="92"/>
      <c r="N1" s="92"/>
      <c r="O1" s="92"/>
      <c r="P1" s="92"/>
    </row>
    <row r="3" spans="1:16" ht="15.75">
      <c r="A3" s="1" t="s">
        <v>45</v>
      </c>
      <c r="B3" s="92"/>
      <c r="C3" s="92"/>
      <c r="D3" s="92"/>
      <c r="E3" s="92"/>
      <c r="F3" s="92"/>
      <c r="G3" s="194"/>
      <c r="H3" s="92"/>
      <c r="I3" s="92"/>
      <c r="J3" s="92"/>
      <c r="K3" s="92"/>
      <c r="L3" s="92"/>
      <c r="M3" s="92"/>
      <c r="N3" s="92"/>
      <c r="O3" s="92"/>
      <c r="P3" s="92"/>
    </row>
    <row r="4" spans="1:16" ht="15.75">
      <c r="A4" s="1"/>
      <c r="B4" s="92"/>
      <c r="C4" s="92"/>
      <c r="D4" s="92"/>
      <c r="E4" s="92"/>
      <c r="F4" s="92"/>
      <c r="G4" s="92"/>
      <c r="H4" s="92"/>
      <c r="I4" s="92"/>
      <c r="J4" s="92"/>
      <c r="K4" s="92"/>
      <c r="L4" s="92"/>
      <c r="M4" s="92"/>
      <c r="N4" s="92"/>
      <c r="O4" s="92"/>
      <c r="P4" s="73" t="s">
        <v>3</v>
      </c>
    </row>
    <row r="5" spans="1:16" s="3" customFormat="1" ht="21.75" customHeight="1">
      <c r="A5" s="48" t="s">
        <v>332</v>
      </c>
      <c r="B5" s="49"/>
      <c r="C5" s="49"/>
      <c r="D5" s="49"/>
      <c r="E5" s="49"/>
      <c r="F5" s="49"/>
      <c r="G5" s="49"/>
      <c r="H5" s="49"/>
      <c r="I5" s="49"/>
      <c r="J5" s="49"/>
      <c r="K5" s="49"/>
      <c r="L5" s="49"/>
      <c r="M5" s="50"/>
      <c r="P5" s="74" t="s">
        <v>376</v>
      </c>
    </row>
    <row r="6" spans="1:16" s="3" customFormat="1" ht="25.5" customHeight="1">
      <c r="A6" s="237" t="s">
        <v>377</v>
      </c>
      <c r="B6" s="238"/>
      <c r="C6" s="238"/>
      <c r="D6" s="238"/>
      <c r="E6" s="238"/>
      <c r="F6" s="238"/>
      <c r="G6" s="238"/>
      <c r="H6" s="238"/>
      <c r="I6" s="238"/>
      <c r="J6" s="238"/>
      <c r="K6" s="238"/>
      <c r="L6" s="238"/>
      <c r="M6" s="239"/>
      <c r="P6" s="3" t="s">
        <v>378</v>
      </c>
    </row>
    <row r="7" spans="1:16" s="3" customFormat="1" ht="33" customHeight="1">
      <c r="A7" s="243"/>
      <c r="B7" s="244"/>
      <c r="C7" s="244"/>
      <c r="D7" s="244"/>
      <c r="E7" s="244"/>
      <c r="F7" s="244"/>
      <c r="G7" s="244"/>
      <c r="H7" s="244"/>
      <c r="I7" s="244"/>
      <c r="J7" s="244"/>
      <c r="K7" s="244"/>
      <c r="L7" s="244"/>
      <c r="M7" s="245"/>
    </row>
    <row r="8" spans="1:16" s="3" customFormat="1" ht="15.75" customHeight="1">
      <c r="A8" s="237"/>
      <c r="B8" s="238"/>
      <c r="C8" s="238"/>
      <c r="D8" s="238"/>
      <c r="E8" s="238"/>
      <c r="F8" s="238"/>
      <c r="G8" s="238"/>
      <c r="H8" s="238"/>
      <c r="I8" s="238"/>
      <c r="J8" s="238"/>
      <c r="K8" s="238"/>
      <c r="L8" s="238"/>
      <c r="M8" s="239"/>
    </row>
    <row r="9" spans="1:16" s="3" customFormat="1" ht="15.75" customHeight="1">
      <c r="A9" s="243"/>
      <c r="B9" s="244"/>
      <c r="C9" s="244"/>
      <c r="D9" s="244"/>
      <c r="E9" s="244"/>
      <c r="F9" s="244"/>
      <c r="G9" s="244"/>
      <c r="H9" s="244"/>
      <c r="I9" s="244"/>
      <c r="J9" s="244"/>
      <c r="K9" s="244"/>
      <c r="L9" s="244"/>
      <c r="M9" s="245"/>
    </row>
    <row r="10" spans="1:16" s="3" customFormat="1" ht="14.25"/>
    <row r="11" spans="1:16" s="56" customFormat="1" ht="16.5" customHeight="1">
      <c r="A11" s="367" t="s">
        <v>379</v>
      </c>
      <c r="B11" s="367"/>
      <c r="C11" s="367"/>
      <c r="D11" s="367"/>
      <c r="E11" s="367"/>
      <c r="F11" s="367"/>
      <c r="G11" s="367"/>
      <c r="H11" s="367"/>
      <c r="I11" s="367"/>
      <c r="J11" s="367"/>
      <c r="K11" s="367"/>
      <c r="L11" s="367"/>
      <c r="M11" s="367"/>
    </row>
    <row r="12" spans="1:16" s="56" customFormat="1" ht="16.5" customHeight="1">
      <c r="A12" s="407" t="s">
        <v>221</v>
      </c>
      <c r="B12" s="401" t="s">
        <v>380</v>
      </c>
      <c r="C12" s="328" t="s">
        <v>337</v>
      </c>
      <c r="D12" s="409" t="s">
        <v>194</v>
      </c>
      <c r="E12" s="410"/>
      <c r="F12" s="409" t="s">
        <v>195</v>
      </c>
      <c r="G12" s="410"/>
      <c r="H12" s="409" t="s">
        <v>196</v>
      </c>
      <c r="I12" s="410"/>
      <c r="J12" s="409" t="s">
        <v>197</v>
      </c>
      <c r="K12" s="410"/>
      <c r="L12" s="409" t="s">
        <v>198</v>
      </c>
      <c r="M12" s="410"/>
    </row>
    <row r="13" spans="1:16" s="12" customFormat="1" ht="17.25" customHeight="1">
      <c r="A13" s="407"/>
      <c r="B13" s="408"/>
      <c r="C13" s="328"/>
      <c r="D13" s="46" t="s">
        <v>330</v>
      </c>
      <c r="E13" s="57" t="s">
        <v>381</v>
      </c>
      <c r="F13" s="46" t="s">
        <v>330</v>
      </c>
      <c r="G13" s="57" t="s">
        <v>381</v>
      </c>
      <c r="H13" s="46" t="s">
        <v>330</v>
      </c>
      <c r="I13" s="57" t="s">
        <v>381</v>
      </c>
      <c r="J13" s="46" t="s">
        <v>330</v>
      </c>
      <c r="K13" s="57" t="s">
        <v>381</v>
      </c>
      <c r="L13" s="46" t="s">
        <v>330</v>
      </c>
      <c r="M13" s="57" t="s">
        <v>381</v>
      </c>
      <c r="N13" s="99"/>
      <c r="O13" s="99"/>
      <c r="P13" s="99"/>
    </row>
    <row r="14" spans="1:16" s="12" customFormat="1" ht="23.25" customHeight="1">
      <c r="A14" s="264" t="s">
        <v>227</v>
      </c>
      <c r="B14" s="177" t="s">
        <v>382</v>
      </c>
      <c r="C14" s="177" t="s">
        <v>383</v>
      </c>
      <c r="D14" s="107">
        <f>NOx!$O$19</f>
        <v>195.9</v>
      </c>
      <c r="E14" s="107">
        <f>NOx!$N$19</f>
        <v>180.72630525686978</v>
      </c>
      <c r="F14" s="107">
        <f>NOx!$O$34</f>
        <v>194.9</v>
      </c>
      <c r="G14" s="107">
        <f>NOx!N34</f>
        <v>180.45440412186383</v>
      </c>
      <c r="H14" s="109"/>
      <c r="I14" s="109"/>
      <c r="J14" s="109"/>
      <c r="K14" s="109"/>
      <c r="L14" s="109"/>
      <c r="M14" s="109"/>
      <c r="N14" s="99"/>
      <c r="O14" s="99"/>
      <c r="P14" s="99"/>
    </row>
    <row r="15" spans="1:16" s="12" customFormat="1" ht="23.25" customHeight="1">
      <c r="A15" s="264"/>
      <c r="B15" s="177" t="s">
        <v>384</v>
      </c>
      <c r="C15" s="177" t="s">
        <v>385</v>
      </c>
      <c r="D15" s="107">
        <f>NOx!$M$19</f>
        <v>299</v>
      </c>
      <c r="E15" s="107">
        <f>NOx!$L$19</f>
        <v>180.72630525686978</v>
      </c>
      <c r="F15" s="107">
        <f>NOx!$M$34</f>
        <v>271.39999999999998</v>
      </c>
      <c r="G15" s="107">
        <f>NOx!L34</f>
        <v>180.45440412186383</v>
      </c>
      <c r="H15" s="109"/>
      <c r="I15" s="109"/>
      <c r="J15" s="109"/>
      <c r="K15" s="109"/>
      <c r="L15" s="109"/>
      <c r="M15" s="109"/>
      <c r="N15" s="99"/>
      <c r="O15" s="99"/>
      <c r="P15" s="99"/>
    </row>
    <row r="16" spans="1:16" s="12" customFormat="1" ht="23.25" customHeight="1">
      <c r="A16" s="180" t="s">
        <v>226</v>
      </c>
      <c r="B16" s="181" t="s">
        <v>382</v>
      </c>
      <c r="C16" s="177" t="s">
        <v>386</v>
      </c>
      <c r="D16" s="107">
        <f>Particulates!$O$19</f>
        <v>3</v>
      </c>
      <c r="E16" s="107">
        <f>Particulates!$N$19</f>
        <v>1.5344105933890884</v>
      </c>
      <c r="F16" s="107">
        <f>Particulates!$O$34</f>
        <v>1.9</v>
      </c>
      <c r="G16" s="107">
        <f>Particulates!N34</f>
        <v>1.027547363031234</v>
      </c>
      <c r="H16" s="109"/>
      <c r="I16" s="109"/>
      <c r="J16" s="109"/>
      <c r="K16" s="109"/>
      <c r="L16" s="109"/>
      <c r="M16" s="109"/>
      <c r="N16" s="99"/>
      <c r="O16" s="99"/>
      <c r="P16" s="99"/>
    </row>
    <row r="17" spans="1:13" s="12" customFormat="1" ht="23.25" customHeight="1">
      <c r="A17" s="180"/>
      <c r="B17" s="177" t="s">
        <v>384</v>
      </c>
      <c r="C17" s="177" t="s">
        <v>387</v>
      </c>
      <c r="D17" s="107">
        <f>Particulates!$M$19</f>
        <v>4.4000000000000004</v>
      </c>
      <c r="E17" s="107">
        <f>Particulates!$L$19</f>
        <v>1.5344105933890884</v>
      </c>
      <c r="F17" s="107">
        <f>Particulates!$M$34</f>
        <v>7</v>
      </c>
      <c r="G17" s="107">
        <f>Particulates!L34</f>
        <v>1.027547363031234</v>
      </c>
      <c r="H17" s="109"/>
      <c r="I17" s="109"/>
      <c r="J17" s="109"/>
      <c r="K17" s="109"/>
      <c r="L17" s="109"/>
      <c r="M17" s="109"/>
    </row>
    <row r="18" spans="1:13" s="12" customFormat="1" ht="23.25" customHeight="1">
      <c r="A18" s="180" t="s">
        <v>388</v>
      </c>
      <c r="B18" s="177" t="s">
        <v>382</v>
      </c>
      <c r="C18" s="177" t="s">
        <v>389</v>
      </c>
      <c r="D18" s="107">
        <f>TOC!$O$19</f>
        <v>36.1</v>
      </c>
      <c r="E18" s="107">
        <f>TOC!$N$19</f>
        <v>0.59938470728793314</v>
      </c>
      <c r="F18" s="107">
        <f>TOC!$O$34</f>
        <v>1.3</v>
      </c>
      <c r="G18" s="107">
        <f>TOC!N34</f>
        <v>0.49330325140809017</v>
      </c>
      <c r="H18" s="109"/>
      <c r="I18" s="109"/>
      <c r="J18" s="109"/>
      <c r="K18" s="109"/>
      <c r="L18" s="109"/>
      <c r="M18" s="109"/>
    </row>
    <row r="19" spans="1:13" s="12" customFormat="1" ht="23.25" customHeight="1">
      <c r="A19" s="180"/>
      <c r="B19" s="177" t="s">
        <v>384</v>
      </c>
      <c r="C19" s="177" t="s">
        <v>390</v>
      </c>
      <c r="D19" s="107">
        <f>TOC!$M$19</f>
        <v>158</v>
      </c>
      <c r="E19" s="107">
        <f>TOC!$L$19</f>
        <v>0.59938470728793314</v>
      </c>
      <c r="F19" s="107">
        <f>TOC!$M$34</f>
        <v>26.6</v>
      </c>
      <c r="G19" s="107">
        <f>TOC!L34</f>
        <v>0.49330325140809017</v>
      </c>
      <c r="H19" s="109"/>
      <c r="I19" s="109"/>
      <c r="J19" s="109"/>
      <c r="K19" s="109"/>
      <c r="L19" s="109"/>
      <c r="M19" s="109"/>
    </row>
    <row r="20" spans="1:13" s="12" customFormat="1" ht="23.25" customHeight="1">
      <c r="A20" s="180" t="s">
        <v>391</v>
      </c>
      <c r="B20" s="177" t="s">
        <v>382</v>
      </c>
      <c r="C20" s="177" t="s">
        <v>389</v>
      </c>
      <c r="D20" s="107">
        <f>HCl!$O$19</f>
        <v>8</v>
      </c>
      <c r="E20" s="107">
        <f>HCl!$N$19</f>
        <v>3.676682895260853</v>
      </c>
      <c r="F20" s="107">
        <f>HCl!$O$34</f>
        <v>7.2</v>
      </c>
      <c r="G20" s="107">
        <f>HCl!N34</f>
        <v>3.6211177035330269</v>
      </c>
      <c r="H20" s="109"/>
      <c r="I20" s="109"/>
      <c r="J20" s="109"/>
      <c r="K20" s="109"/>
      <c r="L20" s="109"/>
      <c r="M20" s="109"/>
    </row>
    <row r="21" spans="1:13" s="12" customFormat="1" ht="23.25" customHeight="1">
      <c r="A21" s="180"/>
      <c r="B21" s="177" t="s">
        <v>384</v>
      </c>
      <c r="C21" s="177" t="s">
        <v>392</v>
      </c>
      <c r="D21" s="107">
        <f>HCl!$M$19</f>
        <v>33.5</v>
      </c>
      <c r="E21" s="107">
        <f>HCl!$L$19</f>
        <v>3.676682895260853</v>
      </c>
      <c r="F21" s="107">
        <f>HCl!$M$34</f>
        <v>23.4</v>
      </c>
      <c r="G21" s="107">
        <f>HCl!L34</f>
        <v>3.6211177035330269</v>
      </c>
      <c r="H21" s="109"/>
      <c r="I21" s="109"/>
      <c r="J21" s="109"/>
      <c r="K21" s="109"/>
      <c r="L21" s="109"/>
      <c r="M21" s="109"/>
    </row>
    <row r="22" spans="1:13" s="12" customFormat="1" ht="23.25" customHeight="1">
      <c r="A22" s="180" t="s">
        <v>228</v>
      </c>
      <c r="B22" s="177" t="s">
        <v>382</v>
      </c>
      <c r="C22" s="177" t="s">
        <v>393</v>
      </c>
      <c r="D22" s="107">
        <f>'SO2'!$O$19</f>
        <v>60.6</v>
      </c>
      <c r="E22" s="107">
        <f>'SO2'!$N$19</f>
        <v>34.087400438072478</v>
      </c>
      <c r="F22" s="107">
        <f>'SO2'!$O$34</f>
        <v>45.5</v>
      </c>
      <c r="G22" s="107">
        <f>'SO2'!N34</f>
        <v>30.564740783410134</v>
      </c>
      <c r="H22" s="109"/>
      <c r="I22" s="109"/>
      <c r="J22" s="109"/>
      <c r="K22" s="109"/>
      <c r="L22" s="109"/>
      <c r="M22" s="109"/>
    </row>
    <row r="23" spans="1:13" s="12" customFormat="1" ht="23.25" customHeight="1">
      <c r="A23" s="180"/>
      <c r="B23" s="177" t="s">
        <v>384</v>
      </c>
      <c r="C23" s="177" t="s">
        <v>383</v>
      </c>
      <c r="D23" s="107">
        <f>'SO2'!$M$19</f>
        <v>204.7</v>
      </c>
      <c r="E23" s="107">
        <f>'SO2'!$L$19</f>
        <v>34.087400438072478</v>
      </c>
      <c r="F23" s="107">
        <f>'SO2'!$M$34</f>
        <v>464.9</v>
      </c>
      <c r="G23" s="107">
        <f>'SO2'!L34</f>
        <v>30.564740783410134</v>
      </c>
      <c r="H23" s="109"/>
      <c r="I23" s="109"/>
      <c r="J23" s="109"/>
      <c r="K23" s="109"/>
      <c r="L23" s="109"/>
      <c r="M23" s="109"/>
    </row>
    <row r="24" spans="1:13" s="12" customFormat="1" ht="23.25" customHeight="1">
      <c r="A24" s="180" t="s">
        <v>394</v>
      </c>
      <c r="B24" s="177" t="s">
        <v>382</v>
      </c>
      <c r="C24" s="177" t="s">
        <v>393</v>
      </c>
      <c r="D24" s="107">
        <f>'CO 95% 10 min'!Q19</f>
        <v>10.6</v>
      </c>
      <c r="E24" s="107">
        <f>'CO 95% 10 min'!P19</f>
        <v>1.8083333333333333</v>
      </c>
      <c r="F24" s="107">
        <f>'CO 95% 10 min'!Q34</f>
        <v>7.7</v>
      </c>
      <c r="G24" s="107">
        <f>'CO 95% 10 min'!P34</f>
        <v>1.2083333333333333</v>
      </c>
      <c r="H24" s="109"/>
      <c r="I24" s="109"/>
      <c r="J24" s="109"/>
      <c r="K24" s="109"/>
      <c r="L24" s="109"/>
      <c r="M24" s="109"/>
    </row>
    <row r="25" spans="1:13" s="12" customFormat="1" ht="23.25" customHeight="1">
      <c r="A25" s="180"/>
      <c r="B25" s="109" t="s">
        <v>395</v>
      </c>
      <c r="C25" s="109" t="s">
        <v>396</v>
      </c>
      <c r="D25" s="107">
        <f>'CO 95% 10 min'!M19</f>
        <v>91.686996459960938</v>
      </c>
      <c r="E25" s="107">
        <f>'CO 95% 10 min'!N19</f>
        <v>1.8083333333333333</v>
      </c>
      <c r="F25" s="107">
        <f>'CO 95% 10 min'!M34</f>
        <v>51.898818969726563</v>
      </c>
      <c r="G25" s="107">
        <f>'CO 95% 10 min'!P34</f>
        <v>1.2083333333333333</v>
      </c>
      <c r="H25" s="109"/>
      <c r="I25" s="109"/>
      <c r="J25" s="109"/>
      <c r="K25" s="109"/>
      <c r="L25" s="109"/>
      <c r="M25" s="109"/>
    </row>
    <row r="26" spans="1:13" s="12" customFormat="1" ht="23.25" customHeight="1">
      <c r="A26" s="182" t="s">
        <v>397</v>
      </c>
      <c r="B26" s="183" t="s">
        <v>382</v>
      </c>
      <c r="C26" s="183" t="s">
        <v>398</v>
      </c>
      <c r="D26" s="184"/>
      <c r="E26" s="184"/>
      <c r="F26" s="184"/>
      <c r="G26" s="184"/>
      <c r="H26" s="184"/>
      <c r="I26" s="184"/>
      <c r="J26" s="184"/>
      <c r="K26" s="184"/>
      <c r="L26" s="184"/>
      <c r="M26" s="184"/>
    </row>
    <row r="27" spans="1:13">
      <c r="A27" s="403"/>
      <c r="B27" s="404"/>
      <c r="C27" s="404"/>
      <c r="D27" s="404"/>
      <c r="E27" s="404"/>
      <c r="F27" s="404"/>
      <c r="G27" s="404"/>
      <c r="H27" s="404"/>
      <c r="I27" s="404"/>
      <c r="J27" s="404"/>
      <c r="K27" s="404"/>
      <c r="L27" s="404"/>
      <c r="M27" s="405"/>
    </row>
    <row r="28" spans="1:13">
      <c r="A28" s="83" t="s">
        <v>324</v>
      </c>
      <c r="B28" s="84"/>
      <c r="C28" s="84"/>
      <c r="D28" s="84"/>
      <c r="E28" s="84"/>
      <c r="F28" s="84"/>
      <c r="G28" s="84"/>
      <c r="H28" s="84"/>
      <c r="I28" s="84"/>
      <c r="J28" s="84"/>
      <c r="K28" s="84"/>
      <c r="L28" s="84"/>
      <c r="M28" s="85"/>
    </row>
    <row r="29" spans="1:13">
      <c r="A29" s="406"/>
      <c r="B29" s="406"/>
      <c r="C29" s="406"/>
      <c r="D29" s="406"/>
      <c r="E29" s="406"/>
      <c r="F29" s="406"/>
      <c r="G29" s="406"/>
      <c r="H29" s="406"/>
      <c r="I29" s="406"/>
      <c r="J29" s="406"/>
      <c r="K29" s="406"/>
      <c r="L29" s="406"/>
      <c r="M29" s="406"/>
    </row>
    <row r="30" spans="1:13">
      <c r="A30" s="369"/>
      <c r="B30" s="369"/>
      <c r="C30" s="369"/>
      <c r="D30" s="369"/>
      <c r="E30" s="369"/>
      <c r="F30" s="369"/>
      <c r="G30" s="369"/>
      <c r="H30" s="369"/>
      <c r="I30" s="369"/>
      <c r="J30" s="369"/>
      <c r="K30" s="369"/>
      <c r="L30" s="369"/>
      <c r="M30" s="369"/>
    </row>
    <row r="67" spans="6:6">
      <c r="F67" s="3"/>
    </row>
  </sheetData>
  <mergeCells count="14">
    <mergeCell ref="A27:M27"/>
    <mergeCell ref="A29:M30"/>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4"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zoomScale="85" zoomScaleNormal="85" zoomScaleSheetLayoutView="115" workbookViewId="0">
      <selection activeCell="L26" sqref="L26"/>
    </sheetView>
  </sheetViews>
  <sheetFormatPr defaultRowHeight="14.25"/>
  <cols>
    <col min="1" max="1" width="14" style="3" customWidth="1"/>
    <col min="2"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Suffolk Energy from Waste Facility</v>
      </c>
      <c r="F1" s="92"/>
      <c r="G1" s="92"/>
    </row>
    <row r="3" spans="1:19" ht="15">
      <c r="A3" s="60" t="s">
        <v>399</v>
      </c>
      <c r="D3" s="76" t="s">
        <v>400</v>
      </c>
      <c r="G3" s="193" t="s">
        <v>401</v>
      </c>
      <c r="J3" s="9" t="str">
        <f>+A3</f>
        <v>Monitoring of Hydrogen Chloride emissions</v>
      </c>
      <c r="L3" s="9"/>
      <c r="N3" s="9" t="s">
        <v>402</v>
      </c>
      <c r="Q3" s="79" t="s">
        <v>3</v>
      </c>
      <c r="R3" s="74"/>
      <c r="S3" s="74"/>
    </row>
    <row r="4" spans="1:19" ht="13.9" customHeight="1">
      <c r="Q4" s="388" t="s">
        <v>403</v>
      </c>
      <c r="R4" s="388"/>
      <c r="S4" s="388"/>
    </row>
    <row r="5" spans="1:19" ht="17.25">
      <c r="A5" s="68" t="s">
        <v>404</v>
      </c>
      <c r="B5" s="414" t="s">
        <v>405</v>
      </c>
      <c r="C5" s="414"/>
      <c r="D5" s="414"/>
      <c r="E5" s="414" t="s">
        <v>406</v>
      </c>
      <c r="F5" s="414"/>
      <c r="G5" s="414"/>
      <c r="J5" s="413"/>
      <c r="K5" s="413"/>
      <c r="L5" s="413"/>
      <c r="M5" s="413"/>
      <c r="N5" s="413"/>
      <c r="O5" s="413"/>
      <c r="Q5" s="388"/>
      <c r="R5" s="388"/>
      <c r="S5" s="388"/>
    </row>
    <row r="6" spans="1:19" s="58" customFormat="1" ht="37.5" customHeight="1">
      <c r="A6" s="65">
        <f>+'Cover Page'!C39</f>
        <v>2022</v>
      </c>
      <c r="B6" s="55" t="s">
        <v>407</v>
      </c>
      <c r="C6" s="55" t="s">
        <v>408</v>
      </c>
      <c r="D6" s="55" t="s">
        <v>409</v>
      </c>
      <c r="E6" s="55" t="s">
        <v>410</v>
      </c>
      <c r="F6" s="55" t="s">
        <v>411</v>
      </c>
      <c r="G6" s="55" t="s">
        <v>412</v>
      </c>
      <c r="H6" s="59"/>
      <c r="J6" s="61">
        <f>+A6</f>
        <v>2022</v>
      </c>
      <c r="K6" s="61" t="s">
        <v>413</v>
      </c>
      <c r="L6" s="67" t="s">
        <v>408</v>
      </c>
      <c r="M6" s="67" t="s">
        <v>414</v>
      </c>
      <c r="N6" s="67" t="s">
        <v>411</v>
      </c>
      <c r="O6" s="67" t="s">
        <v>415</v>
      </c>
      <c r="Q6" s="388"/>
      <c r="R6" s="388"/>
      <c r="S6" s="388"/>
    </row>
    <row r="7" spans="1:19" ht="13.9" customHeight="1">
      <c r="A7" s="66" t="s">
        <v>416</v>
      </c>
      <c r="B7" s="63">
        <v>60</v>
      </c>
      <c r="C7" s="64">
        <f>+AVERAGE(L7,L22)</f>
        <v>2.4500000000000002</v>
      </c>
      <c r="D7" s="64">
        <f>+AVERAGE(M7,M22)</f>
        <v>8.0500000000000007</v>
      </c>
      <c r="E7" s="63">
        <v>10</v>
      </c>
      <c r="F7" s="64">
        <f>AVERAGE(N7,N22)</f>
        <v>2.4500000000000002</v>
      </c>
      <c r="G7" s="64">
        <f>AVERAGE(O7,O22)</f>
        <v>3.95</v>
      </c>
      <c r="J7" s="412" t="s">
        <v>194</v>
      </c>
      <c r="K7" s="66" t="s">
        <v>416</v>
      </c>
      <c r="L7" s="64">
        <v>2.7</v>
      </c>
      <c r="M7" s="64">
        <v>5.2</v>
      </c>
      <c r="N7" s="64">
        <v>2.7</v>
      </c>
      <c r="O7" s="64">
        <v>3.6</v>
      </c>
      <c r="Q7" s="388"/>
      <c r="R7" s="388"/>
      <c r="S7" s="388"/>
    </row>
    <row r="8" spans="1:19">
      <c r="A8" s="66" t="s">
        <v>417</v>
      </c>
      <c r="B8" s="63">
        <v>60</v>
      </c>
      <c r="C8" s="64">
        <f t="shared" ref="C8:D8" si="0">+AVERAGE(L8,L23)</f>
        <v>2.4</v>
      </c>
      <c r="D8" s="64">
        <f t="shared" si="0"/>
        <v>6.4499999999999993</v>
      </c>
      <c r="E8" s="63">
        <v>10</v>
      </c>
      <c r="F8" s="64">
        <f t="shared" ref="F8:G8" si="1">AVERAGE(N8,N23)</f>
        <v>2.4</v>
      </c>
      <c r="G8" s="64">
        <f t="shared" si="1"/>
        <v>4.0999999999999996</v>
      </c>
      <c r="J8" s="412"/>
      <c r="K8" s="66" t="s">
        <v>417</v>
      </c>
      <c r="L8" s="64">
        <v>2.4</v>
      </c>
      <c r="M8" s="64">
        <v>6.3</v>
      </c>
      <c r="N8" s="64">
        <v>2.4</v>
      </c>
      <c r="O8" s="64">
        <v>4</v>
      </c>
      <c r="Q8" s="388"/>
      <c r="R8" s="388"/>
      <c r="S8" s="388"/>
    </row>
    <row r="9" spans="1:19" ht="15">
      <c r="A9" s="66" t="s">
        <v>418</v>
      </c>
      <c r="B9" s="63">
        <v>60</v>
      </c>
      <c r="C9" s="64">
        <f t="shared" ref="C9:D9" si="2">+AVERAGE(L9,L24)</f>
        <v>3.25</v>
      </c>
      <c r="D9" s="64">
        <f t="shared" si="2"/>
        <v>9.8000000000000007</v>
      </c>
      <c r="E9" s="63">
        <v>10</v>
      </c>
      <c r="F9" s="64">
        <f t="shared" ref="F9:G9" si="3">AVERAGE(N9,N24)</f>
        <v>3.25</v>
      </c>
      <c r="G9" s="64">
        <f t="shared" si="3"/>
        <v>6.05</v>
      </c>
      <c r="J9" s="412"/>
      <c r="K9" s="66" t="s">
        <v>418</v>
      </c>
      <c r="L9" s="64">
        <v>3.5</v>
      </c>
      <c r="M9" s="64">
        <v>9.4</v>
      </c>
      <c r="N9" s="64">
        <v>3.5</v>
      </c>
      <c r="O9" s="64">
        <v>6.3</v>
      </c>
      <c r="Q9" s="78" t="s">
        <v>419</v>
      </c>
    </row>
    <row r="10" spans="1:19" ht="13.9" customHeight="1">
      <c r="A10" s="66" t="s">
        <v>420</v>
      </c>
      <c r="B10" s="63">
        <v>60</v>
      </c>
      <c r="C10" s="64">
        <f t="shared" ref="C10:D10" si="4">+AVERAGE(L10,L25)</f>
        <v>3.3</v>
      </c>
      <c r="D10" s="64">
        <f t="shared" si="4"/>
        <v>10.050000000000001</v>
      </c>
      <c r="E10" s="63">
        <v>10</v>
      </c>
      <c r="F10" s="64">
        <f t="shared" ref="F10:G10" si="5">AVERAGE(N10,N25)</f>
        <v>3.3</v>
      </c>
      <c r="G10" s="64">
        <f t="shared" si="5"/>
        <v>6.3</v>
      </c>
      <c r="J10" s="412"/>
      <c r="K10" s="66" t="s">
        <v>420</v>
      </c>
      <c r="L10" s="64">
        <v>3.9</v>
      </c>
      <c r="M10" s="64">
        <v>10.1</v>
      </c>
      <c r="N10" s="64">
        <v>3.9</v>
      </c>
      <c r="O10" s="64">
        <v>7.1</v>
      </c>
      <c r="Q10" s="411" t="s">
        <v>421</v>
      </c>
      <c r="R10" s="411"/>
      <c r="S10" s="411"/>
    </row>
    <row r="11" spans="1:19">
      <c r="A11" s="66" t="s">
        <v>422</v>
      </c>
      <c r="B11" s="63">
        <v>60</v>
      </c>
      <c r="C11" s="64">
        <f t="shared" ref="C11:D11" si="6">+AVERAGE(L11,L26)</f>
        <v>4</v>
      </c>
      <c r="D11" s="64">
        <f t="shared" si="6"/>
        <v>15.1</v>
      </c>
      <c r="E11" s="63">
        <v>10</v>
      </c>
      <c r="F11" s="64">
        <f t="shared" ref="F11:G11" si="7">AVERAGE(N11,N26)</f>
        <v>4</v>
      </c>
      <c r="G11" s="64">
        <f t="shared" si="7"/>
        <v>6.1</v>
      </c>
      <c r="J11" s="412"/>
      <c r="K11" s="66" t="s">
        <v>422</v>
      </c>
      <c r="L11" s="64">
        <v>3.1</v>
      </c>
      <c r="M11" s="64">
        <v>14.6</v>
      </c>
      <c r="N11" s="64">
        <v>3.1</v>
      </c>
      <c r="O11" s="64">
        <v>5.2</v>
      </c>
      <c r="Q11" s="411"/>
      <c r="R11" s="411"/>
      <c r="S11" s="411"/>
    </row>
    <row r="12" spans="1:19">
      <c r="A12" s="66" t="s">
        <v>423</v>
      </c>
      <c r="B12" s="63">
        <v>60</v>
      </c>
      <c r="C12" s="64">
        <f t="shared" ref="C12:D12" si="8">+AVERAGE(L12,L27)</f>
        <v>3.35</v>
      </c>
      <c r="D12" s="64">
        <f t="shared" si="8"/>
        <v>18.75</v>
      </c>
      <c r="E12" s="63">
        <v>10</v>
      </c>
      <c r="F12" s="64">
        <f t="shared" ref="F12:G12" si="9">AVERAGE(N12,N27)</f>
        <v>3.35</v>
      </c>
      <c r="G12" s="64">
        <f t="shared" si="9"/>
        <v>6.3000000000000007</v>
      </c>
      <c r="J12" s="412"/>
      <c r="K12" s="66" t="s">
        <v>423</v>
      </c>
      <c r="L12" s="64">
        <v>3.1</v>
      </c>
      <c r="M12" s="64">
        <v>22.6</v>
      </c>
      <c r="N12" s="64">
        <v>3.1</v>
      </c>
      <c r="O12" s="64">
        <v>6.4</v>
      </c>
      <c r="Q12" s="411"/>
      <c r="R12" s="411"/>
      <c r="S12" s="411"/>
    </row>
    <row r="13" spans="1:19" ht="13.9" customHeight="1">
      <c r="A13" s="66" t="s">
        <v>424</v>
      </c>
      <c r="B13" s="63">
        <v>60</v>
      </c>
      <c r="C13" s="64">
        <f t="shared" ref="C13:D13" si="10">+AVERAGE(L13,L28)</f>
        <v>5.15</v>
      </c>
      <c r="D13" s="64">
        <f t="shared" si="10"/>
        <v>28.45</v>
      </c>
      <c r="E13" s="63">
        <v>10</v>
      </c>
      <c r="F13" s="64">
        <f t="shared" ref="F13:G13" si="11">AVERAGE(N13,N28)</f>
        <v>5.15</v>
      </c>
      <c r="G13" s="64">
        <f t="shared" si="11"/>
        <v>7.3</v>
      </c>
      <c r="J13" s="412"/>
      <c r="K13" s="66" t="s">
        <v>424</v>
      </c>
      <c r="L13" s="64">
        <v>5.5</v>
      </c>
      <c r="M13" s="64">
        <v>33.5</v>
      </c>
      <c r="N13" s="64">
        <v>5.5</v>
      </c>
      <c r="O13" s="64">
        <v>8</v>
      </c>
      <c r="Q13" s="411" t="s">
        <v>425</v>
      </c>
      <c r="R13" s="411"/>
      <c r="S13" s="411"/>
    </row>
    <row r="14" spans="1:19">
      <c r="A14" s="66" t="s">
        <v>426</v>
      </c>
      <c r="B14" s="63">
        <v>60</v>
      </c>
      <c r="C14" s="64">
        <f t="shared" ref="C14:D14" si="12">+AVERAGE(L14,L29)</f>
        <v>4.6500000000000004</v>
      </c>
      <c r="D14" s="64">
        <f t="shared" si="12"/>
        <v>16.549999999999997</v>
      </c>
      <c r="E14" s="63">
        <v>10</v>
      </c>
      <c r="F14" s="64">
        <f t="shared" ref="F14:G14" si="13">AVERAGE(N14,N29)</f>
        <v>4.6500000000000004</v>
      </c>
      <c r="G14" s="64">
        <f t="shared" si="13"/>
        <v>6.7</v>
      </c>
      <c r="J14" s="412"/>
      <c r="K14" s="66" t="s">
        <v>426</v>
      </c>
      <c r="L14" s="64">
        <v>4.4000000000000004</v>
      </c>
      <c r="M14" s="64">
        <v>16.7</v>
      </c>
      <c r="N14" s="64">
        <v>4.4000000000000004</v>
      </c>
      <c r="O14" s="64">
        <v>6.7</v>
      </c>
      <c r="Q14" s="411"/>
      <c r="R14" s="411"/>
      <c r="S14" s="411"/>
    </row>
    <row r="15" spans="1:19">
      <c r="A15" s="66" t="s">
        <v>427</v>
      </c>
      <c r="B15" s="63">
        <v>60</v>
      </c>
      <c r="C15" s="64">
        <f t="shared" ref="C15:D15" si="14">+AVERAGE(L15,L30)</f>
        <v>4.8499999999999996</v>
      </c>
      <c r="D15" s="64">
        <f t="shared" si="14"/>
        <v>11.55</v>
      </c>
      <c r="E15" s="63">
        <v>10</v>
      </c>
      <c r="F15" s="64">
        <f t="shared" ref="F15:G15" si="15">AVERAGE(N15,N30)</f>
        <v>4.8499999999999996</v>
      </c>
      <c r="G15" s="64">
        <f t="shared" si="15"/>
        <v>6.7</v>
      </c>
      <c r="J15" s="412"/>
      <c r="K15" s="66" t="s">
        <v>427</v>
      </c>
      <c r="L15" s="64">
        <v>5</v>
      </c>
      <c r="M15" s="64">
        <v>14.3</v>
      </c>
      <c r="N15" s="64">
        <v>5</v>
      </c>
      <c r="O15" s="64">
        <v>6.9</v>
      </c>
      <c r="Q15" s="411"/>
      <c r="R15" s="411"/>
      <c r="S15" s="411"/>
    </row>
    <row r="16" spans="1:19">
      <c r="A16" s="66" t="s">
        <v>428</v>
      </c>
      <c r="B16" s="63">
        <v>60</v>
      </c>
      <c r="C16" s="103">
        <f t="shared" ref="C16:D16" si="16">+AVERAGE(L16,L31)</f>
        <v>3.2887096774193543</v>
      </c>
      <c r="D16" s="64">
        <f t="shared" si="16"/>
        <v>12.445</v>
      </c>
      <c r="E16" s="63">
        <v>10</v>
      </c>
      <c r="F16" s="103">
        <f t="shared" ref="F16:G16" si="17">AVERAGE(N16,N31)</f>
        <v>3.2887096774193543</v>
      </c>
      <c r="G16" s="64">
        <f t="shared" si="17"/>
        <v>5.665</v>
      </c>
      <c r="J16" s="412"/>
      <c r="K16" s="66" t="s">
        <v>428</v>
      </c>
      <c r="L16" s="101">
        <v>3.2119354838709673</v>
      </c>
      <c r="M16" s="101">
        <v>16.47</v>
      </c>
      <c r="N16" s="101">
        <v>3.2119354838709673</v>
      </c>
      <c r="O16" s="101">
        <v>5.28</v>
      </c>
      <c r="Q16" s="411"/>
      <c r="R16" s="411"/>
      <c r="S16" s="411"/>
    </row>
    <row r="17" spans="1:15">
      <c r="A17" s="66" t="s">
        <v>429</v>
      </c>
      <c r="B17" s="63">
        <v>60</v>
      </c>
      <c r="C17" s="103">
        <f t="shared" ref="C17:D17" si="18">+AVERAGE(L17,L32)</f>
        <v>4.5381666666666671</v>
      </c>
      <c r="D17" s="64">
        <f t="shared" si="18"/>
        <v>16.995000000000001</v>
      </c>
      <c r="E17" s="63">
        <v>10</v>
      </c>
      <c r="F17" s="103">
        <f t="shared" ref="F17:G17" si="19">AVERAGE(N17,N32)</f>
        <v>4.5381666666666671</v>
      </c>
      <c r="G17" s="64">
        <f t="shared" si="19"/>
        <v>7.0350000000000001</v>
      </c>
      <c r="J17" s="412"/>
      <c r="K17" s="66" t="s">
        <v>429</v>
      </c>
      <c r="L17" s="101">
        <v>4.4423333333333339</v>
      </c>
      <c r="M17" s="101">
        <v>12.53</v>
      </c>
      <c r="N17" s="101">
        <v>4.4423333333333339</v>
      </c>
      <c r="O17" s="101">
        <v>6.87</v>
      </c>
    </row>
    <row r="18" spans="1:15">
      <c r="A18" s="66" t="s">
        <v>430</v>
      </c>
      <c r="B18" s="63">
        <v>60</v>
      </c>
      <c r="C18" s="103">
        <f t="shared" ref="C18:D18" si="20">+AVERAGE(L18,L33)</f>
        <v>2.5599272486772486</v>
      </c>
      <c r="D18" s="64">
        <f t="shared" si="20"/>
        <v>13.68</v>
      </c>
      <c r="E18" s="63">
        <v>10</v>
      </c>
      <c r="F18" s="103">
        <f t="shared" ref="F18:G18" si="21">AVERAGE(N18,N33)</f>
        <v>2.5599272486772486</v>
      </c>
      <c r="G18" s="64">
        <f t="shared" si="21"/>
        <v>6.2850000000000001</v>
      </c>
      <c r="J18" s="412"/>
      <c r="K18" s="66" t="s">
        <v>430</v>
      </c>
      <c r="L18" s="101">
        <v>2.8659259259259255</v>
      </c>
      <c r="M18" s="101">
        <v>18.18</v>
      </c>
      <c r="N18" s="101">
        <v>2.8659259259259255</v>
      </c>
      <c r="O18" s="101">
        <v>6.36</v>
      </c>
    </row>
    <row r="19" spans="1:15">
      <c r="J19" s="412"/>
      <c r="K19" s="62" t="s">
        <v>431</v>
      </c>
      <c r="L19" s="102">
        <f>AVERAGE(L7:L18)</f>
        <v>3.676682895260853</v>
      </c>
      <c r="M19" s="62">
        <f>MAX(M7:M18)</f>
        <v>33.5</v>
      </c>
      <c r="N19" s="102">
        <f>AVERAGE(N7:N18)</f>
        <v>3.676682895260853</v>
      </c>
      <c r="O19" s="62">
        <f>MAX(O7:O18)</f>
        <v>8</v>
      </c>
    </row>
    <row r="21" spans="1:15" ht="30">
      <c r="J21" s="61">
        <f>+A6</f>
        <v>2022</v>
      </c>
      <c r="K21" s="61" t="s">
        <v>413</v>
      </c>
      <c r="L21" s="67" t="s">
        <v>408</v>
      </c>
      <c r="M21" s="67" t="s">
        <v>414</v>
      </c>
      <c r="N21" s="67" t="s">
        <v>411</v>
      </c>
      <c r="O21" s="67" t="s">
        <v>415</v>
      </c>
    </row>
    <row r="22" spans="1:15">
      <c r="J22" s="412" t="s">
        <v>195</v>
      </c>
      <c r="K22" s="66" t="s">
        <v>416</v>
      </c>
      <c r="L22" s="64">
        <v>2.2000000000000002</v>
      </c>
      <c r="M22" s="64">
        <v>10.9</v>
      </c>
      <c r="N22" s="64">
        <v>2.2000000000000002</v>
      </c>
      <c r="O22" s="64">
        <v>4.3</v>
      </c>
    </row>
    <row r="23" spans="1:15">
      <c r="J23" s="412"/>
      <c r="K23" s="66" t="s">
        <v>417</v>
      </c>
      <c r="L23" s="64">
        <v>2.4</v>
      </c>
      <c r="M23" s="64">
        <v>6.6</v>
      </c>
      <c r="N23" s="64">
        <v>2.4</v>
      </c>
      <c r="O23" s="64">
        <v>4.2</v>
      </c>
    </row>
    <row r="24" spans="1:15">
      <c r="J24" s="412"/>
      <c r="K24" s="66" t="s">
        <v>418</v>
      </c>
      <c r="L24" s="64">
        <v>3</v>
      </c>
      <c r="M24" s="64">
        <v>10.199999999999999</v>
      </c>
      <c r="N24" s="64">
        <v>3</v>
      </c>
      <c r="O24" s="64">
        <v>5.8</v>
      </c>
    </row>
    <row r="25" spans="1:15">
      <c r="J25" s="412"/>
      <c r="K25" s="66" t="s">
        <v>420</v>
      </c>
      <c r="L25" s="64">
        <v>2.7</v>
      </c>
      <c r="M25" s="64">
        <v>10</v>
      </c>
      <c r="N25" s="64">
        <v>2.7</v>
      </c>
      <c r="O25" s="64">
        <v>5.5</v>
      </c>
    </row>
    <row r="26" spans="1:15">
      <c r="J26" s="412"/>
      <c r="K26" s="66" t="s">
        <v>422</v>
      </c>
      <c r="L26" s="64">
        <v>4.9000000000000004</v>
      </c>
      <c r="M26" s="64">
        <v>15.6</v>
      </c>
      <c r="N26" s="64">
        <v>4.9000000000000004</v>
      </c>
      <c r="O26" s="64">
        <v>7</v>
      </c>
    </row>
    <row r="27" spans="1:15">
      <c r="J27" s="412"/>
      <c r="K27" s="66" t="s">
        <v>423</v>
      </c>
      <c r="L27" s="64">
        <v>3.6</v>
      </c>
      <c r="M27" s="64">
        <v>14.9</v>
      </c>
      <c r="N27" s="64">
        <v>3.6</v>
      </c>
      <c r="O27" s="64">
        <v>6.2</v>
      </c>
    </row>
    <row r="28" spans="1:15">
      <c r="J28" s="412"/>
      <c r="K28" s="66" t="s">
        <v>424</v>
      </c>
      <c r="L28" s="64">
        <v>4.8</v>
      </c>
      <c r="M28" s="64">
        <v>23.4</v>
      </c>
      <c r="N28" s="64">
        <v>4.8</v>
      </c>
      <c r="O28" s="64">
        <v>6.6</v>
      </c>
    </row>
    <row r="29" spans="1:15">
      <c r="H29" s="201"/>
      <c r="J29" s="412"/>
      <c r="K29" s="66" t="s">
        <v>426</v>
      </c>
      <c r="L29" s="64">
        <v>4.9000000000000004</v>
      </c>
      <c r="M29" s="64">
        <v>16.399999999999999</v>
      </c>
      <c r="N29" s="64">
        <v>4.9000000000000004</v>
      </c>
      <c r="O29" s="64">
        <v>6.7</v>
      </c>
    </row>
    <row r="30" spans="1:15">
      <c r="J30" s="412"/>
      <c r="K30" s="66" t="s">
        <v>427</v>
      </c>
      <c r="L30" s="64">
        <v>4.7</v>
      </c>
      <c r="M30" s="64">
        <v>8.8000000000000007</v>
      </c>
      <c r="N30" s="64">
        <v>4.7</v>
      </c>
      <c r="O30" s="64">
        <v>6.5</v>
      </c>
    </row>
    <row r="31" spans="1:15">
      <c r="J31" s="412"/>
      <c r="K31" s="66" t="s">
        <v>428</v>
      </c>
      <c r="L31" s="101">
        <v>3.3654838709677417</v>
      </c>
      <c r="M31" s="101">
        <v>8.42</v>
      </c>
      <c r="N31" s="101">
        <v>3.3654838709677417</v>
      </c>
      <c r="O31" s="101">
        <v>6.05</v>
      </c>
    </row>
    <row r="32" spans="1:15">
      <c r="J32" s="412"/>
      <c r="K32" s="66" t="s">
        <v>429</v>
      </c>
      <c r="L32" s="101">
        <v>4.6339999999999995</v>
      </c>
      <c r="M32" s="101">
        <v>21.46</v>
      </c>
      <c r="N32" s="101">
        <v>4.6339999999999995</v>
      </c>
      <c r="O32" s="101">
        <v>7.2</v>
      </c>
    </row>
    <row r="33" spans="1:15">
      <c r="J33" s="412"/>
      <c r="K33" s="66" t="s">
        <v>430</v>
      </c>
      <c r="L33" s="101">
        <v>2.2539285714285713</v>
      </c>
      <c r="M33" s="101">
        <v>9.18</v>
      </c>
      <c r="N33" s="101">
        <v>2.2539285714285713</v>
      </c>
      <c r="O33" s="101">
        <v>6.21</v>
      </c>
    </row>
    <row r="34" spans="1:15">
      <c r="J34" s="412"/>
      <c r="K34" s="62" t="s">
        <v>431</v>
      </c>
      <c r="L34" s="102">
        <f>AVERAGE(L22:L33)</f>
        <v>3.6211177035330269</v>
      </c>
      <c r="M34" s="62">
        <f>MAX(M22:M33)</f>
        <v>23.4</v>
      </c>
      <c r="N34" s="102">
        <f>AVERAGE(N22:N33)</f>
        <v>3.6211177035330269</v>
      </c>
      <c r="O34" s="62">
        <f>MAX(O22:O33)</f>
        <v>7.2</v>
      </c>
    </row>
    <row r="36" spans="1:15" ht="30">
      <c r="J36" s="61">
        <f>+A6</f>
        <v>2022</v>
      </c>
      <c r="K36" s="61" t="s">
        <v>413</v>
      </c>
      <c r="L36" s="67" t="s">
        <v>408</v>
      </c>
      <c r="M36" s="67" t="s">
        <v>414</v>
      </c>
      <c r="N36" s="67" t="s">
        <v>411</v>
      </c>
      <c r="O36" s="67" t="s">
        <v>415</v>
      </c>
    </row>
    <row r="37" spans="1:15">
      <c r="J37" s="412" t="s">
        <v>196</v>
      </c>
      <c r="K37" s="66" t="s">
        <v>416</v>
      </c>
      <c r="L37" s="64"/>
      <c r="M37" s="64"/>
      <c r="N37" s="64"/>
      <c r="O37" s="64"/>
    </row>
    <row r="38" spans="1:15">
      <c r="J38" s="412"/>
      <c r="K38" s="66" t="s">
        <v>417</v>
      </c>
      <c r="L38" s="64"/>
      <c r="M38" s="64"/>
      <c r="N38" s="64"/>
      <c r="O38" s="64"/>
    </row>
    <row r="39" spans="1:15">
      <c r="J39" s="412"/>
      <c r="K39" s="66" t="s">
        <v>418</v>
      </c>
      <c r="L39" s="64"/>
      <c r="M39" s="64"/>
      <c r="N39" s="64"/>
      <c r="O39" s="64"/>
    </row>
    <row r="40" spans="1:15">
      <c r="J40" s="412"/>
      <c r="K40" s="66" t="s">
        <v>420</v>
      </c>
      <c r="L40" s="64"/>
      <c r="M40" s="64"/>
      <c r="N40" s="64"/>
      <c r="O40" s="64"/>
    </row>
    <row r="41" spans="1:15">
      <c r="J41" s="412"/>
      <c r="K41" s="66" t="s">
        <v>422</v>
      </c>
      <c r="L41" s="64"/>
      <c r="M41" s="64"/>
      <c r="N41" s="64"/>
      <c r="O41" s="64"/>
    </row>
    <row r="42" spans="1:15">
      <c r="J42" s="412"/>
      <c r="K42" s="66" t="s">
        <v>423</v>
      </c>
      <c r="L42" s="64"/>
      <c r="M42" s="64"/>
      <c r="N42" s="64"/>
      <c r="O42" s="64"/>
    </row>
    <row r="43" spans="1:15">
      <c r="J43" s="412"/>
      <c r="K43" s="66" t="s">
        <v>424</v>
      </c>
      <c r="L43" s="64"/>
      <c r="M43" s="64"/>
      <c r="N43" s="64"/>
      <c r="O43" s="64"/>
    </row>
    <row r="44" spans="1:15">
      <c r="J44" s="412"/>
      <c r="K44" s="66" t="s">
        <v>426</v>
      </c>
      <c r="L44" s="64"/>
      <c r="M44" s="64"/>
      <c r="N44" s="64"/>
      <c r="O44" s="64"/>
    </row>
    <row r="45" spans="1:15">
      <c r="J45" s="412"/>
      <c r="K45" s="66" t="s">
        <v>427</v>
      </c>
      <c r="L45" s="64"/>
      <c r="M45" s="64"/>
      <c r="N45" s="64"/>
      <c r="O45" s="64"/>
    </row>
    <row r="46" spans="1:15">
      <c r="J46" s="412"/>
      <c r="K46" s="66" t="s">
        <v>428</v>
      </c>
      <c r="L46" s="64"/>
      <c r="M46" s="64"/>
      <c r="N46" s="64"/>
      <c r="O46" s="64"/>
    </row>
    <row r="47" spans="1:15">
      <c r="J47" s="412"/>
      <c r="K47" s="66" t="s">
        <v>429</v>
      </c>
      <c r="L47" s="64"/>
      <c r="M47" s="64"/>
      <c r="N47" s="64"/>
      <c r="O47" s="64"/>
    </row>
    <row r="48" spans="1:15" ht="15">
      <c r="A48" s="424" t="s">
        <v>324</v>
      </c>
      <c r="B48" s="425"/>
      <c r="C48" s="425"/>
      <c r="D48" s="425"/>
      <c r="E48" s="425"/>
      <c r="F48" s="425"/>
      <c r="G48" s="426"/>
      <c r="J48" s="412"/>
      <c r="K48" s="66" t="s">
        <v>430</v>
      </c>
      <c r="L48" s="64"/>
      <c r="M48" s="64"/>
      <c r="N48" s="64"/>
      <c r="O48" s="64"/>
    </row>
    <row r="49" spans="1:15">
      <c r="A49" s="415"/>
      <c r="B49" s="416"/>
      <c r="C49" s="416"/>
      <c r="D49" s="416"/>
      <c r="E49" s="416"/>
      <c r="F49" s="416"/>
      <c r="G49" s="417"/>
      <c r="J49" s="412"/>
      <c r="K49" s="62" t="s">
        <v>431</v>
      </c>
      <c r="L49" s="62" t="e">
        <f>AVERAGE(L37:L48)</f>
        <v>#DIV/0!</v>
      </c>
      <c r="M49" s="62">
        <f>MAX(M37:M48)</f>
        <v>0</v>
      </c>
      <c r="N49" s="62" t="e">
        <f>AVERAGE(N37:N48)</f>
        <v>#DIV/0!</v>
      </c>
      <c r="O49" s="62">
        <f>MAX(O37:O48)</f>
        <v>0</v>
      </c>
    </row>
    <row r="50" spans="1:15">
      <c r="A50" s="418"/>
      <c r="B50" s="419"/>
      <c r="C50" s="419"/>
      <c r="D50" s="419"/>
      <c r="E50" s="419"/>
      <c r="F50" s="419"/>
      <c r="G50" s="420"/>
    </row>
    <row r="51" spans="1:15" ht="30">
      <c r="A51" s="418"/>
      <c r="B51" s="419"/>
      <c r="C51" s="419"/>
      <c r="D51" s="419"/>
      <c r="E51" s="419"/>
      <c r="F51" s="419"/>
      <c r="G51" s="420"/>
      <c r="J51" s="61">
        <f>+A6</f>
        <v>2022</v>
      </c>
      <c r="K51" s="61" t="s">
        <v>413</v>
      </c>
      <c r="L51" s="67" t="s">
        <v>408</v>
      </c>
      <c r="M51" s="67" t="s">
        <v>414</v>
      </c>
      <c r="N51" s="67" t="s">
        <v>411</v>
      </c>
      <c r="O51" s="67" t="s">
        <v>415</v>
      </c>
    </row>
    <row r="52" spans="1:15">
      <c r="A52" s="421"/>
      <c r="B52" s="422"/>
      <c r="C52" s="422"/>
      <c r="D52" s="422"/>
      <c r="E52" s="422"/>
      <c r="F52" s="422"/>
      <c r="G52" s="423"/>
      <c r="J52" s="412" t="s">
        <v>197</v>
      </c>
      <c r="K52" s="66" t="s">
        <v>416</v>
      </c>
      <c r="L52" s="64"/>
      <c r="M52" s="64"/>
      <c r="N52" s="64"/>
      <c r="O52" s="64"/>
    </row>
    <row r="53" spans="1:15">
      <c r="J53" s="412"/>
      <c r="K53" s="66" t="s">
        <v>417</v>
      </c>
      <c r="L53" s="64"/>
      <c r="M53" s="64"/>
      <c r="N53" s="64"/>
      <c r="O53" s="64"/>
    </row>
    <row r="54" spans="1:15">
      <c r="J54" s="412"/>
      <c r="K54" s="66" t="s">
        <v>418</v>
      </c>
      <c r="L54" s="64"/>
      <c r="M54" s="64"/>
      <c r="N54" s="64"/>
      <c r="O54" s="64"/>
    </row>
    <row r="55" spans="1:15">
      <c r="J55" s="412"/>
      <c r="K55" s="66" t="s">
        <v>420</v>
      </c>
      <c r="L55" s="64"/>
      <c r="M55" s="64"/>
      <c r="N55" s="64"/>
      <c r="O55" s="64"/>
    </row>
    <row r="56" spans="1:15">
      <c r="J56" s="412"/>
      <c r="K56" s="66" t="s">
        <v>422</v>
      </c>
      <c r="L56" s="64"/>
      <c r="M56" s="64"/>
      <c r="N56" s="64"/>
      <c r="O56" s="64"/>
    </row>
    <row r="57" spans="1:15">
      <c r="J57" s="412"/>
      <c r="K57" s="66" t="s">
        <v>423</v>
      </c>
      <c r="L57" s="64"/>
      <c r="M57" s="64"/>
      <c r="N57" s="64"/>
      <c r="O57" s="64"/>
    </row>
    <row r="58" spans="1:15">
      <c r="J58" s="412"/>
      <c r="K58" s="66" t="s">
        <v>424</v>
      </c>
      <c r="L58" s="64"/>
      <c r="M58" s="64"/>
      <c r="N58" s="64"/>
      <c r="O58" s="64"/>
    </row>
    <row r="59" spans="1:15">
      <c r="J59" s="412"/>
      <c r="K59" s="66" t="s">
        <v>426</v>
      </c>
      <c r="L59" s="64"/>
      <c r="M59" s="64"/>
      <c r="N59" s="64"/>
      <c r="O59" s="64"/>
    </row>
    <row r="60" spans="1:15">
      <c r="J60" s="412"/>
      <c r="K60" s="66" t="s">
        <v>427</v>
      </c>
      <c r="L60" s="64"/>
      <c r="M60" s="64"/>
      <c r="N60" s="64"/>
      <c r="O60" s="64"/>
    </row>
    <row r="61" spans="1:15">
      <c r="J61" s="412"/>
      <c r="K61" s="66" t="s">
        <v>428</v>
      </c>
      <c r="L61" s="64"/>
      <c r="M61" s="64"/>
      <c r="N61" s="64"/>
      <c r="O61" s="64"/>
    </row>
    <row r="62" spans="1:15">
      <c r="J62" s="412"/>
      <c r="K62" s="66" t="s">
        <v>429</v>
      </c>
      <c r="L62" s="64"/>
      <c r="M62" s="64"/>
      <c r="N62" s="64"/>
      <c r="O62" s="64"/>
    </row>
    <row r="63" spans="1:15">
      <c r="J63" s="412"/>
      <c r="K63" s="66" t="s">
        <v>430</v>
      </c>
      <c r="L63" s="64"/>
      <c r="M63" s="64"/>
      <c r="N63" s="64"/>
      <c r="O63" s="64"/>
    </row>
    <row r="64" spans="1:15">
      <c r="J64" s="412"/>
      <c r="K64" s="62" t="s">
        <v>431</v>
      </c>
      <c r="L64" s="62" t="e">
        <f>AVERAGE(L52:L63)</f>
        <v>#DIV/0!</v>
      </c>
      <c r="M64" s="62">
        <f>MAX(M52:M63)</f>
        <v>0</v>
      </c>
      <c r="N64" s="62" t="e">
        <f>AVERAGE(N52:N63)</f>
        <v>#DIV/0!</v>
      </c>
      <c r="O64" s="62">
        <f>MAX(O52:O63)</f>
        <v>0</v>
      </c>
    </row>
    <row r="66" spans="10:15" ht="30">
      <c r="J66" s="61">
        <f>+A6</f>
        <v>2022</v>
      </c>
      <c r="K66" s="61" t="s">
        <v>413</v>
      </c>
      <c r="L66" s="67" t="s">
        <v>408</v>
      </c>
      <c r="M66" s="67" t="s">
        <v>414</v>
      </c>
      <c r="N66" s="67" t="s">
        <v>411</v>
      </c>
      <c r="O66" s="67" t="s">
        <v>415</v>
      </c>
    </row>
    <row r="67" spans="10:15">
      <c r="J67" s="412" t="s">
        <v>198</v>
      </c>
      <c r="K67" s="66" t="s">
        <v>416</v>
      </c>
      <c r="L67" s="64"/>
      <c r="M67" s="64"/>
      <c r="N67" s="64"/>
      <c r="O67" s="64"/>
    </row>
    <row r="68" spans="10:15">
      <c r="J68" s="412"/>
      <c r="K68" s="66" t="s">
        <v>417</v>
      </c>
      <c r="L68" s="64"/>
      <c r="M68" s="64"/>
      <c r="N68" s="64"/>
      <c r="O68" s="64"/>
    </row>
    <row r="69" spans="10:15">
      <c r="J69" s="412"/>
      <c r="K69" s="66" t="s">
        <v>418</v>
      </c>
      <c r="L69" s="64"/>
      <c r="M69" s="64"/>
      <c r="N69" s="64"/>
      <c r="O69" s="64"/>
    </row>
    <row r="70" spans="10:15">
      <c r="J70" s="412"/>
      <c r="K70" s="66" t="s">
        <v>420</v>
      </c>
      <c r="L70" s="64"/>
      <c r="M70" s="64"/>
      <c r="N70" s="64"/>
      <c r="O70" s="64"/>
    </row>
    <row r="71" spans="10:15">
      <c r="J71" s="412"/>
      <c r="K71" s="66" t="s">
        <v>422</v>
      </c>
      <c r="L71" s="64"/>
      <c r="M71" s="64"/>
      <c r="N71" s="64"/>
      <c r="O71" s="64"/>
    </row>
    <row r="72" spans="10:15">
      <c r="J72" s="412"/>
      <c r="K72" s="66" t="s">
        <v>423</v>
      </c>
      <c r="L72" s="64"/>
      <c r="M72" s="64"/>
      <c r="N72" s="64"/>
      <c r="O72" s="64"/>
    </row>
    <row r="73" spans="10:15">
      <c r="J73" s="412"/>
      <c r="K73" s="66" t="s">
        <v>424</v>
      </c>
      <c r="L73" s="64"/>
      <c r="M73" s="64"/>
      <c r="N73" s="64"/>
      <c r="O73" s="64"/>
    </row>
    <row r="74" spans="10:15">
      <c r="J74" s="412"/>
      <c r="K74" s="66" t="s">
        <v>426</v>
      </c>
      <c r="L74" s="64"/>
      <c r="M74" s="64"/>
      <c r="N74" s="64"/>
      <c r="O74" s="64"/>
    </row>
    <row r="75" spans="10:15">
      <c r="J75" s="412"/>
      <c r="K75" s="66" t="s">
        <v>427</v>
      </c>
      <c r="L75" s="64"/>
      <c r="M75" s="64"/>
      <c r="N75" s="64"/>
      <c r="O75" s="64"/>
    </row>
    <row r="76" spans="10:15">
      <c r="J76" s="412"/>
      <c r="K76" s="66" t="s">
        <v>428</v>
      </c>
      <c r="L76" s="64"/>
      <c r="M76" s="64"/>
      <c r="N76" s="64"/>
      <c r="O76" s="64"/>
    </row>
    <row r="77" spans="10:15">
      <c r="J77" s="412"/>
      <c r="K77" s="66" t="s">
        <v>429</v>
      </c>
      <c r="L77" s="64"/>
      <c r="M77" s="64"/>
      <c r="N77" s="64"/>
      <c r="O77" s="64"/>
    </row>
    <row r="78" spans="10:15">
      <c r="J78" s="412"/>
      <c r="K78" s="66" t="s">
        <v>430</v>
      </c>
      <c r="L78" s="64"/>
      <c r="M78" s="64"/>
      <c r="N78" s="64"/>
      <c r="O78" s="64"/>
    </row>
    <row r="79" spans="10:15">
      <c r="J79" s="412"/>
      <c r="K79" s="62" t="s">
        <v>431</v>
      </c>
      <c r="L79" s="62" t="e">
        <f>AVERAGE(L67:L78)</f>
        <v>#DIV/0!</v>
      </c>
      <c r="M79" s="62">
        <f>MAX(M67:M78)</f>
        <v>0</v>
      </c>
      <c r="N79" s="62" t="e">
        <f>AVERAGE(N67:N78)</f>
        <v>#DIV/0!</v>
      </c>
      <c r="O79" s="62">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zoomScale="85" zoomScaleNormal="85" zoomScaleSheetLayoutView="100" workbookViewId="0">
      <selection activeCell="L26" sqref="L26"/>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Suffolk Energy from Waste Facility</v>
      </c>
      <c r="F1" s="92"/>
      <c r="G1" s="92"/>
    </row>
    <row r="3" spans="1:19" ht="15">
      <c r="A3" s="60" t="s">
        <v>432</v>
      </c>
      <c r="D3" s="76" t="s">
        <v>400</v>
      </c>
      <c r="G3" s="193" t="s">
        <v>401</v>
      </c>
      <c r="J3" s="9" t="str">
        <f>+A3</f>
        <v>Monitoring of Sulphur dioxide emissions</v>
      </c>
      <c r="L3" s="9"/>
      <c r="N3" s="9" t="s">
        <v>402</v>
      </c>
      <c r="Q3" s="79" t="s">
        <v>3</v>
      </c>
      <c r="R3" s="74"/>
      <c r="S3" s="74"/>
    </row>
    <row r="4" spans="1:19" ht="13.9" customHeight="1">
      <c r="Q4" s="388" t="s">
        <v>403</v>
      </c>
      <c r="R4" s="388"/>
      <c r="S4" s="388"/>
    </row>
    <row r="5" spans="1:19" ht="17.25">
      <c r="A5" s="68" t="s">
        <v>404</v>
      </c>
      <c r="B5" s="414" t="s">
        <v>405</v>
      </c>
      <c r="C5" s="414"/>
      <c r="D5" s="414"/>
      <c r="E5" s="414" t="s">
        <v>406</v>
      </c>
      <c r="F5" s="414"/>
      <c r="G5" s="414"/>
      <c r="J5" s="413"/>
      <c r="K5" s="413"/>
      <c r="L5" s="413"/>
      <c r="M5" s="413"/>
      <c r="N5" s="413"/>
      <c r="O5" s="413"/>
      <c r="Q5" s="388"/>
      <c r="R5" s="388"/>
      <c r="S5" s="388"/>
    </row>
    <row r="6" spans="1:19" s="58" customFormat="1" ht="37.5" customHeight="1">
      <c r="A6" s="65">
        <f>+'Cover Page'!C39</f>
        <v>2022</v>
      </c>
      <c r="B6" s="55" t="s">
        <v>433</v>
      </c>
      <c r="C6" s="55" t="s">
        <v>408</v>
      </c>
      <c r="D6" s="55" t="s">
        <v>409</v>
      </c>
      <c r="E6" s="55" t="s">
        <v>434</v>
      </c>
      <c r="F6" s="55" t="s">
        <v>411</v>
      </c>
      <c r="G6" s="55" t="s">
        <v>412</v>
      </c>
      <c r="H6" s="59"/>
      <c r="J6" s="61">
        <f>+A6</f>
        <v>2022</v>
      </c>
      <c r="K6" s="61" t="s">
        <v>413</v>
      </c>
      <c r="L6" s="67" t="s">
        <v>408</v>
      </c>
      <c r="M6" s="67" t="s">
        <v>414</v>
      </c>
      <c r="N6" s="67" t="s">
        <v>411</v>
      </c>
      <c r="O6" s="67" t="s">
        <v>415</v>
      </c>
      <c r="Q6" s="388"/>
      <c r="R6" s="388"/>
      <c r="S6" s="388"/>
    </row>
    <row r="7" spans="1:19">
      <c r="A7" s="66" t="s">
        <v>416</v>
      </c>
      <c r="B7" s="63">
        <v>200</v>
      </c>
      <c r="C7" s="64">
        <f>AVERAGE(L7,L22)</f>
        <v>34.200000000000003</v>
      </c>
      <c r="D7" s="64">
        <f>AVERAGE(M7,M22)</f>
        <v>309.64999999999998</v>
      </c>
      <c r="E7" s="63">
        <v>50</v>
      </c>
      <c r="F7" s="64">
        <f>AVERAGE(N7,N22)</f>
        <v>34.200000000000003</v>
      </c>
      <c r="G7" s="64">
        <f>AVERAGE(O7,O22)</f>
        <v>41.6</v>
      </c>
      <c r="J7" s="412" t="s">
        <v>194</v>
      </c>
      <c r="K7" s="66" t="s">
        <v>416</v>
      </c>
      <c r="L7" s="64">
        <v>37.5</v>
      </c>
      <c r="M7" s="64">
        <v>154.4</v>
      </c>
      <c r="N7" s="64">
        <v>37.5</v>
      </c>
      <c r="O7" s="64">
        <v>42.2</v>
      </c>
      <c r="Q7" s="388"/>
      <c r="R7" s="388"/>
      <c r="S7" s="388"/>
    </row>
    <row r="8" spans="1:19">
      <c r="A8" s="66" t="s">
        <v>417</v>
      </c>
      <c r="B8" s="63">
        <v>200</v>
      </c>
      <c r="C8" s="64">
        <f t="shared" ref="C8:D8" si="0">AVERAGE(L8,L23)</f>
        <v>35.099999999999994</v>
      </c>
      <c r="D8" s="64">
        <f t="shared" si="0"/>
        <v>146.35</v>
      </c>
      <c r="E8" s="63">
        <v>50</v>
      </c>
      <c r="F8" s="64">
        <f t="shared" ref="F8:G8" si="1">AVERAGE(N8,N23)</f>
        <v>35.099999999999994</v>
      </c>
      <c r="G8" s="64">
        <f t="shared" si="1"/>
        <v>40.35</v>
      </c>
      <c r="J8" s="412"/>
      <c r="K8" s="66" t="s">
        <v>417</v>
      </c>
      <c r="L8" s="64">
        <v>36.799999999999997</v>
      </c>
      <c r="M8" s="64">
        <v>204.7</v>
      </c>
      <c r="N8" s="64">
        <v>36.799999999999997</v>
      </c>
      <c r="O8" s="64">
        <v>42.1</v>
      </c>
      <c r="Q8" s="388"/>
      <c r="R8" s="388"/>
      <c r="S8" s="388"/>
    </row>
    <row r="9" spans="1:19" ht="15">
      <c r="A9" s="66" t="s">
        <v>418</v>
      </c>
      <c r="B9" s="63">
        <v>200</v>
      </c>
      <c r="C9" s="64">
        <f t="shared" ref="C9:D9" si="2">AVERAGE(L9,L24)</f>
        <v>31.55</v>
      </c>
      <c r="D9" s="64">
        <f t="shared" si="2"/>
        <v>129.64999999999998</v>
      </c>
      <c r="E9" s="63">
        <v>50</v>
      </c>
      <c r="F9" s="64">
        <f t="shared" ref="F9:G9" si="3">AVERAGE(N9,N24)</f>
        <v>31.55</v>
      </c>
      <c r="G9" s="64">
        <f t="shared" si="3"/>
        <v>40.1</v>
      </c>
      <c r="J9" s="412"/>
      <c r="K9" s="66" t="s">
        <v>418</v>
      </c>
      <c r="L9" s="64">
        <v>33.200000000000003</v>
      </c>
      <c r="M9" s="64">
        <v>151.69999999999999</v>
      </c>
      <c r="N9" s="64">
        <v>33.200000000000003</v>
      </c>
      <c r="O9" s="64">
        <v>40.700000000000003</v>
      </c>
      <c r="Q9" s="78" t="s">
        <v>419</v>
      </c>
    </row>
    <row r="10" spans="1:19" ht="14.25" customHeight="1">
      <c r="A10" s="66" t="s">
        <v>420</v>
      </c>
      <c r="B10" s="63">
        <v>200</v>
      </c>
      <c r="C10" s="64">
        <f t="shared" ref="C10:D10" si="4">AVERAGE(L10,L25)</f>
        <v>29.75</v>
      </c>
      <c r="D10" s="64">
        <f t="shared" si="4"/>
        <v>85.95</v>
      </c>
      <c r="E10" s="63">
        <v>50</v>
      </c>
      <c r="F10" s="64">
        <f t="shared" ref="F10:G10" si="5">AVERAGE(N10,N25)</f>
        <v>29.75</v>
      </c>
      <c r="G10" s="64">
        <f t="shared" si="5"/>
        <v>38.15</v>
      </c>
      <c r="J10" s="412"/>
      <c r="K10" s="66" t="s">
        <v>420</v>
      </c>
      <c r="L10" s="64">
        <v>28.4</v>
      </c>
      <c r="M10" s="64">
        <v>66.900000000000006</v>
      </c>
      <c r="N10" s="64">
        <v>28.4</v>
      </c>
      <c r="O10" s="64">
        <v>39</v>
      </c>
      <c r="Q10" s="411" t="s">
        <v>421</v>
      </c>
      <c r="R10" s="411"/>
      <c r="S10" s="411"/>
    </row>
    <row r="11" spans="1:19">
      <c r="A11" s="66" t="s">
        <v>422</v>
      </c>
      <c r="B11" s="63">
        <v>200</v>
      </c>
      <c r="C11" s="64">
        <f t="shared" ref="C11:D11" si="6">AVERAGE(L11,L26)</f>
        <v>31.799999999999997</v>
      </c>
      <c r="D11" s="64">
        <f t="shared" si="6"/>
        <v>89.300000000000011</v>
      </c>
      <c r="E11" s="63">
        <v>50</v>
      </c>
      <c r="F11" s="64">
        <f t="shared" ref="F11:G11" si="7">AVERAGE(N11,N26)</f>
        <v>31.799999999999997</v>
      </c>
      <c r="G11" s="64">
        <f t="shared" si="7"/>
        <v>35.299999999999997</v>
      </c>
      <c r="J11" s="412"/>
      <c r="K11" s="66" t="s">
        <v>422</v>
      </c>
      <c r="L11" s="64">
        <v>36.9</v>
      </c>
      <c r="M11" s="64">
        <v>102.4</v>
      </c>
      <c r="N11" s="64">
        <v>36.9</v>
      </c>
      <c r="O11" s="64">
        <v>40</v>
      </c>
      <c r="Q11" s="411"/>
      <c r="R11" s="411"/>
      <c r="S11" s="411"/>
    </row>
    <row r="12" spans="1:19">
      <c r="A12" s="66" t="s">
        <v>423</v>
      </c>
      <c r="B12" s="63">
        <v>200</v>
      </c>
      <c r="C12" s="64">
        <f t="shared" ref="C12:D12" si="8">AVERAGE(L12,L27)</f>
        <v>33.049999999999997</v>
      </c>
      <c r="D12" s="64">
        <f t="shared" si="8"/>
        <v>125.5</v>
      </c>
      <c r="E12" s="63">
        <v>50</v>
      </c>
      <c r="F12" s="64">
        <f t="shared" ref="F12:G12" si="9">AVERAGE(N12,N27)</f>
        <v>33.049999999999997</v>
      </c>
      <c r="G12" s="64">
        <f t="shared" si="9"/>
        <v>42</v>
      </c>
      <c r="J12" s="412"/>
      <c r="K12" s="66" t="s">
        <v>423</v>
      </c>
      <c r="L12" s="64">
        <v>32.9</v>
      </c>
      <c r="M12" s="64">
        <v>124.4</v>
      </c>
      <c r="N12" s="64">
        <v>32.9</v>
      </c>
      <c r="O12" s="64">
        <v>38.5</v>
      </c>
      <c r="Q12" s="411"/>
      <c r="R12" s="411"/>
      <c r="S12" s="411"/>
    </row>
    <row r="13" spans="1:19" ht="14.25" customHeight="1">
      <c r="A13" s="66" t="s">
        <v>424</v>
      </c>
      <c r="B13" s="63">
        <v>200</v>
      </c>
      <c r="C13" s="64">
        <f t="shared" ref="C13:D13" si="10">AVERAGE(L13,L28)</f>
        <v>29.5</v>
      </c>
      <c r="D13" s="64">
        <f t="shared" si="10"/>
        <v>129.44999999999999</v>
      </c>
      <c r="E13" s="63">
        <v>50</v>
      </c>
      <c r="F13" s="64">
        <f t="shared" ref="F13:G13" si="11">AVERAGE(N13,N28)</f>
        <v>29.5</v>
      </c>
      <c r="G13" s="64">
        <f t="shared" si="11"/>
        <v>38.1</v>
      </c>
      <c r="J13" s="412"/>
      <c r="K13" s="66" t="s">
        <v>424</v>
      </c>
      <c r="L13" s="64">
        <v>30.2</v>
      </c>
      <c r="M13" s="64">
        <v>114.3</v>
      </c>
      <c r="N13" s="64">
        <v>30.2</v>
      </c>
      <c r="O13" s="64">
        <v>39.1</v>
      </c>
      <c r="Q13" s="411" t="s">
        <v>425</v>
      </c>
      <c r="R13" s="411"/>
      <c r="S13" s="411"/>
    </row>
    <row r="14" spans="1:19">
      <c r="A14" s="66" t="s">
        <v>426</v>
      </c>
      <c r="B14" s="63">
        <v>200</v>
      </c>
      <c r="C14" s="64">
        <f t="shared" ref="C14:D14" si="12">AVERAGE(L14,L29)</f>
        <v>26.2</v>
      </c>
      <c r="D14" s="64">
        <f t="shared" si="12"/>
        <v>66.25</v>
      </c>
      <c r="E14" s="63">
        <v>50</v>
      </c>
      <c r="F14" s="64">
        <f t="shared" ref="F14:G14" si="13">AVERAGE(N14,N29)</f>
        <v>26.2</v>
      </c>
      <c r="G14" s="64">
        <f t="shared" si="13"/>
        <v>35.049999999999997</v>
      </c>
      <c r="J14" s="412"/>
      <c r="K14" s="66" t="s">
        <v>426</v>
      </c>
      <c r="L14" s="64">
        <v>27.5</v>
      </c>
      <c r="M14" s="64">
        <v>72.400000000000006</v>
      </c>
      <c r="N14" s="64">
        <v>27.5</v>
      </c>
      <c r="O14" s="64">
        <v>39.700000000000003</v>
      </c>
      <c r="Q14" s="411"/>
      <c r="R14" s="411"/>
      <c r="S14" s="411"/>
    </row>
    <row r="15" spans="1:19">
      <c r="A15" s="66" t="s">
        <v>427</v>
      </c>
      <c r="B15" s="63">
        <v>200</v>
      </c>
      <c r="C15" s="64">
        <f t="shared" ref="C15:D15" si="14">AVERAGE(L15,L30)</f>
        <v>30.65</v>
      </c>
      <c r="D15" s="64">
        <f t="shared" si="14"/>
        <v>75.349999999999994</v>
      </c>
      <c r="E15" s="63">
        <v>50</v>
      </c>
      <c r="F15" s="64">
        <f t="shared" ref="F15:G15" si="15">AVERAGE(N15,N30)</f>
        <v>30.65</v>
      </c>
      <c r="G15" s="64">
        <f t="shared" si="15"/>
        <v>38.950000000000003</v>
      </c>
      <c r="J15" s="412"/>
      <c r="K15" s="66" t="s">
        <v>427</v>
      </c>
      <c r="L15" s="64">
        <v>33.4</v>
      </c>
      <c r="M15" s="64">
        <v>86</v>
      </c>
      <c r="N15" s="64">
        <v>33.4</v>
      </c>
      <c r="O15" s="64">
        <v>40.700000000000003</v>
      </c>
      <c r="Q15" s="411"/>
      <c r="R15" s="411"/>
      <c r="S15" s="411"/>
    </row>
    <row r="16" spans="1:19">
      <c r="A16" s="66" t="s">
        <v>428</v>
      </c>
      <c r="B16" s="63">
        <v>200</v>
      </c>
      <c r="C16" s="64">
        <f t="shared" ref="C16:D16" si="16">AVERAGE(L16,L31)</f>
        <v>36.593548387096767</v>
      </c>
      <c r="D16" s="64">
        <f t="shared" si="16"/>
        <v>112.9</v>
      </c>
      <c r="E16" s="63">
        <v>50</v>
      </c>
      <c r="F16" s="64">
        <f t="shared" ref="F16:G16" si="17">AVERAGE(N16,N31)</f>
        <v>36.593548387096767</v>
      </c>
      <c r="G16" s="64">
        <f t="shared" si="17"/>
        <v>41.55</v>
      </c>
      <c r="J16" s="412"/>
      <c r="K16" s="66" t="s">
        <v>428</v>
      </c>
      <c r="L16" s="101">
        <v>37.858064516129019</v>
      </c>
      <c r="M16" s="101">
        <v>129.80000000000001</v>
      </c>
      <c r="N16" s="101">
        <v>37.858064516129019</v>
      </c>
      <c r="O16" s="101">
        <v>43</v>
      </c>
      <c r="Q16" s="411"/>
      <c r="R16" s="411"/>
      <c r="S16" s="411"/>
    </row>
    <row r="17" spans="1:15">
      <c r="A17" s="66" t="s">
        <v>429</v>
      </c>
      <c r="B17" s="63">
        <v>200</v>
      </c>
      <c r="C17" s="64">
        <f t="shared" ref="C17:D17" si="18">AVERAGE(L17,L32)</f>
        <v>31.948333333333323</v>
      </c>
      <c r="D17" s="64">
        <f t="shared" si="18"/>
        <v>154.30000000000001</v>
      </c>
      <c r="E17" s="63">
        <v>50</v>
      </c>
      <c r="F17" s="64">
        <f t="shared" ref="F17:G17" si="19">AVERAGE(N17,N32)</f>
        <v>31.948333333333323</v>
      </c>
      <c r="G17" s="64">
        <f t="shared" si="19"/>
        <v>40.4</v>
      </c>
      <c r="J17" s="412"/>
      <c r="K17" s="66" t="s">
        <v>429</v>
      </c>
      <c r="L17" s="101">
        <v>34.816666666666656</v>
      </c>
      <c r="M17" s="101">
        <v>158</v>
      </c>
      <c r="N17" s="101">
        <v>34.816666666666656</v>
      </c>
      <c r="O17" s="101">
        <v>41</v>
      </c>
    </row>
    <row r="18" spans="1:15">
      <c r="A18" s="66" t="s">
        <v>430</v>
      </c>
      <c r="B18" s="63">
        <v>200</v>
      </c>
      <c r="C18" s="64">
        <f t="shared" ref="C18:D18" si="20">AVERAGE(L18,L33)</f>
        <v>37.570965608465606</v>
      </c>
      <c r="D18" s="64">
        <f t="shared" si="20"/>
        <v>106</v>
      </c>
      <c r="E18" s="63">
        <v>50</v>
      </c>
      <c r="F18" s="64">
        <f t="shared" ref="F18:G18" si="21">AVERAGE(N18,N33)</f>
        <v>37.570965608465606</v>
      </c>
      <c r="G18" s="64">
        <f t="shared" si="21"/>
        <v>50.5</v>
      </c>
      <c r="J18" s="412"/>
      <c r="K18" s="66" t="s">
        <v>430</v>
      </c>
      <c r="L18" s="101">
        <v>39.574074074074076</v>
      </c>
      <c r="M18" s="101">
        <v>106.6</v>
      </c>
      <c r="N18" s="101">
        <v>39.574074074074076</v>
      </c>
      <c r="O18" s="101">
        <v>60.6</v>
      </c>
    </row>
    <row r="19" spans="1:15">
      <c r="J19" s="412"/>
      <c r="K19" s="62" t="s">
        <v>431</v>
      </c>
      <c r="L19" s="102">
        <f>AVERAGE(L7:L18)</f>
        <v>34.087400438072478</v>
      </c>
      <c r="M19" s="62">
        <f>MAX(M7:M18)</f>
        <v>204.7</v>
      </c>
      <c r="N19" s="102">
        <f>AVERAGE(N7:N18)</f>
        <v>34.087400438072478</v>
      </c>
      <c r="O19" s="62">
        <f>MAX(O7:O18)</f>
        <v>60.6</v>
      </c>
    </row>
    <row r="21" spans="1:15" ht="30">
      <c r="J21" s="61">
        <f>+A6</f>
        <v>2022</v>
      </c>
      <c r="K21" s="61" t="s">
        <v>413</v>
      </c>
      <c r="L21" s="67" t="s">
        <v>408</v>
      </c>
      <c r="M21" s="67" t="s">
        <v>414</v>
      </c>
      <c r="N21" s="67" t="s">
        <v>411</v>
      </c>
      <c r="O21" s="67" t="s">
        <v>415</v>
      </c>
    </row>
    <row r="22" spans="1:15">
      <c r="J22" s="412" t="s">
        <v>195</v>
      </c>
      <c r="K22" s="66" t="s">
        <v>416</v>
      </c>
      <c r="L22" s="64">
        <v>30.9</v>
      </c>
      <c r="M22" s="64">
        <v>464.9</v>
      </c>
      <c r="N22" s="64">
        <v>30.9</v>
      </c>
      <c r="O22" s="64">
        <v>41</v>
      </c>
    </row>
    <row r="23" spans="1:15">
      <c r="J23" s="412"/>
      <c r="K23" s="66" t="s">
        <v>417</v>
      </c>
      <c r="L23" s="64">
        <v>33.4</v>
      </c>
      <c r="M23" s="64">
        <v>88</v>
      </c>
      <c r="N23" s="64">
        <v>33.4</v>
      </c>
      <c r="O23" s="64">
        <v>38.6</v>
      </c>
    </row>
    <row r="24" spans="1:15">
      <c r="J24" s="412"/>
      <c r="K24" s="66" t="s">
        <v>418</v>
      </c>
      <c r="L24" s="64">
        <v>29.9</v>
      </c>
      <c r="M24" s="64">
        <v>107.6</v>
      </c>
      <c r="N24" s="64">
        <v>29.9</v>
      </c>
      <c r="O24" s="64">
        <v>39.5</v>
      </c>
    </row>
    <row r="25" spans="1:15">
      <c r="J25" s="412"/>
      <c r="K25" s="66" t="s">
        <v>420</v>
      </c>
      <c r="L25" s="64">
        <v>31.1</v>
      </c>
      <c r="M25" s="64">
        <v>105</v>
      </c>
      <c r="N25" s="64">
        <v>31.1</v>
      </c>
      <c r="O25" s="64">
        <v>37.299999999999997</v>
      </c>
    </row>
    <row r="26" spans="1:15">
      <c r="J26" s="412"/>
      <c r="K26" s="66" t="s">
        <v>422</v>
      </c>
      <c r="L26" s="64">
        <v>26.7</v>
      </c>
      <c r="M26" s="64">
        <v>76.2</v>
      </c>
      <c r="N26" s="64">
        <v>26.7</v>
      </c>
      <c r="O26" s="64">
        <v>30.6</v>
      </c>
    </row>
    <row r="27" spans="1:15">
      <c r="J27" s="412"/>
      <c r="K27" s="66" t="s">
        <v>423</v>
      </c>
      <c r="L27" s="64">
        <v>33.200000000000003</v>
      </c>
      <c r="M27" s="64">
        <v>126.6</v>
      </c>
      <c r="N27" s="64">
        <v>33.200000000000003</v>
      </c>
      <c r="O27" s="64">
        <v>45.5</v>
      </c>
    </row>
    <row r="28" spans="1:15">
      <c r="J28" s="412"/>
      <c r="K28" s="66" t="s">
        <v>424</v>
      </c>
      <c r="L28" s="64">
        <v>28.8</v>
      </c>
      <c r="M28" s="64">
        <v>144.6</v>
      </c>
      <c r="N28" s="64">
        <v>28.8</v>
      </c>
      <c r="O28" s="64">
        <v>37.1</v>
      </c>
    </row>
    <row r="29" spans="1:15">
      <c r="H29" s="201"/>
      <c r="J29" s="412"/>
      <c r="K29" s="66" t="s">
        <v>426</v>
      </c>
      <c r="L29" s="64">
        <v>24.9</v>
      </c>
      <c r="M29" s="64">
        <v>60.1</v>
      </c>
      <c r="N29" s="64">
        <v>24.9</v>
      </c>
      <c r="O29" s="64">
        <v>30.4</v>
      </c>
    </row>
    <row r="30" spans="1:15">
      <c r="J30" s="412"/>
      <c r="K30" s="66" t="s">
        <v>427</v>
      </c>
      <c r="L30" s="64">
        <v>27.9</v>
      </c>
      <c r="M30" s="64">
        <v>64.7</v>
      </c>
      <c r="N30" s="64">
        <v>27.9</v>
      </c>
      <c r="O30" s="64">
        <v>37.200000000000003</v>
      </c>
    </row>
    <row r="31" spans="1:15">
      <c r="J31" s="412"/>
      <c r="K31" s="66" t="s">
        <v>428</v>
      </c>
      <c r="L31" s="101">
        <v>35.329032258064515</v>
      </c>
      <c r="M31" s="101">
        <v>96</v>
      </c>
      <c r="N31" s="101">
        <v>35.329032258064515</v>
      </c>
      <c r="O31" s="101">
        <v>40.1</v>
      </c>
    </row>
    <row r="32" spans="1:15">
      <c r="J32" s="412"/>
      <c r="K32" s="66" t="s">
        <v>429</v>
      </c>
      <c r="L32" s="101">
        <v>29.079999999999995</v>
      </c>
      <c r="M32" s="101">
        <v>150.6</v>
      </c>
      <c r="N32" s="101">
        <v>29.079999999999995</v>
      </c>
      <c r="O32" s="101">
        <v>39.799999999999997</v>
      </c>
    </row>
    <row r="33" spans="1:15">
      <c r="J33" s="412"/>
      <c r="K33" s="66" t="s">
        <v>430</v>
      </c>
      <c r="L33" s="101">
        <v>35.567857142857136</v>
      </c>
      <c r="M33" s="101">
        <v>105.4</v>
      </c>
      <c r="N33" s="101">
        <v>35.567857142857136</v>
      </c>
      <c r="O33" s="101">
        <v>40.4</v>
      </c>
    </row>
    <row r="34" spans="1:15">
      <c r="J34" s="412"/>
      <c r="K34" s="62" t="s">
        <v>431</v>
      </c>
      <c r="L34" s="102">
        <f>AVERAGE(L22:L33)</f>
        <v>30.564740783410134</v>
      </c>
      <c r="M34" s="62">
        <f>MAX(M22:M33)</f>
        <v>464.9</v>
      </c>
      <c r="N34" s="102">
        <f>AVERAGE(N22:N33)</f>
        <v>30.564740783410134</v>
      </c>
      <c r="O34" s="62">
        <f>MAX(O22:O33)</f>
        <v>45.5</v>
      </c>
    </row>
    <row r="36" spans="1:15" ht="30">
      <c r="J36" s="61">
        <f>+A6</f>
        <v>2022</v>
      </c>
      <c r="K36" s="61" t="s">
        <v>413</v>
      </c>
      <c r="L36" s="67" t="s">
        <v>408</v>
      </c>
      <c r="M36" s="67" t="s">
        <v>414</v>
      </c>
      <c r="N36" s="67" t="s">
        <v>411</v>
      </c>
      <c r="O36" s="67" t="s">
        <v>415</v>
      </c>
    </row>
    <row r="37" spans="1:15">
      <c r="J37" s="412" t="s">
        <v>196</v>
      </c>
      <c r="K37" s="66" t="s">
        <v>416</v>
      </c>
      <c r="L37" s="64"/>
      <c r="M37" s="64"/>
      <c r="N37" s="64"/>
      <c r="O37" s="64"/>
    </row>
    <row r="38" spans="1:15">
      <c r="J38" s="412"/>
      <c r="K38" s="66" t="s">
        <v>417</v>
      </c>
      <c r="L38" s="64"/>
      <c r="M38" s="64"/>
      <c r="N38" s="64"/>
      <c r="O38" s="64"/>
    </row>
    <row r="39" spans="1:15">
      <c r="J39" s="412"/>
      <c r="K39" s="66" t="s">
        <v>418</v>
      </c>
      <c r="L39" s="64"/>
      <c r="M39" s="64"/>
      <c r="N39" s="64"/>
      <c r="O39" s="64"/>
    </row>
    <row r="40" spans="1:15">
      <c r="J40" s="412"/>
      <c r="K40" s="66" t="s">
        <v>420</v>
      </c>
      <c r="L40" s="64"/>
      <c r="M40" s="64"/>
      <c r="N40" s="64"/>
      <c r="O40" s="64"/>
    </row>
    <row r="41" spans="1:15">
      <c r="J41" s="412"/>
      <c r="K41" s="66" t="s">
        <v>422</v>
      </c>
      <c r="L41" s="64"/>
      <c r="M41" s="64"/>
      <c r="N41" s="64"/>
      <c r="O41" s="64"/>
    </row>
    <row r="42" spans="1:15">
      <c r="J42" s="412"/>
      <c r="K42" s="66" t="s">
        <v>423</v>
      </c>
      <c r="L42" s="64"/>
      <c r="M42" s="64"/>
      <c r="N42" s="64"/>
      <c r="O42" s="64"/>
    </row>
    <row r="43" spans="1:15">
      <c r="J43" s="412"/>
      <c r="K43" s="66" t="s">
        <v>424</v>
      </c>
      <c r="L43" s="64"/>
      <c r="M43" s="64"/>
      <c r="N43" s="64"/>
      <c r="O43" s="64"/>
    </row>
    <row r="44" spans="1:15">
      <c r="J44" s="412"/>
      <c r="K44" s="66" t="s">
        <v>426</v>
      </c>
      <c r="L44" s="64"/>
      <c r="M44" s="64"/>
      <c r="N44" s="64"/>
      <c r="O44" s="64"/>
    </row>
    <row r="45" spans="1:15">
      <c r="J45" s="412"/>
      <c r="K45" s="66" t="s">
        <v>427</v>
      </c>
      <c r="L45" s="64"/>
      <c r="M45" s="64"/>
      <c r="N45" s="64"/>
      <c r="O45" s="64"/>
    </row>
    <row r="46" spans="1:15">
      <c r="J46" s="412"/>
      <c r="K46" s="66" t="s">
        <v>428</v>
      </c>
      <c r="L46" s="64"/>
      <c r="M46" s="64"/>
      <c r="N46" s="64"/>
      <c r="O46" s="64"/>
    </row>
    <row r="47" spans="1:15">
      <c r="J47" s="412"/>
      <c r="K47" s="66" t="s">
        <v>429</v>
      </c>
      <c r="L47" s="64"/>
      <c r="M47" s="64"/>
      <c r="N47" s="64"/>
      <c r="O47" s="64"/>
    </row>
    <row r="48" spans="1:15" ht="15">
      <c r="A48" s="424" t="s">
        <v>324</v>
      </c>
      <c r="B48" s="425"/>
      <c r="C48" s="425"/>
      <c r="D48" s="425"/>
      <c r="E48" s="425"/>
      <c r="F48" s="425"/>
      <c r="G48" s="426"/>
      <c r="J48" s="412"/>
      <c r="K48" s="66" t="s">
        <v>430</v>
      </c>
      <c r="L48" s="64"/>
      <c r="M48" s="64"/>
      <c r="N48" s="64"/>
      <c r="O48" s="64"/>
    </row>
    <row r="49" spans="1:15">
      <c r="A49" s="415"/>
      <c r="B49" s="416"/>
      <c r="C49" s="416"/>
      <c r="D49" s="416"/>
      <c r="E49" s="416"/>
      <c r="F49" s="416"/>
      <c r="G49" s="417"/>
      <c r="J49" s="412"/>
      <c r="K49" s="62" t="s">
        <v>431</v>
      </c>
      <c r="L49" s="62" t="e">
        <f>AVERAGE(L37:L48)</f>
        <v>#DIV/0!</v>
      </c>
      <c r="M49" s="62">
        <f>MAX(M37:M48)</f>
        <v>0</v>
      </c>
      <c r="N49" s="62" t="e">
        <f>AVERAGE(N37:N48)</f>
        <v>#DIV/0!</v>
      </c>
      <c r="O49" s="62">
        <f>MAX(O37:O48)</f>
        <v>0</v>
      </c>
    </row>
    <row r="50" spans="1:15">
      <c r="A50" s="418"/>
      <c r="B50" s="419"/>
      <c r="C50" s="419"/>
      <c r="D50" s="419"/>
      <c r="E50" s="419"/>
      <c r="F50" s="419"/>
      <c r="G50" s="420"/>
    </row>
    <row r="51" spans="1:15" ht="30">
      <c r="A51" s="418"/>
      <c r="B51" s="419"/>
      <c r="C51" s="419"/>
      <c r="D51" s="419"/>
      <c r="E51" s="419"/>
      <c r="F51" s="419"/>
      <c r="G51" s="420"/>
      <c r="J51" s="61">
        <f>+A6</f>
        <v>2022</v>
      </c>
      <c r="K51" s="61" t="s">
        <v>413</v>
      </c>
      <c r="L51" s="67" t="s">
        <v>408</v>
      </c>
      <c r="M51" s="67" t="s">
        <v>414</v>
      </c>
      <c r="N51" s="67" t="s">
        <v>411</v>
      </c>
      <c r="O51" s="67" t="s">
        <v>415</v>
      </c>
    </row>
    <row r="52" spans="1:15">
      <c r="A52" s="421"/>
      <c r="B52" s="422"/>
      <c r="C52" s="422"/>
      <c r="D52" s="422"/>
      <c r="E52" s="422"/>
      <c r="F52" s="422"/>
      <c r="G52" s="423"/>
      <c r="J52" s="412" t="s">
        <v>197</v>
      </c>
      <c r="K52" s="66" t="s">
        <v>416</v>
      </c>
      <c r="L52" s="64"/>
      <c r="M52" s="64"/>
      <c r="N52" s="64"/>
      <c r="O52" s="64"/>
    </row>
    <row r="53" spans="1:15">
      <c r="J53" s="412"/>
      <c r="K53" s="66" t="s">
        <v>417</v>
      </c>
      <c r="L53" s="64"/>
      <c r="M53" s="64"/>
      <c r="N53" s="64"/>
      <c r="O53" s="64"/>
    </row>
    <row r="54" spans="1:15">
      <c r="J54" s="412"/>
      <c r="K54" s="66" t="s">
        <v>418</v>
      </c>
      <c r="L54" s="64"/>
      <c r="M54" s="64"/>
      <c r="N54" s="64"/>
      <c r="O54" s="64"/>
    </row>
    <row r="55" spans="1:15">
      <c r="J55" s="412"/>
      <c r="K55" s="66" t="s">
        <v>420</v>
      </c>
      <c r="L55" s="64"/>
      <c r="M55" s="64"/>
      <c r="N55" s="64"/>
      <c r="O55" s="64"/>
    </row>
    <row r="56" spans="1:15">
      <c r="J56" s="412"/>
      <c r="K56" s="66" t="s">
        <v>422</v>
      </c>
      <c r="L56" s="64"/>
      <c r="M56" s="64"/>
      <c r="N56" s="64"/>
      <c r="O56" s="64"/>
    </row>
    <row r="57" spans="1:15">
      <c r="J57" s="412"/>
      <c r="K57" s="66" t="s">
        <v>423</v>
      </c>
      <c r="L57" s="64"/>
      <c r="M57" s="64"/>
      <c r="N57" s="64"/>
      <c r="O57" s="64"/>
    </row>
    <row r="58" spans="1:15">
      <c r="J58" s="412"/>
      <c r="K58" s="66" t="s">
        <v>424</v>
      </c>
      <c r="L58" s="64"/>
      <c r="M58" s="64"/>
      <c r="N58" s="64"/>
      <c r="O58" s="64"/>
    </row>
    <row r="59" spans="1:15">
      <c r="J59" s="412"/>
      <c r="K59" s="66" t="s">
        <v>426</v>
      </c>
      <c r="L59" s="64"/>
      <c r="M59" s="64"/>
      <c r="N59" s="64"/>
      <c r="O59" s="64"/>
    </row>
    <row r="60" spans="1:15">
      <c r="J60" s="412"/>
      <c r="K60" s="66" t="s">
        <v>427</v>
      </c>
      <c r="L60" s="64"/>
      <c r="M60" s="64"/>
      <c r="N60" s="64"/>
      <c r="O60" s="64"/>
    </row>
    <row r="61" spans="1:15">
      <c r="J61" s="412"/>
      <c r="K61" s="66" t="s">
        <v>428</v>
      </c>
      <c r="L61" s="64"/>
      <c r="M61" s="64"/>
      <c r="N61" s="64"/>
      <c r="O61" s="64"/>
    </row>
    <row r="62" spans="1:15">
      <c r="J62" s="412"/>
      <c r="K62" s="66" t="s">
        <v>429</v>
      </c>
      <c r="L62" s="64"/>
      <c r="M62" s="64"/>
      <c r="N62" s="64"/>
      <c r="O62" s="64"/>
    </row>
    <row r="63" spans="1:15">
      <c r="J63" s="412"/>
      <c r="K63" s="66" t="s">
        <v>430</v>
      </c>
      <c r="L63" s="64"/>
      <c r="M63" s="64"/>
      <c r="N63" s="64"/>
      <c r="O63" s="64"/>
    </row>
    <row r="64" spans="1:15">
      <c r="J64" s="412"/>
      <c r="K64" s="62" t="s">
        <v>431</v>
      </c>
      <c r="L64" s="62" t="e">
        <f>AVERAGE(L52:L63)</f>
        <v>#DIV/0!</v>
      </c>
      <c r="M64" s="62">
        <f>MAX(M52:M63)</f>
        <v>0</v>
      </c>
      <c r="N64" s="62" t="e">
        <f>AVERAGE(N52:N63)</f>
        <v>#DIV/0!</v>
      </c>
      <c r="O64" s="62">
        <f>MAX(O52:O63)</f>
        <v>0</v>
      </c>
    </row>
    <row r="66" spans="10:15" ht="30">
      <c r="J66" s="61">
        <f>+A6</f>
        <v>2022</v>
      </c>
      <c r="K66" s="61" t="s">
        <v>413</v>
      </c>
      <c r="L66" s="67" t="s">
        <v>408</v>
      </c>
      <c r="M66" s="67" t="s">
        <v>414</v>
      </c>
      <c r="N66" s="67" t="s">
        <v>411</v>
      </c>
      <c r="O66" s="67" t="s">
        <v>415</v>
      </c>
    </row>
    <row r="67" spans="10:15">
      <c r="J67" s="412" t="s">
        <v>198</v>
      </c>
      <c r="K67" s="66" t="s">
        <v>416</v>
      </c>
      <c r="L67" s="64"/>
      <c r="M67" s="64"/>
      <c r="N67" s="64"/>
      <c r="O67" s="64"/>
    </row>
    <row r="68" spans="10:15">
      <c r="J68" s="412"/>
      <c r="K68" s="66" t="s">
        <v>417</v>
      </c>
      <c r="L68" s="64"/>
      <c r="M68" s="64"/>
      <c r="N68" s="64"/>
      <c r="O68" s="64"/>
    </row>
    <row r="69" spans="10:15">
      <c r="J69" s="412"/>
      <c r="K69" s="66" t="s">
        <v>418</v>
      </c>
      <c r="L69" s="64"/>
      <c r="M69" s="64"/>
      <c r="N69" s="64"/>
      <c r="O69" s="64"/>
    </row>
    <row r="70" spans="10:15">
      <c r="J70" s="412"/>
      <c r="K70" s="66" t="s">
        <v>420</v>
      </c>
      <c r="L70" s="64"/>
      <c r="M70" s="64"/>
      <c r="N70" s="64"/>
      <c r="O70" s="64"/>
    </row>
    <row r="71" spans="10:15">
      <c r="J71" s="412"/>
      <c r="K71" s="66" t="s">
        <v>422</v>
      </c>
      <c r="L71" s="64"/>
      <c r="M71" s="64"/>
      <c r="N71" s="64"/>
      <c r="O71" s="64"/>
    </row>
    <row r="72" spans="10:15">
      <c r="J72" s="412"/>
      <c r="K72" s="66" t="s">
        <v>423</v>
      </c>
      <c r="L72" s="64"/>
      <c r="M72" s="64"/>
      <c r="N72" s="64"/>
      <c r="O72" s="64"/>
    </row>
    <row r="73" spans="10:15">
      <c r="J73" s="412"/>
      <c r="K73" s="66" t="s">
        <v>424</v>
      </c>
      <c r="L73" s="64"/>
      <c r="M73" s="64"/>
      <c r="N73" s="64"/>
      <c r="O73" s="64"/>
    </row>
    <row r="74" spans="10:15">
      <c r="J74" s="412"/>
      <c r="K74" s="66" t="s">
        <v>426</v>
      </c>
      <c r="L74" s="64"/>
      <c r="M74" s="64"/>
      <c r="N74" s="64"/>
      <c r="O74" s="64"/>
    </row>
    <row r="75" spans="10:15">
      <c r="J75" s="412"/>
      <c r="K75" s="66" t="s">
        <v>427</v>
      </c>
      <c r="L75" s="64"/>
      <c r="M75" s="64"/>
      <c r="N75" s="64"/>
      <c r="O75" s="64"/>
    </row>
    <row r="76" spans="10:15">
      <c r="J76" s="412"/>
      <c r="K76" s="66" t="s">
        <v>428</v>
      </c>
      <c r="L76" s="64"/>
      <c r="M76" s="64"/>
      <c r="N76" s="64"/>
      <c r="O76" s="64"/>
    </row>
    <row r="77" spans="10:15">
      <c r="J77" s="412"/>
      <c r="K77" s="66" t="s">
        <v>429</v>
      </c>
      <c r="L77" s="64"/>
      <c r="M77" s="64"/>
      <c r="N77" s="64"/>
      <c r="O77" s="64"/>
    </row>
    <row r="78" spans="10:15">
      <c r="J78" s="412"/>
      <c r="K78" s="66" t="s">
        <v>430</v>
      </c>
      <c r="L78" s="64"/>
      <c r="M78" s="64"/>
      <c r="N78" s="64"/>
      <c r="O78" s="64"/>
    </row>
    <row r="79" spans="10:15">
      <c r="J79" s="412"/>
      <c r="K79" s="62" t="s">
        <v>431</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zoomScale="85" zoomScaleNormal="85" zoomScaleSheetLayoutView="100" workbookViewId="0">
      <selection activeCell="L26" sqref="L26"/>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Suffolk Energy from Waste Facility</v>
      </c>
      <c r="F1" s="92"/>
    </row>
    <row r="3" spans="1:19" ht="15">
      <c r="A3" s="60" t="s">
        <v>435</v>
      </c>
      <c r="D3" s="76" t="s">
        <v>400</v>
      </c>
      <c r="G3" s="193" t="s">
        <v>401</v>
      </c>
      <c r="J3" s="9" t="str">
        <f>+A3</f>
        <v>Monitoring of Oxides of Nitrogen emissions</v>
      </c>
      <c r="L3" s="9"/>
      <c r="N3" s="9" t="s">
        <v>402</v>
      </c>
      <c r="Q3" s="79" t="s">
        <v>3</v>
      </c>
      <c r="R3" s="74"/>
      <c r="S3" s="74"/>
    </row>
    <row r="4" spans="1:19" ht="13.9" customHeight="1">
      <c r="Q4" s="388" t="s">
        <v>403</v>
      </c>
      <c r="R4" s="388"/>
      <c r="S4" s="388"/>
    </row>
    <row r="5" spans="1:19" ht="17.25">
      <c r="A5" s="68" t="s">
        <v>404</v>
      </c>
      <c r="B5" s="414" t="s">
        <v>405</v>
      </c>
      <c r="C5" s="414"/>
      <c r="D5" s="414"/>
      <c r="E5" s="414" t="s">
        <v>406</v>
      </c>
      <c r="F5" s="414"/>
      <c r="G5" s="414"/>
      <c r="J5" s="413"/>
      <c r="K5" s="413"/>
      <c r="L5" s="413"/>
      <c r="M5" s="413"/>
      <c r="N5" s="413"/>
      <c r="O5" s="413"/>
      <c r="Q5" s="388"/>
      <c r="R5" s="388"/>
      <c r="S5" s="388"/>
    </row>
    <row r="6" spans="1:19" s="58" customFormat="1" ht="37.5" customHeight="1">
      <c r="A6" s="65">
        <f>+'Cover Page'!C39</f>
        <v>2022</v>
      </c>
      <c r="B6" s="55" t="s">
        <v>436</v>
      </c>
      <c r="C6" s="55" t="s">
        <v>408</v>
      </c>
      <c r="D6" s="55" t="s">
        <v>409</v>
      </c>
      <c r="E6" s="55" t="s">
        <v>437</v>
      </c>
      <c r="F6" s="55" t="s">
        <v>411</v>
      </c>
      <c r="G6" s="55" t="s">
        <v>412</v>
      </c>
      <c r="H6" s="59"/>
      <c r="J6" s="61">
        <f>+A6</f>
        <v>2022</v>
      </c>
      <c r="K6" s="61" t="s">
        <v>413</v>
      </c>
      <c r="L6" s="67" t="s">
        <v>408</v>
      </c>
      <c r="M6" s="67" t="s">
        <v>414</v>
      </c>
      <c r="N6" s="67" t="s">
        <v>411</v>
      </c>
      <c r="O6" s="67" t="s">
        <v>415</v>
      </c>
      <c r="Q6" s="388"/>
      <c r="R6" s="388"/>
      <c r="S6" s="388"/>
    </row>
    <row r="7" spans="1:19">
      <c r="A7" s="66" t="s">
        <v>416</v>
      </c>
      <c r="B7" s="63">
        <v>400</v>
      </c>
      <c r="C7" s="64">
        <f>AVERAGE(L7,L22)</f>
        <v>180</v>
      </c>
      <c r="D7" s="64">
        <f>AVERAGE(M7,M22)</f>
        <v>205.45</v>
      </c>
      <c r="E7" s="63">
        <v>200</v>
      </c>
      <c r="F7" s="64">
        <f>AVERAGE(N7,N22)</f>
        <v>180</v>
      </c>
      <c r="G7" s="64">
        <f>AVERAGE(O7,O22)</f>
        <v>180.85</v>
      </c>
      <c r="J7" s="412" t="s">
        <v>194</v>
      </c>
      <c r="K7" s="66" t="s">
        <v>416</v>
      </c>
      <c r="L7" s="64">
        <v>180</v>
      </c>
      <c r="M7" s="64">
        <v>202.7</v>
      </c>
      <c r="N7" s="64">
        <v>180</v>
      </c>
      <c r="O7" s="64">
        <v>181</v>
      </c>
      <c r="Q7" s="388"/>
      <c r="R7" s="388"/>
      <c r="S7" s="388"/>
    </row>
    <row r="8" spans="1:19">
      <c r="A8" s="66" t="s">
        <v>417</v>
      </c>
      <c r="B8" s="63">
        <v>400</v>
      </c>
      <c r="C8" s="64">
        <f t="shared" ref="C8:D8" si="0">AVERAGE(L8,L23)</f>
        <v>180.45</v>
      </c>
      <c r="D8" s="64">
        <f t="shared" si="0"/>
        <v>238.7</v>
      </c>
      <c r="E8" s="63">
        <v>200</v>
      </c>
      <c r="F8" s="64">
        <f t="shared" ref="F8:G8" si="1">AVERAGE(N8,N23)</f>
        <v>180.45</v>
      </c>
      <c r="G8" s="64">
        <f t="shared" si="1"/>
        <v>184.45</v>
      </c>
      <c r="J8" s="412"/>
      <c r="K8" s="66" t="s">
        <v>417</v>
      </c>
      <c r="L8" s="64">
        <v>180.7</v>
      </c>
      <c r="M8" s="64">
        <v>249.6</v>
      </c>
      <c r="N8" s="64">
        <v>180.7</v>
      </c>
      <c r="O8" s="64">
        <v>187.2</v>
      </c>
      <c r="Q8" s="388"/>
      <c r="R8" s="388"/>
      <c r="S8" s="388"/>
    </row>
    <row r="9" spans="1:19" ht="15">
      <c r="A9" s="66" t="s">
        <v>418</v>
      </c>
      <c r="B9" s="63">
        <v>400</v>
      </c>
      <c r="C9" s="64">
        <f t="shared" ref="C9:D9" si="2">AVERAGE(L9,L24)</f>
        <v>180.15</v>
      </c>
      <c r="D9" s="64">
        <f t="shared" si="2"/>
        <v>262</v>
      </c>
      <c r="E9" s="63">
        <v>200</v>
      </c>
      <c r="F9" s="64">
        <f t="shared" ref="F9:G9" si="3">AVERAGE(N9,N24)</f>
        <v>180.15</v>
      </c>
      <c r="G9" s="64">
        <f t="shared" si="3"/>
        <v>183.95</v>
      </c>
      <c r="J9" s="412"/>
      <c r="K9" s="66" t="s">
        <v>418</v>
      </c>
      <c r="L9" s="64">
        <v>180.3</v>
      </c>
      <c r="M9" s="64">
        <v>299</v>
      </c>
      <c r="N9" s="64">
        <v>180.3</v>
      </c>
      <c r="O9" s="64">
        <v>185.9</v>
      </c>
      <c r="Q9" s="78" t="s">
        <v>419</v>
      </c>
    </row>
    <row r="10" spans="1:19" ht="14.25" customHeight="1">
      <c r="A10" s="66" t="s">
        <v>420</v>
      </c>
      <c r="B10" s="63">
        <v>400</v>
      </c>
      <c r="C10" s="64">
        <f t="shared" ref="C10:D10" si="4">AVERAGE(L10,L25)</f>
        <v>180.6</v>
      </c>
      <c r="D10" s="64">
        <f t="shared" si="4"/>
        <v>277.89999999999998</v>
      </c>
      <c r="E10" s="63">
        <v>200</v>
      </c>
      <c r="F10" s="64">
        <f t="shared" ref="F10:G10" si="5">AVERAGE(N10,N25)</f>
        <v>180.6</v>
      </c>
      <c r="G10" s="64">
        <f t="shared" si="5"/>
        <v>184.35</v>
      </c>
      <c r="J10" s="412"/>
      <c r="K10" s="66" t="s">
        <v>420</v>
      </c>
      <c r="L10" s="64">
        <v>181</v>
      </c>
      <c r="M10" s="64">
        <v>284.39999999999998</v>
      </c>
      <c r="N10" s="64">
        <v>181</v>
      </c>
      <c r="O10" s="64">
        <v>186.2</v>
      </c>
      <c r="Q10" s="411" t="s">
        <v>421</v>
      </c>
      <c r="R10" s="411"/>
      <c r="S10" s="411"/>
    </row>
    <row r="11" spans="1:19">
      <c r="A11" s="66" t="s">
        <v>422</v>
      </c>
      <c r="B11" s="63">
        <v>400</v>
      </c>
      <c r="C11" s="64">
        <f t="shared" ref="C11:D11" si="6">AVERAGE(L11,L26)</f>
        <v>180.75</v>
      </c>
      <c r="D11" s="64">
        <f t="shared" si="6"/>
        <v>208.5</v>
      </c>
      <c r="E11" s="63">
        <v>200</v>
      </c>
      <c r="F11" s="64">
        <f t="shared" ref="F11:G11" si="7">AVERAGE(N11,N26)</f>
        <v>180.75</v>
      </c>
      <c r="G11" s="64">
        <f t="shared" si="7"/>
        <v>184.45</v>
      </c>
      <c r="J11" s="412"/>
      <c r="K11" s="66" t="s">
        <v>422</v>
      </c>
      <c r="L11" s="64">
        <v>181.5</v>
      </c>
      <c r="M11" s="64">
        <v>217.9</v>
      </c>
      <c r="N11" s="64">
        <v>181.5</v>
      </c>
      <c r="O11" s="64">
        <v>188.8</v>
      </c>
      <c r="Q11" s="411"/>
      <c r="R11" s="411"/>
      <c r="S11" s="411"/>
    </row>
    <row r="12" spans="1:19">
      <c r="A12" s="66" t="s">
        <v>423</v>
      </c>
      <c r="B12" s="63">
        <v>400</v>
      </c>
      <c r="C12" s="64">
        <f t="shared" ref="C12:D12" si="8">AVERAGE(L12,L27)</f>
        <v>182.15</v>
      </c>
      <c r="D12" s="64">
        <f t="shared" si="8"/>
        <v>256.14999999999998</v>
      </c>
      <c r="E12" s="63">
        <v>200</v>
      </c>
      <c r="F12" s="64">
        <f t="shared" ref="F12:G12" si="9">AVERAGE(N12,N27)</f>
        <v>182.15</v>
      </c>
      <c r="G12" s="64">
        <f t="shared" si="9"/>
        <v>192.05</v>
      </c>
      <c r="J12" s="412"/>
      <c r="K12" s="66" t="s">
        <v>423</v>
      </c>
      <c r="L12" s="64">
        <v>183</v>
      </c>
      <c r="M12" s="64">
        <v>248.5</v>
      </c>
      <c r="N12" s="64">
        <v>183</v>
      </c>
      <c r="O12" s="64">
        <v>195.9</v>
      </c>
      <c r="Q12" s="411"/>
      <c r="R12" s="411"/>
      <c r="S12" s="411"/>
    </row>
    <row r="13" spans="1:19" ht="14.25" customHeight="1">
      <c r="A13" s="66" t="s">
        <v>424</v>
      </c>
      <c r="B13" s="63">
        <v>400</v>
      </c>
      <c r="C13" s="64">
        <f t="shared" ref="C13:D13" si="10">AVERAGE(L13,L28)</f>
        <v>180.95</v>
      </c>
      <c r="D13" s="64">
        <f t="shared" si="10"/>
        <v>246.05</v>
      </c>
      <c r="E13" s="63">
        <v>200</v>
      </c>
      <c r="F13" s="64">
        <f t="shared" ref="F13:G13" si="11">AVERAGE(N13,N28)</f>
        <v>180.95</v>
      </c>
      <c r="G13" s="64">
        <f t="shared" si="11"/>
        <v>188.75</v>
      </c>
      <c r="J13" s="412"/>
      <c r="K13" s="66" t="s">
        <v>424</v>
      </c>
      <c r="L13" s="64">
        <v>180.2</v>
      </c>
      <c r="M13" s="64">
        <v>239.3</v>
      </c>
      <c r="N13" s="64">
        <v>180.2</v>
      </c>
      <c r="O13" s="64">
        <v>182.6</v>
      </c>
      <c r="Q13" s="411" t="s">
        <v>425</v>
      </c>
      <c r="R13" s="411"/>
      <c r="S13" s="411"/>
    </row>
    <row r="14" spans="1:19">
      <c r="A14" s="66" t="s">
        <v>426</v>
      </c>
      <c r="B14" s="63">
        <v>400</v>
      </c>
      <c r="C14" s="64">
        <f t="shared" ref="C14:D14" si="12">AVERAGE(L14,L29)</f>
        <v>180.3</v>
      </c>
      <c r="D14" s="64">
        <f t="shared" si="12"/>
        <v>257.60000000000002</v>
      </c>
      <c r="E14" s="63">
        <v>200</v>
      </c>
      <c r="F14" s="64">
        <f t="shared" ref="F14:G14" si="13">AVERAGE(N14,N29)</f>
        <v>180.3</v>
      </c>
      <c r="G14" s="64">
        <f t="shared" si="13"/>
        <v>185.45</v>
      </c>
      <c r="J14" s="412"/>
      <c r="K14" s="66" t="s">
        <v>426</v>
      </c>
      <c r="L14" s="64">
        <v>180.3</v>
      </c>
      <c r="M14" s="64">
        <v>247.3</v>
      </c>
      <c r="N14" s="64">
        <v>180.3</v>
      </c>
      <c r="O14" s="64">
        <v>186.9</v>
      </c>
      <c r="Q14" s="411"/>
      <c r="R14" s="411"/>
      <c r="S14" s="411"/>
    </row>
    <row r="15" spans="1:19">
      <c r="A15" s="66" t="s">
        <v>427</v>
      </c>
      <c r="B15" s="63">
        <v>400</v>
      </c>
      <c r="C15" s="64">
        <f t="shared" ref="C15:D15" si="14">AVERAGE(L15,L30)</f>
        <v>180.45</v>
      </c>
      <c r="D15" s="64">
        <f t="shared" si="14"/>
        <v>245.95</v>
      </c>
      <c r="E15" s="63">
        <v>200</v>
      </c>
      <c r="F15" s="64">
        <f t="shared" ref="F15:G15" si="15">AVERAGE(N15,N30)</f>
        <v>180.45</v>
      </c>
      <c r="G15" s="64">
        <f t="shared" si="15"/>
        <v>184.14999999999998</v>
      </c>
      <c r="J15" s="412"/>
      <c r="K15" s="66" t="s">
        <v>427</v>
      </c>
      <c r="L15" s="64">
        <v>180.2</v>
      </c>
      <c r="M15" s="64">
        <v>231</v>
      </c>
      <c r="N15" s="64">
        <v>180.2</v>
      </c>
      <c r="O15" s="64">
        <v>182.1</v>
      </c>
      <c r="Q15" s="411"/>
      <c r="R15" s="411"/>
      <c r="S15" s="411"/>
    </row>
    <row r="16" spans="1:19">
      <c r="A16" s="66" t="s">
        <v>428</v>
      </c>
      <c r="B16" s="63">
        <v>400</v>
      </c>
      <c r="C16" s="64">
        <f t="shared" ref="C16:D16" si="16">AVERAGE(L16,L31)</f>
        <v>180.38064516129032</v>
      </c>
      <c r="D16" s="64">
        <f t="shared" si="16"/>
        <v>260.2</v>
      </c>
      <c r="E16" s="63">
        <v>200</v>
      </c>
      <c r="F16" s="64">
        <f t="shared" ref="F16:G16" si="17">AVERAGE(N16,N31)</f>
        <v>180.38064516129032</v>
      </c>
      <c r="G16" s="64">
        <f t="shared" si="17"/>
        <v>187.5</v>
      </c>
      <c r="J16" s="412"/>
      <c r="K16" s="66" t="s">
        <v>428</v>
      </c>
      <c r="L16" s="101">
        <v>180.59677419354836</v>
      </c>
      <c r="M16" s="101">
        <v>265</v>
      </c>
      <c r="N16" s="101">
        <v>180.59677419354836</v>
      </c>
      <c r="O16" s="101">
        <v>190.2</v>
      </c>
      <c r="Q16" s="411"/>
      <c r="R16" s="411"/>
      <c r="S16" s="411"/>
    </row>
    <row r="17" spans="1:15">
      <c r="A17" s="66" t="s">
        <v>429</v>
      </c>
      <c r="B17" s="63">
        <v>400</v>
      </c>
      <c r="C17" s="64">
        <f t="shared" ref="C17:D17" si="18">AVERAGE(L17,L32)</f>
        <v>180.30500000000001</v>
      </c>
      <c r="D17" s="64">
        <f t="shared" si="18"/>
        <v>237.75</v>
      </c>
      <c r="E17" s="63">
        <v>200</v>
      </c>
      <c r="F17" s="64">
        <f t="shared" ref="F17:G17" si="19">AVERAGE(N17,N32)</f>
        <v>180.30500000000001</v>
      </c>
      <c r="G17" s="64">
        <f t="shared" si="19"/>
        <v>186.15</v>
      </c>
      <c r="J17" s="412"/>
      <c r="K17" s="66" t="s">
        <v>429</v>
      </c>
      <c r="L17" s="101">
        <v>180.39666666666668</v>
      </c>
      <c r="M17" s="101">
        <v>232.1</v>
      </c>
      <c r="N17" s="101">
        <v>180.39666666666668</v>
      </c>
      <c r="O17" s="101">
        <v>185.9</v>
      </c>
    </row>
    <row r="18" spans="1:15">
      <c r="A18" s="66" t="s">
        <v>430</v>
      </c>
      <c r="B18" s="63">
        <v>400</v>
      </c>
      <c r="C18" s="64">
        <f t="shared" ref="C18:D18" si="20">AVERAGE(L18,L33)</f>
        <v>180.59861111111113</v>
      </c>
      <c r="D18" s="64">
        <f t="shared" si="20"/>
        <v>274.89999999999998</v>
      </c>
      <c r="E18" s="63">
        <v>200</v>
      </c>
      <c r="F18" s="64">
        <f t="shared" ref="F18:G18" si="21">AVERAGE(N18,N33)</f>
        <v>180.59861111111113</v>
      </c>
      <c r="G18" s="64">
        <f t="shared" si="21"/>
        <v>188.35</v>
      </c>
      <c r="J18" s="412"/>
      <c r="K18" s="66" t="s">
        <v>430</v>
      </c>
      <c r="L18" s="101">
        <v>180.52222222222224</v>
      </c>
      <c r="M18" s="101">
        <v>295.7</v>
      </c>
      <c r="N18" s="101">
        <v>180.52222222222224</v>
      </c>
      <c r="O18" s="101">
        <v>191.6</v>
      </c>
    </row>
    <row r="19" spans="1:15">
      <c r="J19" s="412"/>
      <c r="K19" s="62" t="s">
        <v>431</v>
      </c>
      <c r="L19" s="102">
        <f>AVERAGE(L7:L18)</f>
        <v>180.72630525686978</v>
      </c>
      <c r="M19" s="62">
        <f>MAX(M7:M18)</f>
        <v>299</v>
      </c>
      <c r="N19" s="102">
        <f>AVERAGE(N7:N18)</f>
        <v>180.72630525686978</v>
      </c>
      <c r="O19" s="62">
        <f>MAX(O7:O18)</f>
        <v>195.9</v>
      </c>
    </row>
    <row r="21" spans="1:15" ht="30">
      <c r="J21" s="61">
        <f>+A6</f>
        <v>2022</v>
      </c>
      <c r="K21" s="61" t="s">
        <v>413</v>
      </c>
      <c r="L21" s="67" t="s">
        <v>408</v>
      </c>
      <c r="M21" s="67" t="s">
        <v>414</v>
      </c>
      <c r="N21" s="67" t="s">
        <v>411</v>
      </c>
      <c r="O21" s="67" t="s">
        <v>415</v>
      </c>
    </row>
    <row r="22" spans="1:15">
      <c r="J22" s="412" t="s">
        <v>195</v>
      </c>
      <c r="K22" s="66" t="s">
        <v>416</v>
      </c>
      <c r="L22" s="64">
        <v>180</v>
      </c>
      <c r="M22" s="64">
        <v>208.2</v>
      </c>
      <c r="N22" s="64">
        <v>180</v>
      </c>
      <c r="O22" s="64">
        <v>180.7</v>
      </c>
    </row>
    <row r="23" spans="1:15">
      <c r="J23" s="412"/>
      <c r="K23" s="66" t="s">
        <v>417</v>
      </c>
      <c r="L23" s="64">
        <v>180.2</v>
      </c>
      <c r="M23" s="64">
        <v>227.8</v>
      </c>
      <c r="N23" s="64">
        <v>180.2</v>
      </c>
      <c r="O23" s="64">
        <v>181.7</v>
      </c>
    </row>
    <row r="24" spans="1:15">
      <c r="J24" s="412"/>
      <c r="K24" s="66" t="s">
        <v>418</v>
      </c>
      <c r="L24" s="64">
        <v>180</v>
      </c>
      <c r="M24" s="64">
        <v>225</v>
      </c>
      <c r="N24" s="64">
        <v>180</v>
      </c>
      <c r="O24" s="64">
        <v>182</v>
      </c>
    </row>
    <row r="25" spans="1:15">
      <c r="J25" s="412"/>
      <c r="K25" s="66" t="s">
        <v>420</v>
      </c>
      <c r="L25" s="64">
        <v>180.2</v>
      </c>
      <c r="M25" s="64">
        <v>271.39999999999998</v>
      </c>
      <c r="N25" s="64">
        <v>180.2</v>
      </c>
      <c r="O25" s="64">
        <v>182.5</v>
      </c>
    </row>
    <row r="26" spans="1:15">
      <c r="J26" s="412"/>
      <c r="K26" s="66" t="s">
        <v>422</v>
      </c>
      <c r="L26" s="64">
        <v>180</v>
      </c>
      <c r="M26" s="64">
        <v>199.1</v>
      </c>
      <c r="N26" s="64">
        <v>180</v>
      </c>
      <c r="O26" s="64">
        <v>180.1</v>
      </c>
    </row>
    <row r="27" spans="1:15">
      <c r="J27" s="412"/>
      <c r="K27" s="66" t="s">
        <v>423</v>
      </c>
      <c r="L27" s="64">
        <v>181.3</v>
      </c>
      <c r="M27" s="64">
        <v>263.8</v>
      </c>
      <c r="N27" s="64">
        <v>181.3</v>
      </c>
      <c r="O27" s="64">
        <v>188.2</v>
      </c>
    </row>
    <row r="28" spans="1:15">
      <c r="J28" s="412"/>
      <c r="K28" s="66" t="s">
        <v>424</v>
      </c>
      <c r="L28" s="64">
        <v>181.7</v>
      </c>
      <c r="M28" s="64">
        <v>252.8</v>
      </c>
      <c r="N28" s="64">
        <v>181.7</v>
      </c>
      <c r="O28" s="64">
        <v>194.9</v>
      </c>
    </row>
    <row r="29" spans="1:15">
      <c r="H29" s="201"/>
      <c r="J29" s="412"/>
      <c r="K29" s="66" t="s">
        <v>426</v>
      </c>
      <c r="L29" s="64">
        <v>180.3</v>
      </c>
      <c r="M29" s="64">
        <v>267.89999999999998</v>
      </c>
      <c r="N29" s="64">
        <v>180.3</v>
      </c>
      <c r="O29" s="64">
        <v>184</v>
      </c>
    </row>
    <row r="30" spans="1:15">
      <c r="J30" s="412"/>
      <c r="K30" s="66" t="s">
        <v>427</v>
      </c>
      <c r="L30" s="64">
        <v>180.7</v>
      </c>
      <c r="M30" s="64">
        <v>260.89999999999998</v>
      </c>
      <c r="N30" s="64">
        <v>180.7</v>
      </c>
      <c r="O30" s="64">
        <v>186.2</v>
      </c>
    </row>
    <row r="31" spans="1:15">
      <c r="J31" s="412"/>
      <c r="K31" s="66" t="s">
        <v>428</v>
      </c>
      <c r="L31" s="101">
        <v>180.16451612903231</v>
      </c>
      <c r="M31" s="101">
        <v>255.4</v>
      </c>
      <c r="N31" s="101">
        <v>180.16451612903231</v>
      </c>
      <c r="O31" s="101">
        <v>184.8</v>
      </c>
    </row>
    <row r="32" spans="1:15">
      <c r="J32" s="412"/>
      <c r="K32" s="66" t="s">
        <v>429</v>
      </c>
      <c r="L32" s="101">
        <v>180.21333333333334</v>
      </c>
      <c r="M32" s="101">
        <v>243.4</v>
      </c>
      <c r="N32" s="101">
        <v>180.21333333333334</v>
      </c>
      <c r="O32" s="101">
        <v>186.4</v>
      </c>
    </row>
    <row r="33" spans="1:15">
      <c r="J33" s="412"/>
      <c r="K33" s="66" t="s">
        <v>430</v>
      </c>
      <c r="L33" s="101">
        <v>180.67500000000001</v>
      </c>
      <c r="M33" s="101">
        <v>254.1</v>
      </c>
      <c r="N33" s="101">
        <v>180.67500000000001</v>
      </c>
      <c r="O33" s="101">
        <v>185.1</v>
      </c>
    </row>
    <row r="34" spans="1:15">
      <c r="J34" s="412"/>
      <c r="K34" s="62" t="s">
        <v>431</v>
      </c>
      <c r="L34" s="62">
        <f>AVERAGE(L22:L33)</f>
        <v>180.45440412186383</v>
      </c>
      <c r="M34" s="62">
        <f>MAX(M22:M33)</f>
        <v>271.39999999999998</v>
      </c>
      <c r="N34" s="62">
        <f>AVERAGE(N22:N33)</f>
        <v>180.45440412186383</v>
      </c>
      <c r="O34" s="62">
        <f>MAX(O22:O33)</f>
        <v>194.9</v>
      </c>
    </row>
    <row r="36" spans="1:15" ht="30">
      <c r="J36" s="61">
        <f>+A6</f>
        <v>2022</v>
      </c>
      <c r="K36" s="61" t="s">
        <v>413</v>
      </c>
      <c r="L36" s="67" t="s">
        <v>408</v>
      </c>
      <c r="M36" s="67" t="s">
        <v>414</v>
      </c>
      <c r="N36" s="67" t="s">
        <v>411</v>
      </c>
      <c r="O36" s="67" t="s">
        <v>415</v>
      </c>
    </row>
    <row r="37" spans="1:15">
      <c r="J37" s="412" t="s">
        <v>196</v>
      </c>
      <c r="K37" s="66" t="s">
        <v>416</v>
      </c>
      <c r="L37" s="64"/>
      <c r="M37" s="64"/>
      <c r="N37" s="64"/>
      <c r="O37" s="64"/>
    </row>
    <row r="38" spans="1:15">
      <c r="J38" s="412"/>
      <c r="K38" s="66" t="s">
        <v>417</v>
      </c>
      <c r="L38" s="64"/>
      <c r="M38" s="64"/>
      <c r="N38" s="64"/>
      <c r="O38" s="64"/>
    </row>
    <row r="39" spans="1:15">
      <c r="J39" s="412"/>
      <c r="K39" s="66" t="s">
        <v>418</v>
      </c>
      <c r="L39" s="64"/>
      <c r="M39" s="64"/>
      <c r="N39" s="64"/>
      <c r="O39" s="64"/>
    </row>
    <row r="40" spans="1:15">
      <c r="J40" s="412"/>
      <c r="K40" s="66" t="s">
        <v>420</v>
      </c>
      <c r="L40" s="64"/>
      <c r="M40" s="64"/>
      <c r="N40" s="64"/>
      <c r="O40" s="64"/>
    </row>
    <row r="41" spans="1:15">
      <c r="J41" s="412"/>
      <c r="K41" s="66" t="s">
        <v>422</v>
      </c>
      <c r="L41" s="64"/>
      <c r="M41" s="64"/>
      <c r="N41" s="64"/>
      <c r="O41" s="64"/>
    </row>
    <row r="42" spans="1:15">
      <c r="J42" s="412"/>
      <c r="K42" s="66" t="s">
        <v>423</v>
      </c>
      <c r="L42" s="64"/>
      <c r="M42" s="64"/>
      <c r="N42" s="64"/>
      <c r="O42" s="64"/>
    </row>
    <row r="43" spans="1:15">
      <c r="J43" s="412"/>
      <c r="K43" s="66" t="s">
        <v>424</v>
      </c>
      <c r="L43" s="64"/>
      <c r="M43" s="64"/>
      <c r="N43" s="64"/>
      <c r="O43" s="64"/>
    </row>
    <row r="44" spans="1:15">
      <c r="J44" s="412"/>
      <c r="K44" s="66" t="s">
        <v>426</v>
      </c>
      <c r="L44" s="64"/>
      <c r="M44" s="64"/>
      <c r="N44" s="64"/>
      <c r="O44" s="64"/>
    </row>
    <row r="45" spans="1:15">
      <c r="J45" s="412"/>
      <c r="K45" s="66" t="s">
        <v>427</v>
      </c>
      <c r="L45" s="64"/>
      <c r="M45" s="64"/>
      <c r="N45" s="64"/>
      <c r="O45" s="64"/>
    </row>
    <row r="46" spans="1:15">
      <c r="J46" s="412"/>
      <c r="K46" s="66" t="s">
        <v>428</v>
      </c>
      <c r="L46" s="64"/>
      <c r="M46" s="64"/>
      <c r="N46" s="64"/>
      <c r="O46" s="64"/>
    </row>
    <row r="47" spans="1:15">
      <c r="J47" s="412"/>
      <c r="K47" s="66" t="s">
        <v>429</v>
      </c>
      <c r="L47" s="64"/>
      <c r="M47" s="64"/>
      <c r="N47" s="64"/>
      <c r="O47" s="64"/>
    </row>
    <row r="48" spans="1:15" ht="15">
      <c r="A48" s="424" t="s">
        <v>324</v>
      </c>
      <c r="B48" s="425"/>
      <c r="C48" s="425"/>
      <c r="D48" s="425"/>
      <c r="E48" s="425"/>
      <c r="F48" s="425"/>
      <c r="G48" s="426"/>
      <c r="J48" s="412"/>
      <c r="K48" s="66" t="s">
        <v>430</v>
      </c>
      <c r="L48" s="64"/>
      <c r="M48" s="64"/>
      <c r="N48" s="64"/>
      <c r="O48" s="64"/>
    </row>
    <row r="49" spans="1:15">
      <c r="A49" s="415"/>
      <c r="B49" s="416"/>
      <c r="C49" s="416"/>
      <c r="D49" s="416"/>
      <c r="E49" s="416"/>
      <c r="F49" s="416"/>
      <c r="G49" s="417"/>
      <c r="J49" s="412"/>
      <c r="K49" s="62" t="s">
        <v>431</v>
      </c>
      <c r="L49" s="62" t="e">
        <f>AVERAGE(L37:L48)</f>
        <v>#DIV/0!</v>
      </c>
      <c r="M49" s="62">
        <f>MAX(M37:M48)</f>
        <v>0</v>
      </c>
      <c r="N49" s="62" t="e">
        <f>AVERAGE(N37:N48)</f>
        <v>#DIV/0!</v>
      </c>
      <c r="O49" s="62">
        <f>MAX(O37:O48)</f>
        <v>0</v>
      </c>
    </row>
    <row r="50" spans="1:15">
      <c r="A50" s="418"/>
      <c r="B50" s="419"/>
      <c r="C50" s="419"/>
      <c r="D50" s="419"/>
      <c r="E50" s="419"/>
      <c r="F50" s="419"/>
      <c r="G50" s="420"/>
    </row>
    <row r="51" spans="1:15" ht="30">
      <c r="A51" s="418"/>
      <c r="B51" s="419"/>
      <c r="C51" s="419"/>
      <c r="D51" s="419"/>
      <c r="E51" s="419"/>
      <c r="F51" s="419"/>
      <c r="G51" s="420"/>
      <c r="J51" s="61">
        <f>+A6</f>
        <v>2022</v>
      </c>
      <c r="K51" s="61" t="s">
        <v>413</v>
      </c>
      <c r="L51" s="67" t="s">
        <v>408</v>
      </c>
      <c r="M51" s="67" t="s">
        <v>414</v>
      </c>
      <c r="N51" s="67" t="s">
        <v>411</v>
      </c>
      <c r="O51" s="67" t="s">
        <v>415</v>
      </c>
    </row>
    <row r="52" spans="1:15">
      <c r="A52" s="421"/>
      <c r="B52" s="422"/>
      <c r="C52" s="422"/>
      <c r="D52" s="422"/>
      <c r="E52" s="422"/>
      <c r="F52" s="422"/>
      <c r="G52" s="423"/>
      <c r="J52" s="412" t="s">
        <v>197</v>
      </c>
      <c r="K52" s="66" t="s">
        <v>416</v>
      </c>
      <c r="L52" s="64"/>
      <c r="M52" s="64"/>
      <c r="N52" s="64"/>
      <c r="O52" s="64"/>
    </row>
    <row r="53" spans="1:15">
      <c r="J53" s="412"/>
      <c r="K53" s="66" t="s">
        <v>417</v>
      </c>
      <c r="L53" s="64"/>
      <c r="M53" s="64"/>
      <c r="N53" s="64"/>
      <c r="O53" s="64"/>
    </row>
    <row r="54" spans="1:15">
      <c r="J54" s="412"/>
      <c r="K54" s="66" t="s">
        <v>418</v>
      </c>
      <c r="L54" s="64"/>
      <c r="M54" s="64"/>
      <c r="N54" s="64"/>
      <c r="O54" s="64"/>
    </row>
    <row r="55" spans="1:15">
      <c r="J55" s="412"/>
      <c r="K55" s="66" t="s">
        <v>420</v>
      </c>
      <c r="L55" s="64"/>
      <c r="M55" s="64"/>
      <c r="N55" s="64"/>
      <c r="O55" s="64"/>
    </row>
    <row r="56" spans="1:15">
      <c r="J56" s="412"/>
      <c r="K56" s="66" t="s">
        <v>422</v>
      </c>
      <c r="L56" s="64"/>
      <c r="M56" s="64"/>
      <c r="N56" s="64"/>
      <c r="O56" s="64"/>
    </row>
    <row r="57" spans="1:15">
      <c r="J57" s="412"/>
      <c r="K57" s="66" t="s">
        <v>423</v>
      </c>
      <c r="L57" s="64"/>
      <c r="M57" s="64"/>
      <c r="N57" s="64"/>
      <c r="O57" s="64"/>
    </row>
    <row r="58" spans="1:15">
      <c r="J58" s="412"/>
      <c r="K58" s="66" t="s">
        <v>424</v>
      </c>
      <c r="L58" s="64"/>
      <c r="M58" s="64"/>
      <c r="N58" s="64"/>
      <c r="O58" s="64"/>
    </row>
    <row r="59" spans="1:15">
      <c r="J59" s="412"/>
      <c r="K59" s="66" t="s">
        <v>426</v>
      </c>
      <c r="L59" s="64"/>
      <c r="M59" s="64"/>
      <c r="N59" s="64"/>
      <c r="O59" s="64"/>
    </row>
    <row r="60" spans="1:15">
      <c r="J60" s="412"/>
      <c r="K60" s="66" t="s">
        <v>427</v>
      </c>
      <c r="L60" s="64"/>
      <c r="M60" s="64"/>
      <c r="N60" s="64"/>
      <c r="O60" s="64"/>
    </row>
    <row r="61" spans="1:15">
      <c r="J61" s="412"/>
      <c r="K61" s="66" t="s">
        <v>428</v>
      </c>
      <c r="L61" s="64"/>
      <c r="M61" s="64"/>
      <c r="N61" s="64"/>
      <c r="O61" s="64"/>
    </row>
    <row r="62" spans="1:15">
      <c r="J62" s="412"/>
      <c r="K62" s="66" t="s">
        <v>429</v>
      </c>
      <c r="L62" s="64"/>
      <c r="M62" s="64"/>
      <c r="N62" s="64"/>
      <c r="O62" s="64"/>
    </row>
    <row r="63" spans="1:15">
      <c r="J63" s="412"/>
      <c r="K63" s="66" t="s">
        <v>430</v>
      </c>
      <c r="L63" s="64"/>
      <c r="M63" s="64"/>
      <c r="N63" s="64"/>
      <c r="O63" s="64"/>
    </row>
    <row r="64" spans="1:15">
      <c r="J64" s="412"/>
      <c r="K64" s="62" t="s">
        <v>431</v>
      </c>
      <c r="L64" s="62" t="e">
        <f>AVERAGE(L52:L63)</f>
        <v>#DIV/0!</v>
      </c>
      <c r="M64" s="62">
        <f>MAX(M52:M63)</f>
        <v>0</v>
      </c>
      <c r="N64" s="62" t="e">
        <f>AVERAGE(N52:N63)</f>
        <v>#DIV/0!</v>
      </c>
      <c r="O64" s="62">
        <f>MAX(O52:O63)</f>
        <v>0</v>
      </c>
    </row>
    <row r="66" spans="10:15" ht="30">
      <c r="J66" s="61">
        <f>+A6</f>
        <v>2022</v>
      </c>
      <c r="K66" s="61" t="s">
        <v>413</v>
      </c>
      <c r="L66" s="67" t="s">
        <v>408</v>
      </c>
      <c r="M66" s="67" t="s">
        <v>414</v>
      </c>
      <c r="N66" s="67" t="s">
        <v>411</v>
      </c>
      <c r="O66" s="67" t="s">
        <v>415</v>
      </c>
    </row>
    <row r="67" spans="10:15">
      <c r="J67" s="412" t="s">
        <v>198</v>
      </c>
      <c r="K67" s="66" t="s">
        <v>416</v>
      </c>
      <c r="L67" s="64"/>
      <c r="M67" s="64"/>
      <c r="N67" s="64"/>
      <c r="O67" s="64"/>
    </row>
    <row r="68" spans="10:15">
      <c r="J68" s="412"/>
      <c r="K68" s="66" t="s">
        <v>417</v>
      </c>
      <c r="L68" s="64"/>
      <c r="M68" s="64"/>
      <c r="N68" s="64"/>
      <c r="O68" s="64"/>
    </row>
    <row r="69" spans="10:15">
      <c r="J69" s="412"/>
      <c r="K69" s="66" t="s">
        <v>418</v>
      </c>
      <c r="L69" s="64"/>
      <c r="M69" s="64"/>
      <c r="N69" s="64"/>
      <c r="O69" s="64"/>
    </row>
    <row r="70" spans="10:15">
      <c r="J70" s="412"/>
      <c r="K70" s="66" t="s">
        <v>420</v>
      </c>
      <c r="L70" s="64"/>
      <c r="M70" s="64"/>
      <c r="N70" s="64"/>
      <c r="O70" s="64"/>
    </row>
    <row r="71" spans="10:15">
      <c r="J71" s="412"/>
      <c r="K71" s="66" t="s">
        <v>422</v>
      </c>
      <c r="L71" s="64"/>
      <c r="M71" s="64"/>
      <c r="N71" s="64"/>
      <c r="O71" s="64"/>
    </row>
    <row r="72" spans="10:15">
      <c r="J72" s="412"/>
      <c r="K72" s="66" t="s">
        <v>423</v>
      </c>
      <c r="L72" s="64"/>
      <c r="M72" s="64"/>
      <c r="N72" s="64"/>
      <c r="O72" s="64"/>
    </row>
    <row r="73" spans="10:15">
      <c r="J73" s="412"/>
      <c r="K73" s="66" t="s">
        <v>424</v>
      </c>
      <c r="L73" s="64"/>
      <c r="M73" s="64"/>
      <c r="N73" s="64"/>
      <c r="O73" s="64"/>
    </row>
    <row r="74" spans="10:15">
      <c r="J74" s="412"/>
      <c r="K74" s="66" t="s">
        <v>426</v>
      </c>
      <c r="L74" s="64"/>
      <c r="M74" s="64"/>
      <c r="N74" s="64"/>
      <c r="O74" s="64"/>
    </row>
    <row r="75" spans="10:15">
      <c r="J75" s="412"/>
      <c r="K75" s="66" t="s">
        <v>427</v>
      </c>
      <c r="L75" s="64"/>
      <c r="M75" s="64"/>
      <c r="N75" s="64"/>
      <c r="O75" s="64"/>
    </row>
    <row r="76" spans="10:15">
      <c r="J76" s="412"/>
      <c r="K76" s="66" t="s">
        <v>428</v>
      </c>
      <c r="L76" s="64"/>
      <c r="M76" s="64"/>
      <c r="N76" s="64"/>
      <c r="O76" s="64"/>
    </row>
    <row r="77" spans="10:15">
      <c r="J77" s="412"/>
      <c r="K77" s="66" t="s">
        <v>429</v>
      </c>
      <c r="L77" s="64"/>
      <c r="M77" s="64"/>
      <c r="N77" s="64"/>
      <c r="O77" s="64"/>
    </row>
    <row r="78" spans="10:15">
      <c r="J78" s="412"/>
      <c r="K78" s="66" t="s">
        <v>430</v>
      </c>
      <c r="L78" s="64"/>
      <c r="M78" s="64"/>
      <c r="N78" s="64"/>
      <c r="O78" s="64"/>
    </row>
    <row r="79" spans="10:15">
      <c r="J79" s="412"/>
      <c r="K79" s="62" t="s">
        <v>431</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zoomScale="85" zoomScaleNormal="85" zoomScaleSheetLayoutView="100" workbookViewId="0">
      <selection activeCell="L26" sqref="L26"/>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Suffolk Energy from Waste Facility</v>
      </c>
    </row>
    <row r="3" spans="1:19" ht="15">
      <c r="A3" s="60" t="s">
        <v>438</v>
      </c>
      <c r="D3" s="76" t="s">
        <v>400</v>
      </c>
      <c r="G3" s="193" t="s">
        <v>401</v>
      </c>
      <c r="J3" s="9" t="str">
        <f>+A3</f>
        <v>Monitoring of Total organic carbon emissions</v>
      </c>
      <c r="L3" s="9"/>
      <c r="N3" s="9" t="s">
        <v>402</v>
      </c>
      <c r="Q3" s="79" t="s">
        <v>3</v>
      </c>
      <c r="R3" s="74"/>
      <c r="S3" s="74"/>
    </row>
    <row r="4" spans="1:19" ht="13.9" customHeight="1">
      <c r="Q4" s="388" t="s">
        <v>403</v>
      </c>
      <c r="R4" s="388"/>
      <c r="S4" s="388"/>
    </row>
    <row r="5" spans="1:19" ht="17.25">
      <c r="A5" s="68" t="s">
        <v>404</v>
      </c>
      <c r="B5" s="414" t="s">
        <v>405</v>
      </c>
      <c r="C5" s="414"/>
      <c r="D5" s="414"/>
      <c r="E5" s="414" t="s">
        <v>406</v>
      </c>
      <c r="F5" s="414"/>
      <c r="G5" s="414"/>
      <c r="J5" s="413"/>
      <c r="K5" s="413"/>
      <c r="L5" s="413"/>
      <c r="M5" s="413"/>
      <c r="N5" s="413"/>
      <c r="O5" s="413"/>
      <c r="Q5" s="388"/>
      <c r="R5" s="388"/>
      <c r="S5" s="388"/>
    </row>
    <row r="6" spans="1:19" s="58" customFormat="1" ht="37.5" customHeight="1">
      <c r="A6" s="65">
        <f>+'Cover Page'!C39</f>
        <v>2022</v>
      </c>
      <c r="B6" s="55" t="s">
        <v>439</v>
      </c>
      <c r="C6" s="55" t="s">
        <v>408</v>
      </c>
      <c r="D6" s="55" t="s">
        <v>409</v>
      </c>
      <c r="E6" s="55" t="s">
        <v>440</v>
      </c>
      <c r="F6" s="55" t="s">
        <v>411</v>
      </c>
      <c r="G6" s="55" t="s">
        <v>412</v>
      </c>
      <c r="H6" s="59"/>
      <c r="J6" s="61">
        <f>+A6</f>
        <v>2022</v>
      </c>
      <c r="K6" s="61" t="s">
        <v>413</v>
      </c>
      <c r="L6" s="67" t="s">
        <v>408</v>
      </c>
      <c r="M6" s="67" t="s">
        <v>414</v>
      </c>
      <c r="N6" s="67" t="s">
        <v>411</v>
      </c>
      <c r="O6" s="67" t="s">
        <v>415</v>
      </c>
      <c r="Q6" s="388"/>
      <c r="R6" s="388"/>
      <c r="S6" s="388"/>
    </row>
    <row r="7" spans="1:19">
      <c r="A7" s="66" t="s">
        <v>416</v>
      </c>
      <c r="B7" s="63">
        <v>20</v>
      </c>
      <c r="C7" s="64">
        <f>AVERAGE(L7,L22)</f>
        <v>0.4</v>
      </c>
      <c r="D7" s="64">
        <f>AVERAGE(M7,M22)</f>
        <v>3.2</v>
      </c>
      <c r="E7" s="63">
        <v>10</v>
      </c>
      <c r="F7" s="64">
        <f>AVERAGE(N7,N22)</f>
        <v>0.4</v>
      </c>
      <c r="G7" s="64">
        <f>AVERAGE(O7,O22)</f>
        <v>0.65</v>
      </c>
      <c r="J7" s="412" t="s">
        <v>194</v>
      </c>
      <c r="K7" s="66" t="s">
        <v>416</v>
      </c>
      <c r="L7" s="64">
        <v>0.4</v>
      </c>
      <c r="M7" s="64">
        <v>1.2</v>
      </c>
      <c r="N7" s="64">
        <v>0.4</v>
      </c>
      <c r="O7" s="64">
        <v>0.8</v>
      </c>
      <c r="Q7" s="388"/>
      <c r="R7" s="388"/>
      <c r="S7" s="388"/>
    </row>
    <row r="8" spans="1:19">
      <c r="A8" s="66" t="s">
        <v>417</v>
      </c>
      <c r="B8" s="63">
        <v>20</v>
      </c>
      <c r="C8" s="64">
        <f t="shared" ref="C8:D8" si="0">AVERAGE(L8,L23)</f>
        <v>0.4</v>
      </c>
      <c r="D8" s="64">
        <f t="shared" si="0"/>
        <v>4.4000000000000004</v>
      </c>
      <c r="E8" s="63">
        <v>10</v>
      </c>
      <c r="F8" s="64">
        <f t="shared" ref="F8:G8" si="1">AVERAGE(N8,N23)</f>
        <v>0.4</v>
      </c>
      <c r="G8" s="64">
        <f t="shared" si="1"/>
        <v>0.7</v>
      </c>
      <c r="J8" s="412"/>
      <c r="K8" s="66" t="s">
        <v>417</v>
      </c>
      <c r="L8" s="64">
        <v>0.4</v>
      </c>
      <c r="M8" s="64">
        <v>6.4</v>
      </c>
      <c r="N8" s="64">
        <v>0.4</v>
      </c>
      <c r="O8" s="64">
        <v>0.7</v>
      </c>
      <c r="Q8" s="388"/>
      <c r="R8" s="388"/>
      <c r="S8" s="388"/>
    </row>
    <row r="9" spans="1:19" ht="15">
      <c r="A9" s="66" t="s">
        <v>418</v>
      </c>
      <c r="B9" s="63">
        <v>20</v>
      </c>
      <c r="C9" s="64">
        <f t="shared" ref="C9:D9" si="2">AVERAGE(L9,L24)</f>
        <v>0.4</v>
      </c>
      <c r="D9" s="64">
        <f t="shared" si="2"/>
        <v>7.95</v>
      </c>
      <c r="E9" s="63">
        <v>10</v>
      </c>
      <c r="F9" s="64">
        <f t="shared" ref="F9:G9" si="3">AVERAGE(N9,N24)</f>
        <v>0.4</v>
      </c>
      <c r="G9" s="64">
        <f t="shared" si="3"/>
        <v>0.55000000000000004</v>
      </c>
      <c r="J9" s="412"/>
      <c r="K9" s="66" t="s">
        <v>418</v>
      </c>
      <c r="L9" s="64">
        <v>0.4</v>
      </c>
      <c r="M9" s="64">
        <v>14.8</v>
      </c>
      <c r="N9" s="64">
        <v>0.4</v>
      </c>
      <c r="O9" s="64">
        <v>0.6</v>
      </c>
      <c r="Q9" s="78" t="s">
        <v>419</v>
      </c>
    </row>
    <row r="10" spans="1:19" ht="14.25" customHeight="1">
      <c r="A10" s="66" t="s">
        <v>420</v>
      </c>
      <c r="B10" s="63">
        <v>20</v>
      </c>
      <c r="C10" s="64">
        <f t="shared" ref="C10:D10" si="4">AVERAGE(L10,L25)</f>
        <v>0.45</v>
      </c>
      <c r="D10" s="64">
        <f t="shared" si="4"/>
        <v>9.2000000000000011</v>
      </c>
      <c r="E10" s="63">
        <v>10</v>
      </c>
      <c r="F10" s="64">
        <f t="shared" ref="F10:G10" si="5">AVERAGE(N10,N25)</f>
        <v>0.45</v>
      </c>
      <c r="G10" s="64">
        <f t="shared" si="5"/>
        <v>0.8</v>
      </c>
      <c r="J10" s="412"/>
      <c r="K10" s="66" t="s">
        <v>420</v>
      </c>
      <c r="L10" s="64">
        <v>0.4</v>
      </c>
      <c r="M10" s="64">
        <v>2.6</v>
      </c>
      <c r="N10" s="64">
        <v>0.4</v>
      </c>
      <c r="O10" s="64">
        <v>0.6</v>
      </c>
      <c r="Q10" s="411" t="s">
        <v>421</v>
      </c>
      <c r="R10" s="411"/>
      <c r="S10" s="411"/>
    </row>
    <row r="11" spans="1:19">
      <c r="A11" s="66" t="s">
        <v>422</v>
      </c>
      <c r="B11" s="63">
        <v>20</v>
      </c>
      <c r="C11" s="64">
        <f t="shared" ref="C11:D11" si="6">AVERAGE(L11,L26)</f>
        <v>0.75</v>
      </c>
      <c r="D11" s="64">
        <f t="shared" si="6"/>
        <v>2</v>
      </c>
      <c r="E11" s="63">
        <v>10</v>
      </c>
      <c r="F11" s="64">
        <f t="shared" ref="F11:G11" si="7">AVERAGE(N11,N26)</f>
        <v>0.75</v>
      </c>
      <c r="G11" s="64">
        <f t="shared" si="7"/>
        <v>1.1000000000000001</v>
      </c>
      <c r="J11" s="412"/>
      <c r="K11" s="66" t="s">
        <v>422</v>
      </c>
      <c r="L11" s="64">
        <v>0.8</v>
      </c>
      <c r="M11" s="64">
        <v>2.2999999999999998</v>
      </c>
      <c r="N11" s="64">
        <v>0.8</v>
      </c>
      <c r="O11" s="64">
        <v>1.5</v>
      </c>
      <c r="Q11" s="411"/>
      <c r="R11" s="411"/>
      <c r="S11" s="411"/>
    </row>
    <row r="12" spans="1:19">
      <c r="A12" s="66" t="s">
        <v>423</v>
      </c>
      <c r="B12" s="63">
        <v>20</v>
      </c>
      <c r="C12" s="64">
        <f t="shared" ref="C12:D12" si="8">AVERAGE(L12,L27)</f>
        <v>0.6</v>
      </c>
      <c r="D12" s="64">
        <f t="shared" si="8"/>
        <v>18.5</v>
      </c>
      <c r="E12" s="63">
        <v>10</v>
      </c>
      <c r="F12" s="64">
        <f t="shared" ref="F12:G12" si="9">AVERAGE(N12,N27)</f>
        <v>0.6</v>
      </c>
      <c r="G12" s="64">
        <f t="shared" si="9"/>
        <v>1.1000000000000001</v>
      </c>
      <c r="J12" s="412"/>
      <c r="K12" s="66" t="s">
        <v>423</v>
      </c>
      <c r="L12" s="64">
        <v>0.6</v>
      </c>
      <c r="M12" s="64">
        <v>10.4</v>
      </c>
      <c r="N12" s="64">
        <v>0.6</v>
      </c>
      <c r="O12" s="64">
        <v>0.9</v>
      </c>
      <c r="Q12" s="411"/>
      <c r="R12" s="411"/>
      <c r="S12" s="411"/>
    </row>
    <row r="13" spans="1:19" ht="14.25" customHeight="1">
      <c r="A13" s="66" t="s">
        <v>424</v>
      </c>
      <c r="B13" s="63">
        <v>20</v>
      </c>
      <c r="C13" s="64">
        <f t="shared" ref="C13:D13" si="10">AVERAGE(L13,L28)</f>
        <v>0.6</v>
      </c>
      <c r="D13" s="64">
        <f t="shared" si="10"/>
        <v>17</v>
      </c>
      <c r="E13" s="63">
        <v>10</v>
      </c>
      <c r="F13" s="64">
        <f t="shared" ref="F13:G13" si="11">AVERAGE(N13,N28)</f>
        <v>0.6</v>
      </c>
      <c r="G13" s="64">
        <f t="shared" si="11"/>
        <v>0.95000000000000007</v>
      </c>
      <c r="J13" s="412"/>
      <c r="K13" s="66" t="s">
        <v>424</v>
      </c>
      <c r="L13" s="64">
        <v>0.6</v>
      </c>
      <c r="M13" s="64">
        <v>22.8</v>
      </c>
      <c r="N13" s="64">
        <v>0.6</v>
      </c>
      <c r="O13" s="64">
        <v>1.1000000000000001</v>
      </c>
      <c r="Q13" s="411" t="s">
        <v>425</v>
      </c>
      <c r="R13" s="411"/>
      <c r="S13" s="411"/>
    </row>
    <row r="14" spans="1:19">
      <c r="A14" s="66" t="s">
        <v>426</v>
      </c>
      <c r="B14" s="63">
        <v>20</v>
      </c>
      <c r="C14" s="64">
        <f t="shared" ref="C14:D14" si="12">AVERAGE(L14,L29)</f>
        <v>0.6</v>
      </c>
      <c r="D14" s="64">
        <f t="shared" si="12"/>
        <v>11.549999999999999</v>
      </c>
      <c r="E14" s="63">
        <v>10</v>
      </c>
      <c r="F14" s="64">
        <f t="shared" ref="F14:G14" si="13">AVERAGE(N14,N29)</f>
        <v>0.6</v>
      </c>
      <c r="G14" s="64">
        <f t="shared" si="13"/>
        <v>0.75</v>
      </c>
      <c r="J14" s="412"/>
      <c r="K14" s="66" t="s">
        <v>426</v>
      </c>
      <c r="L14" s="64">
        <v>0.6</v>
      </c>
      <c r="M14" s="64">
        <v>19.399999999999999</v>
      </c>
      <c r="N14" s="64">
        <v>0.6</v>
      </c>
      <c r="O14" s="64">
        <v>0.8</v>
      </c>
      <c r="Q14" s="411"/>
      <c r="R14" s="411"/>
      <c r="S14" s="411"/>
    </row>
    <row r="15" spans="1:19">
      <c r="A15" s="66" t="s">
        <v>427</v>
      </c>
      <c r="B15" s="63">
        <v>20</v>
      </c>
      <c r="C15" s="64">
        <f t="shared" ref="C15:D15" si="14">AVERAGE(L15,L30)</f>
        <v>0.5</v>
      </c>
      <c r="D15" s="64">
        <f t="shared" si="14"/>
        <v>6.35</v>
      </c>
      <c r="E15" s="63">
        <v>10</v>
      </c>
      <c r="F15" s="64">
        <f t="shared" ref="F15:G15" si="15">AVERAGE(N15,N30)</f>
        <v>0.5</v>
      </c>
      <c r="G15" s="64">
        <f t="shared" si="15"/>
        <v>0.7</v>
      </c>
      <c r="J15" s="412"/>
      <c r="K15" s="66" t="s">
        <v>427</v>
      </c>
      <c r="L15" s="64">
        <v>0.5</v>
      </c>
      <c r="M15" s="64">
        <v>2.2999999999999998</v>
      </c>
      <c r="N15" s="64">
        <v>0.5</v>
      </c>
      <c r="O15" s="64">
        <v>0.7</v>
      </c>
      <c r="Q15" s="411"/>
      <c r="R15" s="411"/>
      <c r="S15" s="411"/>
    </row>
    <row r="16" spans="1:19">
      <c r="A16" s="66" t="s">
        <v>428</v>
      </c>
      <c r="B16" s="63">
        <v>20</v>
      </c>
      <c r="C16" s="64">
        <f t="shared" ref="C16:D16" si="16">AVERAGE(L16,L31)</f>
        <v>0.44354838709677424</v>
      </c>
      <c r="D16" s="64">
        <f t="shared" si="16"/>
        <v>8.9499999999999993</v>
      </c>
      <c r="E16" s="63">
        <v>10</v>
      </c>
      <c r="F16" s="64">
        <f t="shared" ref="F16:G16" si="17">AVERAGE(N16,N31)</f>
        <v>0.44354838709677424</v>
      </c>
      <c r="G16" s="64">
        <f t="shared" si="17"/>
        <v>0.6</v>
      </c>
      <c r="J16" s="412"/>
      <c r="K16" s="66" t="s">
        <v>428</v>
      </c>
      <c r="L16" s="101">
        <v>0.45483870967741941</v>
      </c>
      <c r="M16" s="101">
        <v>8</v>
      </c>
      <c r="N16" s="101">
        <v>0.45483870967741941</v>
      </c>
      <c r="O16" s="101">
        <v>0.6</v>
      </c>
      <c r="Q16" s="411"/>
      <c r="R16" s="411"/>
      <c r="S16" s="411"/>
    </row>
    <row r="17" spans="1:15">
      <c r="A17" s="66" t="s">
        <v>429</v>
      </c>
      <c r="B17" s="63">
        <v>20</v>
      </c>
      <c r="C17" s="64">
        <f t="shared" ref="C17:D17" si="18">AVERAGE(L17,L32)</f>
        <v>0.9850000000000001</v>
      </c>
      <c r="D17" s="64">
        <f t="shared" si="18"/>
        <v>81.75</v>
      </c>
      <c r="E17" s="63">
        <v>10</v>
      </c>
      <c r="F17" s="64">
        <f t="shared" ref="F17:G17" si="19">AVERAGE(N17,N32)</f>
        <v>0.9850000000000001</v>
      </c>
      <c r="G17" s="64">
        <f t="shared" si="19"/>
        <v>18.3</v>
      </c>
      <c r="J17" s="412"/>
      <c r="K17" s="66" t="s">
        <v>429</v>
      </c>
      <c r="L17" s="101">
        <v>1.5933333333333335</v>
      </c>
      <c r="M17" s="101">
        <v>158</v>
      </c>
      <c r="N17" s="101">
        <v>1.5933333333333335</v>
      </c>
      <c r="O17" s="101">
        <v>36.1</v>
      </c>
    </row>
    <row r="18" spans="1:15">
      <c r="A18" s="66" t="s">
        <v>430</v>
      </c>
      <c r="B18" s="63">
        <v>20</v>
      </c>
      <c r="C18" s="64">
        <f t="shared" ref="C18:D18" si="20">AVERAGE(L18,L33)</f>
        <v>0.42757936507936523</v>
      </c>
      <c r="D18" s="64">
        <f t="shared" si="20"/>
        <v>4.45</v>
      </c>
      <c r="E18" s="63">
        <v>10</v>
      </c>
      <c r="F18" s="64">
        <f t="shared" ref="F18:G18" si="21">AVERAGE(N18,N33)</f>
        <v>0.42757936507936523</v>
      </c>
      <c r="G18" s="64">
        <f t="shared" si="21"/>
        <v>0.7</v>
      </c>
      <c r="J18" s="412"/>
      <c r="K18" s="66" t="s">
        <v>430</v>
      </c>
      <c r="L18" s="101">
        <v>0.44444444444444453</v>
      </c>
      <c r="M18" s="101">
        <v>6.3</v>
      </c>
      <c r="N18" s="101">
        <v>0.44444444444444453</v>
      </c>
      <c r="O18" s="101">
        <v>0.7</v>
      </c>
    </row>
    <row r="19" spans="1:15">
      <c r="J19" s="412"/>
      <c r="K19" s="62" t="s">
        <v>431</v>
      </c>
      <c r="L19" s="62">
        <f>AVERAGE(L7:L18)</f>
        <v>0.59938470728793314</v>
      </c>
      <c r="M19" s="62">
        <f>MAX(M7:M18)</f>
        <v>158</v>
      </c>
      <c r="N19" s="62">
        <f>AVERAGE(N7:N18)</f>
        <v>0.59938470728793314</v>
      </c>
      <c r="O19" s="62">
        <f>MAX(O7:O18)</f>
        <v>36.1</v>
      </c>
    </row>
    <row r="21" spans="1:15" ht="30">
      <c r="J21" s="61">
        <f>+A6</f>
        <v>2022</v>
      </c>
      <c r="K21" s="61" t="s">
        <v>413</v>
      </c>
      <c r="L21" s="67" t="s">
        <v>408</v>
      </c>
      <c r="M21" s="67" t="s">
        <v>414</v>
      </c>
      <c r="N21" s="67" t="s">
        <v>411</v>
      </c>
      <c r="O21" s="67" t="s">
        <v>415</v>
      </c>
    </row>
    <row r="22" spans="1:15">
      <c r="J22" s="412" t="s">
        <v>195</v>
      </c>
      <c r="K22" s="66" t="s">
        <v>416</v>
      </c>
      <c r="L22" s="64">
        <v>0.4</v>
      </c>
      <c r="M22" s="64">
        <v>5.2</v>
      </c>
      <c r="N22" s="64">
        <v>0.4</v>
      </c>
      <c r="O22" s="64">
        <v>0.5</v>
      </c>
    </row>
    <row r="23" spans="1:15">
      <c r="J23" s="412"/>
      <c r="K23" s="66" t="s">
        <v>417</v>
      </c>
      <c r="L23" s="64">
        <v>0.4</v>
      </c>
      <c r="M23" s="64">
        <v>2.4</v>
      </c>
      <c r="N23" s="64">
        <v>0.4</v>
      </c>
      <c r="O23" s="64">
        <v>0.7</v>
      </c>
    </row>
    <row r="24" spans="1:15">
      <c r="J24" s="412"/>
      <c r="K24" s="66" t="s">
        <v>418</v>
      </c>
      <c r="L24" s="64">
        <v>0.4</v>
      </c>
      <c r="M24" s="64">
        <v>1.1000000000000001</v>
      </c>
      <c r="N24" s="64">
        <v>0.4</v>
      </c>
      <c r="O24" s="64">
        <v>0.5</v>
      </c>
    </row>
    <row r="25" spans="1:15">
      <c r="J25" s="412"/>
      <c r="K25" s="66" t="s">
        <v>420</v>
      </c>
      <c r="L25" s="64">
        <v>0.5</v>
      </c>
      <c r="M25" s="64">
        <v>15.8</v>
      </c>
      <c r="N25" s="64">
        <v>0.5</v>
      </c>
      <c r="O25" s="64">
        <v>1</v>
      </c>
    </row>
    <row r="26" spans="1:15">
      <c r="J26" s="412"/>
      <c r="K26" s="66" t="s">
        <v>422</v>
      </c>
      <c r="L26" s="64">
        <v>0.7</v>
      </c>
      <c r="M26" s="64">
        <v>1.7</v>
      </c>
      <c r="N26" s="64">
        <v>0.7</v>
      </c>
      <c r="O26" s="64">
        <v>0.7</v>
      </c>
    </row>
    <row r="27" spans="1:15">
      <c r="J27" s="412"/>
      <c r="K27" s="66" t="s">
        <v>423</v>
      </c>
      <c r="L27" s="64">
        <v>0.6</v>
      </c>
      <c r="M27" s="64">
        <v>26.6</v>
      </c>
      <c r="N27" s="64">
        <v>0.6</v>
      </c>
      <c r="O27" s="64">
        <v>1.3</v>
      </c>
    </row>
    <row r="28" spans="1:15">
      <c r="J28" s="412"/>
      <c r="K28" s="66" t="s">
        <v>424</v>
      </c>
      <c r="L28" s="64">
        <v>0.6</v>
      </c>
      <c r="M28" s="64">
        <v>11.2</v>
      </c>
      <c r="N28" s="64">
        <v>0.6</v>
      </c>
      <c r="O28" s="64">
        <v>0.8</v>
      </c>
    </row>
    <row r="29" spans="1:15">
      <c r="H29" s="201"/>
      <c r="J29" s="412"/>
      <c r="K29" s="66" t="s">
        <v>426</v>
      </c>
      <c r="L29" s="64">
        <v>0.6</v>
      </c>
      <c r="M29" s="64">
        <v>3.7</v>
      </c>
      <c r="N29" s="64">
        <v>0.6</v>
      </c>
      <c r="O29" s="64">
        <v>0.7</v>
      </c>
    </row>
    <row r="30" spans="1:15">
      <c r="J30" s="412"/>
      <c r="K30" s="66" t="s">
        <v>427</v>
      </c>
      <c r="L30" s="64">
        <v>0.5</v>
      </c>
      <c r="M30" s="64">
        <v>10.4</v>
      </c>
      <c r="N30" s="64">
        <v>0.5</v>
      </c>
      <c r="O30" s="64">
        <v>0.7</v>
      </c>
    </row>
    <row r="31" spans="1:15">
      <c r="J31" s="412"/>
      <c r="K31" s="66" t="s">
        <v>428</v>
      </c>
      <c r="L31" s="101">
        <v>0.43225806451612914</v>
      </c>
      <c r="M31" s="101">
        <v>9.9</v>
      </c>
      <c r="N31" s="101">
        <v>0.43225806451612914</v>
      </c>
      <c r="O31" s="101">
        <v>0.6</v>
      </c>
    </row>
    <row r="32" spans="1:15">
      <c r="J32" s="412"/>
      <c r="K32" s="66" t="s">
        <v>429</v>
      </c>
      <c r="L32" s="101">
        <v>0.37666666666666682</v>
      </c>
      <c r="M32" s="101">
        <v>5.5</v>
      </c>
      <c r="N32" s="101">
        <v>0.37666666666666682</v>
      </c>
      <c r="O32" s="101">
        <v>0.5</v>
      </c>
    </row>
    <row r="33" spans="1:15">
      <c r="J33" s="412"/>
      <c r="K33" s="66" t="s">
        <v>430</v>
      </c>
      <c r="L33" s="101">
        <v>0.41071428571428586</v>
      </c>
      <c r="M33" s="101">
        <v>2.6</v>
      </c>
      <c r="N33" s="101">
        <v>0.41071428571428586</v>
      </c>
      <c r="O33" s="101">
        <v>0.7</v>
      </c>
    </row>
    <row r="34" spans="1:15">
      <c r="J34" s="412"/>
      <c r="K34" s="62" t="s">
        <v>431</v>
      </c>
      <c r="L34" s="62">
        <f>AVERAGE(L22:L33)</f>
        <v>0.49330325140809017</v>
      </c>
      <c r="M34" s="62">
        <f>MAX(M22:M33)</f>
        <v>26.6</v>
      </c>
      <c r="N34" s="62">
        <f>AVERAGE(N22:N33)</f>
        <v>0.49330325140809017</v>
      </c>
      <c r="O34" s="62">
        <f>MAX(O22:O33)</f>
        <v>1.3</v>
      </c>
    </row>
    <row r="36" spans="1:15" ht="30">
      <c r="J36" s="61">
        <f>+A6</f>
        <v>2022</v>
      </c>
      <c r="K36" s="61" t="s">
        <v>413</v>
      </c>
      <c r="L36" s="67" t="s">
        <v>408</v>
      </c>
      <c r="M36" s="67" t="s">
        <v>414</v>
      </c>
      <c r="N36" s="67" t="s">
        <v>411</v>
      </c>
      <c r="O36" s="67" t="s">
        <v>415</v>
      </c>
    </row>
    <row r="37" spans="1:15">
      <c r="J37" s="412" t="s">
        <v>196</v>
      </c>
      <c r="K37" s="66" t="s">
        <v>416</v>
      </c>
      <c r="L37" s="64"/>
      <c r="M37" s="64"/>
      <c r="N37" s="64"/>
      <c r="O37" s="64"/>
    </row>
    <row r="38" spans="1:15">
      <c r="J38" s="412"/>
      <c r="K38" s="66" t="s">
        <v>417</v>
      </c>
      <c r="L38" s="64"/>
      <c r="M38" s="64"/>
      <c r="N38" s="64"/>
      <c r="O38" s="64"/>
    </row>
    <row r="39" spans="1:15">
      <c r="J39" s="412"/>
      <c r="K39" s="66" t="s">
        <v>418</v>
      </c>
      <c r="L39" s="64"/>
      <c r="M39" s="64"/>
      <c r="N39" s="64"/>
      <c r="O39" s="64"/>
    </row>
    <row r="40" spans="1:15">
      <c r="J40" s="412"/>
      <c r="K40" s="66" t="s">
        <v>420</v>
      </c>
      <c r="L40" s="64"/>
      <c r="M40" s="64"/>
      <c r="N40" s="64"/>
      <c r="O40" s="64"/>
    </row>
    <row r="41" spans="1:15">
      <c r="J41" s="412"/>
      <c r="K41" s="66" t="s">
        <v>422</v>
      </c>
      <c r="L41" s="64"/>
      <c r="M41" s="64"/>
      <c r="N41" s="64"/>
      <c r="O41" s="64"/>
    </row>
    <row r="42" spans="1:15">
      <c r="J42" s="412"/>
      <c r="K42" s="66" t="s">
        <v>423</v>
      </c>
      <c r="L42" s="64"/>
      <c r="M42" s="64"/>
      <c r="N42" s="64"/>
      <c r="O42" s="64"/>
    </row>
    <row r="43" spans="1:15">
      <c r="J43" s="412"/>
      <c r="K43" s="66" t="s">
        <v>424</v>
      </c>
      <c r="L43" s="64"/>
      <c r="M43" s="64"/>
      <c r="N43" s="64"/>
      <c r="O43" s="64"/>
    </row>
    <row r="44" spans="1:15">
      <c r="J44" s="412"/>
      <c r="K44" s="66" t="s">
        <v>426</v>
      </c>
      <c r="L44" s="64"/>
      <c r="M44" s="64"/>
      <c r="N44" s="64"/>
      <c r="O44" s="64"/>
    </row>
    <row r="45" spans="1:15">
      <c r="J45" s="412"/>
      <c r="K45" s="66" t="s">
        <v>427</v>
      </c>
      <c r="L45" s="64"/>
      <c r="M45" s="64"/>
      <c r="N45" s="64"/>
      <c r="O45" s="64"/>
    </row>
    <row r="46" spans="1:15">
      <c r="J46" s="412"/>
      <c r="K46" s="66" t="s">
        <v>428</v>
      </c>
      <c r="L46" s="64"/>
      <c r="M46" s="64"/>
      <c r="N46" s="64"/>
      <c r="O46" s="64"/>
    </row>
    <row r="47" spans="1:15">
      <c r="J47" s="412"/>
      <c r="K47" s="66" t="s">
        <v>429</v>
      </c>
      <c r="L47" s="64"/>
      <c r="M47" s="64"/>
      <c r="N47" s="64"/>
      <c r="O47" s="64"/>
    </row>
    <row r="48" spans="1:15" ht="15">
      <c r="A48" s="424" t="s">
        <v>324</v>
      </c>
      <c r="B48" s="425"/>
      <c r="C48" s="425"/>
      <c r="D48" s="425"/>
      <c r="E48" s="425"/>
      <c r="F48" s="425"/>
      <c r="G48" s="426"/>
      <c r="J48" s="412"/>
      <c r="K48" s="66" t="s">
        <v>430</v>
      </c>
      <c r="L48" s="64"/>
      <c r="M48" s="64"/>
      <c r="N48" s="64"/>
      <c r="O48" s="64"/>
    </row>
    <row r="49" spans="1:15">
      <c r="A49" s="415"/>
      <c r="B49" s="416"/>
      <c r="C49" s="416"/>
      <c r="D49" s="416"/>
      <c r="E49" s="416"/>
      <c r="F49" s="416"/>
      <c r="G49" s="417"/>
      <c r="J49" s="412"/>
      <c r="K49" s="62" t="s">
        <v>431</v>
      </c>
      <c r="L49" s="62" t="e">
        <f>AVERAGE(L37:L48)</f>
        <v>#DIV/0!</v>
      </c>
      <c r="M49" s="62">
        <f>MAX(M37:M48)</f>
        <v>0</v>
      </c>
      <c r="N49" s="62" t="e">
        <f>AVERAGE(N37:N48)</f>
        <v>#DIV/0!</v>
      </c>
      <c r="O49" s="62">
        <f>MAX(O37:O48)</f>
        <v>0</v>
      </c>
    </row>
    <row r="50" spans="1:15">
      <c r="A50" s="418"/>
      <c r="B50" s="419"/>
      <c r="C50" s="419"/>
      <c r="D50" s="419"/>
      <c r="E50" s="419"/>
      <c r="F50" s="419"/>
      <c r="G50" s="420"/>
    </row>
    <row r="51" spans="1:15" ht="30">
      <c r="A51" s="418"/>
      <c r="B51" s="419"/>
      <c r="C51" s="419"/>
      <c r="D51" s="419"/>
      <c r="E51" s="419"/>
      <c r="F51" s="419"/>
      <c r="G51" s="420"/>
      <c r="J51" s="61">
        <f>+A6</f>
        <v>2022</v>
      </c>
      <c r="K51" s="61" t="s">
        <v>413</v>
      </c>
      <c r="L51" s="67" t="s">
        <v>408</v>
      </c>
      <c r="M51" s="67" t="s">
        <v>414</v>
      </c>
      <c r="N51" s="67" t="s">
        <v>411</v>
      </c>
      <c r="O51" s="67" t="s">
        <v>415</v>
      </c>
    </row>
    <row r="52" spans="1:15">
      <c r="A52" s="421"/>
      <c r="B52" s="422"/>
      <c r="C52" s="422"/>
      <c r="D52" s="422"/>
      <c r="E52" s="422"/>
      <c r="F52" s="422"/>
      <c r="G52" s="423"/>
      <c r="J52" s="412" t="s">
        <v>197</v>
      </c>
      <c r="K52" s="66" t="s">
        <v>416</v>
      </c>
      <c r="L52" s="64"/>
      <c r="M52" s="64"/>
      <c r="N52" s="64"/>
      <c r="O52" s="64"/>
    </row>
    <row r="53" spans="1:15">
      <c r="J53" s="412"/>
      <c r="K53" s="66" t="s">
        <v>417</v>
      </c>
      <c r="L53" s="64"/>
      <c r="M53" s="64"/>
      <c r="N53" s="64"/>
      <c r="O53" s="64"/>
    </row>
    <row r="54" spans="1:15">
      <c r="J54" s="412"/>
      <c r="K54" s="66" t="s">
        <v>418</v>
      </c>
      <c r="L54" s="64"/>
      <c r="M54" s="64"/>
      <c r="N54" s="64"/>
      <c r="O54" s="64"/>
    </row>
    <row r="55" spans="1:15">
      <c r="J55" s="412"/>
      <c r="K55" s="66" t="s">
        <v>420</v>
      </c>
      <c r="L55" s="64"/>
      <c r="M55" s="64"/>
      <c r="N55" s="64"/>
      <c r="O55" s="64"/>
    </row>
    <row r="56" spans="1:15">
      <c r="J56" s="412"/>
      <c r="K56" s="66" t="s">
        <v>422</v>
      </c>
      <c r="L56" s="64"/>
      <c r="M56" s="64"/>
      <c r="N56" s="64"/>
      <c r="O56" s="64"/>
    </row>
    <row r="57" spans="1:15">
      <c r="J57" s="412"/>
      <c r="K57" s="66" t="s">
        <v>423</v>
      </c>
      <c r="L57" s="64"/>
      <c r="M57" s="64"/>
      <c r="N57" s="64"/>
      <c r="O57" s="64"/>
    </row>
    <row r="58" spans="1:15">
      <c r="J58" s="412"/>
      <c r="K58" s="66" t="s">
        <v>424</v>
      </c>
      <c r="L58" s="64"/>
      <c r="M58" s="64"/>
      <c r="N58" s="64"/>
      <c r="O58" s="64"/>
    </row>
    <row r="59" spans="1:15">
      <c r="J59" s="412"/>
      <c r="K59" s="66" t="s">
        <v>426</v>
      </c>
      <c r="L59" s="64"/>
      <c r="M59" s="64"/>
      <c r="N59" s="64"/>
      <c r="O59" s="64"/>
    </row>
    <row r="60" spans="1:15">
      <c r="J60" s="412"/>
      <c r="K60" s="66" t="s">
        <v>427</v>
      </c>
      <c r="L60" s="64"/>
      <c r="M60" s="64"/>
      <c r="N60" s="64"/>
      <c r="O60" s="64"/>
    </row>
    <row r="61" spans="1:15">
      <c r="J61" s="412"/>
      <c r="K61" s="66" t="s">
        <v>428</v>
      </c>
      <c r="L61" s="64"/>
      <c r="M61" s="64"/>
      <c r="N61" s="64"/>
      <c r="O61" s="64"/>
    </row>
    <row r="62" spans="1:15">
      <c r="J62" s="412"/>
      <c r="K62" s="66" t="s">
        <v>429</v>
      </c>
      <c r="L62" s="64"/>
      <c r="M62" s="64"/>
      <c r="N62" s="64"/>
      <c r="O62" s="64"/>
    </row>
    <row r="63" spans="1:15">
      <c r="J63" s="412"/>
      <c r="K63" s="66" t="s">
        <v>430</v>
      </c>
      <c r="L63" s="64"/>
      <c r="M63" s="64"/>
      <c r="N63" s="64"/>
      <c r="O63" s="64"/>
    </row>
    <row r="64" spans="1:15">
      <c r="J64" s="412"/>
      <c r="K64" s="62" t="s">
        <v>431</v>
      </c>
      <c r="L64" s="62" t="e">
        <f>AVERAGE(L52:L63)</f>
        <v>#DIV/0!</v>
      </c>
      <c r="M64" s="62">
        <f>MAX(M52:M63)</f>
        <v>0</v>
      </c>
      <c r="N64" s="62" t="e">
        <f>AVERAGE(N52:N63)</f>
        <v>#DIV/0!</v>
      </c>
      <c r="O64" s="62">
        <f>MAX(O52:O63)</f>
        <v>0</v>
      </c>
    </row>
    <row r="66" spans="10:15" ht="30">
      <c r="J66" s="61">
        <f>+A6</f>
        <v>2022</v>
      </c>
      <c r="K66" s="61" t="s">
        <v>413</v>
      </c>
      <c r="L66" s="67" t="s">
        <v>408</v>
      </c>
      <c r="M66" s="67" t="s">
        <v>414</v>
      </c>
      <c r="N66" s="67" t="s">
        <v>411</v>
      </c>
      <c r="O66" s="67" t="s">
        <v>415</v>
      </c>
    </row>
    <row r="67" spans="10:15">
      <c r="J67" s="412" t="s">
        <v>198</v>
      </c>
      <c r="K67" s="66" t="s">
        <v>416</v>
      </c>
      <c r="L67" s="64"/>
      <c r="M67" s="64"/>
      <c r="N67" s="64"/>
      <c r="O67" s="64"/>
    </row>
    <row r="68" spans="10:15">
      <c r="J68" s="412"/>
      <c r="K68" s="66" t="s">
        <v>417</v>
      </c>
      <c r="L68" s="64"/>
      <c r="M68" s="64"/>
      <c r="N68" s="64"/>
      <c r="O68" s="64"/>
    </row>
    <row r="69" spans="10:15">
      <c r="J69" s="412"/>
      <c r="K69" s="66" t="s">
        <v>418</v>
      </c>
      <c r="L69" s="64"/>
      <c r="M69" s="64"/>
      <c r="N69" s="64"/>
      <c r="O69" s="64"/>
    </row>
    <row r="70" spans="10:15">
      <c r="J70" s="412"/>
      <c r="K70" s="66" t="s">
        <v>420</v>
      </c>
      <c r="L70" s="64"/>
      <c r="M70" s="64"/>
      <c r="N70" s="64"/>
      <c r="O70" s="64"/>
    </row>
    <row r="71" spans="10:15">
      <c r="J71" s="412"/>
      <c r="K71" s="66" t="s">
        <v>422</v>
      </c>
      <c r="L71" s="64"/>
      <c r="M71" s="64"/>
      <c r="N71" s="64"/>
      <c r="O71" s="64"/>
    </row>
    <row r="72" spans="10:15">
      <c r="J72" s="412"/>
      <c r="K72" s="66" t="s">
        <v>423</v>
      </c>
      <c r="L72" s="64"/>
      <c r="M72" s="64"/>
      <c r="N72" s="64"/>
      <c r="O72" s="64"/>
    </row>
    <row r="73" spans="10:15">
      <c r="J73" s="412"/>
      <c r="K73" s="66" t="s">
        <v>424</v>
      </c>
      <c r="L73" s="64"/>
      <c r="M73" s="64"/>
      <c r="N73" s="64"/>
      <c r="O73" s="64"/>
    </row>
    <row r="74" spans="10:15">
      <c r="J74" s="412"/>
      <c r="K74" s="66" t="s">
        <v>426</v>
      </c>
      <c r="L74" s="64"/>
      <c r="M74" s="64"/>
      <c r="N74" s="64"/>
      <c r="O74" s="64"/>
    </row>
    <row r="75" spans="10:15">
      <c r="J75" s="412"/>
      <c r="K75" s="66" t="s">
        <v>427</v>
      </c>
      <c r="L75" s="64"/>
      <c r="M75" s="64"/>
      <c r="N75" s="64"/>
      <c r="O75" s="64"/>
    </row>
    <row r="76" spans="10:15">
      <c r="J76" s="412"/>
      <c r="K76" s="66" t="s">
        <v>428</v>
      </c>
      <c r="L76" s="64"/>
      <c r="M76" s="64"/>
      <c r="N76" s="64"/>
      <c r="O76" s="64"/>
    </row>
    <row r="77" spans="10:15">
      <c r="J77" s="412"/>
      <c r="K77" s="66" t="s">
        <v>429</v>
      </c>
      <c r="L77" s="64"/>
      <c r="M77" s="64"/>
      <c r="N77" s="64"/>
      <c r="O77" s="64"/>
    </row>
    <row r="78" spans="10:15">
      <c r="J78" s="412"/>
      <c r="K78" s="66" t="s">
        <v>430</v>
      </c>
      <c r="L78" s="64"/>
      <c r="M78" s="64"/>
      <c r="N78" s="64"/>
      <c r="O78" s="64"/>
    </row>
    <row r="79" spans="10:15">
      <c r="J79" s="412"/>
      <c r="K79" s="62" t="s">
        <v>431</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zoomScale="85" zoomScaleNormal="85" zoomScaleSheetLayoutView="100" workbookViewId="0">
      <selection activeCell="L26" sqref="L26"/>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Suffolk Energy from Waste Facility</v>
      </c>
    </row>
    <row r="3" spans="1:19" ht="15">
      <c r="A3" s="60" t="s">
        <v>441</v>
      </c>
      <c r="D3" s="76" t="s">
        <v>400</v>
      </c>
      <c r="G3" s="193" t="s">
        <v>401</v>
      </c>
      <c r="J3" s="9" t="str">
        <f>+A3</f>
        <v>Monitoring of Particulate matter emissions</v>
      </c>
      <c r="L3" s="9"/>
      <c r="N3" s="9" t="s">
        <v>402</v>
      </c>
      <c r="Q3" s="79" t="s">
        <v>3</v>
      </c>
      <c r="R3" s="74"/>
      <c r="S3" s="74"/>
    </row>
    <row r="4" spans="1:19" ht="13.9" customHeight="1">
      <c r="Q4" s="388" t="s">
        <v>403</v>
      </c>
      <c r="R4" s="388"/>
      <c r="S4" s="388"/>
    </row>
    <row r="5" spans="1:19" ht="17.25">
      <c r="A5" s="68" t="s">
        <v>404</v>
      </c>
      <c r="B5" s="414" t="s">
        <v>405</v>
      </c>
      <c r="C5" s="414"/>
      <c r="D5" s="414"/>
      <c r="E5" s="414" t="s">
        <v>406</v>
      </c>
      <c r="F5" s="414"/>
      <c r="G5" s="414"/>
      <c r="J5" s="413"/>
      <c r="K5" s="413"/>
      <c r="L5" s="413"/>
      <c r="M5" s="413"/>
      <c r="N5" s="413"/>
      <c r="O5" s="413"/>
      <c r="Q5" s="388"/>
      <c r="R5" s="388"/>
      <c r="S5" s="388"/>
    </row>
    <row r="6" spans="1:19" s="58" customFormat="1" ht="37.5" customHeight="1">
      <c r="A6" s="65">
        <f>+'Cover Page'!C39</f>
        <v>2022</v>
      </c>
      <c r="B6" s="55" t="s">
        <v>442</v>
      </c>
      <c r="C6" s="55" t="s">
        <v>408</v>
      </c>
      <c r="D6" s="55" t="s">
        <v>409</v>
      </c>
      <c r="E6" s="55" t="s">
        <v>443</v>
      </c>
      <c r="F6" s="55" t="s">
        <v>411</v>
      </c>
      <c r="G6" s="55" t="s">
        <v>412</v>
      </c>
      <c r="H6" s="59"/>
      <c r="J6" s="61">
        <f>+A6</f>
        <v>2022</v>
      </c>
      <c r="K6" s="61" t="s">
        <v>413</v>
      </c>
      <c r="L6" s="67" t="s">
        <v>408</v>
      </c>
      <c r="M6" s="67" t="s">
        <v>414</v>
      </c>
      <c r="N6" s="67" t="s">
        <v>411</v>
      </c>
      <c r="O6" s="67" t="s">
        <v>415</v>
      </c>
      <c r="Q6" s="388"/>
      <c r="R6" s="388"/>
      <c r="S6" s="388"/>
    </row>
    <row r="7" spans="1:19">
      <c r="A7" s="66" t="s">
        <v>416</v>
      </c>
      <c r="B7" s="63">
        <v>30</v>
      </c>
      <c r="C7" s="64">
        <f>AVERAGE(L7,L22)</f>
        <v>1</v>
      </c>
      <c r="D7" s="64">
        <f>AVERAGE(M7,M22)</f>
        <v>2.85</v>
      </c>
      <c r="E7" s="63">
        <v>10</v>
      </c>
      <c r="F7" s="64">
        <f>AVERAGE(N7,N22)</f>
        <v>1</v>
      </c>
      <c r="G7" s="64">
        <f>AVERAGE(O7,O22)</f>
        <v>2</v>
      </c>
      <c r="J7" s="412" t="s">
        <v>194</v>
      </c>
      <c r="K7" s="66" t="s">
        <v>416</v>
      </c>
      <c r="L7" s="64">
        <v>1.1000000000000001</v>
      </c>
      <c r="M7" s="64">
        <v>4.4000000000000004</v>
      </c>
      <c r="N7" s="64">
        <v>1.1000000000000001</v>
      </c>
      <c r="O7" s="64">
        <v>2.8</v>
      </c>
      <c r="Q7" s="388"/>
      <c r="R7" s="388"/>
      <c r="S7" s="388"/>
    </row>
    <row r="8" spans="1:19">
      <c r="A8" s="66" t="s">
        <v>417</v>
      </c>
      <c r="B8" s="63">
        <v>30</v>
      </c>
      <c r="C8" s="64">
        <f t="shared" ref="C8:D8" si="0">AVERAGE(L8,L23)</f>
        <v>1</v>
      </c>
      <c r="D8" s="64">
        <f t="shared" si="0"/>
        <v>1.5</v>
      </c>
      <c r="E8" s="63">
        <v>10</v>
      </c>
      <c r="F8" s="64">
        <f t="shared" ref="F8:G8" si="1">AVERAGE(N8,N23)</f>
        <v>1</v>
      </c>
      <c r="G8" s="64">
        <f t="shared" si="1"/>
        <v>1.1000000000000001</v>
      </c>
      <c r="J8" s="412"/>
      <c r="K8" s="66" t="s">
        <v>417</v>
      </c>
      <c r="L8" s="64">
        <v>0.8</v>
      </c>
      <c r="M8" s="64">
        <v>1.4</v>
      </c>
      <c r="N8" s="64">
        <v>0.8</v>
      </c>
      <c r="O8" s="64">
        <v>0.9</v>
      </c>
      <c r="Q8" s="388"/>
      <c r="R8" s="388"/>
      <c r="S8" s="388"/>
    </row>
    <row r="9" spans="1:19" ht="15">
      <c r="A9" s="66" t="s">
        <v>418</v>
      </c>
      <c r="B9" s="63">
        <v>30</v>
      </c>
      <c r="C9" s="64">
        <f t="shared" ref="C9:D9" si="2">AVERAGE(L9,L24)</f>
        <v>1</v>
      </c>
      <c r="D9" s="64">
        <f t="shared" si="2"/>
        <v>1.55</v>
      </c>
      <c r="E9" s="63">
        <v>10</v>
      </c>
      <c r="F9" s="64">
        <f t="shared" ref="F9:G9" si="3">AVERAGE(N9,N24)</f>
        <v>1</v>
      </c>
      <c r="G9" s="64">
        <f t="shared" si="3"/>
        <v>1.35</v>
      </c>
      <c r="J9" s="412"/>
      <c r="K9" s="66" t="s">
        <v>418</v>
      </c>
      <c r="L9" s="64">
        <v>1</v>
      </c>
      <c r="M9" s="64">
        <v>1.6</v>
      </c>
      <c r="N9" s="64">
        <v>1</v>
      </c>
      <c r="O9" s="64">
        <v>1.3</v>
      </c>
      <c r="Q9" s="78" t="s">
        <v>419</v>
      </c>
    </row>
    <row r="10" spans="1:19" ht="14.25" customHeight="1">
      <c r="A10" s="66" t="s">
        <v>420</v>
      </c>
      <c r="B10" s="63">
        <v>30</v>
      </c>
      <c r="C10" s="64">
        <f t="shared" ref="C10:D10" si="4">AVERAGE(L10,L25)</f>
        <v>0.95000000000000007</v>
      </c>
      <c r="D10" s="64">
        <f t="shared" si="4"/>
        <v>1.4</v>
      </c>
      <c r="E10" s="63">
        <v>10</v>
      </c>
      <c r="F10" s="64">
        <f t="shared" ref="F10:G10" si="5">AVERAGE(N10,N25)</f>
        <v>0.95000000000000007</v>
      </c>
      <c r="G10" s="64">
        <f t="shared" si="5"/>
        <v>1.25</v>
      </c>
      <c r="J10" s="412"/>
      <c r="K10" s="66" t="s">
        <v>420</v>
      </c>
      <c r="L10" s="64">
        <v>0.8</v>
      </c>
      <c r="M10" s="64">
        <v>1.4</v>
      </c>
      <c r="N10" s="64">
        <v>0.8</v>
      </c>
      <c r="O10" s="64">
        <v>1.2</v>
      </c>
      <c r="Q10" s="411" t="s">
        <v>421</v>
      </c>
      <c r="R10" s="411"/>
      <c r="S10" s="411"/>
    </row>
    <row r="11" spans="1:19">
      <c r="A11" s="66" t="s">
        <v>422</v>
      </c>
      <c r="B11" s="63">
        <v>30</v>
      </c>
      <c r="C11" s="64">
        <f t="shared" ref="C11:D11" si="6">AVERAGE(L11,L26)</f>
        <v>1.4</v>
      </c>
      <c r="D11" s="64">
        <f t="shared" si="6"/>
        <v>5.45</v>
      </c>
      <c r="E11" s="63">
        <v>10</v>
      </c>
      <c r="F11" s="64">
        <f t="shared" ref="F11:G11" si="7">AVERAGE(N11,N26)</f>
        <v>1.4</v>
      </c>
      <c r="G11" s="64">
        <f t="shared" si="7"/>
        <v>1.9</v>
      </c>
      <c r="J11" s="412"/>
      <c r="K11" s="66" t="s">
        <v>422</v>
      </c>
      <c r="L11" s="64">
        <v>1.2</v>
      </c>
      <c r="M11" s="64">
        <v>3.9</v>
      </c>
      <c r="N11" s="64">
        <v>1.2</v>
      </c>
      <c r="O11" s="64">
        <v>1.9</v>
      </c>
      <c r="Q11" s="411"/>
      <c r="R11" s="411"/>
      <c r="S11" s="411"/>
    </row>
    <row r="12" spans="1:19">
      <c r="A12" s="66" t="s">
        <v>423</v>
      </c>
      <c r="B12" s="63">
        <v>30</v>
      </c>
      <c r="C12" s="64">
        <f t="shared" ref="C12:D12" si="8">AVERAGE(L12,L27)</f>
        <v>1.5</v>
      </c>
      <c r="D12" s="64">
        <f t="shared" si="8"/>
        <v>2.6</v>
      </c>
      <c r="E12" s="63">
        <v>10</v>
      </c>
      <c r="F12" s="64">
        <f t="shared" ref="F12:G12" si="9">AVERAGE(N12,N27)</f>
        <v>1.5</v>
      </c>
      <c r="G12" s="64">
        <f t="shared" si="9"/>
        <v>1.9000000000000001</v>
      </c>
      <c r="J12" s="412"/>
      <c r="K12" s="66" t="s">
        <v>423</v>
      </c>
      <c r="L12" s="64">
        <v>1.7</v>
      </c>
      <c r="M12" s="64">
        <v>2.7</v>
      </c>
      <c r="N12" s="64">
        <v>1.7</v>
      </c>
      <c r="O12" s="64">
        <v>2.2000000000000002</v>
      </c>
      <c r="Q12" s="411"/>
      <c r="R12" s="411"/>
      <c r="S12" s="411"/>
    </row>
    <row r="13" spans="1:19" ht="14.25" customHeight="1">
      <c r="A13" s="66" t="s">
        <v>424</v>
      </c>
      <c r="B13" s="63">
        <v>30</v>
      </c>
      <c r="C13" s="64">
        <f t="shared" ref="C13:D13" si="10">AVERAGE(L13,L28)</f>
        <v>1.7000000000000002</v>
      </c>
      <c r="D13" s="64">
        <f t="shared" si="10"/>
        <v>2.2999999999999998</v>
      </c>
      <c r="E13" s="63">
        <v>10</v>
      </c>
      <c r="F13" s="64">
        <f t="shared" ref="F13:G13" si="11">AVERAGE(N13,N28)</f>
        <v>1.7000000000000002</v>
      </c>
      <c r="G13" s="64">
        <f t="shared" si="11"/>
        <v>1.9</v>
      </c>
      <c r="J13" s="412"/>
      <c r="K13" s="66" t="s">
        <v>424</v>
      </c>
      <c r="L13" s="64">
        <v>2.2000000000000002</v>
      </c>
      <c r="M13" s="64">
        <v>2.8</v>
      </c>
      <c r="N13" s="64">
        <v>2.2000000000000002</v>
      </c>
      <c r="O13" s="64">
        <v>2.5</v>
      </c>
      <c r="Q13" s="411" t="s">
        <v>425</v>
      </c>
      <c r="R13" s="411"/>
      <c r="S13" s="411"/>
    </row>
    <row r="14" spans="1:19">
      <c r="A14" s="66" t="s">
        <v>426</v>
      </c>
      <c r="B14" s="63">
        <v>30</v>
      </c>
      <c r="C14" s="64">
        <f t="shared" ref="C14:D14" si="12">AVERAGE(L14,L29)</f>
        <v>1.85</v>
      </c>
      <c r="D14" s="64">
        <f t="shared" si="12"/>
        <v>2.3499999999999996</v>
      </c>
      <c r="E14" s="63">
        <v>10</v>
      </c>
      <c r="F14" s="64">
        <f t="shared" ref="F14:G14" si="13">AVERAGE(N14,N29)</f>
        <v>1.85</v>
      </c>
      <c r="G14" s="64">
        <f t="shared" si="13"/>
        <v>2</v>
      </c>
      <c r="J14" s="412"/>
      <c r="K14" s="66" t="s">
        <v>426</v>
      </c>
      <c r="L14" s="64">
        <v>2.6</v>
      </c>
      <c r="M14" s="64">
        <v>3.3</v>
      </c>
      <c r="N14" s="64">
        <v>2.6</v>
      </c>
      <c r="O14" s="64">
        <v>2.8</v>
      </c>
      <c r="Q14" s="411"/>
      <c r="R14" s="411"/>
      <c r="S14" s="411"/>
    </row>
    <row r="15" spans="1:19">
      <c r="A15" s="66" t="s">
        <v>427</v>
      </c>
      <c r="B15" s="63">
        <v>30</v>
      </c>
      <c r="C15" s="64">
        <f t="shared" ref="C15:D15" si="14">AVERAGE(L15,L30)</f>
        <v>1.9000000000000001</v>
      </c>
      <c r="D15" s="64">
        <f t="shared" si="14"/>
        <v>2.8</v>
      </c>
      <c r="E15" s="63">
        <v>10</v>
      </c>
      <c r="F15" s="64">
        <f t="shared" ref="F15:G15" si="15">AVERAGE(N15,N30)</f>
        <v>1.9000000000000001</v>
      </c>
      <c r="G15" s="64">
        <f t="shared" si="15"/>
        <v>2</v>
      </c>
      <c r="J15" s="412"/>
      <c r="K15" s="66" t="s">
        <v>427</v>
      </c>
      <c r="L15" s="64">
        <v>2.7</v>
      </c>
      <c r="M15" s="64">
        <v>3.9</v>
      </c>
      <c r="N15" s="64">
        <v>2.7</v>
      </c>
      <c r="O15" s="64">
        <v>2.8</v>
      </c>
      <c r="Q15" s="411"/>
      <c r="R15" s="411"/>
      <c r="S15" s="411"/>
    </row>
    <row r="16" spans="1:19">
      <c r="A16" s="66" t="s">
        <v>428</v>
      </c>
      <c r="B16" s="63">
        <v>30</v>
      </c>
      <c r="C16" s="64">
        <f t="shared" ref="C16:D16" si="16">AVERAGE(L16,L31)</f>
        <v>1.1967741935483867</v>
      </c>
      <c r="D16" s="64">
        <f t="shared" si="16"/>
        <v>2.65</v>
      </c>
      <c r="E16" s="63">
        <v>10</v>
      </c>
      <c r="F16" s="64">
        <f t="shared" ref="F16:G16" si="17">AVERAGE(N16,N31)</f>
        <v>1.1967741935483867</v>
      </c>
      <c r="G16" s="64">
        <f t="shared" si="17"/>
        <v>2.15</v>
      </c>
      <c r="J16" s="412"/>
      <c r="K16" s="66" t="s">
        <v>428</v>
      </c>
      <c r="L16" s="101">
        <v>1.86774193548387</v>
      </c>
      <c r="M16" s="101">
        <v>3.3</v>
      </c>
      <c r="N16" s="101">
        <v>1.86774193548387</v>
      </c>
      <c r="O16" s="101">
        <v>3</v>
      </c>
      <c r="Q16" s="411"/>
      <c r="R16" s="411"/>
      <c r="S16" s="411"/>
    </row>
    <row r="17" spans="1:15">
      <c r="A17" s="66" t="s">
        <v>429</v>
      </c>
      <c r="B17" s="63">
        <v>30</v>
      </c>
      <c r="C17" s="64">
        <f t="shared" ref="C17:D17" si="18">AVERAGE(L17,L32)</f>
        <v>1.0466666666666669</v>
      </c>
      <c r="D17" s="64">
        <f t="shared" si="18"/>
        <v>1.8</v>
      </c>
      <c r="E17" s="63">
        <v>10</v>
      </c>
      <c r="F17" s="64">
        <f t="shared" ref="F17:G17" si="19">AVERAGE(N17,N32)</f>
        <v>1.0466666666666669</v>
      </c>
      <c r="G17" s="64">
        <f t="shared" si="19"/>
        <v>1.25</v>
      </c>
      <c r="J17" s="412"/>
      <c r="K17" s="66" t="s">
        <v>429</v>
      </c>
      <c r="L17" s="101">
        <v>1.5600000000000007</v>
      </c>
      <c r="M17" s="101">
        <v>2.2000000000000002</v>
      </c>
      <c r="N17" s="101">
        <v>1.5600000000000007</v>
      </c>
      <c r="O17" s="101">
        <v>1.8</v>
      </c>
    </row>
    <row r="18" spans="1:15">
      <c r="A18" s="66" t="s">
        <v>430</v>
      </c>
      <c r="B18" s="63">
        <v>30</v>
      </c>
      <c r="C18" s="64">
        <f>AVERAGE(L18,L33)</f>
        <v>0.82830687830687832</v>
      </c>
      <c r="D18" s="64">
        <f>AVERAGE(M18,M33)</f>
        <v>1.4</v>
      </c>
      <c r="E18" s="63">
        <v>10</v>
      </c>
      <c r="F18" s="64">
        <f t="shared" ref="F18:G18" si="20">AVERAGE(N18,N33)</f>
        <v>0.82830687830687832</v>
      </c>
      <c r="G18" s="64">
        <f t="shared" si="20"/>
        <v>1.2</v>
      </c>
      <c r="J18" s="412"/>
      <c r="K18" s="66" t="s">
        <v>430</v>
      </c>
      <c r="L18" s="101">
        <v>0.8851851851851853</v>
      </c>
      <c r="M18" s="101">
        <v>1.7</v>
      </c>
      <c r="N18" s="101">
        <v>0.8851851851851853</v>
      </c>
      <c r="O18" s="101">
        <v>1.5</v>
      </c>
    </row>
    <row r="19" spans="1:15">
      <c r="J19" s="412"/>
      <c r="K19" s="62" t="s">
        <v>431</v>
      </c>
      <c r="L19" s="102">
        <f>AVERAGE(L7:L18)</f>
        <v>1.5344105933890884</v>
      </c>
      <c r="M19" s="62">
        <f>MAX(M7:M18)</f>
        <v>4.4000000000000004</v>
      </c>
      <c r="N19" s="102">
        <f>AVERAGE(N7:N18)</f>
        <v>1.5344105933890884</v>
      </c>
      <c r="O19" s="62">
        <f>MAX(O7:O18)</f>
        <v>3</v>
      </c>
    </row>
    <row r="21" spans="1:15" ht="30">
      <c r="J21" s="61">
        <f>+A6</f>
        <v>2022</v>
      </c>
      <c r="K21" s="61" t="s">
        <v>413</v>
      </c>
      <c r="L21" s="67" t="s">
        <v>408</v>
      </c>
      <c r="M21" s="67" t="s">
        <v>414</v>
      </c>
      <c r="N21" s="67" t="s">
        <v>411</v>
      </c>
      <c r="O21" s="67" t="s">
        <v>415</v>
      </c>
    </row>
    <row r="22" spans="1:15">
      <c r="J22" s="412" t="s">
        <v>195</v>
      </c>
      <c r="K22" s="66" t="s">
        <v>416</v>
      </c>
      <c r="L22" s="64">
        <v>0.9</v>
      </c>
      <c r="M22" s="64">
        <v>1.3</v>
      </c>
      <c r="N22" s="64">
        <v>0.9</v>
      </c>
      <c r="O22" s="64">
        <v>1.2</v>
      </c>
    </row>
    <row r="23" spans="1:15">
      <c r="J23" s="412"/>
      <c r="K23" s="66" t="s">
        <v>417</v>
      </c>
      <c r="L23" s="64">
        <v>1.2</v>
      </c>
      <c r="M23" s="64">
        <v>1.6</v>
      </c>
      <c r="N23" s="64">
        <v>1.2</v>
      </c>
      <c r="O23" s="64">
        <v>1.3</v>
      </c>
    </row>
    <row r="24" spans="1:15">
      <c r="J24" s="412"/>
      <c r="K24" s="66" t="s">
        <v>418</v>
      </c>
      <c r="L24" s="64">
        <v>1</v>
      </c>
      <c r="M24" s="64">
        <v>1.5</v>
      </c>
      <c r="N24" s="64">
        <v>1</v>
      </c>
      <c r="O24" s="64">
        <v>1.4</v>
      </c>
    </row>
    <row r="25" spans="1:15">
      <c r="J25" s="412"/>
      <c r="K25" s="66" t="s">
        <v>420</v>
      </c>
      <c r="L25" s="64">
        <v>1.1000000000000001</v>
      </c>
      <c r="M25" s="64">
        <v>1.4</v>
      </c>
      <c r="N25" s="64">
        <v>1.1000000000000001</v>
      </c>
      <c r="O25" s="64">
        <v>1.3</v>
      </c>
    </row>
    <row r="26" spans="1:15">
      <c r="J26" s="412"/>
      <c r="K26" s="66" t="s">
        <v>422</v>
      </c>
      <c r="L26" s="64">
        <v>1.6</v>
      </c>
      <c r="M26" s="64">
        <v>7</v>
      </c>
      <c r="N26" s="64">
        <v>1.6</v>
      </c>
      <c r="O26" s="64">
        <v>1.9</v>
      </c>
    </row>
    <row r="27" spans="1:15">
      <c r="J27" s="412"/>
      <c r="K27" s="66" t="s">
        <v>423</v>
      </c>
      <c r="L27" s="64">
        <v>1.3</v>
      </c>
      <c r="M27" s="64">
        <v>2.5</v>
      </c>
      <c r="N27" s="64">
        <v>1.3</v>
      </c>
      <c r="O27" s="64">
        <v>1.6</v>
      </c>
    </row>
    <row r="28" spans="1:15">
      <c r="J28" s="412"/>
      <c r="K28" s="66" t="s">
        <v>424</v>
      </c>
      <c r="L28" s="64">
        <v>1.2</v>
      </c>
      <c r="M28" s="64">
        <v>1.8</v>
      </c>
      <c r="N28" s="64">
        <v>1.2</v>
      </c>
      <c r="O28" s="64">
        <v>1.3</v>
      </c>
    </row>
    <row r="29" spans="1:15">
      <c r="H29" s="201"/>
      <c r="J29" s="412"/>
      <c r="K29" s="66" t="s">
        <v>426</v>
      </c>
      <c r="L29" s="64">
        <v>1.1000000000000001</v>
      </c>
      <c r="M29" s="64">
        <v>1.4</v>
      </c>
      <c r="N29" s="64">
        <v>1.1000000000000001</v>
      </c>
      <c r="O29" s="64">
        <v>1.2</v>
      </c>
    </row>
    <row r="30" spans="1:15">
      <c r="J30" s="412"/>
      <c r="K30" s="66" t="s">
        <v>427</v>
      </c>
      <c r="L30" s="64">
        <v>1.1000000000000001</v>
      </c>
      <c r="M30" s="64">
        <v>1.7</v>
      </c>
      <c r="N30" s="64">
        <v>1.1000000000000001</v>
      </c>
      <c r="O30" s="64">
        <v>1.2</v>
      </c>
    </row>
    <row r="31" spans="1:15">
      <c r="J31" s="412"/>
      <c r="K31" s="66" t="s">
        <v>428</v>
      </c>
      <c r="L31" s="101">
        <v>0.52580645161290351</v>
      </c>
      <c r="M31" s="101">
        <v>2</v>
      </c>
      <c r="N31" s="101">
        <v>0.52580645161290351</v>
      </c>
      <c r="O31" s="101">
        <v>1.3</v>
      </c>
    </row>
    <row r="32" spans="1:15">
      <c r="J32" s="412"/>
      <c r="K32" s="66" t="s">
        <v>429</v>
      </c>
      <c r="L32" s="101">
        <v>0.5333333333333331</v>
      </c>
      <c r="M32" s="101">
        <v>1.4</v>
      </c>
      <c r="N32" s="101">
        <v>0.5333333333333331</v>
      </c>
      <c r="O32" s="101">
        <v>0.7</v>
      </c>
    </row>
    <row r="33" spans="1:15">
      <c r="J33" s="412"/>
      <c r="K33" s="66" t="s">
        <v>430</v>
      </c>
      <c r="L33" s="101">
        <v>0.77142857142857124</v>
      </c>
      <c r="M33" s="101">
        <v>1.1000000000000001</v>
      </c>
      <c r="N33" s="101">
        <v>0.77142857142857124</v>
      </c>
      <c r="O33" s="101">
        <v>0.9</v>
      </c>
    </row>
    <row r="34" spans="1:15">
      <c r="J34" s="412"/>
      <c r="K34" s="62" t="s">
        <v>431</v>
      </c>
      <c r="L34" s="108">
        <f>AVERAGE(L22:L33)</f>
        <v>1.027547363031234</v>
      </c>
      <c r="M34" s="62">
        <f>MAX(M22:M33)</f>
        <v>7</v>
      </c>
      <c r="N34" s="108">
        <f>AVERAGE(N22:N33)</f>
        <v>1.027547363031234</v>
      </c>
      <c r="O34" s="62">
        <f>MAX(O22:O33)</f>
        <v>1.9</v>
      </c>
    </row>
    <row r="36" spans="1:15" ht="30">
      <c r="J36" s="61">
        <f>+A6</f>
        <v>2022</v>
      </c>
      <c r="K36" s="61" t="s">
        <v>413</v>
      </c>
      <c r="L36" s="67" t="s">
        <v>408</v>
      </c>
      <c r="M36" s="67" t="s">
        <v>414</v>
      </c>
      <c r="N36" s="67" t="s">
        <v>411</v>
      </c>
      <c r="O36" s="67" t="s">
        <v>415</v>
      </c>
    </row>
    <row r="37" spans="1:15">
      <c r="J37" s="412" t="s">
        <v>196</v>
      </c>
      <c r="K37" s="66" t="s">
        <v>416</v>
      </c>
      <c r="L37" s="64"/>
      <c r="M37" s="64"/>
      <c r="N37" s="64"/>
      <c r="O37" s="64"/>
    </row>
    <row r="38" spans="1:15">
      <c r="J38" s="412"/>
      <c r="K38" s="66" t="s">
        <v>417</v>
      </c>
      <c r="L38" s="64"/>
      <c r="M38" s="64"/>
      <c r="N38" s="64"/>
      <c r="O38" s="64"/>
    </row>
    <row r="39" spans="1:15">
      <c r="J39" s="412"/>
      <c r="K39" s="66" t="s">
        <v>418</v>
      </c>
      <c r="L39" s="64"/>
      <c r="M39" s="64"/>
      <c r="N39" s="64"/>
      <c r="O39" s="64"/>
    </row>
    <row r="40" spans="1:15">
      <c r="J40" s="412"/>
      <c r="K40" s="66" t="s">
        <v>420</v>
      </c>
      <c r="L40" s="64"/>
      <c r="M40" s="64"/>
      <c r="N40" s="64"/>
      <c r="O40" s="64"/>
    </row>
    <row r="41" spans="1:15">
      <c r="J41" s="412"/>
      <c r="K41" s="66" t="s">
        <v>422</v>
      </c>
      <c r="L41" s="64"/>
      <c r="M41" s="64"/>
      <c r="N41" s="64"/>
      <c r="O41" s="64"/>
    </row>
    <row r="42" spans="1:15">
      <c r="J42" s="412"/>
      <c r="K42" s="66" t="s">
        <v>423</v>
      </c>
      <c r="L42" s="64"/>
      <c r="M42" s="64"/>
      <c r="N42" s="64"/>
      <c r="O42" s="64"/>
    </row>
    <row r="43" spans="1:15">
      <c r="J43" s="412"/>
      <c r="K43" s="66" t="s">
        <v>424</v>
      </c>
      <c r="L43" s="64"/>
      <c r="M43" s="64"/>
      <c r="N43" s="64"/>
      <c r="O43" s="64"/>
    </row>
    <row r="44" spans="1:15">
      <c r="J44" s="412"/>
      <c r="K44" s="66" t="s">
        <v>426</v>
      </c>
      <c r="L44" s="64"/>
      <c r="M44" s="64"/>
      <c r="N44" s="64"/>
      <c r="O44" s="64"/>
    </row>
    <row r="45" spans="1:15">
      <c r="J45" s="412"/>
      <c r="K45" s="66" t="s">
        <v>427</v>
      </c>
      <c r="L45" s="64"/>
      <c r="M45" s="64"/>
      <c r="N45" s="64"/>
      <c r="O45" s="64"/>
    </row>
    <row r="46" spans="1:15">
      <c r="J46" s="412"/>
      <c r="K46" s="66" t="s">
        <v>428</v>
      </c>
      <c r="L46" s="64"/>
      <c r="M46" s="64"/>
      <c r="N46" s="64"/>
      <c r="O46" s="64"/>
    </row>
    <row r="47" spans="1:15">
      <c r="J47" s="412"/>
      <c r="K47" s="66" t="s">
        <v>429</v>
      </c>
      <c r="L47" s="64"/>
      <c r="M47" s="64"/>
      <c r="N47" s="64"/>
      <c r="O47" s="64"/>
    </row>
    <row r="48" spans="1:15" ht="15">
      <c r="A48" s="424" t="s">
        <v>324</v>
      </c>
      <c r="B48" s="425"/>
      <c r="C48" s="425"/>
      <c r="D48" s="425"/>
      <c r="E48" s="425"/>
      <c r="F48" s="425"/>
      <c r="G48" s="426"/>
      <c r="J48" s="412"/>
      <c r="K48" s="66" t="s">
        <v>430</v>
      </c>
      <c r="L48" s="64"/>
      <c r="M48" s="64"/>
      <c r="N48" s="64"/>
      <c r="O48" s="64"/>
    </row>
    <row r="49" spans="1:15">
      <c r="A49" s="415"/>
      <c r="B49" s="416"/>
      <c r="C49" s="416"/>
      <c r="D49" s="416"/>
      <c r="E49" s="416"/>
      <c r="F49" s="416"/>
      <c r="G49" s="417"/>
      <c r="J49" s="412"/>
      <c r="K49" s="62" t="s">
        <v>431</v>
      </c>
      <c r="L49" s="62" t="e">
        <f>AVERAGE(L37:L48)</f>
        <v>#DIV/0!</v>
      </c>
      <c r="M49" s="62">
        <f>MAX(M37:M48)</f>
        <v>0</v>
      </c>
      <c r="N49" s="62" t="e">
        <f>AVERAGE(N37:N48)</f>
        <v>#DIV/0!</v>
      </c>
      <c r="O49" s="62">
        <f>MAX(O37:O48)</f>
        <v>0</v>
      </c>
    </row>
    <row r="50" spans="1:15">
      <c r="A50" s="418"/>
      <c r="B50" s="419"/>
      <c r="C50" s="419"/>
      <c r="D50" s="419"/>
      <c r="E50" s="419"/>
      <c r="F50" s="419"/>
      <c r="G50" s="420"/>
    </row>
    <row r="51" spans="1:15" ht="30">
      <c r="A51" s="418"/>
      <c r="B51" s="419"/>
      <c r="C51" s="419"/>
      <c r="D51" s="419"/>
      <c r="E51" s="419"/>
      <c r="F51" s="419"/>
      <c r="G51" s="420"/>
      <c r="J51" s="61">
        <f>+A6</f>
        <v>2022</v>
      </c>
      <c r="K51" s="61" t="s">
        <v>413</v>
      </c>
      <c r="L51" s="67" t="s">
        <v>408</v>
      </c>
      <c r="M51" s="67" t="s">
        <v>414</v>
      </c>
      <c r="N51" s="67" t="s">
        <v>411</v>
      </c>
      <c r="O51" s="67" t="s">
        <v>415</v>
      </c>
    </row>
    <row r="52" spans="1:15">
      <c r="A52" s="421"/>
      <c r="B52" s="422"/>
      <c r="C52" s="422"/>
      <c r="D52" s="422"/>
      <c r="E52" s="422"/>
      <c r="F52" s="422"/>
      <c r="G52" s="423"/>
      <c r="J52" s="412" t="s">
        <v>197</v>
      </c>
      <c r="K52" s="66" t="s">
        <v>416</v>
      </c>
      <c r="L52" s="64"/>
      <c r="M52" s="64"/>
      <c r="N52" s="64"/>
      <c r="O52" s="64"/>
    </row>
    <row r="53" spans="1:15">
      <c r="J53" s="412"/>
      <c r="K53" s="66" t="s">
        <v>417</v>
      </c>
      <c r="L53" s="64"/>
      <c r="M53" s="64"/>
      <c r="N53" s="64"/>
      <c r="O53" s="64"/>
    </row>
    <row r="54" spans="1:15">
      <c r="J54" s="412"/>
      <c r="K54" s="66" t="s">
        <v>418</v>
      </c>
      <c r="L54" s="64"/>
      <c r="M54" s="64"/>
      <c r="N54" s="64"/>
      <c r="O54" s="64"/>
    </row>
    <row r="55" spans="1:15">
      <c r="J55" s="412"/>
      <c r="K55" s="66" t="s">
        <v>420</v>
      </c>
      <c r="L55" s="64"/>
      <c r="M55" s="64"/>
      <c r="N55" s="64"/>
      <c r="O55" s="64"/>
    </row>
    <row r="56" spans="1:15">
      <c r="J56" s="412"/>
      <c r="K56" s="66" t="s">
        <v>422</v>
      </c>
      <c r="L56" s="64"/>
      <c r="M56" s="64"/>
      <c r="N56" s="64"/>
      <c r="O56" s="64"/>
    </row>
    <row r="57" spans="1:15">
      <c r="J57" s="412"/>
      <c r="K57" s="66" t="s">
        <v>423</v>
      </c>
      <c r="L57" s="64"/>
      <c r="M57" s="64"/>
      <c r="N57" s="64"/>
      <c r="O57" s="64"/>
    </row>
    <row r="58" spans="1:15">
      <c r="J58" s="412"/>
      <c r="K58" s="66" t="s">
        <v>424</v>
      </c>
      <c r="L58" s="64"/>
      <c r="M58" s="64"/>
      <c r="N58" s="64"/>
      <c r="O58" s="64"/>
    </row>
    <row r="59" spans="1:15">
      <c r="J59" s="412"/>
      <c r="K59" s="66" t="s">
        <v>426</v>
      </c>
      <c r="L59" s="64"/>
      <c r="M59" s="64"/>
      <c r="N59" s="64"/>
      <c r="O59" s="64"/>
    </row>
    <row r="60" spans="1:15">
      <c r="J60" s="412"/>
      <c r="K60" s="66" t="s">
        <v>427</v>
      </c>
      <c r="L60" s="64"/>
      <c r="M60" s="64"/>
      <c r="N60" s="64"/>
      <c r="O60" s="64"/>
    </row>
    <row r="61" spans="1:15">
      <c r="J61" s="412"/>
      <c r="K61" s="66" t="s">
        <v>428</v>
      </c>
      <c r="L61" s="64"/>
      <c r="M61" s="64"/>
      <c r="N61" s="64"/>
      <c r="O61" s="64"/>
    </row>
    <row r="62" spans="1:15">
      <c r="J62" s="412"/>
      <c r="K62" s="66" t="s">
        <v>429</v>
      </c>
      <c r="L62" s="64"/>
      <c r="M62" s="64"/>
      <c r="N62" s="64"/>
      <c r="O62" s="64"/>
    </row>
    <row r="63" spans="1:15">
      <c r="J63" s="412"/>
      <c r="K63" s="66" t="s">
        <v>430</v>
      </c>
      <c r="L63" s="64"/>
      <c r="M63" s="64"/>
      <c r="N63" s="64"/>
      <c r="O63" s="64"/>
    </row>
    <row r="64" spans="1:15">
      <c r="J64" s="412"/>
      <c r="K64" s="62" t="s">
        <v>431</v>
      </c>
      <c r="L64" s="62" t="e">
        <f>AVERAGE(L52:L63)</f>
        <v>#DIV/0!</v>
      </c>
      <c r="M64" s="62">
        <f>MAX(M52:M63)</f>
        <v>0</v>
      </c>
      <c r="N64" s="62" t="e">
        <f>AVERAGE(N52:N63)</f>
        <v>#DIV/0!</v>
      </c>
      <c r="O64" s="62">
        <f>MAX(O52:O63)</f>
        <v>0</v>
      </c>
    </row>
    <row r="66" spans="10:15" ht="30">
      <c r="J66" s="61">
        <f>+A6</f>
        <v>2022</v>
      </c>
      <c r="K66" s="61" t="s">
        <v>413</v>
      </c>
      <c r="L66" s="67" t="s">
        <v>408</v>
      </c>
      <c r="M66" s="67" t="s">
        <v>414</v>
      </c>
      <c r="N66" s="67" t="s">
        <v>411</v>
      </c>
      <c r="O66" s="67" t="s">
        <v>415</v>
      </c>
    </row>
    <row r="67" spans="10:15">
      <c r="J67" s="412" t="s">
        <v>198</v>
      </c>
      <c r="K67" s="66" t="s">
        <v>416</v>
      </c>
      <c r="L67" s="64"/>
      <c r="M67" s="64"/>
      <c r="N67" s="64"/>
      <c r="O67" s="64"/>
    </row>
    <row r="68" spans="10:15">
      <c r="J68" s="412"/>
      <c r="K68" s="66" t="s">
        <v>417</v>
      </c>
      <c r="L68" s="64"/>
      <c r="M68" s="64"/>
      <c r="N68" s="64"/>
      <c r="O68" s="64"/>
    </row>
    <row r="69" spans="10:15">
      <c r="J69" s="412"/>
      <c r="K69" s="66" t="s">
        <v>418</v>
      </c>
      <c r="L69" s="64"/>
      <c r="M69" s="64"/>
      <c r="N69" s="64"/>
      <c r="O69" s="64"/>
    </row>
    <row r="70" spans="10:15">
      <c r="J70" s="412"/>
      <c r="K70" s="66" t="s">
        <v>420</v>
      </c>
      <c r="L70" s="64"/>
      <c r="M70" s="64"/>
      <c r="N70" s="64"/>
      <c r="O70" s="64"/>
    </row>
    <row r="71" spans="10:15">
      <c r="J71" s="412"/>
      <c r="K71" s="66" t="s">
        <v>422</v>
      </c>
      <c r="L71" s="64"/>
      <c r="M71" s="64"/>
      <c r="N71" s="64"/>
      <c r="O71" s="64"/>
    </row>
    <row r="72" spans="10:15">
      <c r="J72" s="412"/>
      <c r="K72" s="66" t="s">
        <v>423</v>
      </c>
      <c r="L72" s="64"/>
      <c r="M72" s="64"/>
      <c r="N72" s="64"/>
      <c r="O72" s="64"/>
    </row>
    <row r="73" spans="10:15">
      <c r="J73" s="412"/>
      <c r="K73" s="66" t="s">
        <v>424</v>
      </c>
      <c r="L73" s="64"/>
      <c r="M73" s="64"/>
      <c r="N73" s="64"/>
      <c r="O73" s="64"/>
    </row>
    <row r="74" spans="10:15">
      <c r="J74" s="412"/>
      <c r="K74" s="66" t="s">
        <v>426</v>
      </c>
      <c r="L74" s="64"/>
      <c r="M74" s="64"/>
      <c r="N74" s="64"/>
      <c r="O74" s="64"/>
    </row>
    <row r="75" spans="10:15">
      <c r="J75" s="412"/>
      <c r="K75" s="66" t="s">
        <v>427</v>
      </c>
      <c r="L75" s="64"/>
      <c r="M75" s="64"/>
      <c r="N75" s="64"/>
      <c r="O75" s="64"/>
    </row>
    <row r="76" spans="10:15">
      <c r="J76" s="412"/>
      <c r="K76" s="66" t="s">
        <v>428</v>
      </c>
      <c r="L76" s="64"/>
      <c r="M76" s="64"/>
      <c r="N76" s="64"/>
      <c r="O76" s="64"/>
    </row>
    <row r="77" spans="10:15">
      <c r="J77" s="412"/>
      <c r="K77" s="66" t="s">
        <v>429</v>
      </c>
      <c r="L77" s="64"/>
      <c r="M77" s="64"/>
      <c r="N77" s="64"/>
      <c r="O77" s="64"/>
    </row>
    <row r="78" spans="10:15">
      <c r="J78" s="412"/>
      <c r="K78" s="66" t="s">
        <v>430</v>
      </c>
      <c r="L78" s="64"/>
      <c r="M78" s="64"/>
      <c r="N78" s="64"/>
      <c r="O78" s="64"/>
    </row>
    <row r="79" spans="10:15">
      <c r="J79" s="412"/>
      <c r="K79" s="62" t="s">
        <v>431</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zoomScale="85" zoomScaleNormal="85" zoomScaleSheetLayoutView="100" workbookViewId="0">
      <selection activeCell="L26" sqref="L26"/>
    </sheetView>
  </sheetViews>
  <sheetFormatPr defaultRowHeight="14.25"/>
  <cols>
    <col min="1" max="1" width="14" style="3" customWidth="1"/>
    <col min="2" max="2" width="12.7109375" style="35" customWidth="1"/>
    <col min="3" max="3" width="15.28515625" style="35" customWidth="1"/>
    <col min="4" max="4" width="17.7109375" style="35" customWidth="1"/>
    <col min="5" max="5" width="14.7109375" style="35" customWidth="1"/>
    <col min="6" max="6" width="11.5703125" style="35" customWidth="1"/>
    <col min="7" max="7" width="15" style="35" customWidth="1"/>
    <col min="8" max="8" width="14.7109375" style="35" customWidth="1"/>
    <col min="9" max="12" width="9.28515625" style="3"/>
    <col min="13" max="13" width="15.42578125" style="3" customWidth="1"/>
    <col min="14" max="14" width="17.7109375" style="3" customWidth="1"/>
    <col min="15" max="15" width="17.42578125" style="3" bestFit="1" customWidth="1"/>
    <col min="16" max="16" width="13.7109375" style="3" customWidth="1"/>
    <col min="17" max="17" width="15" style="3" customWidth="1"/>
    <col min="18" max="20" width="9.28515625" style="3"/>
    <col min="21" max="21" width="22.42578125" style="3" customWidth="1"/>
    <col min="22" max="258" width="9.28515625" style="3"/>
    <col min="259" max="259" width="14" style="3" customWidth="1"/>
    <col min="260" max="265" width="10.28515625" style="3" customWidth="1"/>
    <col min="266" max="514" width="9.28515625" style="3"/>
    <col min="515" max="515" width="14" style="3" customWidth="1"/>
    <col min="516" max="521" width="10.28515625" style="3" customWidth="1"/>
    <col min="522" max="770" width="9.28515625" style="3"/>
    <col min="771" max="771" width="14" style="3" customWidth="1"/>
    <col min="772" max="777" width="10.28515625" style="3" customWidth="1"/>
    <col min="778" max="1026" width="9.28515625" style="3"/>
    <col min="1027" max="1027" width="14" style="3" customWidth="1"/>
    <col min="1028" max="1033" width="10.28515625" style="3" customWidth="1"/>
    <col min="1034" max="1282" width="9.28515625" style="3"/>
    <col min="1283" max="1283" width="14" style="3" customWidth="1"/>
    <col min="1284" max="1289" width="10.28515625" style="3" customWidth="1"/>
    <col min="1290" max="1538" width="9.28515625" style="3"/>
    <col min="1539" max="1539" width="14" style="3" customWidth="1"/>
    <col min="1540" max="1545" width="10.28515625" style="3" customWidth="1"/>
    <col min="1546" max="1794" width="9.28515625" style="3"/>
    <col min="1795" max="1795" width="14" style="3" customWidth="1"/>
    <col min="1796" max="1801" width="10.28515625" style="3" customWidth="1"/>
    <col min="1802" max="2050" width="9.28515625" style="3"/>
    <col min="2051" max="2051" width="14" style="3" customWidth="1"/>
    <col min="2052" max="2057" width="10.28515625" style="3" customWidth="1"/>
    <col min="2058" max="2306" width="9.28515625" style="3"/>
    <col min="2307" max="2307" width="14" style="3" customWidth="1"/>
    <col min="2308" max="2313" width="10.28515625" style="3" customWidth="1"/>
    <col min="2314" max="2562" width="9.28515625" style="3"/>
    <col min="2563" max="2563" width="14" style="3" customWidth="1"/>
    <col min="2564" max="2569" width="10.28515625" style="3" customWidth="1"/>
    <col min="2570" max="2818" width="9.28515625" style="3"/>
    <col min="2819" max="2819" width="14" style="3" customWidth="1"/>
    <col min="2820" max="2825" width="10.28515625" style="3" customWidth="1"/>
    <col min="2826" max="3074" width="9.28515625" style="3"/>
    <col min="3075" max="3075" width="14" style="3" customWidth="1"/>
    <col min="3076" max="3081" width="10.28515625" style="3" customWidth="1"/>
    <col min="3082" max="3330" width="9.28515625" style="3"/>
    <col min="3331" max="3331" width="14" style="3" customWidth="1"/>
    <col min="3332" max="3337" width="10.28515625" style="3" customWidth="1"/>
    <col min="3338" max="3586" width="9.28515625" style="3"/>
    <col min="3587" max="3587" width="14" style="3" customWidth="1"/>
    <col min="3588" max="3593" width="10.28515625" style="3" customWidth="1"/>
    <col min="3594" max="3842" width="9.28515625" style="3"/>
    <col min="3843" max="3843" width="14" style="3" customWidth="1"/>
    <col min="3844" max="3849" width="10.28515625" style="3" customWidth="1"/>
    <col min="3850" max="4098" width="9.28515625" style="3"/>
    <col min="4099" max="4099" width="14" style="3" customWidth="1"/>
    <col min="4100" max="4105" width="10.28515625" style="3" customWidth="1"/>
    <col min="4106" max="4354" width="9.28515625" style="3"/>
    <col min="4355" max="4355" width="14" style="3" customWidth="1"/>
    <col min="4356" max="4361" width="10.28515625" style="3" customWidth="1"/>
    <col min="4362" max="4610" width="9.28515625" style="3"/>
    <col min="4611" max="4611" width="14" style="3" customWidth="1"/>
    <col min="4612" max="4617" width="10.28515625" style="3" customWidth="1"/>
    <col min="4618" max="4866" width="9.28515625" style="3"/>
    <col min="4867" max="4867" width="14" style="3" customWidth="1"/>
    <col min="4868" max="4873" width="10.28515625" style="3" customWidth="1"/>
    <col min="4874" max="5122" width="9.28515625" style="3"/>
    <col min="5123" max="5123" width="14" style="3" customWidth="1"/>
    <col min="5124" max="5129" width="10.28515625" style="3" customWidth="1"/>
    <col min="5130" max="5378" width="9.28515625" style="3"/>
    <col min="5379" max="5379" width="14" style="3" customWidth="1"/>
    <col min="5380" max="5385" width="10.28515625" style="3" customWidth="1"/>
    <col min="5386" max="5634" width="9.28515625" style="3"/>
    <col min="5635" max="5635" width="14" style="3" customWidth="1"/>
    <col min="5636" max="5641" width="10.28515625" style="3" customWidth="1"/>
    <col min="5642" max="5890" width="9.28515625" style="3"/>
    <col min="5891" max="5891" width="14" style="3" customWidth="1"/>
    <col min="5892" max="5897" width="10.28515625" style="3" customWidth="1"/>
    <col min="5898" max="6146" width="9.28515625" style="3"/>
    <col min="6147" max="6147" width="14" style="3" customWidth="1"/>
    <col min="6148" max="6153" width="10.28515625" style="3" customWidth="1"/>
    <col min="6154" max="6402" width="9.28515625" style="3"/>
    <col min="6403" max="6403" width="14" style="3" customWidth="1"/>
    <col min="6404" max="6409" width="10.28515625" style="3" customWidth="1"/>
    <col min="6410" max="6658" width="9.28515625" style="3"/>
    <col min="6659" max="6659" width="14" style="3" customWidth="1"/>
    <col min="6660" max="6665" width="10.28515625" style="3" customWidth="1"/>
    <col min="6666" max="6914" width="9.28515625" style="3"/>
    <col min="6915" max="6915" width="14" style="3" customWidth="1"/>
    <col min="6916" max="6921" width="10.28515625" style="3" customWidth="1"/>
    <col min="6922" max="7170" width="9.28515625" style="3"/>
    <col min="7171" max="7171" width="14" style="3" customWidth="1"/>
    <col min="7172" max="7177" width="10.28515625" style="3" customWidth="1"/>
    <col min="7178" max="7426" width="9.28515625" style="3"/>
    <col min="7427" max="7427" width="14" style="3" customWidth="1"/>
    <col min="7428" max="7433" width="10.28515625" style="3" customWidth="1"/>
    <col min="7434" max="7682" width="9.28515625" style="3"/>
    <col min="7683" max="7683" width="14" style="3" customWidth="1"/>
    <col min="7684" max="7689" width="10.28515625" style="3" customWidth="1"/>
    <col min="7690" max="7938" width="9.28515625" style="3"/>
    <col min="7939" max="7939" width="14" style="3" customWidth="1"/>
    <col min="7940" max="7945" width="10.28515625" style="3" customWidth="1"/>
    <col min="7946" max="8194" width="9.28515625" style="3"/>
    <col min="8195" max="8195" width="14" style="3" customWidth="1"/>
    <col min="8196" max="8201" width="10.28515625" style="3" customWidth="1"/>
    <col min="8202" max="8450" width="9.28515625" style="3"/>
    <col min="8451" max="8451" width="14" style="3" customWidth="1"/>
    <col min="8452" max="8457" width="10.28515625" style="3" customWidth="1"/>
    <col min="8458" max="8706" width="9.28515625" style="3"/>
    <col min="8707" max="8707" width="14" style="3" customWidth="1"/>
    <col min="8708" max="8713" width="10.28515625" style="3" customWidth="1"/>
    <col min="8714" max="8962" width="9.28515625" style="3"/>
    <col min="8963" max="8963" width="14" style="3" customWidth="1"/>
    <col min="8964" max="8969" width="10.28515625" style="3" customWidth="1"/>
    <col min="8970" max="9218" width="9.28515625" style="3"/>
    <col min="9219" max="9219" width="14" style="3" customWidth="1"/>
    <col min="9220" max="9225" width="10.28515625" style="3" customWidth="1"/>
    <col min="9226" max="9474" width="9.28515625" style="3"/>
    <col min="9475" max="9475" width="14" style="3" customWidth="1"/>
    <col min="9476" max="9481" width="10.28515625" style="3" customWidth="1"/>
    <col min="9482" max="9730" width="9.28515625" style="3"/>
    <col min="9731" max="9731" width="14" style="3" customWidth="1"/>
    <col min="9732" max="9737" width="10.28515625" style="3" customWidth="1"/>
    <col min="9738" max="9986" width="9.28515625" style="3"/>
    <col min="9987" max="9987" width="14" style="3" customWidth="1"/>
    <col min="9988" max="9993" width="10.28515625" style="3" customWidth="1"/>
    <col min="9994" max="10242" width="9.28515625" style="3"/>
    <col min="10243" max="10243" width="14" style="3" customWidth="1"/>
    <col min="10244" max="10249" width="10.28515625" style="3" customWidth="1"/>
    <col min="10250" max="10498" width="9.28515625" style="3"/>
    <col min="10499" max="10499" width="14" style="3" customWidth="1"/>
    <col min="10500" max="10505" width="10.28515625" style="3" customWidth="1"/>
    <col min="10506" max="10754" width="9.28515625" style="3"/>
    <col min="10755" max="10755" width="14" style="3" customWidth="1"/>
    <col min="10756" max="10761" width="10.28515625" style="3" customWidth="1"/>
    <col min="10762" max="11010" width="9.28515625" style="3"/>
    <col min="11011" max="11011" width="14" style="3" customWidth="1"/>
    <col min="11012" max="11017" width="10.28515625" style="3" customWidth="1"/>
    <col min="11018" max="11266" width="9.28515625" style="3"/>
    <col min="11267" max="11267" width="14" style="3" customWidth="1"/>
    <col min="11268" max="11273" width="10.28515625" style="3" customWidth="1"/>
    <col min="11274" max="11522" width="9.28515625" style="3"/>
    <col min="11523" max="11523" width="14" style="3" customWidth="1"/>
    <col min="11524" max="11529" width="10.28515625" style="3" customWidth="1"/>
    <col min="11530" max="11778" width="9.28515625" style="3"/>
    <col min="11779" max="11779" width="14" style="3" customWidth="1"/>
    <col min="11780" max="11785" width="10.28515625" style="3" customWidth="1"/>
    <col min="11786" max="12034" width="9.28515625" style="3"/>
    <col min="12035" max="12035" width="14" style="3" customWidth="1"/>
    <col min="12036" max="12041" width="10.28515625" style="3" customWidth="1"/>
    <col min="12042" max="12290" width="9.28515625" style="3"/>
    <col min="12291" max="12291" width="14" style="3" customWidth="1"/>
    <col min="12292" max="12297" width="10.28515625" style="3" customWidth="1"/>
    <col min="12298" max="12546" width="9.28515625" style="3"/>
    <col min="12547" max="12547" width="14" style="3" customWidth="1"/>
    <col min="12548" max="12553" width="10.28515625" style="3" customWidth="1"/>
    <col min="12554" max="12802" width="9.28515625" style="3"/>
    <col min="12803" max="12803" width="14" style="3" customWidth="1"/>
    <col min="12804" max="12809" width="10.28515625" style="3" customWidth="1"/>
    <col min="12810" max="13058" width="9.28515625" style="3"/>
    <col min="13059" max="13059" width="14" style="3" customWidth="1"/>
    <col min="13060" max="13065" width="10.28515625" style="3" customWidth="1"/>
    <col min="13066" max="13314" width="9.28515625" style="3"/>
    <col min="13315" max="13315" width="14" style="3" customWidth="1"/>
    <col min="13316" max="13321" width="10.28515625" style="3" customWidth="1"/>
    <col min="13322" max="13570" width="9.28515625" style="3"/>
    <col min="13571" max="13571" width="14" style="3" customWidth="1"/>
    <col min="13572" max="13577" width="10.28515625" style="3" customWidth="1"/>
    <col min="13578" max="13826" width="9.28515625" style="3"/>
    <col min="13827" max="13827" width="14" style="3" customWidth="1"/>
    <col min="13828" max="13833" width="10.28515625" style="3" customWidth="1"/>
    <col min="13834" max="14082" width="9.28515625" style="3"/>
    <col min="14083" max="14083" width="14" style="3" customWidth="1"/>
    <col min="14084" max="14089" width="10.28515625" style="3" customWidth="1"/>
    <col min="14090" max="14338" width="9.28515625" style="3"/>
    <col min="14339" max="14339" width="14" style="3" customWidth="1"/>
    <col min="14340" max="14345" width="10.28515625" style="3" customWidth="1"/>
    <col min="14346" max="14594" width="9.28515625" style="3"/>
    <col min="14595" max="14595" width="14" style="3" customWidth="1"/>
    <col min="14596" max="14601" width="10.28515625" style="3" customWidth="1"/>
    <col min="14602" max="14850" width="9.28515625" style="3"/>
    <col min="14851" max="14851" width="14" style="3" customWidth="1"/>
    <col min="14852" max="14857" width="10.28515625" style="3" customWidth="1"/>
    <col min="14858" max="15106" width="9.28515625" style="3"/>
    <col min="15107" max="15107" width="14" style="3" customWidth="1"/>
    <col min="15108" max="15113" width="10.28515625" style="3" customWidth="1"/>
    <col min="15114" max="15362" width="9.28515625" style="3"/>
    <col min="15363" max="15363" width="14" style="3" customWidth="1"/>
    <col min="15364" max="15369" width="10.28515625" style="3" customWidth="1"/>
    <col min="15370" max="15618" width="9.28515625" style="3"/>
    <col min="15619" max="15619" width="14" style="3" customWidth="1"/>
    <col min="15620" max="15625" width="10.28515625" style="3" customWidth="1"/>
    <col min="15626" max="15874" width="9.28515625" style="3"/>
    <col min="15875" max="15875" width="14" style="3" customWidth="1"/>
    <col min="15876" max="15881" width="10.28515625" style="3" customWidth="1"/>
    <col min="15882" max="16130" width="9.28515625" style="3"/>
    <col min="16131" max="16131" width="14" style="3" customWidth="1"/>
    <col min="16132" max="16137" width="10.28515625" style="3" customWidth="1"/>
    <col min="16138" max="16384" width="9.28515625" style="3"/>
  </cols>
  <sheetData>
    <row r="1" spans="1:21" ht="15">
      <c r="A1" s="92" t="str">
        <f>+'Cover Page'!$B$29</f>
        <v>Annual Performance Report 2022</v>
      </c>
      <c r="B1" s="92"/>
      <c r="C1" s="92"/>
      <c r="D1" s="92"/>
      <c r="E1" s="92" t="str">
        <f>+'Cover Page'!$B$33</f>
        <v>Suffolk Energy from Waste Facility</v>
      </c>
    </row>
    <row r="3" spans="1:21" ht="15">
      <c r="A3" s="60" t="s">
        <v>444</v>
      </c>
      <c r="E3" s="76" t="s">
        <v>400</v>
      </c>
      <c r="G3" s="189"/>
      <c r="H3" s="74" t="s">
        <v>445</v>
      </c>
      <c r="J3" s="9" t="str">
        <f>+A3</f>
        <v>Monitoring of Carbon Monoxide (10-minute avg)</v>
      </c>
      <c r="L3" s="9"/>
      <c r="O3" s="9" t="s">
        <v>402</v>
      </c>
      <c r="Q3" s="77" t="s">
        <v>3</v>
      </c>
      <c r="S3" s="79" t="s">
        <v>3</v>
      </c>
      <c r="T3" s="74"/>
      <c r="U3" s="74"/>
    </row>
    <row r="4" spans="1:21" ht="13.9" customHeight="1">
      <c r="S4" s="388" t="s">
        <v>446</v>
      </c>
      <c r="T4" s="388"/>
      <c r="U4" s="388"/>
    </row>
    <row r="5" spans="1:21" ht="17.25">
      <c r="A5" s="68" t="s">
        <v>404</v>
      </c>
      <c r="B5" s="414" t="s">
        <v>447</v>
      </c>
      <c r="C5" s="414"/>
      <c r="D5" s="414"/>
      <c r="E5" s="414"/>
      <c r="F5" s="414" t="s">
        <v>406</v>
      </c>
      <c r="G5" s="414"/>
      <c r="H5" s="414"/>
      <c r="K5" s="413"/>
      <c r="L5" s="413"/>
      <c r="M5" s="413"/>
      <c r="N5" s="413"/>
      <c r="O5" s="413"/>
      <c r="P5" s="413"/>
      <c r="Q5" s="413"/>
      <c r="S5" s="388"/>
      <c r="T5" s="388"/>
      <c r="U5" s="388"/>
    </row>
    <row r="6" spans="1:21" s="58" customFormat="1" ht="37.5" customHeight="1">
      <c r="A6" s="65">
        <f>+'Cover Page'!C39</f>
        <v>2022</v>
      </c>
      <c r="B6" s="55" t="s">
        <v>448</v>
      </c>
      <c r="C6" s="55" t="s">
        <v>449</v>
      </c>
      <c r="D6" s="55" t="s">
        <v>450</v>
      </c>
      <c r="E6" s="55" t="s">
        <v>451</v>
      </c>
      <c r="F6" s="55" t="s">
        <v>452</v>
      </c>
      <c r="G6" s="55" t="s">
        <v>411</v>
      </c>
      <c r="H6" s="55" t="s">
        <v>412</v>
      </c>
      <c r="I6" s="59"/>
      <c r="K6" s="61">
        <f>+A6</f>
        <v>2022</v>
      </c>
      <c r="L6" s="61" t="s">
        <v>413</v>
      </c>
      <c r="M6" s="55" t="s">
        <v>449</v>
      </c>
      <c r="N6" s="55" t="s">
        <v>450</v>
      </c>
      <c r="O6" s="55" t="s">
        <v>451</v>
      </c>
      <c r="P6" s="67" t="s">
        <v>411</v>
      </c>
      <c r="Q6" s="67" t="s">
        <v>415</v>
      </c>
      <c r="S6" s="388"/>
      <c r="T6" s="388"/>
      <c r="U6" s="388"/>
    </row>
    <row r="7" spans="1:21">
      <c r="A7" s="66" t="s">
        <v>416</v>
      </c>
      <c r="B7" s="69">
        <v>150</v>
      </c>
      <c r="C7" s="103">
        <f>AVERAGE(M7,M22)</f>
        <v>3.0292789936065674</v>
      </c>
      <c r="D7" s="64">
        <f t="shared" ref="D7:E7" si="0">AVERAGE(N7,N22)</f>
        <v>1</v>
      </c>
      <c r="E7" s="64">
        <f t="shared" si="0"/>
        <v>362.1</v>
      </c>
      <c r="F7" s="69">
        <v>50</v>
      </c>
      <c r="G7" s="64">
        <f>AVERAGE(P7,P22)</f>
        <v>1</v>
      </c>
      <c r="H7" s="64">
        <f>AVERAGE(Q7,Q22)</f>
        <v>3.25</v>
      </c>
      <c r="K7" s="412" t="s">
        <v>194</v>
      </c>
      <c r="L7" s="66" t="s">
        <v>416</v>
      </c>
      <c r="M7" s="101">
        <v>3.5520319938659668</v>
      </c>
      <c r="N7" s="64">
        <v>1.2</v>
      </c>
      <c r="O7" s="64">
        <v>339.9</v>
      </c>
      <c r="P7" s="64">
        <v>1.2</v>
      </c>
      <c r="Q7" s="64">
        <v>3.5</v>
      </c>
      <c r="S7" s="388"/>
      <c r="T7" s="388"/>
      <c r="U7" s="388"/>
    </row>
    <row r="8" spans="1:21">
      <c r="A8" s="66" t="s">
        <v>417</v>
      </c>
      <c r="B8" s="63">
        <f>+B7</f>
        <v>150</v>
      </c>
      <c r="C8" s="103">
        <f t="shared" ref="C8:C18" si="1">AVERAGE(M8,M23)</f>
        <v>2.7805604934692383</v>
      </c>
      <c r="D8" s="64">
        <f t="shared" ref="D8:D18" si="2">AVERAGE(N8,N23)</f>
        <v>1</v>
      </c>
      <c r="E8" s="64">
        <f t="shared" ref="E8:E18" si="3">AVERAGE(O8,O23)</f>
        <v>353.29999999999995</v>
      </c>
      <c r="F8" s="63">
        <f>+F7</f>
        <v>50</v>
      </c>
      <c r="G8" s="64">
        <f t="shared" ref="G8:H8" si="4">AVERAGE(P8,P23)</f>
        <v>1</v>
      </c>
      <c r="H8" s="64">
        <f t="shared" si="4"/>
        <v>3.25</v>
      </c>
      <c r="K8" s="412"/>
      <c r="L8" s="66" t="s">
        <v>417</v>
      </c>
      <c r="M8" s="101">
        <v>3.2015609741210938</v>
      </c>
      <c r="N8" s="64">
        <v>1.2</v>
      </c>
      <c r="O8" s="64">
        <v>422.2</v>
      </c>
      <c r="P8" s="64">
        <v>1.2</v>
      </c>
      <c r="Q8" s="64">
        <v>3.5</v>
      </c>
      <c r="S8" s="388"/>
      <c r="T8" s="388"/>
      <c r="U8" s="388"/>
    </row>
    <row r="9" spans="1:21" ht="15">
      <c r="A9" s="66" t="s">
        <v>418</v>
      </c>
      <c r="B9" s="63">
        <f t="shared" ref="B9:B18" si="5">+B8</f>
        <v>150</v>
      </c>
      <c r="C9" s="103">
        <f t="shared" si="1"/>
        <v>2.7595510482788086</v>
      </c>
      <c r="D9" s="64">
        <f t="shared" si="2"/>
        <v>0.95</v>
      </c>
      <c r="E9" s="64">
        <f t="shared" si="3"/>
        <v>285.55</v>
      </c>
      <c r="F9" s="63">
        <f t="shared" ref="F9:F18" si="6">+F8</f>
        <v>50</v>
      </c>
      <c r="G9" s="64">
        <f t="shared" ref="G9:H9" si="7">AVERAGE(P9,P24)</f>
        <v>0.95</v>
      </c>
      <c r="H9" s="64">
        <f t="shared" si="7"/>
        <v>3.75</v>
      </c>
      <c r="K9" s="412"/>
      <c r="L9" s="66" t="s">
        <v>418</v>
      </c>
      <c r="M9" s="101">
        <v>3.911884069442749</v>
      </c>
      <c r="N9" s="64">
        <v>1.3</v>
      </c>
      <c r="O9" s="64">
        <v>352.7</v>
      </c>
      <c r="P9" s="64">
        <v>1.3</v>
      </c>
      <c r="Q9" s="64">
        <v>5.6</v>
      </c>
      <c r="S9" s="78" t="s">
        <v>453</v>
      </c>
    </row>
    <row r="10" spans="1:21">
      <c r="A10" s="66" t="s">
        <v>420</v>
      </c>
      <c r="B10" s="63">
        <f t="shared" si="5"/>
        <v>150</v>
      </c>
      <c r="C10" s="103">
        <f t="shared" si="1"/>
        <v>4.6353120803833008</v>
      </c>
      <c r="D10" s="64">
        <f t="shared" si="2"/>
        <v>0.9</v>
      </c>
      <c r="E10" s="64">
        <f t="shared" si="3"/>
        <v>335.2</v>
      </c>
      <c r="F10" s="63">
        <f t="shared" si="6"/>
        <v>50</v>
      </c>
      <c r="G10" s="64">
        <f t="shared" ref="G10:H10" si="8">AVERAGE(P10,P25)</f>
        <v>0.9</v>
      </c>
      <c r="H10" s="64">
        <f t="shared" si="8"/>
        <v>3.75</v>
      </c>
      <c r="K10" s="412"/>
      <c r="L10" s="66" t="s">
        <v>420</v>
      </c>
      <c r="M10" s="101">
        <v>3.4378409385681152</v>
      </c>
      <c r="N10" s="64">
        <v>1</v>
      </c>
      <c r="O10" s="64">
        <v>392.7</v>
      </c>
      <c r="P10" s="64">
        <v>1</v>
      </c>
      <c r="Q10" s="64">
        <v>5</v>
      </c>
      <c r="S10" s="411" t="s">
        <v>454</v>
      </c>
      <c r="T10" s="411"/>
      <c r="U10" s="411"/>
    </row>
    <row r="11" spans="1:21">
      <c r="A11" s="66" t="s">
        <v>422</v>
      </c>
      <c r="B11" s="63">
        <f t="shared" si="5"/>
        <v>150</v>
      </c>
      <c r="C11" s="103">
        <f t="shared" si="1"/>
        <v>48.109964847564697</v>
      </c>
      <c r="D11" s="64">
        <f t="shared" si="2"/>
        <v>0.44999999999999996</v>
      </c>
      <c r="E11" s="64">
        <f t="shared" si="3"/>
        <v>268</v>
      </c>
      <c r="F11" s="63">
        <f t="shared" si="6"/>
        <v>50</v>
      </c>
      <c r="G11" s="64">
        <f t="shared" ref="G11:H11" si="9">AVERAGE(P11,P26)</f>
        <v>0.44999999999999996</v>
      </c>
      <c r="H11" s="64">
        <f t="shared" si="9"/>
        <v>1.7</v>
      </c>
      <c r="K11" s="412"/>
      <c r="L11" s="66" t="s">
        <v>422</v>
      </c>
      <c r="M11" s="101">
        <v>91.686996459960938</v>
      </c>
      <c r="N11" s="64">
        <v>0.6</v>
      </c>
      <c r="O11" s="64">
        <v>409</v>
      </c>
      <c r="P11" s="64">
        <v>0.6</v>
      </c>
      <c r="Q11" s="64">
        <v>2.9</v>
      </c>
      <c r="S11" s="411"/>
      <c r="T11" s="411"/>
      <c r="U11" s="411"/>
    </row>
    <row r="12" spans="1:21">
      <c r="A12" s="66" t="s">
        <v>423</v>
      </c>
      <c r="B12" s="63">
        <f t="shared" si="5"/>
        <v>150</v>
      </c>
      <c r="C12" s="103">
        <f t="shared" si="1"/>
        <v>25.304357528686523</v>
      </c>
      <c r="D12" s="64">
        <f t="shared" si="2"/>
        <v>1.6</v>
      </c>
      <c r="E12" s="64">
        <f t="shared" si="3"/>
        <v>508.85</v>
      </c>
      <c r="F12" s="63">
        <f t="shared" si="6"/>
        <v>50</v>
      </c>
      <c r="G12" s="64">
        <f t="shared" ref="G12:H12" si="10">AVERAGE(P12,P27)</f>
        <v>1.6</v>
      </c>
      <c r="H12" s="64">
        <f t="shared" si="10"/>
        <v>9.15</v>
      </c>
      <c r="K12" s="412"/>
      <c r="L12" s="66" t="s">
        <v>423</v>
      </c>
      <c r="M12" s="101">
        <v>12.069667816162109</v>
      </c>
      <c r="N12" s="64">
        <v>2.2000000000000002</v>
      </c>
      <c r="O12" s="64">
        <v>388.1</v>
      </c>
      <c r="P12" s="64">
        <v>2.2000000000000002</v>
      </c>
      <c r="Q12" s="64">
        <v>10.6</v>
      </c>
      <c r="S12" s="411"/>
      <c r="T12" s="411"/>
      <c r="U12" s="411"/>
    </row>
    <row r="13" spans="1:21">
      <c r="A13" s="66" t="s">
        <v>424</v>
      </c>
      <c r="B13" s="63">
        <f t="shared" si="5"/>
        <v>150</v>
      </c>
      <c r="C13" s="103">
        <f t="shared" si="1"/>
        <v>18.666644096374512</v>
      </c>
      <c r="D13" s="64">
        <f t="shared" si="2"/>
        <v>2.25</v>
      </c>
      <c r="E13" s="64">
        <f t="shared" si="3"/>
        <v>398.8</v>
      </c>
      <c r="F13" s="63">
        <f t="shared" si="6"/>
        <v>50</v>
      </c>
      <c r="G13" s="64">
        <f t="shared" ref="G13:H13" si="11">AVERAGE(P13,P28)</f>
        <v>2.25</v>
      </c>
      <c r="H13" s="64">
        <f t="shared" si="11"/>
        <v>7</v>
      </c>
      <c r="K13" s="412"/>
      <c r="L13" s="66" t="s">
        <v>424</v>
      </c>
      <c r="M13" s="101">
        <v>21.057153701782227</v>
      </c>
      <c r="N13" s="64">
        <v>2.7</v>
      </c>
      <c r="O13" s="64">
        <v>419.8</v>
      </c>
      <c r="P13" s="64">
        <v>2.7</v>
      </c>
      <c r="Q13" s="64">
        <v>7.8</v>
      </c>
      <c r="S13" s="411" t="s">
        <v>455</v>
      </c>
      <c r="T13" s="411"/>
      <c r="U13" s="411"/>
    </row>
    <row r="14" spans="1:21">
      <c r="A14" s="66" t="s">
        <v>426</v>
      </c>
      <c r="B14" s="63">
        <f t="shared" si="5"/>
        <v>150</v>
      </c>
      <c r="C14" s="103">
        <f t="shared" si="1"/>
        <v>14.009921312332153</v>
      </c>
      <c r="D14" s="64">
        <f t="shared" si="2"/>
        <v>1.75</v>
      </c>
      <c r="E14" s="64">
        <f t="shared" si="3"/>
        <v>358.1</v>
      </c>
      <c r="F14" s="63">
        <f t="shared" si="6"/>
        <v>50</v>
      </c>
      <c r="G14" s="64">
        <f t="shared" ref="G14:H14" si="12">AVERAGE(P14,P29)</f>
        <v>1.75</v>
      </c>
      <c r="H14" s="64">
        <f t="shared" si="12"/>
        <v>6.85</v>
      </c>
      <c r="K14" s="412"/>
      <c r="L14" s="66" t="s">
        <v>426</v>
      </c>
      <c r="M14" s="101">
        <v>21.156526565551758</v>
      </c>
      <c r="N14" s="64">
        <v>2.2000000000000002</v>
      </c>
      <c r="O14" s="64">
        <v>330.1</v>
      </c>
      <c r="P14" s="64">
        <v>2.2000000000000002</v>
      </c>
      <c r="Q14" s="64">
        <v>7.8</v>
      </c>
      <c r="S14" s="411"/>
      <c r="T14" s="411"/>
      <c r="U14" s="411"/>
    </row>
    <row r="15" spans="1:21">
      <c r="A15" s="66" t="s">
        <v>427</v>
      </c>
      <c r="B15" s="63">
        <f t="shared" si="5"/>
        <v>150</v>
      </c>
      <c r="C15" s="103">
        <f t="shared" si="1"/>
        <v>9.4694819450378418</v>
      </c>
      <c r="D15" s="64">
        <f t="shared" si="2"/>
        <v>2</v>
      </c>
      <c r="E15" s="64">
        <f t="shared" si="3"/>
        <v>385.75</v>
      </c>
      <c r="F15" s="63">
        <f t="shared" si="6"/>
        <v>50</v>
      </c>
      <c r="G15" s="64">
        <f t="shared" ref="G15:H15" si="13">AVERAGE(P15,P30)</f>
        <v>2</v>
      </c>
      <c r="H15" s="64">
        <f t="shared" si="13"/>
        <v>6.9</v>
      </c>
      <c r="K15" s="412"/>
      <c r="L15" s="66" t="s">
        <v>427</v>
      </c>
      <c r="M15" s="101">
        <v>13.196086883544922</v>
      </c>
      <c r="N15" s="64">
        <v>2.2999999999999998</v>
      </c>
      <c r="O15" s="64">
        <v>376</v>
      </c>
      <c r="P15" s="64">
        <v>2.2999999999999998</v>
      </c>
      <c r="Q15" s="64">
        <v>6.5</v>
      </c>
      <c r="S15" s="411"/>
      <c r="T15" s="411"/>
      <c r="U15" s="411"/>
    </row>
    <row r="16" spans="1:21">
      <c r="A16" s="66" t="s">
        <v>428</v>
      </c>
      <c r="B16" s="63">
        <f t="shared" si="5"/>
        <v>150</v>
      </c>
      <c r="C16" s="103">
        <f t="shared" si="1"/>
        <v>5.7138299942016602</v>
      </c>
      <c r="D16" s="64">
        <f t="shared" si="2"/>
        <v>2.15</v>
      </c>
      <c r="E16" s="64">
        <f t="shared" si="3"/>
        <v>406</v>
      </c>
      <c r="F16" s="63">
        <f t="shared" si="6"/>
        <v>50</v>
      </c>
      <c r="G16" s="64">
        <f t="shared" ref="G16:H16" si="14">AVERAGE(P16,P31)</f>
        <v>2.15</v>
      </c>
      <c r="H16" s="64">
        <f t="shared" si="14"/>
        <v>4.5500000000000007</v>
      </c>
      <c r="K16" s="412"/>
      <c r="L16" s="66" t="s">
        <v>428</v>
      </c>
      <c r="M16" s="101">
        <v>7.5865030288696289</v>
      </c>
      <c r="N16" s="64">
        <v>2.2999999999999998</v>
      </c>
      <c r="O16" s="64">
        <v>368</v>
      </c>
      <c r="P16" s="64">
        <v>2.2999999999999998</v>
      </c>
      <c r="Q16" s="64">
        <v>4.2</v>
      </c>
      <c r="S16" s="411"/>
      <c r="T16" s="411"/>
      <c r="U16" s="411"/>
    </row>
    <row r="17" spans="1:17">
      <c r="A17" s="66" t="s">
        <v>429</v>
      </c>
      <c r="B17" s="63">
        <f t="shared" si="5"/>
        <v>150</v>
      </c>
      <c r="C17" s="103">
        <f t="shared" si="1"/>
        <v>10.176422595977783</v>
      </c>
      <c r="D17" s="64">
        <f t="shared" si="2"/>
        <v>2.35</v>
      </c>
      <c r="E17" s="64">
        <f t="shared" si="3"/>
        <v>451.5</v>
      </c>
      <c r="F17" s="63">
        <f t="shared" si="6"/>
        <v>50</v>
      </c>
      <c r="G17" s="64">
        <f t="shared" ref="G17:H17" si="15">AVERAGE(P17,P32)</f>
        <v>2.35</v>
      </c>
      <c r="H17" s="64">
        <f t="shared" si="15"/>
        <v>5.85</v>
      </c>
      <c r="K17" s="412"/>
      <c r="L17" s="66" t="s">
        <v>429</v>
      </c>
      <c r="M17" s="101">
        <v>14.821227073669434</v>
      </c>
      <c r="N17" s="64">
        <v>2.5</v>
      </c>
      <c r="O17" s="64">
        <v>389</v>
      </c>
      <c r="P17" s="64">
        <v>2.5</v>
      </c>
      <c r="Q17" s="64">
        <v>6.6</v>
      </c>
    </row>
    <row r="18" spans="1:17">
      <c r="A18" s="66" t="s">
        <v>430</v>
      </c>
      <c r="B18" s="63">
        <f t="shared" si="5"/>
        <v>150</v>
      </c>
      <c r="C18" s="103">
        <f t="shared" si="1"/>
        <v>28.357871055603027</v>
      </c>
      <c r="D18" s="64">
        <f t="shared" si="2"/>
        <v>1.7000000000000002</v>
      </c>
      <c r="E18" s="64">
        <f t="shared" si="3"/>
        <v>228</v>
      </c>
      <c r="F18" s="63">
        <f t="shared" si="6"/>
        <v>50</v>
      </c>
      <c r="G18" s="64">
        <f t="shared" ref="G18:H18" si="16">AVERAGE(P18,P33)</f>
        <v>1.7000000000000002</v>
      </c>
      <c r="H18" s="64">
        <f t="shared" si="16"/>
        <v>3.8</v>
      </c>
      <c r="K18" s="412"/>
      <c r="L18" s="66" t="s">
        <v>430</v>
      </c>
      <c r="M18" s="101">
        <v>4.8169231414794922</v>
      </c>
      <c r="N18" s="64">
        <v>2.2000000000000002</v>
      </c>
      <c r="O18" s="64">
        <v>272</v>
      </c>
      <c r="P18" s="64">
        <v>2.2000000000000002</v>
      </c>
      <c r="Q18" s="64">
        <v>4.5999999999999996</v>
      </c>
    </row>
    <row r="19" spans="1:17">
      <c r="K19" s="412"/>
      <c r="L19" s="62" t="s">
        <v>431</v>
      </c>
      <c r="M19" s="102">
        <f>MAX(M7:M18)</f>
        <v>91.686996459960938</v>
      </c>
      <c r="N19" s="108">
        <f>AVERAGE(N7:N18)</f>
        <v>1.8083333333333333</v>
      </c>
      <c r="O19" s="62">
        <f>MAX(O7:O18)</f>
        <v>422.2</v>
      </c>
      <c r="P19" s="108">
        <f>AVERAGE(P7:P18)</f>
        <v>1.8083333333333333</v>
      </c>
      <c r="Q19" s="62">
        <f>MAX(Q7:Q18)</f>
        <v>10.6</v>
      </c>
    </row>
    <row r="21" spans="1:17" ht="30">
      <c r="K21" s="61">
        <f>+A6</f>
        <v>2022</v>
      </c>
      <c r="L21" s="61" t="s">
        <v>413</v>
      </c>
      <c r="M21" s="55" t="s">
        <v>449</v>
      </c>
      <c r="N21" s="55" t="s">
        <v>450</v>
      </c>
      <c r="O21" s="55" t="s">
        <v>451</v>
      </c>
      <c r="P21" s="67" t="s">
        <v>411</v>
      </c>
      <c r="Q21" s="67" t="s">
        <v>415</v>
      </c>
    </row>
    <row r="22" spans="1:17">
      <c r="K22" s="412" t="s">
        <v>195</v>
      </c>
      <c r="L22" s="66" t="s">
        <v>416</v>
      </c>
      <c r="M22" s="101">
        <v>2.506525993347168</v>
      </c>
      <c r="N22" s="64">
        <v>0.8</v>
      </c>
      <c r="O22" s="64">
        <v>384.3</v>
      </c>
      <c r="P22" s="64">
        <v>0.8</v>
      </c>
      <c r="Q22" s="64">
        <v>3</v>
      </c>
    </row>
    <row r="23" spans="1:17">
      <c r="K23" s="412"/>
      <c r="L23" s="66" t="s">
        <v>417</v>
      </c>
      <c r="M23" s="101">
        <v>2.3595600128173828</v>
      </c>
      <c r="N23" s="64">
        <v>0.8</v>
      </c>
      <c r="O23" s="64">
        <v>284.39999999999998</v>
      </c>
      <c r="P23" s="64">
        <v>0.8</v>
      </c>
      <c r="Q23" s="64">
        <v>3</v>
      </c>
    </row>
    <row r="24" spans="1:17">
      <c r="K24" s="412"/>
      <c r="L24" s="66" t="s">
        <v>418</v>
      </c>
      <c r="M24" s="101">
        <v>1.6072180271148682</v>
      </c>
      <c r="N24" s="64">
        <v>0.6</v>
      </c>
      <c r="O24" s="64">
        <v>218.4</v>
      </c>
      <c r="P24" s="64">
        <v>0.6</v>
      </c>
      <c r="Q24" s="64">
        <v>1.9</v>
      </c>
    </row>
    <row r="25" spans="1:17">
      <c r="K25" s="412"/>
      <c r="L25" s="66" t="s">
        <v>420</v>
      </c>
      <c r="M25" s="101">
        <v>5.8327832221984863</v>
      </c>
      <c r="N25" s="64">
        <v>0.8</v>
      </c>
      <c r="O25" s="64">
        <v>277.7</v>
      </c>
      <c r="P25" s="64">
        <v>0.8</v>
      </c>
      <c r="Q25" s="64">
        <v>2.5</v>
      </c>
    </row>
    <row r="26" spans="1:17">
      <c r="K26" s="412"/>
      <c r="L26" s="66" t="s">
        <v>422</v>
      </c>
      <c r="M26" s="101">
        <v>4.532933235168457</v>
      </c>
      <c r="N26" s="64">
        <v>0.3</v>
      </c>
      <c r="O26" s="64">
        <v>127</v>
      </c>
      <c r="P26" s="64">
        <v>0.3</v>
      </c>
      <c r="Q26" s="64">
        <v>0.5</v>
      </c>
    </row>
    <row r="27" spans="1:17">
      <c r="K27" s="412"/>
      <c r="L27" s="66" t="s">
        <v>423</v>
      </c>
      <c r="M27" s="101">
        <v>38.539047241210938</v>
      </c>
      <c r="N27" s="64">
        <v>1</v>
      </c>
      <c r="O27" s="64">
        <v>629.6</v>
      </c>
      <c r="P27" s="64">
        <v>1</v>
      </c>
      <c r="Q27" s="64">
        <v>7.7</v>
      </c>
    </row>
    <row r="28" spans="1:17">
      <c r="K28" s="412"/>
      <c r="L28" s="66" t="s">
        <v>424</v>
      </c>
      <c r="M28" s="101">
        <v>16.276134490966797</v>
      </c>
      <c r="N28" s="64">
        <v>1.8</v>
      </c>
      <c r="O28" s="64">
        <v>377.8</v>
      </c>
      <c r="P28" s="64">
        <v>1.8</v>
      </c>
      <c r="Q28" s="64">
        <v>6.2</v>
      </c>
    </row>
    <row r="29" spans="1:17">
      <c r="H29" s="200"/>
      <c r="K29" s="412"/>
      <c r="L29" s="66" t="s">
        <v>426</v>
      </c>
      <c r="M29" s="101">
        <v>6.8633160591125488</v>
      </c>
      <c r="N29" s="64">
        <v>1.3</v>
      </c>
      <c r="O29" s="64">
        <v>386.1</v>
      </c>
      <c r="P29" s="64">
        <v>1.3</v>
      </c>
      <c r="Q29" s="64">
        <v>5.9</v>
      </c>
    </row>
    <row r="30" spans="1:17">
      <c r="K30" s="412"/>
      <c r="L30" s="66" t="s">
        <v>427</v>
      </c>
      <c r="M30" s="101">
        <v>5.7428770065307617</v>
      </c>
      <c r="N30" s="64">
        <v>1.7</v>
      </c>
      <c r="O30" s="64">
        <v>395.5</v>
      </c>
      <c r="P30" s="64">
        <v>1.7</v>
      </c>
      <c r="Q30" s="64">
        <v>7.3</v>
      </c>
    </row>
    <row r="31" spans="1:17">
      <c r="K31" s="412"/>
      <c r="L31" s="66" t="s">
        <v>428</v>
      </c>
      <c r="M31" s="101">
        <v>3.8411569595336914</v>
      </c>
      <c r="N31" s="64">
        <v>2</v>
      </c>
      <c r="O31" s="64">
        <v>444</v>
      </c>
      <c r="P31" s="64">
        <v>2</v>
      </c>
      <c r="Q31" s="64">
        <v>4.9000000000000004</v>
      </c>
    </row>
    <row r="32" spans="1:17">
      <c r="K32" s="412"/>
      <c r="L32" s="66" t="s">
        <v>429</v>
      </c>
      <c r="M32" s="101">
        <v>5.5316181182861328</v>
      </c>
      <c r="N32" s="64">
        <v>2.2000000000000002</v>
      </c>
      <c r="O32" s="64">
        <v>514</v>
      </c>
      <c r="P32" s="64">
        <v>2.2000000000000002</v>
      </c>
      <c r="Q32" s="64">
        <v>5.0999999999999996</v>
      </c>
    </row>
    <row r="33" spans="1:17">
      <c r="K33" s="412"/>
      <c r="L33" s="66" t="s">
        <v>430</v>
      </c>
      <c r="M33" s="101">
        <v>51.898818969726563</v>
      </c>
      <c r="N33" s="64">
        <v>1.2</v>
      </c>
      <c r="O33" s="64">
        <v>184</v>
      </c>
      <c r="P33" s="64">
        <v>1.2</v>
      </c>
      <c r="Q33" s="64">
        <v>3</v>
      </c>
    </row>
    <row r="34" spans="1:17">
      <c r="K34" s="412"/>
      <c r="L34" s="62" t="s">
        <v>431</v>
      </c>
      <c r="M34" s="102">
        <f>MAX(M22:M33)</f>
        <v>51.898818969726563</v>
      </c>
      <c r="N34" s="108">
        <f>AVERAGE(N22:N33)</f>
        <v>1.2083333333333333</v>
      </c>
      <c r="O34" s="62">
        <f>MAX(O22:O33)</f>
        <v>629.6</v>
      </c>
      <c r="P34" s="108">
        <f>AVERAGE(P22:P33)</f>
        <v>1.2083333333333333</v>
      </c>
      <c r="Q34" s="62">
        <f>MAX(Q22:Q33)</f>
        <v>7.7</v>
      </c>
    </row>
    <row r="36" spans="1:17" ht="30">
      <c r="K36" s="61">
        <f>+A6</f>
        <v>2022</v>
      </c>
      <c r="L36" s="61" t="s">
        <v>413</v>
      </c>
      <c r="M36" s="55" t="s">
        <v>449</v>
      </c>
      <c r="N36" s="55" t="s">
        <v>450</v>
      </c>
      <c r="O36" s="55" t="s">
        <v>451</v>
      </c>
      <c r="P36" s="67" t="s">
        <v>411</v>
      </c>
      <c r="Q36" s="67" t="s">
        <v>415</v>
      </c>
    </row>
    <row r="37" spans="1:17">
      <c r="K37" s="412" t="s">
        <v>196</v>
      </c>
      <c r="L37" s="66" t="s">
        <v>416</v>
      </c>
      <c r="M37" s="64"/>
      <c r="N37" s="64"/>
      <c r="O37" s="64"/>
      <c r="P37" s="64"/>
      <c r="Q37" s="64"/>
    </row>
    <row r="38" spans="1:17">
      <c r="K38" s="412"/>
      <c r="L38" s="66" t="s">
        <v>417</v>
      </c>
      <c r="M38" s="64"/>
      <c r="N38" s="64"/>
      <c r="O38" s="64"/>
      <c r="P38" s="64"/>
      <c r="Q38" s="64"/>
    </row>
    <row r="39" spans="1:17">
      <c r="K39" s="412"/>
      <c r="L39" s="66" t="s">
        <v>418</v>
      </c>
      <c r="M39" s="64"/>
      <c r="N39" s="64"/>
      <c r="O39" s="64"/>
      <c r="P39" s="64"/>
      <c r="Q39" s="64"/>
    </row>
    <row r="40" spans="1:17">
      <c r="K40" s="412"/>
      <c r="L40" s="66" t="s">
        <v>420</v>
      </c>
      <c r="M40" s="64"/>
      <c r="N40" s="64"/>
      <c r="O40" s="64"/>
      <c r="P40" s="64"/>
      <c r="Q40" s="64"/>
    </row>
    <row r="41" spans="1:17">
      <c r="K41" s="412"/>
      <c r="L41" s="66" t="s">
        <v>422</v>
      </c>
      <c r="M41" s="64"/>
      <c r="N41" s="64"/>
      <c r="O41" s="64"/>
      <c r="P41" s="64"/>
      <c r="Q41" s="64"/>
    </row>
    <row r="42" spans="1:17">
      <c r="K42" s="412"/>
      <c r="L42" s="66" t="s">
        <v>423</v>
      </c>
      <c r="M42" s="64"/>
      <c r="N42" s="64"/>
      <c r="O42" s="64"/>
      <c r="P42" s="64"/>
      <c r="Q42" s="64"/>
    </row>
    <row r="43" spans="1:17">
      <c r="K43" s="412"/>
      <c r="L43" s="66" t="s">
        <v>424</v>
      </c>
      <c r="M43" s="64"/>
      <c r="N43" s="64"/>
      <c r="O43" s="64"/>
      <c r="P43" s="64"/>
      <c r="Q43" s="64"/>
    </row>
    <row r="44" spans="1:17">
      <c r="K44" s="412"/>
      <c r="L44" s="66" t="s">
        <v>426</v>
      </c>
      <c r="M44" s="64"/>
      <c r="N44" s="64"/>
      <c r="O44" s="64"/>
      <c r="P44" s="64"/>
      <c r="Q44" s="64"/>
    </row>
    <row r="45" spans="1:17">
      <c r="K45" s="412"/>
      <c r="L45" s="66" t="s">
        <v>427</v>
      </c>
      <c r="M45" s="64"/>
      <c r="N45" s="64"/>
      <c r="O45" s="64"/>
      <c r="P45" s="64"/>
      <c r="Q45" s="64"/>
    </row>
    <row r="46" spans="1:17">
      <c r="K46" s="412"/>
      <c r="L46" s="66" t="s">
        <v>428</v>
      </c>
      <c r="M46" s="64"/>
      <c r="N46" s="64"/>
      <c r="O46" s="64"/>
      <c r="P46" s="64"/>
      <c r="Q46" s="64"/>
    </row>
    <row r="47" spans="1:17">
      <c r="K47" s="412"/>
      <c r="L47" s="66" t="s">
        <v>429</v>
      </c>
      <c r="M47" s="64"/>
      <c r="N47" s="64"/>
      <c r="O47" s="64"/>
      <c r="P47" s="64"/>
      <c r="Q47" s="64"/>
    </row>
    <row r="48" spans="1:17" ht="15">
      <c r="A48" s="424" t="s">
        <v>324</v>
      </c>
      <c r="B48" s="425"/>
      <c r="C48" s="425"/>
      <c r="D48" s="425"/>
      <c r="E48" s="425"/>
      <c r="F48" s="425"/>
      <c r="G48" s="425"/>
      <c r="H48" s="426"/>
      <c r="K48" s="412"/>
      <c r="L48" s="66" t="s">
        <v>430</v>
      </c>
      <c r="M48" s="64"/>
      <c r="N48" s="64"/>
      <c r="O48" s="64"/>
      <c r="P48" s="64"/>
      <c r="Q48" s="64"/>
    </row>
    <row r="49" spans="1:17">
      <c r="A49" s="427" t="s">
        <v>456</v>
      </c>
      <c r="B49" s="428"/>
      <c r="C49" s="428"/>
      <c r="D49" s="428"/>
      <c r="E49" s="428"/>
      <c r="F49" s="428"/>
      <c r="G49" s="428"/>
      <c r="H49" s="429"/>
      <c r="K49" s="412"/>
      <c r="L49" s="62" t="s">
        <v>431</v>
      </c>
      <c r="M49" s="62" t="e">
        <f>AVERAGE(M37:M48)</f>
        <v>#DIV/0!</v>
      </c>
      <c r="N49" s="62"/>
      <c r="O49" s="62">
        <f>MAX(O37:O48)</f>
        <v>0</v>
      </c>
      <c r="P49" s="62" t="e">
        <f>AVERAGE(P37:P48)</f>
        <v>#DIV/0!</v>
      </c>
      <c r="Q49" s="62">
        <f>MAX(Q37:Q48)</f>
        <v>0</v>
      </c>
    </row>
    <row r="50" spans="1:17">
      <c r="A50" s="430"/>
      <c r="B50" s="431"/>
      <c r="C50" s="431"/>
      <c r="D50" s="431"/>
      <c r="E50" s="431"/>
      <c r="F50" s="431"/>
      <c r="G50" s="431"/>
      <c r="H50" s="432"/>
    </row>
    <row r="51" spans="1:17" ht="30">
      <c r="A51" s="430"/>
      <c r="B51" s="431"/>
      <c r="C51" s="431"/>
      <c r="D51" s="431"/>
      <c r="E51" s="431"/>
      <c r="F51" s="431"/>
      <c r="G51" s="431"/>
      <c r="H51" s="432"/>
      <c r="K51" s="61">
        <f>+A6</f>
        <v>2022</v>
      </c>
      <c r="L51" s="61" t="s">
        <v>413</v>
      </c>
      <c r="M51" s="55" t="s">
        <v>449</v>
      </c>
      <c r="N51" s="55" t="s">
        <v>450</v>
      </c>
      <c r="O51" s="55" t="s">
        <v>451</v>
      </c>
      <c r="P51" s="67" t="s">
        <v>411</v>
      </c>
      <c r="Q51" s="67" t="s">
        <v>415</v>
      </c>
    </row>
    <row r="52" spans="1:17">
      <c r="A52" s="433"/>
      <c r="B52" s="434"/>
      <c r="C52" s="434"/>
      <c r="D52" s="434"/>
      <c r="E52" s="434"/>
      <c r="F52" s="434"/>
      <c r="G52" s="434"/>
      <c r="H52" s="435"/>
      <c r="K52" s="412" t="s">
        <v>197</v>
      </c>
      <c r="L52" s="66" t="s">
        <v>416</v>
      </c>
      <c r="M52" s="64"/>
      <c r="N52" s="64"/>
      <c r="O52" s="64"/>
      <c r="P52" s="64"/>
      <c r="Q52" s="64"/>
    </row>
    <row r="53" spans="1:17">
      <c r="K53" s="412"/>
      <c r="L53" s="66" t="s">
        <v>417</v>
      </c>
      <c r="M53" s="64"/>
      <c r="N53" s="64"/>
      <c r="O53" s="64"/>
      <c r="P53" s="64"/>
      <c r="Q53" s="64"/>
    </row>
    <row r="54" spans="1:17">
      <c r="K54" s="412"/>
      <c r="L54" s="66" t="s">
        <v>418</v>
      </c>
      <c r="M54" s="64"/>
      <c r="N54" s="64"/>
      <c r="O54" s="64"/>
      <c r="P54" s="64"/>
      <c r="Q54" s="64"/>
    </row>
    <row r="55" spans="1:17">
      <c r="K55" s="412"/>
      <c r="L55" s="66" t="s">
        <v>420</v>
      </c>
      <c r="M55" s="64"/>
      <c r="N55" s="64"/>
      <c r="O55" s="64"/>
      <c r="P55" s="64"/>
      <c r="Q55" s="64"/>
    </row>
    <row r="56" spans="1:17">
      <c r="K56" s="412"/>
      <c r="L56" s="66" t="s">
        <v>422</v>
      </c>
      <c r="M56" s="64"/>
      <c r="N56" s="64"/>
      <c r="O56" s="64"/>
      <c r="P56" s="64"/>
      <c r="Q56" s="64"/>
    </row>
    <row r="57" spans="1:17">
      <c r="K57" s="412"/>
      <c r="L57" s="66" t="s">
        <v>423</v>
      </c>
      <c r="M57" s="64"/>
      <c r="N57" s="64"/>
      <c r="O57" s="64"/>
      <c r="P57" s="64"/>
      <c r="Q57" s="64"/>
    </row>
    <row r="58" spans="1:17">
      <c r="K58" s="412"/>
      <c r="L58" s="66" t="s">
        <v>424</v>
      </c>
      <c r="M58" s="64"/>
      <c r="N58" s="64"/>
      <c r="O58" s="64"/>
      <c r="P58" s="64"/>
      <c r="Q58" s="64"/>
    </row>
    <row r="59" spans="1:17">
      <c r="K59" s="412"/>
      <c r="L59" s="66" t="s">
        <v>426</v>
      </c>
      <c r="M59" s="64"/>
      <c r="N59" s="64"/>
      <c r="O59" s="64"/>
      <c r="P59" s="64"/>
      <c r="Q59" s="64"/>
    </row>
    <row r="60" spans="1:17">
      <c r="K60" s="412"/>
      <c r="L60" s="66" t="s">
        <v>427</v>
      </c>
      <c r="M60" s="64"/>
      <c r="N60" s="64"/>
      <c r="O60" s="64"/>
      <c r="P60" s="64"/>
      <c r="Q60" s="64"/>
    </row>
    <row r="61" spans="1:17">
      <c r="K61" s="412"/>
      <c r="L61" s="66" t="s">
        <v>428</v>
      </c>
      <c r="M61" s="64"/>
      <c r="N61" s="64"/>
      <c r="O61" s="64"/>
      <c r="P61" s="64"/>
      <c r="Q61" s="64"/>
    </row>
    <row r="62" spans="1:17">
      <c r="K62" s="412"/>
      <c r="L62" s="66" t="s">
        <v>429</v>
      </c>
      <c r="M62" s="64"/>
      <c r="N62" s="64"/>
      <c r="O62" s="64"/>
      <c r="P62" s="64"/>
      <c r="Q62" s="64"/>
    </row>
    <row r="63" spans="1:17">
      <c r="K63" s="412"/>
      <c r="L63" s="66" t="s">
        <v>430</v>
      </c>
      <c r="M63" s="64"/>
      <c r="N63" s="64"/>
      <c r="O63" s="64"/>
      <c r="P63" s="64"/>
      <c r="Q63" s="64"/>
    </row>
    <row r="64" spans="1:17">
      <c r="K64" s="412"/>
      <c r="L64" s="62" t="s">
        <v>431</v>
      </c>
      <c r="M64" s="62" t="e">
        <f>AVERAGE(M52:M63)</f>
        <v>#DIV/0!</v>
      </c>
      <c r="N64" s="62"/>
      <c r="O64" s="62">
        <f>MAX(O52:O63)</f>
        <v>0</v>
      </c>
      <c r="P64" s="62" t="e">
        <f>AVERAGE(P52:P63)</f>
        <v>#DIV/0!</v>
      </c>
      <c r="Q64" s="62">
        <f>MAX(Q52:Q63)</f>
        <v>0</v>
      </c>
    </row>
    <row r="66" spans="11:17" ht="30">
      <c r="K66" s="61">
        <f>+A6</f>
        <v>2022</v>
      </c>
      <c r="L66" s="61" t="s">
        <v>413</v>
      </c>
      <c r="M66" s="55" t="s">
        <v>449</v>
      </c>
      <c r="N66" s="55" t="s">
        <v>450</v>
      </c>
      <c r="O66" s="55" t="s">
        <v>451</v>
      </c>
      <c r="P66" s="67" t="s">
        <v>411</v>
      </c>
      <c r="Q66" s="67" t="s">
        <v>415</v>
      </c>
    </row>
    <row r="67" spans="11:17">
      <c r="K67" s="412" t="s">
        <v>198</v>
      </c>
      <c r="L67" s="66" t="s">
        <v>416</v>
      </c>
      <c r="M67" s="64"/>
      <c r="N67" s="64"/>
      <c r="O67" s="64"/>
      <c r="P67" s="64"/>
      <c r="Q67" s="64"/>
    </row>
    <row r="68" spans="11:17">
      <c r="K68" s="412"/>
      <c r="L68" s="66" t="s">
        <v>417</v>
      </c>
      <c r="M68" s="64"/>
      <c r="N68" s="64"/>
      <c r="O68" s="64"/>
      <c r="P68" s="64"/>
      <c r="Q68" s="64"/>
    </row>
    <row r="69" spans="11:17">
      <c r="K69" s="412"/>
      <c r="L69" s="66" t="s">
        <v>418</v>
      </c>
      <c r="M69" s="64"/>
      <c r="N69" s="64"/>
      <c r="O69" s="64"/>
      <c r="P69" s="64"/>
      <c r="Q69" s="64"/>
    </row>
    <row r="70" spans="11:17">
      <c r="K70" s="412"/>
      <c r="L70" s="66" t="s">
        <v>420</v>
      </c>
      <c r="M70" s="64"/>
      <c r="N70" s="64"/>
      <c r="O70" s="64"/>
      <c r="P70" s="64"/>
      <c r="Q70" s="64"/>
    </row>
    <row r="71" spans="11:17">
      <c r="K71" s="412"/>
      <c r="L71" s="66" t="s">
        <v>422</v>
      </c>
      <c r="M71" s="64"/>
      <c r="N71" s="64"/>
      <c r="O71" s="64"/>
      <c r="P71" s="64"/>
      <c r="Q71" s="64"/>
    </row>
    <row r="72" spans="11:17">
      <c r="K72" s="412"/>
      <c r="L72" s="66" t="s">
        <v>423</v>
      </c>
      <c r="M72" s="64"/>
      <c r="N72" s="64"/>
      <c r="O72" s="64"/>
      <c r="P72" s="64"/>
      <c r="Q72" s="64"/>
    </row>
    <row r="73" spans="11:17">
      <c r="K73" s="412"/>
      <c r="L73" s="66" t="s">
        <v>424</v>
      </c>
      <c r="M73" s="64"/>
      <c r="N73" s="64"/>
      <c r="O73" s="64"/>
      <c r="P73" s="64"/>
      <c r="Q73" s="64"/>
    </row>
    <row r="74" spans="11:17">
      <c r="K74" s="412"/>
      <c r="L74" s="66" t="s">
        <v>426</v>
      </c>
      <c r="M74" s="64"/>
      <c r="N74" s="64"/>
      <c r="O74" s="64"/>
      <c r="P74" s="64"/>
      <c r="Q74" s="64"/>
    </row>
    <row r="75" spans="11:17">
      <c r="K75" s="412"/>
      <c r="L75" s="66" t="s">
        <v>427</v>
      </c>
      <c r="M75" s="64"/>
      <c r="N75" s="64"/>
      <c r="O75" s="64"/>
      <c r="P75" s="64"/>
      <c r="Q75" s="64"/>
    </row>
    <row r="76" spans="11:17">
      <c r="K76" s="412"/>
      <c r="L76" s="66" t="s">
        <v>428</v>
      </c>
      <c r="M76" s="64"/>
      <c r="N76" s="64"/>
      <c r="O76" s="64"/>
      <c r="P76" s="64"/>
      <c r="Q76" s="64"/>
    </row>
    <row r="77" spans="11:17">
      <c r="K77" s="412"/>
      <c r="L77" s="66" t="s">
        <v>429</v>
      </c>
      <c r="M77" s="64"/>
      <c r="N77" s="64"/>
      <c r="O77" s="64"/>
      <c r="P77" s="64"/>
      <c r="Q77" s="64"/>
    </row>
    <row r="78" spans="11:17">
      <c r="K78" s="412"/>
      <c r="L78" s="66" t="s">
        <v>430</v>
      </c>
      <c r="M78" s="64"/>
      <c r="N78" s="64"/>
      <c r="O78" s="64"/>
      <c r="P78" s="64"/>
      <c r="Q78" s="64"/>
    </row>
    <row r="79" spans="11:17">
      <c r="K79" s="412"/>
      <c r="L79" s="62" t="s">
        <v>431</v>
      </c>
      <c r="M79" s="62" t="e">
        <f>AVERAGE(M67:M78)</f>
        <v>#DIV/0!</v>
      </c>
      <c r="N79" s="62"/>
      <c r="O79" s="62">
        <f>MAX(O67:O78)</f>
        <v>0</v>
      </c>
      <c r="P79" s="62" t="e">
        <f>AVERAGE(P67:P78)</f>
        <v>#DIV/0!</v>
      </c>
      <c r="Q79" s="62">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workbookViewId="0">
      <selection activeCell="A22" sqref="A22"/>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Suffolk Energy from Waste Facility</v>
      </c>
    </row>
    <row r="3" spans="1:19" ht="15">
      <c r="A3" s="60" t="s">
        <v>457</v>
      </c>
      <c r="D3" s="76" t="s">
        <v>400</v>
      </c>
      <c r="G3" s="80" t="s">
        <v>401</v>
      </c>
      <c r="J3" s="9" t="str">
        <f>+A3</f>
        <v xml:space="preserve">Monitoring of Ammonia emissions </v>
      </c>
      <c r="L3" s="9"/>
      <c r="N3" s="9" t="s">
        <v>402</v>
      </c>
      <c r="Q3" s="79" t="s">
        <v>3</v>
      </c>
      <c r="R3" s="74"/>
      <c r="S3" s="74"/>
    </row>
    <row r="4" spans="1:19" ht="13.9" customHeight="1">
      <c r="Q4" s="388" t="s">
        <v>403</v>
      </c>
      <c r="R4" s="388"/>
      <c r="S4" s="388"/>
    </row>
    <row r="5" spans="1:19" ht="17.25">
      <c r="A5" s="68" t="s">
        <v>404</v>
      </c>
      <c r="B5" s="414" t="s">
        <v>405</v>
      </c>
      <c r="C5" s="414"/>
      <c r="D5" s="414"/>
      <c r="E5" s="414" t="s">
        <v>406</v>
      </c>
      <c r="F5" s="414"/>
      <c r="G5" s="414"/>
      <c r="J5" s="413"/>
      <c r="K5" s="413"/>
      <c r="L5" s="413"/>
      <c r="M5" s="413"/>
      <c r="N5" s="413"/>
      <c r="O5" s="413"/>
      <c r="Q5" s="388"/>
      <c r="R5" s="388"/>
      <c r="S5" s="388"/>
    </row>
    <row r="6" spans="1:19" s="58" customFormat="1" ht="37.5" customHeight="1">
      <c r="A6" s="65">
        <f>+'Cover Page'!C39</f>
        <v>2022</v>
      </c>
      <c r="B6" s="55" t="s">
        <v>458</v>
      </c>
      <c r="C6" s="55" t="s">
        <v>408</v>
      </c>
      <c r="D6" s="55" t="s">
        <v>409</v>
      </c>
      <c r="E6" s="55" t="s">
        <v>459</v>
      </c>
      <c r="F6" s="55" t="s">
        <v>411</v>
      </c>
      <c r="G6" s="55" t="s">
        <v>412</v>
      </c>
      <c r="H6" s="59"/>
      <c r="J6" s="61">
        <f>+A6</f>
        <v>2022</v>
      </c>
      <c r="K6" s="61" t="s">
        <v>413</v>
      </c>
      <c r="L6" s="67" t="s">
        <v>408</v>
      </c>
      <c r="M6" s="67" t="s">
        <v>414</v>
      </c>
      <c r="N6" s="67" t="s">
        <v>411</v>
      </c>
      <c r="O6" s="67" t="s">
        <v>415</v>
      </c>
      <c r="Q6" s="388"/>
      <c r="R6" s="388"/>
      <c r="S6" s="388"/>
    </row>
    <row r="7" spans="1:19">
      <c r="A7" s="66" t="s">
        <v>416</v>
      </c>
      <c r="B7" s="69">
        <v>0</v>
      </c>
      <c r="C7" s="64" t="e">
        <f>AVERAGE(L7,L22)</f>
        <v>#DIV/0!</v>
      </c>
      <c r="D7" s="64" t="e">
        <f>AVERAGE(M7,M22)</f>
        <v>#DIV/0!</v>
      </c>
      <c r="E7" s="69">
        <v>10</v>
      </c>
      <c r="F7" s="64" t="e">
        <f>AVERAGE(N7,N22)</f>
        <v>#DIV/0!</v>
      </c>
      <c r="G7" s="64" t="e">
        <f>AVERAGE(O7,O22)</f>
        <v>#DIV/0!</v>
      </c>
      <c r="J7" s="412" t="s">
        <v>194</v>
      </c>
      <c r="K7" s="66" t="s">
        <v>416</v>
      </c>
      <c r="L7" s="64"/>
      <c r="M7" s="64"/>
      <c r="N7" s="64"/>
      <c r="O7" s="64"/>
      <c r="Q7" s="388"/>
      <c r="R7" s="388"/>
      <c r="S7" s="388"/>
    </row>
    <row r="8" spans="1:19">
      <c r="A8" s="66" t="s">
        <v>417</v>
      </c>
      <c r="B8" s="63">
        <f>+B7</f>
        <v>0</v>
      </c>
      <c r="C8" s="64" t="e">
        <f t="shared" ref="C8:D8" si="0">AVERAGE(L8,L23)</f>
        <v>#DIV/0!</v>
      </c>
      <c r="D8" s="64" t="e">
        <f t="shared" si="0"/>
        <v>#DIV/0!</v>
      </c>
      <c r="E8" s="63">
        <f>+E7</f>
        <v>10</v>
      </c>
      <c r="F8" s="64" t="e">
        <f t="shared" ref="F8:G8" si="1">AVERAGE(N8,N23)</f>
        <v>#DIV/0!</v>
      </c>
      <c r="G8" s="64" t="e">
        <f t="shared" si="1"/>
        <v>#DIV/0!</v>
      </c>
      <c r="J8" s="412"/>
      <c r="K8" s="66" t="s">
        <v>417</v>
      </c>
      <c r="L8" s="64"/>
      <c r="M8" s="64"/>
      <c r="N8" s="64"/>
      <c r="O8" s="64"/>
      <c r="Q8" s="388"/>
      <c r="R8" s="388"/>
      <c r="S8" s="388"/>
    </row>
    <row r="9" spans="1:19" ht="15">
      <c r="A9" s="66" t="s">
        <v>418</v>
      </c>
      <c r="B9" s="63">
        <f t="shared" ref="B9:B18" si="2">+B8</f>
        <v>0</v>
      </c>
      <c r="C9" s="64" t="e">
        <f t="shared" ref="C9:D9" si="3">AVERAGE(L9,L24)</f>
        <v>#DIV/0!</v>
      </c>
      <c r="D9" s="64" t="e">
        <f t="shared" si="3"/>
        <v>#DIV/0!</v>
      </c>
      <c r="E9" s="63">
        <f t="shared" ref="E9:E18" si="4">+E8</f>
        <v>10</v>
      </c>
      <c r="F9" s="64" t="e">
        <f t="shared" ref="F9:G9" si="5">AVERAGE(N9,N24)</f>
        <v>#DIV/0!</v>
      </c>
      <c r="G9" s="64" t="e">
        <f t="shared" si="5"/>
        <v>#DIV/0!</v>
      </c>
      <c r="J9" s="412"/>
      <c r="K9" s="66" t="s">
        <v>418</v>
      </c>
      <c r="L9" s="64"/>
      <c r="M9" s="64"/>
      <c r="N9" s="64"/>
      <c r="O9" s="64"/>
      <c r="Q9" s="78" t="s">
        <v>419</v>
      </c>
    </row>
    <row r="10" spans="1:19" ht="14.25" customHeight="1">
      <c r="A10" s="66" t="s">
        <v>420</v>
      </c>
      <c r="B10" s="63">
        <f t="shared" si="2"/>
        <v>0</v>
      </c>
      <c r="C10" s="64" t="e">
        <f t="shared" ref="C10:D10" si="6">AVERAGE(L10,L25)</f>
        <v>#DIV/0!</v>
      </c>
      <c r="D10" s="64" t="e">
        <f t="shared" si="6"/>
        <v>#DIV/0!</v>
      </c>
      <c r="E10" s="63">
        <f t="shared" si="4"/>
        <v>10</v>
      </c>
      <c r="F10" s="64" t="e">
        <f t="shared" ref="F10:G10" si="7">AVERAGE(N10,N25)</f>
        <v>#DIV/0!</v>
      </c>
      <c r="G10" s="64" t="e">
        <f t="shared" si="7"/>
        <v>#DIV/0!</v>
      </c>
      <c r="J10" s="412"/>
      <c r="K10" s="66" t="s">
        <v>420</v>
      </c>
      <c r="L10" s="64"/>
      <c r="M10" s="64"/>
      <c r="N10" s="64"/>
      <c r="O10" s="64"/>
      <c r="Q10" s="411" t="s">
        <v>421</v>
      </c>
      <c r="R10" s="411"/>
      <c r="S10" s="411"/>
    </row>
    <row r="11" spans="1:19">
      <c r="A11" s="66" t="s">
        <v>422</v>
      </c>
      <c r="B11" s="63">
        <f t="shared" si="2"/>
        <v>0</v>
      </c>
      <c r="C11" s="64" t="e">
        <f t="shared" ref="C11:D11" si="8">AVERAGE(L11,L26)</f>
        <v>#DIV/0!</v>
      </c>
      <c r="D11" s="64" t="e">
        <f t="shared" si="8"/>
        <v>#DIV/0!</v>
      </c>
      <c r="E11" s="63">
        <f t="shared" si="4"/>
        <v>10</v>
      </c>
      <c r="F11" s="64" t="e">
        <f t="shared" ref="F11:G11" si="9">AVERAGE(N11,N26)</f>
        <v>#DIV/0!</v>
      </c>
      <c r="G11" s="64" t="e">
        <f t="shared" si="9"/>
        <v>#DIV/0!</v>
      </c>
      <c r="J11" s="412"/>
      <c r="K11" s="66" t="s">
        <v>422</v>
      </c>
      <c r="L11" s="64"/>
      <c r="M11" s="64"/>
      <c r="N11" s="64"/>
      <c r="O11" s="64"/>
      <c r="Q11" s="411"/>
      <c r="R11" s="411"/>
      <c r="S11" s="411"/>
    </row>
    <row r="12" spans="1:19">
      <c r="A12" s="66" t="s">
        <v>423</v>
      </c>
      <c r="B12" s="63">
        <f t="shared" si="2"/>
        <v>0</v>
      </c>
      <c r="C12" s="64" t="e">
        <f t="shared" ref="C12:D12" si="10">AVERAGE(L12,L27)</f>
        <v>#DIV/0!</v>
      </c>
      <c r="D12" s="64" t="e">
        <f t="shared" si="10"/>
        <v>#DIV/0!</v>
      </c>
      <c r="E12" s="63">
        <f t="shared" si="4"/>
        <v>10</v>
      </c>
      <c r="F12" s="64" t="e">
        <f t="shared" ref="F12:G12" si="11">AVERAGE(N12,N27)</f>
        <v>#DIV/0!</v>
      </c>
      <c r="G12" s="64" t="e">
        <f t="shared" si="11"/>
        <v>#DIV/0!</v>
      </c>
      <c r="J12" s="412"/>
      <c r="K12" s="66" t="s">
        <v>423</v>
      </c>
      <c r="L12" s="64"/>
      <c r="M12" s="64"/>
      <c r="N12" s="64"/>
      <c r="O12" s="64"/>
      <c r="Q12" s="411"/>
      <c r="R12" s="411"/>
      <c r="S12" s="411"/>
    </row>
    <row r="13" spans="1:19" ht="14.25" customHeight="1">
      <c r="A13" s="66" t="s">
        <v>424</v>
      </c>
      <c r="B13" s="63">
        <f t="shared" si="2"/>
        <v>0</v>
      </c>
      <c r="C13" s="64" t="e">
        <f t="shared" ref="C13:D13" si="12">AVERAGE(L13,L28)</f>
        <v>#DIV/0!</v>
      </c>
      <c r="D13" s="64" t="e">
        <f t="shared" si="12"/>
        <v>#DIV/0!</v>
      </c>
      <c r="E13" s="63">
        <f t="shared" si="4"/>
        <v>10</v>
      </c>
      <c r="F13" s="64" t="e">
        <f t="shared" ref="F13:G13" si="13">AVERAGE(N13,N28)</f>
        <v>#DIV/0!</v>
      </c>
      <c r="G13" s="64" t="e">
        <f t="shared" si="13"/>
        <v>#DIV/0!</v>
      </c>
      <c r="J13" s="412"/>
      <c r="K13" s="66" t="s">
        <v>424</v>
      </c>
      <c r="L13" s="64"/>
      <c r="M13" s="64"/>
      <c r="N13" s="64"/>
      <c r="O13" s="64"/>
      <c r="Q13" s="411" t="s">
        <v>425</v>
      </c>
      <c r="R13" s="411"/>
      <c r="S13" s="411"/>
    </row>
    <row r="14" spans="1:19">
      <c r="A14" s="66" t="s">
        <v>426</v>
      </c>
      <c r="B14" s="63">
        <f t="shared" si="2"/>
        <v>0</v>
      </c>
      <c r="C14" s="64" t="e">
        <f t="shared" ref="C14:D14" si="14">AVERAGE(L14,L29)</f>
        <v>#DIV/0!</v>
      </c>
      <c r="D14" s="64" t="e">
        <f t="shared" si="14"/>
        <v>#DIV/0!</v>
      </c>
      <c r="E14" s="63">
        <f t="shared" si="4"/>
        <v>10</v>
      </c>
      <c r="F14" s="64" t="e">
        <f t="shared" ref="F14:G14" si="15">AVERAGE(N14,N29)</f>
        <v>#DIV/0!</v>
      </c>
      <c r="G14" s="64" t="e">
        <f t="shared" si="15"/>
        <v>#DIV/0!</v>
      </c>
      <c r="J14" s="412"/>
      <c r="K14" s="66" t="s">
        <v>426</v>
      </c>
      <c r="L14" s="64"/>
      <c r="M14" s="64"/>
      <c r="N14" s="64"/>
      <c r="O14" s="64"/>
      <c r="Q14" s="411"/>
      <c r="R14" s="411"/>
      <c r="S14" s="411"/>
    </row>
    <row r="15" spans="1:19">
      <c r="A15" s="66" t="s">
        <v>427</v>
      </c>
      <c r="B15" s="63">
        <f t="shared" si="2"/>
        <v>0</v>
      </c>
      <c r="C15" s="64" t="e">
        <f t="shared" ref="C15:D15" si="16">AVERAGE(L15,L30)</f>
        <v>#DIV/0!</v>
      </c>
      <c r="D15" s="64" t="e">
        <f t="shared" si="16"/>
        <v>#DIV/0!</v>
      </c>
      <c r="E15" s="63">
        <f t="shared" si="4"/>
        <v>10</v>
      </c>
      <c r="F15" s="64" t="e">
        <f t="shared" ref="F15:G15" si="17">AVERAGE(N15,N30)</f>
        <v>#DIV/0!</v>
      </c>
      <c r="G15" s="64" t="e">
        <f t="shared" si="17"/>
        <v>#DIV/0!</v>
      </c>
      <c r="J15" s="412"/>
      <c r="K15" s="66" t="s">
        <v>427</v>
      </c>
      <c r="L15" s="64"/>
      <c r="M15" s="64"/>
      <c r="N15" s="64"/>
      <c r="O15" s="64"/>
      <c r="Q15" s="411"/>
      <c r="R15" s="411"/>
      <c r="S15" s="411"/>
    </row>
    <row r="16" spans="1:19">
      <c r="A16" s="66" t="s">
        <v>428</v>
      </c>
      <c r="B16" s="63">
        <f t="shared" si="2"/>
        <v>0</v>
      </c>
      <c r="C16" s="64" t="e">
        <f t="shared" ref="C16:D16" si="18">AVERAGE(L16,L31)</f>
        <v>#DIV/0!</v>
      </c>
      <c r="D16" s="64" t="e">
        <f t="shared" si="18"/>
        <v>#DIV/0!</v>
      </c>
      <c r="E16" s="63">
        <f t="shared" si="4"/>
        <v>10</v>
      </c>
      <c r="F16" s="64" t="e">
        <f t="shared" ref="F16:G16" si="19">AVERAGE(N16,N31)</f>
        <v>#DIV/0!</v>
      </c>
      <c r="G16" s="64" t="e">
        <f t="shared" si="19"/>
        <v>#DIV/0!</v>
      </c>
      <c r="J16" s="412"/>
      <c r="K16" s="66" t="s">
        <v>428</v>
      </c>
      <c r="L16" s="64"/>
      <c r="M16" s="64"/>
      <c r="N16" s="64"/>
      <c r="O16" s="64"/>
      <c r="Q16" s="411"/>
      <c r="R16" s="411"/>
      <c r="S16" s="411"/>
    </row>
    <row r="17" spans="1:15">
      <c r="A17" s="66" t="s">
        <v>429</v>
      </c>
      <c r="B17" s="63">
        <f t="shared" si="2"/>
        <v>0</v>
      </c>
      <c r="C17" s="64" t="e">
        <f t="shared" ref="C17:D17" si="20">AVERAGE(L17,L32)</f>
        <v>#DIV/0!</v>
      </c>
      <c r="D17" s="64" t="e">
        <f t="shared" si="20"/>
        <v>#DIV/0!</v>
      </c>
      <c r="E17" s="63">
        <f t="shared" si="4"/>
        <v>10</v>
      </c>
      <c r="F17" s="64" t="e">
        <f t="shared" ref="F17:G17" si="21">AVERAGE(N17,N32)</f>
        <v>#DIV/0!</v>
      </c>
      <c r="G17" s="64" t="e">
        <f t="shared" si="21"/>
        <v>#DIV/0!</v>
      </c>
      <c r="J17" s="412"/>
      <c r="K17" s="66" t="s">
        <v>429</v>
      </c>
      <c r="L17" s="64"/>
      <c r="M17" s="64"/>
      <c r="N17" s="64"/>
      <c r="O17" s="64"/>
    </row>
    <row r="18" spans="1:15">
      <c r="A18" s="66" t="s">
        <v>430</v>
      </c>
      <c r="B18" s="63">
        <f t="shared" si="2"/>
        <v>0</v>
      </c>
      <c r="C18" s="64" t="e">
        <f t="shared" ref="C18:D18" si="22">AVERAGE(L18,L33)</f>
        <v>#DIV/0!</v>
      </c>
      <c r="D18" s="64" t="e">
        <f t="shared" si="22"/>
        <v>#DIV/0!</v>
      </c>
      <c r="E18" s="63">
        <f t="shared" si="4"/>
        <v>10</v>
      </c>
      <c r="F18" s="64" t="e">
        <f t="shared" ref="F18:G18" si="23">AVERAGE(N18,N33)</f>
        <v>#DIV/0!</v>
      </c>
      <c r="G18" s="64" t="e">
        <f t="shared" si="23"/>
        <v>#DIV/0!</v>
      </c>
      <c r="J18" s="412"/>
      <c r="K18" s="66" t="s">
        <v>430</v>
      </c>
      <c r="L18" s="64"/>
      <c r="M18" s="64"/>
      <c r="N18" s="64"/>
      <c r="O18" s="64"/>
    </row>
    <row r="19" spans="1:15">
      <c r="J19" s="412"/>
      <c r="K19" s="62" t="s">
        <v>431</v>
      </c>
      <c r="L19" s="62" t="e">
        <f>AVERAGE(L7:L18)</f>
        <v>#DIV/0!</v>
      </c>
      <c r="M19" s="62">
        <f>MAX(M7:M18)</f>
        <v>0</v>
      </c>
      <c r="N19" s="62" t="e">
        <f>AVERAGE(N7:N18)</f>
        <v>#DIV/0!</v>
      </c>
      <c r="O19" s="62">
        <f>MAX(O7:O18)</f>
        <v>0</v>
      </c>
    </row>
    <row r="21" spans="1:15" ht="30">
      <c r="J21" s="61">
        <f>+A6</f>
        <v>2022</v>
      </c>
      <c r="K21" s="61" t="s">
        <v>413</v>
      </c>
      <c r="L21" s="67" t="s">
        <v>408</v>
      </c>
      <c r="M21" s="67" t="s">
        <v>414</v>
      </c>
      <c r="N21" s="67" t="s">
        <v>411</v>
      </c>
      <c r="O21" s="67" t="s">
        <v>415</v>
      </c>
    </row>
    <row r="22" spans="1:15">
      <c r="J22" s="412" t="s">
        <v>195</v>
      </c>
      <c r="K22" s="66" t="s">
        <v>416</v>
      </c>
      <c r="L22" s="64"/>
      <c r="M22" s="64"/>
      <c r="N22" s="64"/>
      <c r="O22" s="64"/>
    </row>
    <row r="23" spans="1:15">
      <c r="J23" s="412"/>
      <c r="K23" s="66" t="s">
        <v>417</v>
      </c>
      <c r="L23" s="64"/>
      <c r="M23" s="64"/>
      <c r="N23" s="64"/>
      <c r="O23" s="64"/>
    </row>
    <row r="24" spans="1:15">
      <c r="J24" s="412"/>
      <c r="K24" s="66" t="s">
        <v>418</v>
      </c>
      <c r="L24" s="64"/>
      <c r="M24" s="64"/>
      <c r="N24" s="64"/>
      <c r="O24" s="64"/>
    </row>
    <row r="25" spans="1:15">
      <c r="J25" s="412"/>
      <c r="K25" s="66" t="s">
        <v>420</v>
      </c>
      <c r="L25" s="64"/>
      <c r="M25" s="64"/>
      <c r="N25" s="64"/>
      <c r="O25" s="64"/>
    </row>
    <row r="26" spans="1:15">
      <c r="J26" s="412"/>
      <c r="K26" s="66" t="s">
        <v>422</v>
      </c>
      <c r="L26" s="64"/>
      <c r="M26" s="64"/>
      <c r="N26" s="64"/>
      <c r="O26" s="64"/>
    </row>
    <row r="27" spans="1:15">
      <c r="J27" s="412"/>
      <c r="K27" s="66" t="s">
        <v>423</v>
      </c>
      <c r="L27" s="64"/>
      <c r="M27" s="64"/>
      <c r="N27" s="64"/>
      <c r="O27" s="64"/>
    </row>
    <row r="28" spans="1:15">
      <c r="J28" s="412"/>
      <c r="K28" s="66" t="s">
        <v>424</v>
      </c>
      <c r="L28" s="64"/>
      <c r="M28" s="64"/>
      <c r="N28" s="64"/>
      <c r="O28" s="64"/>
    </row>
    <row r="29" spans="1:15">
      <c r="J29" s="412"/>
      <c r="K29" s="66" t="s">
        <v>426</v>
      </c>
      <c r="L29" s="64"/>
      <c r="M29" s="64"/>
      <c r="N29" s="64"/>
      <c r="O29" s="64"/>
    </row>
    <row r="30" spans="1:15">
      <c r="J30" s="412"/>
      <c r="K30" s="66" t="s">
        <v>427</v>
      </c>
      <c r="L30" s="64"/>
      <c r="M30" s="64"/>
      <c r="N30" s="64"/>
      <c r="O30" s="64"/>
    </row>
    <row r="31" spans="1:15">
      <c r="J31" s="412"/>
      <c r="K31" s="66" t="s">
        <v>428</v>
      </c>
      <c r="L31" s="64"/>
      <c r="M31" s="64"/>
      <c r="N31" s="64"/>
      <c r="O31" s="64"/>
    </row>
    <row r="32" spans="1:15">
      <c r="J32" s="412"/>
      <c r="K32" s="66" t="s">
        <v>429</v>
      </c>
      <c r="L32" s="64"/>
      <c r="M32" s="64"/>
      <c r="N32" s="64"/>
      <c r="O32" s="64"/>
    </row>
    <row r="33" spans="1:15">
      <c r="J33" s="412"/>
      <c r="K33" s="66" t="s">
        <v>430</v>
      </c>
      <c r="L33" s="64"/>
      <c r="M33" s="64"/>
      <c r="N33" s="64"/>
      <c r="O33" s="64"/>
    </row>
    <row r="34" spans="1:15">
      <c r="J34" s="412"/>
      <c r="K34" s="62" t="s">
        <v>431</v>
      </c>
      <c r="L34" s="62" t="e">
        <f>AVERAGE(L22:L33)</f>
        <v>#DIV/0!</v>
      </c>
      <c r="M34" s="62">
        <f>MAX(M22:M33)</f>
        <v>0</v>
      </c>
      <c r="N34" s="62" t="e">
        <f>AVERAGE(N22:N33)</f>
        <v>#DIV/0!</v>
      </c>
      <c r="O34" s="62">
        <f>MAX(O22:O33)</f>
        <v>0</v>
      </c>
    </row>
    <row r="36" spans="1:15" ht="30">
      <c r="J36" s="61">
        <f>+A6</f>
        <v>2022</v>
      </c>
      <c r="K36" s="61" t="s">
        <v>413</v>
      </c>
      <c r="L36" s="67" t="s">
        <v>408</v>
      </c>
      <c r="M36" s="67" t="s">
        <v>414</v>
      </c>
      <c r="N36" s="67" t="s">
        <v>411</v>
      </c>
      <c r="O36" s="67" t="s">
        <v>415</v>
      </c>
    </row>
    <row r="37" spans="1:15">
      <c r="J37" s="412" t="s">
        <v>196</v>
      </c>
      <c r="K37" s="66" t="s">
        <v>416</v>
      </c>
      <c r="L37" s="64"/>
      <c r="M37" s="64"/>
      <c r="N37" s="64"/>
      <c r="O37" s="64"/>
    </row>
    <row r="38" spans="1:15">
      <c r="J38" s="412"/>
      <c r="K38" s="66" t="s">
        <v>417</v>
      </c>
      <c r="L38" s="64"/>
      <c r="M38" s="64"/>
      <c r="N38" s="64"/>
      <c r="O38" s="64"/>
    </row>
    <row r="39" spans="1:15">
      <c r="J39" s="412"/>
      <c r="K39" s="66" t="s">
        <v>418</v>
      </c>
      <c r="L39" s="64"/>
      <c r="M39" s="64"/>
      <c r="N39" s="64"/>
      <c r="O39" s="64"/>
    </row>
    <row r="40" spans="1:15">
      <c r="J40" s="412"/>
      <c r="K40" s="66" t="s">
        <v>420</v>
      </c>
      <c r="L40" s="64"/>
      <c r="M40" s="64"/>
      <c r="N40" s="64"/>
      <c r="O40" s="64"/>
    </row>
    <row r="41" spans="1:15">
      <c r="J41" s="412"/>
      <c r="K41" s="66" t="s">
        <v>422</v>
      </c>
      <c r="L41" s="64"/>
      <c r="M41" s="64"/>
      <c r="N41" s="64"/>
      <c r="O41" s="64"/>
    </row>
    <row r="42" spans="1:15">
      <c r="J42" s="412"/>
      <c r="K42" s="66" t="s">
        <v>423</v>
      </c>
      <c r="L42" s="64"/>
      <c r="M42" s="64"/>
      <c r="N42" s="64"/>
      <c r="O42" s="64"/>
    </row>
    <row r="43" spans="1:15">
      <c r="J43" s="412"/>
      <c r="K43" s="66" t="s">
        <v>424</v>
      </c>
      <c r="L43" s="64"/>
      <c r="M43" s="64"/>
      <c r="N43" s="64"/>
      <c r="O43" s="64"/>
    </row>
    <row r="44" spans="1:15">
      <c r="J44" s="412"/>
      <c r="K44" s="66" t="s">
        <v>426</v>
      </c>
      <c r="L44" s="64"/>
      <c r="M44" s="64"/>
      <c r="N44" s="64"/>
      <c r="O44" s="64"/>
    </row>
    <row r="45" spans="1:15">
      <c r="J45" s="412"/>
      <c r="K45" s="66" t="s">
        <v>427</v>
      </c>
      <c r="L45" s="64"/>
      <c r="M45" s="64"/>
      <c r="N45" s="64"/>
      <c r="O45" s="64"/>
    </row>
    <row r="46" spans="1:15">
      <c r="J46" s="412"/>
      <c r="K46" s="66" t="s">
        <v>428</v>
      </c>
      <c r="L46" s="64"/>
      <c r="M46" s="64"/>
      <c r="N46" s="64"/>
      <c r="O46" s="64"/>
    </row>
    <row r="47" spans="1:15">
      <c r="J47" s="412"/>
      <c r="K47" s="66" t="s">
        <v>429</v>
      </c>
      <c r="L47" s="64"/>
      <c r="M47" s="64"/>
      <c r="N47" s="64"/>
      <c r="O47" s="64"/>
    </row>
    <row r="48" spans="1:15" ht="15">
      <c r="A48" s="424" t="s">
        <v>324</v>
      </c>
      <c r="B48" s="425"/>
      <c r="C48" s="425"/>
      <c r="D48" s="425"/>
      <c r="E48" s="425"/>
      <c r="F48" s="425"/>
      <c r="G48" s="426"/>
      <c r="J48" s="412"/>
      <c r="K48" s="66" t="s">
        <v>430</v>
      </c>
      <c r="L48" s="64"/>
      <c r="M48" s="64"/>
      <c r="N48" s="64"/>
      <c r="O48" s="64"/>
    </row>
    <row r="49" spans="1:15">
      <c r="A49" s="415" t="s">
        <v>460</v>
      </c>
      <c r="B49" s="416"/>
      <c r="C49" s="416"/>
      <c r="D49" s="416"/>
      <c r="E49" s="416"/>
      <c r="F49" s="416"/>
      <c r="G49" s="417"/>
      <c r="J49" s="412"/>
      <c r="K49" s="62" t="s">
        <v>431</v>
      </c>
      <c r="L49" s="62" t="e">
        <f>AVERAGE(L37:L48)</f>
        <v>#DIV/0!</v>
      </c>
      <c r="M49" s="62">
        <f>MAX(M37:M48)</f>
        <v>0</v>
      </c>
      <c r="N49" s="62" t="e">
        <f>AVERAGE(N37:N48)</f>
        <v>#DIV/0!</v>
      </c>
      <c r="O49" s="62">
        <f>MAX(O37:O48)</f>
        <v>0</v>
      </c>
    </row>
    <row r="50" spans="1:15">
      <c r="A50" s="418"/>
      <c r="B50" s="419"/>
      <c r="C50" s="419"/>
      <c r="D50" s="419"/>
      <c r="E50" s="419"/>
      <c r="F50" s="419"/>
      <c r="G50" s="420"/>
    </row>
    <row r="51" spans="1:15" ht="30">
      <c r="A51" s="418"/>
      <c r="B51" s="419"/>
      <c r="C51" s="419"/>
      <c r="D51" s="419"/>
      <c r="E51" s="419"/>
      <c r="F51" s="419"/>
      <c r="G51" s="420"/>
      <c r="J51" s="61">
        <f>+A6</f>
        <v>2022</v>
      </c>
      <c r="K51" s="61" t="s">
        <v>413</v>
      </c>
      <c r="L51" s="67" t="s">
        <v>408</v>
      </c>
      <c r="M51" s="67" t="s">
        <v>414</v>
      </c>
      <c r="N51" s="67" t="s">
        <v>411</v>
      </c>
      <c r="O51" s="67" t="s">
        <v>415</v>
      </c>
    </row>
    <row r="52" spans="1:15">
      <c r="A52" s="421"/>
      <c r="B52" s="422"/>
      <c r="C52" s="422"/>
      <c r="D52" s="422"/>
      <c r="E52" s="422"/>
      <c r="F52" s="422"/>
      <c r="G52" s="423"/>
      <c r="J52" s="412" t="s">
        <v>197</v>
      </c>
      <c r="K52" s="66" t="s">
        <v>416</v>
      </c>
      <c r="L52" s="64"/>
      <c r="M52" s="64"/>
      <c r="N52" s="64"/>
      <c r="O52" s="64"/>
    </row>
    <row r="53" spans="1:15">
      <c r="J53" s="412"/>
      <c r="K53" s="66" t="s">
        <v>417</v>
      </c>
      <c r="L53" s="64"/>
      <c r="M53" s="64"/>
      <c r="N53" s="64"/>
      <c r="O53" s="64"/>
    </row>
    <row r="54" spans="1:15">
      <c r="J54" s="412"/>
      <c r="K54" s="66" t="s">
        <v>418</v>
      </c>
      <c r="L54" s="64"/>
      <c r="M54" s="64"/>
      <c r="N54" s="64"/>
      <c r="O54" s="64"/>
    </row>
    <row r="55" spans="1:15">
      <c r="J55" s="412"/>
      <c r="K55" s="66" t="s">
        <v>420</v>
      </c>
      <c r="L55" s="64"/>
      <c r="M55" s="64"/>
      <c r="N55" s="64"/>
      <c r="O55" s="64"/>
    </row>
    <row r="56" spans="1:15">
      <c r="J56" s="412"/>
      <c r="K56" s="66" t="s">
        <v>422</v>
      </c>
      <c r="L56" s="64"/>
      <c r="M56" s="64"/>
      <c r="N56" s="64"/>
      <c r="O56" s="64"/>
    </row>
    <row r="57" spans="1:15">
      <c r="J57" s="412"/>
      <c r="K57" s="66" t="s">
        <v>423</v>
      </c>
      <c r="L57" s="64"/>
      <c r="M57" s="64"/>
      <c r="N57" s="64"/>
      <c r="O57" s="64"/>
    </row>
    <row r="58" spans="1:15">
      <c r="J58" s="412"/>
      <c r="K58" s="66" t="s">
        <v>424</v>
      </c>
      <c r="L58" s="64"/>
      <c r="M58" s="64"/>
      <c r="N58" s="64"/>
      <c r="O58" s="64"/>
    </row>
    <row r="59" spans="1:15">
      <c r="J59" s="412"/>
      <c r="K59" s="66" t="s">
        <v>426</v>
      </c>
      <c r="L59" s="64"/>
      <c r="M59" s="64"/>
      <c r="N59" s="64"/>
      <c r="O59" s="64"/>
    </row>
    <row r="60" spans="1:15">
      <c r="J60" s="412"/>
      <c r="K60" s="66" t="s">
        <v>427</v>
      </c>
      <c r="L60" s="64"/>
      <c r="M60" s="64"/>
      <c r="N60" s="64"/>
      <c r="O60" s="64"/>
    </row>
    <row r="61" spans="1:15">
      <c r="J61" s="412"/>
      <c r="K61" s="66" t="s">
        <v>428</v>
      </c>
      <c r="L61" s="64"/>
      <c r="M61" s="64"/>
      <c r="N61" s="64"/>
      <c r="O61" s="64"/>
    </row>
    <row r="62" spans="1:15">
      <c r="J62" s="412"/>
      <c r="K62" s="66" t="s">
        <v>429</v>
      </c>
      <c r="L62" s="64"/>
      <c r="M62" s="64"/>
      <c r="N62" s="64"/>
      <c r="O62" s="64"/>
    </row>
    <row r="63" spans="1:15">
      <c r="J63" s="412"/>
      <c r="K63" s="66" t="s">
        <v>430</v>
      </c>
      <c r="L63" s="64"/>
      <c r="M63" s="64"/>
      <c r="N63" s="64"/>
      <c r="O63" s="64"/>
    </row>
    <row r="64" spans="1:15">
      <c r="J64" s="412"/>
      <c r="K64" s="62" t="s">
        <v>431</v>
      </c>
      <c r="L64" s="62" t="e">
        <f>AVERAGE(L52:L63)</f>
        <v>#DIV/0!</v>
      </c>
      <c r="M64" s="62">
        <f>MAX(M52:M63)</f>
        <v>0</v>
      </c>
      <c r="N64" s="62" t="e">
        <f>AVERAGE(N52:N63)</f>
        <v>#DIV/0!</v>
      </c>
      <c r="O64" s="62">
        <f>MAX(O52:O63)</f>
        <v>0</v>
      </c>
    </row>
    <row r="66" spans="10:15" ht="30">
      <c r="J66" s="61">
        <f>+A6</f>
        <v>2022</v>
      </c>
      <c r="K66" s="61" t="s">
        <v>413</v>
      </c>
      <c r="L66" s="67" t="s">
        <v>408</v>
      </c>
      <c r="M66" s="67" t="s">
        <v>414</v>
      </c>
      <c r="N66" s="67" t="s">
        <v>411</v>
      </c>
      <c r="O66" s="67" t="s">
        <v>415</v>
      </c>
    </row>
    <row r="67" spans="10:15">
      <c r="J67" s="412" t="s">
        <v>198</v>
      </c>
      <c r="K67" s="66" t="s">
        <v>416</v>
      </c>
      <c r="L67" s="64"/>
      <c r="M67" s="64"/>
      <c r="N67" s="64"/>
      <c r="O67" s="64"/>
    </row>
    <row r="68" spans="10:15">
      <c r="J68" s="412"/>
      <c r="K68" s="66" t="s">
        <v>417</v>
      </c>
      <c r="L68" s="64"/>
      <c r="M68" s="64"/>
      <c r="N68" s="64"/>
      <c r="O68" s="64"/>
    </row>
    <row r="69" spans="10:15">
      <c r="J69" s="412"/>
      <c r="K69" s="66" t="s">
        <v>418</v>
      </c>
      <c r="L69" s="64"/>
      <c r="M69" s="64"/>
      <c r="N69" s="64"/>
      <c r="O69" s="64"/>
    </row>
    <row r="70" spans="10:15">
      <c r="J70" s="412"/>
      <c r="K70" s="66" t="s">
        <v>420</v>
      </c>
      <c r="L70" s="64"/>
      <c r="M70" s="64"/>
      <c r="N70" s="64"/>
      <c r="O70" s="64"/>
    </row>
    <row r="71" spans="10:15">
      <c r="J71" s="412"/>
      <c r="K71" s="66" t="s">
        <v>422</v>
      </c>
      <c r="L71" s="64"/>
      <c r="M71" s="64"/>
      <c r="N71" s="64"/>
      <c r="O71" s="64"/>
    </row>
    <row r="72" spans="10:15">
      <c r="J72" s="412"/>
      <c r="K72" s="66" t="s">
        <v>423</v>
      </c>
      <c r="L72" s="64"/>
      <c r="M72" s="64"/>
      <c r="N72" s="64"/>
      <c r="O72" s="64"/>
    </row>
    <row r="73" spans="10:15">
      <c r="J73" s="412"/>
      <c r="K73" s="66" t="s">
        <v>424</v>
      </c>
      <c r="L73" s="64"/>
      <c r="M73" s="64"/>
      <c r="N73" s="64"/>
      <c r="O73" s="64"/>
    </row>
    <row r="74" spans="10:15">
      <c r="J74" s="412"/>
      <c r="K74" s="66" t="s">
        <v>426</v>
      </c>
      <c r="L74" s="64"/>
      <c r="M74" s="64"/>
      <c r="N74" s="64"/>
      <c r="O74" s="64"/>
    </row>
    <row r="75" spans="10:15">
      <c r="J75" s="412"/>
      <c r="K75" s="66" t="s">
        <v>427</v>
      </c>
      <c r="L75" s="64"/>
      <c r="M75" s="64"/>
      <c r="N75" s="64"/>
      <c r="O75" s="64"/>
    </row>
    <row r="76" spans="10:15">
      <c r="J76" s="412"/>
      <c r="K76" s="66" t="s">
        <v>428</v>
      </c>
      <c r="L76" s="64"/>
      <c r="M76" s="64"/>
      <c r="N76" s="64"/>
      <c r="O76" s="64"/>
    </row>
    <row r="77" spans="10:15">
      <c r="J77" s="412"/>
      <c r="K77" s="66" t="s">
        <v>429</v>
      </c>
      <c r="L77" s="64"/>
      <c r="M77" s="64"/>
      <c r="N77" s="64"/>
      <c r="O77" s="64"/>
    </row>
    <row r="78" spans="10:15">
      <c r="J78" s="412"/>
      <c r="K78" s="66" t="s">
        <v>430</v>
      </c>
      <c r="L78" s="64"/>
      <c r="M78" s="64"/>
      <c r="N78" s="64"/>
      <c r="O78" s="64"/>
    </row>
    <row r="79" spans="10:15">
      <c r="J79" s="412"/>
      <c r="K79" s="62" t="s">
        <v>431</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d1117845-93f6-4da3-abaa-fcb4fa669c78" ContentTypeId="0x010100A5BF1C78D9F64B679A5EBDE1C6598EBC01" PreviousValue="false"/>
</file>

<file path=customXml/item2.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SharedWithUsers xmlns="e76eb3f9-f7d4-4afe-8d75-1839375753c6">
      <UserInfo>
        <DisplayName>Taylor, Robert (UK)</DisplayName>
        <AccountId>253</AccountId>
        <AccountType/>
      </UserInfo>
    </SharedWithUsers>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3.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EE316B5-2BED-48C1-BD7C-A66152A4DC49}"/>
</file>

<file path=customXml/itemProps2.xml><?xml version="1.0" encoding="utf-8"?>
<ds:datastoreItem xmlns:ds="http://schemas.openxmlformats.org/officeDocument/2006/customXml" ds:itemID="{03A65312-EDD8-4ED5-85CD-21EC9D2BFEF5}"/>
</file>

<file path=customXml/itemProps3.xml><?xml version="1.0" encoding="utf-8"?>
<ds:datastoreItem xmlns:ds="http://schemas.openxmlformats.org/officeDocument/2006/customXml" ds:itemID="{01AF73ED-95D4-4BEF-837B-F3B763397D57}"/>
</file>

<file path=customXml/itemProps4.xml><?xml version="1.0" encoding="utf-8"?>
<ds:datastoreItem xmlns:ds="http://schemas.openxmlformats.org/officeDocument/2006/customXml" ds:itemID="{130E79B3-286C-4594-AC93-4243D3FE78E7}"/>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Rice, Matt</cp:lastModifiedBy>
  <cp:revision/>
  <dcterms:created xsi:type="dcterms:W3CDTF">2019-04-02T06:44:55Z</dcterms:created>
  <dcterms:modified xsi:type="dcterms:W3CDTF">2023-04-25T15:29:08Z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