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West Midlands/"/>
    </mc:Choice>
  </mc:AlternateContent>
  <xr:revisionPtr revIDLastSave="1" documentId="13_ncr:1_{E46AFC5C-6325-410C-801F-AE1BCDC1E4BD}" xr6:coauthVersionLast="47" xr6:coauthVersionMax="47" xr10:uidLastSave="{4E06AEAC-0423-4D35-A148-A05C4D143C94}"/>
  <bookViews>
    <workbookView xWindow="-108" yWindow="-108" windowWidth="23256" windowHeight="12576"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HCl" sheetId="13" r:id="rId14"/>
    <sheet name="SO2" sheetId="25" r:id="rId15"/>
    <sheet name="NOx" sheetId="26" r:id="rId16"/>
    <sheet name="Air (CEMS)" sheetId="24" r:id="rId17"/>
    <sheet name="TOC" sheetId="27" r:id="rId18"/>
    <sheet name="Particulates" sheetId="28" r:id="rId19"/>
    <sheet name="CO 0.5hourly" sheetId="29" r:id="rId20"/>
    <sheet name="CO 95% 10 min" sheetId="30" r:id="rId21"/>
    <sheet name="NH3" sheetId="31" r:id="rId22"/>
  </sheets>
  <definedNames>
    <definedName name="_xlnm.Print_Area" localSheetId="16">'Air (CEMS)'!$A$1:$M$31</definedName>
    <definedName name="_xlnm.Print_Area" localSheetId="12">'Air (periodic)'!$A$1:$J$41</definedName>
    <definedName name="_xlnm.Print_Area" localSheetId="19">'CO 0.5hourly'!$A$1:$G$52</definedName>
    <definedName name="_xlnm.Print_Area" localSheetId="20">'CO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3">HCl!$A$1:$G$52</definedName>
    <definedName name="_xlnm.Print_Area" localSheetId="8">Improvements!$A$1:$J$48</definedName>
    <definedName name="_xlnm.Print_Area" localSheetId="21">'NH3'!$A$1:$G$52</definedName>
    <definedName name="_xlnm.Print_Area" localSheetId="15">NOx!$A$1:$G$52</definedName>
    <definedName name="_xlnm.Print_Area" localSheetId="3">'Operational Data'!$A$1:$H$63</definedName>
    <definedName name="_xlnm.Print_Area" localSheetId="4">'Operational Summary'!$A$1:$I$52</definedName>
    <definedName name="_xlnm.Print_Area" localSheetId="18">Particulates!$A$1:$G$52</definedName>
    <definedName name="_xlnm.Print_Area" localSheetId="5">'Perf. Form 1'!$A$1:$J$55</definedName>
    <definedName name="_xlnm.Print_Area" localSheetId="7">'Permit Compliance'!$A$1:$J$38</definedName>
    <definedName name="_xlnm.Print_Area" localSheetId="9">'Public Liasion'!$A$1:$J$29</definedName>
    <definedName name="_xlnm.Print_Area" localSheetId="10">'Residue Quality '!$A$1:$G$41</definedName>
    <definedName name="_xlnm.Print_Area" localSheetId="14">'SO2'!$A$1:$G$52</definedName>
    <definedName name="_xlnm.Print_Area" localSheetId="17">TOC!$A$1:$G$52</definedName>
    <definedName name="_xlnm.Print_Area" localSheetId="11">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56" i="6" l="1"/>
  <c r="G12" i="6" l="1"/>
  <c r="H12" i="6" s="1"/>
  <c r="G11" i="6"/>
  <c r="G17" i="6"/>
  <c r="H17" i="6" s="1"/>
  <c r="G16" i="6"/>
  <c r="H16" i="6" s="1"/>
  <c r="G15" i="6"/>
  <c r="H15" i="6" s="1"/>
  <c r="G14" i="6"/>
  <c r="H14" i="6" s="1"/>
  <c r="G13" i="6"/>
  <c r="H13" i="6" s="1"/>
  <c r="G37" i="6" l="1"/>
  <c r="M19" i="29" l="1"/>
  <c r="N19" i="30"/>
  <c r="L19" i="28"/>
  <c r="F26" i="6"/>
  <c r="G25" i="6"/>
  <c r="I19" i="7" l="1"/>
  <c r="I20" i="7"/>
  <c r="I21" i="7"/>
  <c r="I22" i="7"/>
  <c r="I18" i="7"/>
  <c r="I14" i="7"/>
  <c r="C18" i="6" l="1"/>
  <c r="C21" i="6" s="1"/>
  <c r="H59" i="6" l="1"/>
  <c r="G43" i="6" l="1"/>
  <c r="J3" i="31" l="1"/>
  <c r="J3" i="30"/>
  <c r="J3" i="29"/>
  <c r="J3" i="28"/>
  <c r="J3" i="27"/>
  <c r="J3" i="26"/>
  <c r="J3" i="25"/>
  <c r="J3" i="13"/>
  <c r="G19" i="6" l="1"/>
  <c r="G55" i="6" l="1"/>
  <c r="G57" i="6" l="1"/>
  <c r="G63" i="6"/>
  <c r="G62" i="6"/>
  <c r="H62" i="6" s="1"/>
  <c r="G61" i="6"/>
  <c r="G59" i="6"/>
  <c r="G51" i="6"/>
  <c r="G52" i="6"/>
  <c r="G53" i="6"/>
  <c r="G54" i="6"/>
  <c r="G58" i="6"/>
  <c r="G56" i="6" l="1"/>
  <c r="D18" i="6"/>
  <c r="D21" i="6" s="1"/>
  <c r="E18" i="6"/>
  <c r="E21" i="6" s="1"/>
  <c r="F18" i="6"/>
  <c r="F21" i="6" s="1"/>
  <c r="G21" i="6" l="1"/>
  <c r="H43" i="6" s="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L19" i="29"/>
  <c r="A6" i="29"/>
  <c r="J66" i="29" s="1"/>
  <c r="O79" i="28"/>
  <c r="N79" i="28"/>
  <c r="M79" i="28"/>
  <c r="L79" i="28"/>
  <c r="O64" i="28"/>
  <c r="N64" i="28"/>
  <c r="M64" i="28"/>
  <c r="L64" i="28"/>
  <c r="O49" i="28"/>
  <c r="N49" i="28"/>
  <c r="M49" i="28"/>
  <c r="L49" i="28"/>
  <c r="O34" i="28"/>
  <c r="N34" i="28"/>
  <c r="M34" i="28"/>
  <c r="L34" i="28"/>
  <c r="O19" i="28"/>
  <c r="N19" i="28"/>
  <c r="M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I12" i="7" l="1"/>
  <c r="I11" i="7"/>
  <c r="I13" i="7"/>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G23" i="7"/>
  <c r="E23" i="7"/>
  <c r="I23" i="7" s="1"/>
  <c r="G15" i="7"/>
  <c r="E15" i="7"/>
  <c r="I15" i="7" s="1"/>
  <c r="B4" i="7"/>
  <c r="G3" i="7"/>
  <c r="A3" i="7"/>
  <c r="A1" i="7"/>
  <c r="A8" i="7" s="1"/>
  <c r="H63" i="6"/>
  <c r="H61" i="6"/>
  <c r="B51" i="6"/>
  <c r="G48" i="6"/>
  <c r="G47" i="6"/>
  <c r="G46" i="6"/>
  <c r="H46" i="6" s="1"/>
  <c r="G45" i="6"/>
  <c r="H45" i="6" s="1"/>
  <c r="G44" i="6"/>
  <c r="H44" i="6" s="1"/>
  <c r="G42" i="6"/>
  <c r="H42" i="6" s="1"/>
  <c r="G41" i="6"/>
  <c r="H41" i="6" s="1"/>
  <c r="G40" i="6"/>
  <c r="H40" i="6" s="1"/>
  <c r="H37" i="6"/>
  <c r="G36" i="6"/>
  <c r="H36" i="6" s="1"/>
  <c r="G35" i="6"/>
  <c r="H35" i="6" s="1"/>
  <c r="G34" i="6"/>
  <c r="H34" i="6" s="1"/>
  <c r="G30" i="6"/>
  <c r="G29" i="6"/>
  <c r="H29" i="6" s="1"/>
  <c r="G27" i="6"/>
  <c r="G26" i="6"/>
  <c r="H26" i="6" s="1"/>
  <c r="G24" i="6"/>
  <c r="H24" i="6" s="1"/>
  <c r="G20" i="6"/>
  <c r="H20" i="6" s="1"/>
  <c r="G10" i="6"/>
  <c r="G9" i="6"/>
  <c r="G8" i="6"/>
  <c r="H27" i="6" l="1"/>
  <c r="D14" i="8"/>
  <c r="H30" i="6"/>
  <c r="H25" i="6"/>
  <c r="E33" i="7"/>
  <c r="H33" i="7" s="1"/>
  <c r="H35" i="7"/>
  <c r="H37" i="7"/>
  <c r="E36" i="7"/>
  <c r="H36" i="7" s="1"/>
  <c r="G24" i="7"/>
  <c r="G18" i="6"/>
  <c r="G28" i="6"/>
  <c r="E24" i="7"/>
  <c r="I24" i="7" s="1"/>
  <c r="E34" i="7"/>
  <c r="H34" i="7" s="1"/>
  <c r="G10" i="8"/>
  <c r="A31" i="7"/>
  <c r="A43" i="7" s="1"/>
  <c r="H21" i="6" l="1"/>
  <c r="H11" i="6"/>
  <c r="H8" i="6"/>
  <c r="H19" i="6"/>
  <c r="H10" i="6"/>
  <c r="G11" i="8"/>
  <c r="G12" i="8"/>
  <c r="G14" i="8"/>
  <c r="H9" i="6"/>
</calcChain>
</file>

<file path=xl/sharedStrings.xml><?xml version="1.0" encoding="utf-8"?>
<sst xmlns="http://schemas.openxmlformats.org/spreadsheetml/2006/main" count="1627" uniqueCount="461">
  <si>
    <t>Add company logo</t>
  </si>
  <si>
    <t xml:space="preserve">Version 20.6 </t>
  </si>
  <si>
    <t>Notes:</t>
  </si>
  <si>
    <t>This template may require adjustments by individual operators to meet specific reporting requirements as defined in the site Permit(s)</t>
  </si>
  <si>
    <t>Year:</t>
  </si>
  <si>
    <t>Address:</t>
  </si>
  <si>
    <t xml:space="preserve">Tel: </t>
  </si>
  <si>
    <t xml:space="preserve">Email: </t>
  </si>
  <si>
    <t>Prepared by:</t>
  </si>
  <si>
    <t>Position:</t>
  </si>
  <si>
    <t>Approved by:</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</si>
  <si>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</si>
  <si>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</si>
  <si>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</si>
  <si>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</si>
  <si>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</si>
  <si>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</si>
  <si>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</si>
  <si>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</si>
  <si>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</si>
  <si>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</si>
  <si>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</si>
  <si>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</si>
  <si>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</si>
  <si>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</si>
  <si>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</si>
  <si>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</si>
  <si>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</si>
  <si>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</si>
  <si>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</si>
  <si>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</si>
  <si>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</si>
  <si>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</si>
  <si>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</si>
  <si>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</si>
  <si>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</si>
  <si>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</si>
  <si>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</si>
  <si>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</si>
  <si>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</si>
  <si>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</si>
  <si>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</si>
  <si>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</si>
  <si>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</si>
  <si>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</si>
  <si>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Include summary of plant design, design capacity, no. of combustion lines, electrical and heat capacity and any other general information that descibes the facility, its location and purpose </t>
  </si>
  <si>
    <t>Summary of Operational Processes and Procedures</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</si>
  <si>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</si>
  <si>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</si>
  <si>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</si>
  <si>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</si>
  <si>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</si>
  <si>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</si>
  <si>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</si>
  <si>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</si>
  <si>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</si>
  <si>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</si>
  <si>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</si>
  <si>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</si>
  <si>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</si>
  <si>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</si>
  <si>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</si>
  <si>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</si>
  <si>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</si>
  <si>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</si>
  <si>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</si>
  <si>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</si>
  <si>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</si>
  <si>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</si>
  <si>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</si>
  <si>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</si>
  <si>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Refuse Derived Fuel * - H'hold/LA</t>
  </si>
  <si>
    <t>Refuse Derived Fuel *  - C&amp;I</t>
  </si>
  <si>
    <t>Other [Please specify]</t>
  </si>
  <si>
    <t>Total waste received</t>
  </si>
  <si>
    <t xml:space="preserve">Rejected Waste </t>
  </si>
  <si>
    <t>Unprocessed waste transferred out</t>
  </si>
  <si>
    <t>Total waste combusted</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</si>
  <si>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</si>
  <si>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</si>
  <si>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</si>
  <si>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</si>
  <si>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</si>
  <si>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</si>
  <si>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</si>
  <si>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</si>
  <si>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</si>
  <si>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</si>
  <si>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</si>
  <si>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</si>
  <si>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</si>
  <si>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</si>
  <si>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</si>
  <si>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Metals recycling</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</si>
  <si>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</si>
  <si>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</si>
  <si>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</si>
  <si>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</si>
  <si>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</si>
  <si>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</si>
  <si>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</si>
  <si>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</si>
  <si>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</si>
  <si>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</si>
  <si>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</si>
  <si>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</si>
  <si>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</si>
  <si>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</si>
  <si>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</si>
  <si>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</si>
  <si>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</si>
  <si>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 xml:space="preserve"> x %</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</si>
  <si>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</si>
  <si>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</si>
  <si>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</si>
  <si>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</si>
  <si>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</si>
  <si>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</si>
  <si>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</si>
  <si>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</si>
  <si>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</si>
  <si>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</si>
  <si>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</si>
  <si>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</si>
  <si>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</si>
  <si>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Include summary of key operational and/or mainteanance activity undertaken in the year, such as any major component upgrades and/or replacements </t>
  </si>
  <si>
    <t>Summary of Residue Handling for the reporting year</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</si>
  <si>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</si>
  <si>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</si>
  <si>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</si>
  <si>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</si>
  <si>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</si>
  <si>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</si>
  <si>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</si>
  <si>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</si>
  <si>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</si>
  <si>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</si>
  <si>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</si>
  <si>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</si>
  <si>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</si>
  <si>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</si>
  <si>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</si>
  <si>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</si>
  <si>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</si>
  <si>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</si>
  <si>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</si>
  <si>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</si>
  <si>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</si>
  <si>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</si>
  <si>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</si>
  <si>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</si>
  <si>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Raw Material</t>
  </si>
  <si>
    <t>Usage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</si>
  <si>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</si>
  <si>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</si>
  <si>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</si>
  <si>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</si>
  <si>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</si>
  <si>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</si>
  <si>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</si>
  <si>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</si>
  <si>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</si>
  <si>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</si>
  <si>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</si>
  <si>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</si>
  <si>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</si>
  <si>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</si>
  <si>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</si>
  <si>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</si>
  <si>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</si>
  <si>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</si>
  <si>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</si>
  <si>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</si>
  <si>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</si>
  <si>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</si>
  <si>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</si>
  <si>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</si>
  <si>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</si>
  <si>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</si>
  <si>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</si>
  <si>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</si>
  <si>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</si>
  <si>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</si>
  <si>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</si>
  <si>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</si>
  <si>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</si>
  <si>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</si>
  <si>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</si>
  <si>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</si>
  <si>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</si>
  <si>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</si>
  <si>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</si>
  <si>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</si>
  <si>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</si>
  <si>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</si>
  <si>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</si>
  <si>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</si>
  <si>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</si>
  <si>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</si>
  <si>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</si>
  <si>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</si>
  <si>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</si>
  <si>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</si>
  <si>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</si>
  <si>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</si>
  <si>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</si>
  <si>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</si>
  <si>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</si>
  <si>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</si>
  <si>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</si>
  <si>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</si>
  <si>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</si>
  <si>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</si>
  <si>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</si>
  <si>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</si>
  <si>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</si>
  <si>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</si>
  <si>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Residue Quality Monitoring Requirements</t>
  </si>
  <si>
    <t>Summary of monitoring undertaken and compliance</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</si>
  <si>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</si>
  <si>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</si>
  <si>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</si>
  <si>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</si>
  <si>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</si>
  <si>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</si>
  <si>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</si>
  <si>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</si>
  <si>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</si>
  <si>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</si>
  <si>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</si>
  <si>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</si>
  <si>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</si>
  <si>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</si>
  <si>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</si>
  <si>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Emissions to Water / Sewer</t>
  </si>
  <si>
    <t>Monitoring Frequency</t>
  </si>
  <si>
    <t>Target</t>
  </si>
  <si>
    <t>Max.</t>
  </si>
  <si>
    <t>Average</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</si>
  <si>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</si>
  <si>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</si>
  <si>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</si>
  <si>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</si>
  <si>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</si>
  <si>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</si>
  <si>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</si>
  <si>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</si>
  <si>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</si>
  <si>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</si>
  <si>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</si>
  <si>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</si>
  <si>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</si>
  <si>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</si>
  <si>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</si>
  <si>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</si>
  <si>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</si>
  <si>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</si>
  <si>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</si>
  <si>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</si>
  <si>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</si>
  <si>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</si>
  <si>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</si>
  <si>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</si>
  <si>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</si>
  <si>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</si>
  <si>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</si>
  <si>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</si>
  <si>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</si>
  <si>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</si>
  <si>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</si>
  <si>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</si>
  <si>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</si>
  <si>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</si>
  <si>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</si>
  <si>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</si>
  <si>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</si>
  <si>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</si>
  <si>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</si>
  <si>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</si>
  <si>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</si>
  <si>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</si>
  <si>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</si>
  <si>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</si>
  <si>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</si>
  <si>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</si>
  <si>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</si>
  <si>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</si>
  <si>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</si>
  <si>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</si>
  <si>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</si>
  <si>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</si>
  <si>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</si>
  <si>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</si>
  <si>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</si>
  <si>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</si>
  <si>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</si>
  <si>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</si>
  <si>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</si>
  <si>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</si>
  <si>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</si>
  <si>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</si>
  <si>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</si>
  <si>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</si>
  <si>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</si>
  <si>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</si>
  <si>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</si>
  <si>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</si>
  <si>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</si>
  <si>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</si>
  <si>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</si>
  <si>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</si>
  <si>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</si>
  <si>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</si>
  <si>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</si>
  <si>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</si>
  <si>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</si>
  <si>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</si>
  <si>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</si>
  <si>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</si>
  <si>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</si>
  <si>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</si>
  <si>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</si>
  <si>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</si>
  <si>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</si>
  <si>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</si>
  <si>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</si>
  <si>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</si>
  <si>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</si>
  <si>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</si>
  <si>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</si>
  <si>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</si>
  <si>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</si>
  <si>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</si>
  <si>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</si>
  <si>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</si>
  <si>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</si>
  <si>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</si>
  <si>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</si>
  <si>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</si>
  <si>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</si>
  <si>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</si>
  <si>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</si>
  <si>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</si>
  <si>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</si>
  <si>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</si>
  <si>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</si>
  <si>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</si>
  <si>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</si>
  <si>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</si>
  <si>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</si>
  <si>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</si>
  <si>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</si>
  <si>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</si>
  <si>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</si>
  <si>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</si>
  <si>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</si>
  <si>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</si>
  <si>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</si>
  <si>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</si>
  <si>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</si>
  <si>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</si>
  <si>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</si>
  <si>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</si>
  <si>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</si>
  <si>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</si>
  <si>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</si>
  <si>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</si>
  <si>
    <t>Permit EPR/CP3207PV</t>
  </si>
  <si>
    <t>Stoke Operations Limited</t>
  </si>
  <si>
    <t>Scotia Road, Tunstall, Stoke-on-Trent ST6 4HG</t>
  </si>
  <si>
    <t>Paul Sawko</t>
  </si>
  <si>
    <t>01782 432469</t>
  </si>
  <si>
    <t>pH</t>
  </si>
  <si>
    <t>Total suspended solids</t>
  </si>
  <si>
    <t>COD (total)</t>
  </si>
  <si>
    <t>Phophorous (total)</t>
  </si>
  <si>
    <t>6 to 10</t>
  </si>
  <si>
    <t>Specific Usage</t>
  </si>
  <si>
    <t>Castle Environmental</t>
  </si>
  <si>
    <t>Grundon</t>
  </si>
  <si>
    <t xml:space="preserve">Castle Environmental </t>
  </si>
  <si>
    <t>Liquid containing IBA</t>
  </si>
  <si>
    <t>Liquid (containing IBA)</t>
  </si>
  <si>
    <t xml:space="preserve">One IBA ash sample taken and analysed. </t>
  </si>
  <si>
    <t>None specified in consent</t>
  </si>
  <si>
    <t>Breach of HCL daily limit (12.70mg/m3)</t>
  </si>
  <si>
    <t>Bridging of sodium bicarbonate feed</t>
  </si>
  <si>
    <t>Agitation of sodium bicarbonate bag</t>
  </si>
  <si>
    <t>02.08.22</t>
  </si>
  <si>
    <t>Urea overdosing</t>
  </si>
  <si>
    <t>Alter urea dosing</t>
  </si>
  <si>
    <t xml:space="preserve">05.09.22 </t>
  </si>
  <si>
    <t>Breach of HCL daily limit (24.44mg/m3)</t>
  </si>
  <si>
    <t>07-10.08.22</t>
  </si>
  <si>
    <t>Daily readings not automatically calculated</t>
  </si>
  <si>
    <t>08.11.22</t>
  </si>
  <si>
    <t>16.11.22</t>
  </si>
  <si>
    <t>17.11.22</t>
  </si>
  <si>
    <t>30.11.22</t>
  </si>
  <si>
    <t>CEMS stopped recording emissions data</t>
  </si>
  <si>
    <t>Malfunction of CEMS system</t>
  </si>
  <si>
    <t>Annual Performance Report 2022</t>
  </si>
  <si>
    <t>paul.sawko@stokeoperations.co.uk</t>
  </si>
  <si>
    <t>Env. Compliance Manager</t>
  </si>
  <si>
    <t xml:space="preserve">One effluent sample was taken on 29.11.22 and independently analysed. All parameters are well within discharge consent limits. </t>
  </si>
  <si>
    <t>Manually calculated daily average</t>
  </si>
  <si>
    <t>01.01.2022</t>
  </si>
  <si>
    <t>31.12.2022</t>
  </si>
  <si>
    <t>Energy Recovery Plant</t>
  </si>
  <si>
    <t>Clinitek (Stoke) LLP</t>
  </si>
  <si>
    <t>Noise from ash conveyor</t>
  </si>
  <si>
    <t>Acoustic box constructed and conveyor mechanism lubricated</t>
  </si>
  <si>
    <t>11.08.22</t>
  </si>
  <si>
    <t>Suspected plant noise</t>
  </si>
  <si>
    <t>15.06.22</t>
  </si>
  <si>
    <t>Neighbourhood noise readings conducted, levels were no greater when plant was operational</t>
  </si>
  <si>
    <t>Oxides of Nitrogen emissions</t>
  </si>
  <si>
    <t>Noise complaint from neighbouring business Arnold Laver</t>
  </si>
  <si>
    <t>Noise complaint from Stoke City Council on behalf of local resident</t>
  </si>
  <si>
    <t xml:space="preserve"> </t>
  </si>
  <si>
    <t>Energy Usage / Export</t>
  </si>
  <si>
    <t>Specific Usage (KWh/tonne incinerated</t>
  </si>
  <si>
    <t>Other - Sodium bicarbonate</t>
  </si>
  <si>
    <t>Sodium Bicarbonate</t>
  </si>
  <si>
    <t>20 mg/m3</t>
  </si>
  <si>
    <r>
      <t>80 mg/m</t>
    </r>
    <r>
      <rPr>
        <vertAlign val="superscript"/>
        <sz val="10"/>
        <color theme="1"/>
        <rFont val="Arial"/>
        <family val="2"/>
      </rPr>
      <t>3</t>
    </r>
    <r>
      <rPr>
        <sz val="10"/>
        <color theme="1"/>
        <rFont val="Arial"/>
        <family val="2"/>
      </rPr>
      <t xml:space="preserve"> </t>
    </r>
  </si>
  <si>
    <r>
      <t>5 mg/m</t>
    </r>
    <r>
      <rPr>
        <vertAlign val="superscript"/>
        <sz val="10"/>
        <color theme="1"/>
        <rFont val="Arial"/>
        <family val="2"/>
      </rPr>
      <t>3</t>
    </r>
  </si>
  <si>
    <r>
      <t>6 mg/m</t>
    </r>
    <r>
      <rPr>
        <vertAlign val="superscript"/>
        <sz val="10"/>
        <color theme="1"/>
        <rFont val="Arial"/>
        <family val="2"/>
      </rPr>
      <t>3</t>
    </r>
    <r>
      <rPr>
        <sz val="10"/>
        <color theme="1"/>
        <rFont val="Arial"/>
        <family val="2"/>
      </rPr>
      <t xml:space="preserve"> </t>
    </r>
  </si>
  <si>
    <t>An indicated ELV value of zero means that no CO limit is set in the Permit.</t>
  </si>
  <si>
    <t>09.12.22</t>
  </si>
  <si>
    <t>Corrective action - CEMS not alerting operators to take action when emissions are approaching limits</t>
  </si>
  <si>
    <t>CEMS alarms need improving</t>
  </si>
  <si>
    <t>Design of feed</t>
  </si>
  <si>
    <t>Feed to be redesigned</t>
  </si>
  <si>
    <t xml:space="preserve">SOL (Stoke Operations Limited) operates a clinical waste incinerator on behalf of Cobalt Energy Limited, the Permit holder being Clinitek (Stoke) LLP. The plant is designed to operate for 24 hours a day, seven days a week with a maximum processing capacity of 1.5 tonnes of waste per hour. It has a single combustion line, incinerating clinical waste. It is of a moving grate type, with the provision for energy recovery using steam from a waste recovery boiler to drive two Heliex steam generators/expanders to generate power for use in the plant's operatioon and to send to the National Grid. The waste heat boiler also generates steam which is used in the associated binwash system.
The plant has a single stack release and uses proven abatement techniques to clean the combustion gases before release to atmosphere. Incinerator bottom ash is quenched and collected in a skip. Flue ash residue is collected via an electrostatic filtration system and bagged for disposal. The liquid fraction of the quenched bottom ash is collected and removed by tanker.   </t>
  </si>
  <si>
    <t>Operators to ensure CEMS data is live when charging waste</t>
  </si>
  <si>
    <t>NA %</t>
  </si>
  <si>
    <t>The plant is in the commissioning phase and no periodic monitoring took place in 2022. Hydrogen Fluoride has not been measured for the same reason, hence no measure in the "Permit Compliance" tab.</t>
  </si>
  <si>
    <t xml:space="preserve">In 2022 the plant began operating in August 2022, for 47 out of a possible total of 153 days. It rarely operated continuously for 24 hours. Consequently, in 2022 only one IBA sample was taken and analysed. </t>
  </si>
  <si>
    <t xml:space="preserve">A CEMS (Continuous Emissions Montoring System) is in place, which captures ten minuter, half hourly, and daily average emissions data as required. </t>
  </si>
  <si>
    <t>Breach of NH3 daily limit (89.71mg/m3)</t>
  </si>
  <si>
    <t xml:space="preserve">Breach of NH3 daily average limits (highest 109mg/m3) </t>
  </si>
  <si>
    <t>None completed in 2022.</t>
  </si>
  <si>
    <t>None</t>
  </si>
  <si>
    <t>Waste wood (biomass)</t>
  </si>
  <si>
    <t xml:space="preserve">Waste residues have comprise APC Residue, IBA and liquid containing IBA. The APC Residue is discharged into bags and removed by Castle Environmental to their plant in Ilkeston for ultimate disposal to landfill. Liquid containing IBA is either decanted into IBCs or removed directly from the ash conveyor pit. This is handled by Castle Environmental, removed by tanker and landfilled in Longport, Stoke-on-Trent. The IBA is discharged into a skip and disposed of to landfill by Grundon at Wingmoor landill, Cheltenham. </t>
  </si>
  <si>
    <t>The plant is new, in the commissioning stage and operated for the first time in August 2022. During this initial phase there have not been any process improvements.</t>
  </si>
  <si>
    <t xml:space="preserve">The steam turbine (Heliex) units were commissioned in December 2022. Most of the electricity generated was used for plant operations. A small amount was exported. </t>
  </si>
  <si>
    <t>Alarms added to CEMS</t>
  </si>
  <si>
    <t>Sulphur Dioxide emissions</t>
  </si>
  <si>
    <r>
      <t>The Plant is designed to operate for 24 hours a day, seven days a week with a maximum processing capacity of 1.5 tonnes of waste per hour. Waste is delivered  in 770 litre bins, boxes or loose bags. It is decanted in the reception hall in 40 foot trailers with bagged waste being placed into bins. Two bins at a time are fed into the incinerator via a conveyor. The waste is tipped onto the top grate where it tumbles from one to the next during the incineration process. Four primary burners ignite the waste ensuring the temperature reaches a minimum of 850</t>
    </r>
    <r>
      <rPr>
        <vertAlign val="superscript"/>
        <sz val="10"/>
        <color theme="1"/>
        <rFont val="Arial"/>
        <family val="2"/>
      </rPr>
      <t>0</t>
    </r>
    <r>
      <rPr>
        <sz val="10"/>
        <color theme="1"/>
        <rFont val="Arial"/>
        <family val="2"/>
      </rPr>
      <t>C. Empty bins enter the automatic bin wash where they are cleaned and sterilised. Ash is collected in the ash pit and dispensed via a conveyor to a skip. Fly ash is collected by an electrostatic process onto ceramic candles from where it is discharged into bags. A permit to work system is in place both for company employees and external contractors. 
Stack Emissions are continually monitored through the Continuous Emissions Monitoring System (CEMS).There are abatement systems consisting of urea dosing to control NOx, sodium bicarbonate dosing to control the HCL and SO</t>
    </r>
    <r>
      <rPr>
        <vertAlign val="subscript"/>
        <sz val="10"/>
        <color theme="1"/>
        <rFont val="Arial"/>
        <family val="2"/>
      </rPr>
      <t>2</t>
    </r>
    <r>
      <rPr>
        <sz val="10"/>
        <color theme="1"/>
        <rFont val="Arial"/>
        <family val="2"/>
      </rPr>
      <t xml:space="preserve"> and activated carbon abating heavy metals. Oxygen content is controlled to maintain the CO output. There are written manuals detailing all aspects of the plant's operation and operators are trained in start up, running, shut down and emergency procedures. </t>
    </r>
  </si>
  <si>
    <t xml:space="preserve">It is intended that the ESA protocol is used to establish, if possible, that the IBA is non-hazardous. </t>
  </si>
  <si>
    <r>
      <t>Breach of HCL daily limit (12.74 mg/m</t>
    </r>
    <r>
      <rPr>
        <vertAlign val="superscript"/>
        <sz val="10"/>
        <color theme="1"/>
        <rFont val="Arial"/>
        <family val="2"/>
      </rPr>
      <t>3</t>
    </r>
    <r>
      <rPr>
        <sz val="10"/>
        <color theme="1"/>
        <rFont val="Arial"/>
        <family val="2"/>
      </rPr>
      <t xml:space="preserve"> )</t>
    </r>
  </si>
  <si>
    <r>
      <t>Breach of HCL daily limit (12.1 mg/m</t>
    </r>
    <r>
      <rPr>
        <vertAlign val="superscript"/>
        <sz val="10"/>
        <color theme="1"/>
        <rFont val="Arial"/>
        <family val="2"/>
      </rPr>
      <t xml:space="preserve">3 </t>
    </r>
    <r>
      <rPr>
        <sz val="10"/>
        <color theme="1"/>
        <rFont val="Arial"/>
        <family val="2"/>
      </rPr>
      <t>)</t>
    </r>
  </si>
  <si>
    <r>
      <t>Breach of HCL daily limit (13.9 mg/m</t>
    </r>
    <r>
      <rPr>
        <vertAlign val="superscript"/>
        <sz val="10"/>
        <color theme="1"/>
        <rFont val="Arial"/>
        <family val="2"/>
      </rPr>
      <t>3</t>
    </r>
    <r>
      <rPr>
        <sz val="10"/>
        <color theme="1"/>
        <rFont val="Arial"/>
        <family val="2"/>
      </rPr>
      <t xml:space="preserve"> )</t>
    </r>
  </si>
  <si>
    <r>
      <t>Breach of HCL half hourly limit (213.15 mg/m</t>
    </r>
    <r>
      <rPr>
        <vertAlign val="superscript"/>
        <sz val="10"/>
        <color theme="1"/>
        <rFont val="Arial"/>
        <family val="2"/>
      </rPr>
      <t>3</t>
    </r>
    <r>
      <rPr>
        <sz val="10"/>
        <color theme="1"/>
        <rFont val="Arial"/>
        <family val="2"/>
      </rPr>
      <t>)</t>
    </r>
  </si>
  <si>
    <t xml:space="preserve">The reliability of the sodium bicarbonate feed will be improved, to ensure more reliable abatement of HCl emissions. </t>
  </si>
  <si>
    <t xml:space="preserve">Stoke Operations Limited took over the Operational and Management contract for the site in September 2022. The plant is still in the commisioning phase. The first waste was processed in August 2022. The plant has experienced significant periods of operation and downtime. The refractory lining of the hearth has had to be recast, and the main hopper has jammed. Occasional interruption of sodium bicarbonate for abatement has resulted from caking in storage and the design of the feed system. The two steam (Heliex) turbines were commissioned in December 2022.The screw expander generator sets have a total capacity of approximately 7 MW (thermal input) and is capable of generating up to 524 kWe of electrical power. They have been working effectively and are producing electricity for use within the plant, and a small amount for export. </t>
  </si>
  <si>
    <t>Kate Harrop</t>
  </si>
  <si>
    <t>Group Quality &amp; Env. Mgr.</t>
  </si>
  <si>
    <t>31.01.23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</si>
</sst>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Red]0"/>
    <numFmt numFmtId="170" formatCode="#,##0_ ;\-#,##0\ "/>
  </numFmts>
  <fonts count="37" x14ac:knownFonts="1">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b/>
      <sz val="12"/>
      <color rgb="FF000000"/>
      <name val="Arial"/>
      <family val="2"/>
    </font>
    <font>
      <u/>
      <sz val="11"/>
      <color theme="10"/>
      <name val="Calibri"/>
      <family val="2"/>
      <scheme val="minor"/>
    </font>
    <font>
      <vertAlign val="subscript"/>
      <sz val="10"/>
      <color theme="1"/>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cellStyleXfs>
  <cellXfs count="389">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2" borderId="2" xfId="0" applyFont="1" applyFill="1" applyBorder="1" applyAlignment="1">
      <alignment horizontal="center" vertical="center" wrapText="1"/>
    </xf>
    <xf numFmtId="0" fontId="2" fillId="0" borderId="2" xfId="0" applyFont="1" applyBorder="1" applyAlignment="1">
      <alignment horizontal="left" vertical="center" wrapText="1"/>
    </xf>
    <xf numFmtId="0" fontId="1" fillId="0" borderId="0" xfId="0" applyFont="1"/>
    <xf numFmtId="17" fontId="1" fillId="0" borderId="0" xfId="0" applyNumberFormat="1" applyFont="1"/>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2" fillId="2" borderId="2" xfId="0" applyFont="1" applyFill="1" applyBorder="1" applyAlignment="1">
      <alignment horizontal="center"/>
    </xf>
    <xf numFmtId="0" fontId="2" fillId="2" borderId="2" xfId="0" applyFont="1" applyFill="1" applyBorder="1" applyAlignment="1">
      <alignment horizontal="center" vertical="top"/>
    </xf>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2" fillId="0" borderId="0" xfId="0" applyFont="1"/>
    <xf numFmtId="0" fontId="2" fillId="0" borderId="0" xfId="0" applyFont="1" applyAlignment="1">
      <alignment horizontal="center"/>
    </xf>
    <xf numFmtId="0" fontId="2" fillId="0" borderId="3"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vertical="center"/>
    </xf>
    <xf numFmtId="164" fontId="2" fillId="2" borderId="7" xfId="1" applyNumberFormat="1" applyFont="1" applyFill="1" applyBorder="1" applyAlignment="1">
      <alignment horizontal="center"/>
    </xf>
    <xf numFmtId="165" fontId="2" fillId="0" borderId="8" xfId="2" applyNumberFormat="1" applyFont="1" applyBorder="1" applyAlignment="1">
      <alignment horizontal="center"/>
    </xf>
    <xf numFmtId="0" fontId="2" fillId="0" borderId="9" xfId="0" applyFont="1" applyBorder="1" applyAlignment="1">
      <alignment vertical="center"/>
    </xf>
    <xf numFmtId="164" fontId="2" fillId="2" borderId="0" xfId="1" applyNumberFormat="1" applyFont="1" applyFill="1" applyBorder="1" applyAlignment="1">
      <alignment horizontal="center"/>
    </xf>
    <xf numFmtId="165" fontId="2" fillId="0" borderId="10" xfId="2" applyNumberFormat="1" applyFont="1" applyBorder="1" applyAlignment="1">
      <alignment horizontal="center"/>
    </xf>
    <xf numFmtId="0" fontId="2" fillId="7" borderId="9" xfId="0" applyFont="1" applyFill="1" applyBorder="1" applyAlignment="1">
      <alignment vertical="center"/>
    </xf>
    <xf numFmtId="165" fontId="2" fillId="0" borderId="10" xfId="2" applyNumberFormat="1" applyFont="1" applyFill="1" applyBorder="1" applyAlignment="1">
      <alignment horizontal="center"/>
    </xf>
    <xf numFmtId="0" fontId="2" fillId="0" borderId="12" xfId="0" applyFont="1" applyBorder="1" applyAlignment="1">
      <alignment horizontal="center" vertical="center" textRotation="90"/>
    </xf>
    <xf numFmtId="165" fontId="2" fillId="0" borderId="13" xfId="2" applyNumberFormat="1"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6" xfId="0" applyFont="1" applyBorder="1"/>
    <xf numFmtId="164" fontId="2" fillId="0" borderId="8" xfId="0" applyNumberFormat="1" applyFont="1" applyBorder="1" applyAlignment="1">
      <alignment horizontal="center"/>
    </xf>
    <xf numFmtId="0" fontId="2" fillId="0" borderId="9" xfId="0" applyFont="1" applyBorder="1"/>
    <xf numFmtId="164" fontId="2" fillId="2" borderId="0" xfId="1" applyNumberFormat="1" applyFont="1" applyFill="1" applyAlignment="1">
      <alignment horizontal="center"/>
    </xf>
    <xf numFmtId="164" fontId="2" fillId="0" borderId="10" xfId="0" applyNumberFormat="1" applyFont="1" applyBorder="1" applyAlignment="1">
      <alignment horizontal="center"/>
    </xf>
    <xf numFmtId="0" fontId="2" fillId="0" borderId="0" xfId="0" applyFont="1" applyAlignment="1">
      <alignment horizontal="center" vertical="center"/>
    </xf>
    <xf numFmtId="165" fontId="2" fillId="0" borderId="0" xfId="2" applyNumberFormat="1" applyFont="1" applyAlignment="1">
      <alignment horizontal="center" vertical="center"/>
    </xf>
    <xf numFmtId="0" fontId="2" fillId="0" borderId="11" xfId="0" applyFont="1" applyBorder="1"/>
    <xf numFmtId="0" fontId="2" fillId="0" borderId="12" xfId="0" applyFont="1" applyBorder="1"/>
    <xf numFmtId="0" fontId="2" fillId="0" borderId="6" xfId="0" applyFont="1" applyBorder="1" applyAlignment="1">
      <alignment horizontal="center" vertical="center"/>
    </xf>
    <xf numFmtId="0" fontId="2" fillId="0" borderId="8" xfId="0" quotePrefix="1" applyFont="1" applyBorder="1" applyAlignment="1">
      <alignment horizontal="center"/>
    </xf>
    <xf numFmtId="0" fontId="2" fillId="2" borderId="11" xfId="0" applyFont="1" applyFill="1" applyBorder="1"/>
    <xf numFmtId="164" fontId="2" fillId="2" borderId="12" xfId="1" applyNumberFormat="1" applyFont="1" applyFill="1" applyBorder="1" applyAlignment="1">
      <alignment horizontal="center"/>
    </xf>
    <xf numFmtId="0" fontId="2" fillId="0" borderId="3" xfId="0" applyFont="1" applyBorder="1" applyAlignment="1">
      <alignment horizontal="center" vertical="center"/>
    </xf>
    <xf numFmtId="43" fontId="2" fillId="0" borderId="10" xfId="0" applyNumberFormat="1" applyFont="1" applyBorder="1" applyAlignment="1">
      <alignment horizontal="center" vertical="center"/>
    </xf>
    <xf numFmtId="43" fontId="2" fillId="5" borderId="10" xfId="0" applyNumberFormat="1" applyFont="1" applyFill="1" applyBorder="1" applyAlignment="1">
      <alignment horizontal="center" vertical="center"/>
    </xf>
    <xf numFmtId="0" fontId="2" fillId="2" borderId="12" xfId="0" applyFont="1" applyFill="1" applyBorder="1" applyAlignment="1">
      <alignment horizontal="center" vertical="center"/>
    </xf>
    <xf numFmtId="43" fontId="2" fillId="5" borderId="13" xfId="0" applyNumberFormat="1" applyFont="1" applyFill="1" applyBorder="1" applyAlignment="1">
      <alignment horizontal="center" vertical="center"/>
    </xf>
    <xf numFmtId="0" fontId="2" fillId="0" borderId="6" xfId="0" applyFont="1" applyBorder="1" applyAlignment="1">
      <alignment horizontal="center"/>
    </xf>
    <xf numFmtId="165" fontId="2" fillId="0" borderId="10" xfId="2" quotePrefix="1" applyNumberFormat="1" applyFont="1" applyBorder="1" applyAlignment="1">
      <alignment horizontal="center"/>
    </xf>
    <xf numFmtId="10" fontId="2" fillId="0" borderId="10" xfId="2"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1" fillId="0" borderId="0" xfId="0" applyFont="1" applyAlignment="1">
      <alignment vertical="top" wrapText="1"/>
    </xf>
    <xf numFmtId="0" fontId="2" fillId="0" borderId="0" xfId="0" applyFont="1" applyAlignment="1">
      <alignment vertical="center"/>
    </xf>
    <xf numFmtId="4" fontId="2" fillId="0" borderId="2" xfId="0" applyNumberFormat="1" applyFont="1" applyBorder="1" applyAlignment="1">
      <alignment horizontal="center" vertical="center" wrapText="1"/>
    </xf>
    <xf numFmtId="4" fontId="2" fillId="2" borderId="2" xfId="0" applyNumberFormat="1" applyFont="1" applyFill="1" applyBorder="1" applyAlignment="1">
      <alignment horizontal="center" vertical="center" wrapText="1"/>
    </xf>
    <xf numFmtId="0" fontId="2" fillId="2" borderId="2" xfId="0" applyFont="1" applyFill="1" applyBorder="1" applyAlignment="1">
      <alignment vertical="center" wrapText="1"/>
    </xf>
    <xf numFmtId="0" fontId="1" fillId="2" borderId="2" xfId="0" applyFont="1" applyFill="1" applyBorder="1"/>
    <xf numFmtId="0" fontId="2" fillId="0" borderId="2" xfId="0" applyFont="1" applyBorder="1" applyAlignment="1">
      <alignment horizontal="center" vertical="center" wrapText="1"/>
    </xf>
    <xf numFmtId="0" fontId="2" fillId="2" borderId="2" xfId="0" applyFont="1" applyFill="1" applyBorder="1" applyAlignment="1">
      <alignment horizontal="left"/>
    </xf>
    <xf numFmtId="9" fontId="2" fillId="0" borderId="2" xfId="0" applyNumberFormat="1" applyFont="1" applyBorder="1" applyAlignment="1">
      <alignment horizontal="center" vertical="center" wrapText="1"/>
    </xf>
    <xf numFmtId="0" fontId="2" fillId="5" borderId="2" xfId="0" applyFont="1" applyFill="1" applyBorder="1" applyAlignment="1">
      <alignment horizontal="center" vertical="center" wrapText="1"/>
    </xf>
    <xf numFmtId="0" fontId="2" fillId="0" borderId="2" xfId="0" applyFont="1" applyBorder="1" applyAlignment="1">
      <alignment horizontal="center"/>
    </xf>
    <xf numFmtId="0" fontId="2" fillId="0" borderId="2" xfId="0" applyFont="1" applyBorder="1" applyAlignment="1">
      <alignment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0" fontId="2" fillId="5" borderId="1" xfId="0" applyFont="1" applyFill="1" applyBorder="1" applyAlignment="1">
      <alignment horizontal="center" vertical="center" wrapText="1"/>
    </xf>
    <xf numFmtId="1" fontId="2" fillId="5" borderId="2" xfId="0" applyNumberFormat="1" applyFont="1" applyFill="1" applyBorder="1" applyAlignment="1">
      <alignment horizontal="center" vertical="center" wrapText="1"/>
    </xf>
    <xf numFmtId="0" fontId="2" fillId="2" borderId="3" xfId="0" applyFont="1" applyFill="1" applyBorder="1" applyAlignment="1">
      <alignment horizontal="left"/>
    </xf>
    <xf numFmtId="0" fontId="7" fillId="0" borderId="12" xfId="0" applyFont="1" applyBorder="1" applyAlignment="1">
      <alignment horizontal="center" vertical="center"/>
    </xf>
    <xf numFmtId="0" fontId="7" fillId="0" borderId="0" xfId="0" applyFont="1" applyAlignment="1">
      <alignment horizontal="center" vertical="center"/>
    </xf>
    <xf numFmtId="0" fontId="10" fillId="0" borderId="4" xfId="0" applyFont="1" applyBorder="1" applyAlignment="1">
      <alignment horizontal="center" vertical="center" wrapText="1"/>
    </xf>
    <xf numFmtId="169" fontId="2" fillId="5" borderId="2" xfId="0" applyNumberFormat="1" applyFont="1" applyFill="1" applyBorder="1" applyAlignment="1">
      <alignment horizontal="center" vertical="center" wrapText="1"/>
    </xf>
    <xf numFmtId="170" fontId="2" fillId="2" borderId="0" xfId="1" applyNumberFormat="1" applyFont="1" applyFill="1" applyAlignment="1">
      <alignment horizontal="center"/>
    </xf>
    <xf numFmtId="2" fontId="6" fillId="5" borderId="2" xfId="0" applyNumberFormat="1" applyFont="1" applyFill="1" applyBorder="1" applyAlignment="1">
      <alignment horizontal="center"/>
    </xf>
    <xf numFmtId="3" fontId="2" fillId="2" borderId="0" xfId="1" applyNumberFormat="1" applyFont="1" applyFill="1" applyAlignment="1">
      <alignment horizontal="center"/>
    </xf>
    <xf numFmtId="3" fontId="11" fillId="0" borderId="0" xfId="0" applyNumberFormat="1" applyFont="1"/>
    <xf numFmtId="0" fontId="2" fillId="2" borderId="2" xfId="0" applyFont="1" applyFill="1" applyBorder="1" applyAlignment="1">
      <alignment horizontal="left" vertical="top"/>
    </xf>
    <xf numFmtId="14" fontId="2" fillId="2" borderId="2" xfId="0" applyNumberFormat="1" applyFont="1" applyFill="1" applyBorder="1" applyAlignment="1">
      <alignment horizontal="left" vertical="top"/>
    </xf>
    <xf numFmtId="0" fontId="2" fillId="2" borderId="3" xfId="0" applyFont="1" applyFill="1" applyBorder="1" applyAlignment="1">
      <alignment horizontal="left" vertical="top"/>
    </xf>
    <xf numFmtId="0" fontId="2" fillId="2" borderId="3" xfId="0" applyFont="1" applyFill="1" applyBorder="1" applyAlignment="1">
      <alignment horizontal="left" vertical="top" wrapText="1"/>
    </xf>
    <xf numFmtId="0" fontId="22" fillId="0" borderId="0" xfId="0" applyFont="1" applyAlignment="1">
      <alignment horizontal="left" wrapText="1"/>
    </xf>
    <xf numFmtId="0" fontId="8" fillId="2" borderId="0" xfId="0" applyFont="1" applyFill="1" applyAlignment="1">
      <alignment horizontal="center"/>
    </xf>
    <xf numFmtId="0" fontId="1" fillId="2" borderId="0" xfId="0" applyFont="1" applyFill="1" applyAlignment="1">
      <alignment horizontal="center" vertical="center"/>
    </xf>
    <xf numFmtId="0" fontId="1" fillId="2" borderId="0" xfId="0" applyFont="1" applyFill="1" applyAlignment="1">
      <alignment horizontal="center"/>
    </xf>
    <xf numFmtId="0" fontId="35"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2"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2" fillId="2" borderId="2" xfId="0" applyFont="1" applyFill="1" applyBorder="1" applyAlignment="1">
      <alignment horizontal="left"/>
    </xf>
    <xf numFmtId="0" fontId="10" fillId="0" borderId="2" xfId="0" applyFont="1" applyBorder="1" applyAlignment="1">
      <alignment horizontal="left" vertical="top"/>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2" fillId="2" borderId="6" xfId="0" applyFont="1" applyFill="1" applyBorder="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0" fontId="2" fillId="2" borderId="7"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13" xfId="0" applyFont="1" applyFill="1" applyBorder="1" applyAlignment="1">
      <alignment horizontal="left" vertical="top"/>
    </xf>
    <xf numFmtId="0" fontId="1" fillId="0" borderId="0" xfId="0" applyFont="1" applyAlignment="1">
      <alignment horizontal="left" vertical="top" wrapText="1"/>
    </xf>
    <xf numFmtId="164" fontId="6" fillId="2" borderId="7" xfId="1" applyNumberFormat="1" applyFont="1" applyFill="1" applyBorder="1" applyAlignment="1"/>
    <xf numFmtId="0" fontId="2" fillId="0" borderId="7" xfId="0" applyFont="1" applyBorder="1" applyAlignment="1">
      <alignment horizontal="center" vertical="center" textRotation="90"/>
    </xf>
    <xf numFmtId="0" fontId="2" fillId="0" borderId="0" xfId="0" applyFont="1" applyAlignment="1">
      <alignment horizontal="center" vertical="center" textRotation="90"/>
    </xf>
    <xf numFmtId="0" fontId="2" fillId="0" borderId="0" xfId="0" applyFont="1" applyAlignment="1">
      <alignment horizontal="center" textRotation="90"/>
    </xf>
    <xf numFmtId="0" fontId="2" fillId="0" borderId="6" xfId="0" applyFont="1" applyBorder="1" applyAlignment="1">
      <alignment horizontal="left" vertical="center" wrapText="1"/>
    </xf>
    <xf numFmtId="0" fontId="2"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2" fillId="0" borderId="12" xfId="0" applyFont="1" applyBorder="1" applyAlignment="1">
      <alignment horizontal="center" vertical="center" textRotation="90"/>
    </xf>
    <xf numFmtId="43" fontId="2" fillId="2" borderId="12" xfId="1" applyFont="1" applyFill="1" applyBorder="1" applyAlignment="1">
      <alignment horizontal="center"/>
    </xf>
    <xf numFmtId="166" fontId="2" fillId="2" borderId="12" xfId="0" applyNumberFormat="1" applyFont="1" applyFill="1" applyBorder="1" applyAlignment="1">
      <alignment horizontal="center"/>
    </xf>
    <xf numFmtId="166" fontId="2" fillId="2" borderId="13" xfId="0" applyNumberFormat="1" applyFont="1" applyFill="1" applyBorder="1" applyAlignment="1">
      <alignment horizontal="center"/>
    </xf>
    <xf numFmtId="0" fontId="2" fillId="0" borderId="2" xfId="0" applyFont="1" applyBorder="1" applyAlignment="1">
      <alignment horizontal="left" vertical="center" wrapText="1"/>
    </xf>
    <xf numFmtId="0" fontId="2" fillId="2" borderId="2" xfId="0" applyFont="1" applyFill="1" applyBorder="1" applyAlignment="1">
      <alignment horizontal="center" vertical="center" wrapText="1"/>
    </xf>
    <xf numFmtId="168" fontId="2" fillId="2" borderId="1" xfId="0" applyNumberFormat="1" applyFont="1" applyFill="1" applyBorder="1" applyAlignment="1">
      <alignment horizontal="center" vertical="center" wrapText="1"/>
    </xf>
    <xf numFmtId="165" fontId="2" fillId="0" borderId="1" xfId="2"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4"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14" xfId="0" applyFont="1" applyBorder="1" applyAlignment="1">
      <alignment vertical="center" wrapText="1"/>
    </xf>
    <xf numFmtId="0" fontId="2" fillId="0" borderId="1" xfId="0" applyFont="1" applyBorder="1" applyAlignment="1">
      <alignment vertical="center" wrapText="1"/>
    </xf>
    <xf numFmtId="168" fontId="2" fillId="0" borderId="1" xfId="0" applyNumberFormat="1" applyFont="1" applyBorder="1" applyAlignment="1">
      <alignment horizontal="center" vertical="center" wrapText="1"/>
    </xf>
    <xf numFmtId="0" fontId="2" fillId="2" borderId="2" xfId="0" applyFont="1" applyFill="1" applyBorder="1" applyAlignment="1">
      <alignment vertical="center" wrapText="1"/>
    </xf>
    <xf numFmtId="0" fontId="2" fillId="0" borderId="2" xfId="0" applyFont="1" applyBorder="1" applyAlignment="1">
      <alignmen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2" fillId="0" borderId="5" xfId="0" applyFont="1" applyBorder="1" applyAlignment="1">
      <alignment horizontal="left" vertical="center" wrapText="1"/>
    </xf>
    <xf numFmtId="0" fontId="2" fillId="0" borderId="3" xfId="0"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2"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3" fontId="2" fillId="0" borderId="2" xfId="0" applyNumberFormat="1" applyFont="1" applyBorder="1" applyAlignment="1">
      <alignment horizontal="center" vertical="center" wrapText="1"/>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wrapText="1"/>
    </xf>
    <xf numFmtId="0" fontId="2" fillId="5" borderId="2" xfId="0" applyFont="1" applyFill="1" applyBorder="1" applyAlignment="1">
      <alignment horizontal="center" vertical="center" wrapText="1"/>
    </xf>
    <xf numFmtId="0" fontId="2" fillId="0" borderId="2" xfId="0" applyFont="1" applyBorder="1" applyAlignment="1">
      <alignment horizontal="left"/>
    </xf>
    <xf numFmtId="0" fontId="2" fillId="2" borderId="2" xfId="0" applyFont="1" applyFill="1" applyBorder="1" applyAlignment="1">
      <alignment horizontal="left" vertical="top" wrapText="1"/>
    </xf>
    <xf numFmtId="0" fontId="2" fillId="2" borderId="3" xfId="0" applyFont="1" applyFill="1"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9" fontId="2" fillId="2" borderId="2" xfId="0" applyNumberFormat="1" applyFont="1" applyFill="1" applyBorder="1" applyAlignment="1">
      <alignment horizontal="center" vertical="center"/>
    </xf>
    <xf numFmtId="0" fontId="2" fillId="2" borderId="2" xfId="0" applyFont="1" applyFill="1" applyBorder="1" applyAlignment="1">
      <alignment horizontal="center" vertical="center"/>
    </xf>
    <xf numFmtId="9" fontId="2" fillId="2" borderId="2" xfId="0" applyNumberFormat="1" applyFont="1" applyFill="1" applyBorder="1" applyAlignment="1">
      <alignment horizontal="center"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10" fontId="2" fillId="2" borderId="2" xfId="0" applyNumberFormat="1"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7" fillId="0" borderId="12" xfId="0" applyFont="1" applyBorder="1" applyAlignment="1">
      <alignment horizontal="center" vertical="center" wrapText="1"/>
    </xf>
    <xf numFmtId="0" fontId="0" fillId="0" borderId="12" xfId="0" applyBorder="1" applyAlignment="1">
      <alignment horizontal="center" vertical="center" wrapText="1"/>
    </xf>
    <xf numFmtId="0" fontId="0" fillId="0" borderId="5" xfId="0" applyBorder="1" applyAlignment="1">
      <alignment horizontal="center" vertical="center" wrapText="1"/>
    </xf>
    <xf numFmtId="0" fontId="2" fillId="2" borderId="3" xfId="0" applyFont="1" applyFill="1" applyBorder="1" applyAlignment="1">
      <alignment horizontal="left" wrapText="1"/>
    </xf>
    <xf numFmtId="0" fontId="2" fillId="2" borderId="4" xfId="0" applyFont="1" applyFill="1" applyBorder="1" applyAlignment="1">
      <alignment horizontal="left" vertical="top" wrapText="1"/>
    </xf>
    <xf numFmtId="0" fontId="2" fillId="2" borderId="5" xfId="0" applyFont="1" applyFill="1" applyBorder="1" applyAlignment="1">
      <alignment horizontal="left" vertical="top" wrapText="1"/>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2" fillId="2" borderId="3" xfId="0" applyFont="1" applyFill="1" applyBorder="1" applyAlignment="1">
      <alignment horizontal="left" vertical="top"/>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2" borderId="6" xfId="0" applyFont="1" applyFill="1" applyBorder="1" applyAlignment="1">
      <alignment horizontal="left" vertical="top"/>
    </xf>
    <xf numFmtId="0" fontId="18" fillId="0" borderId="2" xfId="0" applyFont="1" applyBorder="1" applyAlignment="1">
      <alignment horizontal="left" vertical="center" wrapText="1"/>
    </xf>
    <xf numFmtId="0" fontId="10" fillId="3" borderId="2" xfId="0" applyFont="1" applyFill="1" applyBorder="1" applyAlignment="1">
      <alignment horizontal="left" vertical="center" wrapText="1"/>
    </xf>
    <xf numFmtId="9" fontId="2" fillId="5" borderId="2" xfId="0" applyNumberFormat="1" applyFont="1" applyFill="1" applyBorder="1" applyAlignment="1">
      <alignment horizontal="center" vertical="center" wrapText="1"/>
    </xf>
    <xf numFmtId="10" fontId="2" fillId="5" borderId="2" xfId="0" applyNumberFormat="1" applyFont="1" applyFill="1" applyBorder="1" applyAlignment="1">
      <alignment horizontal="center" vertical="center" wrapText="1"/>
    </xf>
    <xf numFmtId="0" fontId="2" fillId="6" borderId="16" xfId="0" applyFont="1" applyFill="1" applyBorder="1" applyAlignment="1">
      <alignment horizontal="center" vertical="center" wrapText="1"/>
    </xf>
    <xf numFmtId="0" fontId="2" fillId="6" borderId="17"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2" fillId="5" borderId="6" xfId="0" applyFont="1" applyFill="1" applyBorder="1" applyAlignment="1">
      <alignment horizontal="left"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5" borderId="3"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5" xfId="0" applyFont="1" applyFill="1" applyBorder="1" applyAlignment="1">
      <alignment horizontal="left" vertical="center" wrapText="1"/>
    </xf>
    <xf numFmtId="0" fontId="2" fillId="5" borderId="2" xfId="0" applyFont="1" applyFill="1" applyBorder="1" applyAlignment="1">
      <alignment horizontal="left" vertical="center" wrapText="1"/>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6" fillId="2" borderId="2"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7">
                  <c:v>11.81</c:v>
                </c:pt>
                <c:pt idx="8">
                  <c:v>10.65</c:v>
                </c:pt>
                <c:pt idx="9">
                  <c:v>10.24</c:v>
                </c:pt>
                <c:pt idx="10">
                  <c:v>9.58</c:v>
                </c:pt>
                <c:pt idx="11">
                  <c:v>7.4</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0.00</c:formatCode>
                <c:ptCount val="12"/>
                <c:pt idx="7">
                  <c:v>505.51</c:v>
                </c:pt>
                <c:pt idx="8">
                  <c:v>149.91</c:v>
                </c:pt>
                <c:pt idx="9">
                  <c:v>106.22</c:v>
                </c:pt>
                <c:pt idx="10">
                  <c:v>304.73</c:v>
                </c:pt>
                <c:pt idx="11">
                  <c:v>213.15</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6</c:v>
                </c:pt>
                <c:pt idx="1">
                  <c:v>6</c:v>
                </c:pt>
                <c:pt idx="2">
                  <c:v>6</c:v>
                </c:pt>
                <c:pt idx="3">
                  <c:v>6</c:v>
                </c:pt>
                <c:pt idx="4">
                  <c:v>6</c:v>
                </c:pt>
                <c:pt idx="5">
                  <c:v>6</c:v>
                </c:pt>
                <c:pt idx="6">
                  <c:v>6</c:v>
                </c:pt>
                <c:pt idx="7">
                  <c:v>6</c:v>
                </c:pt>
                <c:pt idx="8">
                  <c:v>6</c:v>
                </c:pt>
                <c:pt idx="9">
                  <c:v>6</c:v>
                </c:pt>
                <c:pt idx="10">
                  <c:v>6</c:v>
                </c:pt>
                <c:pt idx="11">
                  <c:v>6</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8">
                  <c:v>15.13</c:v>
                </c:pt>
                <c:pt idx="9">
                  <c:v>12.46</c:v>
                </c:pt>
                <c:pt idx="10">
                  <c:v>7.65</c:v>
                </c:pt>
                <c:pt idx="11">
                  <c:v>8.7799999999999994</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0.00</c:formatCode>
                <c:ptCount val="12"/>
                <c:pt idx="8">
                  <c:v>24.44</c:v>
                </c:pt>
                <c:pt idx="9">
                  <c:v>12.46</c:v>
                </c:pt>
                <c:pt idx="10">
                  <c:v>7.65</c:v>
                </c:pt>
                <c:pt idx="11">
                  <c:v>22.27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7">
                  <c:v>32.840000000000003</c:v>
                </c:pt>
                <c:pt idx="8">
                  <c:v>14.42</c:v>
                </c:pt>
                <c:pt idx="9">
                  <c:v>11.92</c:v>
                </c:pt>
                <c:pt idx="10">
                  <c:v>12.63</c:v>
                </c:pt>
                <c:pt idx="11">
                  <c:v>10.74</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7">
                  <c:v>393.36</c:v>
                </c:pt>
                <c:pt idx="8">
                  <c:v>37.51</c:v>
                </c:pt>
                <c:pt idx="9">
                  <c:v>28.39</c:v>
                </c:pt>
                <c:pt idx="10">
                  <c:v>62.66</c:v>
                </c:pt>
                <c:pt idx="11">
                  <c:v>38.92</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8">
                  <c:v>14.89</c:v>
                </c:pt>
                <c:pt idx="9">
                  <c:v>11.92</c:v>
                </c:pt>
                <c:pt idx="10">
                  <c:v>12.15</c:v>
                </c:pt>
                <c:pt idx="11">
                  <c:v>10.71</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8">
                  <c:v>17.21</c:v>
                </c:pt>
                <c:pt idx="9">
                  <c:v>11.92</c:v>
                </c:pt>
                <c:pt idx="10">
                  <c:v>12.15</c:v>
                </c:pt>
                <c:pt idx="11">
                  <c:v>12.58</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7">
                  <c:v>79.760000000000005</c:v>
                </c:pt>
                <c:pt idx="8">
                  <c:v>41.25</c:v>
                </c:pt>
                <c:pt idx="9">
                  <c:v>60.49</c:v>
                </c:pt>
                <c:pt idx="10">
                  <c:v>47.84</c:v>
                </c:pt>
                <c:pt idx="11">
                  <c:v>49.55</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7">
                  <c:v>163.96</c:v>
                </c:pt>
                <c:pt idx="8">
                  <c:v>112.05</c:v>
                </c:pt>
                <c:pt idx="9">
                  <c:v>120.25</c:v>
                </c:pt>
                <c:pt idx="10">
                  <c:v>138.86000000000001</c:v>
                </c:pt>
                <c:pt idx="11">
                  <c:v>87.4</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80</c:v>
                </c:pt>
                <c:pt idx="1">
                  <c:v>80</c:v>
                </c:pt>
                <c:pt idx="2">
                  <c:v>80</c:v>
                </c:pt>
                <c:pt idx="3">
                  <c:v>80</c:v>
                </c:pt>
                <c:pt idx="4">
                  <c:v>80</c:v>
                </c:pt>
                <c:pt idx="5">
                  <c:v>80</c:v>
                </c:pt>
                <c:pt idx="6">
                  <c:v>80</c:v>
                </c:pt>
                <c:pt idx="7">
                  <c:v>80</c:v>
                </c:pt>
                <c:pt idx="8">
                  <c:v>80</c:v>
                </c:pt>
                <c:pt idx="9">
                  <c:v>80</c:v>
                </c:pt>
                <c:pt idx="10">
                  <c:v>80</c:v>
                </c:pt>
                <c:pt idx="11">
                  <c:v>80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8">
                  <c:v>36.659999999999997</c:v>
                </c:pt>
                <c:pt idx="9">
                  <c:v>60.49</c:v>
                </c:pt>
                <c:pt idx="10">
                  <c:v>58.7</c:v>
                </c:pt>
                <c:pt idx="11">
                  <c:v>48.61</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8">
                  <c:v>37.659999999999997</c:v>
                </c:pt>
                <c:pt idx="9">
                  <c:v>60.49</c:v>
                </c:pt>
                <c:pt idx="10">
                  <c:v>58.7</c:v>
                </c:pt>
                <c:pt idx="11">
                  <c:v>52.89</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7">
                  <c:v>5.94</c:v>
                </c:pt>
                <c:pt idx="8">
                  <c:v>0.56000000000000005</c:v>
                </c:pt>
                <c:pt idx="9">
                  <c:v>-0.32</c:v>
                </c:pt>
                <c:pt idx="10">
                  <c:v>-0.12</c:v>
                </c:pt>
                <c:pt idx="11">
                  <c:v>-0.14000000000000001</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7">
                  <c:v>83.79</c:v>
                </c:pt>
                <c:pt idx="8">
                  <c:v>49.68</c:v>
                </c:pt>
                <c:pt idx="9">
                  <c:v>0.62</c:v>
                </c:pt>
                <c:pt idx="10">
                  <c:v>0.69</c:v>
                </c:pt>
                <c:pt idx="11">
                  <c:v>5.53</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8">
                  <c:v>0.17</c:v>
                </c:pt>
                <c:pt idx="9">
                  <c:v>-0.12</c:v>
                </c:pt>
                <c:pt idx="10">
                  <c:v>0.18</c:v>
                </c:pt>
                <c:pt idx="11">
                  <c:v>-0.18</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8">
                  <c:v>0.3</c:v>
                </c:pt>
                <c:pt idx="9">
                  <c:v>-0.12</c:v>
                </c:pt>
                <c:pt idx="10">
                  <c:v>0.18</c:v>
                </c:pt>
                <c:pt idx="11">
                  <c:v>0.15</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7">
                  <c:v>0.98</c:v>
                </c:pt>
                <c:pt idx="8">
                  <c:v>0.51</c:v>
                </c:pt>
                <c:pt idx="9">
                  <c:v>0.43</c:v>
                </c:pt>
                <c:pt idx="10">
                  <c:v>0.48</c:v>
                </c:pt>
                <c:pt idx="11">
                  <c:v>0.45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7">
                  <c:v>3.87</c:v>
                </c:pt>
                <c:pt idx="8">
                  <c:v>0.79</c:v>
                </c:pt>
                <c:pt idx="9">
                  <c:v>0.56000000000000005</c:v>
                </c:pt>
                <c:pt idx="10">
                  <c:v>0.92</c:v>
                </c:pt>
                <c:pt idx="11">
                  <c:v>0.66</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8">
                  <c:v>0.5</c:v>
                </c:pt>
                <c:pt idx="9">
                  <c:v>0.44</c:v>
                </c:pt>
                <c:pt idx="10">
                  <c:v>0.49</c:v>
                </c:pt>
                <c:pt idx="11">
                  <c:v>0.45</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8">
                  <c:v>0.52</c:v>
                </c:pt>
                <c:pt idx="9">
                  <c:v>0.44</c:v>
                </c:pt>
                <c:pt idx="10">
                  <c:v>0.49</c:v>
                </c:pt>
                <c:pt idx="11">
                  <c:v>0.48</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7">
                  <c:v>39.06</c:v>
                </c:pt>
                <c:pt idx="8">
                  <c:v>25.25</c:v>
                </c:pt>
                <c:pt idx="9">
                  <c:v>16.61</c:v>
                </c:pt>
                <c:pt idx="10">
                  <c:v>13.54</c:v>
                </c:pt>
                <c:pt idx="11">
                  <c:v>11.41</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7">
                  <c:v>214.22</c:v>
                </c:pt>
                <c:pt idx="8">
                  <c:v>201.86</c:v>
                </c:pt>
                <c:pt idx="9">
                  <c:v>29.92</c:v>
                </c:pt>
                <c:pt idx="10">
                  <c:v>38.01</c:v>
                </c:pt>
                <c:pt idx="11">
                  <c:v>426.24</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8">
                  <c:v>18.600000000000001</c:v>
                </c:pt>
                <c:pt idx="9">
                  <c:v>16.059999999999999</c:v>
                </c:pt>
                <c:pt idx="10">
                  <c:v>15.3</c:v>
                </c:pt>
                <c:pt idx="11">
                  <c:v>12.73</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8">
                  <c:v>20.12</c:v>
                </c:pt>
                <c:pt idx="9">
                  <c:v>16.059999999999999</c:v>
                </c:pt>
                <c:pt idx="10">
                  <c:v>15.3</c:v>
                </c:pt>
                <c:pt idx="11">
                  <c:v>18.55</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7">
                  <c:v>159.85</c:v>
                </c:pt>
                <c:pt idx="8">
                  <c:v>115.77</c:v>
                </c:pt>
                <c:pt idx="9">
                  <c:v>25.36</c:v>
                </c:pt>
                <c:pt idx="10">
                  <c:v>24.83</c:v>
                </c:pt>
                <c:pt idx="11">
                  <c:v>38.200000000000003</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7">
                  <c:v>290.64</c:v>
                </c:pt>
                <c:pt idx="8">
                  <c:v>263.52</c:v>
                </c:pt>
                <c:pt idx="9">
                  <c:v>39.75</c:v>
                </c:pt>
                <c:pt idx="10">
                  <c:v>234.22</c:v>
                </c:pt>
                <c:pt idx="11">
                  <c:v>647.58000000000004</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8">
                  <c:v>18.64</c:v>
                </c:pt>
                <c:pt idx="9">
                  <c:v>15.99</c:v>
                </c:pt>
                <c:pt idx="10">
                  <c:v>15.32</c:v>
                </c:pt>
                <c:pt idx="11">
                  <c:v>12.8</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8">
                  <c:v>20.190000000000001</c:v>
                </c:pt>
                <c:pt idx="9">
                  <c:v>15.99</c:v>
                </c:pt>
                <c:pt idx="10">
                  <c:v>15.32</c:v>
                </c:pt>
                <c:pt idx="11">
                  <c:v>18.78</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7">
                  <c:v>134.93</c:v>
                </c:pt>
                <c:pt idx="8">
                  <c:v>1.71</c:v>
                </c:pt>
                <c:pt idx="9">
                  <c:v>0.3</c:v>
                </c:pt>
                <c:pt idx="10">
                  <c:v>1.27</c:v>
                </c:pt>
                <c:pt idx="11">
                  <c:v>0.27</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7">
                  <c:v>1170.4100000000001</c:v>
                </c:pt>
                <c:pt idx="8">
                  <c:v>24.8</c:v>
                </c:pt>
                <c:pt idx="9">
                  <c:v>5.67</c:v>
                </c:pt>
                <c:pt idx="10">
                  <c:v>22.9</c:v>
                </c:pt>
                <c:pt idx="11">
                  <c:v>11.1</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8">
                  <c:v>1.95</c:v>
                </c:pt>
                <c:pt idx="9">
                  <c:v>0.54</c:v>
                </c:pt>
                <c:pt idx="10">
                  <c:v>0.53</c:v>
                </c:pt>
                <c:pt idx="11">
                  <c:v>0.38</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8">
                  <c:v>2.0299999999999998</c:v>
                </c:pt>
                <c:pt idx="9">
                  <c:v>0.54</c:v>
                </c:pt>
                <c:pt idx="10">
                  <c:v>0.53</c:v>
                </c:pt>
                <c:pt idx="11">
                  <c:v>0.73</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0</xdr:col>
      <xdr:colOff>617220</xdr:colOff>
      <xdr:row>7</xdr:row>
      <xdr:rowOff>22860</xdr:rowOff>
    </xdr:from>
    <xdr:to>
      <xdr:col>9</xdr:col>
      <xdr:colOff>15239</xdr:colOff>
      <xdr:row>24</xdr:row>
      <xdr:rowOff>18335</xdr:rowOff>
    </xdr:to>
    <xdr:pic>
      <xdr:nvPicPr>
        <xdr:cNvPr id="3" name="Picture 2">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stretch>
          <a:fillRect/>
        </a:stretch>
      </xdr:blipFill>
      <xdr:spPr>
        <a:xfrm>
          <a:off x="617220" y="1356360"/>
          <a:ext cx="5455919" cy="3256835"/>
        </a:xfrm>
        <a:prstGeom prst="rect">
          <a:avLst/>
        </a:prstGeom>
      </xdr:spPr>
    </xdr:pic>
    <xdr:clientData/>
  </xdr:twoCellAnchor>
  <xdr:twoCellAnchor editAs="oneCell">
    <xdr:from>
      <xdr:col>3</xdr:col>
      <xdr:colOff>0</xdr:colOff>
      <xdr:row>0</xdr:row>
      <xdr:rowOff>0</xdr:rowOff>
    </xdr:from>
    <xdr:to>
      <xdr:col>7</xdr:col>
      <xdr:colOff>373632</xdr:colOff>
      <xdr:row>6</xdr:row>
      <xdr:rowOff>15340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2263140" y="0"/>
          <a:ext cx="2903472" cy="11583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paul.sawko@stokeoperations.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10"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95"/>
      <c r="C1" s="95"/>
      <c r="D1" s="179" t="s">
        <v>0</v>
      </c>
      <c r="E1" s="179"/>
      <c r="F1" s="179"/>
      <c r="G1" s="179"/>
      <c r="H1" s="95"/>
      <c r="I1" s="95"/>
      <c r="J1" s="95"/>
      <c r="K1" s="95"/>
      <c r="L1" s="95"/>
      <c r="M1" s="95"/>
      <c r="N1" s="95"/>
      <c r="O1" s="95"/>
      <c r="P1" s="95"/>
    </row>
    <row r="2" spans="2:16" x14ac:dyDescent="0.25">
      <c r="B2" s="95"/>
      <c r="C2" s="95"/>
      <c r="D2" s="179"/>
      <c r="E2" s="179"/>
      <c r="F2" s="179"/>
      <c r="G2" s="179"/>
      <c r="H2" s="95"/>
      <c r="I2" s="95"/>
      <c r="J2" s="95"/>
      <c r="K2" s="95"/>
      <c r="L2" s="95"/>
      <c r="M2" s="95"/>
      <c r="N2" s="95" t="s">
        <v>1</v>
      </c>
      <c r="O2" s="95"/>
      <c r="P2" s="96"/>
    </row>
    <row r="3" spans="2:16" x14ac:dyDescent="0.25">
      <c r="B3" s="95"/>
      <c r="C3" s="95"/>
      <c r="D3" s="179"/>
      <c r="E3" s="179"/>
      <c r="F3" s="179"/>
      <c r="G3" s="179"/>
      <c r="H3" s="95"/>
      <c r="I3" s="95"/>
      <c r="J3" s="95"/>
      <c r="K3" s="95"/>
      <c r="L3" s="95"/>
      <c r="M3" s="95"/>
      <c r="N3" s="96"/>
      <c r="O3" s="95"/>
      <c r="P3" s="95"/>
    </row>
    <row r="4" spans="2:16" x14ac:dyDescent="0.25">
      <c r="B4" s="95"/>
      <c r="C4" s="95"/>
      <c r="D4" s="179"/>
      <c r="E4" s="179"/>
      <c r="F4" s="179"/>
      <c r="G4" s="179"/>
      <c r="H4" s="95"/>
      <c r="I4" s="95"/>
      <c r="J4" s="95"/>
      <c r="K4" s="95"/>
      <c r="L4" s="95"/>
      <c r="M4" s="95"/>
      <c r="N4" s="95"/>
      <c r="O4" s="95"/>
      <c r="P4" s="95"/>
    </row>
    <row r="5" spans="2:16" x14ac:dyDescent="0.25">
      <c r="B5" s="95"/>
      <c r="C5" s="95"/>
      <c r="D5" s="179"/>
      <c r="E5" s="179"/>
      <c r="F5" s="179"/>
      <c r="G5" s="179"/>
      <c r="H5" s="95"/>
      <c r="I5" s="95"/>
      <c r="J5" s="95"/>
      <c r="K5" s="95"/>
      <c r="L5" s="95"/>
      <c r="M5" s="95"/>
      <c r="N5" s="95"/>
      <c r="O5" s="95"/>
      <c r="P5" s="95"/>
    </row>
    <row r="6" spans="2:16" x14ac:dyDescent="0.25">
      <c r="B6" s="95"/>
      <c r="C6" s="95"/>
      <c r="D6" s="179"/>
      <c r="E6" s="179"/>
      <c r="F6" s="179"/>
      <c r="G6" s="179"/>
      <c r="H6" s="95"/>
      <c r="I6" s="95"/>
      <c r="J6" s="95"/>
      <c r="K6" s="95"/>
      <c r="L6" s="95"/>
      <c r="M6" s="95"/>
      <c r="N6" s="95"/>
      <c r="O6" s="95"/>
      <c r="P6" s="95"/>
    </row>
    <row r="8" spans="2:16" ht="15.75" customHeight="1" x14ac:dyDescent="0.25">
      <c r="B8" s="179"/>
      <c r="C8" s="179"/>
      <c r="D8" s="179"/>
      <c r="E8" s="179"/>
      <c r="F8" s="179"/>
      <c r="G8" s="179"/>
      <c r="H8" s="179"/>
      <c r="I8" s="179"/>
      <c r="J8" s="95"/>
      <c r="K8" s="95"/>
      <c r="L8" s="95"/>
      <c r="M8" s="95"/>
      <c r="N8" s="71"/>
      <c r="O8" s="95"/>
      <c r="P8" s="95"/>
    </row>
    <row r="9" spans="2:16" x14ac:dyDescent="0.25">
      <c r="B9" s="179"/>
      <c r="C9" s="179"/>
      <c r="D9" s="179"/>
      <c r="E9" s="179"/>
      <c r="F9" s="179"/>
      <c r="G9" s="179"/>
      <c r="H9" s="179"/>
      <c r="I9" s="179"/>
      <c r="J9" s="95"/>
      <c r="K9" s="95"/>
      <c r="L9" s="95"/>
      <c r="M9" s="95"/>
      <c r="N9" s="95"/>
      <c r="O9" s="95"/>
      <c r="P9" s="95"/>
    </row>
    <row r="10" spans="2:16" x14ac:dyDescent="0.25">
      <c r="B10" s="179"/>
      <c r="C10" s="179"/>
      <c r="D10" s="179"/>
      <c r="E10" s="179"/>
      <c r="F10" s="179"/>
      <c r="G10" s="179"/>
      <c r="H10" s="179"/>
      <c r="I10" s="179"/>
      <c r="J10" s="95"/>
      <c r="K10" s="95"/>
      <c r="L10" s="95"/>
      <c r="M10" s="95"/>
      <c r="N10" s="95"/>
      <c r="O10" s="95"/>
      <c r="P10" s="95"/>
    </row>
    <row r="11" spans="2:16" x14ac:dyDescent="0.25">
      <c r="B11" s="179"/>
      <c r="C11" s="179"/>
      <c r="D11" s="179"/>
      <c r="E11" s="179"/>
      <c r="F11" s="179"/>
      <c r="G11" s="179"/>
      <c r="H11" s="179"/>
      <c r="I11" s="179"/>
      <c r="J11" s="95"/>
      <c r="K11" s="95"/>
      <c r="L11" s="95"/>
      <c r="M11" s="95"/>
      <c r="N11" s="95"/>
      <c r="O11" s="95"/>
      <c r="P11" s="95"/>
    </row>
    <row r="12" spans="2:16" x14ac:dyDescent="0.25">
      <c r="B12" s="179"/>
      <c r="C12" s="179"/>
      <c r="D12" s="179"/>
      <c r="E12" s="179"/>
      <c r="F12" s="179"/>
      <c r="G12" s="179"/>
      <c r="H12" s="179"/>
      <c r="I12" s="179"/>
      <c r="J12" s="95"/>
      <c r="K12" s="95"/>
      <c r="L12" s="95"/>
      <c r="M12" s="95"/>
      <c r="N12" s="95"/>
      <c r="O12" s="95"/>
      <c r="P12" s="95"/>
    </row>
    <row r="13" spans="2:16" ht="15.6" x14ac:dyDescent="0.3">
      <c r="B13" s="179"/>
      <c r="C13" s="179"/>
      <c r="D13" s="179"/>
      <c r="E13" s="179"/>
      <c r="F13" s="179"/>
      <c r="G13" s="179"/>
      <c r="H13" s="179"/>
      <c r="I13" s="179"/>
      <c r="J13" s="95"/>
      <c r="K13" s="95"/>
      <c r="L13" s="95"/>
      <c r="M13" s="95"/>
      <c r="N13" s="75" t="s">
        <v>2</v>
      </c>
      <c r="O13" s="73"/>
      <c r="P13" s="73"/>
    </row>
    <row r="14" spans="2:16" ht="15.6" customHeight="1" x14ac:dyDescent="0.25">
      <c r="B14" s="179"/>
      <c r="C14" s="179"/>
      <c r="D14" s="179"/>
      <c r="E14" s="179"/>
      <c r="F14" s="179"/>
      <c r="G14" s="179"/>
      <c r="H14" s="179"/>
      <c r="I14" s="179"/>
      <c r="J14" s="95"/>
      <c r="K14" s="95"/>
      <c r="L14" s="95"/>
      <c r="M14" s="95"/>
      <c r="N14" s="177" t="s">
        <v>3</v>
      </c>
      <c r="O14" s="177"/>
      <c r="P14" s="177"/>
    </row>
    <row r="15" spans="2:16" x14ac:dyDescent="0.25">
      <c r="B15" s="179"/>
      <c r="C15" s="179"/>
      <c r="D15" s="179"/>
      <c r="E15" s="179"/>
      <c r="F15" s="179"/>
      <c r="G15" s="179"/>
      <c r="H15" s="179"/>
      <c r="I15" s="179"/>
      <c r="J15" s="95"/>
      <c r="K15" s="95"/>
      <c r="L15" s="95"/>
      <c r="M15" s="95"/>
      <c r="N15" s="177"/>
      <c r="O15" s="177"/>
      <c r="P15" s="177"/>
    </row>
    <row r="16" spans="2:16" x14ac:dyDescent="0.25">
      <c r="B16" s="179"/>
      <c r="C16" s="179"/>
      <c r="D16" s="179"/>
      <c r="E16" s="179"/>
      <c r="F16" s="179"/>
      <c r="G16" s="179"/>
      <c r="H16" s="179"/>
      <c r="I16" s="179"/>
      <c r="J16" s="95"/>
      <c r="K16" s="95"/>
      <c r="L16" s="95"/>
      <c r="M16" s="95"/>
      <c r="N16" s="177"/>
      <c r="O16" s="177"/>
      <c r="P16" s="177"/>
    </row>
    <row r="17" spans="2:16" x14ac:dyDescent="0.25">
      <c r="B17" s="179"/>
      <c r="C17" s="179"/>
      <c r="D17" s="179"/>
      <c r="E17" s="179"/>
      <c r="F17" s="179"/>
      <c r="G17" s="179"/>
      <c r="H17" s="179"/>
      <c r="I17" s="179"/>
      <c r="J17" s="95"/>
      <c r="K17" s="95"/>
      <c r="L17" s="95"/>
      <c r="M17" s="95"/>
      <c r="N17" s="177"/>
      <c r="O17" s="177"/>
      <c r="P17" s="177"/>
    </row>
    <row r="18" spans="2:16" x14ac:dyDescent="0.25">
      <c r="B18" s="179"/>
      <c r="C18" s="179"/>
      <c r="D18" s="179"/>
      <c r="E18" s="179"/>
      <c r="F18" s="179"/>
      <c r="G18" s="179"/>
      <c r="H18" s="179"/>
      <c r="I18" s="179"/>
      <c r="J18" s="95"/>
      <c r="K18" s="95"/>
      <c r="L18" s="95"/>
      <c r="M18" s="95"/>
      <c r="N18" s="177"/>
      <c r="O18" s="177"/>
      <c r="P18" s="177"/>
    </row>
    <row r="19" spans="2:16" x14ac:dyDescent="0.25">
      <c r="B19" s="179"/>
      <c r="C19" s="179"/>
      <c r="D19" s="179"/>
      <c r="E19" s="179"/>
      <c r="F19" s="179"/>
      <c r="G19" s="179"/>
      <c r="H19" s="179"/>
      <c r="I19" s="179"/>
      <c r="J19" s="95"/>
      <c r="K19" s="95"/>
      <c r="L19" s="95"/>
      <c r="M19" s="95"/>
      <c r="N19" s="177"/>
      <c r="O19" s="177"/>
      <c r="P19" s="177"/>
    </row>
    <row r="20" spans="2:16" x14ac:dyDescent="0.25">
      <c r="B20" s="179"/>
      <c r="C20" s="179"/>
      <c r="D20" s="179"/>
      <c r="E20" s="179"/>
      <c r="F20" s="179"/>
      <c r="G20" s="179"/>
      <c r="H20" s="179"/>
      <c r="I20" s="179"/>
      <c r="J20" s="95"/>
      <c r="K20" s="95"/>
      <c r="L20" s="95"/>
      <c r="M20" s="95"/>
      <c r="N20" s="95"/>
      <c r="O20" s="95"/>
      <c r="P20" s="95"/>
    </row>
    <row r="21" spans="2:16" x14ac:dyDescent="0.25">
      <c r="B21" s="179"/>
      <c r="C21" s="179"/>
      <c r="D21" s="179"/>
      <c r="E21" s="179"/>
      <c r="F21" s="179"/>
      <c r="G21" s="179"/>
      <c r="H21" s="179"/>
      <c r="I21" s="179"/>
      <c r="J21" s="95"/>
      <c r="K21" s="95"/>
      <c r="L21" s="95"/>
      <c r="M21" s="95"/>
      <c r="N21" s="95"/>
      <c r="O21" s="95"/>
      <c r="P21" s="95"/>
    </row>
    <row r="22" spans="2:16" x14ac:dyDescent="0.25">
      <c r="B22" s="179"/>
      <c r="C22" s="179"/>
      <c r="D22" s="179"/>
      <c r="E22" s="179"/>
      <c r="F22" s="179"/>
      <c r="G22" s="179"/>
      <c r="H22" s="179"/>
      <c r="I22" s="179"/>
      <c r="J22" s="95"/>
      <c r="K22" s="95"/>
      <c r="L22" s="95"/>
      <c r="M22" s="95"/>
      <c r="N22" s="95"/>
      <c r="O22" s="95"/>
      <c r="P22" s="95"/>
    </row>
    <row r="23" spans="2:16" x14ac:dyDescent="0.25">
      <c r="B23" s="179"/>
      <c r="C23" s="179"/>
      <c r="D23" s="179"/>
      <c r="E23" s="179"/>
      <c r="F23" s="179"/>
      <c r="G23" s="179"/>
      <c r="H23" s="179"/>
      <c r="I23" s="179"/>
      <c r="J23" s="95"/>
      <c r="K23" s="95"/>
      <c r="L23" s="95"/>
      <c r="M23" s="95"/>
      <c r="N23" s="95"/>
      <c r="O23" s="95"/>
      <c r="P23" s="95"/>
    </row>
    <row r="24" spans="2:16" x14ac:dyDescent="0.25">
      <c r="B24" s="179"/>
      <c r="C24" s="179"/>
      <c r="D24" s="179"/>
      <c r="E24" s="179"/>
      <c r="F24" s="179"/>
      <c r="G24" s="179"/>
      <c r="H24" s="179"/>
      <c r="I24" s="179"/>
      <c r="J24" s="95"/>
      <c r="K24" s="95"/>
      <c r="L24" s="95"/>
      <c r="M24" s="95"/>
      <c r="N24" s="95"/>
      <c r="O24" s="95"/>
      <c r="P24" s="95"/>
    </row>
    <row r="29" spans="2:16" ht="17.399999999999999" x14ac:dyDescent="0.3">
      <c r="B29" s="178" t="s">
        <v>401</v>
      </c>
      <c r="C29" s="178"/>
      <c r="D29" s="178"/>
      <c r="E29" s="178"/>
      <c r="F29" s="178"/>
      <c r="G29" s="178"/>
      <c r="H29" s="178"/>
      <c r="I29" s="178"/>
      <c r="J29" s="95"/>
      <c r="K29" s="95"/>
      <c r="L29" s="95"/>
      <c r="M29" s="95"/>
      <c r="N29" s="95"/>
      <c r="O29" s="95"/>
      <c r="P29" s="95"/>
    </row>
    <row r="30" spans="2:16" ht="17.399999999999999" x14ac:dyDescent="0.3">
      <c r="B30" s="95"/>
      <c r="C30" s="7"/>
      <c r="D30" s="8"/>
      <c r="E30" s="8"/>
      <c r="F30" s="8"/>
      <c r="G30" s="8"/>
      <c r="H30" s="8"/>
      <c r="I30" s="8"/>
      <c r="J30" s="95"/>
      <c r="K30" s="95"/>
      <c r="L30" s="95"/>
      <c r="M30" s="95"/>
      <c r="N30" s="95"/>
      <c r="O30" s="95"/>
      <c r="P30" s="95"/>
    </row>
    <row r="31" spans="2:16" ht="17.399999999999999" x14ac:dyDescent="0.3">
      <c r="B31" s="178" t="s">
        <v>367</v>
      </c>
      <c r="C31" s="178"/>
      <c r="D31" s="178"/>
      <c r="E31" s="178"/>
      <c r="F31" s="178"/>
      <c r="G31" s="178"/>
      <c r="H31" s="178"/>
      <c r="I31" s="178"/>
      <c r="J31" s="95"/>
      <c r="K31" s="95"/>
      <c r="L31" s="95"/>
      <c r="M31" s="95"/>
      <c r="N31" s="95"/>
      <c r="O31" s="95"/>
      <c r="P31" s="95"/>
    </row>
    <row r="32" spans="2:16" ht="17.399999999999999" x14ac:dyDescent="0.3">
      <c r="B32" s="95"/>
      <c r="C32" s="7"/>
      <c r="D32" s="8"/>
      <c r="E32" s="8"/>
      <c r="F32" s="8"/>
      <c r="G32" s="8"/>
      <c r="H32" s="8"/>
      <c r="I32" s="8"/>
      <c r="J32" s="95"/>
      <c r="K32" s="95"/>
      <c r="L32" s="95"/>
      <c r="M32" s="95"/>
      <c r="N32" s="95"/>
      <c r="O32" s="95"/>
      <c r="P32" s="95"/>
    </row>
    <row r="33" spans="2:9" ht="17.399999999999999" x14ac:dyDescent="0.3">
      <c r="B33" s="178" t="s">
        <v>409</v>
      </c>
      <c r="C33" s="178"/>
      <c r="D33" s="178"/>
      <c r="E33" s="178"/>
      <c r="F33" s="178"/>
      <c r="G33" s="178"/>
      <c r="H33" s="178"/>
      <c r="I33" s="178"/>
    </row>
    <row r="34" spans="2:9" ht="17.399999999999999" x14ac:dyDescent="0.3">
      <c r="B34" s="95"/>
      <c r="C34" s="7"/>
      <c r="D34" s="8"/>
      <c r="E34" s="8"/>
      <c r="F34" s="8"/>
      <c r="G34" s="8"/>
      <c r="H34" s="8"/>
      <c r="I34" s="8"/>
    </row>
    <row r="35" spans="2:9" ht="17.399999999999999" x14ac:dyDescent="0.3">
      <c r="B35" s="178" t="s">
        <v>408</v>
      </c>
      <c r="C35" s="178"/>
      <c r="D35" s="178"/>
      <c r="E35" s="178"/>
      <c r="F35" s="178"/>
      <c r="G35" s="178"/>
      <c r="H35" s="178"/>
      <c r="I35" s="178"/>
    </row>
    <row r="37" spans="2:9" ht="17.399999999999999" x14ac:dyDescent="0.3">
      <c r="B37" s="178" t="s">
        <v>368</v>
      </c>
      <c r="C37" s="178"/>
      <c r="D37" s="178"/>
      <c r="E37" s="178"/>
      <c r="F37" s="178"/>
      <c r="G37" s="178"/>
      <c r="H37" s="178"/>
      <c r="I37" s="178"/>
    </row>
    <row r="39" spans="2:9" x14ac:dyDescent="0.25">
      <c r="B39" s="95" t="s">
        <v>4</v>
      </c>
      <c r="C39" s="97">
        <v>2022</v>
      </c>
      <c r="D39" s="95"/>
      <c r="E39" s="95"/>
      <c r="F39" s="95"/>
      <c r="G39" s="95"/>
      <c r="H39" s="95"/>
      <c r="I39" s="95"/>
    </row>
    <row r="40" spans="2:9" ht="14.25" customHeight="1" x14ac:dyDescent="0.25">
      <c r="B40" s="95"/>
      <c r="C40" s="95"/>
      <c r="D40" s="95"/>
      <c r="E40" s="95"/>
      <c r="F40" s="95"/>
      <c r="G40" s="95"/>
      <c r="H40" s="95"/>
      <c r="I40" s="95"/>
    </row>
    <row r="41" spans="2:9" x14ac:dyDescent="0.25">
      <c r="B41" s="98" t="s">
        <v>5</v>
      </c>
      <c r="C41" s="180" t="s">
        <v>369</v>
      </c>
      <c r="D41" s="180"/>
      <c r="E41" s="180"/>
      <c r="F41" s="180"/>
      <c r="G41" s="180"/>
      <c r="H41" s="180"/>
      <c r="I41" s="180"/>
    </row>
    <row r="42" spans="2:9" x14ac:dyDescent="0.25">
      <c r="B42" s="98"/>
      <c r="C42" s="95"/>
      <c r="D42" s="95"/>
      <c r="E42" s="95"/>
      <c r="F42" s="95"/>
      <c r="G42" s="95"/>
      <c r="H42" s="95"/>
      <c r="I42" s="95"/>
    </row>
    <row r="43" spans="2:9" x14ac:dyDescent="0.25">
      <c r="B43" s="98" t="s">
        <v>6</v>
      </c>
      <c r="C43" s="180" t="s">
        <v>371</v>
      </c>
      <c r="D43" s="180"/>
      <c r="E43" s="180"/>
      <c r="F43" s="95"/>
      <c r="G43" s="95"/>
      <c r="H43" s="95"/>
      <c r="I43" s="95"/>
    </row>
    <row r="44" spans="2:9" x14ac:dyDescent="0.25">
      <c r="B44" s="98"/>
      <c r="C44" s="95"/>
      <c r="D44" s="95"/>
      <c r="E44" s="95"/>
      <c r="F44" s="95"/>
      <c r="G44" s="95"/>
      <c r="H44" s="95"/>
      <c r="I44" s="95"/>
    </row>
    <row r="45" spans="2:9" ht="15.6" x14ac:dyDescent="0.3">
      <c r="B45" s="98" t="s">
        <v>7</v>
      </c>
      <c r="C45" s="181" t="s">
        <v>402</v>
      </c>
      <c r="D45" s="180"/>
      <c r="E45" s="180"/>
      <c r="F45" s="95"/>
      <c r="G45" s="95"/>
      <c r="H45" s="95"/>
      <c r="I45" s="95"/>
    </row>
    <row r="46" spans="2:9" x14ac:dyDescent="0.25">
      <c r="B46" s="98"/>
      <c r="C46" s="95"/>
      <c r="D46" s="95"/>
      <c r="E46" s="95"/>
      <c r="F46" s="95"/>
      <c r="G46" s="95"/>
      <c r="H46" s="95"/>
      <c r="I46" s="95"/>
    </row>
    <row r="47" spans="2:9" x14ac:dyDescent="0.25">
      <c r="B47" s="98" t="s">
        <v>8</v>
      </c>
      <c r="C47" s="180" t="s">
        <v>370</v>
      </c>
      <c r="D47" s="180"/>
      <c r="E47" s="95"/>
      <c r="F47" s="95" t="s">
        <v>9</v>
      </c>
      <c r="G47" s="180" t="s">
        <v>403</v>
      </c>
      <c r="H47" s="180"/>
      <c r="I47" s="180"/>
    </row>
    <row r="48" spans="2:9" x14ac:dyDescent="0.25">
      <c r="B48" s="98"/>
      <c r="C48" s="95"/>
      <c r="D48" s="95"/>
      <c r="E48" s="95"/>
      <c r="F48" s="95"/>
      <c r="G48" s="95"/>
      <c r="H48" s="95"/>
      <c r="I48" s="95"/>
    </row>
    <row r="49" spans="2:9" x14ac:dyDescent="0.25">
      <c r="B49" s="98" t="s">
        <v>10</v>
      </c>
      <c r="C49" s="180" t="s">
        <v>458</v>
      </c>
      <c r="D49" s="180"/>
      <c r="E49" s="95"/>
      <c r="F49" s="95" t="s">
        <v>9</v>
      </c>
      <c r="G49" s="180" t="s">
        <v>459</v>
      </c>
      <c r="H49" s="180"/>
      <c r="I49" s="180"/>
    </row>
    <row r="50" spans="2:9" x14ac:dyDescent="0.25">
      <c r="B50" s="98"/>
      <c r="C50" s="95"/>
      <c r="D50" s="95"/>
      <c r="E50" s="95"/>
      <c r="F50" s="95"/>
      <c r="G50" s="95"/>
      <c r="H50" s="95"/>
      <c r="I50" s="95"/>
    </row>
    <row r="51" spans="2:9" x14ac:dyDescent="0.25">
      <c r="B51" s="98" t="s">
        <v>11</v>
      </c>
      <c r="C51" s="97">
        <v>1</v>
      </c>
      <c r="D51" s="95"/>
      <c r="E51" s="95"/>
      <c r="F51" s="95"/>
      <c r="G51" s="95"/>
      <c r="H51" s="95"/>
      <c r="I51" s="95"/>
    </row>
    <row r="52" spans="2:9" x14ac:dyDescent="0.25">
      <c r="B52" s="98"/>
      <c r="C52" s="95"/>
      <c r="D52" s="95"/>
      <c r="E52" s="95"/>
      <c r="F52" s="95"/>
      <c r="G52" s="95"/>
      <c r="H52" s="95"/>
      <c r="I52" s="95"/>
    </row>
    <row r="53" spans="2:9" x14ac:dyDescent="0.25">
      <c r="B53" s="98" t="s">
        <v>12</v>
      </c>
      <c r="C53" s="180" t="s">
        <v>460</v>
      </c>
      <c r="D53" s="180"/>
      <c r="E53" s="95"/>
      <c r="F53" s="95"/>
      <c r="G53" s="95"/>
      <c r="H53" s="95"/>
      <c r="I53" s="95"/>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CD5FBE1F-0FBF-4335-AF6B-F03BD9FC2FE3}"/>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tabSelected="1"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95" t="str">
        <f>+'Cover Page'!$B$29</f>
        <v>Annual Performance Report 2022</v>
      </c>
      <c r="B1" s="95"/>
      <c r="C1" s="95"/>
      <c r="D1" s="95"/>
      <c r="E1" s="95" t="str">
        <f>+'Cover Page'!$B$33</f>
        <v>Clinitek (Stoke) LLP</v>
      </c>
      <c r="F1" s="95"/>
      <c r="G1" s="95"/>
      <c r="H1" s="95"/>
      <c r="I1" s="95"/>
      <c r="J1" s="95"/>
      <c r="K1" s="95"/>
      <c r="L1" s="95"/>
      <c r="M1" s="95"/>
      <c r="N1" s="95"/>
      <c r="O1" s="95"/>
    </row>
    <row r="3" spans="1:15" ht="15.6" x14ac:dyDescent="0.3">
      <c r="A3" s="53" t="s">
        <v>13</v>
      </c>
      <c r="B3" s="99"/>
      <c r="C3" s="99"/>
      <c r="D3" s="99"/>
      <c r="E3" s="99"/>
      <c r="F3" s="99"/>
      <c r="G3" s="99"/>
      <c r="H3" s="100"/>
      <c r="I3" s="95"/>
      <c r="J3" s="95"/>
      <c r="K3" s="75" t="s">
        <v>2</v>
      </c>
      <c r="L3" s="95"/>
      <c r="M3" s="95"/>
      <c r="N3" s="95"/>
      <c r="O3" s="95"/>
    </row>
    <row r="4" spans="1:15" ht="15.6" x14ac:dyDescent="0.3">
      <c r="A4" s="5" t="s">
        <v>14</v>
      </c>
      <c r="B4" s="183" t="s">
        <v>15</v>
      </c>
      <c r="C4" s="183"/>
      <c r="D4" s="183"/>
      <c r="E4" s="183"/>
      <c r="F4" s="183"/>
      <c r="G4" s="183"/>
      <c r="H4" s="6" t="s">
        <v>16</v>
      </c>
      <c r="I4" s="95"/>
      <c r="J4" s="95"/>
      <c r="K4" s="73" t="s">
        <v>17</v>
      </c>
      <c r="L4" s="95"/>
      <c r="M4" s="95"/>
      <c r="N4" s="95"/>
      <c r="O4" s="95"/>
    </row>
    <row r="5" spans="1:15" ht="15.6" customHeight="1" x14ac:dyDescent="0.25">
      <c r="A5" s="4"/>
      <c r="B5" s="182" t="s">
        <v>18</v>
      </c>
      <c r="C5" s="182"/>
      <c r="D5" s="182"/>
      <c r="E5" s="182"/>
      <c r="F5" s="182"/>
      <c r="G5" s="182"/>
      <c r="H5" s="4">
        <v>4</v>
      </c>
      <c r="I5" s="95"/>
      <c r="J5" s="95"/>
      <c r="K5" s="177" t="s">
        <v>19</v>
      </c>
      <c r="L5" s="177"/>
      <c r="M5" s="177"/>
      <c r="N5" s="177"/>
      <c r="O5" s="177"/>
    </row>
    <row r="6" spans="1:15" x14ac:dyDescent="0.25">
      <c r="A6" s="4"/>
      <c r="B6" s="182" t="s">
        <v>21</v>
      </c>
      <c r="C6" s="182"/>
      <c r="D6" s="182"/>
      <c r="E6" s="182"/>
      <c r="F6" s="182"/>
      <c r="G6" s="182"/>
      <c r="H6" s="4">
        <v>5</v>
      </c>
      <c r="I6" s="95"/>
      <c r="J6" s="95"/>
      <c r="K6" s="177"/>
      <c r="L6" s="177"/>
      <c r="M6" s="177"/>
      <c r="N6" s="177"/>
      <c r="O6" s="177"/>
    </row>
    <row r="7" spans="1:15" ht="15.75" customHeight="1" x14ac:dyDescent="0.25">
      <c r="A7" s="4"/>
      <c r="B7" s="182" t="s">
        <v>20</v>
      </c>
      <c r="C7" s="182"/>
      <c r="D7" s="182"/>
      <c r="E7" s="182"/>
      <c r="F7" s="182"/>
      <c r="G7" s="182"/>
      <c r="H7" s="4">
        <v>7</v>
      </c>
      <c r="I7" s="95"/>
      <c r="J7" s="95"/>
      <c r="K7" s="177"/>
      <c r="L7" s="177"/>
      <c r="M7" s="177"/>
      <c r="N7" s="177"/>
      <c r="O7" s="177"/>
    </row>
    <row r="8" spans="1:15" x14ac:dyDescent="0.25">
      <c r="A8" s="4"/>
      <c r="B8" s="182" t="s">
        <v>22</v>
      </c>
      <c r="C8" s="182"/>
      <c r="D8" s="182"/>
      <c r="E8" s="182"/>
      <c r="F8" s="182"/>
      <c r="G8" s="182"/>
      <c r="H8" s="4">
        <v>8</v>
      </c>
      <c r="I8" s="95"/>
      <c r="J8" s="95"/>
      <c r="K8" s="177"/>
      <c r="L8" s="177"/>
      <c r="M8" s="177"/>
      <c r="N8" s="177"/>
      <c r="O8" s="177"/>
    </row>
    <row r="9" spans="1:15" x14ac:dyDescent="0.25">
      <c r="A9" s="4"/>
      <c r="B9" s="182" t="s">
        <v>23</v>
      </c>
      <c r="C9" s="182"/>
      <c r="D9" s="182"/>
      <c r="E9" s="182"/>
      <c r="F9" s="182"/>
      <c r="G9" s="182"/>
      <c r="H9" s="4">
        <v>10</v>
      </c>
      <c r="I9" s="95"/>
      <c r="J9" s="95"/>
      <c r="K9" s="95"/>
      <c r="L9" s="95"/>
      <c r="M9" s="95"/>
      <c r="N9" s="95"/>
      <c r="O9" s="95"/>
    </row>
    <row r="10" spans="1:15" x14ac:dyDescent="0.25">
      <c r="A10" s="4"/>
      <c r="B10" s="182" t="s">
        <v>24</v>
      </c>
      <c r="C10" s="182"/>
      <c r="D10" s="182"/>
      <c r="E10" s="182"/>
      <c r="F10" s="182"/>
      <c r="G10" s="182"/>
      <c r="H10" s="4">
        <v>11</v>
      </c>
      <c r="I10" s="95"/>
      <c r="J10" s="95"/>
      <c r="K10" s="95"/>
      <c r="L10" s="95"/>
      <c r="M10" s="95"/>
      <c r="N10" s="95"/>
      <c r="O10" s="95"/>
    </row>
    <row r="11" spans="1:15" x14ac:dyDescent="0.25">
      <c r="A11" s="4"/>
      <c r="B11" s="182" t="s">
        <v>25</v>
      </c>
      <c r="C11" s="182"/>
      <c r="D11" s="182"/>
      <c r="E11" s="182"/>
      <c r="F11" s="182"/>
      <c r="G11" s="182"/>
      <c r="H11" s="4">
        <v>13</v>
      </c>
      <c r="I11" s="95"/>
      <c r="J11" s="95"/>
      <c r="K11" s="95"/>
      <c r="L11" s="95"/>
      <c r="M11" s="95"/>
      <c r="N11" s="95"/>
      <c r="O11" s="95"/>
    </row>
    <row r="12" spans="1:15" x14ac:dyDescent="0.25">
      <c r="A12" s="4"/>
      <c r="B12" s="182" t="s">
        <v>26</v>
      </c>
      <c r="C12" s="182"/>
      <c r="D12" s="182"/>
      <c r="E12" s="182"/>
      <c r="F12" s="182"/>
      <c r="G12" s="182"/>
      <c r="H12" s="4">
        <v>14</v>
      </c>
      <c r="I12" s="95"/>
      <c r="J12" s="95"/>
      <c r="K12" s="95"/>
      <c r="L12" s="95"/>
      <c r="M12" s="95"/>
      <c r="N12" s="95"/>
      <c r="O12" s="95"/>
    </row>
    <row r="13" spans="1:15" x14ac:dyDescent="0.25">
      <c r="A13" s="4"/>
      <c r="B13" s="182" t="s">
        <v>27</v>
      </c>
      <c r="C13" s="182"/>
      <c r="D13" s="182"/>
      <c r="E13" s="182"/>
      <c r="F13" s="182"/>
      <c r="G13" s="182"/>
      <c r="H13" s="4">
        <v>15</v>
      </c>
      <c r="I13" s="95"/>
      <c r="J13" s="95"/>
      <c r="K13" s="95"/>
      <c r="L13" s="95"/>
      <c r="M13" s="95"/>
      <c r="N13" s="95"/>
      <c r="O13" s="95"/>
    </row>
    <row r="14" spans="1:15" x14ac:dyDescent="0.25">
      <c r="A14" s="4"/>
      <c r="B14" s="182" t="s">
        <v>28</v>
      </c>
      <c r="C14" s="182"/>
      <c r="D14" s="182"/>
      <c r="E14" s="182"/>
      <c r="F14" s="182"/>
      <c r="G14" s="182"/>
      <c r="H14" s="4">
        <v>16</v>
      </c>
      <c r="I14" s="95"/>
      <c r="J14" s="95"/>
      <c r="K14" s="95"/>
      <c r="L14" s="95"/>
      <c r="M14" s="95"/>
      <c r="N14" s="95"/>
      <c r="O14" s="95"/>
    </row>
    <row r="15" spans="1:15" x14ac:dyDescent="0.25">
      <c r="A15" s="4"/>
      <c r="B15" s="182" t="s">
        <v>29</v>
      </c>
      <c r="C15" s="182"/>
      <c r="D15" s="182"/>
      <c r="E15" s="182"/>
      <c r="F15" s="182"/>
      <c r="G15" s="182"/>
      <c r="H15" s="4">
        <v>17</v>
      </c>
      <c r="I15" s="95"/>
      <c r="J15" s="95"/>
      <c r="K15" s="95"/>
      <c r="L15" s="95"/>
      <c r="M15" s="95"/>
      <c r="N15" s="95"/>
      <c r="O15" s="95"/>
    </row>
    <row r="16" spans="1:15" x14ac:dyDescent="0.25">
      <c r="A16" s="4"/>
      <c r="B16" s="182" t="s">
        <v>31</v>
      </c>
      <c r="C16" s="182"/>
      <c r="D16" s="182"/>
      <c r="E16" s="182"/>
      <c r="F16" s="182"/>
      <c r="G16" s="182"/>
      <c r="H16" s="4">
        <v>19</v>
      </c>
    </row>
    <row r="17" spans="1:8" x14ac:dyDescent="0.25">
      <c r="A17" s="4"/>
      <c r="B17" s="182" t="s">
        <v>449</v>
      </c>
      <c r="C17" s="182"/>
      <c r="D17" s="182"/>
      <c r="E17" s="182"/>
      <c r="F17" s="182"/>
      <c r="G17" s="182"/>
      <c r="H17" s="4">
        <v>20</v>
      </c>
    </row>
    <row r="18" spans="1:8" x14ac:dyDescent="0.25">
      <c r="A18" s="4"/>
      <c r="B18" s="182" t="s">
        <v>416</v>
      </c>
      <c r="C18" s="182"/>
      <c r="D18" s="182"/>
      <c r="E18" s="182"/>
      <c r="F18" s="182"/>
      <c r="G18" s="182"/>
      <c r="H18" s="4">
        <v>21</v>
      </c>
    </row>
    <row r="19" spans="1:8" ht="15.6" x14ac:dyDescent="0.3">
      <c r="A19" s="4"/>
      <c r="B19" s="184" t="s">
        <v>30</v>
      </c>
      <c r="C19" s="185"/>
      <c r="D19" s="185"/>
      <c r="E19" s="185"/>
      <c r="F19" s="185"/>
      <c r="G19" s="186"/>
      <c r="H19" s="4">
        <v>22</v>
      </c>
    </row>
    <row r="20" spans="1:8" x14ac:dyDescent="0.25">
      <c r="A20" s="4"/>
      <c r="B20" s="182" t="s">
        <v>32</v>
      </c>
      <c r="C20" s="182"/>
      <c r="D20" s="182"/>
      <c r="E20" s="182"/>
      <c r="F20" s="182"/>
      <c r="G20" s="182"/>
      <c r="H20" s="4">
        <v>24</v>
      </c>
    </row>
    <row r="21" spans="1:8" x14ac:dyDescent="0.25">
      <c r="A21" s="4"/>
      <c r="B21" s="182" t="s">
        <v>33</v>
      </c>
      <c r="C21" s="182"/>
      <c r="D21" s="182"/>
      <c r="E21" s="182"/>
      <c r="F21" s="182"/>
      <c r="G21" s="182"/>
      <c r="H21" s="4">
        <v>25</v>
      </c>
    </row>
    <row r="22" spans="1:8" x14ac:dyDescent="0.25">
      <c r="A22" s="4"/>
      <c r="B22" s="188" t="s">
        <v>34</v>
      </c>
      <c r="C22" s="189"/>
      <c r="D22" s="189"/>
      <c r="E22" s="189"/>
      <c r="F22" s="189"/>
      <c r="G22" s="190"/>
      <c r="H22" s="4">
        <v>26</v>
      </c>
    </row>
    <row r="23" spans="1:8" x14ac:dyDescent="0.25">
      <c r="A23" s="4"/>
      <c r="B23" s="188" t="s">
        <v>35</v>
      </c>
      <c r="C23" s="189"/>
      <c r="D23" s="189"/>
      <c r="E23" s="189"/>
      <c r="F23" s="189"/>
      <c r="G23" s="190"/>
      <c r="H23" s="4">
        <v>27</v>
      </c>
    </row>
    <row r="24" spans="1:8" x14ac:dyDescent="0.25">
      <c r="A24" s="4"/>
      <c r="B24" s="191"/>
      <c r="C24" s="191"/>
      <c r="D24" s="191"/>
      <c r="E24" s="191"/>
      <c r="F24" s="191"/>
      <c r="G24" s="191"/>
      <c r="H24" s="4"/>
    </row>
    <row r="26" spans="1:8" x14ac:dyDescent="0.25">
      <c r="A26" s="52" t="s">
        <v>36</v>
      </c>
      <c r="B26" s="99"/>
      <c r="C26" s="99"/>
      <c r="D26" s="99"/>
      <c r="E26" s="99"/>
      <c r="F26" s="99"/>
      <c r="G26" s="99"/>
      <c r="H26" s="100"/>
    </row>
    <row r="27" spans="1:8" x14ac:dyDescent="0.25">
      <c r="A27" s="10" t="s">
        <v>14</v>
      </c>
      <c r="B27" s="192" t="s">
        <v>37</v>
      </c>
      <c r="C27" s="192"/>
      <c r="D27" s="192"/>
      <c r="E27" s="192"/>
      <c r="F27" s="192"/>
      <c r="G27" s="192"/>
      <c r="H27" s="11" t="s">
        <v>38</v>
      </c>
    </row>
    <row r="28" spans="1:8" x14ac:dyDescent="0.25">
      <c r="A28" s="101"/>
      <c r="B28" s="193"/>
      <c r="C28" s="193"/>
      <c r="D28" s="193"/>
      <c r="E28" s="193"/>
      <c r="F28" s="193"/>
      <c r="G28" s="193"/>
      <c r="H28" s="101"/>
    </row>
    <row r="29" spans="1:8" x14ac:dyDescent="0.25">
      <c r="A29" s="101"/>
      <c r="B29" s="193"/>
      <c r="C29" s="193"/>
      <c r="D29" s="193"/>
      <c r="E29" s="193"/>
      <c r="F29" s="193"/>
      <c r="G29" s="193"/>
      <c r="H29" s="101"/>
    </row>
    <row r="30" spans="1:8" x14ac:dyDescent="0.25">
      <c r="A30" s="101"/>
      <c r="B30" s="193"/>
      <c r="C30" s="193"/>
      <c r="D30" s="193"/>
      <c r="E30" s="193"/>
      <c r="F30" s="193"/>
      <c r="G30" s="193"/>
      <c r="H30" s="101"/>
    </row>
    <row r="31" spans="1:8" x14ac:dyDescent="0.25">
      <c r="A31" s="101"/>
      <c r="B31" s="193" t="s">
        <v>367</v>
      </c>
      <c r="C31" s="193"/>
      <c r="D31" s="193"/>
      <c r="E31" s="193"/>
      <c r="F31" s="193"/>
      <c r="G31" s="193"/>
      <c r="H31" s="101"/>
    </row>
    <row r="32" spans="1:8" x14ac:dyDescent="0.25">
      <c r="A32" s="101"/>
      <c r="B32" s="193"/>
      <c r="C32" s="193"/>
      <c r="D32" s="193"/>
      <c r="E32" s="193"/>
      <c r="F32" s="193"/>
      <c r="G32" s="193"/>
      <c r="H32" s="101"/>
    </row>
    <row r="34" spans="1:10" ht="14.25" customHeight="1" x14ac:dyDescent="0.25">
      <c r="A34" s="52" t="s">
        <v>39</v>
      </c>
      <c r="B34" s="99"/>
      <c r="C34" s="99"/>
      <c r="D34" s="99"/>
      <c r="E34" s="99"/>
      <c r="F34" s="99"/>
      <c r="G34" s="99"/>
      <c r="H34" s="100"/>
      <c r="I34" s="95"/>
      <c r="J34" s="95"/>
    </row>
    <row r="35" spans="1:10" x14ac:dyDescent="0.25">
      <c r="A35" s="13" t="s">
        <v>40</v>
      </c>
      <c r="B35" s="194" t="s">
        <v>41</v>
      </c>
      <c r="C35" s="194"/>
      <c r="D35" s="194"/>
      <c r="E35" s="194"/>
      <c r="F35" s="194"/>
      <c r="G35" s="194"/>
      <c r="H35" s="14" t="s">
        <v>42</v>
      </c>
      <c r="I35" s="95"/>
      <c r="J35" s="95"/>
    </row>
    <row r="36" spans="1:10" x14ac:dyDescent="0.25">
      <c r="A36" s="102"/>
      <c r="B36" s="187"/>
      <c r="C36" s="187"/>
      <c r="D36" s="187"/>
      <c r="E36" s="187"/>
      <c r="F36" s="187"/>
      <c r="G36" s="187"/>
      <c r="H36" s="102"/>
      <c r="I36" s="95"/>
      <c r="J36" s="95"/>
    </row>
    <row r="37" spans="1:10" x14ac:dyDescent="0.25">
      <c r="A37" s="102"/>
      <c r="B37" s="187"/>
      <c r="C37" s="187"/>
      <c r="D37" s="187"/>
      <c r="E37" s="187"/>
      <c r="F37" s="187"/>
      <c r="G37" s="187"/>
      <c r="H37" s="102"/>
      <c r="I37" s="95"/>
      <c r="J37" s="95"/>
    </row>
    <row r="38" spans="1:10" x14ac:dyDescent="0.25">
      <c r="A38" s="102"/>
      <c r="B38" s="187"/>
      <c r="C38" s="187"/>
      <c r="D38" s="187"/>
      <c r="E38" s="187"/>
      <c r="F38" s="187"/>
      <c r="G38" s="187"/>
      <c r="H38" s="102"/>
      <c r="I38" s="95"/>
      <c r="J38" s="95"/>
    </row>
    <row r="39" spans="1:10" x14ac:dyDescent="0.25">
      <c r="A39" s="102"/>
      <c r="B39" s="187"/>
      <c r="C39" s="187"/>
      <c r="D39" s="187"/>
      <c r="E39" s="187"/>
      <c r="F39" s="187"/>
      <c r="G39" s="187"/>
      <c r="H39" s="102"/>
      <c r="I39" s="95"/>
      <c r="J39" s="95"/>
    </row>
    <row r="40" spans="1:10" x14ac:dyDescent="0.25">
      <c r="A40" s="102"/>
      <c r="B40" s="187"/>
      <c r="C40" s="187"/>
      <c r="D40" s="187"/>
      <c r="E40" s="187"/>
      <c r="F40" s="187"/>
      <c r="G40" s="187"/>
      <c r="H40" s="102"/>
      <c r="I40" s="95"/>
      <c r="J40" s="95"/>
    </row>
    <row r="41" spans="1:10" x14ac:dyDescent="0.25">
      <c r="A41" s="102"/>
      <c r="B41" s="187"/>
      <c r="C41" s="187"/>
      <c r="D41" s="187"/>
      <c r="E41" s="187"/>
      <c r="F41" s="187"/>
      <c r="G41" s="187"/>
      <c r="H41" s="102"/>
      <c r="I41" s="95"/>
      <c r="J41" s="95"/>
    </row>
    <row r="42" spans="1:10" x14ac:dyDescent="0.25">
      <c r="A42" s="102"/>
      <c r="B42" s="187"/>
      <c r="C42" s="187"/>
      <c r="D42" s="187"/>
      <c r="E42" s="187"/>
      <c r="F42" s="187"/>
      <c r="G42" s="187"/>
      <c r="H42" s="102"/>
      <c r="I42" s="95"/>
      <c r="J42" s="95"/>
    </row>
    <row r="44" spans="1:10" x14ac:dyDescent="0.25">
      <c r="A44" s="195" t="s">
        <v>43</v>
      </c>
      <c r="B44" s="196"/>
      <c r="C44" s="196"/>
      <c r="D44" s="196"/>
      <c r="E44" s="196"/>
      <c r="F44" s="196"/>
      <c r="G44" s="196"/>
      <c r="H44" s="196"/>
      <c r="I44" s="196"/>
      <c r="J44" s="197"/>
    </row>
    <row r="45" spans="1:10" x14ac:dyDescent="0.25">
      <c r="A45" s="198"/>
      <c r="B45" s="199"/>
      <c r="C45" s="199"/>
      <c r="D45" s="199"/>
      <c r="E45" s="199"/>
      <c r="F45" s="199"/>
      <c r="G45" s="199"/>
      <c r="H45" s="199"/>
      <c r="I45" s="199"/>
      <c r="J45" s="200"/>
    </row>
    <row r="46" spans="1:10" x14ac:dyDescent="0.25">
      <c r="A46" s="198"/>
      <c r="B46" s="199"/>
      <c r="C46" s="199"/>
      <c r="D46" s="199"/>
      <c r="E46" s="199"/>
      <c r="F46" s="199"/>
      <c r="G46" s="199"/>
      <c r="H46" s="199"/>
      <c r="I46" s="199"/>
      <c r="J46" s="200"/>
    </row>
    <row r="47" spans="1:10" x14ac:dyDescent="0.25">
      <c r="A47" s="201"/>
      <c r="B47" s="202"/>
      <c r="C47" s="202"/>
      <c r="D47" s="202"/>
      <c r="E47" s="202"/>
      <c r="F47" s="202"/>
      <c r="G47" s="202"/>
      <c r="H47" s="202"/>
      <c r="I47" s="202"/>
      <c r="J47" s="203"/>
    </row>
    <row r="65" spans="6:6" x14ac:dyDescent="0.25">
      <c r="F65" s="3"/>
    </row>
  </sheetData>
  <mergeCells count="37">
    <mergeCell ref="A44:J47"/>
    <mergeCell ref="B37:G37"/>
    <mergeCell ref="B38:G38"/>
    <mergeCell ref="B39:G39"/>
    <mergeCell ref="B40:G40"/>
    <mergeCell ref="B41:G41"/>
    <mergeCell ref="B42:G42"/>
    <mergeCell ref="B36:G36"/>
    <mergeCell ref="B22:G22"/>
    <mergeCell ref="B23:G23"/>
    <mergeCell ref="B24:G24"/>
    <mergeCell ref="B27:G27"/>
    <mergeCell ref="B28:G28"/>
    <mergeCell ref="B29:G29"/>
    <mergeCell ref="B30:G30"/>
    <mergeCell ref="B31:G31"/>
    <mergeCell ref="B32:G32"/>
    <mergeCell ref="B35:G35"/>
    <mergeCell ref="B21:G21"/>
    <mergeCell ref="B10:G10"/>
    <mergeCell ref="B11:G11"/>
    <mergeCell ref="B12:G12"/>
    <mergeCell ref="B13:G13"/>
    <mergeCell ref="B14:G14"/>
    <mergeCell ref="B15:G15"/>
    <mergeCell ref="B16:G16"/>
    <mergeCell ref="B17:G17"/>
    <mergeCell ref="B18:G18"/>
    <mergeCell ref="B20:G20"/>
    <mergeCell ref="B19:G19"/>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tabSelected="1" topLeftCell="A20"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5" t="str">
        <f>+'Cover Page'!$B$29</f>
        <v>Annual Performance Report 2022</v>
      </c>
      <c r="B1" s="95"/>
      <c r="C1" s="95"/>
      <c r="D1" s="95"/>
      <c r="E1" s="95" t="str">
        <f>+'Cover Page'!$B$33</f>
        <v>Clinitek (Stoke) LLP</v>
      </c>
      <c r="F1" s="95"/>
      <c r="G1" s="95"/>
      <c r="H1" s="95"/>
      <c r="I1" s="95"/>
      <c r="J1" s="95"/>
      <c r="K1" s="95"/>
      <c r="L1" s="95"/>
      <c r="M1" s="95"/>
      <c r="N1" s="95"/>
    </row>
    <row r="3" spans="1:14" ht="15.6" x14ac:dyDescent="0.3">
      <c r="A3" s="51" t="s">
        <v>44</v>
      </c>
      <c r="B3" s="103"/>
      <c r="C3" s="103"/>
      <c r="D3" s="103"/>
      <c r="E3" s="103"/>
      <c r="F3" s="103"/>
      <c r="G3" s="103"/>
      <c r="H3" s="103"/>
      <c r="I3" s="104"/>
      <c r="J3" s="95"/>
      <c r="K3" s="81" t="s">
        <v>2</v>
      </c>
      <c r="L3" s="95"/>
      <c r="M3" s="95"/>
      <c r="N3" s="95"/>
    </row>
    <row r="4" spans="1:14" x14ac:dyDescent="0.25">
      <c r="A4" s="105"/>
      <c r="B4" s="106"/>
      <c r="C4" s="106"/>
      <c r="D4" s="106"/>
      <c r="E4" s="106"/>
      <c r="F4" s="106"/>
      <c r="G4" s="106"/>
      <c r="H4" s="106"/>
      <c r="I4" s="107"/>
      <c r="J4" s="95"/>
      <c r="K4" s="95"/>
      <c r="L4" s="95"/>
      <c r="M4" s="95"/>
      <c r="N4" s="95"/>
    </row>
    <row r="5" spans="1:14" ht="15.75" customHeight="1" x14ac:dyDescent="0.25">
      <c r="A5" s="204" t="s">
        <v>434</v>
      </c>
      <c r="B5" s="205"/>
      <c r="C5" s="205"/>
      <c r="D5" s="205"/>
      <c r="E5" s="205"/>
      <c r="F5" s="205"/>
      <c r="G5" s="205"/>
      <c r="H5" s="205"/>
      <c r="I5" s="206"/>
      <c r="J5" s="95"/>
      <c r="K5" s="221" t="s">
        <v>45</v>
      </c>
      <c r="L5" s="221"/>
      <c r="M5" s="221"/>
      <c r="N5" s="221"/>
    </row>
    <row r="6" spans="1:14" x14ac:dyDescent="0.25">
      <c r="A6" s="207"/>
      <c r="B6" s="208"/>
      <c r="C6" s="208"/>
      <c r="D6" s="208"/>
      <c r="E6" s="208"/>
      <c r="F6" s="208"/>
      <c r="G6" s="208"/>
      <c r="H6" s="208"/>
      <c r="I6" s="209"/>
      <c r="J6" s="95"/>
      <c r="K6" s="221"/>
      <c r="L6" s="221"/>
      <c r="M6" s="221"/>
      <c r="N6" s="221"/>
    </row>
    <row r="7" spans="1:14" x14ac:dyDescent="0.25">
      <c r="A7" s="207"/>
      <c r="B7" s="208"/>
      <c r="C7" s="208"/>
      <c r="D7" s="208"/>
      <c r="E7" s="208"/>
      <c r="F7" s="208"/>
      <c r="G7" s="208"/>
      <c r="H7" s="208"/>
      <c r="I7" s="209"/>
      <c r="J7" s="95"/>
      <c r="K7" s="221"/>
      <c r="L7" s="221"/>
      <c r="M7" s="221"/>
      <c r="N7" s="221"/>
    </row>
    <row r="8" spans="1:14" ht="15.75" customHeight="1" x14ac:dyDescent="0.25">
      <c r="A8" s="207"/>
      <c r="B8" s="208"/>
      <c r="C8" s="208"/>
      <c r="D8" s="208"/>
      <c r="E8" s="208"/>
      <c r="F8" s="208"/>
      <c r="G8" s="208"/>
      <c r="H8" s="208"/>
      <c r="I8" s="209"/>
      <c r="J8" s="95"/>
      <c r="K8" s="221"/>
      <c r="L8" s="221"/>
      <c r="M8" s="221"/>
      <c r="N8" s="221"/>
    </row>
    <row r="9" spans="1:14" x14ac:dyDescent="0.25">
      <c r="A9" s="207"/>
      <c r="B9" s="208"/>
      <c r="C9" s="208"/>
      <c r="D9" s="208"/>
      <c r="E9" s="208"/>
      <c r="F9" s="208"/>
      <c r="G9" s="208"/>
      <c r="H9" s="208"/>
      <c r="I9" s="209"/>
      <c r="J9" s="95"/>
      <c r="K9" s="221"/>
      <c r="L9" s="221"/>
      <c r="M9" s="221"/>
      <c r="N9" s="221"/>
    </row>
    <row r="10" spans="1:14" x14ac:dyDescent="0.25">
      <c r="A10" s="207"/>
      <c r="B10" s="208"/>
      <c r="C10" s="208"/>
      <c r="D10" s="208"/>
      <c r="E10" s="208"/>
      <c r="F10" s="208"/>
      <c r="G10" s="208"/>
      <c r="H10" s="208"/>
      <c r="I10" s="209"/>
      <c r="J10" s="95"/>
      <c r="K10" s="221"/>
      <c r="L10" s="221"/>
      <c r="M10" s="221"/>
      <c r="N10" s="221"/>
    </row>
    <row r="11" spans="1:14" x14ac:dyDescent="0.25">
      <c r="A11" s="207"/>
      <c r="B11" s="208"/>
      <c r="C11" s="208"/>
      <c r="D11" s="208"/>
      <c r="E11" s="208"/>
      <c r="F11" s="208"/>
      <c r="G11" s="208"/>
      <c r="H11" s="208"/>
      <c r="I11" s="209"/>
      <c r="J11" s="95"/>
      <c r="K11" s="221"/>
      <c r="L11" s="221"/>
      <c r="M11" s="221"/>
      <c r="N11" s="221"/>
    </row>
    <row r="12" spans="1:14" x14ac:dyDescent="0.25">
      <c r="A12" s="207"/>
      <c r="B12" s="208"/>
      <c r="C12" s="208"/>
      <c r="D12" s="208"/>
      <c r="E12" s="208"/>
      <c r="F12" s="208"/>
      <c r="G12" s="208"/>
      <c r="H12" s="208"/>
      <c r="I12" s="209"/>
      <c r="J12" s="95"/>
      <c r="K12" s="221"/>
      <c r="L12" s="221"/>
      <c r="M12" s="221"/>
      <c r="N12" s="221"/>
    </row>
    <row r="13" spans="1:14" x14ac:dyDescent="0.25">
      <c r="A13" s="207"/>
      <c r="B13" s="208"/>
      <c r="C13" s="208"/>
      <c r="D13" s="208"/>
      <c r="E13" s="208"/>
      <c r="F13" s="208"/>
      <c r="G13" s="208"/>
      <c r="H13" s="208"/>
      <c r="I13" s="209"/>
      <c r="J13" s="95"/>
      <c r="K13" s="221"/>
      <c r="L13" s="221"/>
      <c r="M13" s="221"/>
      <c r="N13" s="221"/>
    </row>
    <row r="14" spans="1:14" x14ac:dyDescent="0.25">
      <c r="A14" s="207"/>
      <c r="B14" s="208"/>
      <c r="C14" s="208"/>
      <c r="D14" s="208"/>
      <c r="E14" s="208"/>
      <c r="F14" s="208"/>
      <c r="G14" s="208"/>
      <c r="H14" s="208"/>
      <c r="I14" s="209"/>
      <c r="J14" s="95"/>
      <c r="K14" s="221"/>
      <c r="L14" s="221"/>
      <c r="M14" s="221"/>
      <c r="N14" s="221"/>
    </row>
    <row r="15" spans="1:14" x14ac:dyDescent="0.25">
      <c r="A15" s="207"/>
      <c r="B15" s="208"/>
      <c r="C15" s="208"/>
      <c r="D15" s="208"/>
      <c r="E15" s="208"/>
      <c r="F15" s="208"/>
      <c r="G15" s="208"/>
      <c r="H15" s="208"/>
      <c r="I15" s="209"/>
      <c r="J15" s="95"/>
      <c r="K15" s="95"/>
      <c r="L15" s="95"/>
      <c r="M15" s="95"/>
      <c r="N15" s="95"/>
    </row>
    <row r="16" spans="1:14" x14ac:dyDescent="0.25">
      <c r="A16" s="207"/>
      <c r="B16" s="208"/>
      <c r="C16" s="208"/>
      <c r="D16" s="208"/>
      <c r="E16" s="208"/>
      <c r="F16" s="208"/>
      <c r="G16" s="208"/>
      <c r="H16" s="208"/>
      <c r="I16" s="209"/>
      <c r="J16" s="95"/>
      <c r="K16" s="95"/>
      <c r="L16" s="95"/>
      <c r="M16" s="95"/>
      <c r="N16" s="95"/>
    </row>
    <row r="17" spans="1:14" x14ac:dyDescent="0.25">
      <c r="A17" s="207"/>
      <c r="B17" s="208"/>
      <c r="C17" s="208"/>
      <c r="D17" s="208"/>
      <c r="E17" s="208"/>
      <c r="F17" s="208"/>
      <c r="G17" s="208"/>
      <c r="H17" s="208"/>
      <c r="I17" s="209"/>
      <c r="J17" s="95"/>
      <c r="K17" s="95"/>
      <c r="L17" s="95"/>
      <c r="M17" s="95"/>
      <c r="N17" s="95"/>
    </row>
    <row r="18" spans="1:14" x14ac:dyDescent="0.25">
      <c r="A18" s="210"/>
      <c r="B18" s="211"/>
      <c r="C18" s="211"/>
      <c r="D18" s="211"/>
      <c r="E18" s="211"/>
      <c r="F18" s="211"/>
      <c r="G18" s="211"/>
      <c r="H18" s="211"/>
      <c r="I18" s="212"/>
      <c r="J18" s="95"/>
      <c r="K18" s="95"/>
      <c r="L18" s="95"/>
      <c r="M18" s="95"/>
      <c r="N18" s="95"/>
    </row>
    <row r="20" spans="1:14" x14ac:dyDescent="0.25">
      <c r="A20" s="51" t="s">
        <v>46</v>
      </c>
      <c r="B20" s="103"/>
      <c r="C20" s="103"/>
      <c r="D20" s="103"/>
      <c r="E20" s="103"/>
      <c r="F20" s="103"/>
      <c r="G20" s="103"/>
      <c r="H20" s="103"/>
      <c r="I20" s="104"/>
      <c r="J20" s="95"/>
      <c r="K20" s="95"/>
      <c r="L20" s="95"/>
      <c r="M20" s="95"/>
      <c r="N20" s="95"/>
    </row>
    <row r="21" spans="1:14" x14ac:dyDescent="0.25">
      <c r="A21" s="105"/>
      <c r="B21" s="106"/>
      <c r="C21" s="106"/>
      <c r="D21" s="106"/>
      <c r="E21" s="106"/>
      <c r="F21" s="106"/>
      <c r="G21" s="106"/>
      <c r="H21" s="106"/>
      <c r="I21" s="107"/>
      <c r="J21" s="95"/>
      <c r="K21" s="95"/>
      <c r="L21" s="95"/>
      <c r="M21" s="95"/>
      <c r="N21" s="95"/>
    </row>
    <row r="22" spans="1:14" x14ac:dyDescent="0.25">
      <c r="A22" s="204" t="s">
        <v>450</v>
      </c>
      <c r="B22" s="213"/>
      <c r="C22" s="213"/>
      <c r="D22" s="213"/>
      <c r="E22" s="213"/>
      <c r="F22" s="213"/>
      <c r="G22" s="213"/>
      <c r="H22" s="213"/>
      <c r="I22" s="214"/>
      <c r="J22" s="95"/>
      <c r="K22" s="221" t="s">
        <v>47</v>
      </c>
      <c r="L22" s="221"/>
      <c r="M22" s="221"/>
      <c r="N22" s="221"/>
    </row>
    <row r="23" spans="1:14" x14ac:dyDescent="0.25">
      <c r="A23" s="215"/>
      <c r="B23" s="216"/>
      <c r="C23" s="216"/>
      <c r="D23" s="216"/>
      <c r="E23" s="216"/>
      <c r="F23" s="216"/>
      <c r="G23" s="216"/>
      <c r="H23" s="216"/>
      <c r="I23" s="217"/>
      <c r="J23" s="95"/>
      <c r="K23" s="221"/>
      <c r="L23" s="221"/>
      <c r="M23" s="221"/>
      <c r="N23" s="221"/>
    </row>
    <row r="24" spans="1:14" x14ac:dyDescent="0.25">
      <c r="A24" s="215"/>
      <c r="B24" s="216"/>
      <c r="C24" s="216"/>
      <c r="D24" s="216"/>
      <c r="E24" s="216"/>
      <c r="F24" s="216"/>
      <c r="G24" s="216"/>
      <c r="H24" s="216"/>
      <c r="I24" s="217"/>
      <c r="J24" s="95"/>
      <c r="K24" s="221"/>
      <c r="L24" s="221"/>
      <c r="M24" s="221"/>
      <c r="N24" s="221"/>
    </row>
    <row r="25" spans="1:14" x14ac:dyDescent="0.25">
      <c r="A25" s="215"/>
      <c r="B25" s="216"/>
      <c r="C25" s="216"/>
      <c r="D25" s="216"/>
      <c r="E25" s="216"/>
      <c r="F25" s="216"/>
      <c r="G25" s="216"/>
      <c r="H25" s="216"/>
      <c r="I25" s="217"/>
      <c r="J25" s="95"/>
      <c r="K25" s="221"/>
      <c r="L25" s="221"/>
      <c r="M25" s="221"/>
      <c r="N25" s="221"/>
    </row>
    <row r="26" spans="1:14" x14ac:dyDescent="0.25">
      <c r="A26" s="215"/>
      <c r="B26" s="216"/>
      <c r="C26" s="216"/>
      <c r="D26" s="216"/>
      <c r="E26" s="216"/>
      <c r="F26" s="216"/>
      <c r="G26" s="216"/>
      <c r="H26" s="216"/>
      <c r="I26" s="217"/>
      <c r="J26" s="95"/>
      <c r="K26" s="221"/>
      <c r="L26" s="221"/>
      <c r="M26" s="221"/>
      <c r="N26" s="221"/>
    </row>
    <row r="27" spans="1:14" x14ac:dyDescent="0.25">
      <c r="A27" s="215"/>
      <c r="B27" s="216"/>
      <c r="C27" s="216"/>
      <c r="D27" s="216"/>
      <c r="E27" s="216"/>
      <c r="F27" s="216"/>
      <c r="G27" s="216"/>
      <c r="H27" s="216"/>
      <c r="I27" s="217"/>
      <c r="J27" s="95"/>
      <c r="K27" s="221"/>
      <c r="L27" s="221"/>
      <c r="M27" s="221"/>
      <c r="N27" s="221"/>
    </row>
    <row r="28" spans="1:14" x14ac:dyDescent="0.25">
      <c r="A28" s="215"/>
      <c r="B28" s="216"/>
      <c r="C28" s="216"/>
      <c r="D28" s="216"/>
      <c r="E28" s="216"/>
      <c r="F28" s="216"/>
      <c r="G28" s="216"/>
      <c r="H28" s="216"/>
      <c r="I28" s="217"/>
      <c r="J28" s="95"/>
      <c r="K28" s="221"/>
      <c r="L28" s="221"/>
      <c r="M28" s="221"/>
      <c r="N28" s="221"/>
    </row>
    <row r="29" spans="1:14" x14ac:dyDescent="0.25">
      <c r="A29" s="215"/>
      <c r="B29" s="216"/>
      <c r="C29" s="216"/>
      <c r="D29" s="216"/>
      <c r="E29" s="216"/>
      <c r="F29" s="216"/>
      <c r="G29" s="216"/>
      <c r="H29" s="216"/>
      <c r="I29" s="217"/>
      <c r="J29" s="95"/>
      <c r="K29" s="221"/>
      <c r="L29" s="221"/>
      <c r="M29" s="221"/>
      <c r="N29" s="221"/>
    </row>
    <row r="30" spans="1:14" x14ac:dyDescent="0.25">
      <c r="A30" s="215"/>
      <c r="B30" s="216"/>
      <c r="C30" s="216"/>
      <c r="D30" s="216"/>
      <c r="E30" s="216"/>
      <c r="F30" s="216"/>
      <c r="G30" s="216"/>
      <c r="H30" s="216"/>
      <c r="I30" s="217"/>
      <c r="J30" s="95"/>
      <c r="K30" s="221"/>
      <c r="L30" s="221"/>
      <c r="M30" s="221"/>
      <c r="N30" s="221"/>
    </row>
    <row r="31" spans="1:14" x14ac:dyDescent="0.25">
      <c r="A31" s="215"/>
      <c r="B31" s="216"/>
      <c r="C31" s="216"/>
      <c r="D31" s="216"/>
      <c r="E31" s="216"/>
      <c r="F31" s="216"/>
      <c r="G31" s="216"/>
      <c r="H31" s="216"/>
      <c r="I31" s="217"/>
      <c r="J31" s="95"/>
      <c r="K31" s="221"/>
      <c r="L31" s="221"/>
      <c r="M31" s="221"/>
      <c r="N31" s="221"/>
    </row>
    <row r="32" spans="1:14" x14ac:dyDescent="0.25">
      <c r="A32" s="215"/>
      <c r="B32" s="216"/>
      <c r="C32" s="216"/>
      <c r="D32" s="216"/>
      <c r="E32" s="216"/>
      <c r="F32" s="216"/>
      <c r="G32" s="216"/>
      <c r="H32" s="216"/>
      <c r="I32" s="217"/>
      <c r="J32" s="95"/>
      <c r="K32" s="95"/>
      <c r="L32" s="95"/>
      <c r="M32" s="95"/>
      <c r="N32" s="95"/>
    </row>
    <row r="33" spans="1:9" x14ac:dyDescent="0.25">
      <c r="A33" s="215"/>
      <c r="B33" s="216"/>
      <c r="C33" s="216"/>
      <c r="D33" s="216"/>
      <c r="E33" s="216"/>
      <c r="F33" s="216"/>
      <c r="G33" s="216"/>
      <c r="H33" s="216"/>
      <c r="I33" s="217"/>
    </row>
    <row r="34" spans="1:9" x14ac:dyDescent="0.25">
      <c r="A34" s="215"/>
      <c r="B34" s="216"/>
      <c r="C34" s="216"/>
      <c r="D34" s="216"/>
      <c r="E34" s="216"/>
      <c r="F34" s="216"/>
      <c r="G34" s="216"/>
      <c r="H34" s="216"/>
      <c r="I34" s="217"/>
    </row>
    <row r="35" spans="1:9" x14ac:dyDescent="0.25">
      <c r="A35" s="215"/>
      <c r="B35" s="216"/>
      <c r="C35" s="216"/>
      <c r="D35" s="216"/>
      <c r="E35" s="216"/>
      <c r="F35" s="216"/>
      <c r="G35" s="216"/>
      <c r="H35" s="216"/>
      <c r="I35" s="217"/>
    </row>
    <row r="36" spans="1:9" x14ac:dyDescent="0.25">
      <c r="A36" s="215"/>
      <c r="B36" s="216"/>
      <c r="C36" s="216"/>
      <c r="D36" s="216"/>
      <c r="E36" s="216"/>
      <c r="F36" s="216"/>
      <c r="G36" s="216"/>
      <c r="H36" s="216"/>
      <c r="I36" s="217"/>
    </row>
    <row r="37" spans="1:9" x14ac:dyDescent="0.25">
      <c r="A37" s="215"/>
      <c r="B37" s="216"/>
      <c r="C37" s="216"/>
      <c r="D37" s="216"/>
      <c r="E37" s="216"/>
      <c r="F37" s="216"/>
      <c r="G37" s="216"/>
      <c r="H37" s="216"/>
      <c r="I37" s="217"/>
    </row>
    <row r="38" spans="1:9" x14ac:dyDescent="0.25">
      <c r="A38" s="215"/>
      <c r="B38" s="216"/>
      <c r="C38" s="216"/>
      <c r="D38" s="216"/>
      <c r="E38" s="216"/>
      <c r="F38" s="216"/>
      <c r="G38" s="216"/>
      <c r="H38" s="216"/>
      <c r="I38" s="217"/>
    </row>
    <row r="39" spans="1:9" x14ac:dyDescent="0.25">
      <c r="A39" s="215"/>
      <c r="B39" s="216"/>
      <c r="C39" s="216"/>
      <c r="D39" s="216"/>
      <c r="E39" s="216"/>
      <c r="F39" s="216"/>
      <c r="G39" s="216"/>
      <c r="H39" s="216"/>
      <c r="I39" s="217"/>
    </row>
    <row r="40" spans="1:9" ht="14.25" customHeight="1" x14ac:dyDescent="0.25">
      <c r="A40" s="215"/>
      <c r="B40" s="216"/>
      <c r="C40" s="216"/>
      <c r="D40" s="216"/>
      <c r="E40" s="216"/>
      <c r="F40" s="216"/>
      <c r="G40" s="216"/>
      <c r="H40" s="216"/>
      <c r="I40" s="217"/>
    </row>
    <row r="41" spans="1:9" x14ac:dyDescent="0.25">
      <c r="A41" s="215"/>
      <c r="B41" s="216"/>
      <c r="C41" s="216"/>
      <c r="D41" s="216"/>
      <c r="E41" s="216"/>
      <c r="F41" s="216"/>
      <c r="G41" s="216"/>
      <c r="H41" s="216"/>
      <c r="I41" s="217"/>
    </row>
    <row r="42" spans="1:9" x14ac:dyDescent="0.25">
      <c r="A42" s="215"/>
      <c r="B42" s="216"/>
      <c r="C42" s="216"/>
      <c r="D42" s="216"/>
      <c r="E42" s="216"/>
      <c r="F42" s="216"/>
      <c r="G42" s="216"/>
      <c r="H42" s="216"/>
      <c r="I42" s="217"/>
    </row>
    <row r="43" spans="1:9" x14ac:dyDescent="0.25">
      <c r="A43" s="215"/>
      <c r="B43" s="216"/>
      <c r="C43" s="216"/>
      <c r="D43" s="216"/>
      <c r="E43" s="216"/>
      <c r="F43" s="216"/>
      <c r="G43" s="216"/>
      <c r="H43" s="216"/>
      <c r="I43" s="217"/>
    </row>
    <row r="44" spans="1:9" x14ac:dyDescent="0.25">
      <c r="A44" s="215"/>
      <c r="B44" s="216"/>
      <c r="C44" s="216"/>
      <c r="D44" s="216"/>
      <c r="E44" s="216"/>
      <c r="F44" s="216"/>
      <c r="G44" s="216"/>
      <c r="H44" s="216"/>
      <c r="I44" s="217"/>
    </row>
    <row r="45" spans="1:9" x14ac:dyDescent="0.25">
      <c r="A45" s="215"/>
      <c r="B45" s="216"/>
      <c r="C45" s="216"/>
      <c r="D45" s="216"/>
      <c r="E45" s="216"/>
      <c r="F45" s="216"/>
      <c r="G45" s="216"/>
      <c r="H45" s="216"/>
      <c r="I45" s="217"/>
    </row>
    <row r="46" spans="1:9" x14ac:dyDescent="0.25">
      <c r="A46" s="215"/>
      <c r="B46" s="216"/>
      <c r="C46" s="216"/>
      <c r="D46" s="216"/>
      <c r="E46" s="216"/>
      <c r="F46" s="216"/>
      <c r="G46" s="216"/>
      <c r="H46" s="216"/>
      <c r="I46" s="217"/>
    </row>
    <row r="47" spans="1:9" x14ac:dyDescent="0.25">
      <c r="A47" s="215"/>
      <c r="B47" s="216"/>
      <c r="C47" s="216"/>
      <c r="D47" s="216"/>
      <c r="E47" s="216"/>
      <c r="F47" s="216"/>
      <c r="G47" s="216"/>
      <c r="H47" s="216"/>
      <c r="I47" s="217"/>
    </row>
    <row r="48" spans="1:9" x14ac:dyDescent="0.25">
      <c r="A48" s="215"/>
      <c r="B48" s="216"/>
      <c r="C48" s="216"/>
      <c r="D48" s="216"/>
      <c r="E48" s="216"/>
      <c r="F48" s="216"/>
      <c r="G48" s="216"/>
      <c r="H48" s="216"/>
      <c r="I48" s="217"/>
    </row>
    <row r="49" spans="1:9" x14ac:dyDescent="0.25">
      <c r="A49" s="215"/>
      <c r="B49" s="216"/>
      <c r="C49" s="216"/>
      <c r="D49" s="216"/>
      <c r="E49" s="216"/>
      <c r="F49" s="216"/>
      <c r="G49" s="216"/>
      <c r="H49" s="216"/>
      <c r="I49" s="217"/>
    </row>
    <row r="50" spans="1:9" x14ac:dyDescent="0.25">
      <c r="A50" s="215"/>
      <c r="B50" s="216"/>
      <c r="C50" s="216"/>
      <c r="D50" s="216"/>
      <c r="E50" s="216"/>
      <c r="F50" s="216"/>
      <c r="G50" s="216"/>
      <c r="H50" s="216"/>
      <c r="I50" s="217"/>
    </row>
    <row r="51" spans="1:9" x14ac:dyDescent="0.25">
      <c r="A51" s="215"/>
      <c r="B51" s="216"/>
      <c r="C51" s="216"/>
      <c r="D51" s="216"/>
      <c r="E51" s="216"/>
      <c r="F51" s="216"/>
      <c r="G51" s="216"/>
      <c r="H51" s="216"/>
      <c r="I51" s="217"/>
    </row>
    <row r="52" spans="1:9" x14ac:dyDescent="0.25">
      <c r="A52" s="215"/>
      <c r="B52" s="216"/>
      <c r="C52" s="216"/>
      <c r="D52" s="216"/>
      <c r="E52" s="216"/>
      <c r="F52" s="216"/>
      <c r="G52" s="216"/>
      <c r="H52" s="216"/>
      <c r="I52" s="217"/>
    </row>
    <row r="53" spans="1:9" x14ac:dyDescent="0.25">
      <c r="A53" s="215"/>
      <c r="B53" s="216"/>
      <c r="C53" s="216"/>
      <c r="D53" s="216"/>
      <c r="E53" s="216"/>
      <c r="F53" s="216"/>
      <c r="G53" s="216"/>
      <c r="H53" s="216"/>
      <c r="I53" s="217"/>
    </row>
    <row r="54" spans="1:9" x14ac:dyDescent="0.25">
      <c r="A54" s="218"/>
      <c r="B54" s="219"/>
      <c r="C54" s="219"/>
      <c r="D54" s="219"/>
      <c r="E54" s="219"/>
      <c r="F54" s="219"/>
      <c r="G54" s="219"/>
      <c r="H54" s="219"/>
      <c r="I54" s="220"/>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6"/>
  <sheetViews>
    <sheetView showGridLines="0" tabSelected="1" topLeftCell="A46" zoomScaleNormal="100" workbookViewId="0">
      <selection activeCell="B31" sqref="B31:I31"/>
    </sheetView>
  </sheetViews>
  <sheetFormatPr defaultColWidth="9.33203125" defaultRowHeight="15" x14ac:dyDescent="0.25"/>
  <cols>
    <col min="1" max="1" width="28.44140625" style="2" customWidth="1"/>
    <col min="2" max="2" width="8.33203125" style="12" customWidth="1"/>
    <col min="3" max="3" width="9.6640625" style="12" bestFit="1" customWidth="1"/>
    <col min="4" max="5" width="9.6640625" style="12" customWidth="1"/>
    <col min="6" max="6" width="10.5546875" style="12" customWidth="1"/>
    <col min="7" max="7" width="11.33203125" style="15" customWidth="1"/>
    <col min="8" max="8" width="11.5546875" style="16" customWidth="1"/>
    <col min="9" max="10" width="9.33203125" style="2"/>
    <col min="11" max="11" width="38.44140625" style="2" customWidth="1"/>
    <col min="12" max="16384" width="9.33203125" style="2"/>
  </cols>
  <sheetData>
    <row r="1" spans="1:11" x14ac:dyDescent="0.25">
      <c r="A1" s="95" t="str">
        <f>+'Cover Page'!$B$29</f>
        <v>Annual Performance Report 2022</v>
      </c>
      <c r="B1" s="95"/>
      <c r="C1" s="95"/>
      <c r="D1" s="95"/>
      <c r="E1" s="95" t="str">
        <f>+'Cover Page'!$B$33</f>
        <v>Clinitek (Stoke) LLP</v>
      </c>
      <c r="F1" s="95"/>
      <c r="G1" s="95"/>
      <c r="H1" s="95"/>
      <c r="I1" s="95"/>
      <c r="J1" s="95"/>
      <c r="K1" s="95"/>
    </row>
    <row r="3" spans="1:11" ht="15.6" x14ac:dyDescent="0.3">
      <c r="A3" s="1" t="s">
        <v>21</v>
      </c>
      <c r="B3" s="108"/>
      <c r="C3" s="108"/>
      <c r="D3" s="108"/>
      <c r="E3" s="108"/>
      <c r="F3" s="108"/>
      <c r="H3" s="109"/>
      <c r="I3" s="95"/>
      <c r="J3" s="95"/>
      <c r="K3" s="81" t="s">
        <v>2</v>
      </c>
    </row>
    <row r="4" spans="1:11" x14ac:dyDescent="0.25">
      <c r="A4" s="18" t="s">
        <v>48</v>
      </c>
      <c r="B4" s="222">
        <v>16000</v>
      </c>
      <c r="C4" s="222"/>
      <c r="D4" s="20" t="s">
        <v>49</v>
      </c>
      <c r="E4" s="19"/>
      <c r="F4" s="20" t="s">
        <v>50</v>
      </c>
      <c r="G4" s="19"/>
      <c r="H4" s="70" t="s">
        <v>51</v>
      </c>
      <c r="I4" s="95"/>
      <c r="J4" s="95"/>
      <c r="K4" s="17" t="s">
        <v>52</v>
      </c>
    </row>
    <row r="5" spans="1:11" x14ac:dyDescent="0.25">
      <c r="A5" s="21" t="s">
        <v>53</v>
      </c>
      <c r="B5" s="22">
        <v>1</v>
      </c>
      <c r="C5" s="23"/>
      <c r="D5" s="23" t="s">
        <v>54</v>
      </c>
      <c r="E5" s="23"/>
      <c r="F5" s="24">
        <v>2</v>
      </c>
      <c r="G5" s="25"/>
      <c r="H5" s="26"/>
      <c r="I5" s="95"/>
      <c r="J5" s="95"/>
      <c r="K5" s="17" t="s">
        <v>55</v>
      </c>
    </row>
    <row r="6" spans="1:11" x14ac:dyDescent="0.25">
      <c r="A6" s="3"/>
      <c r="B6" s="108"/>
      <c r="C6" s="108"/>
      <c r="D6" s="108"/>
      <c r="E6" s="108"/>
      <c r="F6" s="108"/>
      <c r="H6" s="109"/>
      <c r="I6" s="95"/>
      <c r="J6" s="95"/>
      <c r="K6" s="228" t="s">
        <v>56</v>
      </c>
    </row>
    <row r="7" spans="1:11" x14ac:dyDescent="0.25">
      <c r="A7" s="9" t="s">
        <v>57</v>
      </c>
      <c r="B7" s="110" t="s">
        <v>58</v>
      </c>
      <c r="C7" s="111" t="s">
        <v>59</v>
      </c>
      <c r="D7" s="111" t="s">
        <v>60</v>
      </c>
      <c r="E7" s="111" t="s">
        <v>61</v>
      </c>
      <c r="F7" s="111" t="s">
        <v>62</v>
      </c>
      <c r="G7" s="27" t="s">
        <v>63</v>
      </c>
      <c r="H7" s="112" t="s">
        <v>64</v>
      </c>
      <c r="I7" s="95"/>
      <c r="J7" s="95"/>
      <c r="K7" s="228"/>
    </row>
    <row r="8" spans="1:11" ht="15.75" customHeight="1" x14ac:dyDescent="0.25">
      <c r="A8" s="113" t="s">
        <v>65</v>
      </c>
      <c r="B8" s="223" t="s">
        <v>66</v>
      </c>
      <c r="C8" s="114"/>
      <c r="D8" s="114"/>
      <c r="E8" s="114"/>
      <c r="F8" s="114"/>
      <c r="G8" s="28">
        <f>SUM(C8:F8)</f>
        <v>0</v>
      </c>
      <c r="H8" s="115" t="str">
        <f>IF(G8&gt;0,G8/$G$18,"-")</f>
        <v>-</v>
      </c>
      <c r="I8" s="95"/>
      <c r="J8" s="95"/>
      <c r="K8" s="229" t="s">
        <v>67</v>
      </c>
    </row>
    <row r="9" spans="1:11" x14ac:dyDescent="0.25">
      <c r="A9" s="116" t="s">
        <v>68</v>
      </c>
      <c r="B9" s="224"/>
      <c r="C9" s="117"/>
      <c r="D9" s="117"/>
      <c r="E9" s="117"/>
      <c r="F9" s="117"/>
      <c r="G9" s="89">
        <f t="shared" ref="G9:G17" si="0">SUM(C9:F9)</f>
        <v>0</v>
      </c>
      <c r="H9" s="118" t="str">
        <f>IF(G9&gt;0,G9/$G$18,"-")</f>
        <v>-</v>
      </c>
      <c r="I9" s="95"/>
      <c r="J9" s="95"/>
      <c r="K9" s="229"/>
    </row>
    <row r="10" spans="1:11" x14ac:dyDescent="0.25">
      <c r="A10" s="116" t="s">
        <v>69</v>
      </c>
      <c r="B10" s="224"/>
      <c r="C10" s="117"/>
      <c r="D10" s="117"/>
      <c r="E10" s="117"/>
      <c r="F10" s="117"/>
      <c r="G10" s="89">
        <f t="shared" si="0"/>
        <v>0</v>
      </c>
      <c r="H10" s="118" t="str">
        <f>IF(G10&gt;0,G10/$G$18,"-")</f>
        <v>-</v>
      </c>
      <c r="I10" s="95"/>
      <c r="J10" s="95"/>
      <c r="K10" s="229"/>
    </row>
    <row r="11" spans="1:11" x14ac:dyDescent="0.25">
      <c r="A11" s="116" t="s">
        <v>70</v>
      </c>
      <c r="B11" s="224"/>
      <c r="C11" s="117"/>
      <c r="D11" s="117"/>
      <c r="E11" s="117">
        <v>159.21299999999999</v>
      </c>
      <c r="F11" s="117">
        <v>262.69400000000002</v>
      </c>
      <c r="G11" s="89">
        <f t="shared" ref="G11:G12" si="1">SUM(C11:F11)</f>
        <v>421.90700000000004</v>
      </c>
      <c r="H11" s="118">
        <f>IF(G11&gt;0,G11/$G$18,"-")</f>
        <v>1</v>
      </c>
      <c r="I11" s="95"/>
      <c r="J11" s="95"/>
      <c r="K11" s="229"/>
    </row>
    <row r="12" spans="1:11" s="95" customFormat="1" x14ac:dyDescent="0.25">
      <c r="A12" s="116" t="s">
        <v>444</v>
      </c>
      <c r="B12" s="224"/>
      <c r="C12" s="117">
        <v>0</v>
      </c>
      <c r="D12" s="117">
        <v>0</v>
      </c>
      <c r="E12" s="117">
        <v>0</v>
      </c>
      <c r="F12" s="117">
        <v>0</v>
      </c>
      <c r="G12" s="89">
        <f t="shared" si="1"/>
        <v>0</v>
      </c>
      <c r="H12" s="118" t="str">
        <f t="shared" ref="H12" si="2">IF(G12&gt;0,G12/$G$22,"-")</f>
        <v>-</v>
      </c>
      <c r="I12" s="71"/>
      <c r="K12" s="229"/>
    </row>
    <row r="13" spans="1:11" s="95" customFormat="1" x14ac:dyDescent="0.25">
      <c r="A13" s="116" t="s">
        <v>71</v>
      </c>
      <c r="B13" s="224"/>
      <c r="C13" s="117">
        <v>0</v>
      </c>
      <c r="D13" s="117">
        <v>0</v>
      </c>
      <c r="E13" s="117">
        <v>0</v>
      </c>
      <c r="F13" s="117">
        <v>0</v>
      </c>
      <c r="G13" s="89">
        <f t="shared" si="0"/>
        <v>0</v>
      </c>
      <c r="H13" s="118" t="str">
        <f t="shared" ref="H13:H14" si="3">IF(G13&gt;0,G13/$G$22,"-")</f>
        <v>-</v>
      </c>
      <c r="I13" s="71"/>
      <c r="K13" s="229"/>
    </row>
    <row r="14" spans="1:11" s="95" customFormat="1" x14ac:dyDescent="0.25">
      <c r="A14" s="116" t="s">
        <v>72</v>
      </c>
      <c r="B14" s="224"/>
      <c r="C14" s="117">
        <v>0</v>
      </c>
      <c r="D14" s="117">
        <v>0</v>
      </c>
      <c r="E14" s="117">
        <v>0</v>
      </c>
      <c r="F14" s="117">
        <v>0</v>
      </c>
      <c r="G14" s="89">
        <f t="shared" si="0"/>
        <v>0</v>
      </c>
      <c r="H14" s="118" t="str">
        <f t="shared" si="3"/>
        <v>-</v>
      </c>
      <c r="I14" s="71"/>
      <c r="K14" s="229"/>
    </row>
    <row r="15" spans="1:11" s="95" customFormat="1" x14ac:dyDescent="0.25">
      <c r="A15" s="119" t="s">
        <v>73</v>
      </c>
      <c r="B15" s="224"/>
      <c r="C15" s="117">
        <v>0</v>
      </c>
      <c r="D15" s="117">
        <v>0</v>
      </c>
      <c r="E15" s="117">
        <v>0</v>
      </c>
      <c r="F15" s="117">
        <v>0</v>
      </c>
      <c r="G15" s="89">
        <f t="shared" si="0"/>
        <v>0</v>
      </c>
      <c r="H15" s="118" t="str">
        <f t="shared" ref="H15:H17" si="4">IF(G15&gt;0,G15/$G$19,"-")</f>
        <v>-</v>
      </c>
      <c r="I15" s="71"/>
      <c r="K15" s="229"/>
    </row>
    <row r="16" spans="1:11" s="95" customFormat="1" x14ac:dyDescent="0.25">
      <c r="A16" s="119" t="s">
        <v>73</v>
      </c>
      <c r="B16" s="224"/>
      <c r="C16" s="117">
        <v>0</v>
      </c>
      <c r="D16" s="117">
        <v>0</v>
      </c>
      <c r="E16" s="117">
        <v>0</v>
      </c>
      <c r="F16" s="117">
        <v>0</v>
      </c>
      <c r="G16" s="89">
        <f t="shared" si="0"/>
        <v>0</v>
      </c>
      <c r="H16" s="118" t="str">
        <f t="shared" si="4"/>
        <v>-</v>
      </c>
      <c r="I16" s="71"/>
      <c r="K16" s="229"/>
    </row>
    <row r="17" spans="1:12" s="95" customFormat="1" x14ac:dyDescent="0.25">
      <c r="A17" s="119" t="s">
        <v>73</v>
      </c>
      <c r="B17" s="224"/>
      <c r="C17" s="117">
        <v>0</v>
      </c>
      <c r="D17" s="117">
        <v>0</v>
      </c>
      <c r="E17" s="117">
        <v>0</v>
      </c>
      <c r="F17" s="117">
        <v>0</v>
      </c>
      <c r="G17" s="89">
        <f t="shared" si="0"/>
        <v>0</v>
      </c>
      <c r="H17" s="118" t="str">
        <f t="shared" si="4"/>
        <v>-</v>
      </c>
      <c r="I17" s="71"/>
      <c r="K17" s="229"/>
    </row>
    <row r="18" spans="1:12" x14ac:dyDescent="0.25">
      <c r="A18" s="91" t="s">
        <v>74</v>
      </c>
      <c r="B18" s="224"/>
      <c r="C18" s="89">
        <f>SUM(C8:C17)</f>
        <v>0</v>
      </c>
      <c r="D18" s="89">
        <f>SUM(D8:D17)</f>
        <v>0</v>
      </c>
      <c r="E18" s="89">
        <f>SUM(E8:E17)</f>
        <v>159.21299999999999</v>
      </c>
      <c r="F18" s="89">
        <f>SUM(F8:F17)</f>
        <v>262.69400000000002</v>
      </c>
      <c r="G18" s="89">
        <f>SUM(G8:G17)</f>
        <v>421.90700000000004</v>
      </c>
      <c r="H18" s="120">
        <v>1</v>
      </c>
      <c r="I18" s="95"/>
      <c r="J18" s="95"/>
      <c r="K18" s="229"/>
      <c r="L18" s="95"/>
    </row>
    <row r="19" spans="1:12" x14ac:dyDescent="0.25">
      <c r="A19" s="116" t="s">
        <v>75</v>
      </c>
      <c r="B19" s="224"/>
      <c r="C19" s="117"/>
      <c r="D19" s="117"/>
      <c r="E19" s="117"/>
      <c r="F19" s="117"/>
      <c r="G19" s="89">
        <f t="shared" ref="G19" si="5">SUM(C19:F19)</f>
        <v>0</v>
      </c>
      <c r="H19" s="118" t="str">
        <f t="shared" ref="H19" si="6">IF(G19&gt;0,G19/$G$18,"-")</f>
        <v>-</v>
      </c>
      <c r="I19" s="95"/>
      <c r="J19" s="95"/>
      <c r="K19" s="229"/>
      <c r="L19" s="95"/>
    </row>
    <row r="20" spans="1:12" ht="15" customHeight="1" x14ac:dyDescent="0.25">
      <c r="A20" s="116" t="s">
        <v>76</v>
      </c>
      <c r="B20" s="224"/>
      <c r="C20" s="117"/>
      <c r="D20" s="117"/>
      <c r="E20" s="117"/>
      <c r="F20" s="117"/>
      <c r="G20" s="89">
        <f t="shared" ref="G20" si="7">SUM(C20:F20)</f>
        <v>0</v>
      </c>
      <c r="H20" s="118" t="str">
        <f>IF(G20&gt;0,G20/$G$18,"-")</f>
        <v>-</v>
      </c>
      <c r="I20" s="95"/>
      <c r="J20" s="95"/>
      <c r="K20" s="95"/>
      <c r="L20" s="95"/>
    </row>
    <row r="21" spans="1:12" x14ac:dyDescent="0.25">
      <c r="A21" s="92" t="s">
        <v>77</v>
      </c>
      <c r="B21" s="121"/>
      <c r="C21" s="90">
        <f>C18-SUM(C19:C20)</f>
        <v>0</v>
      </c>
      <c r="D21" s="90">
        <f>D18-SUM(D19:D20)</f>
        <v>0</v>
      </c>
      <c r="E21" s="90">
        <f>E18-SUM(E19:E20)</f>
        <v>159.21299999999999</v>
      </c>
      <c r="F21" s="90">
        <f>F18-SUM(F19:F20)</f>
        <v>262.69400000000002</v>
      </c>
      <c r="G21" s="30">
        <f>SUM(C21:F21)</f>
        <v>421.90700000000004</v>
      </c>
      <c r="H21" s="122">
        <f>IF(G21&gt;0,G21/$G$18,"-")</f>
        <v>1</v>
      </c>
      <c r="I21" s="95"/>
      <c r="J21" s="95"/>
      <c r="K21" s="95"/>
      <c r="L21" s="95"/>
    </row>
    <row r="22" spans="1:12" x14ac:dyDescent="0.25">
      <c r="A22" s="3"/>
      <c r="B22" s="108"/>
      <c r="C22" s="109"/>
      <c r="D22" s="109"/>
      <c r="E22" s="109"/>
      <c r="F22" s="109"/>
      <c r="G22" s="31"/>
      <c r="H22" s="109"/>
      <c r="I22" s="95"/>
      <c r="J22" s="95"/>
      <c r="K22" s="95"/>
      <c r="L22" s="95"/>
    </row>
    <row r="23" spans="1:12" x14ac:dyDescent="0.25">
      <c r="A23" s="9" t="s">
        <v>420</v>
      </c>
      <c r="B23" s="110" t="s">
        <v>58</v>
      </c>
      <c r="C23" s="123" t="s">
        <v>59</v>
      </c>
      <c r="D23" s="123" t="s">
        <v>60</v>
      </c>
      <c r="E23" s="123" t="s">
        <v>61</v>
      </c>
      <c r="F23" s="123" t="s">
        <v>62</v>
      </c>
      <c r="G23" s="32" t="s">
        <v>63</v>
      </c>
      <c r="H23" s="124" t="s">
        <v>78</v>
      </c>
      <c r="I23" s="95"/>
      <c r="J23" s="95"/>
      <c r="K23" s="95"/>
      <c r="L23" s="95"/>
    </row>
    <row r="24" spans="1:12" ht="15" customHeight="1" x14ac:dyDescent="0.25">
      <c r="A24" s="125" t="s">
        <v>79</v>
      </c>
      <c r="B24" s="223" t="s">
        <v>80</v>
      </c>
      <c r="C24" s="114"/>
      <c r="D24" s="114"/>
      <c r="E24" s="114"/>
      <c r="F24" s="114">
        <v>39602</v>
      </c>
      <c r="G24" s="28">
        <f t="shared" ref="G24:G27" si="8">SUM(C24:F24)</f>
        <v>39602</v>
      </c>
      <c r="H24" s="126">
        <f>IF(G24&gt;0,G24*1000/$G$21,"-")</f>
        <v>93864.287627368103</v>
      </c>
      <c r="I24" s="95"/>
      <c r="J24" s="95"/>
      <c r="K24" s="95"/>
      <c r="L24" s="95"/>
    </row>
    <row r="25" spans="1:12" x14ac:dyDescent="0.25">
      <c r="A25" s="127" t="s">
        <v>81</v>
      </c>
      <c r="B25" s="224"/>
      <c r="C25" s="128"/>
      <c r="D25" s="128"/>
      <c r="E25" s="128"/>
      <c r="F25" s="128">
        <v>1.2999999999999999E-2</v>
      </c>
      <c r="G25" s="28">
        <f t="shared" si="8"/>
        <v>1.2999999999999999E-2</v>
      </c>
      <c r="H25" s="129">
        <f>IF(G25&gt;0,G25*1000/$G$21,"-")</f>
        <v>3.0812477631326333E-2</v>
      </c>
      <c r="I25" s="95"/>
      <c r="J25" s="95"/>
      <c r="K25" s="95"/>
      <c r="L25" s="95"/>
    </row>
    <row r="26" spans="1:12" x14ac:dyDescent="0.25">
      <c r="A26" s="127" t="s">
        <v>82</v>
      </c>
      <c r="B26" s="224"/>
      <c r="C26" s="128"/>
      <c r="D26" s="128"/>
      <c r="E26" s="128">
        <v>2278</v>
      </c>
      <c r="F26" s="128">
        <f>F24+F27</f>
        <v>42408</v>
      </c>
      <c r="G26" s="29">
        <f>SUM(C26:F26)</f>
        <v>44686</v>
      </c>
      <c r="H26" s="129">
        <f>IF(G26&gt;0,G26*1000/$G$21,"-")</f>
        <v>105914.33657180372</v>
      </c>
      <c r="I26" s="95"/>
      <c r="J26" s="95"/>
      <c r="K26" s="95"/>
      <c r="L26" s="95"/>
    </row>
    <row r="27" spans="1:12" x14ac:dyDescent="0.25">
      <c r="A27" s="127" t="s">
        <v>83</v>
      </c>
      <c r="B27" s="224"/>
      <c r="C27" s="128"/>
      <c r="D27" s="128"/>
      <c r="E27" s="128">
        <v>2278</v>
      </c>
      <c r="F27" s="128">
        <v>2806</v>
      </c>
      <c r="G27" s="29">
        <f t="shared" si="8"/>
        <v>5084</v>
      </c>
      <c r="H27" s="129">
        <f>IF(G27&gt;0,G27*1000/$G$21,"-")</f>
        <v>12050.048944435621</v>
      </c>
      <c r="I27" s="95"/>
      <c r="J27" s="95"/>
      <c r="K27" s="95"/>
      <c r="L27" s="95"/>
    </row>
    <row r="28" spans="1:12" x14ac:dyDescent="0.25">
      <c r="A28" s="127" t="s">
        <v>84</v>
      </c>
      <c r="B28" s="130" t="s">
        <v>64</v>
      </c>
      <c r="C28" s="131" t="str">
        <f>IF(C24&gt;0,1-C25/(C24+C27),"-")</f>
        <v>-</v>
      </c>
      <c r="D28" s="131" t="str">
        <f>IF(D24&gt;0,1-D25/(D24+D27),"-")</f>
        <v>-</v>
      </c>
      <c r="E28" s="131" t="str">
        <f>IF(E24&gt;0,1-E25/(E24+E27),"-")</f>
        <v>-</v>
      </c>
      <c r="F28" s="131">
        <f>IF(F24&gt;0,1-F25/(F24+F27),"-")</f>
        <v>0.99999969345406525</v>
      </c>
      <c r="G28" s="131">
        <f>IF(G24&gt;0,1-G25/(G24+G27),"-")</f>
        <v>0.99999970908114399</v>
      </c>
      <c r="H28" s="129"/>
      <c r="I28" s="95"/>
      <c r="J28" s="95"/>
      <c r="K28" s="95"/>
      <c r="L28" s="95"/>
    </row>
    <row r="29" spans="1:12" x14ac:dyDescent="0.25">
      <c r="A29" s="127" t="s">
        <v>85</v>
      </c>
      <c r="B29" s="225" t="s">
        <v>80</v>
      </c>
      <c r="C29" s="128"/>
      <c r="D29" s="128"/>
      <c r="E29" s="128"/>
      <c r="F29" s="128"/>
      <c r="G29" s="29">
        <f t="shared" ref="G29:G30" si="9">SUM(C29:F29)</f>
        <v>0</v>
      </c>
      <c r="H29" s="129" t="str">
        <f>IF(G29&gt;0,G29*1000/$G$21,"-")</f>
        <v>-</v>
      </c>
      <c r="I29" s="95"/>
      <c r="J29" s="95"/>
      <c r="K29" s="95"/>
      <c r="L29" s="95"/>
    </row>
    <row r="30" spans="1:12" x14ac:dyDescent="0.25">
      <c r="A30" s="127" t="s">
        <v>86</v>
      </c>
      <c r="B30" s="225"/>
      <c r="C30" s="128"/>
      <c r="D30" s="128"/>
      <c r="E30" s="128"/>
      <c r="F30" s="128"/>
      <c r="G30" s="29">
        <f t="shared" si="9"/>
        <v>0</v>
      </c>
      <c r="H30" s="129" t="str">
        <f>IF(G30&gt;0,G30*1000/$G$21,"-")</f>
        <v>-</v>
      </c>
      <c r="I30" s="95"/>
      <c r="J30" s="95"/>
      <c r="K30" s="17"/>
      <c r="L30" s="17"/>
    </row>
    <row r="31" spans="1:12" x14ac:dyDescent="0.25">
      <c r="A31" s="132" t="s">
        <v>87</v>
      </c>
      <c r="B31" s="133" t="s">
        <v>367</v>
      </c>
      <c r="C31" s="231"/>
      <c r="D31" s="231"/>
      <c r="E31" s="231"/>
      <c r="F31" s="231"/>
      <c r="G31" s="232" t="s">
        <v>88</v>
      </c>
      <c r="H31" s="233"/>
      <c r="I31" s="95"/>
      <c r="J31" s="95"/>
      <c r="K31" s="95"/>
      <c r="L31" s="17"/>
    </row>
    <row r="32" spans="1:12" x14ac:dyDescent="0.25">
      <c r="A32" s="3"/>
      <c r="B32" s="108"/>
      <c r="C32" s="109"/>
      <c r="D32" s="109"/>
      <c r="E32" s="109"/>
      <c r="F32" s="109"/>
      <c r="G32" s="31"/>
      <c r="H32" s="109"/>
      <c r="I32" s="95"/>
      <c r="J32" s="95"/>
      <c r="K32" s="95"/>
      <c r="L32" s="17"/>
    </row>
    <row r="33" spans="1:12" x14ac:dyDescent="0.25">
      <c r="A33" s="9" t="s">
        <v>89</v>
      </c>
      <c r="B33" s="134" t="s">
        <v>58</v>
      </c>
      <c r="C33" s="123" t="s">
        <v>59</v>
      </c>
      <c r="D33" s="123" t="s">
        <v>60</v>
      </c>
      <c r="E33" s="123" t="s">
        <v>61</v>
      </c>
      <c r="F33" s="123" t="s">
        <v>62</v>
      </c>
      <c r="G33" s="32" t="s">
        <v>63</v>
      </c>
      <c r="H33" s="135" t="s">
        <v>90</v>
      </c>
      <c r="I33" s="95"/>
      <c r="J33" s="95"/>
      <c r="K33" s="95"/>
      <c r="L33" s="17"/>
    </row>
    <row r="34" spans="1:12" ht="15" customHeight="1" x14ac:dyDescent="0.25">
      <c r="A34" s="125" t="s">
        <v>91</v>
      </c>
      <c r="B34" s="223" t="s">
        <v>66</v>
      </c>
      <c r="C34" s="114">
        <v>0</v>
      </c>
      <c r="D34" s="114">
        <v>0</v>
      </c>
      <c r="E34" s="114">
        <v>0</v>
      </c>
      <c r="F34" s="114">
        <v>14.4</v>
      </c>
      <c r="G34" s="28">
        <f t="shared" ref="G34:G35" si="10">SUM(C34:F34)</f>
        <v>14.4</v>
      </c>
      <c r="H34" s="115">
        <f>IF(G34&gt;0,G34/$G$21,"-")</f>
        <v>3.4130744453161478E-2</v>
      </c>
      <c r="I34" s="95"/>
      <c r="J34" s="95"/>
      <c r="K34" s="17"/>
      <c r="L34" s="17"/>
    </row>
    <row r="35" spans="1:12" ht="15" customHeight="1" x14ac:dyDescent="0.25">
      <c r="A35" s="127" t="s">
        <v>92</v>
      </c>
      <c r="B35" s="224"/>
      <c r="C35" s="117">
        <v>0</v>
      </c>
      <c r="D35" s="117">
        <v>0</v>
      </c>
      <c r="E35" s="117">
        <v>0</v>
      </c>
      <c r="F35" s="117">
        <v>15.94</v>
      </c>
      <c r="G35" s="89">
        <f t="shared" si="10"/>
        <v>15.94</v>
      </c>
      <c r="H35" s="118">
        <f>IF(G35&gt;0,G35/$G$21,"-")</f>
        <v>3.7780837957180131E-2</v>
      </c>
      <c r="I35" s="95"/>
      <c r="J35" s="95"/>
      <c r="K35" s="17" t="s">
        <v>419</v>
      </c>
      <c r="L35" s="17"/>
    </row>
    <row r="36" spans="1:12" ht="15" customHeight="1" x14ac:dyDescent="0.25">
      <c r="A36" s="127" t="s">
        <v>93</v>
      </c>
      <c r="B36" s="224"/>
      <c r="C36" s="117">
        <v>0</v>
      </c>
      <c r="D36" s="117">
        <v>0</v>
      </c>
      <c r="E36" s="117"/>
      <c r="F36" s="117"/>
      <c r="G36" s="89">
        <f t="shared" ref="G36" si="11">SUM(C36:F36)</f>
        <v>0</v>
      </c>
      <c r="H36" s="118" t="str">
        <f>IF(G36&gt;0,G36/$G$21,"-")</f>
        <v>-</v>
      </c>
      <c r="I36" s="95"/>
      <c r="J36" s="95"/>
      <c r="K36" s="95"/>
      <c r="L36" s="95"/>
    </row>
    <row r="37" spans="1:12" x14ac:dyDescent="0.25">
      <c r="A37" s="136" t="s">
        <v>382</v>
      </c>
      <c r="B37" s="230"/>
      <c r="C37" s="137">
        <v>0</v>
      </c>
      <c r="D37" s="137">
        <v>0</v>
      </c>
      <c r="E37" s="137">
        <v>0</v>
      </c>
      <c r="F37" s="137">
        <v>35.840000000000003</v>
      </c>
      <c r="G37" s="30">
        <f>SUM(C37:F37)</f>
        <v>35.840000000000003</v>
      </c>
      <c r="H37" s="122">
        <f>IF(G37&gt;0,G37/$G$21,"-")</f>
        <v>8.4947630638979685E-2</v>
      </c>
      <c r="I37" s="95"/>
      <c r="J37" s="95"/>
      <c r="K37" s="95"/>
      <c r="L37" s="95"/>
    </row>
    <row r="38" spans="1:12" x14ac:dyDescent="0.25">
      <c r="A38" s="108"/>
      <c r="B38" s="108"/>
      <c r="C38" s="109"/>
      <c r="D38" s="109"/>
      <c r="E38" s="109"/>
      <c r="F38" s="109"/>
      <c r="G38" s="31"/>
      <c r="H38" s="109"/>
      <c r="I38" s="95"/>
      <c r="J38" s="95"/>
      <c r="K38" s="95"/>
      <c r="L38" s="95"/>
    </row>
    <row r="39" spans="1:12" x14ac:dyDescent="0.25">
      <c r="A39" s="9" t="s">
        <v>94</v>
      </c>
      <c r="B39" s="138" t="s">
        <v>58</v>
      </c>
      <c r="C39" s="111" t="s">
        <v>59</v>
      </c>
      <c r="D39" s="111" t="s">
        <v>60</v>
      </c>
      <c r="E39" s="111" t="s">
        <v>61</v>
      </c>
      <c r="F39" s="111" t="s">
        <v>62</v>
      </c>
      <c r="G39" s="27" t="s">
        <v>63</v>
      </c>
      <c r="H39" s="112" t="s">
        <v>95</v>
      </c>
      <c r="I39" s="95"/>
      <c r="J39" s="95"/>
      <c r="K39" s="95"/>
      <c r="L39" s="95"/>
    </row>
    <row r="40" spans="1:12" ht="15.6" customHeight="1" x14ac:dyDescent="0.25">
      <c r="A40" s="125" t="s">
        <v>96</v>
      </c>
      <c r="B40" s="130" t="s">
        <v>97</v>
      </c>
      <c r="C40" s="114"/>
      <c r="D40" s="114"/>
      <c r="E40" s="114">
        <v>255.66</v>
      </c>
      <c r="F40" s="114">
        <v>455.66</v>
      </c>
      <c r="G40" s="28">
        <f t="shared" ref="G40:G48" si="12">SUM(C40:F40)</f>
        <v>711.32</v>
      </c>
      <c r="H40" s="139">
        <f>IF(G40&gt;0,G40/$G$21,"-")</f>
        <v>1.6859639683626959</v>
      </c>
      <c r="I40" s="95"/>
      <c r="J40" s="95"/>
      <c r="K40" s="95"/>
      <c r="L40" s="95"/>
    </row>
    <row r="41" spans="1:12" x14ac:dyDescent="0.25">
      <c r="A41" s="127" t="s">
        <v>98</v>
      </c>
      <c r="B41" s="130" t="s">
        <v>97</v>
      </c>
      <c r="C41" s="128"/>
      <c r="D41" s="128"/>
      <c r="E41" s="128"/>
      <c r="F41" s="128"/>
      <c r="G41" s="29">
        <f t="shared" si="12"/>
        <v>0</v>
      </c>
      <c r="H41" s="139" t="str">
        <f t="shared" ref="H41:H46" si="13">IF(G41&gt;0,G41/$G$21,"-")</f>
        <v>-</v>
      </c>
      <c r="I41" s="95"/>
      <c r="J41" s="95"/>
      <c r="K41" s="95"/>
      <c r="L41" s="95"/>
    </row>
    <row r="42" spans="1:12" ht="15.6" customHeight="1" x14ac:dyDescent="0.25">
      <c r="A42" s="127" t="s">
        <v>99</v>
      </c>
      <c r="B42" s="130" t="s">
        <v>100</v>
      </c>
      <c r="C42" s="128"/>
      <c r="D42" s="128"/>
      <c r="E42" s="128">
        <v>0</v>
      </c>
      <c r="F42" s="12">
        <v>0</v>
      </c>
      <c r="G42" s="29">
        <f>SUM(C42:F42)</f>
        <v>0</v>
      </c>
      <c r="H42" s="139" t="str">
        <f t="shared" si="13"/>
        <v>-</v>
      </c>
      <c r="I42" s="95"/>
      <c r="J42" s="95"/>
      <c r="K42" s="95"/>
      <c r="L42" s="95"/>
    </row>
    <row r="43" spans="1:12" ht="15.6" customHeight="1" x14ac:dyDescent="0.25">
      <c r="A43" s="127" t="s">
        <v>101</v>
      </c>
      <c r="B43" s="130" t="s">
        <v>100</v>
      </c>
      <c r="C43" s="128"/>
      <c r="D43" s="128"/>
      <c r="E43" s="171">
        <v>1393</v>
      </c>
      <c r="F43" s="172">
        <v>1393</v>
      </c>
      <c r="G43" s="29">
        <f t="shared" ref="G43" si="14">SUM(C43:F43)</f>
        <v>2786</v>
      </c>
      <c r="H43" s="139">
        <f t="shared" si="13"/>
        <v>6.6033509754519351</v>
      </c>
      <c r="I43" s="95"/>
      <c r="J43" s="95"/>
      <c r="K43" s="95"/>
      <c r="L43" s="95"/>
    </row>
    <row r="44" spans="1:12" x14ac:dyDescent="0.25">
      <c r="A44" s="127" t="s">
        <v>102</v>
      </c>
      <c r="B44" s="130" t="s">
        <v>100</v>
      </c>
      <c r="C44" s="128"/>
      <c r="D44" s="128"/>
      <c r="E44" s="128">
        <v>250</v>
      </c>
      <c r="F44" s="128">
        <v>2950</v>
      </c>
      <c r="G44" s="29">
        <f t="shared" si="12"/>
        <v>3200</v>
      </c>
      <c r="H44" s="139">
        <f t="shared" si="13"/>
        <v>7.584609878480328</v>
      </c>
      <c r="I44" s="95"/>
      <c r="J44" s="95"/>
      <c r="K44" s="95"/>
      <c r="L44" s="95"/>
    </row>
    <row r="45" spans="1:12" x14ac:dyDescent="0.25">
      <c r="A45" s="127" t="s">
        <v>103</v>
      </c>
      <c r="B45" s="130" t="s">
        <v>100</v>
      </c>
      <c r="C45" s="128"/>
      <c r="D45" s="128"/>
      <c r="E45" s="128"/>
      <c r="F45" s="128"/>
      <c r="G45" s="29">
        <f t="shared" si="12"/>
        <v>0</v>
      </c>
      <c r="H45" s="139" t="str">
        <f t="shared" si="13"/>
        <v>-</v>
      </c>
      <c r="I45" s="95"/>
      <c r="J45" s="95"/>
      <c r="K45" s="95"/>
      <c r="L45" s="95"/>
    </row>
    <row r="46" spans="1:12" x14ac:dyDescent="0.25">
      <c r="A46" s="127" t="s">
        <v>104</v>
      </c>
      <c r="B46" s="130" t="s">
        <v>97</v>
      </c>
      <c r="C46" s="128"/>
      <c r="D46" s="128"/>
      <c r="E46" s="128"/>
      <c r="F46" s="128"/>
      <c r="G46" s="29">
        <f t="shared" si="12"/>
        <v>0</v>
      </c>
      <c r="H46" s="139" t="str">
        <f t="shared" si="13"/>
        <v>-</v>
      </c>
      <c r="I46" s="95"/>
      <c r="J46" s="95"/>
      <c r="K46" s="95"/>
      <c r="L46" s="95"/>
    </row>
    <row r="47" spans="1:12" x14ac:dyDescent="0.25">
      <c r="A47" s="127" t="s">
        <v>105</v>
      </c>
      <c r="B47" s="130" t="s">
        <v>106</v>
      </c>
      <c r="C47" s="128">
        <v>0</v>
      </c>
      <c r="D47" s="128">
        <v>0</v>
      </c>
      <c r="E47" s="169">
        <v>1948522.1</v>
      </c>
      <c r="F47" s="169">
        <v>12254189.4</v>
      </c>
      <c r="G47" s="29">
        <f t="shared" si="12"/>
        <v>14202711.5</v>
      </c>
      <c r="H47" s="140"/>
      <c r="I47" s="95"/>
      <c r="J47" s="95"/>
    </row>
    <row r="48" spans="1:12" x14ac:dyDescent="0.25">
      <c r="A48" s="132" t="s">
        <v>422</v>
      </c>
      <c r="B48" s="141" t="s">
        <v>100</v>
      </c>
      <c r="C48" s="137">
        <v>0</v>
      </c>
      <c r="D48" s="137">
        <v>0</v>
      </c>
      <c r="E48" s="137">
        <v>7400</v>
      </c>
      <c r="F48" s="137">
        <v>16000</v>
      </c>
      <c r="G48" s="30">
        <f t="shared" si="12"/>
        <v>23400</v>
      </c>
      <c r="H48" s="142"/>
      <c r="I48" s="95"/>
      <c r="J48" s="95"/>
    </row>
    <row r="49" spans="1:10" x14ac:dyDescent="0.25">
      <c r="A49" s="108"/>
      <c r="B49" s="108"/>
      <c r="C49" s="109"/>
      <c r="D49" s="109"/>
      <c r="E49" s="109"/>
      <c r="F49" s="109"/>
      <c r="G49" s="31"/>
      <c r="H49" s="109"/>
      <c r="I49" s="95"/>
      <c r="J49" s="95"/>
    </row>
    <row r="50" spans="1:10" x14ac:dyDescent="0.25">
      <c r="A50" s="9" t="s">
        <v>107</v>
      </c>
      <c r="B50" s="143" t="s">
        <v>108</v>
      </c>
      <c r="C50" s="123" t="s">
        <v>59</v>
      </c>
      <c r="D50" s="123" t="s">
        <v>60</v>
      </c>
      <c r="E50" s="123" t="s">
        <v>61</v>
      </c>
      <c r="F50" s="123" t="s">
        <v>62</v>
      </c>
      <c r="G50" s="32" t="s">
        <v>63</v>
      </c>
      <c r="H50" s="124"/>
      <c r="I50" s="95"/>
      <c r="J50" s="86" t="s">
        <v>109</v>
      </c>
    </row>
    <row r="51" spans="1:10" ht="14.25" customHeight="1" x14ac:dyDescent="0.25">
      <c r="A51" s="226" t="s">
        <v>110</v>
      </c>
      <c r="B51" s="123">
        <f>+B5</f>
        <v>1</v>
      </c>
      <c r="C51" s="114"/>
      <c r="D51" s="114"/>
      <c r="E51" s="114">
        <v>195</v>
      </c>
      <c r="F51" s="114">
        <v>426.5</v>
      </c>
      <c r="G51" s="28">
        <f t="shared" ref="G51:G63" si="15">SUM(C51:F51)</f>
        <v>621.5</v>
      </c>
      <c r="H51" s="115" t="s">
        <v>111</v>
      </c>
      <c r="I51" s="95"/>
      <c r="J51" s="88">
        <v>622</v>
      </c>
    </row>
    <row r="52" spans="1:10" ht="14.25" customHeight="1" x14ac:dyDescent="0.25">
      <c r="A52" s="227"/>
      <c r="B52" s="109">
        <v>2</v>
      </c>
      <c r="C52" s="117"/>
      <c r="D52" s="117"/>
      <c r="E52" s="117"/>
      <c r="F52" s="117"/>
      <c r="G52" s="29">
        <f t="shared" si="15"/>
        <v>0</v>
      </c>
      <c r="H52" s="118" t="s">
        <v>112</v>
      </c>
      <c r="I52" s="95"/>
      <c r="J52" s="95"/>
    </row>
    <row r="53" spans="1:10" ht="14.25" customHeight="1" x14ac:dyDescent="0.25">
      <c r="A53" s="227"/>
      <c r="B53" s="109">
        <v>3</v>
      </c>
      <c r="C53" s="117"/>
      <c r="D53" s="117"/>
      <c r="E53" s="117"/>
      <c r="F53" s="117"/>
      <c r="G53" s="29">
        <f t="shared" si="15"/>
        <v>0</v>
      </c>
      <c r="H53" s="118" t="s">
        <v>112</v>
      </c>
      <c r="I53" s="95"/>
      <c r="J53" s="95"/>
    </row>
    <row r="54" spans="1:10" ht="14.25" customHeight="1" x14ac:dyDescent="0.25">
      <c r="A54" s="227"/>
      <c r="B54" s="109">
        <v>4</v>
      </c>
      <c r="C54" s="117"/>
      <c r="D54" s="117"/>
      <c r="E54" s="117"/>
      <c r="F54" s="117"/>
      <c r="G54" s="29">
        <f t="shared" si="15"/>
        <v>0</v>
      </c>
      <c r="H54" s="118" t="s">
        <v>112</v>
      </c>
      <c r="I54" s="95"/>
      <c r="J54" s="95"/>
    </row>
    <row r="55" spans="1:10" ht="14.25" customHeight="1" x14ac:dyDescent="0.25">
      <c r="A55" s="227"/>
      <c r="B55" s="109">
        <v>5</v>
      </c>
      <c r="C55" s="117"/>
      <c r="D55" s="117"/>
      <c r="E55" s="117"/>
      <c r="F55" s="117"/>
      <c r="G55" s="29">
        <f t="shared" ref="G55" si="16">SUM(C55:F55)</f>
        <v>0</v>
      </c>
      <c r="H55" s="118" t="s">
        <v>112</v>
      </c>
      <c r="I55" s="95"/>
      <c r="J55" s="95"/>
    </row>
    <row r="56" spans="1:10" ht="14.25" customHeight="1" x14ac:dyDescent="0.25">
      <c r="A56" s="127" t="s">
        <v>113</v>
      </c>
      <c r="B56" s="109"/>
      <c r="C56" s="117"/>
      <c r="D56" s="117"/>
      <c r="E56" s="117">
        <v>195</v>
      </c>
      <c r="F56" s="117">
        <v>426.5</v>
      </c>
      <c r="G56" s="29">
        <f>AVERAGE(G51:G55)</f>
        <v>124.3</v>
      </c>
      <c r="H56" s="87">
        <f>G56/J51</f>
        <v>0.19983922829581993</v>
      </c>
      <c r="I56" s="95"/>
      <c r="J56" s="95"/>
    </row>
    <row r="57" spans="1:10" ht="14.25" customHeight="1" x14ac:dyDescent="0.25">
      <c r="A57" s="127" t="s">
        <v>114</v>
      </c>
      <c r="B57" s="109">
        <v>1</v>
      </c>
      <c r="C57" s="117"/>
      <c r="D57" s="117"/>
      <c r="E57" s="117"/>
      <c r="F57" s="117">
        <v>190</v>
      </c>
      <c r="G57" s="29">
        <f t="shared" si="15"/>
        <v>190</v>
      </c>
      <c r="H57" s="118" t="s">
        <v>112</v>
      </c>
      <c r="I57" s="95"/>
      <c r="J57" s="95"/>
    </row>
    <row r="58" spans="1:10" x14ac:dyDescent="0.25">
      <c r="A58" s="127" t="s">
        <v>114</v>
      </c>
      <c r="B58" s="109">
        <v>2</v>
      </c>
      <c r="C58" s="128"/>
      <c r="D58" s="128"/>
      <c r="E58" s="128"/>
      <c r="F58" s="128">
        <v>134</v>
      </c>
      <c r="G58" s="29">
        <f t="shared" si="15"/>
        <v>134</v>
      </c>
      <c r="H58" s="118" t="s">
        <v>112</v>
      </c>
      <c r="I58" s="95"/>
      <c r="J58" s="95"/>
    </row>
    <row r="59" spans="1:10" x14ac:dyDescent="0.25">
      <c r="A59" s="127" t="s">
        <v>115</v>
      </c>
      <c r="B59" s="109"/>
      <c r="C59" s="128"/>
      <c r="D59" s="128"/>
      <c r="E59" s="128"/>
      <c r="F59" s="128"/>
      <c r="G59" s="29">
        <f t="shared" si="15"/>
        <v>0</v>
      </c>
      <c r="H59" s="118" t="str">
        <f>IF(B59&gt;0,G58/J51,"n/a")</f>
        <v>n/a</v>
      </c>
      <c r="I59" s="95"/>
      <c r="J59" s="95"/>
    </row>
    <row r="60" spans="1:10" x14ac:dyDescent="0.25">
      <c r="A60" s="127" t="s">
        <v>116</v>
      </c>
      <c r="B60" s="109" t="s">
        <v>117</v>
      </c>
      <c r="C60" s="128"/>
      <c r="D60" s="128"/>
      <c r="E60" s="128"/>
      <c r="F60" s="128"/>
      <c r="G60" s="29"/>
      <c r="H60" s="144" t="s">
        <v>118</v>
      </c>
      <c r="I60" s="95"/>
      <c r="J60" s="95"/>
    </row>
    <row r="61" spans="1:10" x14ac:dyDescent="0.25">
      <c r="A61" s="127" t="s">
        <v>119</v>
      </c>
      <c r="B61" s="109" t="s">
        <v>120</v>
      </c>
      <c r="C61" s="128"/>
      <c r="D61" s="128"/>
      <c r="E61" s="128"/>
      <c r="F61" s="128"/>
      <c r="G61" s="29">
        <f t="shared" si="15"/>
        <v>0</v>
      </c>
      <c r="H61" s="129" t="str">
        <f>IF(G61&gt;0,"yes","no")</f>
        <v>no</v>
      </c>
      <c r="I61" s="95"/>
      <c r="J61" s="95"/>
    </row>
    <row r="62" spans="1:10" x14ac:dyDescent="0.25">
      <c r="A62" s="127" t="s">
        <v>121</v>
      </c>
      <c r="B62" s="109" t="s">
        <v>122</v>
      </c>
      <c r="C62" s="128"/>
      <c r="D62" s="128"/>
      <c r="E62" s="128"/>
      <c r="F62" s="128">
        <v>2.5</v>
      </c>
      <c r="G62" s="29">
        <f t="shared" si="15"/>
        <v>2.5</v>
      </c>
      <c r="H62" s="145">
        <f>+(G62)/J51</f>
        <v>4.0192926045016075E-3</v>
      </c>
      <c r="I62" s="95"/>
      <c r="J62" s="95"/>
    </row>
    <row r="63" spans="1:10" x14ac:dyDescent="0.25">
      <c r="A63" s="132" t="s">
        <v>123</v>
      </c>
      <c r="B63" s="146" t="s">
        <v>120</v>
      </c>
      <c r="C63" s="137"/>
      <c r="D63" s="137"/>
      <c r="E63" s="137">
        <v>4</v>
      </c>
      <c r="F63" s="137">
        <v>5</v>
      </c>
      <c r="G63" s="30">
        <f t="shared" si="15"/>
        <v>9</v>
      </c>
      <c r="H63" s="147" t="str">
        <f>IF(G63&gt;0,"yes","no")</f>
        <v>yes</v>
      </c>
    </row>
    <row r="76" spans="1:8" x14ac:dyDescent="0.25">
      <c r="A76" s="95"/>
      <c r="B76" s="108"/>
      <c r="C76" s="108"/>
      <c r="D76" s="108"/>
      <c r="E76" s="108"/>
      <c r="F76" s="3"/>
      <c r="H76" s="109"/>
    </row>
  </sheetData>
  <mergeCells count="10">
    <mergeCell ref="K6:K7"/>
    <mergeCell ref="K8:K19"/>
    <mergeCell ref="B34:B37"/>
    <mergeCell ref="C31:F31"/>
    <mergeCell ref="G31:H31"/>
    <mergeCell ref="B4:C4"/>
    <mergeCell ref="B8:B20"/>
    <mergeCell ref="B24:B27"/>
    <mergeCell ref="B29:B30"/>
    <mergeCell ref="A51:A55"/>
  </mergeCells>
  <phoneticPr fontId="25" type="noConversion"/>
  <pageMargins left="0.7" right="0.7" top="0.75" bottom="0.75" header="0.3" footer="0.3"/>
  <pageSetup paperSize="9" scale="87" orientation="portrait" r:id="rId1"/>
  <headerFooter scaleWithDoc="0">
    <oddFooter>&amp;C&amp;"Arial,Regular"Page &amp;P</oddFooter>
  </headerFooter>
  <ignoredErrors>
    <ignoredError sqref="G57:G58 G52:G5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tabSelected="1"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5" t="str">
        <f>+'Cover Page'!$B$29</f>
        <v>Annual Performance Report 2022</v>
      </c>
      <c r="B1" s="95"/>
      <c r="C1" s="95"/>
      <c r="D1" s="95"/>
      <c r="E1" s="95" t="str">
        <f>+'Cover Page'!$B$33</f>
        <v>Clinitek (Stoke) LLP</v>
      </c>
      <c r="F1" s="95"/>
      <c r="G1" s="95"/>
      <c r="H1" s="95"/>
      <c r="I1" s="95"/>
      <c r="J1" s="95"/>
      <c r="K1" s="95"/>
      <c r="L1" s="95"/>
      <c r="M1" s="95"/>
      <c r="N1" s="95"/>
    </row>
    <row r="3" spans="1:14" ht="15.6" x14ac:dyDescent="0.3">
      <c r="A3" s="51" t="s">
        <v>124</v>
      </c>
      <c r="B3" s="103"/>
      <c r="C3" s="103"/>
      <c r="D3" s="103"/>
      <c r="E3" s="103"/>
      <c r="F3" s="103"/>
      <c r="G3" s="103"/>
      <c r="H3" s="103"/>
      <c r="I3" s="104"/>
      <c r="J3" s="95"/>
      <c r="K3" s="81" t="s">
        <v>2</v>
      </c>
      <c r="L3" s="95"/>
      <c r="M3" s="95"/>
      <c r="N3" s="95"/>
    </row>
    <row r="4" spans="1:14" x14ac:dyDescent="0.25">
      <c r="A4" s="105"/>
      <c r="B4" s="106"/>
      <c r="C4" s="106"/>
      <c r="D4" s="106"/>
      <c r="E4" s="106"/>
      <c r="F4" s="106"/>
      <c r="G4" s="106"/>
      <c r="H4" s="106"/>
      <c r="I4" s="107"/>
      <c r="J4" s="95"/>
      <c r="K4" s="95"/>
      <c r="L4" s="95"/>
      <c r="M4" s="95"/>
      <c r="N4" s="95"/>
    </row>
    <row r="5" spans="1:14" ht="15.75" customHeight="1" x14ac:dyDescent="0.25">
      <c r="A5" s="204" t="s">
        <v>457</v>
      </c>
      <c r="B5" s="205"/>
      <c r="C5" s="205"/>
      <c r="D5" s="205"/>
      <c r="E5" s="205"/>
      <c r="F5" s="205"/>
      <c r="G5" s="205"/>
      <c r="H5" s="205"/>
      <c r="I5" s="206"/>
      <c r="J5" s="95"/>
      <c r="K5" s="221" t="s">
        <v>125</v>
      </c>
      <c r="L5" s="221"/>
      <c r="M5" s="221"/>
      <c r="N5" s="221"/>
    </row>
    <row r="6" spans="1:14" x14ac:dyDescent="0.25">
      <c r="A6" s="207"/>
      <c r="B6" s="208"/>
      <c r="C6" s="208"/>
      <c r="D6" s="208"/>
      <c r="E6" s="208"/>
      <c r="F6" s="208"/>
      <c r="G6" s="208"/>
      <c r="H6" s="208"/>
      <c r="I6" s="209"/>
      <c r="J6" s="95"/>
      <c r="K6" s="221"/>
      <c r="L6" s="221"/>
      <c r="M6" s="221"/>
      <c r="N6" s="221"/>
    </row>
    <row r="7" spans="1:14" x14ac:dyDescent="0.25">
      <c r="A7" s="207"/>
      <c r="B7" s="208"/>
      <c r="C7" s="208"/>
      <c r="D7" s="208"/>
      <c r="E7" s="208"/>
      <c r="F7" s="208"/>
      <c r="G7" s="208"/>
      <c r="H7" s="208"/>
      <c r="I7" s="209"/>
      <c r="J7" s="95"/>
      <c r="K7" s="221"/>
      <c r="L7" s="221"/>
      <c r="M7" s="221"/>
      <c r="N7" s="221"/>
    </row>
    <row r="8" spans="1:14" ht="15.75" customHeight="1" x14ac:dyDescent="0.25">
      <c r="A8" s="207"/>
      <c r="B8" s="208"/>
      <c r="C8" s="208"/>
      <c r="D8" s="208"/>
      <c r="E8" s="208"/>
      <c r="F8" s="208"/>
      <c r="G8" s="208"/>
      <c r="H8" s="208"/>
      <c r="I8" s="209"/>
      <c r="J8" s="95"/>
      <c r="K8" s="221"/>
      <c r="L8" s="221"/>
      <c r="M8" s="221"/>
      <c r="N8" s="221"/>
    </row>
    <row r="9" spans="1:14" ht="15.75" customHeight="1" x14ac:dyDescent="0.25">
      <c r="A9" s="207"/>
      <c r="B9" s="208"/>
      <c r="C9" s="208"/>
      <c r="D9" s="208"/>
      <c r="E9" s="208"/>
      <c r="F9" s="208"/>
      <c r="G9" s="208"/>
      <c r="H9" s="208"/>
      <c r="I9" s="209"/>
      <c r="J9" s="95"/>
      <c r="K9" s="221"/>
      <c r="L9" s="221"/>
      <c r="M9" s="221"/>
      <c r="N9" s="221"/>
    </row>
    <row r="10" spans="1:14" ht="15.75" customHeight="1" x14ac:dyDescent="0.25">
      <c r="A10" s="207"/>
      <c r="B10" s="208"/>
      <c r="C10" s="208"/>
      <c r="D10" s="208"/>
      <c r="E10" s="208"/>
      <c r="F10" s="208"/>
      <c r="G10" s="208"/>
      <c r="H10" s="208"/>
      <c r="I10" s="209"/>
      <c r="J10" s="95"/>
      <c r="K10" s="221"/>
      <c r="L10" s="221"/>
      <c r="M10" s="221"/>
      <c r="N10" s="221"/>
    </row>
    <row r="11" spans="1:14" ht="15.75" customHeight="1" x14ac:dyDescent="0.25">
      <c r="A11" s="207"/>
      <c r="B11" s="208"/>
      <c r="C11" s="208"/>
      <c r="D11" s="208"/>
      <c r="E11" s="208"/>
      <c r="F11" s="208"/>
      <c r="G11" s="208"/>
      <c r="H11" s="208"/>
      <c r="I11" s="209"/>
      <c r="J11" s="95"/>
      <c r="K11" s="221"/>
      <c r="L11" s="221"/>
      <c r="M11" s="221"/>
      <c r="N11" s="221"/>
    </row>
    <row r="12" spans="1:14" ht="15.75" customHeight="1" x14ac:dyDescent="0.25">
      <c r="A12" s="207"/>
      <c r="B12" s="208"/>
      <c r="C12" s="208"/>
      <c r="D12" s="208"/>
      <c r="E12" s="208"/>
      <c r="F12" s="208"/>
      <c r="G12" s="208"/>
      <c r="H12" s="208"/>
      <c r="I12" s="209"/>
      <c r="J12" s="95"/>
      <c r="K12" s="221"/>
      <c r="L12" s="221"/>
      <c r="M12" s="221"/>
      <c r="N12" s="221"/>
    </row>
    <row r="13" spans="1:14" ht="15.75" customHeight="1" x14ac:dyDescent="0.25">
      <c r="A13" s="207"/>
      <c r="B13" s="208"/>
      <c r="C13" s="208"/>
      <c r="D13" s="208"/>
      <c r="E13" s="208"/>
      <c r="F13" s="208"/>
      <c r="G13" s="208"/>
      <c r="H13" s="208"/>
      <c r="I13" s="209"/>
      <c r="J13" s="95"/>
      <c r="K13" s="221"/>
      <c r="L13" s="221"/>
      <c r="M13" s="221"/>
      <c r="N13" s="221"/>
    </row>
    <row r="14" spans="1:14" ht="15.75" customHeight="1" x14ac:dyDescent="0.25">
      <c r="A14" s="207"/>
      <c r="B14" s="208"/>
      <c r="C14" s="208"/>
      <c r="D14" s="208"/>
      <c r="E14" s="208"/>
      <c r="F14" s="208"/>
      <c r="G14" s="208"/>
      <c r="H14" s="208"/>
      <c r="I14" s="209"/>
      <c r="J14" s="95"/>
      <c r="K14" s="221"/>
      <c r="L14" s="221"/>
      <c r="M14" s="221"/>
      <c r="N14" s="221"/>
    </row>
    <row r="15" spans="1:14" ht="15.75" customHeight="1" x14ac:dyDescent="0.25">
      <c r="A15" s="207"/>
      <c r="B15" s="208"/>
      <c r="C15" s="208"/>
      <c r="D15" s="208"/>
      <c r="E15" s="208"/>
      <c r="F15" s="208"/>
      <c r="G15" s="208"/>
      <c r="H15" s="208"/>
      <c r="I15" s="209"/>
      <c r="J15" s="95"/>
      <c r="K15" s="95"/>
      <c r="L15" s="95"/>
      <c r="M15" s="95"/>
      <c r="N15" s="95"/>
    </row>
    <row r="16" spans="1:14" ht="15.75" customHeight="1" x14ac:dyDescent="0.25">
      <c r="A16" s="207"/>
      <c r="B16" s="208"/>
      <c r="C16" s="208"/>
      <c r="D16" s="208"/>
      <c r="E16" s="208"/>
      <c r="F16" s="208"/>
      <c r="G16" s="208"/>
      <c r="H16" s="208"/>
      <c r="I16" s="209"/>
      <c r="J16" s="95"/>
      <c r="K16" s="95"/>
      <c r="L16" s="95"/>
      <c r="M16" s="95"/>
      <c r="N16" s="95"/>
    </row>
    <row r="17" spans="1:14" ht="15.75" customHeight="1" x14ac:dyDescent="0.25">
      <c r="A17" s="207"/>
      <c r="B17" s="208"/>
      <c r="C17" s="208"/>
      <c r="D17" s="208"/>
      <c r="E17" s="208"/>
      <c r="F17" s="208"/>
      <c r="G17" s="208"/>
      <c r="H17" s="208"/>
      <c r="I17" s="209"/>
      <c r="J17" s="95"/>
      <c r="K17" s="95"/>
      <c r="L17" s="95"/>
      <c r="M17" s="95"/>
      <c r="N17" s="95"/>
    </row>
    <row r="18" spans="1:14" x14ac:dyDescent="0.25">
      <c r="A18" s="207"/>
      <c r="B18" s="208"/>
      <c r="C18" s="208"/>
      <c r="D18" s="208"/>
      <c r="E18" s="208"/>
      <c r="F18" s="208"/>
      <c r="G18" s="208"/>
      <c r="H18" s="208"/>
      <c r="I18" s="209"/>
      <c r="J18" s="95"/>
      <c r="K18" s="95"/>
      <c r="L18" s="95"/>
      <c r="M18" s="95"/>
      <c r="N18" s="95"/>
    </row>
    <row r="19" spans="1:14" x14ac:dyDescent="0.25">
      <c r="A19" s="207"/>
      <c r="B19" s="208"/>
      <c r="C19" s="208"/>
      <c r="D19" s="208"/>
      <c r="E19" s="208"/>
      <c r="F19" s="208"/>
      <c r="G19" s="208"/>
      <c r="H19" s="208"/>
      <c r="I19" s="209"/>
      <c r="J19" s="95"/>
      <c r="K19" s="95"/>
      <c r="L19" s="95"/>
      <c r="M19" s="95"/>
      <c r="N19" s="95"/>
    </row>
    <row r="20" spans="1:14" x14ac:dyDescent="0.25">
      <c r="A20" s="207"/>
      <c r="B20" s="208"/>
      <c r="C20" s="208"/>
      <c r="D20" s="208"/>
      <c r="E20" s="208"/>
      <c r="F20" s="208"/>
      <c r="G20" s="208"/>
      <c r="H20" s="208"/>
      <c r="I20" s="209"/>
      <c r="J20" s="95"/>
      <c r="K20" s="95"/>
      <c r="L20" s="95"/>
      <c r="M20" s="95"/>
      <c r="N20" s="95"/>
    </row>
    <row r="21" spans="1:14" x14ac:dyDescent="0.25">
      <c r="A21" s="207"/>
      <c r="B21" s="208"/>
      <c r="C21" s="208"/>
      <c r="D21" s="208"/>
      <c r="E21" s="208"/>
      <c r="F21" s="208"/>
      <c r="G21" s="208"/>
      <c r="H21" s="208"/>
      <c r="I21" s="209"/>
      <c r="J21" s="95"/>
      <c r="K21" s="95"/>
      <c r="L21" s="95"/>
      <c r="M21" s="95"/>
      <c r="N21" s="95"/>
    </row>
    <row r="22" spans="1:14" ht="15.45" customHeight="1" x14ac:dyDescent="0.25">
      <c r="A22" s="207"/>
      <c r="B22" s="208"/>
      <c r="C22" s="208"/>
      <c r="D22" s="208"/>
      <c r="E22" s="208"/>
      <c r="F22" s="208"/>
      <c r="G22" s="208"/>
      <c r="H22" s="208"/>
      <c r="I22" s="209"/>
      <c r="J22" s="95"/>
      <c r="K22" s="148"/>
      <c r="L22" s="148"/>
      <c r="M22" s="148"/>
      <c r="N22" s="148"/>
    </row>
    <row r="23" spans="1:14" x14ac:dyDescent="0.25">
      <c r="A23" s="207"/>
      <c r="B23" s="208"/>
      <c r="C23" s="208"/>
      <c r="D23" s="208"/>
      <c r="E23" s="208"/>
      <c r="F23" s="208"/>
      <c r="G23" s="208"/>
      <c r="H23" s="208"/>
      <c r="I23" s="209"/>
      <c r="J23" s="95"/>
      <c r="K23" s="148"/>
      <c r="L23" s="148"/>
      <c r="M23" s="148"/>
      <c r="N23" s="148"/>
    </row>
    <row r="24" spans="1:14" x14ac:dyDescent="0.25">
      <c r="A24" s="207"/>
      <c r="B24" s="208"/>
      <c r="C24" s="208"/>
      <c r="D24" s="208"/>
      <c r="E24" s="208"/>
      <c r="F24" s="208"/>
      <c r="G24" s="208"/>
      <c r="H24" s="208"/>
      <c r="I24" s="209"/>
      <c r="J24" s="95"/>
      <c r="K24" s="148"/>
      <c r="L24" s="148"/>
      <c r="M24" s="148"/>
      <c r="N24" s="148"/>
    </row>
    <row r="25" spans="1:14" x14ac:dyDescent="0.25">
      <c r="A25" s="207"/>
      <c r="B25" s="208"/>
      <c r="C25" s="208"/>
      <c r="D25" s="208"/>
      <c r="E25" s="208"/>
      <c r="F25" s="208"/>
      <c r="G25" s="208"/>
      <c r="H25" s="208"/>
      <c r="I25" s="209"/>
      <c r="J25" s="95"/>
      <c r="K25" s="148"/>
      <c r="L25" s="148"/>
      <c r="M25" s="148"/>
      <c r="N25" s="148"/>
    </row>
    <row r="26" spans="1:14" x14ac:dyDescent="0.25">
      <c r="A26" s="207"/>
      <c r="B26" s="208"/>
      <c r="C26" s="208"/>
      <c r="D26" s="208"/>
      <c r="E26" s="208"/>
      <c r="F26" s="208"/>
      <c r="G26" s="208"/>
      <c r="H26" s="208"/>
      <c r="I26" s="209"/>
      <c r="J26" s="95"/>
      <c r="K26" s="148"/>
      <c r="L26" s="148"/>
      <c r="M26" s="148"/>
      <c r="N26" s="148"/>
    </row>
    <row r="27" spans="1:14" x14ac:dyDescent="0.25">
      <c r="A27" s="210"/>
      <c r="B27" s="211"/>
      <c r="C27" s="211"/>
      <c r="D27" s="211"/>
      <c r="E27" s="211"/>
      <c r="F27" s="211"/>
      <c r="G27" s="211"/>
      <c r="H27" s="211"/>
      <c r="I27" s="212"/>
      <c r="J27" s="95"/>
      <c r="K27" s="148"/>
      <c r="L27" s="148"/>
      <c r="M27" s="148"/>
      <c r="N27" s="148"/>
    </row>
    <row r="28" spans="1:14" x14ac:dyDescent="0.25">
      <c r="A28" s="95"/>
      <c r="B28" s="95"/>
      <c r="C28" s="95"/>
      <c r="D28" s="95"/>
      <c r="E28" s="95"/>
      <c r="F28" s="95"/>
      <c r="G28" s="95"/>
      <c r="H28" s="95"/>
      <c r="I28" s="95"/>
      <c r="J28" s="95"/>
      <c r="K28" s="148"/>
      <c r="L28" s="148"/>
      <c r="M28" s="148"/>
      <c r="N28" s="148"/>
    </row>
    <row r="29" spans="1:14" x14ac:dyDescent="0.25">
      <c r="A29" s="51" t="s">
        <v>126</v>
      </c>
      <c r="B29" s="103"/>
      <c r="C29" s="103"/>
      <c r="D29" s="103"/>
      <c r="E29" s="103"/>
      <c r="F29" s="103"/>
      <c r="G29" s="103"/>
      <c r="H29" s="103"/>
      <c r="I29" s="104"/>
      <c r="J29" s="95"/>
      <c r="K29" s="148"/>
      <c r="L29" s="148"/>
      <c r="M29" s="148"/>
      <c r="N29" s="148"/>
    </row>
    <row r="30" spans="1:14" x14ac:dyDescent="0.25">
      <c r="A30" s="105"/>
      <c r="B30" s="106"/>
      <c r="C30" s="106"/>
      <c r="D30" s="106"/>
      <c r="E30" s="106"/>
      <c r="F30" s="106"/>
      <c r="G30" s="106"/>
      <c r="H30" s="106"/>
      <c r="I30" s="107"/>
      <c r="J30" s="95"/>
      <c r="K30" s="148"/>
      <c r="L30" s="148"/>
      <c r="M30" s="148"/>
      <c r="N30" s="148"/>
    </row>
    <row r="31" spans="1:14" x14ac:dyDescent="0.25">
      <c r="A31" s="204" t="s">
        <v>445</v>
      </c>
      <c r="B31" s="213"/>
      <c r="C31" s="213"/>
      <c r="D31" s="213"/>
      <c r="E31" s="213"/>
      <c r="F31" s="213"/>
      <c r="G31" s="213"/>
      <c r="H31" s="213"/>
      <c r="I31" s="214"/>
      <c r="J31" s="95"/>
      <c r="K31" s="221" t="s">
        <v>127</v>
      </c>
      <c r="L31" s="221"/>
      <c r="M31" s="221"/>
      <c r="N31" s="221"/>
    </row>
    <row r="32" spans="1:14" x14ac:dyDescent="0.25">
      <c r="A32" s="215"/>
      <c r="B32" s="216"/>
      <c r="C32" s="216"/>
      <c r="D32" s="216"/>
      <c r="E32" s="216"/>
      <c r="F32" s="216"/>
      <c r="G32" s="216"/>
      <c r="H32" s="216"/>
      <c r="I32" s="217"/>
      <c r="J32" s="95"/>
      <c r="K32" s="221"/>
      <c r="L32" s="221"/>
      <c r="M32" s="221"/>
      <c r="N32" s="221"/>
    </row>
    <row r="33" spans="1:14" x14ac:dyDescent="0.25">
      <c r="A33" s="215"/>
      <c r="B33" s="216"/>
      <c r="C33" s="216"/>
      <c r="D33" s="216"/>
      <c r="E33" s="216"/>
      <c r="F33" s="216"/>
      <c r="G33" s="216"/>
      <c r="H33" s="216"/>
      <c r="I33" s="217"/>
      <c r="J33" s="95"/>
      <c r="K33" s="221"/>
      <c r="L33" s="221"/>
      <c r="M33" s="221"/>
      <c r="N33" s="221"/>
    </row>
    <row r="34" spans="1:14" x14ac:dyDescent="0.25">
      <c r="A34" s="215"/>
      <c r="B34" s="216"/>
      <c r="C34" s="216"/>
      <c r="D34" s="216"/>
      <c r="E34" s="216"/>
      <c r="F34" s="216"/>
      <c r="G34" s="216"/>
      <c r="H34" s="216"/>
      <c r="I34" s="217"/>
      <c r="J34" s="95"/>
      <c r="K34" s="221"/>
      <c r="L34" s="221"/>
      <c r="M34" s="221"/>
      <c r="N34" s="221"/>
    </row>
    <row r="35" spans="1:14" x14ac:dyDescent="0.25">
      <c r="A35" s="215"/>
      <c r="B35" s="216"/>
      <c r="C35" s="216"/>
      <c r="D35" s="216"/>
      <c r="E35" s="216"/>
      <c r="F35" s="216"/>
      <c r="G35" s="216"/>
      <c r="H35" s="216"/>
      <c r="I35" s="217"/>
      <c r="J35" s="95"/>
      <c r="K35" s="221"/>
      <c r="L35" s="221"/>
      <c r="M35" s="221"/>
      <c r="N35" s="221"/>
    </row>
    <row r="36" spans="1:14" x14ac:dyDescent="0.25">
      <c r="A36" s="215"/>
      <c r="B36" s="216"/>
      <c r="C36" s="216"/>
      <c r="D36" s="216"/>
      <c r="E36" s="216"/>
      <c r="F36" s="216"/>
      <c r="G36" s="216"/>
      <c r="H36" s="216"/>
      <c r="I36" s="217"/>
      <c r="J36" s="95"/>
      <c r="K36" s="221"/>
      <c r="L36" s="221"/>
      <c r="M36" s="221"/>
      <c r="N36" s="221"/>
    </row>
    <row r="37" spans="1:14" x14ac:dyDescent="0.25">
      <c r="A37" s="215"/>
      <c r="B37" s="216"/>
      <c r="C37" s="216"/>
      <c r="D37" s="216"/>
      <c r="E37" s="216"/>
      <c r="F37" s="216"/>
      <c r="G37" s="216"/>
      <c r="H37" s="216"/>
      <c r="I37" s="217"/>
      <c r="J37" s="95"/>
      <c r="K37" s="221"/>
      <c r="L37" s="221"/>
      <c r="M37" s="221"/>
      <c r="N37" s="221"/>
    </row>
    <row r="38" spans="1:14" ht="14.25" customHeight="1" x14ac:dyDescent="0.25">
      <c r="A38" s="215"/>
      <c r="B38" s="216"/>
      <c r="C38" s="216"/>
      <c r="D38" s="216"/>
      <c r="E38" s="216"/>
      <c r="F38" s="216"/>
      <c r="G38" s="216"/>
      <c r="H38" s="216"/>
      <c r="I38" s="217"/>
      <c r="J38" s="95"/>
      <c r="K38" s="221"/>
      <c r="L38" s="221"/>
      <c r="M38" s="221"/>
      <c r="N38" s="221"/>
    </row>
    <row r="39" spans="1:14" x14ac:dyDescent="0.25">
      <c r="A39" s="215"/>
      <c r="B39" s="216"/>
      <c r="C39" s="216"/>
      <c r="D39" s="216"/>
      <c r="E39" s="216"/>
      <c r="F39" s="216"/>
      <c r="G39" s="216"/>
      <c r="H39" s="216"/>
      <c r="I39" s="217"/>
      <c r="J39" s="95"/>
      <c r="K39" s="221"/>
      <c r="L39" s="221"/>
      <c r="M39" s="221"/>
      <c r="N39" s="221"/>
    </row>
    <row r="40" spans="1:14" x14ac:dyDescent="0.25">
      <c r="A40" s="215"/>
      <c r="B40" s="216"/>
      <c r="C40" s="216"/>
      <c r="D40" s="216"/>
      <c r="E40" s="216"/>
      <c r="F40" s="216"/>
      <c r="G40" s="216"/>
      <c r="H40" s="216"/>
      <c r="I40" s="217"/>
      <c r="J40" s="95"/>
      <c r="K40" s="221"/>
      <c r="L40" s="221"/>
      <c r="M40" s="221"/>
      <c r="N40" s="221"/>
    </row>
    <row r="41" spans="1:14" x14ac:dyDescent="0.25">
      <c r="A41" s="215"/>
      <c r="B41" s="216"/>
      <c r="C41" s="216"/>
      <c r="D41" s="216"/>
      <c r="E41" s="216"/>
      <c r="F41" s="216"/>
      <c r="G41" s="216"/>
      <c r="H41" s="216"/>
      <c r="I41" s="217"/>
      <c r="J41" s="95"/>
      <c r="K41" s="95"/>
      <c r="L41" s="95"/>
      <c r="M41" s="95"/>
      <c r="N41" s="95"/>
    </row>
    <row r="42" spans="1:14" x14ac:dyDescent="0.25">
      <c r="A42" s="215"/>
      <c r="B42" s="216"/>
      <c r="C42" s="216"/>
      <c r="D42" s="216"/>
      <c r="E42" s="216"/>
      <c r="F42" s="216"/>
      <c r="G42" s="216"/>
      <c r="H42" s="216"/>
      <c r="I42" s="217"/>
      <c r="J42" s="95"/>
      <c r="K42" s="95"/>
      <c r="L42" s="95"/>
      <c r="M42" s="95"/>
      <c r="N42" s="95"/>
    </row>
    <row r="43" spans="1:14" x14ac:dyDescent="0.25">
      <c r="A43" s="215"/>
      <c r="B43" s="216"/>
      <c r="C43" s="216"/>
      <c r="D43" s="216"/>
      <c r="E43" s="216"/>
      <c r="F43" s="216"/>
      <c r="G43" s="216"/>
      <c r="H43" s="216"/>
      <c r="I43" s="217"/>
      <c r="J43" s="95"/>
      <c r="K43" s="95"/>
      <c r="L43" s="95"/>
      <c r="M43" s="95"/>
      <c r="N43" s="95"/>
    </row>
    <row r="44" spans="1:14" x14ac:dyDescent="0.25">
      <c r="A44" s="215"/>
      <c r="B44" s="216"/>
      <c r="C44" s="216"/>
      <c r="D44" s="216"/>
      <c r="E44" s="216"/>
      <c r="F44" s="216"/>
      <c r="G44" s="216"/>
      <c r="H44" s="216"/>
      <c r="I44" s="217"/>
      <c r="J44" s="95"/>
      <c r="K44" s="95"/>
      <c r="L44" s="95"/>
      <c r="M44" s="95"/>
      <c r="N44" s="95"/>
    </row>
    <row r="45" spans="1:14" x14ac:dyDescent="0.25">
      <c r="A45" s="215"/>
      <c r="B45" s="216"/>
      <c r="C45" s="216"/>
      <c r="D45" s="216"/>
      <c r="E45" s="216"/>
      <c r="F45" s="216"/>
      <c r="G45" s="216"/>
      <c r="H45" s="216"/>
      <c r="I45" s="217"/>
      <c r="J45" s="95"/>
      <c r="K45" s="95"/>
      <c r="L45" s="95"/>
      <c r="M45" s="95"/>
      <c r="N45" s="95"/>
    </row>
    <row r="46" spans="1:14" x14ac:dyDescent="0.25">
      <c r="A46" s="215"/>
      <c r="B46" s="216"/>
      <c r="C46" s="216"/>
      <c r="D46" s="216"/>
      <c r="E46" s="216"/>
      <c r="F46" s="216"/>
      <c r="G46" s="216"/>
      <c r="H46" s="216"/>
      <c r="I46" s="217"/>
      <c r="J46" s="95"/>
      <c r="K46" s="95"/>
      <c r="L46" s="95"/>
      <c r="M46" s="95"/>
      <c r="N46" s="95"/>
    </row>
    <row r="47" spans="1:14" x14ac:dyDescent="0.25">
      <c r="A47" s="215"/>
      <c r="B47" s="216"/>
      <c r="C47" s="216"/>
      <c r="D47" s="216"/>
      <c r="E47" s="216"/>
      <c r="F47" s="216"/>
      <c r="G47" s="216"/>
      <c r="H47" s="216"/>
      <c r="I47" s="217"/>
      <c r="J47" s="95"/>
      <c r="K47" s="95"/>
      <c r="L47" s="95"/>
      <c r="M47" s="95"/>
      <c r="N47" s="95"/>
    </row>
    <row r="48" spans="1:14" x14ac:dyDescent="0.25">
      <c r="A48" s="215"/>
      <c r="B48" s="216"/>
      <c r="C48" s="216"/>
      <c r="D48" s="216"/>
      <c r="E48" s="216"/>
      <c r="F48" s="216"/>
      <c r="G48" s="216"/>
      <c r="H48" s="216"/>
      <c r="I48" s="217"/>
      <c r="J48" s="95"/>
      <c r="K48" s="95"/>
      <c r="L48" s="95"/>
      <c r="M48" s="95"/>
      <c r="N48" s="95"/>
    </row>
    <row r="49" spans="1:9" x14ac:dyDescent="0.25">
      <c r="A49" s="215"/>
      <c r="B49" s="216"/>
      <c r="C49" s="216"/>
      <c r="D49" s="216"/>
      <c r="E49" s="216"/>
      <c r="F49" s="216"/>
      <c r="G49" s="216"/>
      <c r="H49" s="216"/>
      <c r="I49" s="217"/>
    </row>
    <row r="50" spans="1:9" x14ac:dyDescent="0.25">
      <c r="A50" s="215"/>
      <c r="B50" s="216"/>
      <c r="C50" s="216"/>
      <c r="D50" s="216"/>
      <c r="E50" s="216"/>
      <c r="F50" s="216"/>
      <c r="G50" s="216"/>
      <c r="H50" s="216"/>
      <c r="I50" s="217"/>
    </row>
    <row r="51" spans="1:9" x14ac:dyDescent="0.25">
      <c r="A51" s="215"/>
      <c r="B51" s="216"/>
      <c r="C51" s="216"/>
      <c r="D51" s="216"/>
      <c r="E51" s="216"/>
      <c r="F51" s="216"/>
      <c r="G51" s="216"/>
      <c r="H51" s="216"/>
      <c r="I51" s="217"/>
    </row>
    <row r="52" spans="1:9" x14ac:dyDescent="0.25">
      <c r="A52" s="218"/>
      <c r="B52" s="219"/>
      <c r="C52" s="219"/>
      <c r="D52" s="219"/>
      <c r="E52" s="219"/>
      <c r="F52" s="219"/>
      <c r="G52" s="219"/>
      <c r="H52" s="219"/>
      <c r="I52" s="220"/>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tabSelected="1" topLeftCell="A82" zoomScaleNormal="100" workbookViewId="0">
      <selection activeCell="B31" sqref="B31:I31"/>
    </sheetView>
  </sheetViews>
  <sheetFormatPr defaultColWidth="9.33203125" defaultRowHeight="15" x14ac:dyDescent="0.25"/>
  <cols>
    <col min="1" max="16384" width="9.33203125" style="2"/>
  </cols>
  <sheetData>
    <row r="1" spans="1:10" ht="15.6" x14ac:dyDescent="0.3">
      <c r="A1" s="33">
        <f>+'Cover Page'!C39</f>
        <v>2022</v>
      </c>
      <c r="B1" s="34" t="s">
        <v>128</v>
      </c>
      <c r="C1" s="34"/>
      <c r="D1" s="34"/>
      <c r="E1" s="34"/>
      <c r="F1" s="34"/>
      <c r="G1" s="34"/>
      <c r="H1" s="34"/>
      <c r="I1" s="34"/>
      <c r="J1" s="34"/>
    </row>
    <row r="2" spans="1:10" ht="8.25" customHeight="1" x14ac:dyDescent="0.25">
      <c r="A2" s="95"/>
      <c r="B2" s="95"/>
      <c r="C2" s="95"/>
      <c r="D2" s="95"/>
      <c r="E2" s="95"/>
      <c r="F2" s="95"/>
      <c r="G2" s="95"/>
      <c r="H2" s="95"/>
      <c r="I2" s="95"/>
      <c r="J2" s="95"/>
    </row>
    <row r="3" spans="1:10" s="3" customFormat="1" ht="13.8" x14ac:dyDescent="0.25">
      <c r="A3" s="238" t="str">
        <f>+'Cover Page'!B31</f>
        <v>Permit EPR/CP3207PV</v>
      </c>
      <c r="B3" s="238"/>
      <c r="C3" s="238"/>
      <c r="D3" s="238"/>
      <c r="E3" s="238"/>
      <c r="F3" s="3" t="s">
        <v>129</v>
      </c>
      <c r="G3" s="239">
        <f>+'Cover Page'!B37:I37</f>
        <v>0</v>
      </c>
      <c r="H3" s="239"/>
      <c r="I3" s="239"/>
    </row>
    <row r="4" spans="1:10" s="3" customFormat="1" ht="13.8" x14ac:dyDescent="0.25">
      <c r="A4" s="3" t="s">
        <v>130</v>
      </c>
      <c r="B4" s="238" t="str">
        <f>+'Cover Page'!B33:I33</f>
        <v>Clinitek (Stoke) LLP</v>
      </c>
      <c r="C4" s="238"/>
      <c r="D4" s="238"/>
      <c r="E4" s="238"/>
      <c r="F4" s="3" t="s">
        <v>131</v>
      </c>
      <c r="G4" s="3" t="s">
        <v>132</v>
      </c>
    </row>
    <row r="5" spans="1:10" s="3" customFormat="1" ht="6.75" customHeight="1" x14ac:dyDescent="0.25"/>
    <row r="6" spans="1:10" s="3" customFormat="1" ht="15.75" customHeight="1" x14ac:dyDescent="0.25">
      <c r="A6" s="3" t="s">
        <v>133</v>
      </c>
      <c r="D6" s="240" t="s">
        <v>406</v>
      </c>
      <c r="E6" s="240"/>
      <c r="F6" s="35" t="s">
        <v>134</v>
      </c>
      <c r="G6" s="240" t="s">
        <v>407</v>
      </c>
      <c r="H6" s="240"/>
    </row>
    <row r="7" spans="1:10" s="3" customFormat="1" ht="7.5" customHeight="1" x14ac:dyDescent="0.25"/>
    <row r="8" spans="1:10" s="3" customFormat="1" ht="15.6" x14ac:dyDescent="0.3">
      <c r="A8" s="9">
        <f>+A1</f>
        <v>2022</v>
      </c>
      <c r="B8" s="34" t="s">
        <v>135</v>
      </c>
      <c r="C8"/>
      <c r="D8"/>
      <c r="E8"/>
      <c r="F8"/>
      <c r="G8"/>
    </row>
    <row r="9" spans="1:10" s="3" customFormat="1" ht="28.5" customHeight="1" x14ac:dyDescent="0.25">
      <c r="A9" s="241" t="s">
        <v>136</v>
      </c>
      <c r="B9" s="241"/>
      <c r="C9" s="241" t="s">
        <v>137</v>
      </c>
      <c r="D9" s="241"/>
      <c r="E9" s="241" t="s">
        <v>138</v>
      </c>
      <c r="F9" s="241"/>
      <c r="G9" s="241" t="s">
        <v>139</v>
      </c>
      <c r="H9" s="241"/>
      <c r="I9" s="241" t="s">
        <v>140</v>
      </c>
      <c r="J9" s="241"/>
    </row>
    <row r="10" spans="1:10" s="3" customFormat="1" ht="14.25" customHeight="1" x14ac:dyDescent="0.25">
      <c r="A10" s="234" t="s">
        <v>141</v>
      </c>
      <c r="B10" s="234"/>
      <c r="C10" s="234"/>
      <c r="D10" s="234"/>
      <c r="E10" s="234"/>
      <c r="F10" s="234"/>
      <c r="G10" s="234"/>
      <c r="H10" s="234"/>
      <c r="I10" s="234"/>
      <c r="J10" s="234"/>
    </row>
    <row r="11" spans="1:10" s="3" customFormat="1" ht="14.25" customHeight="1" x14ac:dyDescent="0.25">
      <c r="A11" s="234" t="s">
        <v>142</v>
      </c>
      <c r="B11" s="234"/>
      <c r="C11" s="235" t="s">
        <v>378</v>
      </c>
      <c r="D11" s="235"/>
      <c r="E11" s="236">
        <v>14.04</v>
      </c>
      <c r="F11" s="236"/>
      <c r="G11" s="236"/>
      <c r="H11" s="236"/>
      <c r="I11" s="237">
        <f>IF((E11+G11)&gt;0,(E11+G11)/'Operational Data'!$G$21, "-")</f>
        <v>3.3277475841832438E-2</v>
      </c>
      <c r="J11" s="237"/>
    </row>
    <row r="12" spans="1:10" s="3" customFormat="1" ht="14.25" customHeight="1" x14ac:dyDescent="0.25">
      <c r="A12" s="234" t="s">
        <v>143</v>
      </c>
      <c r="B12" s="234"/>
      <c r="C12" s="235" t="s">
        <v>379</v>
      </c>
      <c r="D12" s="235"/>
      <c r="E12" s="236">
        <v>15.94</v>
      </c>
      <c r="F12" s="236"/>
      <c r="G12" s="236"/>
      <c r="H12" s="236"/>
      <c r="I12" s="237">
        <f>IF((E12+G12)&gt;0,(E12+G12)/'Operational Data'!$G$21, "-")</f>
        <v>3.7780837957180131E-2</v>
      </c>
      <c r="J12" s="237"/>
    </row>
    <row r="13" spans="1:10" s="3" customFormat="1" ht="14.25" customHeight="1" x14ac:dyDescent="0.25">
      <c r="A13" s="242" t="s">
        <v>381</v>
      </c>
      <c r="B13" s="242"/>
      <c r="C13" s="235" t="s">
        <v>380</v>
      </c>
      <c r="D13" s="235"/>
      <c r="E13" s="236">
        <v>35.840000000000003</v>
      </c>
      <c r="F13" s="236"/>
      <c r="G13" s="236"/>
      <c r="H13" s="236"/>
      <c r="I13" s="237">
        <f>IF((E13+G13)&gt;0,(E13+G13)/'Operational Data'!$G$21, "-")</f>
        <v>8.4947630638979685E-2</v>
      </c>
      <c r="J13" s="237"/>
    </row>
    <row r="14" spans="1:10" s="3" customFormat="1" ht="14.25" customHeight="1" x14ac:dyDescent="0.25">
      <c r="A14" s="242"/>
      <c r="B14" s="242"/>
      <c r="C14" s="235"/>
      <c r="D14" s="235"/>
      <c r="E14" s="236"/>
      <c r="F14" s="236"/>
      <c r="G14" s="236"/>
      <c r="H14" s="236"/>
      <c r="I14" s="237" t="str">
        <f>IF((E14+G14)&gt;0,(E14+G14)/'Operational Data'!$G$21, "-")</f>
        <v>-</v>
      </c>
      <c r="J14" s="237"/>
    </row>
    <row r="15" spans="1:10" s="3" customFormat="1" ht="14.25" customHeight="1" x14ac:dyDescent="0.25">
      <c r="A15" s="249" t="s">
        <v>144</v>
      </c>
      <c r="B15" s="249"/>
      <c r="C15" s="249"/>
      <c r="D15" s="249"/>
      <c r="E15" s="250">
        <f>SUM(E11:F14)</f>
        <v>65.819999999999993</v>
      </c>
      <c r="F15" s="250"/>
      <c r="G15" s="250">
        <f>SUM(G11:H14)</f>
        <v>0</v>
      </c>
      <c r="H15" s="250"/>
      <c r="I15" s="237">
        <f>IF((E15+G15)&gt;0,(E15+G15)/'Operational Data'!$G$21, "-")</f>
        <v>0.15600594443799223</v>
      </c>
      <c r="J15" s="237"/>
    </row>
    <row r="16" spans="1:10" s="3" customFormat="1" ht="14.25" customHeight="1" x14ac:dyDescent="0.25">
      <c r="A16" s="243"/>
      <c r="B16" s="244"/>
      <c r="C16" s="244"/>
      <c r="D16" s="244"/>
      <c r="E16" s="245"/>
      <c r="F16" s="245"/>
      <c r="G16" s="245"/>
      <c r="H16" s="245"/>
      <c r="I16" s="246"/>
      <c r="J16" s="247"/>
    </row>
    <row r="17" spans="1:10" s="3" customFormat="1" ht="14.25" customHeight="1" x14ac:dyDescent="0.25">
      <c r="A17" s="248" t="s">
        <v>145</v>
      </c>
      <c r="B17" s="248"/>
      <c r="C17" s="248"/>
      <c r="D17" s="248"/>
      <c r="E17" s="248"/>
      <c r="F17" s="248"/>
      <c r="G17" s="248"/>
      <c r="H17" s="248"/>
      <c r="I17" s="248"/>
      <c r="J17" s="248"/>
    </row>
    <row r="18" spans="1:10" ht="14.25" customHeight="1" x14ac:dyDescent="0.25">
      <c r="A18" s="234" t="s">
        <v>143</v>
      </c>
      <c r="B18" s="234"/>
      <c r="C18" s="235"/>
      <c r="D18" s="235"/>
      <c r="E18" s="236"/>
      <c r="F18" s="236"/>
      <c r="G18" s="236"/>
      <c r="H18" s="236"/>
      <c r="I18" s="237" t="str">
        <f>IF((E18+G18)&gt;0,(E18+G18)/'Operational Data'!$G$21, "-")</f>
        <v>-</v>
      </c>
      <c r="J18" s="237"/>
    </row>
    <row r="19" spans="1:10" s="3" customFormat="1" ht="14.25" customHeight="1" x14ac:dyDescent="0.25">
      <c r="A19" s="234" t="s">
        <v>146</v>
      </c>
      <c r="B19" s="234"/>
      <c r="C19" s="235"/>
      <c r="D19" s="235"/>
      <c r="E19" s="236"/>
      <c r="F19" s="236"/>
      <c r="G19" s="236"/>
      <c r="H19" s="236"/>
      <c r="I19" s="237" t="str">
        <f>IF((E19+G19)&gt;0,(E19+G19)/'Operational Data'!$G$21, "-")</f>
        <v>-</v>
      </c>
      <c r="J19" s="237"/>
    </row>
    <row r="20" spans="1:10" s="3" customFormat="1" ht="14.25" customHeight="1" x14ac:dyDescent="0.25">
      <c r="A20" s="234" t="s">
        <v>147</v>
      </c>
      <c r="B20" s="234"/>
      <c r="C20" s="235"/>
      <c r="D20" s="235"/>
      <c r="E20" s="236"/>
      <c r="F20" s="236"/>
      <c r="G20" s="236"/>
      <c r="H20" s="236"/>
      <c r="I20" s="237" t="str">
        <f>IF((E20+G20)&gt;0,(E20+G20)/'Operational Data'!$G$21, "-")</f>
        <v>-</v>
      </c>
      <c r="J20" s="237"/>
    </row>
    <row r="21" spans="1:10" s="3" customFormat="1" ht="14.25" customHeight="1" x14ac:dyDescent="0.25">
      <c r="A21" s="251"/>
      <c r="B21" s="251"/>
      <c r="C21" s="235"/>
      <c r="D21" s="235"/>
      <c r="E21" s="236"/>
      <c r="F21" s="236"/>
      <c r="G21" s="236"/>
      <c r="H21" s="236"/>
      <c r="I21" s="237" t="str">
        <f>IF((E21+G21)&gt;0,(E21+G21)/'Operational Data'!$G$21, "-")</f>
        <v>-</v>
      </c>
      <c r="J21" s="237"/>
    </row>
    <row r="22" spans="1:10" s="3" customFormat="1" ht="14.25" customHeight="1" x14ac:dyDescent="0.25">
      <c r="A22" s="251"/>
      <c r="B22" s="251"/>
      <c r="C22" s="235"/>
      <c r="D22" s="235"/>
      <c r="E22" s="236"/>
      <c r="F22" s="236"/>
      <c r="G22" s="236"/>
      <c r="H22" s="236"/>
      <c r="I22" s="237" t="str">
        <f>IF((E22+G22)&gt;0,(E22+G22)/'Operational Data'!$G$21, "-")</f>
        <v>-</v>
      </c>
      <c r="J22" s="237"/>
    </row>
    <row r="23" spans="1:10" s="3" customFormat="1" ht="14.25" customHeight="1" x14ac:dyDescent="0.25">
      <c r="A23" s="252" t="s">
        <v>148</v>
      </c>
      <c r="B23" s="252"/>
      <c r="C23" s="252"/>
      <c r="D23" s="252"/>
      <c r="E23" s="250">
        <f>SUM(E18:F22)</f>
        <v>0</v>
      </c>
      <c r="F23" s="250"/>
      <c r="G23" s="250">
        <f>SUM(G18:H22)</f>
        <v>0</v>
      </c>
      <c r="H23" s="250"/>
      <c r="I23" s="237" t="str">
        <f>IF((E23+G23)&gt;0,(E23+G23)/'Operational Data'!$G$21, "-")</f>
        <v>-</v>
      </c>
      <c r="J23" s="237"/>
    </row>
    <row r="24" spans="1:10" s="3" customFormat="1" ht="14.25" customHeight="1" x14ac:dyDescent="0.25">
      <c r="A24" s="262" t="s">
        <v>149</v>
      </c>
      <c r="B24" s="262"/>
      <c r="C24" s="262"/>
      <c r="D24" s="262"/>
      <c r="E24" s="263">
        <f>+E23+E15</f>
        <v>65.819999999999993</v>
      </c>
      <c r="F24" s="263"/>
      <c r="G24" s="263">
        <f>+G23+G15</f>
        <v>0</v>
      </c>
      <c r="H24" s="263"/>
      <c r="I24" s="264">
        <f>IF((E24+G24)&gt;0,(E24+G24)/'Operational Data'!$G$21, "-")</f>
        <v>0.15600594443799223</v>
      </c>
      <c r="J24" s="264"/>
    </row>
    <row r="25" spans="1:10" s="3" customFormat="1" ht="8.25" customHeight="1" x14ac:dyDescent="0.3">
      <c r="A25" s="149"/>
      <c r="B25"/>
      <c r="C25"/>
      <c r="D25"/>
      <c r="E25"/>
      <c r="F25"/>
      <c r="G25"/>
    </row>
    <row r="26" spans="1:10" s="3" customFormat="1" ht="14.25" customHeight="1" x14ac:dyDescent="0.25">
      <c r="A26" s="265" t="s">
        <v>150</v>
      </c>
      <c r="B26" s="265"/>
      <c r="C26" s="265"/>
      <c r="D26" s="265"/>
      <c r="E26" s="265"/>
      <c r="F26" s="265"/>
      <c r="G26" s="265"/>
      <c r="H26" s="265"/>
      <c r="I26" s="265"/>
      <c r="J26" s="265"/>
    </row>
    <row r="27" spans="1:10" s="3" customFormat="1" ht="14.25" customHeight="1" x14ac:dyDescent="0.25">
      <c r="A27" s="266" t="s">
        <v>451</v>
      </c>
      <c r="B27" s="266"/>
      <c r="C27" s="266"/>
      <c r="D27" s="266"/>
      <c r="E27" s="266"/>
      <c r="F27" s="266"/>
      <c r="G27" s="266"/>
      <c r="H27" s="266"/>
      <c r="I27" s="266"/>
      <c r="J27" s="266"/>
    </row>
    <row r="28" spans="1:10" s="3" customFormat="1" ht="14.25" customHeight="1" x14ac:dyDescent="0.25">
      <c r="A28" s="266"/>
      <c r="B28" s="266"/>
      <c r="C28" s="266"/>
      <c r="D28" s="266"/>
      <c r="E28" s="266"/>
      <c r="F28" s="266"/>
      <c r="G28" s="266"/>
      <c r="H28" s="266"/>
      <c r="I28" s="266"/>
      <c r="J28" s="266"/>
    </row>
    <row r="29" spans="1:10" s="3" customFormat="1" ht="14.25" customHeight="1" x14ac:dyDescent="0.25">
      <c r="A29" s="266"/>
      <c r="B29" s="266"/>
      <c r="C29" s="266"/>
      <c r="D29" s="266"/>
      <c r="E29" s="266"/>
      <c r="F29" s="266"/>
      <c r="G29" s="266"/>
      <c r="H29" s="266"/>
      <c r="I29" s="266"/>
      <c r="J29" s="266"/>
    </row>
    <row r="30" spans="1:10" s="3" customFormat="1" ht="14.25" customHeight="1" x14ac:dyDescent="0.3">
      <c r="A30" s="149"/>
      <c r="B30"/>
      <c r="C30"/>
      <c r="D30"/>
      <c r="E30"/>
      <c r="F30"/>
      <c r="G30"/>
    </row>
    <row r="31" spans="1:10" s="3" customFormat="1" ht="14.25" customHeight="1" x14ac:dyDescent="0.3">
      <c r="A31" s="1">
        <f>+A1</f>
        <v>2022</v>
      </c>
      <c r="B31" s="34" t="s">
        <v>367</v>
      </c>
      <c r="C31" s="34"/>
      <c r="D31" s="34"/>
      <c r="E31" s="34"/>
      <c r="F31" s="34"/>
    </row>
    <row r="32" spans="1:10" s="3" customFormat="1" ht="24.75" customHeight="1" x14ac:dyDescent="0.25">
      <c r="A32" s="253" t="s">
        <v>151</v>
      </c>
      <c r="B32" s="254"/>
      <c r="C32" s="254"/>
      <c r="D32" s="255"/>
      <c r="E32" s="38" t="s">
        <v>152</v>
      </c>
      <c r="F32" s="39"/>
      <c r="G32" s="40" t="s">
        <v>58</v>
      </c>
      <c r="H32" s="256" t="s">
        <v>377</v>
      </c>
      <c r="I32" s="257"/>
      <c r="J32" s="41" t="s">
        <v>58</v>
      </c>
    </row>
    <row r="33" spans="1:10" s="3" customFormat="1" ht="14.25" customHeight="1" x14ac:dyDescent="0.25">
      <c r="A33" s="243" t="s">
        <v>96</v>
      </c>
      <c r="B33" s="244"/>
      <c r="C33" s="244"/>
      <c r="D33" s="258"/>
      <c r="E33" s="259">
        <f>+'Operational Data'!G40</f>
        <v>711.32</v>
      </c>
      <c r="F33" s="247"/>
      <c r="G33" s="150" t="s">
        <v>153</v>
      </c>
      <c r="H33" s="260">
        <f>IF(E33&gt;0,E33/'Operational Data'!$G$21,"-")</f>
        <v>1.6859639683626959</v>
      </c>
      <c r="I33" s="261"/>
      <c r="J33" s="150" t="s">
        <v>154</v>
      </c>
    </row>
    <row r="34" spans="1:10" s="3" customFormat="1" ht="14.25" customHeight="1" x14ac:dyDescent="0.25">
      <c r="A34" s="243" t="s">
        <v>155</v>
      </c>
      <c r="B34" s="244"/>
      <c r="C34" s="244"/>
      <c r="D34" s="258"/>
      <c r="E34" s="259">
        <f>+'Operational Data'!G41+'Operational Data'!G40</f>
        <v>711.32</v>
      </c>
      <c r="F34" s="247"/>
      <c r="G34" s="150" t="s">
        <v>153</v>
      </c>
      <c r="H34" s="260">
        <f>IF(E34&gt;0,E34/'Operational Data'!$G$21,"-")</f>
        <v>1.6859639683626959</v>
      </c>
      <c r="I34" s="261"/>
      <c r="J34" s="150" t="s">
        <v>154</v>
      </c>
    </row>
    <row r="35" spans="1:10" s="3" customFormat="1" ht="14.25" customHeight="1" x14ac:dyDescent="0.25">
      <c r="A35" s="243" t="s">
        <v>156</v>
      </c>
      <c r="B35" s="244"/>
      <c r="C35" s="244"/>
      <c r="D35" s="258"/>
      <c r="E35" s="259">
        <v>2786</v>
      </c>
      <c r="F35" s="247"/>
      <c r="G35" s="150" t="s">
        <v>157</v>
      </c>
      <c r="H35" s="260">
        <f>IF(E35&gt;0,E35/'Operational Data'!$G$21,"-")</f>
        <v>6.6033509754519351</v>
      </c>
      <c r="I35" s="261"/>
      <c r="J35" s="150" t="s">
        <v>158</v>
      </c>
    </row>
    <row r="36" spans="1:10" s="3" customFormat="1" ht="14.25" customHeight="1" x14ac:dyDescent="0.25">
      <c r="A36" s="243" t="s">
        <v>102</v>
      </c>
      <c r="B36" s="244"/>
      <c r="C36" s="244"/>
      <c r="D36" s="258"/>
      <c r="E36" s="259">
        <f>+'Operational Data'!G44</f>
        <v>3200</v>
      </c>
      <c r="F36" s="247"/>
      <c r="G36" s="150" t="s">
        <v>157</v>
      </c>
      <c r="H36" s="260">
        <f>IF(E36&gt;0,E36/'Operational Data'!$G$21,"-")</f>
        <v>7.584609878480328</v>
      </c>
      <c r="I36" s="261"/>
      <c r="J36" s="150" t="s">
        <v>158</v>
      </c>
    </row>
    <row r="37" spans="1:10" s="3" customFormat="1" ht="14.25" customHeight="1" x14ac:dyDescent="0.25">
      <c r="A37" s="243" t="s">
        <v>423</v>
      </c>
      <c r="B37" s="244"/>
      <c r="C37" s="244"/>
      <c r="D37" s="258"/>
      <c r="E37" s="259">
        <v>23400</v>
      </c>
      <c r="F37" s="247"/>
      <c r="G37" s="150" t="s">
        <v>157</v>
      </c>
      <c r="H37" s="260">
        <f>IF(E37&gt;0,E37/'Operational Data'!$G$21,"-")</f>
        <v>55.462459736387395</v>
      </c>
      <c r="I37" s="261"/>
      <c r="J37" s="150" t="s">
        <v>158</v>
      </c>
    </row>
    <row r="38" spans="1:10" s="3" customFormat="1" ht="14.25" customHeight="1" x14ac:dyDescent="0.25">
      <c r="A38" s="267"/>
      <c r="B38" s="268"/>
      <c r="C38" s="268"/>
      <c r="D38" s="269"/>
      <c r="E38" s="270"/>
      <c r="F38" s="271"/>
      <c r="G38" s="151"/>
      <c r="H38" s="272"/>
      <c r="I38" s="273"/>
      <c r="J38" s="151"/>
    </row>
    <row r="39" spans="1:10" s="3" customFormat="1" ht="14.25" customHeight="1" x14ac:dyDescent="0.25">
      <c r="A39" s="265" t="s">
        <v>150</v>
      </c>
      <c r="B39" s="265"/>
      <c r="C39" s="265"/>
      <c r="D39" s="265"/>
      <c r="E39" s="265"/>
      <c r="F39" s="265"/>
      <c r="G39" s="265"/>
      <c r="H39" s="265"/>
      <c r="I39" s="265"/>
      <c r="J39" s="265"/>
    </row>
    <row r="40" spans="1:10" s="3" customFormat="1" ht="14.25" customHeight="1" x14ac:dyDescent="0.25">
      <c r="A40" s="266"/>
      <c r="B40" s="266"/>
      <c r="C40" s="266"/>
      <c r="D40" s="266"/>
      <c r="E40" s="266"/>
      <c r="F40" s="266"/>
      <c r="G40" s="266"/>
      <c r="H40" s="266"/>
      <c r="I40" s="266"/>
      <c r="J40" s="266"/>
    </row>
    <row r="41" spans="1:10" s="3" customFormat="1" ht="14.25" customHeight="1" x14ac:dyDescent="0.25">
      <c r="A41" s="266"/>
      <c r="B41" s="266"/>
      <c r="C41" s="266"/>
      <c r="D41" s="266"/>
      <c r="E41" s="266"/>
      <c r="F41" s="266"/>
      <c r="G41" s="266"/>
      <c r="H41" s="266"/>
      <c r="I41" s="266"/>
      <c r="J41" s="266"/>
    </row>
    <row r="42" spans="1:10" s="3" customFormat="1" ht="14.25" customHeight="1" x14ac:dyDescent="0.25">
      <c r="A42" s="42"/>
      <c r="B42" s="42"/>
      <c r="C42" s="42"/>
      <c r="D42" s="42"/>
      <c r="E42" s="42"/>
      <c r="F42" s="42"/>
      <c r="G42" s="42"/>
      <c r="H42" s="42"/>
      <c r="I42" s="42"/>
      <c r="J42" s="42"/>
    </row>
    <row r="43" spans="1:10" s="3" customFormat="1" ht="14.25" customHeight="1" x14ac:dyDescent="0.25">
      <c r="A43" s="34">
        <f>+A31</f>
        <v>2022</v>
      </c>
      <c r="B43" s="34" t="s">
        <v>159</v>
      </c>
      <c r="C43" s="34"/>
      <c r="D43" s="34"/>
      <c r="E43" s="34"/>
      <c r="F43" s="34"/>
      <c r="G43" s="95"/>
    </row>
    <row r="44" spans="1:10" ht="14.25" customHeight="1" x14ac:dyDescent="0.25">
      <c r="A44" s="274" t="s">
        <v>160</v>
      </c>
      <c r="B44" s="274"/>
      <c r="C44" s="274" t="s">
        <v>161</v>
      </c>
      <c r="D44" s="274"/>
      <c r="E44" s="274"/>
      <c r="F44" s="274"/>
      <c r="G44" s="274"/>
      <c r="H44" s="274"/>
      <c r="I44" s="274"/>
      <c r="J44" s="274"/>
    </row>
    <row r="45" spans="1:10" ht="14.25" customHeight="1" x14ac:dyDescent="0.25">
      <c r="A45" s="43"/>
      <c r="B45" s="43"/>
      <c r="C45" s="36" t="s">
        <v>162</v>
      </c>
      <c r="D45" s="36" t="s">
        <v>163</v>
      </c>
      <c r="E45" s="36" t="s">
        <v>164</v>
      </c>
      <c r="F45" s="36" t="s">
        <v>165</v>
      </c>
      <c r="G45" s="36" t="s">
        <v>166</v>
      </c>
      <c r="H45" s="36"/>
      <c r="I45" s="36" t="s">
        <v>167</v>
      </c>
      <c r="J45" s="36" t="s">
        <v>168</v>
      </c>
    </row>
    <row r="46" spans="1:10" ht="31.5" customHeight="1" x14ac:dyDescent="0.25">
      <c r="A46" s="234" t="s">
        <v>169</v>
      </c>
      <c r="B46" s="234"/>
      <c r="C46" s="152">
        <v>621.5</v>
      </c>
      <c r="D46" s="152"/>
      <c r="E46" s="152"/>
      <c r="F46" s="153"/>
      <c r="G46" s="153"/>
      <c r="H46" s="153"/>
      <c r="I46" s="153">
        <v>190</v>
      </c>
      <c r="J46" s="153">
        <v>134</v>
      </c>
    </row>
    <row r="47" spans="1:10" ht="43.5" customHeight="1" x14ac:dyDescent="0.25">
      <c r="A47" s="234" t="s">
        <v>170</v>
      </c>
      <c r="B47" s="234"/>
      <c r="C47" s="152">
        <v>1</v>
      </c>
      <c r="D47" s="152"/>
      <c r="E47" s="152"/>
      <c r="F47" s="153"/>
      <c r="G47" s="153"/>
      <c r="H47" s="153"/>
      <c r="I47" s="153"/>
      <c r="J47" s="153"/>
    </row>
    <row r="48" spans="1:10" ht="42.75" customHeight="1" x14ac:dyDescent="0.25">
      <c r="A48" s="234" t="s">
        <v>171</v>
      </c>
      <c r="B48" s="234"/>
      <c r="C48" s="152">
        <v>2.5</v>
      </c>
      <c r="D48" s="152"/>
      <c r="E48" s="152"/>
      <c r="F48" s="153"/>
      <c r="G48" s="153"/>
      <c r="H48" s="153"/>
      <c r="I48" s="153"/>
      <c r="J48" s="153"/>
    </row>
    <row r="49" spans="1:10" ht="8.25" customHeight="1" x14ac:dyDescent="0.25">
      <c r="A49" s="95"/>
      <c r="B49" s="95"/>
      <c r="C49" s="95"/>
      <c r="D49" s="95"/>
      <c r="E49" s="95"/>
      <c r="F49" s="95"/>
      <c r="G49" s="95"/>
      <c r="H49" s="95"/>
      <c r="I49" s="95"/>
      <c r="J49" s="95"/>
    </row>
    <row r="50" spans="1:10" x14ac:dyDescent="0.25">
      <c r="A50" s="265" t="s">
        <v>150</v>
      </c>
      <c r="B50" s="265"/>
      <c r="C50" s="265"/>
      <c r="D50" s="265"/>
      <c r="E50" s="265"/>
      <c r="F50" s="265"/>
      <c r="G50" s="265"/>
      <c r="H50" s="265"/>
      <c r="I50" s="265"/>
      <c r="J50" s="265"/>
    </row>
    <row r="51" spans="1:10" x14ac:dyDescent="0.25">
      <c r="A51" s="266"/>
      <c r="B51" s="266"/>
      <c r="C51" s="266"/>
      <c r="D51" s="266"/>
      <c r="E51" s="266"/>
      <c r="F51" s="266"/>
      <c r="G51" s="266"/>
      <c r="H51" s="266"/>
      <c r="I51" s="266"/>
      <c r="J51" s="266"/>
    </row>
    <row r="52" spans="1:10" x14ac:dyDescent="0.25">
      <c r="A52" s="266"/>
      <c r="B52" s="266"/>
      <c r="C52" s="266"/>
      <c r="D52" s="266"/>
      <c r="E52" s="266"/>
      <c r="F52" s="266"/>
      <c r="G52" s="266"/>
      <c r="H52" s="266"/>
      <c r="I52" s="266"/>
      <c r="J52" s="266"/>
    </row>
    <row r="54" spans="1:10" x14ac:dyDescent="0.25">
      <c r="A54" s="3" t="s">
        <v>172</v>
      </c>
      <c r="B54" s="44"/>
      <c r="C54" s="44"/>
      <c r="D54" s="44"/>
      <c r="E54" s="44"/>
      <c r="F54" s="3"/>
      <c r="G54" s="3" t="s">
        <v>173</v>
      </c>
      <c r="H54" s="44"/>
      <c r="I54" s="44"/>
      <c r="J54" s="95"/>
    </row>
    <row r="62" spans="1:10" x14ac:dyDescent="0.25">
      <c r="A62" s="95"/>
      <c r="B62" s="95"/>
      <c r="C62" s="95"/>
      <c r="D62" s="95"/>
      <c r="E62" s="95"/>
      <c r="F62" s="3"/>
      <c r="G62" s="95"/>
      <c r="H62" s="95"/>
      <c r="I62" s="95"/>
      <c r="J62" s="95"/>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tabSelected="1" topLeftCell="A9" zoomScaleNormal="100" workbookViewId="0">
      <selection activeCell="B31" sqref="B31:I31"/>
    </sheetView>
  </sheetViews>
  <sheetFormatPr defaultColWidth="9.33203125" defaultRowHeight="15" x14ac:dyDescent="0.25"/>
  <cols>
    <col min="1" max="1" width="9.44140625" style="2" bestFit="1" customWidth="1"/>
    <col min="2" max="16384" width="9.33203125" style="2"/>
  </cols>
  <sheetData>
    <row r="1" spans="1:10" ht="15.6" x14ac:dyDescent="0.3">
      <c r="A1" s="33">
        <f>+'Cover Page'!C39</f>
        <v>2022</v>
      </c>
      <c r="B1" s="34" t="s">
        <v>174</v>
      </c>
      <c r="C1" s="34"/>
      <c r="D1" s="34"/>
      <c r="E1" s="34"/>
      <c r="F1" s="34"/>
      <c r="G1" s="34"/>
      <c r="H1" s="34"/>
      <c r="I1" s="34"/>
      <c r="J1" s="34"/>
    </row>
    <row r="3" spans="1:10" s="3" customFormat="1" ht="15" customHeight="1" x14ac:dyDescent="0.25">
      <c r="A3" s="3" t="str">
        <f>+'Cover Page'!B31</f>
        <v>Permit EPR/CP3207PV</v>
      </c>
      <c r="F3" s="3" t="s">
        <v>129</v>
      </c>
      <c r="G3" s="275">
        <f>+'Cover Page'!B37:I37</f>
        <v>0</v>
      </c>
      <c r="H3" s="275"/>
      <c r="I3" s="275"/>
    </row>
    <row r="4" spans="1:10" s="3" customFormat="1" ht="13.8" x14ac:dyDescent="0.25"/>
    <row r="5" spans="1:10" s="3" customFormat="1" ht="13.8" x14ac:dyDescent="0.25">
      <c r="A5" s="3" t="s">
        <v>130</v>
      </c>
      <c r="B5" s="238" t="str">
        <f>+'Cover Page'!B33:I33</f>
        <v>Clinitek (Stoke) LLP</v>
      </c>
      <c r="C5" s="238"/>
      <c r="D5" s="238"/>
      <c r="E5" s="238"/>
      <c r="F5" s="3" t="s">
        <v>131</v>
      </c>
      <c r="G5" s="3" t="s">
        <v>175</v>
      </c>
    </row>
    <row r="6" spans="1:10" s="3" customFormat="1" ht="13.8" x14ac:dyDescent="0.25"/>
    <row r="7" spans="1:10" s="3" customFormat="1" ht="15.75" customHeight="1" x14ac:dyDescent="0.25">
      <c r="A7" s="3" t="s">
        <v>133</v>
      </c>
      <c r="D7" s="276" t="str">
        <f>+'Perf. Form 1'!D6:E6</f>
        <v>01.01.2022</v>
      </c>
      <c r="E7" s="276"/>
      <c r="F7" s="35" t="s">
        <v>134</v>
      </c>
      <c r="G7" s="276" t="str">
        <f>+'Perf. Form 1'!G6:H6</f>
        <v>31.12.2022</v>
      </c>
      <c r="H7" s="276"/>
    </row>
    <row r="8" spans="1:10" s="3" customFormat="1" ht="14.4" x14ac:dyDescent="0.3">
      <c r="B8"/>
      <c r="C8"/>
      <c r="D8"/>
    </row>
    <row r="9" spans="1:10" s="3" customFormat="1" ht="37.5" customHeight="1" x14ac:dyDescent="0.25">
      <c r="A9" s="274" t="s">
        <v>176</v>
      </c>
      <c r="B9" s="274"/>
      <c r="C9" s="274"/>
      <c r="D9" s="241" t="s">
        <v>177</v>
      </c>
      <c r="E9" s="241"/>
      <c r="F9" s="36" t="s">
        <v>58</v>
      </c>
      <c r="G9" s="274" t="s">
        <v>421</v>
      </c>
      <c r="H9" s="274"/>
      <c r="I9" s="274"/>
    </row>
    <row r="10" spans="1:10" s="3" customFormat="1" ht="24.75" customHeight="1" x14ac:dyDescent="0.25">
      <c r="A10" s="234" t="s">
        <v>178</v>
      </c>
      <c r="B10" s="234"/>
      <c r="C10" s="234"/>
      <c r="D10" s="277">
        <v>1.2999999999999999E-2</v>
      </c>
      <c r="E10" s="277"/>
      <c r="F10" s="154" t="s">
        <v>80</v>
      </c>
      <c r="G10" s="278">
        <f>+'Operational Data'!H24</f>
        <v>93864.287627368103</v>
      </c>
      <c r="H10" s="278"/>
      <c r="I10" s="278"/>
    </row>
    <row r="11" spans="1:10" s="3" customFormat="1" ht="24.75" customHeight="1" x14ac:dyDescent="0.25">
      <c r="A11" s="234" t="s">
        <v>179</v>
      </c>
      <c r="B11" s="234"/>
      <c r="C11" s="234"/>
      <c r="D11" s="279">
        <v>5.0839999999999996</v>
      </c>
      <c r="E11" s="279"/>
      <c r="F11" s="154" t="s">
        <v>80</v>
      </c>
      <c r="G11" s="278">
        <f>+'Operational Data'!H27</f>
        <v>12050.048944435621</v>
      </c>
      <c r="H11" s="278"/>
      <c r="I11" s="278"/>
    </row>
    <row r="12" spans="1:10" s="3" customFormat="1" ht="24.75" customHeight="1" x14ac:dyDescent="0.25">
      <c r="A12" s="234" t="s">
        <v>180</v>
      </c>
      <c r="B12" s="234"/>
      <c r="C12" s="234"/>
      <c r="D12" s="277">
        <v>1.2999999999999999E-2</v>
      </c>
      <c r="E12" s="277"/>
      <c r="F12" s="154" t="s">
        <v>80</v>
      </c>
      <c r="G12" s="278">
        <f>+'Operational Data'!H25</f>
        <v>3.0812477631326333E-2</v>
      </c>
      <c r="H12" s="278"/>
      <c r="I12" s="278"/>
    </row>
    <row r="13" spans="1:10" s="3" customFormat="1" ht="24.75" customHeight="1" x14ac:dyDescent="0.25">
      <c r="A13" s="234" t="s">
        <v>181</v>
      </c>
      <c r="B13" s="234"/>
      <c r="C13" s="234"/>
      <c r="D13" s="280"/>
      <c r="E13" s="280"/>
      <c r="F13" s="154" t="s">
        <v>66</v>
      </c>
      <c r="G13" s="281"/>
      <c r="H13" s="281"/>
      <c r="I13" s="281"/>
    </row>
    <row r="14" spans="1:10" s="3" customFormat="1" ht="24.75" customHeight="1" x14ac:dyDescent="0.25">
      <c r="A14" s="234" t="s">
        <v>182</v>
      </c>
      <c r="B14" s="234"/>
      <c r="C14" s="234"/>
      <c r="D14" s="277">
        <f>+'Operational Data'!G30</f>
        <v>0</v>
      </c>
      <c r="E14" s="277"/>
      <c r="F14" s="154" t="s">
        <v>183</v>
      </c>
      <c r="G14" s="278" t="str">
        <f>+'Operational Data'!H30</f>
        <v>-</v>
      </c>
      <c r="H14" s="278"/>
      <c r="I14" s="278"/>
    </row>
    <row r="15" spans="1:10" s="3" customFormat="1" ht="24.75" customHeight="1" x14ac:dyDescent="0.25">
      <c r="A15" s="242"/>
      <c r="B15" s="242"/>
      <c r="C15" s="242"/>
      <c r="D15" s="242"/>
      <c r="E15" s="242"/>
      <c r="F15" s="93"/>
      <c r="G15" s="193"/>
      <c r="H15" s="193"/>
      <c r="I15" s="193"/>
    </row>
    <row r="16" spans="1:10" s="3" customFormat="1" ht="24.75" customHeight="1" x14ac:dyDescent="0.25">
      <c r="A16" s="242"/>
      <c r="B16" s="242"/>
      <c r="C16" s="242"/>
      <c r="D16" s="242"/>
      <c r="E16" s="242"/>
      <c r="F16" s="93"/>
      <c r="G16" s="193"/>
      <c r="H16" s="193"/>
      <c r="I16" s="193"/>
    </row>
    <row r="17" spans="1:9" s="3" customFormat="1" ht="14.4" x14ac:dyDescent="0.3">
      <c r="A17" s="45"/>
      <c r="B17"/>
      <c r="C17"/>
      <c r="D17"/>
    </row>
    <row r="18" spans="1:9" s="3" customFormat="1" ht="24" customHeight="1" x14ac:dyDescent="0.25">
      <c r="A18" s="265" t="s">
        <v>150</v>
      </c>
      <c r="B18" s="265"/>
      <c r="C18" s="265"/>
      <c r="D18" s="265"/>
      <c r="E18" s="265"/>
      <c r="F18" s="265"/>
      <c r="G18" s="265"/>
      <c r="H18" s="265"/>
      <c r="I18" s="265"/>
    </row>
    <row r="19" spans="1:9" s="3" customFormat="1" ht="13.8" x14ac:dyDescent="0.25">
      <c r="A19" s="282" t="s">
        <v>447</v>
      </c>
      <c r="B19" s="282"/>
      <c r="C19" s="282"/>
      <c r="D19" s="282"/>
      <c r="E19" s="282"/>
      <c r="F19" s="282"/>
      <c r="G19" s="282"/>
      <c r="H19" s="282"/>
      <c r="I19" s="282"/>
    </row>
    <row r="20" spans="1:9" s="3" customFormat="1" ht="13.8" x14ac:dyDescent="0.25">
      <c r="A20" s="282"/>
      <c r="B20" s="282"/>
      <c r="C20" s="282"/>
      <c r="D20" s="282"/>
      <c r="E20" s="282"/>
      <c r="F20" s="282"/>
      <c r="G20" s="282"/>
      <c r="H20" s="282"/>
      <c r="I20" s="282"/>
    </row>
    <row r="21" spans="1:9" s="3" customFormat="1" ht="13.8" x14ac:dyDescent="0.25">
      <c r="A21" s="282"/>
      <c r="B21" s="282"/>
      <c r="C21" s="282"/>
      <c r="D21" s="282"/>
      <c r="E21" s="282"/>
      <c r="F21" s="282"/>
      <c r="G21" s="282"/>
      <c r="H21" s="282"/>
      <c r="I21" s="282"/>
    </row>
    <row r="22" spans="1:9" s="3" customFormat="1" ht="13.8" x14ac:dyDescent="0.25">
      <c r="A22" s="282"/>
      <c r="B22" s="282"/>
      <c r="C22" s="282"/>
      <c r="D22" s="282"/>
      <c r="E22" s="282"/>
      <c r="F22" s="282"/>
      <c r="G22" s="282"/>
      <c r="H22" s="282"/>
      <c r="I22" s="282"/>
    </row>
    <row r="23" spans="1:9" s="3" customFormat="1" ht="13.8" x14ac:dyDescent="0.25">
      <c r="A23" s="282"/>
      <c r="B23" s="282"/>
      <c r="C23" s="282"/>
      <c r="D23" s="282"/>
      <c r="E23" s="282"/>
      <c r="F23" s="282"/>
      <c r="G23" s="282"/>
      <c r="H23" s="282"/>
      <c r="I23" s="282"/>
    </row>
    <row r="24" spans="1:9" s="3" customFormat="1" ht="13.8" x14ac:dyDescent="0.25">
      <c r="A24" s="282"/>
      <c r="B24" s="282"/>
      <c r="C24" s="282"/>
      <c r="D24" s="282"/>
      <c r="E24" s="282"/>
      <c r="F24" s="282"/>
      <c r="G24" s="282"/>
      <c r="H24" s="282"/>
      <c r="I24" s="282"/>
    </row>
    <row r="25" spans="1:9" s="3" customFormat="1" ht="13.8" x14ac:dyDescent="0.25">
      <c r="A25" s="282"/>
      <c r="B25" s="282"/>
      <c r="C25" s="282"/>
      <c r="D25" s="282"/>
      <c r="E25" s="282"/>
      <c r="F25" s="282"/>
      <c r="G25" s="282"/>
      <c r="H25" s="282"/>
      <c r="I25" s="282"/>
    </row>
    <row r="26" spans="1:9" s="3" customFormat="1" ht="13.8" x14ac:dyDescent="0.25">
      <c r="A26" s="42"/>
      <c r="B26" s="42"/>
      <c r="C26" s="42"/>
      <c r="D26" s="42"/>
      <c r="E26" s="42"/>
      <c r="F26" s="42"/>
      <c r="G26" s="42"/>
      <c r="H26" s="42"/>
      <c r="I26" s="42"/>
    </row>
    <row r="27" spans="1:9" s="3" customFormat="1" ht="13.8" x14ac:dyDescent="0.25"/>
    <row r="28" spans="1:9" s="3" customFormat="1" ht="13.8" x14ac:dyDescent="0.25"/>
    <row r="29" spans="1:9" s="3" customFormat="1" ht="13.8" x14ac:dyDescent="0.25">
      <c r="A29" s="3" t="s">
        <v>172</v>
      </c>
      <c r="B29" s="44"/>
      <c r="C29" s="44"/>
      <c r="D29" s="44"/>
      <c r="E29" s="44"/>
      <c r="G29" s="3" t="s">
        <v>173</v>
      </c>
      <c r="H29" s="44"/>
      <c r="I29" s="44"/>
    </row>
    <row r="30" spans="1:9" s="3" customFormat="1" ht="13.8" x14ac:dyDescent="0.25"/>
    <row r="31" spans="1:9" ht="14.25" customHeight="1" x14ac:dyDescent="0.25">
      <c r="A31" s="3"/>
      <c r="B31" s="3" t="s">
        <v>367</v>
      </c>
      <c r="C31" s="3"/>
      <c r="D31" s="3"/>
      <c r="E31" s="3"/>
      <c r="F31" s="3"/>
      <c r="G31" s="3"/>
      <c r="H31" s="3"/>
      <c r="I31" s="3"/>
    </row>
    <row r="32" spans="1:9" s="3" customFormat="1" ht="13.8" x14ac:dyDescent="0.25"/>
    <row r="33" spans="1:9" s="3" customFormat="1" ht="13.8" x14ac:dyDescent="0.25"/>
    <row r="34" spans="1:9" s="3" customFormat="1" x14ac:dyDescent="0.25">
      <c r="A34" s="95"/>
      <c r="B34" s="95"/>
      <c r="C34" s="95"/>
      <c r="D34" s="95"/>
      <c r="E34" s="95"/>
      <c r="F34" s="95"/>
      <c r="G34" s="95"/>
      <c r="H34" s="95"/>
      <c r="I34" s="95"/>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71"/>
  <sheetViews>
    <sheetView showGridLines="0" tabSelected="1" topLeftCell="A33" zoomScaleNormal="100" workbookViewId="0">
      <selection activeCell="B31" sqref="B31:I31"/>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8" width="9.33203125" style="2"/>
    <col min="9" max="9" width="8.5546875" style="2" customWidth="1"/>
    <col min="10" max="10" width="9.33203125" style="2" hidden="1" customWidth="1"/>
    <col min="11" max="11" width="10.6640625" style="2" bestFit="1" customWidth="1"/>
    <col min="12" max="12" width="31.6640625" style="2" customWidth="1"/>
    <col min="13" max="16384" width="9.33203125" style="2"/>
  </cols>
  <sheetData>
    <row r="1" spans="1:15" x14ac:dyDescent="0.25">
      <c r="A1" s="95" t="str">
        <f>+'Cover Page'!$B$29</f>
        <v>Annual Performance Report 2022</v>
      </c>
      <c r="B1" s="95"/>
      <c r="C1" s="95"/>
      <c r="D1" s="95"/>
      <c r="E1" s="95" t="str">
        <f>+'Cover Page'!$B$33</f>
        <v>Clinitek (Stoke) LLP</v>
      </c>
      <c r="F1" s="95"/>
      <c r="G1" s="95"/>
      <c r="H1" s="95"/>
      <c r="I1" s="95"/>
      <c r="J1" s="95"/>
      <c r="K1" s="95"/>
      <c r="L1" s="95"/>
      <c r="M1" s="95"/>
      <c r="N1" s="95"/>
      <c r="O1" s="95"/>
    </row>
    <row r="3" spans="1:15" ht="15.6" x14ac:dyDescent="0.3">
      <c r="A3" s="1" t="s">
        <v>184</v>
      </c>
      <c r="B3" s="95"/>
      <c r="C3" s="95"/>
      <c r="D3" s="95"/>
      <c r="E3" s="95"/>
      <c r="F3" s="95"/>
      <c r="G3" s="95"/>
      <c r="H3" s="95"/>
      <c r="I3" s="95"/>
      <c r="J3" s="95"/>
      <c r="K3" s="95"/>
      <c r="L3" s="95"/>
      <c r="M3" s="95"/>
      <c r="N3" s="95"/>
      <c r="O3" s="95"/>
    </row>
    <row r="4" spans="1:15" ht="15.6" x14ac:dyDescent="0.3">
      <c r="A4" s="1"/>
      <c r="B4" s="95"/>
      <c r="C4" s="95"/>
      <c r="D4" s="95"/>
      <c r="E4" s="95"/>
      <c r="F4" s="95"/>
      <c r="G4" s="95"/>
      <c r="H4" s="95"/>
      <c r="I4" s="95"/>
      <c r="J4" s="95"/>
      <c r="K4" s="95"/>
      <c r="L4" s="95"/>
      <c r="M4" s="95"/>
      <c r="N4" s="95"/>
      <c r="O4" s="95"/>
    </row>
    <row r="5" spans="1:15" x14ac:dyDescent="0.25">
      <c r="A5" s="9" t="s">
        <v>185</v>
      </c>
      <c r="B5" s="95"/>
      <c r="C5" s="95"/>
      <c r="D5" s="95"/>
      <c r="E5" s="95"/>
      <c r="F5" s="95"/>
      <c r="G5" s="95"/>
      <c r="H5" s="95"/>
      <c r="I5" s="95"/>
      <c r="J5" s="95"/>
      <c r="K5" s="95"/>
      <c r="L5" s="95"/>
      <c r="M5" s="95"/>
      <c r="N5" s="95"/>
      <c r="O5" s="95"/>
    </row>
    <row r="6" spans="1:15" x14ac:dyDescent="0.25">
      <c r="A6" s="9"/>
      <c r="B6" s="95"/>
      <c r="C6" s="95"/>
      <c r="D6" s="95"/>
      <c r="E6" s="95"/>
      <c r="F6" s="95"/>
      <c r="G6" s="95"/>
      <c r="H6" s="95"/>
      <c r="I6" s="95"/>
      <c r="J6" s="95"/>
      <c r="K6" s="95"/>
      <c r="L6" s="95"/>
      <c r="M6" s="95"/>
      <c r="N6" s="95"/>
      <c r="O6" s="95"/>
    </row>
    <row r="7" spans="1:15" x14ac:dyDescent="0.25">
      <c r="A7" s="108" t="s">
        <v>186</v>
      </c>
      <c r="B7" s="95"/>
      <c r="C7" s="95"/>
      <c r="D7" s="95"/>
      <c r="E7" s="95"/>
      <c r="F7" s="95"/>
      <c r="G7" s="95"/>
      <c r="H7" s="95"/>
      <c r="I7" s="95"/>
      <c r="J7" s="95"/>
      <c r="K7" s="95"/>
      <c r="L7" s="95"/>
      <c r="M7" s="95"/>
      <c r="N7" s="95"/>
      <c r="O7" s="95"/>
    </row>
    <row r="8" spans="1:15" s="3" customFormat="1" ht="25.5" customHeight="1" x14ac:dyDescent="0.3">
      <c r="A8" s="291" t="s">
        <v>187</v>
      </c>
      <c r="B8" s="292"/>
      <c r="C8" s="291" t="s">
        <v>188</v>
      </c>
      <c r="D8" s="293"/>
      <c r="E8" s="293"/>
      <c r="F8" s="293"/>
      <c r="G8" s="293"/>
      <c r="H8" s="293"/>
      <c r="I8" s="292"/>
      <c r="L8" s="81" t="s">
        <v>2</v>
      </c>
    </row>
    <row r="9" spans="1:15" s="3" customFormat="1" ht="22.5" customHeight="1" x14ac:dyDescent="0.25">
      <c r="A9" s="294"/>
      <c r="B9" s="295"/>
      <c r="C9" s="296" t="s">
        <v>189</v>
      </c>
      <c r="D9" s="296"/>
      <c r="E9" s="296"/>
      <c r="F9" s="296" t="s">
        <v>190</v>
      </c>
      <c r="G9" s="296"/>
      <c r="H9" s="296"/>
      <c r="I9" s="296"/>
      <c r="L9" s="221" t="s">
        <v>191</v>
      </c>
      <c r="M9" s="221"/>
      <c r="N9" s="221"/>
      <c r="O9" s="221"/>
    </row>
    <row r="10" spans="1:15" s="3" customFormat="1" ht="22.5" customHeight="1" x14ac:dyDescent="0.25">
      <c r="A10" s="287" t="s">
        <v>192</v>
      </c>
      <c r="B10" s="287"/>
      <c r="C10" s="288">
        <v>1</v>
      </c>
      <c r="D10" s="289"/>
      <c r="E10" s="289"/>
      <c r="F10" s="288">
        <v>1</v>
      </c>
      <c r="G10" s="289"/>
      <c r="H10" s="289"/>
      <c r="I10" s="289"/>
      <c r="L10" s="221"/>
      <c r="M10" s="221"/>
      <c r="N10" s="221"/>
      <c r="O10" s="221"/>
    </row>
    <row r="11" spans="1:15" s="3" customFormat="1" ht="22.5" customHeight="1" x14ac:dyDescent="0.25">
      <c r="A11" s="287" t="s">
        <v>193</v>
      </c>
      <c r="B11" s="287"/>
      <c r="C11" s="288">
        <v>1</v>
      </c>
      <c r="D11" s="289"/>
      <c r="E11" s="289"/>
      <c r="F11" s="288">
        <v>1</v>
      </c>
      <c r="G11" s="289"/>
      <c r="H11" s="289"/>
      <c r="I11" s="289"/>
      <c r="L11" s="221"/>
      <c r="M11" s="221"/>
      <c r="N11" s="221"/>
      <c r="O11" s="221"/>
    </row>
    <row r="12" spans="1:15" s="3" customFormat="1" ht="22.5" customHeight="1" x14ac:dyDescent="0.25">
      <c r="A12" s="287" t="s">
        <v>194</v>
      </c>
      <c r="B12" s="287"/>
      <c r="C12" s="288">
        <v>1</v>
      </c>
      <c r="D12" s="289"/>
      <c r="E12" s="289"/>
      <c r="F12" s="288">
        <v>1</v>
      </c>
      <c r="G12" s="289"/>
      <c r="H12" s="289"/>
      <c r="I12" s="289"/>
      <c r="L12" s="221"/>
      <c r="M12" s="221"/>
      <c r="N12" s="221"/>
      <c r="O12" s="221"/>
    </row>
    <row r="13" spans="1:15" s="3" customFormat="1" ht="22.5" customHeight="1" x14ac:dyDescent="0.25">
      <c r="A13" s="287" t="s">
        <v>195</v>
      </c>
      <c r="B13" s="287"/>
      <c r="C13" s="290">
        <v>1</v>
      </c>
      <c r="D13" s="289"/>
      <c r="E13" s="289"/>
      <c r="F13" s="288">
        <v>1</v>
      </c>
      <c r="G13" s="289"/>
      <c r="H13" s="289"/>
      <c r="I13" s="289"/>
      <c r="L13" s="221"/>
      <c r="M13" s="221"/>
      <c r="N13" s="221"/>
      <c r="O13" s="221"/>
    </row>
    <row r="14" spans="1:15" s="3" customFormat="1" ht="22.5" customHeight="1" x14ac:dyDescent="0.25">
      <c r="A14" s="287" t="s">
        <v>196</v>
      </c>
      <c r="B14" s="287"/>
      <c r="C14" s="288">
        <v>1</v>
      </c>
      <c r="D14" s="289"/>
      <c r="E14" s="289"/>
      <c r="F14" s="288">
        <v>1</v>
      </c>
      <c r="G14" s="289"/>
      <c r="H14" s="289"/>
      <c r="I14" s="289"/>
      <c r="L14" s="221"/>
      <c r="M14" s="221"/>
      <c r="N14" s="221"/>
      <c r="O14" s="221"/>
    </row>
    <row r="15" spans="1:15" s="3" customFormat="1" ht="22.5" customHeight="1" x14ac:dyDescent="0.25">
      <c r="A15" s="287" t="s">
        <v>197</v>
      </c>
      <c r="B15" s="287"/>
      <c r="C15" s="297">
        <v>0.99619999999999997</v>
      </c>
      <c r="D15" s="289"/>
      <c r="E15" s="289"/>
      <c r="F15" s="297">
        <v>0.89359999999999995</v>
      </c>
      <c r="G15" s="289"/>
      <c r="H15" s="289"/>
      <c r="I15" s="289"/>
      <c r="L15" s="221"/>
      <c r="M15" s="221"/>
      <c r="N15" s="221"/>
      <c r="O15" s="221"/>
    </row>
    <row r="16" spans="1:15" s="3" customFormat="1" ht="22.5" customHeight="1" x14ac:dyDescent="0.25">
      <c r="A16" s="287" t="s">
        <v>198</v>
      </c>
      <c r="B16" s="287"/>
      <c r="C16" s="289" t="s">
        <v>436</v>
      </c>
      <c r="D16" s="289"/>
      <c r="E16" s="289"/>
      <c r="F16" s="289" t="s">
        <v>436</v>
      </c>
      <c r="G16" s="289"/>
      <c r="H16" s="289"/>
      <c r="I16" s="289"/>
      <c r="L16" s="221"/>
      <c r="M16" s="221"/>
      <c r="N16" s="221"/>
      <c r="O16" s="221"/>
    </row>
    <row r="17" spans="1:15" s="3" customFormat="1" ht="22.5" customHeight="1" x14ac:dyDescent="0.25">
      <c r="A17" s="298"/>
      <c r="B17" s="299"/>
      <c r="C17" s="297">
        <v>0.99939999999999996</v>
      </c>
      <c r="D17" s="289"/>
      <c r="E17" s="289"/>
      <c r="F17" s="297">
        <v>0.98229999999999995</v>
      </c>
      <c r="G17" s="289"/>
      <c r="H17" s="289"/>
      <c r="I17" s="289"/>
      <c r="L17" s="221"/>
      <c r="M17" s="221"/>
      <c r="N17" s="221"/>
      <c r="O17" s="221"/>
    </row>
    <row r="18" spans="1:15" s="3" customFormat="1" ht="13.8" x14ac:dyDescent="0.25">
      <c r="L18" s="221"/>
      <c r="M18" s="221"/>
      <c r="N18" s="221"/>
      <c r="O18" s="221"/>
    </row>
    <row r="19" spans="1:15" s="45" customFormat="1" ht="21.75" customHeight="1" x14ac:dyDescent="0.3">
      <c r="A19" s="308" t="s">
        <v>199</v>
      </c>
      <c r="B19" s="309"/>
      <c r="C19" s="309"/>
      <c r="D19" s="309"/>
      <c r="E19" s="309"/>
      <c r="F19" s="309"/>
      <c r="G19" s="309"/>
      <c r="H19" s="309"/>
      <c r="I19" s="309"/>
      <c r="J19" s="309"/>
      <c r="K19" s="310"/>
    </row>
    <row r="20" spans="1:15" s="3" customFormat="1" ht="38.25" customHeight="1" x14ac:dyDescent="0.25">
      <c r="A20" s="46" t="s">
        <v>38</v>
      </c>
      <c r="B20" s="300" t="s">
        <v>200</v>
      </c>
      <c r="C20" s="300"/>
      <c r="D20" s="300"/>
      <c r="E20" s="300" t="s">
        <v>201</v>
      </c>
      <c r="F20" s="300"/>
      <c r="G20" s="300"/>
      <c r="H20" s="300" t="s">
        <v>202</v>
      </c>
      <c r="I20" s="300"/>
      <c r="J20" s="301"/>
      <c r="K20" s="72"/>
    </row>
    <row r="21" spans="1:15" s="3" customFormat="1" ht="28.2" customHeight="1" x14ac:dyDescent="0.25">
      <c r="A21" s="174" t="s">
        <v>388</v>
      </c>
      <c r="B21" s="282" t="s">
        <v>385</v>
      </c>
      <c r="C21" s="282"/>
      <c r="D21" s="282"/>
      <c r="E21" s="282" t="s">
        <v>386</v>
      </c>
      <c r="F21" s="282"/>
      <c r="G21" s="282"/>
      <c r="H21" s="282" t="s">
        <v>387</v>
      </c>
      <c r="I21" s="282"/>
      <c r="J21" s="283"/>
      <c r="K21" s="72"/>
    </row>
    <row r="22" spans="1:15" s="3" customFormat="1" ht="13.8" x14ac:dyDescent="0.25">
      <c r="A22" s="173" t="s">
        <v>388</v>
      </c>
      <c r="B22" s="187" t="s">
        <v>440</v>
      </c>
      <c r="C22" s="187"/>
      <c r="D22" s="187"/>
      <c r="E22" s="187" t="s">
        <v>389</v>
      </c>
      <c r="F22" s="187"/>
      <c r="G22" s="187"/>
      <c r="H22" s="187" t="s">
        <v>390</v>
      </c>
      <c r="I22" s="187"/>
      <c r="J22" s="311"/>
      <c r="K22" s="72"/>
    </row>
    <row r="23" spans="1:15" s="3" customFormat="1" ht="31.95" customHeight="1" x14ac:dyDescent="0.25">
      <c r="A23" s="173" t="s">
        <v>393</v>
      </c>
      <c r="B23" s="283" t="s">
        <v>441</v>
      </c>
      <c r="C23" s="284"/>
      <c r="D23" s="285"/>
      <c r="E23" s="283" t="s">
        <v>394</v>
      </c>
      <c r="F23" s="284"/>
      <c r="G23" s="285"/>
      <c r="H23" s="283" t="s">
        <v>405</v>
      </c>
      <c r="I23" s="285"/>
      <c r="J23" s="175"/>
      <c r="K23" s="72"/>
    </row>
    <row r="24" spans="1:15" s="3" customFormat="1" ht="28.2" customHeight="1" x14ac:dyDescent="0.25">
      <c r="A24" s="173" t="s">
        <v>391</v>
      </c>
      <c r="B24" s="282" t="s">
        <v>392</v>
      </c>
      <c r="C24" s="282"/>
      <c r="D24" s="282"/>
      <c r="E24" s="282" t="s">
        <v>386</v>
      </c>
      <c r="F24" s="282"/>
      <c r="G24" s="282"/>
      <c r="H24" s="282" t="s">
        <v>387</v>
      </c>
      <c r="I24" s="282"/>
      <c r="J24" s="283"/>
      <c r="K24" s="72"/>
    </row>
    <row r="25" spans="1:15" s="3" customFormat="1" ht="28.2" customHeight="1" x14ac:dyDescent="0.25">
      <c r="A25" s="173" t="s">
        <v>395</v>
      </c>
      <c r="B25" s="187" t="s">
        <v>452</v>
      </c>
      <c r="C25" s="187"/>
      <c r="D25" s="187"/>
      <c r="E25" s="282" t="s">
        <v>386</v>
      </c>
      <c r="F25" s="282"/>
      <c r="G25" s="282"/>
      <c r="H25" s="282" t="s">
        <v>387</v>
      </c>
      <c r="I25" s="282"/>
      <c r="J25" s="283"/>
      <c r="K25" s="72"/>
    </row>
    <row r="26" spans="1:15" s="3" customFormat="1" ht="28.2" customHeight="1" x14ac:dyDescent="0.25">
      <c r="A26" s="173" t="s">
        <v>396</v>
      </c>
      <c r="B26" s="187" t="s">
        <v>453</v>
      </c>
      <c r="C26" s="187"/>
      <c r="D26" s="187"/>
      <c r="E26" s="282" t="s">
        <v>386</v>
      </c>
      <c r="F26" s="282"/>
      <c r="G26" s="282"/>
      <c r="H26" s="282" t="s">
        <v>387</v>
      </c>
      <c r="I26" s="282"/>
      <c r="J26" s="283"/>
      <c r="K26" s="72"/>
    </row>
    <row r="27" spans="1:15" s="3" customFormat="1" ht="28.95" customHeight="1" x14ac:dyDescent="0.25">
      <c r="A27" s="173" t="s">
        <v>397</v>
      </c>
      <c r="B27" s="187" t="s">
        <v>454</v>
      </c>
      <c r="C27" s="187"/>
      <c r="D27" s="187"/>
      <c r="E27" s="282" t="s">
        <v>386</v>
      </c>
      <c r="F27" s="282"/>
      <c r="G27" s="282"/>
      <c r="H27" s="282" t="s">
        <v>387</v>
      </c>
      <c r="I27" s="282"/>
      <c r="J27" s="283"/>
      <c r="K27" s="72"/>
    </row>
    <row r="28" spans="1:15" s="3" customFormat="1" ht="39" customHeight="1" x14ac:dyDescent="0.25">
      <c r="A28" s="173" t="s">
        <v>398</v>
      </c>
      <c r="B28" s="283" t="s">
        <v>399</v>
      </c>
      <c r="C28" s="284"/>
      <c r="D28" s="285"/>
      <c r="E28" s="283" t="s">
        <v>400</v>
      </c>
      <c r="F28" s="284"/>
      <c r="G28" s="285"/>
      <c r="H28" s="283" t="s">
        <v>435</v>
      </c>
      <c r="I28" s="285"/>
      <c r="J28" s="176"/>
      <c r="K28" s="72"/>
    </row>
    <row r="29" spans="1:15" s="3" customFormat="1" ht="28.95" customHeight="1" x14ac:dyDescent="0.25">
      <c r="A29" s="173" t="s">
        <v>429</v>
      </c>
      <c r="B29" s="283" t="s">
        <v>455</v>
      </c>
      <c r="C29" s="284"/>
      <c r="D29" s="285"/>
      <c r="E29" s="282" t="s">
        <v>386</v>
      </c>
      <c r="F29" s="282"/>
      <c r="G29" s="282"/>
      <c r="H29" s="283" t="s">
        <v>387</v>
      </c>
      <c r="I29" s="285"/>
      <c r="J29" s="176"/>
      <c r="K29" s="72"/>
    </row>
    <row r="30" spans="1:15" s="3" customFormat="1" ht="28.95" customHeight="1" x14ac:dyDescent="0.25">
      <c r="A30" s="173" t="s">
        <v>429</v>
      </c>
      <c r="B30" s="283" t="s">
        <v>430</v>
      </c>
      <c r="C30" s="306"/>
      <c r="D30" s="307"/>
      <c r="E30" s="283" t="s">
        <v>431</v>
      </c>
      <c r="F30" s="284"/>
      <c r="G30" s="285"/>
      <c r="H30" s="283" t="s">
        <v>448</v>
      </c>
      <c r="I30" s="285"/>
      <c r="J30" s="176"/>
      <c r="K30" s="72"/>
    </row>
    <row r="31" spans="1:15" s="3" customFormat="1" ht="30" customHeight="1" x14ac:dyDescent="0.25">
      <c r="A31" s="173" t="s">
        <v>429</v>
      </c>
      <c r="B31" s="283" t="s">
        <v>367</v>
      </c>
      <c r="C31" s="306"/>
      <c r="D31" s="307"/>
      <c r="E31" s="283" t="s">
        <v>432</v>
      </c>
      <c r="F31" s="284"/>
      <c r="G31" s="285"/>
      <c r="H31" s="283" t="s">
        <v>433</v>
      </c>
      <c r="I31" s="285"/>
      <c r="J31" s="175"/>
      <c r="K31" s="72"/>
    </row>
    <row r="32" spans="1:15" s="45" customFormat="1" ht="22.5" customHeight="1" x14ac:dyDescent="0.25">
      <c r="A32" s="3"/>
      <c r="B32" s="3"/>
      <c r="C32" s="3"/>
      <c r="D32" s="3"/>
      <c r="E32" s="3"/>
      <c r="F32" s="3"/>
      <c r="G32" s="3"/>
      <c r="H32" s="3"/>
      <c r="I32" s="3"/>
      <c r="J32" s="165"/>
      <c r="K32" s="166"/>
    </row>
    <row r="33" spans="1:15" s="3" customFormat="1" ht="39" customHeight="1" x14ac:dyDescent="0.25">
      <c r="A33" s="302" t="s">
        <v>203</v>
      </c>
      <c r="B33" s="303"/>
      <c r="C33" s="303"/>
      <c r="D33" s="303"/>
      <c r="E33" s="303"/>
      <c r="F33" s="303"/>
      <c r="G33" s="303"/>
      <c r="H33" s="303"/>
      <c r="I33" s="303"/>
      <c r="J33" s="167"/>
    </row>
    <row r="34" spans="1:15" s="3" customFormat="1" ht="42" customHeight="1" x14ac:dyDescent="0.25">
      <c r="A34" s="46" t="s">
        <v>38</v>
      </c>
      <c r="B34" s="300" t="s">
        <v>204</v>
      </c>
      <c r="C34" s="300"/>
      <c r="D34" s="300"/>
      <c r="E34" s="300" t="s">
        <v>205</v>
      </c>
      <c r="F34" s="300"/>
      <c r="G34" s="300"/>
      <c r="H34" s="301" t="s">
        <v>202</v>
      </c>
      <c r="I34" s="304"/>
      <c r="J34" s="164"/>
      <c r="K34" s="72"/>
    </row>
    <row r="35" spans="1:15" s="3" customFormat="1" ht="96.75" customHeight="1" x14ac:dyDescent="0.25">
      <c r="A35" s="173" t="s">
        <v>414</v>
      </c>
      <c r="B35" s="282" t="s">
        <v>417</v>
      </c>
      <c r="C35" s="282"/>
      <c r="D35" s="282"/>
      <c r="E35" s="187" t="s">
        <v>410</v>
      </c>
      <c r="F35" s="187"/>
      <c r="G35" s="187"/>
      <c r="H35" s="283" t="s">
        <v>411</v>
      </c>
      <c r="I35" s="285"/>
      <c r="J35" s="164"/>
      <c r="K35" s="72"/>
    </row>
    <row r="36" spans="1:15" ht="82.5" customHeight="1" x14ac:dyDescent="0.25">
      <c r="A36" s="173" t="s">
        <v>412</v>
      </c>
      <c r="B36" s="282" t="s">
        <v>418</v>
      </c>
      <c r="C36" s="282"/>
      <c r="D36" s="282"/>
      <c r="E36" s="187" t="s">
        <v>413</v>
      </c>
      <c r="F36" s="187"/>
      <c r="G36" s="187"/>
      <c r="H36" s="283" t="s">
        <v>415</v>
      </c>
      <c r="I36" s="285"/>
      <c r="J36" s="164"/>
      <c r="K36" s="72"/>
      <c r="L36" s="95"/>
      <c r="M36" s="95"/>
      <c r="N36" s="95"/>
      <c r="O36" s="95"/>
    </row>
    <row r="37" spans="1:15" s="3" customFormat="1" ht="28.2" customHeight="1" x14ac:dyDescent="0.3">
      <c r="A37" s="155"/>
      <c r="B37" s="193"/>
      <c r="C37" s="193"/>
      <c r="D37" s="193"/>
      <c r="E37" s="193"/>
      <c r="F37" s="193"/>
      <c r="G37" s="193"/>
      <c r="H37" s="305"/>
      <c r="I37" s="186"/>
      <c r="J37" s="108"/>
    </row>
    <row r="38" spans="1:15" ht="36.6" customHeight="1" x14ac:dyDescent="0.25">
      <c r="A38" s="108"/>
      <c r="B38" s="3"/>
      <c r="C38" s="3"/>
      <c r="D38" s="3"/>
      <c r="E38" s="286" t="s">
        <v>206</v>
      </c>
      <c r="F38" s="286"/>
      <c r="G38" s="286"/>
      <c r="H38" s="286"/>
      <c r="I38" s="286"/>
    </row>
    <row r="71" spans="6:6" x14ac:dyDescent="0.25">
      <c r="F71" s="3"/>
    </row>
  </sheetData>
  <mergeCells count="81">
    <mergeCell ref="A19:K19"/>
    <mergeCell ref="B34:D34"/>
    <mergeCell ref="E34:G34"/>
    <mergeCell ref="B35:D35"/>
    <mergeCell ref="E35:G35"/>
    <mergeCell ref="B25:D25"/>
    <mergeCell ref="E25:G25"/>
    <mergeCell ref="H25:J25"/>
    <mergeCell ref="B22:D22"/>
    <mergeCell ref="E22:G22"/>
    <mergeCell ref="H22:J22"/>
    <mergeCell ref="B24:D24"/>
    <mergeCell ref="B27:D27"/>
    <mergeCell ref="E27:G27"/>
    <mergeCell ref="H27:J27"/>
    <mergeCell ref="B31:D31"/>
    <mergeCell ref="E31:G31"/>
    <mergeCell ref="H31:I31"/>
    <mergeCell ref="H30:I30"/>
    <mergeCell ref="B30:D30"/>
    <mergeCell ref="E30:G30"/>
    <mergeCell ref="B28:D28"/>
    <mergeCell ref="E28:G28"/>
    <mergeCell ref="H28:I28"/>
    <mergeCell ref="B29:D29"/>
    <mergeCell ref="E29:G29"/>
    <mergeCell ref="H29:I29"/>
    <mergeCell ref="B37:D37"/>
    <mergeCell ref="E37:G37"/>
    <mergeCell ref="B36:D36"/>
    <mergeCell ref="E36:G36"/>
    <mergeCell ref="A33:I33"/>
    <mergeCell ref="H34:I34"/>
    <mergeCell ref="H35:I35"/>
    <mergeCell ref="H36:I36"/>
    <mergeCell ref="H37:I37"/>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8:I38"/>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B23:D23"/>
    <mergeCell ref="E23:G23"/>
    <mergeCell ref="H23:I23"/>
    <mergeCell ref="B26:D26"/>
    <mergeCell ref="E26:G26"/>
    <mergeCell ref="H26:J26"/>
    <mergeCell ref="H24:J24"/>
    <mergeCell ref="E24:G2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tabSelected="1" topLeftCell="A27"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95" t="str">
        <f>+'Cover Page'!$B$29</f>
        <v>Annual Performance Report 2022</v>
      </c>
      <c r="B1" s="95"/>
      <c r="C1" s="95"/>
      <c r="D1" s="95"/>
      <c r="E1" s="95" t="str">
        <f>+'Cover Page'!$B$33</f>
        <v>Clinitek (Stoke) LLP</v>
      </c>
      <c r="F1" s="95"/>
      <c r="G1" s="95"/>
      <c r="H1" s="95"/>
      <c r="I1" s="95"/>
      <c r="J1" s="95"/>
    </row>
    <row r="3" spans="1:10" ht="15.6" x14ac:dyDescent="0.3">
      <c r="A3" s="1" t="s">
        <v>207</v>
      </c>
      <c r="B3" s="95"/>
      <c r="C3" s="95"/>
      <c r="D3" s="95"/>
      <c r="E3" s="95"/>
      <c r="F3" s="95"/>
      <c r="G3" s="95"/>
      <c r="H3" s="95"/>
      <c r="I3" s="95"/>
      <c r="J3" s="95"/>
    </row>
    <row r="4" spans="1:10" ht="15.6" x14ac:dyDescent="0.3">
      <c r="A4" s="1"/>
      <c r="B4" s="95"/>
      <c r="C4" s="95"/>
      <c r="D4" s="95"/>
      <c r="E4" s="95"/>
      <c r="F4" s="95"/>
      <c r="G4" s="95"/>
      <c r="H4" s="95"/>
      <c r="I4" s="95"/>
      <c r="J4" s="95"/>
    </row>
    <row r="5" spans="1:10" s="3" customFormat="1" ht="13.8" x14ac:dyDescent="0.25">
      <c r="A5" s="315" t="s">
        <v>208</v>
      </c>
      <c r="B5" s="316"/>
      <c r="C5" s="316"/>
      <c r="D5" s="316"/>
      <c r="E5" s="316"/>
      <c r="F5" s="316"/>
      <c r="G5" s="316"/>
      <c r="H5" s="316"/>
      <c r="I5" s="316"/>
      <c r="J5" s="317"/>
    </row>
    <row r="6" spans="1:10" s="3" customFormat="1" ht="15.75" customHeight="1" x14ac:dyDescent="0.25">
      <c r="A6" s="204" t="s">
        <v>446</v>
      </c>
      <c r="B6" s="205"/>
      <c r="C6" s="205"/>
      <c r="D6" s="205"/>
      <c r="E6" s="205"/>
      <c r="F6" s="205"/>
      <c r="G6" s="205"/>
      <c r="H6" s="205"/>
      <c r="I6" s="205"/>
      <c r="J6" s="206"/>
    </row>
    <row r="7" spans="1:10" s="3" customFormat="1" ht="15.75" customHeight="1" x14ac:dyDescent="0.25">
      <c r="A7" s="207"/>
      <c r="B7" s="208"/>
      <c r="C7" s="208"/>
      <c r="D7" s="208"/>
      <c r="E7" s="208"/>
      <c r="F7" s="208"/>
      <c r="G7" s="208"/>
      <c r="H7" s="208"/>
      <c r="I7" s="208"/>
      <c r="J7" s="209"/>
    </row>
    <row r="8" spans="1:10" s="3" customFormat="1" ht="15.75" customHeight="1" x14ac:dyDescent="0.25">
      <c r="A8" s="207"/>
      <c r="B8" s="208"/>
      <c r="C8" s="208"/>
      <c r="D8" s="208"/>
      <c r="E8" s="208"/>
      <c r="F8" s="208"/>
      <c r="G8" s="208"/>
      <c r="H8" s="208"/>
      <c r="I8" s="208"/>
      <c r="J8" s="209"/>
    </row>
    <row r="9" spans="1:10" s="3" customFormat="1" ht="15.75" customHeight="1" x14ac:dyDescent="0.25">
      <c r="A9" s="207"/>
      <c r="B9" s="208"/>
      <c r="C9" s="208"/>
      <c r="D9" s="208"/>
      <c r="E9" s="208"/>
      <c r="F9" s="208"/>
      <c r="G9" s="208"/>
      <c r="H9" s="208"/>
      <c r="I9" s="208"/>
      <c r="J9" s="209"/>
    </row>
    <row r="10" spans="1:10" s="3" customFormat="1" ht="15.75" customHeight="1" x14ac:dyDescent="0.25">
      <c r="A10" s="207"/>
      <c r="B10" s="208"/>
      <c r="C10" s="208"/>
      <c r="D10" s="208"/>
      <c r="E10" s="208"/>
      <c r="F10" s="208"/>
      <c r="G10" s="208"/>
      <c r="H10" s="208"/>
      <c r="I10" s="208"/>
      <c r="J10" s="209"/>
    </row>
    <row r="11" spans="1:10" s="3" customFormat="1" ht="15.75" customHeight="1" x14ac:dyDescent="0.25">
      <c r="A11" s="207"/>
      <c r="B11" s="208"/>
      <c r="C11" s="208"/>
      <c r="D11" s="208"/>
      <c r="E11" s="208"/>
      <c r="F11" s="208"/>
      <c r="G11" s="208"/>
      <c r="H11" s="208"/>
      <c r="I11" s="208"/>
      <c r="J11" s="209"/>
    </row>
    <row r="12" spans="1:10" s="3" customFormat="1" ht="15.75" customHeight="1" x14ac:dyDescent="0.25">
      <c r="A12" s="207"/>
      <c r="B12" s="208"/>
      <c r="C12" s="208"/>
      <c r="D12" s="208"/>
      <c r="E12" s="208"/>
      <c r="F12" s="208"/>
      <c r="G12" s="208"/>
      <c r="H12" s="208"/>
      <c r="I12" s="208"/>
      <c r="J12" s="209"/>
    </row>
    <row r="13" spans="1:10" s="3" customFormat="1" ht="15.75" customHeight="1" x14ac:dyDescent="0.25">
      <c r="A13" s="207"/>
      <c r="B13" s="208"/>
      <c r="C13" s="208"/>
      <c r="D13" s="208"/>
      <c r="E13" s="208"/>
      <c r="F13" s="208"/>
      <c r="G13" s="208"/>
      <c r="H13" s="208"/>
      <c r="I13" s="208"/>
      <c r="J13" s="209"/>
    </row>
    <row r="14" spans="1:10" s="3" customFormat="1" ht="15.75" customHeight="1" x14ac:dyDescent="0.25">
      <c r="A14" s="210"/>
      <c r="B14" s="211"/>
      <c r="C14" s="211"/>
      <c r="D14" s="211"/>
      <c r="E14" s="211"/>
      <c r="F14" s="211"/>
      <c r="G14" s="211"/>
      <c r="H14" s="211"/>
      <c r="I14" s="211"/>
      <c r="J14" s="212"/>
    </row>
    <row r="15" spans="1:10" s="3" customFormat="1" ht="13.8" x14ac:dyDescent="0.25"/>
    <row r="16" spans="1:10" s="47" customFormat="1" ht="33.75" customHeight="1" x14ac:dyDescent="0.3">
      <c r="A16" s="312" t="s">
        <v>209</v>
      </c>
      <c r="B16" s="313"/>
      <c r="C16" s="313"/>
      <c r="D16" s="313"/>
      <c r="E16" s="313"/>
      <c r="F16" s="313"/>
      <c r="G16" s="313"/>
      <c r="H16" s="313"/>
      <c r="I16" s="313"/>
      <c r="J16" s="314"/>
    </row>
    <row r="17" spans="1:10" ht="15.75" customHeight="1" x14ac:dyDescent="0.25">
      <c r="A17" s="318" t="s">
        <v>442</v>
      </c>
      <c r="B17" s="213"/>
      <c r="C17" s="213"/>
      <c r="D17" s="213"/>
      <c r="E17" s="213"/>
      <c r="F17" s="213"/>
      <c r="G17" s="213"/>
      <c r="H17" s="213"/>
      <c r="I17" s="213"/>
      <c r="J17" s="214"/>
    </row>
    <row r="18" spans="1:10" ht="15.75" customHeight="1" x14ac:dyDescent="0.25">
      <c r="A18" s="215"/>
      <c r="B18" s="216"/>
      <c r="C18" s="216"/>
      <c r="D18" s="216"/>
      <c r="E18" s="216"/>
      <c r="F18" s="216"/>
      <c r="G18" s="216"/>
      <c r="H18" s="216"/>
      <c r="I18" s="216"/>
      <c r="J18" s="217"/>
    </row>
    <row r="19" spans="1:10" ht="15.75" customHeight="1" x14ac:dyDescent="0.25">
      <c r="A19" s="215"/>
      <c r="B19" s="216"/>
      <c r="C19" s="216"/>
      <c r="D19" s="216"/>
      <c r="E19" s="216"/>
      <c r="F19" s="216"/>
      <c r="G19" s="216"/>
      <c r="H19" s="216"/>
      <c r="I19" s="216"/>
      <c r="J19" s="217"/>
    </row>
    <row r="20" spans="1:10" ht="15.75" customHeight="1" x14ac:dyDescent="0.25">
      <c r="A20" s="215"/>
      <c r="B20" s="216"/>
      <c r="C20" s="216"/>
      <c r="D20" s="216"/>
      <c r="E20" s="216"/>
      <c r="F20" s="216"/>
      <c r="G20" s="216"/>
      <c r="H20" s="216"/>
      <c r="I20" s="216"/>
      <c r="J20" s="217"/>
    </row>
    <row r="21" spans="1:10" ht="15.75" customHeight="1" x14ac:dyDescent="0.25">
      <c r="A21" s="215"/>
      <c r="B21" s="216"/>
      <c r="C21" s="216"/>
      <c r="D21" s="216"/>
      <c r="E21" s="216"/>
      <c r="F21" s="216"/>
      <c r="G21" s="216"/>
      <c r="H21" s="216"/>
      <c r="I21" s="216"/>
      <c r="J21" s="217"/>
    </row>
    <row r="22" spans="1:10" ht="15.75" customHeight="1" x14ac:dyDescent="0.25">
      <c r="A22" s="215"/>
      <c r="B22" s="216"/>
      <c r="C22" s="216"/>
      <c r="D22" s="216"/>
      <c r="E22" s="216"/>
      <c r="F22" s="216"/>
      <c r="G22" s="216"/>
      <c r="H22" s="216"/>
      <c r="I22" s="216"/>
      <c r="J22" s="217"/>
    </row>
    <row r="23" spans="1:10" ht="15.75" customHeight="1" x14ac:dyDescent="0.25">
      <c r="A23" s="215"/>
      <c r="B23" s="216"/>
      <c r="C23" s="216"/>
      <c r="D23" s="216"/>
      <c r="E23" s="216"/>
      <c r="F23" s="216"/>
      <c r="G23" s="216"/>
      <c r="H23" s="216"/>
      <c r="I23" s="216"/>
      <c r="J23" s="217"/>
    </row>
    <row r="24" spans="1:10" ht="15.75" customHeight="1" x14ac:dyDescent="0.25">
      <c r="A24" s="215"/>
      <c r="B24" s="216"/>
      <c r="C24" s="216"/>
      <c r="D24" s="216"/>
      <c r="E24" s="216"/>
      <c r="F24" s="216"/>
      <c r="G24" s="216"/>
      <c r="H24" s="216"/>
      <c r="I24" s="216"/>
      <c r="J24" s="217"/>
    </row>
    <row r="25" spans="1:10" ht="15.75" customHeight="1" x14ac:dyDescent="0.25">
      <c r="A25" s="218"/>
      <c r="B25" s="219"/>
      <c r="C25" s="219"/>
      <c r="D25" s="219"/>
      <c r="E25" s="219"/>
      <c r="F25" s="219"/>
      <c r="G25" s="219"/>
      <c r="H25" s="219"/>
      <c r="I25" s="219"/>
      <c r="J25" s="220"/>
    </row>
    <row r="26" spans="1:10" ht="15.6" x14ac:dyDescent="0.3">
      <c r="A26" s="1"/>
      <c r="B26" s="95"/>
      <c r="C26" s="95"/>
      <c r="D26" s="95"/>
      <c r="E26" s="95"/>
      <c r="F26" s="95"/>
      <c r="G26" s="95"/>
      <c r="H26" s="95"/>
      <c r="I26" s="95"/>
      <c r="J26" s="95"/>
    </row>
    <row r="27" spans="1:10" ht="36.75" customHeight="1" x14ac:dyDescent="0.25">
      <c r="A27" s="312" t="s">
        <v>210</v>
      </c>
      <c r="B27" s="313"/>
      <c r="C27" s="313"/>
      <c r="D27" s="313"/>
      <c r="E27" s="313"/>
      <c r="F27" s="313"/>
      <c r="G27" s="313"/>
      <c r="H27" s="313"/>
      <c r="I27" s="313"/>
      <c r="J27" s="314"/>
    </row>
    <row r="28" spans="1:10" ht="15.75" customHeight="1" x14ac:dyDescent="0.25">
      <c r="A28" s="204" t="s">
        <v>443</v>
      </c>
      <c r="B28" s="205"/>
      <c r="C28" s="205"/>
      <c r="D28" s="205"/>
      <c r="E28" s="205"/>
      <c r="F28" s="205"/>
      <c r="G28" s="205"/>
      <c r="H28" s="205"/>
      <c r="I28" s="205"/>
      <c r="J28" s="206"/>
    </row>
    <row r="29" spans="1:10" ht="15.75" customHeight="1" x14ac:dyDescent="0.25">
      <c r="A29" s="207"/>
      <c r="B29" s="208"/>
      <c r="C29" s="208"/>
      <c r="D29" s="208"/>
      <c r="E29" s="208"/>
      <c r="F29" s="208"/>
      <c r="G29" s="208"/>
      <c r="H29" s="208"/>
      <c r="I29" s="208"/>
      <c r="J29" s="209"/>
    </row>
    <row r="30" spans="1:10" ht="15.75" customHeight="1" x14ac:dyDescent="0.25">
      <c r="A30" s="207"/>
      <c r="B30" s="208"/>
      <c r="C30" s="208"/>
      <c r="D30" s="208"/>
      <c r="E30" s="208"/>
      <c r="F30" s="208"/>
      <c r="G30" s="208"/>
      <c r="H30" s="208"/>
      <c r="I30" s="208"/>
      <c r="J30" s="209"/>
    </row>
    <row r="31" spans="1:10" ht="15.75" customHeight="1" x14ac:dyDescent="0.25">
      <c r="A31" s="207"/>
      <c r="B31" s="208"/>
      <c r="C31" s="208"/>
      <c r="D31" s="208"/>
      <c r="E31" s="208"/>
      <c r="F31" s="208"/>
      <c r="G31" s="208"/>
      <c r="H31" s="208"/>
      <c r="I31" s="208"/>
      <c r="J31" s="209"/>
    </row>
    <row r="32" spans="1:10" ht="15.75" customHeight="1" x14ac:dyDescent="0.25">
      <c r="A32" s="207"/>
      <c r="B32" s="208"/>
      <c r="C32" s="208"/>
      <c r="D32" s="208"/>
      <c r="E32" s="208"/>
      <c r="F32" s="208"/>
      <c r="G32" s="208"/>
      <c r="H32" s="208"/>
      <c r="I32" s="208"/>
      <c r="J32" s="209"/>
    </row>
    <row r="33" spans="1:10" ht="15.75" customHeight="1" x14ac:dyDescent="0.25">
      <c r="A33" s="207"/>
      <c r="B33" s="208"/>
      <c r="C33" s="208"/>
      <c r="D33" s="208"/>
      <c r="E33" s="208"/>
      <c r="F33" s="208"/>
      <c r="G33" s="208"/>
      <c r="H33" s="208"/>
      <c r="I33" s="208"/>
      <c r="J33" s="209"/>
    </row>
    <row r="34" spans="1:10" ht="15.75" customHeight="1" x14ac:dyDescent="0.25">
      <c r="A34" s="207"/>
      <c r="B34" s="208"/>
      <c r="C34" s="208"/>
      <c r="D34" s="208"/>
      <c r="E34" s="208"/>
      <c r="F34" s="208"/>
      <c r="G34" s="208"/>
      <c r="H34" s="208"/>
      <c r="I34" s="208"/>
      <c r="J34" s="209"/>
    </row>
    <row r="35" spans="1:10" ht="15.75" customHeight="1" x14ac:dyDescent="0.25">
      <c r="A35" s="207"/>
      <c r="B35" s="208"/>
      <c r="C35" s="208"/>
      <c r="D35" s="208"/>
      <c r="E35" s="208"/>
      <c r="F35" s="208"/>
      <c r="G35" s="208"/>
      <c r="H35" s="208"/>
      <c r="I35" s="208"/>
      <c r="J35" s="209"/>
    </row>
    <row r="36" spans="1:10" ht="15.75" customHeight="1" x14ac:dyDescent="0.25">
      <c r="A36" s="210"/>
      <c r="B36" s="211"/>
      <c r="C36" s="211"/>
      <c r="D36" s="211"/>
      <c r="E36" s="211"/>
      <c r="F36" s="211"/>
      <c r="G36" s="211"/>
      <c r="H36" s="211"/>
      <c r="I36" s="211"/>
      <c r="J36" s="212"/>
    </row>
    <row r="38" spans="1:10" ht="33" customHeight="1" x14ac:dyDescent="0.25">
      <c r="A38" s="312" t="s">
        <v>211</v>
      </c>
      <c r="B38" s="313"/>
      <c r="C38" s="313"/>
      <c r="D38" s="313"/>
      <c r="E38" s="313"/>
      <c r="F38" s="313"/>
      <c r="G38" s="313"/>
      <c r="H38" s="313"/>
      <c r="I38" s="313"/>
      <c r="J38" s="314"/>
    </row>
    <row r="39" spans="1:10" ht="15.75" customHeight="1" x14ac:dyDescent="0.25">
      <c r="A39" s="204" t="s">
        <v>456</v>
      </c>
      <c r="B39" s="205"/>
      <c r="C39" s="205"/>
      <c r="D39" s="205"/>
      <c r="E39" s="205"/>
      <c r="F39" s="205"/>
      <c r="G39" s="205"/>
      <c r="H39" s="205"/>
      <c r="I39" s="205"/>
      <c r="J39" s="206"/>
    </row>
    <row r="40" spans="1:10" ht="15.75" customHeight="1" x14ac:dyDescent="0.25">
      <c r="A40" s="207"/>
      <c r="B40" s="208"/>
      <c r="C40" s="208"/>
      <c r="D40" s="208"/>
      <c r="E40" s="208"/>
      <c r="F40" s="208"/>
      <c r="G40" s="208"/>
      <c r="H40" s="208"/>
      <c r="I40" s="208"/>
      <c r="J40" s="209"/>
    </row>
    <row r="41" spans="1:10" ht="15.75" customHeight="1" x14ac:dyDescent="0.25">
      <c r="A41" s="207"/>
      <c r="B41" s="208"/>
      <c r="C41" s="208"/>
      <c r="D41" s="208"/>
      <c r="E41" s="208"/>
      <c r="F41" s="208"/>
      <c r="G41" s="208"/>
      <c r="H41" s="208"/>
      <c r="I41" s="208"/>
      <c r="J41" s="209"/>
    </row>
    <row r="42" spans="1:10" ht="15.75" customHeight="1" x14ac:dyDescent="0.25">
      <c r="A42" s="207"/>
      <c r="B42" s="208"/>
      <c r="C42" s="208"/>
      <c r="D42" s="208"/>
      <c r="E42" s="208"/>
      <c r="F42" s="208"/>
      <c r="G42" s="208"/>
      <c r="H42" s="208"/>
      <c r="I42" s="208"/>
      <c r="J42" s="209"/>
    </row>
    <row r="43" spans="1:10" ht="15.75" customHeight="1" x14ac:dyDescent="0.25">
      <c r="A43" s="207"/>
      <c r="B43" s="208"/>
      <c r="C43" s="208"/>
      <c r="D43" s="208"/>
      <c r="E43" s="208"/>
      <c r="F43" s="208"/>
      <c r="G43" s="208"/>
      <c r="H43" s="208"/>
      <c r="I43" s="208"/>
      <c r="J43" s="209"/>
    </row>
    <row r="44" spans="1:10" ht="15.75" customHeight="1" x14ac:dyDescent="0.25">
      <c r="A44" s="207"/>
      <c r="B44" s="208"/>
      <c r="C44" s="208"/>
      <c r="D44" s="208"/>
      <c r="E44" s="208"/>
      <c r="F44" s="208"/>
      <c r="G44" s="208"/>
      <c r="H44" s="208"/>
      <c r="I44" s="208"/>
      <c r="J44" s="209"/>
    </row>
    <row r="45" spans="1:10" ht="15.75" customHeight="1" x14ac:dyDescent="0.25">
      <c r="A45" s="207"/>
      <c r="B45" s="208"/>
      <c r="C45" s="208"/>
      <c r="D45" s="208"/>
      <c r="E45" s="208"/>
      <c r="F45" s="208"/>
      <c r="G45" s="208"/>
      <c r="H45" s="208"/>
      <c r="I45" s="208"/>
      <c r="J45" s="209"/>
    </row>
    <row r="46" spans="1:10" ht="15.75" customHeight="1" x14ac:dyDescent="0.25">
      <c r="A46" s="207"/>
      <c r="B46" s="208"/>
      <c r="C46" s="208"/>
      <c r="D46" s="208"/>
      <c r="E46" s="208"/>
      <c r="F46" s="208"/>
      <c r="G46" s="208"/>
      <c r="H46" s="208"/>
      <c r="I46" s="208"/>
      <c r="J46" s="209"/>
    </row>
    <row r="47" spans="1:10" ht="15.75" customHeight="1" x14ac:dyDescent="0.25">
      <c r="A47" s="207"/>
      <c r="B47" s="208"/>
      <c r="C47" s="208"/>
      <c r="D47" s="208"/>
      <c r="E47" s="208"/>
      <c r="F47" s="208"/>
      <c r="G47" s="208"/>
      <c r="H47" s="208"/>
      <c r="I47" s="208"/>
      <c r="J47" s="209"/>
    </row>
    <row r="48" spans="1:10" ht="15.75" customHeight="1" x14ac:dyDescent="0.25">
      <c r="A48" s="210"/>
      <c r="B48" s="211"/>
      <c r="C48" s="211"/>
      <c r="D48" s="211"/>
      <c r="E48" s="211"/>
      <c r="F48" s="211"/>
      <c r="G48" s="211"/>
      <c r="H48" s="211"/>
      <c r="I48" s="211"/>
      <c r="J48" s="212"/>
    </row>
    <row r="66" spans="6:6" x14ac:dyDescent="0.25">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tabSelected="1"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95" t="str">
        <f>+'Cover Page'!$B$29</f>
        <v>Annual Performance Report 2022</v>
      </c>
      <c r="B1" s="95"/>
      <c r="C1" s="95"/>
      <c r="D1" s="95"/>
      <c r="E1" s="95" t="str">
        <f>+'Cover Page'!$B$33</f>
        <v>Clinitek (Stoke) LLP</v>
      </c>
      <c r="F1" s="95"/>
      <c r="G1" s="95"/>
      <c r="H1" s="95"/>
      <c r="I1" s="95"/>
      <c r="J1" s="95"/>
    </row>
    <row r="3" spans="1:10" ht="15.6" x14ac:dyDescent="0.3">
      <c r="A3" s="1" t="s">
        <v>212</v>
      </c>
      <c r="B3" s="95"/>
      <c r="C3" s="95"/>
      <c r="D3" s="95"/>
      <c r="E3" s="95"/>
      <c r="F3" s="95"/>
      <c r="G3" s="95"/>
      <c r="H3" s="95"/>
      <c r="I3" s="95"/>
      <c r="J3" s="95"/>
    </row>
    <row r="4" spans="1:10" ht="15.6" x14ac:dyDescent="0.3">
      <c r="A4" s="1"/>
      <c r="B4" s="95"/>
      <c r="C4" s="95"/>
      <c r="D4" s="95"/>
      <c r="E4" s="95"/>
      <c r="F4" s="95"/>
      <c r="G4" s="95"/>
      <c r="H4" s="95"/>
      <c r="I4" s="95"/>
      <c r="J4" s="95"/>
    </row>
    <row r="5" spans="1:10" s="3" customFormat="1" ht="28.5" customHeight="1" x14ac:dyDescent="0.25">
      <c r="A5" s="48" t="s">
        <v>213</v>
      </c>
      <c r="B5" s="49"/>
      <c r="C5" s="49"/>
      <c r="D5" s="49"/>
      <c r="E5" s="49"/>
      <c r="F5" s="49"/>
      <c r="G5" s="49"/>
      <c r="H5" s="49"/>
      <c r="I5" s="49"/>
      <c r="J5" s="50"/>
    </row>
    <row r="6" spans="1:10" s="3" customFormat="1" ht="15.75" customHeight="1" x14ac:dyDescent="0.25">
      <c r="A6" s="315" t="s">
        <v>38</v>
      </c>
      <c r="B6" s="317"/>
      <c r="C6" s="315" t="s">
        <v>214</v>
      </c>
      <c r="D6" s="316"/>
      <c r="E6" s="316"/>
      <c r="F6" s="316"/>
      <c r="G6" s="316"/>
      <c r="H6" s="316"/>
      <c r="I6" s="316"/>
      <c r="J6" s="317"/>
    </row>
    <row r="7" spans="1:10" s="3" customFormat="1" ht="15.75" customHeight="1" x14ac:dyDescent="0.25">
      <c r="A7" s="318"/>
      <c r="B7" s="214"/>
      <c r="C7" s="318"/>
      <c r="D7" s="213"/>
      <c r="E7" s="213"/>
      <c r="F7" s="213"/>
      <c r="G7" s="213"/>
      <c r="H7" s="213"/>
      <c r="I7" s="213"/>
      <c r="J7" s="214"/>
    </row>
    <row r="8" spans="1:10" s="3" customFormat="1" ht="15.75" customHeight="1" x14ac:dyDescent="0.25">
      <c r="A8" s="218"/>
      <c r="B8" s="220"/>
      <c r="C8" s="218"/>
      <c r="D8" s="219"/>
      <c r="E8" s="219"/>
      <c r="F8" s="219"/>
      <c r="G8" s="219"/>
      <c r="H8" s="219"/>
      <c r="I8" s="219"/>
      <c r="J8" s="220"/>
    </row>
    <row r="9" spans="1:10" s="3" customFormat="1" ht="15.75" customHeight="1" x14ac:dyDescent="0.25">
      <c r="A9" s="318"/>
      <c r="B9" s="214"/>
      <c r="C9" s="318"/>
      <c r="D9" s="213"/>
      <c r="E9" s="213"/>
      <c r="F9" s="213"/>
      <c r="G9" s="213"/>
      <c r="H9" s="213"/>
      <c r="I9" s="213"/>
      <c r="J9" s="214"/>
    </row>
    <row r="10" spans="1:10" s="3" customFormat="1" ht="15.75" customHeight="1" x14ac:dyDescent="0.25">
      <c r="A10" s="218"/>
      <c r="B10" s="220"/>
      <c r="C10" s="218"/>
      <c r="D10" s="219"/>
      <c r="E10" s="219"/>
      <c r="F10" s="219"/>
      <c r="G10" s="219"/>
      <c r="H10" s="219"/>
      <c r="I10" s="219"/>
      <c r="J10" s="220"/>
    </row>
    <row r="11" spans="1:10" s="3" customFormat="1" ht="15.75" customHeight="1" x14ac:dyDescent="0.25">
      <c r="A11" s="318"/>
      <c r="B11" s="214"/>
      <c r="C11" s="318"/>
      <c r="D11" s="213"/>
      <c r="E11" s="213"/>
      <c r="F11" s="213"/>
      <c r="G11" s="213"/>
      <c r="H11" s="213"/>
      <c r="I11" s="213"/>
      <c r="J11" s="214"/>
    </row>
    <row r="12" spans="1:10" s="3" customFormat="1" ht="15.75" customHeight="1" x14ac:dyDescent="0.25">
      <c r="A12" s="218"/>
      <c r="B12" s="220"/>
      <c r="C12" s="218"/>
      <c r="D12" s="219"/>
      <c r="E12" s="219"/>
      <c r="F12" s="219"/>
      <c r="G12" s="219"/>
      <c r="H12" s="219"/>
      <c r="I12" s="219"/>
      <c r="J12" s="220"/>
    </row>
    <row r="13" spans="1:10" s="3" customFormat="1" ht="15.75" customHeight="1" x14ac:dyDescent="0.25">
      <c r="A13" s="318"/>
      <c r="B13" s="214"/>
      <c r="C13" s="318"/>
      <c r="D13" s="213"/>
      <c r="E13" s="213"/>
      <c r="F13" s="213"/>
      <c r="G13" s="213"/>
      <c r="H13" s="213"/>
      <c r="I13" s="213"/>
      <c r="J13" s="214"/>
    </row>
    <row r="14" spans="1:10" s="3" customFormat="1" ht="15.75" customHeight="1" x14ac:dyDescent="0.25">
      <c r="A14" s="218"/>
      <c r="B14" s="220"/>
      <c r="C14" s="218"/>
      <c r="D14" s="219"/>
      <c r="E14" s="219"/>
      <c r="F14" s="219"/>
      <c r="G14" s="219"/>
      <c r="H14" s="219"/>
      <c r="I14" s="219"/>
      <c r="J14" s="220"/>
    </row>
    <row r="15" spans="1:10" s="3" customFormat="1" ht="13.8" x14ac:dyDescent="0.25"/>
    <row r="16" spans="1:10" s="47" customFormat="1" ht="33.75" customHeight="1" x14ac:dyDescent="0.3">
      <c r="A16" s="312" t="s">
        <v>215</v>
      </c>
      <c r="B16" s="313"/>
      <c r="C16" s="313"/>
      <c r="D16" s="313"/>
      <c r="E16" s="313"/>
      <c r="F16" s="313"/>
      <c r="G16" s="313"/>
      <c r="H16" s="313"/>
      <c r="I16" s="313"/>
      <c r="J16" s="314"/>
    </row>
    <row r="17" spans="1:10" ht="15.75" customHeight="1" x14ac:dyDescent="0.25">
      <c r="A17" s="315" t="s">
        <v>38</v>
      </c>
      <c r="B17" s="317"/>
      <c r="C17" s="315" t="s">
        <v>214</v>
      </c>
      <c r="D17" s="316"/>
      <c r="E17" s="316"/>
      <c r="F17" s="316"/>
      <c r="G17" s="316"/>
      <c r="H17" s="316"/>
      <c r="I17" s="316"/>
      <c r="J17" s="316"/>
    </row>
    <row r="18" spans="1:10" ht="15.75" customHeight="1" x14ac:dyDescent="0.25">
      <c r="A18" s="318"/>
      <c r="B18" s="214"/>
      <c r="C18" s="318"/>
      <c r="D18" s="213"/>
      <c r="E18" s="213"/>
      <c r="F18" s="213"/>
      <c r="G18" s="213"/>
      <c r="H18" s="213"/>
      <c r="I18" s="213"/>
      <c r="J18" s="214"/>
    </row>
    <row r="19" spans="1:10" ht="15.75" customHeight="1" x14ac:dyDescent="0.25">
      <c r="A19" s="218"/>
      <c r="B19" s="220"/>
      <c r="C19" s="218"/>
      <c r="D19" s="219"/>
      <c r="E19" s="219"/>
      <c r="F19" s="219"/>
      <c r="G19" s="219"/>
      <c r="H19" s="219"/>
      <c r="I19" s="219"/>
      <c r="J19" s="220"/>
    </row>
    <row r="20" spans="1:10" ht="15.75" customHeight="1" x14ac:dyDescent="0.25">
      <c r="A20" s="318"/>
      <c r="B20" s="214"/>
      <c r="C20" s="318"/>
      <c r="D20" s="213"/>
      <c r="E20" s="213"/>
      <c r="F20" s="213"/>
      <c r="G20" s="213"/>
      <c r="H20" s="213"/>
      <c r="I20" s="213"/>
      <c r="J20" s="214"/>
    </row>
    <row r="21" spans="1:10" ht="15.75" customHeight="1" x14ac:dyDescent="0.25">
      <c r="A21" s="218"/>
      <c r="B21" s="220"/>
      <c r="C21" s="218"/>
      <c r="D21" s="219"/>
      <c r="E21" s="219"/>
      <c r="F21" s="219"/>
      <c r="G21" s="219"/>
      <c r="H21" s="219"/>
      <c r="I21" s="219"/>
      <c r="J21" s="220"/>
    </row>
    <row r="22" spans="1:10" ht="15.75" customHeight="1" x14ac:dyDescent="0.25">
      <c r="A22" s="318"/>
      <c r="B22" s="214"/>
      <c r="C22" s="318"/>
      <c r="D22" s="213"/>
      <c r="E22" s="213"/>
      <c r="F22" s="213"/>
      <c r="G22" s="213"/>
      <c r="H22" s="213"/>
      <c r="I22" s="213"/>
      <c r="J22" s="214"/>
    </row>
    <row r="23" spans="1:10" ht="15.75" customHeight="1" x14ac:dyDescent="0.25">
      <c r="A23" s="218"/>
      <c r="B23" s="220"/>
      <c r="C23" s="218"/>
      <c r="D23" s="219"/>
      <c r="E23" s="219"/>
      <c r="F23" s="219"/>
      <c r="G23" s="219"/>
      <c r="H23" s="219"/>
      <c r="I23" s="219"/>
      <c r="J23" s="220"/>
    </row>
    <row r="24" spans="1:10" ht="15.75" customHeight="1" x14ac:dyDescent="0.25">
      <c r="A24" s="318"/>
      <c r="B24" s="214"/>
      <c r="C24" s="318"/>
      <c r="D24" s="213"/>
      <c r="E24" s="213"/>
      <c r="F24" s="213"/>
      <c r="G24" s="213"/>
      <c r="H24" s="213"/>
      <c r="I24" s="213"/>
      <c r="J24" s="214"/>
    </row>
    <row r="25" spans="1:10" ht="15.75" customHeight="1" x14ac:dyDescent="0.25">
      <c r="A25" s="218"/>
      <c r="B25" s="220"/>
      <c r="C25" s="218"/>
      <c r="D25" s="219"/>
      <c r="E25" s="219"/>
      <c r="F25" s="219"/>
      <c r="G25" s="219"/>
      <c r="H25" s="219"/>
      <c r="I25" s="219"/>
      <c r="J25" s="220"/>
    </row>
    <row r="26" spans="1:10" ht="15.75" customHeight="1" x14ac:dyDescent="0.25">
      <c r="A26" s="318"/>
      <c r="B26" s="214"/>
      <c r="C26" s="318"/>
      <c r="D26" s="213"/>
      <c r="E26" s="213"/>
      <c r="F26" s="213"/>
      <c r="G26" s="213"/>
      <c r="H26" s="213"/>
      <c r="I26" s="213"/>
      <c r="J26" s="214"/>
    </row>
    <row r="27" spans="1:10" ht="15.75" customHeight="1" x14ac:dyDescent="0.25">
      <c r="A27" s="218"/>
      <c r="B27" s="220"/>
      <c r="C27" s="218"/>
      <c r="D27" s="219"/>
      <c r="E27" s="219"/>
      <c r="F27" s="219"/>
      <c r="G27" s="219"/>
      <c r="H27" s="219"/>
      <c r="I27" s="219"/>
      <c r="J27" s="220"/>
    </row>
    <row r="28" spans="1:10" ht="15.6" x14ac:dyDescent="0.3">
      <c r="A28" s="1"/>
      <c r="B28" s="95"/>
      <c r="C28" s="95"/>
      <c r="D28" s="95"/>
      <c r="E28" s="95"/>
      <c r="F28" s="95"/>
      <c r="G28" s="95"/>
      <c r="H28" s="95"/>
      <c r="I28" s="95"/>
      <c r="J28" s="95"/>
    </row>
    <row r="29" spans="1:10" ht="36.75" customHeight="1" x14ac:dyDescent="0.25">
      <c r="A29" s="312" t="s">
        <v>216</v>
      </c>
      <c r="B29" s="313"/>
      <c r="C29" s="313"/>
      <c r="D29" s="313"/>
      <c r="E29" s="313"/>
      <c r="F29" s="313"/>
      <c r="G29" s="313"/>
      <c r="H29" s="313"/>
      <c r="I29" s="313"/>
      <c r="J29" s="314"/>
    </row>
    <row r="31" spans="1:10" x14ac:dyDescent="0.25">
      <c r="B31" s="2" t="s">
        <v>367</v>
      </c>
    </row>
    <row r="66" spans="6:6" x14ac:dyDescent="0.25">
      <c r="F66" s="3"/>
    </row>
  </sheetData>
  <mergeCells count="24">
    <mergeCell ref="A24:B25"/>
    <mergeCell ref="C24:J25"/>
    <mergeCell ref="A26:B27"/>
    <mergeCell ref="C26:J27"/>
    <mergeCell ref="A29:J29"/>
    <mergeCell ref="A18:B19"/>
    <mergeCell ref="C18:J19"/>
    <mergeCell ref="A20:B21"/>
    <mergeCell ref="C20:J21"/>
    <mergeCell ref="A22:B23"/>
    <mergeCell ref="C22:J23"/>
    <mergeCell ref="A17:B17"/>
    <mergeCell ref="C17:J17"/>
    <mergeCell ref="A6:B6"/>
    <mergeCell ref="C6:J6"/>
    <mergeCell ref="A7:B8"/>
    <mergeCell ref="C7:J8"/>
    <mergeCell ref="A9:B10"/>
    <mergeCell ref="C9:J10"/>
    <mergeCell ref="A11:B12"/>
    <mergeCell ref="C11:J12"/>
    <mergeCell ref="A13:B14"/>
    <mergeCell ref="C13:J14"/>
    <mergeCell ref="A16:J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tabSelected="1" topLeftCell="A28"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95" t="str">
        <f>+'Cover Page'!$B$29</f>
        <v>Annual Performance Report 2022</v>
      </c>
      <c r="B1" s="95"/>
      <c r="C1" s="95"/>
      <c r="D1" s="95"/>
      <c r="E1" s="95" t="str">
        <f>+'Cover Page'!$B$33</f>
        <v>Clinitek (Stoke) LLP</v>
      </c>
      <c r="F1" s="95"/>
      <c r="G1" s="95"/>
    </row>
    <row r="3" spans="1:7" ht="15.6" x14ac:dyDescent="0.3">
      <c r="A3" s="1" t="s">
        <v>217</v>
      </c>
      <c r="B3" s="95"/>
      <c r="C3" s="95"/>
      <c r="D3" s="95"/>
      <c r="E3" s="95"/>
      <c r="F3" s="95"/>
      <c r="G3" s="95"/>
    </row>
    <row r="4" spans="1:7" ht="15.6" x14ac:dyDescent="0.3">
      <c r="A4" s="1"/>
      <c r="B4" s="95"/>
      <c r="C4" s="95"/>
      <c r="D4" s="95"/>
      <c r="E4" s="95"/>
      <c r="F4" s="95"/>
      <c r="G4" s="95"/>
    </row>
    <row r="5" spans="1:7" s="3" customFormat="1" ht="21.75" customHeight="1" x14ac:dyDescent="0.25">
      <c r="A5" s="48" t="s">
        <v>218</v>
      </c>
      <c r="B5" s="49"/>
      <c r="C5" s="49"/>
      <c r="D5" s="49"/>
      <c r="E5" s="49"/>
      <c r="F5" s="49"/>
      <c r="G5" s="50"/>
    </row>
    <row r="6" spans="1:7" s="3" customFormat="1" ht="15.75" customHeight="1" x14ac:dyDescent="0.25">
      <c r="A6" s="318" t="s">
        <v>383</v>
      </c>
      <c r="B6" s="213"/>
      <c r="C6" s="213"/>
      <c r="D6" s="213"/>
      <c r="E6" s="213"/>
      <c r="F6" s="213"/>
      <c r="G6" s="214"/>
    </row>
    <row r="7" spans="1:7" s="3" customFormat="1" ht="15.75" customHeight="1" x14ac:dyDescent="0.25">
      <c r="A7" s="218"/>
      <c r="B7" s="219"/>
      <c r="C7" s="219"/>
      <c r="D7" s="219"/>
      <c r="E7" s="219"/>
      <c r="F7" s="219"/>
      <c r="G7" s="220"/>
    </row>
    <row r="8" spans="1:7" s="3" customFormat="1" ht="15.75" customHeight="1" x14ac:dyDescent="0.25">
      <c r="A8" s="204"/>
      <c r="B8" s="205"/>
      <c r="C8" s="205"/>
      <c r="D8" s="205"/>
      <c r="E8" s="205"/>
      <c r="F8" s="205"/>
      <c r="G8" s="206"/>
    </row>
    <row r="9" spans="1:7" s="3" customFormat="1" ht="15.75" customHeight="1" x14ac:dyDescent="0.25">
      <c r="A9" s="210"/>
      <c r="B9" s="211"/>
      <c r="C9" s="211"/>
      <c r="D9" s="211"/>
      <c r="E9" s="211"/>
      <c r="F9" s="211"/>
      <c r="G9" s="212"/>
    </row>
    <row r="10" spans="1:7" s="3" customFormat="1" ht="15.75" customHeight="1" x14ac:dyDescent="0.25">
      <c r="A10" s="204"/>
      <c r="B10" s="205"/>
      <c r="C10" s="205"/>
      <c r="D10" s="205"/>
      <c r="E10" s="205"/>
      <c r="F10" s="205"/>
      <c r="G10" s="206"/>
    </row>
    <row r="11" spans="1:7" s="3" customFormat="1" ht="15.75" customHeight="1" x14ac:dyDescent="0.25">
      <c r="A11" s="210"/>
      <c r="B11" s="211"/>
      <c r="C11" s="211"/>
      <c r="D11" s="211"/>
      <c r="E11" s="211"/>
      <c r="F11" s="211"/>
      <c r="G11" s="212"/>
    </row>
    <row r="12" spans="1:7" s="3" customFormat="1" ht="13.8" x14ac:dyDescent="0.25"/>
    <row r="13" spans="1:7" s="47" customFormat="1" ht="33.75" customHeight="1" x14ac:dyDescent="0.3">
      <c r="A13" s="312" t="s">
        <v>219</v>
      </c>
      <c r="B13" s="313"/>
      <c r="C13" s="313"/>
      <c r="D13" s="313"/>
      <c r="E13" s="313"/>
      <c r="F13" s="313"/>
      <c r="G13" s="314"/>
    </row>
    <row r="14" spans="1:7" ht="15.75" customHeight="1" x14ac:dyDescent="0.25">
      <c r="A14" s="315" t="s">
        <v>220</v>
      </c>
      <c r="B14" s="317"/>
      <c r="C14" s="315" t="s">
        <v>214</v>
      </c>
      <c r="D14" s="316"/>
      <c r="E14" s="316"/>
      <c r="F14" s="316"/>
      <c r="G14" s="316"/>
    </row>
    <row r="15" spans="1:7" ht="15.75" customHeight="1" x14ac:dyDescent="0.25">
      <c r="A15" s="204"/>
      <c r="B15" s="206"/>
      <c r="C15" s="318"/>
      <c r="D15" s="213"/>
      <c r="E15" s="213"/>
      <c r="F15" s="213"/>
      <c r="G15" s="214"/>
    </row>
    <row r="16" spans="1:7" ht="15.75" customHeight="1" x14ac:dyDescent="0.25">
      <c r="A16" s="210"/>
      <c r="B16" s="212"/>
      <c r="C16" s="218"/>
      <c r="D16" s="219"/>
      <c r="E16" s="219"/>
      <c r="F16" s="219"/>
      <c r="G16" s="220"/>
    </row>
    <row r="17" spans="1:11" ht="15.75" customHeight="1" x14ac:dyDescent="0.25">
      <c r="A17" s="318"/>
      <c r="B17" s="214"/>
      <c r="C17" s="318"/>
      <c r="D17" s="213"/>
      <c r="E17" s="213"/>
      <c r="F17" s="213"/>
      <c r="G17" s="214"/>
      <c r="H17" s="95"/>
      <c r="I17" s="95"/>
      <c r="J17" s="95"/>
      <c r="K17" s="95"/>
    </row>
    <row r="18" spans="1:11" ht="15.75" customHeight="1" x14ac:dyDescent="0.25">
      <c r="A18" s="218"/>
      <c r="B18" s="220"/>
      <c r="C18" s="218"/>
      <c r="D18" s="219"/>
      <c r="E18" s="219"/>
      <c r="F18" s="219"/>
      <c r="G18" s="220"/>
      <c r="H18" s="95"/>
      <c r="I18" s="95"/>
      <c r="J18" s="95"/>
      <c r="K18" s="95"/>
    </row>
    <row r="19" spans="1:11" ht="15.75" customHeight="1" x14ac:dyDescent="0.25">
      <c r="A19" s="318"/>
      <c r="B19" s="214"/>
      <c r="C19" s="318"/>
      <c r="D19" s="213"/>
      <c r="E19" s="213"/>
      <c r="F19" s="213"/>
      <c r="G19" s="214"/>
      <c r="H19" s="95"/>
      <c r="I19" s="95"/>
      <c r="J19" s="95"/>
      <c r="K19" s="95"/>
    </row>
    <row r="20" spans="1:11" ht="15.75" customHeight="1" x14ac:dyDescent="0.25">
      <c r="A20" s="218"/>
      <c r="B20" s="220"/>
      <c r="C20" s="218"/>
      <c r="D20" s="219"/>
      <c r="E20" s="219"/>
      <c r="F20" s="219"/>
      <c r="G20" s="220"/>
      <c r="H20" s="95"/>
      <c r="I20" s="95"/>
      <c r="J20" s="95"/>
      <c r="K20" s="95"/>
    </row>
    <row r="21" spans="1:11" ht="15.75" customHeight="1" x14ac:dyDescent="0.25">
      <c r="A21" s="318"/>
      <c r="B21" s="214"/>
      <c r="C21" s="318"/>
      <c r="D21" s="213"/>
      <c r="E21" s="213"/>
      <c r="F21" s="213"/>
      <c r="G21" s="214"/>
      <c r="H21" s="95"/>
      <c r="I21" s="95"/>
      <c r="J21" s="95"/>
      <c r="K21" s="95"/>
    </row>
    <row r="22" spans="1:11" ht="15.75" customHeight="1" x14ac:dyDescent="0.25">
      <c r="A22" s="218"/>
      <c r="B22" s="220"/>
      <c r="C22" s="218"/>
      <c r="D22" s="219"/>
      <c r="E22" s="219"/>
      <c r="F22" s="219"/>
      <c r="G22" s="220"/>
      <c r="H22" s="95"/>
      <c r="I22" s="95"/>
      <c r="J22" s="95"/>
      <c r="K22" s="95"/>
    </row>
    <row r="23" spans="1:11" ht="15.75" customHeight="1" x14ac:dyDescent="0.25">
      <c r="A23" s="318"/>
      <c r="B23" s="214"/>
      <c r="C23" s="318"/>
      <c r="D23" s="213"/>
      <c r="E23" s="213"/>
      <c r="F23" s="213"/>
      <c r="G23" s="214"/>
      <c r="H23" s="95"/>
      <c r="I23" s="95"/>
      <c r="J23" s="95"/>
      <c r="K23" s="95"/>
    </row>
    <row r="24" spans="1:11" ht="15.75" customHeight="1" x14ac:dyDescent="0.25">
      <c r="A24" s="218"/>
      <c r="B24" s="220"/>
      <c r="C24" s="218"/>
      <c r="D24" s="219"/>
      <c r="E24" s="219"/>
      <c r="F24" s="219"/>
      <c r="G24" s="220"/>
      <c r="H24" s="95"/>
      <c r="I24" s="95"/>
      <c r="J24" s="95"/>
      <c r="K24" s="95"/>
    </row>
    <row r="26" spans="1:11" x14ac:dyDescent="0.25">
      <c r="A26" s="108"/>
      <c r="B26" s="108"/>
      <c r="C26" s="108"/>
      <c r="D26" s="108"/>
      <c r="E26" s="108"/>
      <c r="F26" s="108"/>
      <c r="G26" s="108"/>
      <c r="H26" s="95"/>
      <c r="I26" s="95"/>
      <c r="J26" s="95"/>
      <c r="K26" s="95"/>
    </row>
    <row r="27" spans="1:11" s="56" customFormat="1" ht="16.5" customHeight="1" x14ac:dyDescent="0.25">
      <c r="A27" s="319" t="s">
        <v>221</v>
      </c>
      <c r="B27" s="319"/>
      <c r="C27" s="319"/>
      <c r="D27" s="319"/>
      <c r="E27" s="319"/>
      <c r="F27" s="319"/>
      <c r="G27" s="319"/>
    </row>
    <row r="28" spans="1:11" s="12" customFormat="1" ht="17.25" customHeight="1" x14ac:dyDescent="0.25">
      <c r="A28" s="320" t="s">
        <v>222</v>
      </c>
      <c r="B28" s="320"/>
      <c r="C28" s="300" t="s">
        <v>223</v>
      </c>
      <c r="D28" s="300" t="s">
        <v>224</v>
      </c>
      <c r="E28" s="300"/>
      <c r="F28" s="300"/>
      <c r="G28" s="300"/>
      <c r="H28" s="108"/>
      <c r="I28" s="108"/>
      <c r="J28" s="108"/>
      <c r="K28" s="108"/>
    </row>
    <row r="29" spans="1:11" s="12" customFormat="1" ht="17.25" customHeight="1" x14ac:dyDescent="0.25">
      <c r="A29" s="320"/>
      <c r="B29" s="320"/>
      <c r="C29" s="300"/>
      <c r="D29" s="300" t="s">
        <v>225</v>
      </c>
      <c r="E29" s="300"/>
      <c r="F29" s="300" t="s">
        <v>142</v>
      </c>
      <c r="G29" s="300"/>
      <c r="H29" s="108"/>
      <c r="I29" s="108"/>
      <c r="J29" s="108"/>
      <c r="K29" s="108"/>
    </row>
    <row r="30" spans="1:11" s="37" customFormat="1" ht="38.1" customHeight="1" x14ac:dyDescent="0.25">
      <c r="A30" s="234" t="s">
        <v>226</v>
      </c>
      <c r="B30" s="234"/>
      <c r="C30" s="156" t="s">
        <v>227</v>
      </c>
      <c r="D30" s="321">
        <v>0.04</v>
      </c>
      <c r="E30" s="280"/>
      <c r="F30" s="323"/>
      <c r="G30" s="324"/>
      <c r="H30" s="149"/>
      <c r="I30" s="149"/>
      <c r="J30" s="108"/>
      <c r="K30" s="108"/>
    </row>
    <row r="31" spans="1:11" s="37" customFormat="1" ht="38.1" customHeight="1" x14ac:dyDescent="0.25">
      <c r="A31" s="234" t="s">
        <v>228</v>
      </c>
      <c r="B31" s="234"/>
      <c r="C31" s="154" t="s">
        <v>229</v>
      </c>
      <c r="D31" s="322">
        <v>8.9999999999999993E-3</v>
      </c>
      <c r="E31" s="280"/>
      <c r="F31" s="323"/>
      <c r="G31" s="324"/>
      <c r="H31" s="149"/>
      <c r="I31" s="149"/>
      <c r="J31" s="108"/>
      <c r="K31" s="108"/>
    </row>
    <row r="32" spans="1:11" s="37" customFormat="1" ht="38.1" customHeight="1" x14ac:dyDescent="0.25">
      <c r="A32" s="234" t="s">
        <v>230</v>
      </c>
      <c r="B32" s="234"/>
      <c r="C32" s="154" t="s">
        <v>231</v>
      </c>
      <c r="D32" s="280">
        <v>1</v>
      </c>
      <c r="E32" s="280"/>
      <c r="F32" s="325"/>
      <c r="G32" s="326"/>
      <c r="H32" s="149"/>
      <c r="I32" s="149"/>
      <c r="J32" s="108"/>
      <c r="K32" s="108"/>
    </row>
    <row r="33" spans="1:7" s="37" customFormat="1" ht="38.1" customHeight="1" x14ac:dyDescent="0.3">
      <c r="A33" s="234" t="s">
        <v>232</v>
      </c>
      <c r="B33" s="234"/>
      <c r="C33" s="154" t="s">
        <v>231</v>
      </c>
      <c r="D33" s="280">
        <v>1</v>
      </c>
      <c r="E33" s="280"/>
      <c r="F33" s="323"/>
      <c r="G33" s="324"/>
    </row>
    <row r="35" spans="1:7" x14ac:dyDescent="0.25">
      <c r="A35" s="265" t="s">
        <v>233</v>
      </c>
      <c r="B35" s="265"/>
      <c r="C35" s="265"/>
      <c r="D35" s="265"/>
      <c r="E35" s="265"/>
      <c r="F35" s="265"/>
      <c r="G35" s="265"/>
    </row>
    <row r="36" spans="1:7" x14ac:dyDescent="0.25">
      <c r="A36" s="266" t="s">
        <v>438</v>
      </c>
      <c r="B36" s="266"/>
      <c r="C36" s="266"/>
      <c r="D36" s="266"/>
      <c r="E36" s="266"/>
      <c r="F36" s="266"/>
      <c r="G36" s="266"/>
    </row>
    <row r="37" spans="1:7" x14ac:dyDescent="0.25">
      <c r="A37" s="266"/>
      <c r="B37" s="266"/>
      <c r="C37" s="266"/>
      <c r="D37" s="266"/>
      <c r="E37" s="266"/>
      <c r="F37" s="266"/>
      <c r="G37" s="266"/>
    </row>
    <row r="38" spans="1:7" x14ac:dyDescent="0.25">
      <c r="A38" s="266"/>
      <c r="B38" s="266"/>
      <c r="C38" s="266"/>
      <c r="D38" s="266"/>
      <c r="E38" s="266"/>
      <c r="F38" s="266"/>
      <c r="G38" s="266"/>
    </row>
    <row r="39" spans="1:7" x14ac:dyDescent="0.25">
      <c r="A39" s="266"/>
      <c r="B39" s="266"/>
      <c r="C39" s="266"/>
      <c r="D39" s="266"/>
      <c r="E39" s="266"/>
      <c r="F39" s="266"/>
      <c r="G39" s="266"/>
    </row>
    <row r="40" spans="1:7" x14ac:dyDescent="0.25">
      <c r="A40" s="266"/>
      <c r="B40" s="266"/>
      <c r="C40" s="266"/>
      <c r="D40" s="266"/>
      <c r="E40" s="266"/>
      <c r="F40" s="266"/>
      <c r="G40" s="266"/>
    </row>
    <row r="41" spans="1:7" x14ac:dyDescent="0.25">
      <c r="A41" s="266"/>
      <c r="B41" s="266"/>
      <c r="C41" s="266"/>
      <c r="D41" s="266"/>
      <c r="E41" s="266"/>
      <c r="F41" s="266"/>
      <c r="G41" s="266"/>
    </row>
    <row r="56" spans="6:6" x14ac:dyDescent="0.25">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tabSelected="1" topLeftCell="A22"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95" t="str">
        <f>+'Cover Page'!$B$29</f>
        <v>Annual Performance Report 2022</v>
      </c>
      <c r="B1" s="95"/>
      <c r="C1" s="95"/>
      <c r="D1" s="95"/>
      <c r="E1" s="95" t="str">
        <f>+'Cover Page'!$B$33</f>
        <v>Clinitek (Stoke) LLP</v>
      </c>
      <c r="F1" s="95"/>
      <c r="G1" s="95"/>
      <c r="H1" s="95"/>
      <c r="I1" s="95"/>
      <c r="J1" s="95"/>
    </row>
    <row r="3" spans="1:10" ht="15.6" x14ac:dyDescent="0.3">
      <c r="A3" s="1" t="s">
        <v>28</v>
      </c>
      <c r="B3" s="95"/>
      <c r="C3" s="95"/>
      <c r="D3" s="95"/>
      <c r="E3" s="95"/>
      <c r="F3" s="95"/>
      <c r="G3" s="95"/>
      <c r="H3" s="95"/>
      <c r="I3" s="95"/>
      <c r="J3" s="95"/>
    </row>
    <row r="4" spans="1:10" ht="15.6" x14ac:dyDescent="0.3">
      <c r="A4" s="1"/>
      <c r="B4" s="95"/>
      <c r="C4" s="95"/>
      <c r="D4" s="95"/>
      <c r="E4" s="95"/>
      <c r="F4" s="95"/>
      <c r="G4" s="95"/>
      <c r="H4" s="95"/>
      <c r="I4" s="95"/>
      <c r="J4" s="95"/>
    </row>
    <row r="5" spans="1:10" s="3" customFormat="1" ht="21.75" customHeight="1" x14ac:dyDescent="0.25">
      <c r="A5" s="48" t="s">
        <v>218</v>
      </c>
      <c r="B5" s="49"/>
      <c r="C5" s="49"/>
      <c r="D5" s="49"/>
      <c r="E5" s="49"/>
      <c r="F5" s="49"/>
      <c r="G5" s="49"/>
      <c r="H5" s="49"/>
      <c r="I5" s="49"/>
      <c r="J5" s="50"/>
    </row>
    <row r="6" spans="1:10" s="3" customFormat="1" ht="15.75" customHeight="1" x14ac:dyDescent="0.25">
      <c r="A6" s="204" t="s">
        <v>404</v>
      </c>
      <c r="B6" s="205"/>
      <c r="C6" s="205"/>
      <c r="D6" s="205"/>
      <c r="E6" s="205"/>
      <c r="F6" s="205"/>
      <c r="G6" s="205"/>
      <c r="H6" s="205"/>
      <c r="I6" s="205"/>
      <c r="J6" s="206"/>
    </row>
    <row r="7" spans="1:10" s="3" customFormat="1" ht="15.75" customHeight="1" x14ac:dyDescent="0.25">
      <c r="A7" s="210"/>
      <c r="B7" s="211"/>
      <c r="C7" s="211"/>
      <c r="D7" s="211"/>
      <c r="E7" s="211"/>
      <c r="F7" s="211"/>
      <c r="G7" s="211"/>
      <c r="H7" s="211"/>
      <c r="I7" s="211"/>
      <c r="J7" s="212"/>
    </row>
    <row r="8" spans="1:10" s="3" customFormat="1" ht="15.75" customHeight="1" x14ac:dyDescent="0.25">
      <c r="A8" s="204"/>
      <c r="B8" s="205"/>
      <c r="C8" s="205"/>
      <c r="D8" s="205"/>
      <c r="E8" s="205"/>
      <c r="F8" s="205"/>
      <c r="G8" s="205"/>
      <c r="H8" s="205"/>
      <c r="I8" s="205"/>
      <c r="J8" s="206"/>
    </row>
    <row r="9" spans="1:10" s="3" customFormat="1" ht="15.75" customHeight="1" x14ac:dyDescent="0.25">
      <c r="A9" s="210"/>
      <c r="B9" s="211"/>
      <c r="C9" s="211"/>
      <c r="D9" s="211"/>
      <c r="E9" s="211"/>
      <c r="F9" s="211"/>
      <c r="G9" s="211"/>
      <c r="H9" s="211"/>
      <c r="I9" s="211"/>
      <c r="J9" s="212"/>
    </row>
    <row r="10" spans="1:10" s="3" customFormat="1" ht="15.75" customHeight="1" x14ac:dyDescent="0.25">
      <c r="A10" s="204"/>
      <c r="B10" s="205"/>
      <c r="C10" s="205"/>
      <c r="D10" s="205"/>
      <c r="E10" s="205"/>
      <c r="F10" s="205"/>
      <c r="G10" s="205"/>
      <c r="H10" s="205"/>
      <c r="I10" s="205"/>
      <c r="J10" s="206"/>
    </row>
    <row r="11" spans="1:10" s="3" customFormat="1" ht="15.75" customHeight="1" x14ac:dyDescent="0.25">
      <c r="A11" s="210"/>
      <c r="B11" s="211"/>
      <c r="C11" s="211"/>
      <c r="D11" s="211"/>
      <c r="E11" s="211"/>
      <c r="F11" s="211"/>
      <c r="G11" s="211"/>
      <c r="H11" s="211"/>
      <c r="I11" s="211"/>
      <c r="J11" s="212"/>
    </row>
    <row r="12" spans="1:10" s="3" customFormat="1" ht="13.8" x14ac:dyDescent="0.25"/>
    <row r="13" spans="1:10" s="47" customFormat="1" ht="33.75" customHeight="1" x14ac:dyDescent="0.3">
      <c r="A13" s="312" t="s">
        <v>219</v>
      </c>
      <c r="B13" s="313"/>
      <c r="C13" s="313"/>
      <c r="D13" s="313"/>
      <c r="E13" s="313"/>
      <c r="F13" s="313"/>
      <c r="G13" s="313"/>
      <c r="H13" s="313"/>
      <c r="I13" s="313"/>
      <c r="J13" s="314"/>
    </row>
    <row r="14" spans="1:10" ht="15.75" customHeight="1" x14ac:dyDescent="0.25">
      <c r="A14" s="315" t="s">
        <v>220</v>
      </c>
      <c r="B14" s="317"/>
      <c r="C14" s="315" t="s">
        <v>214</v>
      </c>
      <c r="D14" s="316"/>
      <c r="E14" s="316"/>
      <c r="F14" s="316"/>
      <c r="G14" s="316"/>
      <c r="H14" s="316"/>
      <c r="I14" s="316"/>
      <c r="J14" s="316"/>
    </row>
    <row r="15" spans="1:10" ht="15.75" customHeight="1" x14ac:dyDescent="0.25">
      <c r="A15" s="204"/>
      <c r="B15" s="206"/>
      <c r="C15" s="318"/>
      <c r="D15" s="213"/>
      <c r="E15" s="213"/>
      <c r="F15" s="213"/>
      <c r="G15" s="213"/>
      <c r="H15" s="213"/>
      <c r="I15" s="213"/>
      <c r="J15" s="214"/>
    </row>
    <row r="16" spans="1:10" ht="15.75" customHeight="1" x14ac:dyDescent="0.25">
      <c r="A16" s="210"/>
      <c r="B16" s="212"/>
      <c r="C16" s="218"/>
      <c r="D16" s="219"/>
      <c r="E16" s="219"/>
      <c r="F16" s="219"/>
      <c r="G16" s="219"/>
      <c r="H16" s="219"/>
      <c r="I16" s="219"/>
      <c r="J16" s="220"/>
    </row>
    <row r="17" spans="1:10" ht="15.75" customHeight="1" x14ac:dyDescent="0.25">
      <c r="A17" s="318"/>
      <c r="B17" s="214"/>
      <c r="C17" s="318"/>
      <c r="D17" s="213"/>
      <c r="E17" s="213"/>
      <c r="F17" s="213"/>
      <c r="G17" s="213"/>
      <c r="H17" s="213"/>
      <c r="I17" s="213"/>
      <c r="J17" s="214"/>
    </row>
    <row r="18" spans="1:10" ht="15.75" customHeight="1" x14ac:dyDescent="0.25">
      <c r="A18" s="218"/>
      <c r="B18" s="220"/>
      <c r="C18" s="218"/>
      <c r="D18" s="219"/>
      <c r="E18" s="219"/>
      <c r="F18" s="219"/>
      <c r="G18" s="219"/>
      <c r="H18" s="219"/>
      <c r="I18" s="219"/>
      <c r="J18" s="220"/>
    </row>
    <row r="19" spans="1:10" ht="15.75" customHeight="1" x14ac:dyDescent="0.25">
      <c r="A19" s="318"/>
      <c r="B19" s="214"/>
      <c r="C19" s="318"/>
      <c r="D19" s="213"/>
      <c r="E19" s="213"/>
      <c r="F19" s="213"/>
      <c r="G19" s="213"/>
      <c r="H19" s="213"/>
      <c r="I19" s="213"/>
      <c r="J19" s="214"/>
    </row>
    <row r="20" spans="1:10" ht="15.75" customHeight="1" x14ac:dyDescent="0.25">
      <c r="A20" s="218"/>
      <c r="B20" s="220"/>
      <c r="C20" s="218"/>
      <c r="D20" s="219"/>
      <c r="E20" s="219"/>
      <c r="F20" s="219"/>
      <c r="G20" s="219"/>
      <c r="H20" s="219"/>
      <c r="I20" s="219"/>
      <c r="J20" s="220"/>
    </row>
    <row r="22" spans="1:10" ht="22.5" customHeight="1" x14ac:dyDescent="0.25">
      <c r="A22" s="327" t="s">
        <v>234</v>
      </c>
      <c r="B22" s="328"/>
      <c r="C22" s="328"/>
      <c r="D22" s="328"/>
      <c r="E22" s="328"/>
      <c r="F22" s="328"/>
      <c r="G22" s="328"/>
      <c r="H22" s="328"/>
      <c r="I22" s="328"/>
      <c r="J22" s="328"/>
    </row>
    <row r="23" spans="1:10" ht="19.5" customHeight="1" x14ac:dyDescent="0.25">
      <c r="A23" s="329" t="s">
        <v>160</v>
      </c>
      <c r="B23" s="330"/>
      <c r="C23" s="331"/>
      <c r="D23" s="332" t="s">
        <v>235</v>
      </c>
      <c r="E23" s="333"/>
      <c r="F23" s="334"/>
      <c r="G23" s="54" t="s">
        <v>223</v>
      </c>
      <c r="H23" s="54" t="s">
        <v>236</v>
      </c>
      <c r="I23" s="54" t="s">
        <v>237</v>
      </c>
      <c r="J23" s="54" t="s">
        <v>238</v>
      </c>
    </row>
    <row r="24" spans="1:10" x14ac:dyDescent="0.25">
      <c r="A24" s="335" t="s">
        <v>372</v>
      </c>
      <c r="B24" s="336"/>
      <c r="C24" s="337"/>
      <c r="D24" s="338" t="s">
        <v>384</v>
      </c>
      <c r="E24" s="339"/>
      <c r="F24" s="340"/>
      <c r="G24" s="168" t="s">
        <v>376</v>
      </c>
      <c r="H24" s="157"/>
      <c r="I24" s="157"/>
      <c r="J24" s="157">
        <v>8.5</v>
      </c>
    </row>
    <row r="25" spans="1:10" ht="15" customHeight="1" x14ac:dyDescent="0.25">
      <c r="A25" s="335" t="s">
        <v>373</v>
      </c>
      <c r="B25" s="336"/>
      <c r="C25" s="337"/>
      <c r="D25" s="338" t="s">
        <v>384</v>
      </c>
      <c r="E25" s="339"/>
      <c r="F25" s="340"/>
      <c r="G25" s="163">
        <v>1000</v>
      </c>
      <c r="H25" s="157"/>
      <c r="I25" s="157"/>
      <c r="J25" s="157">
        <v>57</v>
      </c>
    </row>
    <row r="26" spans="1:10" ht="15" customHeight="1" x14ac:dyDescent="0.25">
      <c r="A26" s="335" t="s">
        <v>374</v>
      </c>
      <c r="B26" s="336"/>
      <c r="C26" s="337"/>
      <c r="D26" s="338" t="s">
        <v>384</v>
      </c>
      <c r="E26" s="339"/>
      <c r="F26" s="340"/>
      <c r="G26" s="163">
        <v>2500</v>
      </c>
      <c r="H26" s="157"/>
      <c r="I26" s="157"/>
      <c r="J26" s="157">
        <v>756</v>
      </c>
    </row>
    <row r="27" spans="1:10" ht="15" customHeight="1" x14ac:dyDescent="0.25">
      <c r="A27" s="335" t="s">
        <v>375</v>
      </c>
      <c r="B27" s="336"/>
      <c r="C27" s="337"/>
      <c r="D27" s="338" t="s">
        <v>384</v>
      </c>
      <c r="E27" s="339"/>
      <c r="F27" s="340"/>
      <c r="G27" s="163">
        <v>25</v>
      </c>
      <c r="H27" s="157"/>
      <c r="I27" s="157"/>
      <c r="J27" s="157">
        <v>0.72</v>
      </c>
    </row>
    <row r="28" spans="1:10" x14ac:dyDescent="0.25">
      <c r="A28" s="335"/>
      <c r="B28" s="336"/>
      <c r="C28" s="337"/>
      <c r="D28" s="338"/>
      <c r="E28" s="339"/>
      <c r="F28" s="340"/>
      <c r="G28" s="157"/>
      <c r="H28" s="157"/>
      <c r="I28" s="157"/>
      <c r="J28" s="157"/>
    </row>
    <row r="29" spans="1:10" x14ac:dyDescent="0.25">
      <c r="A29" s="335"/>
      <c r="B29" s="336"/>
      <c r="C29" s="337"/>
      <c r="D29" s="338"/>
      <c r="E29" s="339"/>
      <c r="F29" s="340"/>
      <c r="G29" s="157"/>
      <c r="H29" s="157"/>
      <c r="I29" s="157"/>
      <c r="J29" s="157"/>
    </row>
    <row r="30" spans="1:10" x14ac:dyDescent="0.25">
      <c r="A30" s="341"/>
      <c r="B30" s="341"/>
      <c r="C30" s="341"/>
      <c r="D30" s="338"/>
      <c r="E30" s="339"/>
      <c r="F30" s="340"/>
      <c r="G30" s="157"/>
      <c r="H30" s="157"/>
      <c r="I30" s="157"/>
      <c r="J30" s="157"/>
    </row>
    <row r="31" spans="1:10" x14ac:dyDescent="0.25">
      <c r="A31" s="108"/>
      <c r="B31" s="108" t="s">
        <v>367</v>
      </c>
      <c r="C31" s="108"/>
      <c r="D31" s="108"/>
      <c r="E31" s="108"/>
      <c r="F31" s="108"/>
      <c r="G31" s="108"/>
      <c r="H31" s="108"/>
      <c r="I31" s="108"/>
      <c r="J31" s="108"/>
    </row>
    <row r="32" spans="1:10" x14ac:dyDescent="0.25">
      <c r="A32" s="108"/>
      <c r="B32" s="108"/>
      <c r="C32" s="108"/>
      <c r="D32" s="108"/>
      <c r="E32" s="108"/>
      <c r="F32" s="108"/>
      <c r="G32" s="108"/>
      <c r="H32" s="108"/>
      <c r="I32" s="108"/>
      <c r="J32" s="108"/>
    </row>
    <row r="33" spans="1:10" x14ac:dyDescent="0.25">
      <c r="A33" s="108"/>
      <c r="B33" s="108"/>
      <c r="C33" s="108"/>
      <c r="D33" s="108"/>
      <c r="E33" s="108"/>
      <c r="F33" s="108"/>
      <c r="G33" s="108"/>
      <c r="H33" s="108"/>
      <c r="I33" s="108"/>
      <c r="J33" s="108"/>
    </row>
    <row r="66" spans="6:6" x14ac:dyDescent="0.25">
      <c r="F66" s="3"/>
    </row>
  </sheetData>
  <mergeCells count="29">
    <mergeCell ref="A30:C30"/>
    <mergeCell ref="D30:F30"/>
    <mergeCell ref="A27:C27"/>
    <mergeCell ref="D27:F27"/>
    <mergeCell ref="A28:C28"/>
    <mergeCell ref="D28:F28"/>
    <mergeCell ref="A29:C29"/>
    <mergeCell ref="D29:F29"/>
    <mergeCell ref="A24:C24"/>
    <mergeCell ref="D24:F24"/>
    <mergeCell ref="A25:C25"/>
    <mergeCell ref="D25:F25"/>
    <mergeCell ref="A26:C26"/>
    <mergeCell ref="D26:F26"/>
    <mergeCell ref="A22:J22"/>
    <mergeCell ref="A23:C23"/>
    <mergeCell ref="D23:F23"/>
    <mergeCell ref="A15:B16"/>
    <mergeCell ref="C15:J16"/>
    <mergeCell ref="A17:B18"/>
    <mergeCell ref="C17:J18"/>
    <mergeCell ref="A19:B20"/>
    <mergeCell ref="C19:J20"/>
    <mergeCell ref="A6:J7"/>
    <mergeCell ref="A8:J9"/>
    <mergeCell ref="A10:J11"/>
    <mergeCell ref="A13:J13"/>
    <mergeCell ref="A14:B14"/>
    <mergeCell ref="C14:J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tabSelected="1" topLeftCell="A33"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0.44140625" style="2" customWidth="1"/>
    <col min="11" max="16384" width="9.33203125" style="2"/>
  </cols>
  <sheetData>
    <row r="1" spans="1:16" x14ac:dyDescent="0.25">
      <c r="A1" s="95" t="str">
        <f>+'Cover Page'!$B$29</f>
        <v>Annual Performance Report 2022</v>
      </c>
      <c r="B1" s="95"/>
      <c r="C1" s="95"/>
      <c r="D1" s="95"/>
      <c r="E1" s="95" t="str">
        <f>+'Cover Page'!$B$33</f>
        <v>Clinitek (Stoke) LLP</v>
      </c>
      <c r="F1" s="95"/>
      <c r="G1" s="95"/>
      <c r="H1" s="95"/>
      <c r="I1" s="95"/>
      <c r="J1" s="95"/>
      <c r="K1" s="95"/>
      <c r="L1" s="95"/>
      <c r="M1" s="95"/>
      <c r="N1" s="95"/>
      <c r="O1" s="95"/>
      <c r="P1" s="95"/>
    </row>
    <row r="2" spans="1:16" ht="7.5" customHeight="1" x14ac:dyDescent="0.25">
      <c r="A2" s="95"/>
      <c r="B2" s="95"/>
      <c r="C2" s="95"/>
      <c r="D2" s="95"/>
      <c r="E2" s="95"/>
      <c r="F2" s="95"/>
      <c r="G2" s="95"/>
      <c r="H2" s="95"/>
      <c r="I2" s="95"/>
      <c r="J2" s="95"/>
      <c r="K2" s="95"/>
      <c r="L2" s="95"/>
      <c r="M2" s="95"/>
      <c r="N2" s="95"/>
      <c r="O2" s="95"/>
      <c r="P2" s="95"/>
    </row>
    <row r="3" spans="1:16" ht="15.6" x14ac:dyDescent="0.3">
      <c r="A3" s="1" t="s">
        <v>29</v>
      </c>
      <c r="B3" s="95"/>
      <c r="C3" s="95"/>
      <c r="D3" s="95"/>
      <c r="E3" s="95"/>
      <c r="F3" s="95"/>
      <c r="G3" s="95"/>
      <c r="H3" s="95"/>
      <c r="I3" s="95"/>
      <c r="J3" s="95"/>
      <c r="K3" s="95"/>
      <c r="L3" s="95"/>
      <c r="M3" s="95"/>
      <c r="N3" s="95"/>
      <c r="O3" s="95"/>
      <c r="P3" s="95"/>
    </row>
    <row r="4" spans="1:16" ht="9.75" customHeight="1" x14ac:dyDescent="0.3">
      <c r="A4" s="1"/>
      <c r="B4" s="95"/>
      <c r="C4" s="95"/>
      <c r="D4" s="95"/>
      <c r="E4" s="95"/>
      <c r="F4" s="95"/>
      <c r="G4" s="95"/>
      <c r="H4" s="95"/>
      <c r="I4" s="95"/>
      <c r="J4" s="95"/>
      <c r="K4" s="95"/>
      <c r="L4" s="95"/>
      <c r="M4" s="95"/>
      <c r="N4" s="95"/>
      <c r="O4" s="95"/>
      <c r="P4" s="95"/>
    </row>
    <row r="5" spans="1:16" s="3" customFormat="1" ht="21.75" customHeight="1" x14ac:dyDescent="0.3">
      <c r="A5" s="48" t="s">
        <v>239</v>
      </c>
      <c r="B5" s="49"/>
      <c r="C5" s="49"/>
      <c r="D5" s="49"/>
      <c r="E5" s="49"/>
      <c r="F5" s="49"/>
      <c r="G5" s="49"/>
      <c r="H5" s="49"/>
      <c r="I5" s="49"/>
      <c r="J5" s="50"/>
      <c r="M5" s="82" t="s">
        <v>2</v>
      </c>
    </row>
    <row r="6" spans="1:16" s="3" customFormat="1" ht="15.75" customHeight="1" x14ac:dyDescent="0.25">
      <c r="A6" s="318"/>
      <c r="B6" s="213"/>
      <c r="C6" s="213"/>
      <c r="D6" s="213"/>
      <c r="E6" s="213"/>
      <c r="F6" s="213"/>
      <c r="G6" s="213"/>
      <c r="H6" s="213"/>
      <c r="I6" s="213"/>
      <c r="J6" s="214"/>
      <c r="M6" s="342" t="s">
        <v>240</v>
      </c>
      <c r="N6" s="342"/>
      <c r="O6" s="342"/>
      <c r="P6" s="342"/>
    </row>
    <row r="7" spans="1:16" s="3" customFormat="1" ht="15.75" customHeight="1" x14ac:dyDescent="0.25">
      <c r="A7" s="218"/>
      <c r="B7" s="219"/>
      <c r="C7" s="219"/>
      <c r="D7" s="219"/>
      <c r="E7" s="219"/>
      <c r="F7" s="219"/>
      <c r="G7" s="219"/>
      <c r="H7" s="219"/>
      <c r="I7" s="219"/>
      <c r="J7" s="220"/>
      <c r="M7" s="342"/>
      <c r="N7" s="342"/>
      <c r="O7" s="342"/>
      <c r="P7" s="342"/>
    </row>
    <row r="8" spans="1:16" s="3" customFormat="1" ht="13.8" x14ac:dyDescent="0.25">
      <c r="M8" s="342"/>
      <c r="N8" s="342"/>
      <c r="O8" s="342"/>
      <c r="P8" s="342"/>
    </row>
    <row r="9" spans="1:16" s="56" customFormat="1" ht="16.5" customHeight="1" x14ac:dyDescent="0.25">
      <c r="A9" s="319" t="s">
        <v>241</v>
      </c>
      <c r="B9" s="319"/>
      <c r="C9" s="319"/>
      <c r="D9" s="319"/>
      <c r="E9" s="319"/>
      <c r="F9" s="319"/>
      <c r="G9" s="319"/>
      <c r="H9" s="319"/>
      <c r="I9" s="319"/>
      <c r="J9" s="319"/>
      <c r="M9" s="342"/>
      <c r="N9" s="342"/>
      <c r="O9" s="342"/>
      <c r="P9" s="342"/>
    </row>
    <row r="10" spans="1:16" s="56" customFormat="1" ht="16.5" customHeight="1" x14ac:dyDescent="0.25">
      <c r="A10" s="343" t="s">
        <v>187</v>
      </c>
      <c r="B10" s="344"/>
      <c r="C10" s="354" t="s">
        <v>242</v>
      </c>
      <c r="D10" s="350" t="s">
        <v>243</v>
      </c>
      <c r="E10" s="351"/>
      <c r="F10" s="347" t="s">
        <v>238</v>
      </c>
      <c r="G10" s="348"/>
      <c r="H10" s="348"/>
      <c r="I10" s="348"/>
      <c r="J10" s="349"/>
      <c r="M10" s="342" t="s">
        <v>244</v>
      </c>
      <c r="N10" s="342"/>
      <c r="O10" s="342"/>
      <c r="P10" s="342"/>
    </row>
    <row r="11" spans="1:16" s="12" customFormat="1" ht="17.25" customHeight="1" x14ac:dyDescent="0.25">
      <c r="A11" s="345"/>
      <c r="B11" s="346"/>
      <c r="C11" s="355"/>
      <c r="D11" s="352"/>
      <c r="E11" s="353"/>
      <c r="F11" s="46" t="s">
        <v>162</v>
      </c>
      <c r="G11" s="46" t="s">
        <v>163</v>
      </c>
      <c r="H11" s="46" t="s">
        <v>164</v>
      </c>
      <c r="I11" s="46" t="s">
        <v>165</v>
      </c>
      <c r="J11" s="46" t="s">
        <v>166</v>
      </c>
      <c r="K11" s="108"/>
      <c r="L11" s="108"/>
      <c r="M11" s="342"/>
      <c r="N11" s="342"/>
      <c r="O11" s="342"/>
      <c r="P11" s="342"/>
    </row>
    <row r="12" spans="1:16" s="12" customFormat="1" ht="23.25" customHeight="1" x14ac:dyDescent="0.25">
      <c r="A12" s="234" t="s">
        <v>198</v>
      </c>
      <c r="B12" s="234"/>
      <c r="C12" s="158" t="s">
        <v>245</v>
      </c>
      <c r="D12" s="279" t="s">
        <v>246</v>
      </c>
      <c r="E12" s="279"/>
      <c r="F12" s="157"/>
      <c r="G12" s="157"/>
      <c r="H12" s="157"/>
      <c r="I12" s="157"/>
      <c r="J12" s="157"/>
      <c r="K12" s="108"/>
      <c r="L12" s="108"/>
      <c r="M12" s="342"/>
      <c r="N12" s="342"/>
      <c r="O12" s="342"/>
      <c r="P12" s="342"/>
    </row>
    <row r="13" spans="1:16" s="12" customFormat="1" ht="23.25" customHeight="1" x14ac:dyDescent="0.25">
      <c r="A13" s="234" t="s">
        <v>247</v>
      </c>
      <c r="B13" s="234"/>
      <c r="C13" s="158" t="s">
        <v>248</v>
      </c>
      <c r="D13" s="279" t="s">
        <v>249</v>
      </c>
      <c r="E13" s="279"/>
      <c r="F13" s="157"/>
      <c r="G13" s="157"/>
      <c r="H13" s="157"/>
      <c r="I13" s="157"/>
      <c r="J13" s="157"/>
      <c r="K13" s="108"/>
      <c r="L13" s="108"/>
      <c r="M13" s="108"/>
      <c r="N13" s="108"/>
      <c r="O13" s="108"/>
      <c r="P13" s="108"/>
    </row>
    <row r="14" spans="1:16" s="12" customFormat="1" ht="23.25" customHeight="1" x14ac:dyDescent="0.25">
      <c r="A14" s="234" t="s">
        <v>250</v>
      </c>
      <c r="B14" s="234"/>
      <c r="C14" s="158" t="s">
        <v>248</v>
      </c>
      <c r="D14" s="279" t="s">
        <v>249</v>
      </c>
      <c r="E14" s="279"/>
      <c r="F14" s="157"/>
      <c r="G14" s="157"/>
      <c r="H14" s="157"/>
      <c r="I14" s="157"/>
      <c r="J14" s="157"/>
      <c r="K14" s="108"/>
      <c r="L14" s="108"/>
      <c r="M14" s="108"/>
      <c r="N14" s="108"/>
      <c r="O14" s="108"/>
      <c r="P14" s="108"/>
    </row>
    <row r="15" spans="1:16" s="12" customFormat="1" ht="23.25" customHeight="1" x14ac:dyDescent="0.25">
      <c r="A15" s="234" t="s">
        <v>251</v>
      </c>
      <c r="B15" s="234"/>
      <c r="C15" s="158" t="s">
        <v>248</v>
      </c>
      <c r="D15" s="279" t="s">
        <v>252</v>
      </c>
      <c r="E15" s="279"/>
      <c r="F15" s="157"/>
      <c r="G15" s="157"/>
      <c r="H15" s="157"/>
      <c r="I15" s="157"/>
      <c r="J15" s="157"/>
      <c r="K15" s="108"/>
      <c r="L15" s="108"/>
      <c r="M15" s="108"/>
      <c r="N15" s="108"/>
      <c r="O15" s="108"/>
      <c r="P15" s="108"/>
    </row>
    <row r="16" spans="1:16" s="12" customFormat="1" ht="23.25" customHeight="1" x14ac:dyDescent="0.25">
      <c r="A16" s="234" t="s">
        <v>253</v>
      </c>
      <c r="B16" s="234"/>
      <c r="C16" s="158" t="s">
        <v>248</v>
      </c>
      <c r="D16" s="279" t="s">
        <v>254</v>
      </c>
      <c r="E16" s="279"/>
      <c r="F16" s="157"/>
      <c r="G16" s="157"/>
      <c r="H16" s="157"/>
      <c r="I16" s="157"/>
      <c r="J16" s="157"/>
      <c r="K16" s="108"/>
      <c r="L16" s="108"/>
      <c r="M16" s="108"/>
      <c r="N16" s="108"/>
      <c r="O16" s="108"/>
      <c r="P16" s="108"/>
    </row>
    <row r="17" spans="1:10" s="12" customFormat="1" ht="23.25" customHeight="1" x14ac:dyDescent="0.25">
      <c r="A17" s="234" t="s">
        <v>255</v>
      </c>
      <c r="B17" s="234"/>
      <c r="C17" s="158" t="s">
        <v>248</v>
      </c>
      <c r="D17" s="279" t="s">
        <v>256</v>
      </c>
      <c r="E17" s="279"/>
      <c r="F17" s="157"/>
      <c r="G17" s="157"/>
      <c r="H17" s="157"/>
      <c r="I17" s="157"/>
      <c r="J17" s="157"/>
    </row>
    <row r="18" spans="1:10" s="12" customFormat="1" ht="23.25" customHeight="1" x14ac:dyDescent="0.25">
      <c r="A18" s="234" t="s">
        <v>257</v>
      </c>
      <c r="B18" s="234"/>
      <c r="C18" s="158" t="s">
        <v>248</v>
      </c>
      <c r="D18" s="279" t="s">
        <v>256</v>
      </c>
      <c r="E18" s="279"/>
      <c r="F18" s="157"/>
      <c r="G18" s="157"/>
      <c r="H18" s="157"/>
      <c r="I18" s="157"/>
      <c r="J18" s="157"/>
    </row>
    <row r="19" spans="1:10" s="12" customFormat="1" ht="23.25" customHeight="1" x14ac:dyDescent="0.25">
      <c r="A19" s="234" t="s">
        <v>258</v>
      </c>
      <c r="B19" s="234"/>
      <c r="C19" s="158" t="s">
        <v>248</v>
      </c>
      <c r="D19" s="279" t="s">
        <v>256</v>
      </c>
      <c r="E19" s="279"/>
      <c r="F19" s="157"/>
      <c r="G19" s="157"/>
      <c r="H19" s="157"/>
      <c r="I19" s="157"/>
      <c r="J19" s="157"/>
    </row>
    <row r="20" spans="1:10" s="12" customFormat="1" ht="23.25" customHeight="1" x14ac:dyDescent="0.25">
      <c r="A20" s="234" t="s">
        <v>259</v>
      </c>
      <c r="B20" s="234"/>
      <c r="C20" s="158" t="s">
        <v>248</v>
      </c>
      <c r="D20" s="279" t="s">
        <v>256</v>
      </c>
      <c r="E20" s="279"/>
      <c r="F20" s="157"/>
      <c r="G20" s="157"/>
      <c r="H20" s="157"/>
      <c r="I20" s="157"/>
      <c r="J20" s="157"/>
    </row>
    <row r="21" spans="1:10" s="12" customFormat="1" ht="23.25" customHeight="1" x14ac:dyDescent="0.25">
      <c r="A21" s="234" t="s">
        <v>260</v>
      </c>
      <c r="B21" s="234"/>
      <c r="C21" s="158" t="s">
        <v>248</v>
      </c>
      <c r="D21" s="279" t="s">
        <v>256</v>
      </c>
      <c r="E21" s="279"/>
      <c r="F21" s="157"/>
      <c r="G21" s="157"/>
      <c r="H21" s="157"/>
      <c r="I21" s="157"/>
      <c r="J21" s="157"/>
    </row>
    <row r="22" spans="1:10" s="12" customFormat="1" ht="23.25" customHeight="1" x14ac:dyDescent="0.25">
      <c r="A22" s="234" t="s">
        <v>261</v>
      </c>
      <c r="B22" s="234"/>
      <c r="C22" s="158" t="s">
        <v>248</v>
      </c>
      <c r="D22" s="279" t="s">
        <v>256</v>
      </c>
      <c r="E22" s="279"/>
      <c r="F22" s="157"/>
      <c r="G22" s="157"/>
      <c r="H22" s="157"/>
      <c r="I22" s="157"/>
      <c r="J22" s="157"/>
    </row>
    <row r="23" spans="1:10" s="12" customFormat="1" ht="23.25" customHeight="1" x14ac:dyDescent="0.25">
      <c r="A23" s="234" t="s">
        <v>262</v>
      </c>
      <c r="B23" s="234"/>
      <c r="C23" s="158" t="s">
        <v>248</v>
      </c>
      <c r="D23" s="279" t="s">
        <v>263</v>
      </c>
      <c r="E23" s="279"/>
      <c r="F23" s="157"/>
      <c r="G23" s="157"/>
      <c r="H23" s="157"/>
      <c r="I23" s="157"/>
      <c r="J23" s="157"/>
    </row>
    <row r="24" spans="1:10" s="12" customFormat="1" ht="23.25" customHeight="1" x14ac:dyDescent="0.25">
      <c r="A24" s="234" t="s">
        <v>264</v>
      </c>
      <c r="B24" s="234"/>
      <c r="C24" s="158" t="s">
        <v>248</v>
      </c>
      <c r="D24" s="279" t="s">
        <v>263</v>
      </c>
      <c r="E24" s="279"/>
      <c r="F24" s="157"/>
      <c r="G24" s="157"/>
      <c r="H24" s="157"/>
      <c r="I24" s="157"/>
      <c r="J24" s="157"/>
    </row>
    <row r="25" spans="1:10" s="12" customFormat="1" ht="23.25" customHeight="1" x14ac:dyDescent="0.25">
      <c r="A25" s="234" t="s">
        <v>265</v>
      </c>
      <c r="B25" s="234"/>
      <c r="C25" s="158" t="s">
        <v>248</v>
      </c>
      <c r="D25" s="279" t="s">
        <v>263</v>
      </c>
      <c r="E25" s="279"/>
      <c r="F25" s="157"/>
      <c r="G25" s="157"/>
      <c r="H25" s="157"/>
      <c r="I25" s="157"/>
      <c r="J25" s="157"/>
    </row>
    <row r="26" spans="1:10" s="12" customFormat="1" ht="23.25" customHeight="1" x14ac:dyDescent="0.25">
      <c r="A26" s="234" t="s">
        <v>266</v>
      </c>
      <c r="B26" s="234"/>
      <c r="C26" s="158" t="s">
        <v>248</v>
      </c>
      <c r="D26" s="279" t="s">
        <v>263</v>
      </c>
      <c r="E26" s="279"/>
      <c r="F26" s="157"/>
      <c r="G26" s="157"/>
      <c r="H26" s="157"/>
      <c r="I26" s="157"/>
      <c r="J26" s="157"/>
    </row>
    <row r="27" spans="1:10" s="12" customFormat="1" ht="23.25" customHeight="1" x14ac:dyDescent="0.25">
      <c r="A27" s="234" t="s">
        <v>267</v>
      </c>
      <c r="B27" s="234"/>
      <c r="C27" s="158" t="s">
        <v>248</v>
      </c>
      <c r="D27" s="279" t="s">
        <v>263</v>
      </c>
      <c r="E27" s="279"/>
      <c r="F27" s="157"/>
      <c r="G27" s="157"/>
      <c r="H27" s="157"/>
      <c r="I27" s="157"/>
      <c r="J27" s="157"/>
    </row>
    <row r="28" spans="1:10" s="12" customFormat="1" ht="23.25" customHeight="1" x14ac:dyDescent="0.25">
      <c r="A28" s="234" t="s">
        <v>268</v>
      </c>
      <c r="B28" s="234"/>
      <c r="C28" s="158" t="s">
        <v>248</v>
      </c>
      <c r="D28" s="279" t="s">
        <v>263</v>
      </c>
      <c r="E28" s="279"/>
      <c r="F28" s="157"/>
      <c r="G28" s="157"/>
      <c r="H28" s="157"/>
      <c r="I28" s="157"/>
      <c r="J28" s="157"/>
    </row>
    <row r="29" spans="1:10" s="12" customFormat="1" ht="23.25" customHeight="1" x14ac:dyDescent="0.25">
      <c r="A29" s="234" t="s">
        <v>269</v>
      </c>
      <c r="B29" s="234"/>
      <c r="C29" s="158" t="s">
        <v>248</v>
      </c>
      <c r="D29" s="279" t="s">
        <v>263</v>
      </c>
      <c r="E29" s="279"/>
      <c r="F29" s="157"/>
      <c r="G29" s="157"/>
      <c r="H29" s="157"/>
      <c r="I29" s="157"/>
      <c r="J29" s="157"/>
    </row>
    <row r="30" spans="1:10" s="12" customFormat="1" ht="23.25" customHeight="1" x14ac:dyDescent="0.25">
      <c r="A30" s="234" t="s">
        <v>270</v>
      </c>
      <c r="B30" s="234"/>
      <c r="C30" s="158" t="s">
        <v>248</v>
      </c>
      <c r="D30" s="279" t="s">
        <v>263</v>
      </c>
      <c r="E30" s="279"/>
      <c r="F30" s="157"/>
      <c r="G30" s="157"/>
      <c r="H30" s="157"/>
      <c r="I30" s="157"/>
      <c r="J30" s="157"/>
    </row>
    <row r="31" spans="1:10" s="12" customFormat="1" ht="23.25" customHeight="1" x14ac:dyDescent="0.25">
      <c r="A31" s="234" t="s">
        <v>271</v>
      </c>
      <c r="B31" s="234"/>
      <c r="C31" s="158" t="s">
        <v>248</v>
      </c>
      <c r="D31" s="279" t="s">
        <v>263</v>
      </c>
      <c r="E31" s="279"/>
      <c r="F31" s="157"/>
      <c r="G31" s="157"/>
      <c r="H31" s="157"/>
      <c r="I31" s="157"/>
      <c r="J31" s="157"/>
    </row>
    <row r="32" spans="1:10" s="12" customFormat="1" ht="23.25" customHeight="1" x14ac:dyDescent="0.25">
      <c r="A32" s="234" t="s">
        <v>272</v>
      </c>
      <c r="B32" s="234"/>
      <c r="C32" s="158" t="s">
        <v>248</v>
      </c>
      <c r="D32" s="279" t="s">
        <v>263</v>
      </c>
      <c r="E32" s="279"/>
      <c r="F32" s="157"/>
      <c r="G32" s="157"/>
      <c r="H32" s="157"/>
      <c r="I32" s="157"/>
      <c r="J32" s="157"/>
    </row>
    <row r="33" spans="1:10" s="12" customFormat="1" ht="23.25" customHeight="1" x14ac:dyDescent="0.25">
      <c r="A33" s="234" t="s">
        <v>273</v>
      </c>
      <c r="B33" s="234"/>
      <c r="C33" s="158" t="s">
        <v>248</v>
      </c>
      <c r="D33" s="279" t="s">
        <v>263</v>
      </c>
      <c r="E33" s="279"/>
      <c r="F33" s="157"/>
      <c r="G33" s="157"/>
      <c r="H33" s="157"/>
      <c r="I33" s="157"/>
      <c r="J33" s="157"/>
    </row>
    <row r="34" spans="1:10" s="12" customFormat="1" ht="23.25" customHeight="1" x14ac:dyDescent="0.25">
      <c r="A34" s="234" t="s">
        <v>274</v>
      </c>
      <c r="B34" s="234"/>
      <c r="C34" s="158" t="s">
        <v>248</v>
      </c>
      <c r="D34" s="279" t="s">
        <v>263</v>
      </c>
      <c r="E34" s="279"/>
      <c r="F34" s="157"/>
      <c r="G34" s="157"/>
      <c r="H34" s="157"/>
      <c r="I34" s="157"/>
      <c r="J34" s="157"/>
    </row>
    <row r="35" spans="1:10" s="12" customFormat="1" ht="23.25" customHeight="1" x14ac:dyDescent="0.25">
      <c r="A35" s="234" t="s">
        <v>275</v>
      </c>
      <c r="B35" s="234"/>
      <c r="C35" s="158" t="s">
        <v>248</v>
      </c>
      <c r="D35" s="279" t="s">
        <v>263</v>
      </c>
      <c r="E35" s="279"/>
      <c r="F35" s="157"/>
      <c r="G35" s="157"/>
      <c r="H35" s="157"/>
      <c r="I35" s="157"/>
      <c r="J35" s="157"/>
    </row>
    <row r="36" spans="1:10" s="12" customFormat="1" ht="23.25" customHeight="1" x14ac:dyDescent="0.25">
      <c r="A36" s="234" t="s">
        <v>276</v>
      </c>
      <c r="B36" s="234"/>
      <c r="C36" s="158" t="s">
        <v>248</v>
      </c>
      <c r="D36" s="279" t="s">
        <v>263</v>
      </c>
      <c r="E36" s="279"/>
      <c r="F36" s="157"/>
      <c r="G36" s="157"/>
      <c r="H36" s="157"/>
      <c r="I36" s="157"/>
      <c r="J36" s="157"/>
    </row>
    <row r="37" spans="1:10" s="12" customFormat="1" ht="23.25" customHeight="1" x14ac:dyDescent="0.25">
      <c r="A37" s="234" t="s">
        <v>277</v>
      </c>
      <c r="B37" s="234"/>
      <c r="C37" s="158" t="s">
        <v>248</v>
      </c>
      <c r="D37" s="279" t="s">
        <v>263</v>
      </c>
      <c r="E37" s="279"/>
      <c r="F37" s="157"/>
      <c r="G37" s="157"/>
      <c r="H37" s="157"/>
      <c r="I37" s="157"/>
      <c r="J37" s="157"/>
    </row>
    <row r="38" spans="1:10" s="12" customFormat="1" ht="23.25" customHeight="1" x14ac:dyDescent="0.25">
      <c r="A38" s="234" t="s">
        <v>278</v>
      </c>
      <c r="B38" s="234"/>
      <c r="C38" s="158" t="s">
        <v>248</v>
      </c>
      <c r="D38" s="279" t="s">
        <v>263</v>
      </c>
      <c r="E38" s="279"/>
      <c r="F38" s="157"/>
      <c r="G38" s="157"/>
      <c r="H38" s="157"/>
      <c r="I38" s="157"/>
      <c r="J38" s="157"/>
    </row>
    <row r="39" spans="1:10" x14ac:dyDescent="0.25">
      <c r="A39" s="265" t="s">
        <v>233</v>
      </c>
      <c r="B39" s="265"/>
      <c r="C39" s="265"/>
      <c r="D39" s="265"/>
      <c r="E39" s="265"/>
      <c r="F39" s="265"/>
      <c r="G39" s="265"/>
      <c r="H39" s="265"/>
      <c r="I39" s="265"/>
      <c r="J39" s="265"/>
    </row>
    <row r="40" spans="1:10" x14ac:dyDescent="0.25">
      <c r="A40" s="266" t="s">
        <v>437</v>
      </c>
      <c r="B40" s="266"/>
      <c r="C40" s="266"/>
      <c r="D40" s="266"/>
      <c r="E40" s="266"/>
      <c r="F40" s="266"/>
      <c r="G40" s="266"/>
      <c r="H40" s="266"/>
      <c r="I40" s="266"/>
      <c r="J40" s="266"/>
    </row>
    <row r="41" spans="1:10" x14ac:dyDescent="0.25">
      <c r="A41" s="266"/>
      <c r="B41" s="266"/>
      <c r="C41" s="266"/>
      <c r="D41" s="266"/>
      <c r="E41" s="266"/>
      <c r="F41" s="266"/>
      <c r="G41" s="266"/>
      <c r="H41" s="266"/>
      <c r="I41" s="266"/>
      <c r="J41" s="266"/>
    </row>
    <row r="64" spans="6:6" x14ac:dyDescent="0.25">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abSelected="1" topLeftCell="C1" zoomScaleNormal="100" workbookViewId="0">
      <selection activeCell="B31" sqref="B31:I31"/>
    </sheetView>
  </sheetViews>
  <sheetFormatPr defaultRowHeight="13.8" x14ac:dyDescent="0.25"/>
  <cols>
    <col min="1" max="1" width="14" style="3" customWidth="1"/>
    <col min="2"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5" t="str">
        <f>+'Cover Page'!$B$29</f>
        <v>Annual Performance Report 2022</v>
      </c>
      <c r="B1" s="95"/>
      <c r="C1" s="95"/>
      <c r="D1" s="95"/>
      <c r="E1" s="95" t="str">
        <f>+'Cover Page'!$B$33</f>
        <v>Clinitek (Stoke) LLP</v>
      </c>
      <c r="F1" s="95"/>
      <c r="G1" s="95"/>
    </row>
    <row r="3" spans="1:19" ht="14.4" x14ac:dyDescent="0.3">
      <c r="A3" s="60" t="s">
        <v>303</v>
      </c>
      <c r="D3" s="76" t="s">
        <v>304</v>
      </c>
      <c r="G3" s="80" t="s">
        <v>305</v>
      </c>
      <c r="J3" s="9" t="str">
        <f>+A3</f>
        <v>Monitoring of Hydrogen Chloride emissions</v>
      </c>
      <c r="L3" s="9"/>
      <c r="N3" s="9" t="s">
        <v>306</v>
      </c>
      <c r="Q3" s="79" t="s">
        <v>2</v>
      </c>
      <c r="R3" s="74"/>
      <c r="S3" s="74"/>
    </row>
    <row r="4" spans="1:19" ht="13.95" customHeight="1" x14ac:dyDescent="0.25">
      <c r="Q4" s="342" t="s">
        <v>307</v>
      </c>
      <c r="R4" s="342"/>
      <c r="S4" s="342"/>
    </row>
    <row r="5" spans="1:19" ht="16.2" x14ac:dyDescent="0.25">
      <c r="A5" s="68" t="s">
        <v>308</v>
      </c>
      <c r="B5" s="359" t="s">
        <v>309</v>
      </c>
      <c r="C5" s="359"/>
      <c r="D5" s="359"/>
      <c r="E5" s="359" t="s">
        <v>310</v>
      </c>
      <c r="F5" s="359"/>
      <c r="G5" s="359"/>
      <c r="J5" s="358"/>
      <c r="K5" s="358"/>
      <c r="L5" s="358"/>
      <c r="M5" s="358"/>
      <c r="N5" s="358"/>
      <c r="O5" s="358"/>
      <c r="Q5" s="342"/>
      <c r="R5" s="342"/>
      <c r="S5" s="342"/>
    </row>
    <row r="6" spans="1:19" s="58" customFormat="1" ht="37.5" customHeight="1" x14ac:dyDescent="0.3">
      <c r="A6" s="65">
        <f>+'Cover Page'!C39</f>
        <v>2022</v>
      </c>
      <c r="B6" s="55" t="s">
        <v>311</v>
      </c>
      <c r="C6" s="55" t="s">
        <v>312</v>
      </c>
      <c r="D6" s="55" t="s">
        <v>313</v>
      </c>
      <c r="E6" s="55" t="s">
        <v>314</v>
      </c>
      <c r="F6" s="55" t="s">
        <v>315</v>
      </c>
      <c r="G6" s="55" t="s">
        <v>316</v>
      </c>
      <c r="H6" s="59"/>
      <c r="J6" s="61">
        <f>+A6</f>
        <v>2022</v>
      </c>
      <c r="K6" s="61" t="s">
        <v>317</v>
      </c>
      <c r="L6" s="67" t="s">
        <v>312</v>
      </c>
      <c r="M6" s="67" t="s">
        <v>318</v>
      </c>
      <c r="N6" s="67" t="s">
        <v>315</v>
      </c>
      <c r="O6" s="67" t="s">
        <v>319</v>
      </c>
      <c r="Q6" s="342"/>
      <c r="R6" s="342"/>
      <c r="S6" s="342"/>
    </row>
    <row r="7" spans="1:19" ht="13.95" customHeight="1" x14ac:dyDescent="0.25">
      <c r="A7" s="66" t="s">
        <v>320</v>
      </c>
      <c r="B7" s="63">
        <v>60</v>
      </c>
      <c r="C7" s="170"/>
      <c r="D7" s="170"/>
      <c r="E7" s="63">
        <v>6</v>
      </c>
      <c r="F7" s="170"/>
      <c r="G7" s="170"/>
      <c r="J7" s="357" t="s">
        <v>162</v>
      </c>
      <c r="K7" s="66" t="s">
        <v>320</v>
      </c>
      <c r="L7" s="64"/>
      <c r="M7" s="64"/>
      <c r="N7" s="64"/>
      <c r="O7" s="64"/>
      <c r="Q7" s="342"/>
      <c r="R7" s="342"/>
      <c r="S7" s="342"/>
    </row>
    <row r="8" spans="1:19" x14ac:dyDescent="0.25">
      <c r="A8" s="66" t="s">
        <v>321</v>
      </c>
      <c r="B8" s="63">
        <v>60</v>
      </c>
      <c r="C8" s="170"/>
      <c r="D8" s="170"/>
      <c r="E8" s="63">
        <v>6</v>
      </c>
      <c r="F8" s="170"/>
      <c r="G8" s="170"/>
      <c r="J8" s="357"/>
      <c r="K8" s="66" t="s">
        <v>321</v>
      </c>
      <c r="L8" s="64"/>
      <c r="M8" s="64"/>
      <c r="N8" s="64"/>
      <c r="O8" s="64"/>
      <c r="Q8" s="342"/>
      <c r="R8" s="342"/>
      <c r="S8" s="342"/>
    </row>
    <row r="9" spans="1:19" x14ac:dyDescent="0.25">
      <c r="A9" s="66" t="s">
        <v>322</v>
      </c>
      <c r="B9" s="63">
        <v>60</v>
      </c>
      <c r="C9" s="170"/>
      <c r="D9" s="170"/>
      <c r="E9" s="63">
        <v>6</v>
      </c>
      <c r="F9" s="170"/>
      <c r="G9" s="170"/>
      <c r="J9" s="357"/>
      <c r="K9" s="66" t="s">
        <v>322</v>
      </c>
      <c r="L9" s="64"/>
      <c r="M9" s="64"/>
      <c r="N9" s="64"/>
      <c r="O9" s="64"/>
      <c r="Q9" s="78" t="s">
        <v>323</v>
      </c>
    </row>
    <row r="10" spans="1:19" ht="13.95" customHeight="1" x14ac:dyDescent="0.25">
      <c r="A10" s="66" t="s">
        <v>324</v>
      </c>
      <c r="B10" s="63">
        <v>60</v>
      </c>
      <c r="C10" s="170"/>
      <c r="D10" s="170"/>
      <c r="E10" s="63">
        <v>6</v>
      </c>
      <c r="F10" s="170"/>
      <c r="G10" s="170"/>
      <c r="J10" s="357"/>
      <c r="K10" s="66" t="s">
        <v>324</v>
      </c>
      <c r="L10" s="64"/>
      <c r="M10" s="64"/>
      <c r="N10" s="64"/>
      <c r="O10" s="64"/>
      <c r="Q10" s="356" t="s">
        <v>325</v>
      </c>
      <c r="R10" s="356"/>
      <c r="S10" s="356"/>
    </row>
    <row r="11" spans="1:19" x14ac:dyDescent="0.25">
      <c r="A11" s="66" t="s">
        <v>326</v>
      </c>
      <c r="B11" s="63">
        <v>60</v>
      </c>
      <c r="C11" s="170"/>
      <c r="D11" s="170"/>
      <c r="E11" s="63">
        <v>6</v>
      </c>
      <c r="F11" s="170"/>
      <c r="G11" s="170"/>
      <c r="J11" s="357"/>
      <c r="K11" s="66" t="s">
        <v>326</v>
      </c>
      <c r="L11" s="64"/>
      <c r="M11" s="64"/>
      <c r="N11" s="64"/>
      <c r="O11" s="64"/>
      <c r="Q11" s="356"/>
      <c r="R11" s="356"/>
      <c r="S11" s="356"/>
    </row>
    <row r="12" spans="1:19" x14ac:dyDescent="0.25">
      <c r="A12" s="66" t="s">
        <v>327</v>
      </c>
      <c r="B12" s="63">
        <v>60</v>
      </c>
      <c r="C12" s="170"/>
      <c r="D12" s="170"/>
      <c r="E12" s="63">
        <v>6</v>
      </c>
      <c r="F12" s="170"/>
      <c r="G12" s="170"/>
      <c r="J12" s="357"/>
      <c r="K12" s="66" t="s">
        <v>327</v>
      </c>
      <c r="L12" s="64"/>
      <c r="M12" s="64"/>
      <c r="N12" s="64"/>
      <c r="O12" s="64"/>
      <c r="Q12" s="356"/>
      <c r="R12" s="356"/>
      <c r="S12" s="356"/>
    </row>
    <row r="13" spans="1:19" ht="13.95" customHeight="1" x14ac:dyDescent="0.25">
      <c r="A13" s="66" t="s">
        <v>328</v>
      </c>
      <c r="B13" s="63">
        <v>60</v>
      </c>
      <c r="C13" s="170"/>
      <c r="D13" s="170"/>
      <c r="E13" s="63">
        <v>6</v>
      </c>
      <c r="F13" s="170"/>
      <c r="G13" s="170"/>
      <c r="J13" s="357"/>
      <c r="K13" s="66" t="s">
        <v>328</v>
      </c>
      <c r="L13" s="64"/>
      <c r="M13" s="64"/>
      <c r="N13" s="64"/>
      <c r="O13" s="64"/>
      <c r="Q13" s="356" t="s">
        <v>329</v>
      </c>
      <c r="R13" s="356"/>
      <c r="S13" s="356"/>
    </row>
    <row r="14" spans="1:19" x14ac:dyDescent="0.25">
      <c r="A14" s="66" t="s">
        <v>330</v>
      </c>
      <c r="B14" s="63">
        <v>60</v>
      </c>
      <c r="C14" s="170">
        <v>11.81</v>
      </c>
      <c r="D14" s="170">
        <v>505.51</v>
      </c>
      <c r="E14" s="63">
        <v>6</v>
      </c>
      <c r="F14" s="170"/>
      <c r="G14" s="170"/>
      <c r="J14" s="357"/>
      <c r="K14" s="66" t="s">
        <v>330</v>
      </c>
      <c r="L14" s="64">
        <v>11.81</v>
      </c>
      <c r="M14" s="64">
        <v>505.51</v>
      </c>
      <c r="N14" s="64"/>
      <c r="O14" s="64"/>
      <c r="Q14" s="356"/>
      <c r="R14" s="356"/>
      <c r="S14" s="356"/>
    </row>
    <row r="15" spans="1:19" x14ac:dyDescent="0.25">
      <c r="A15" s="66" t="s">
        <v>331</v>
      </c>
      <c r="B15" s="63">
        <v>60</v>
      </c>
      <c r="C15" s="170">
        <v>10.65</v>
      </c>
      <c r="D15" s="170">
        <v>149.91</v>
      </c>
      <c r="E15" s="63">
        <v>6</v>
      </c>
      <c r="F15" s="170">
        <v>15.13</v>
      </c>
      <c r="G15" s="170">
        <v>24.44</v>
      </c>
      <c r="J15" s="357"/>
      <c r="K15" s="66" t="s">
        <v>331</v>
      </c>
      <c r="L15" s="64">
        <v>10.65</v>
      </c>
      <c r="M15" s="64">
        <v>149.91</v>
      </c>
      <c r="N15" s="64">
        <v>15.13</v>
      </c>
      <c r="O15" s="64">
        <v>24.44</v>
      </c>
      <c r="Q15" s="356"/>
      <c r="R15" s="356"/>
      <c r="S15" s="356"/>
    </row>
    <row r="16" spans="1:19" x14ac:dyDescent="0.25">
      <c r="A16" s="66" t="s">
        <v>332</v>
      </c>
      <c r="B16" s="63">
        <v>60</v>
      </c>
      <c r="C16" s="170">
        <v>10.24</v>
      </c>
      <c r="D16" s="170">
        <v>106.22</v>
      </c>
      <c r="E16" s="63">
        <v>6</v>
      </c>
      <c r="F16" s="170">
        <v>12.46</v>
      </c>
      <c r="G16" s="170">
        <v>12.46</v>
      </c>
      <c r="J16" s="357"/>
      <c r="K16" s="66" t="s">
        <v>332</v>
      </c>
      <c r="L16" s="64">
        <v>10.24</v>
      </c>
      <c r="M16" s="64">
        <v>106.22</v>
      </c>
      <c r="N16" s="64">
        <v>12.46</v>
      </c>
      <c r="O16" s="64">
        <v>12.46</v>
      </c>
      <c r="Q16" s="356"/>
      <c r="R16" s="356"/>
      <c r="S16" s="356"/>
    </row>
    <row r="17" spans="1:15" x14ac:dyDescent="0.25">
      <c r="A17" s="66" t="s">
        <v>333</v>
      </c>
      <c r="B17" s="63">
        <v>60</v>
      </c>
      <c r="C17" s="170">
        <v>9.58</v>
      </c>
      <c r="D17" s="170">
        <v>304.73</v>
      </c>
      <c r="E17" s="63">
        <v>6</v>
      </c>
      <c r="F17" s="170">
        <v>7.65</v>
      </c>
      <c r="G17" s="170">
        <v>7.65</v>
      </c>
      <c r="J17" s="357"/>
      <c r="K17" s="66" t="s">
        <v>333</v>
      </c>
      <c r="L17" s="64">
        <v>9.58</v>
      </c>
      <c r="M17" s="64">
        <v>304.73</v>
      </c>
      <c r="N17" s="64">
        <v>7.65</v>
      </c>
      <c r="O17" s="64">
        <v>7.65</v>
      </c>
    </row>
    <row r="18" spans="1:15" x14ac:dyDescent="0.25">
      <c r="A18" s="66" t="s">
        <v>334</v>
      </c>
      <c r="B18" s="63">
        <v>60</v>
      </c>
      <c r="C18" s="170">
        <v>7.4</v>
      </c>
      <c r="D18" s="170">
        <v>213.15</v>
      </c>
      <c r="E18" s="63">
        <v>6</v>
      </c>
      <c r="F18" s="170">
        <v>8.7799999999999994</v>
      </c>
      <c r="G18" s="170">
        <v>22.27</v>
      </c>
      <c r="J18" s="357"/>
      <c r="K18" s="66" t="s">
        <v>334</v>
      </c>
      <c r="L18" s="64">
        <v>7.4</v>
      </c>
      <c r="M18" s="64">
        <v>213.15</v>
      </c>
      <c r="N18" s="64">
        <v>8.7799999999999994</v>
      </c>
      <c r="O18" s="64">
        <v>22.27</v>
      </c>
    </row>
    <row r="19" spans="1:15" x14ac:dyDescent="0.25">
      <c r="J19" s="357"/>
      <c r="K19" s="62" t="s">
        <v>335</v>
      </c>
      <c r="L19" s="62">
        <f>AVERAGE(L7:L18)</f>
        <v>9.9359999999999999</v>
      </c>
      <c r="M19" s="62">
        <f>MAX(M7:M18)</f>
        <v>505.51</v>
      </c>
      <c r="N19" s="62">
        <f>AVERAGE(N7:N18)</f>
        <v>11.005000000000001</v>
      </c>
      <c r="O19" s="62">
        <f>MAX(O7:O18)</f>
        <v>24.44</v>
      </c>
    </row>
    <row r="21" spans="1:15" ht="41.4" x14ac:dyDescent="0.25">
      <c r="J21" s="61">
        <f>+A6</f>
        <v>2022</v>
      </c>
      <c r="K21" s="61" t="s">
        <v>317</v>
      </c>
      <c r="L21" s="67" t="s">
        <v>312</v>
      </c>
      <c r="M21" s="67" t="s">
        <v>318</v>
      </c>
      <c r="N21" s="67" t="s">
        <v>315</v>
      </c>
      <c r="O21" s="67" t="s">
        <v>319</v>
      </c>
    </row>
    <row r="22" spans="1:15" x14ac:dyDescent="0.25">
      <c r="J22" s="357" t="s">
        <v>163</v>
      </c>
      <c r="K22" s="66" t="s">
        <v>320</v>
      </c>
      <c r="L22" s="64"/>
      <c r="M22" s="64"/>
      <c r="N22" s="64"/>
      <c r="O22" s="64"/>
    </row>
    <row r="23" spans="1:15" x14ac:dyDescent="0.25">
      <c r="J23" s="357"/>
      <c r="K23" s="66" t="s">
        <v>321</v>
      </c>
      <c r="L23" s="64"/>
      <c r="M23" s="64"/>
      <c r="N23" s="64"/>
      <c r="O23" s="64"/>
    </row>
    <row r="24" spans="1:15" x14ac:dyDescent="0.25">
      <c r="J24" s="357"/>
      <c r="K24" s="66" t="s">
        <v>322</v>
      </c>
      <c r="L24" s="64"/>
      <c r="M24" s="64"/>
      <c r="N24" s="64"/>
      <c r="O24" s="64"/>
    </row>
    <row r="25" spans="1:15" x14ac:dyDescent="0.25">
      <c r="J25" s="357"/>
      <c r="K25" s="66" t="s">
        <v>324</v>
      </c>
      <c r="L25" s="64"/>
      <c r="M25" s="64"/>
      <c r="N25" s="64"/>
      <c r="O25" s="64"/>
    </row>
    <row r="26" spans="1:15" x14ac:dyDescent="0.25">
      <c r="J26" s="357"/>
      <c r="K26" s="66" t="s">
        <v>326</v>
      </c>
      <c r="L26" s="64"/>
      <c r="M26" s="64"/>
      <c r="N26" s="64"/>
      <c r="O26" s="64"/>
    </row>
    <row r="27" spans="1:15" x14ac:dyDescent="0.25">
      <c r="J27" s="357"/>
      <c r="K27" s="66" t="s">
        <v>327</v>
      </c>
      <c r="L27" s="64"/>
      <c r="M27" s="64"/>
      <c r="N27" s="64"/>
      <c r="O27" s="64"/>
    </row>
    <row r="28" spans="1:15" x14ac:dyDescent="0.25">
      <c r="J28" s="357"/>
      <c r="K28" s="66" t="s">
        <v>328</v>
      </c>
      <c r="L28" s="64"/>
      <c r="M28" s="64"/>
      <c r="N28" s="64"/>
      <c r="O28" s="64"/>
    </row>
    <row r="29" spans="1:15" x14ac:dyDescent="0.25">
      <c r="J29" s="357"/>
      <c r="K29" s="66" t="s">
        <v>330</v>
      </c>
      <c r="L29" s="64"/>
      <c r="M29" s="64"/>
      <c r="N29" s="64"/>
      <c r="O29" s="64"/>
    </row>
    <row r="30" spans="1:15" x14ac:dyDescent="0.25">
      <c r="J30" s="357"/>
      <c r="K30" s="66" t="s">
        <v>331</v>
      </c>
      <c r="L30" s="64"/>
      <c r="M30" s="64"/>
      <c r="N30" s="64"/>
      <c r="O30" s="64"/>
    </row>
    <row r="31" spans="1:15" x14ac:dyDescent="0.25">
      <c r="B31" s="35" t="s">
        <v>367</v>
      </c>
      <c r="J31" s="357"/>
      <c r="K31" s="66" t="s">
        <v>332</v>
      </c>
      <c r="L31" s="64"/>
      <c r="M31" s="64"/>
      <c r="N31" s="64"/>
      <c r="O31" s="64"/>
    </row>
    <row r="32" spans="1:15" x14ac:dyDescent="0.25">
      <c r="J32" s="357"/>
      <c r="K32" s="66" t="s">
        <v>333</v>
      </c>
      <c r="L32" s="64"/>
      <c r="M32" s="64"/>
      <c r="N32" s="64"/>
      <c r="O32" s="64"/>
    </row>
    <row r="33" spans="1:15" x14ac:dyDescent="0.25">
      <c r="J33" s="357"/>
      <c r="K33" s="66" t="s">
        <v>334</v>
      </c>
      <c r="L33" s="64"/>
      <c r="M33" s="64"/>
      <c r="N33" s="64"/>
      <c r="O33" s="64"/>
    </row>
    <row r="34" spans="1:15" x14ac:dyDescent="0.25">
      <c r="J34" s="357"/>
      <c r="K34" s="62" t="s">
        <v>335</v>
      </c>
      <c r="L34" s="62" t="e">
        <f>AVERAGE(L22:L33)</f>
        <v>#DIV/0!</v>
      </c>
      <c r="M34" s="62">
        <f>MAX(M22:M33)</f>
        <v>0</v>
      </c>
      <c r="N34" s="62" t="e">
        <f>AVERAGE(N22:N33)</f>
        <v>#DIV/0!</v>
      </c>
      <c r="O34" s="62">
        <f>MAX(O22:O33)</f>
        <v>0</v>
      </c>
    </row>
    <row r="36" spans="1:15" ht="41.4" x14ac:dyDescent="0.25">
      <c r="J36" s="61">
        <f>+A6</f>
        <v>2022</v>
      </c>
      <c r="K36" s="61" t="s">
        <v>317</v>
      </c>
      <c r="L36" s="67" t="s">
        <v>312</v>
      </c>
      <c r="M36" s="67" t="s">
        <v>318</v>
      </c>
      <c r="N36" s="67" t="s">
        <v>315</v>
      </c>
      <c r="O36" s="67" t="s">
        <v>319</v>
      </c>
    </row>
    <row r="37" spans="1:15" x14ac:dyDescent="0.25">
      <c r="J37" s="357" t="s">
        <v>164</v>
      </c>
      <c r="K37" s="66" t="s">
        <v>320</v>
      </c>
      <c r="L37" s="64"/>
      <c r="M37" s="64"/>
      <c r="N37" s="64"/>
      <c r="O37" s="64"/>
    </row>
    <row r="38" spans="1:15" x14ac:dyDescent="0.25">
      <c r="J38" s="357"/>
      <c r="K38" s="66" t="s">
        <v>321</v>
      </c>
      <c r="L38" s="64"/>
      <c r="M38" s="64"/>
      <c r="N38" s="64"/>
      <c r="O38" s="64"/>
    </row>
    <row r="39" spans="1:15" x14ac:dyDescent="0.25">
      <c r="J39" s="357"/>
      <c r="K39" s="66" t="s">
        <v>322</v>
      </c>
      <c r="L39" s="64"/>
      <c r="M39" s="64"/>
      <c r="N39" s="64"/>
      <c r="O39" s="64"/>
    </row>
    <row r="40" spans="1:15" x14ac:dyDescent="0.25">
      <c r="J40" s="357"/>
      <c r="K40" s="66" t="s">
        <v>324</v>
      </c>
      <c r="L40" s="64"/>
      <c r="M40" s="64"/>
      <c r="N40" s="64"/>
      <c r="O40" s="64"/>
    </row>
    <row r="41" spans="1:15" x14ac:dyDescent="0.25">
      <c r="J41" s="357"/>
      <c r="K41" s="66" t="s">
        <v>326</v>
      </c>
      <c r="L41" s="64"/>
      <c r="M41" s="64"/>
      <c r="N41" s="64"/>
      <c r="O41" s="64"/>
    </row>
    <row r="42" spans="1:15" x14ac:dyDescent="0.25">
      <c r="J42" s="357"/>
      <c r="K42" s="66" t="s">
        <v>327</v>
      </c>
      <c r="L42" s="64"/>
      <c r="M42" s="64"/>
      <c r="N42" s="64"/>
      <c r="O42" s="64"/>
    </row>
    <row r="43" spans="1:15" x14ac:dyDescent="0.25">
      <c r="J43" s="357"/>
      <c r="K43" s="66" t="s">
        <v>328</v>
      </c>
      <c r="L43" s="64"/>
      <c r="M43" s="64"/>
      <c r="N43" s="64"/>
      <c r="O43" s="64"/>
    </row>
    <row r="44" spans="1:15" x14ac:dyDescent="0.25">
      <c r="J44" s="357"/>
      <c r="K44" s="66" t="s">
        <v>330</v>
      </c>
      <c r="L44" s="64"/>
      <c r="M44" s="64"/>
      <c r="N44" s="64"/>
      <c r="O44" s="64"/>
    </row>
    <row r="45" spans="1:15" x14ac:dyDescent="0.25">
      <c r="J45" s="357"/>
      <c r="K45" s="66" t="s">
        <v>331</v>
      </c>
      <c r="L45" s="64"/>
      <c r="M45" s="64"/>
      <c r="N45" s="64"/>
      <c r="O45" s="64"/>
    </row>
    <row r="46" spans="1:15" x14ac:dyDescent="0.25">
      <c r="J46" s="357"/>
      <c r="K46" s="66" t="s">
        <v>332</v>
      </c>
      <c r="L46" s="64"/>
      <c r="M46" s="64"/>
      <c r="N46" s="64"/>
      <c r="O46" s="64"/>
    </row>
    <row r="47" spans="1:15" x14ac:dyDescent="0.25">
      <c r="J47" s="357"/>
      <c r="K47" s="66" t="s">
        <v>333</v>
      </c>
      <c r="L47" s="64"/>
      <c r="M47" s="64"/>
      <c r="N47" s="64"/>
      <c r="O47" s="64"/>
    </row>
    <row r="48" spans="1:15" x14ac:dyDescent="0.25">
      <c r="A48" s="369" t="s">
        <v>233</v>
      </c>
      <c r="B48" s="370"/>
      <c r="C48" s="370"/>
      <c r="D48" s="370"/>
      <c r="E48" s="370"/>
      <c r="F48" s="370"/>
      <c r="G48" s="371"/>
      <c r="J48" s="357"/>
      <c r="K48" s="66" t="s">
        <v>334</v>
      </c>
      <c r="L48" s="64"/>
      <c r="M48" s="64"/>
      <c r="N48" s="64"/>
      <c r="O48" s="64"/>
    </row>
    <row r="49" spans="1:15" x14ac:dyDescent="0.25">
      <c r="A49" s="360"/>
      <c r="B49" s="361"/>
      <c r="C49" s="361"/>
      <c r="D49" s="361"/>
      <c r="E49" s="361"/>
      <c r="F49" s="361"/>
      <c r="G49" s="362"/>
      <c r="J49" s="357"/>
      <c r="K49" s="62" t="s">
        <v>335</v>
      </c>
      <c r="L49" s="62" t="e">
        <f>AVERAGE(L37:L48)</f>
        <v>#DIV/0!</v>
      </c>
      <c r="M49" s="62">
        <f>MAX(M37:M48)</f>
        <v>0</v>
      </c>
      <c r="N49" s="62" t="e">
        <f>AVERAGE(N37:N48)</f>
        <v>#DIV/0!</v>
      </c>
      <c r="O49" s="62">
        <f>MAX(O37:O48)</f>
        <v>0</v>
      </c>
    </row>
    <row r="50" spans="1:15" x14ac:dyDescent="0.25">
      <c r="A50" s="363"/>
      <c r="B50" s="364"/>
      <c r="C50" s="364"/>
      <c r="D50" s="364"/>
      <c r="E50" s="364"/>
      <c r="F50" s="364"/>
      <c r="G50" s="365"/>
    </row>
    <row r="51" spans="1:15" ht="41.4" x14ac:dyDescent="0.25">
      <c r="A51" s="363"/>
      <c r="B51" s="364"/>
      <c r="C51" s="364"/>
      <c r="D51" s="364"/>
      <c r="E51" s="364"/>
      <c r="F51" s="364"/>
      <c r="G51" s="365"/>
      <c r="J51" s="61">
        <f>+A6</f>
        <v>2022</v>
      </c>
      <c r="K51" s="61" t="s">
        <v>317</v>
      </c>
      <c r="L51" s="67" t="s">
        <v>312</v>
      </c>
      <c r="M51" s="67" t="s">
        <v>318</v>
      </c>
      <c r="N51" s="67" t="s">
        <v>315</v>
      </c>
      <c r="O51" s="67" t="s">
        <v>319</v>
      </c>
    </row>
    <row r="52" spans="1:15" x14ac:dyDescent="0.25">
      <c r="A52" s="366"/>
      <c r="B52" s="367"/>
      <c r="C52" s="367"/>
      <c r="D52" s="367"/>
      <c r="E52" s="367"/>
      <c r="F52" s="367"/>
      <c r="G52" s="368"/>
      <c r="J52" s="357" t="s">
        <v>165</v>
      </c>
      <c r="K52" s="66" t="s">
        <v>320</v>
      </c>
      <c r="L52" s="64"/>
      <c r="M52" s="64"/>
      <c r="N52" s="64"/>
      <c r="O52" s="64"/>
    </row>
    <row r="53" spans="1:15" x14ac:dyDescent="0.25">
      <c r="J53" s="357"/>
      <c r="K53" s="66" t="s">
        <v>321</v>
      </c>
      <c r="L53" s="64"/>
      <c r="M53" s="64"/>
      <c r="N53" s="64"/>
      <c r="O53" s="64"/>
    </row>
    <row r="54" spans="1:15" x14ac:dyDescent="0.25">
      <c r="J54" s="357"/>
      <c r="K54" s="66" t="s">
        <v>322</v>
      </c>
      <c r="L54" s="64"/>
      <c r="M54" s="64"/>
      <c r="N54" s="64"/>
      <c r="O54" s="64"/>
    </row>
    <row r="55" spans="1:15" x14ac:dyDescent="0.25">
      <c r="J55" s="357"/>
      <c r="K55" s="66" t="s">
        <v>324</v>
      </c>
      <c r="L55" s="64"/>
      <c r="M55" s="64"/>
      <c r="N55" s="64"/>
      <c r="O55" s="64"/>
    </row>
    <row r="56" spans="1:15" x14ac:dyDescent="0.25">
      <c r="J56" s="357"/>
      <c r="K56" s="66" t="s">
        <v>326</v>
      </c>
      <c r="L56" s="64"/>
      <c r="M56" s="64"/>
      <c r="N56" s="64"/>
      <c r="O56" s="64"/>
    </row>
    <row r="57" spans="1:15" x14ac:dyDescent="0.25">
      <c r="J57" s="357"/>
      <c r="K57" s="66" t="s">
        <v>327</v>
      </c>
      <c r="L57" s="64"/>
      <c r="M57" s="64"/>
      <c r="N57" s="64"/>
      <c r="O57" s="64"/>
    </row>
    <row r="58" spans="1:15" x14ac:dyDescent="0.25">
      <c r="J58" s="357"/>
      <c r="K58" s="66" t="s">
        <v>328</v>
      </c>
      <c r="L58" s="64"/>
      <c r="M58" s="64"/>
      <c r="N58" s="64"/>
      <c r="O58" s="64"/>
    </row>
    <row r="59" spans="1:15" x14ac:dyDescent="0.25">
      <c r="J59" s="357"/>
      <c r="K59" s="66" t="s">
        <v>330</v>
      </c>
      <c r="L59" s="64"/>
      <c r="M59" s="64"/>
      <c r="N59" s="64"/>
      <c r="O59" s="64"/>
    </row>
    <row r="60" spans="1:15" x14ac:dyDescent="0.25">
      <c r="J60" s="357"/>
      <c r="K60" s="66" t="s">
        <v>331</v>
      </c>
      <c r="L60" s="64"/>
      <c r="M60" s="64"/>
      <c r="N60" s="64"/>
      <c r="O60" s="64"/>
    </row>
    <row r="61" spans="1:15" x14ac:dyDescent="0.25">
      <c r="J61" s="357"/>
      <c r="K61" s="66" t="s">
        <v>332</v>
      </c>
      <c r="L61" s="64"/>
      <c r="M61" s="64"/>
      <c r="N61" s="64"/>
      <c r="O61" s="64"/>
    </row>
    <row r="62" spans="1:15" x14ac:dyDescent="0.25">
      <c r="J62" s="357"/>
      <c r="K62" s="66" t="s">
        <v>333</v>
      </c>
      <c r="L62" s="64"/>
      <c r="M62" s="64"/>
      <c r="N62" s="64"/>
      <c r="O62" s="64"/>
    </row>
    <row r="63" spans="1:15" x14ac:dyDescent="0.25">
      <c r="J63" s="357"/>
      <c r="K63" s="66" t="s">
        <v>334</v>
      </c>
      <c r="L63" s="64"/>
      <c r="M63" s="64"/>
      <c r="N63" s="64"/>
      <c r="O63" s="64"/>
    </row>
    <row r="64" spans="1:15" x14ac:dyDescent="0.25">
      <c r="J64" s="357"/>
      <c r="K64" s="62" t="s">
        <v>335</v>
      </c>
      <c r="L64" s="62" t="e">
        <f>AVERAGE(L52:L63)</f>
        <v>#DIV/0!</v>
      </c>
      <c r="M64" s="62">
        <f>MAX(M52:M63)</f>
        <v>0</v>
      </c>
      <c r="N64" s="62" t="e">
        <f>AVERAGE(N52:N63)</f>
        <v>#DIV/0!</v>
      </c>
      <c r="O64" s="62">
        <f>MAX(O52:O63)</f>
        <v>0</v>
      </c>
    </row>
    <row r="66" spans="10:15" ht="41.4" x14ac:dyDescent="0.25">
      <c r="J66" s="61">
        <f>+A6</f>
        <v>2022</v>
      </c>
      <c r="K66" s="61" t="s">
        <v>317</v>
      </c>
      <c r="L66" s="67" t="s">
        <v>312</v>
      </c>
      <c r="M66" s="67" t="s">
        <v>318</v>
      </c>
      <c r="N66" s="67" t="s">
        <v>315</v>
      </c>
      <c r="O66" s="67" t="s">
        <v>319</v>
      </c>
    </row>
    <row r="67" spans="10:15" x14ac:dyDescent="0.25">
      <c r="J67" s="357" t="s">
        <v>166</v>
      </c>
      <c r="K67" s="66" t="s">
        <v>320</v>
      </c>
      <c r="L67" s="64"/>
      <c r="M67" s="64"/>
      <c r="N67" s="64"/>
      <c r="O67" s="64"/>
    </row>
    <row r="68" spans="10:15" x14ac:dyDescent="0.25">
      <c r="J68" s="357"/>
      <c r="K68" s="66" t="s">
        <v>321</v>
      </c>
      <c r="L68" s="64"/>
      <c r="M68" s="64"/>
      <c r="N68" s="64"/>
      <c r="O68" s="64"/>
    </row>
    <row r="69" spans="10:15" x14ac:dyDescent="0.25">
      <c r="J69" s="357"/>
      <c r="K69" s="66" t="s">
        <v>322</v>
      </c>
      <c r="L69" s="64"/>
      <c r="M69" s="64"/>
      <c r="N69" s="64"/>
      <c r="O69" s="64"/>
    </row>
    <row r="70" spans="10:15" x14ac:dyDescent="0.25">
      <c r="J70" s="357"/>
      <c r="K70" s="66" t="s">
        <v>324</v>
      </c>
      <c r="L70" s="64"/>
      <c r="M70" s="64"/>
      <c r="N70" s="64"/>
      <c r="O70" s="64"/>
    </row>
    <row r="71" spans="10:15" x14ac:dyDescent="0.25">
      <c r="J71" s="357"/>
      <c r="K71" s="66" t="s">
        <v>326</v>
      </c>
      <c r="L71" s="64"/>
      <c r="M71" s="64"/>
      <c r="N71" s="64"/>
      <c r="O71" s="64"/>
    </row>
    <row r="72" spans="10:15" x14ac:dyDescent="0.25">
      <c r="J72" s="357"/>
      <c r="K72" s="66" t="s">
        <v>327</v>
      </c>
      <c r="L72" s="64"/>
      <c r="M72" s="64"/>
      <c r="N72" s="64"/>
      <c r="O72" s="64"/>
    </row>
    <row r="73" spans="10:15" x14ac:dyDescent="0.25">
      <c r="J73" s="357"/>
      <c r="K73" s="66" t="s">
        <v>328</v>
      </c>
      <c r="L73" s="64"/>
      <c r="M73" s="64"/>
      <c r="N73" s="64"/>
      <c r="O73" s="64"/>
    </row>
    <row r="74" spans="10:15" x14ac:dyDescent="0.25">
      <c r="J74" s="357"/>
      <c r="K74" s="66" t="s">
        <v>330</v>
      </c>
      <c r="L74" s="64"/>
      <c r="M74" s="64"/>
      <c r="N74" s="64"/>
      <c r="O74" s="64"/>
    </row>
    <row r="75" spans="10:15" x14ac:dyDescent="0.25">
      <c r="J75" s="357"/>
      <c r="K75" s="66" t="s">
        <v>331</v>
      </c>
      <c r="L75" s="64"/>
      <c r="M75" s="64"/>
      <c r="N75" s="64"/>
      <c r="O75" s="64"/>
    </row>
    <row r="76" spans="10:15" x14ac:dyDescent="0.25">
      <c r="J76" s="357"/>
      <c r="K76" s="66" t="s">
        <v>332</v>
      </c>
      <c r="L76" s="64"/>
      <c r="M76" s="64"/>
      <c r="N76" s="64"/>
      <c r="O76" s="64"/>
    </row>
    <row r="77" spans="10:15" x14ac:dyDescent="0.25">
      <c r="J77" s="357"/>
      <c r="K77" s="66" t="s">
        <v>333</v>
      </c>
      <c r="L77" s="64"/>
      <c r="M77" s="64"/>
      <c r="N77" s="64"/>
      <c r="O77" s="64"/>
    </row>
    <row r="78" spans="10:15" x14ac:dyDescent="0.25">
      <c r="J78" s="357"/>
      <c r="K78" s="66" t="s">
        <v>334</v>
      </c>
      <c r="L78" s="64"/>
      <c r="M78" s="64"/>
      <c r="N78" s="64"/>
      <c r="O78" s="64"/>
    </row>
    <row r="79" spans="10:15" x14ac:dyDescent="0.25">
      <c r="J79" s="357"/>
      <c r="K79" s="62" t="s">
        <v>335</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abSelected="1" topLeftCell="C3" zoomScaleNormal="100" workbookViewId="0">
      <selection activeCell="B31" sqref="B31:I3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5" t="str">
        <f>+'Cover Page'!$B$29</f>
        <v>Annual Performance Report 2022</v>
      </c>
      <c r="B1" s="95"/>
      <c r="C1" s="95"/>
      <c r="D1" s="95"/>
      <c r="E1" s="95" t="str">
        <f>+'Cover Page'!$B$33</f>
        <v>Clinitek (Stoke) LLP</v>
      </c>
      <c r="F1" s="95"/>
      <c r="G1" s="95"/>
    </row>
    <row r="3" spans="1:19" ht="14.4" x14ac:dyDescent="0.3">
      <c r="A3" s="60" t="s">
        <v>336</v>
      </c>
      <c r="D3" s="76" t="s">
        <v>304</v>
      </c>
      <c r="G3" s="80" t="s">
        <v>305</v>
      </c>
      <c r="J3" s="9" t="str">
        <f>+A3</f>
        <v>Monitoring of Sulphur dioxide emissions</v>
      </c>
      <c r="L3" s="9"/>
      <c r="N3" s="9" t="s">
        <v>306</v>
      </c>
      <c r="Q3" s="79" t="s">
        <v>2</v>
      </c>
      <c r="R3" s="74"/>
      <c r="S3" s="74"/>
    </row>
    <row r="4" spans="1:19" ht="13.95" customHeight="1" x14ac:dyDescent="0.25">
      <c r="Q4" s="342" t="s">
        <v>307</v>
      </c>
      <c r="R4" s="342"/>
      <c r="S4" s="342"/>
    </row>
    <row r="5" spans="1:19" ht="16.2" x14ac:dyDescent="0.25">
      <c r="A5" s="68" t="s">
        <v>308</v>
      </c>
      <c r="B5" s="359" t="s">
        <v>309</v>
      </c>
      <c r="C5" s="359"/>
      <c r="D5" s="359"/>
      <c r="E5" s="359" t="s">
        <v>310</v>
      </c>
      <c r="F5" s="359"/>
      <c r="G5" s="359"/>
      <c r="J5" s="358"/>
      <c r="K5" s="358"/>
      <c r="L5" s="358"/>
      <c r="M5" s="358"/>
      <c r="N5" s="358"/>
      <c r="O5" s="358"/>
      <c r="Q5" s="342"/>
      <c r="R5" s="342"/>
      <c r="S5" s="342"/>
    </row>
    <row r="6" spans="1:19" s="58" customFormat="1" ht="37.5" customHeight="1" x14ac:dyDescent="0.3">
      <c r="A6" s="65">
        <f>+'Cover Page'!C39</f>
        <v>2022</v>
      </c>
      <c r="B6" s="55" t="s">
        <v>337</v>
      </c>
      <c r="C6" s="55" t="s">
        <v>312</v>
      </c>
      <c r="D6" s="55" t="s">
        <v>313</v>
      </c>
      <c r="E6" s="55" t="s">
        <v>338</v>
      </c>
      <c r="F6" s="55" t="s">
        <v>315</v>
      </c>
      <c r="G6" s="55" t="s">
        <v>316</v>
      </c>
      <c r="H6" s="59"/>
      <c r="J6" s="61">
        <f>+A6</f>
        <v>2022</v>
      </c>
      <c r="K6" s="61" t="s">
        <v>317</v>
      </c>
      <c r="L6" s="67" t="s">
        <v>312</v>
      </c>
      <c r="M6" s="67" t="s">
        <v>318</v>
      </c>
      <c r="N6" s="67" t="s">
        <v>315</v>
      </c>
      <c r="O6" s="67" t="s">
        <v>319</v>
      </c>
      <c r="Q6" s="342"/>
      <c r="R6" s="342"/>
      <c r="S6" s="342"/>
    </row>
    <row r="7" spans="1:19" x14ac:dyDescent="0.25">
      <c r="A7" s="66" t="s">
        <v>320</v>
      </c>
      <c r="B7" s="63">
        <v>200</v>
      </c>
      <c r="C7" s="64"/>
      <c r="D7" s="64"/>
      <c r="E7" s="63">
        <v>30</v>
      </c>
      <c r="F7" s="64"/>
      <c r="G7" s="64"/>
      <c r="J7" s="357" t="s">
        <v>162</v>
      </c>
      <c r="K7" s="66" t="s">
        <v>320</v>
      </c>
      <c r="L7" s="64"/>
      <c r="M7" s="64"/>
      <c r="N7" s="64"/>
      <c r="O7" s="64"/>
      <c r="Q7" s="342"/>
      <c r="R7" s="342"/>
      <c r="S7" s="342"/>
    </row>
    <row r="8" spans="1:19" x14ac:dyDescent="0.25">
      <c r="A8" s="66" t="s">
        <v>321</v>
      </c>
      <c r="B8" s="63">
        <v>200</v>
      </c>
      <c r="C8" s="64"/>
      <c r="D8" s="64"/>
      <c r="E8" s="63">
        <v>30</v>
      </c>
      <c r="F8" s="64"/>
      <c r="G8" s="64"/>
      <c r="J8" s="357"/>
      <c r="K8" s="66" t="s">
        <v>321</v>
      </c>
      <c r="L8" s="64"/>
      <c r="M8" s="64"/>
      <c r="N8" s="64"/>
      <c r="O8" s="64"/>
      <c r="Q8" s="342"/>
      <c r="R8" s="342"/>
      <c r="S8" s="342"/>
    </row>
    <row r="9" spans="1:19" x14ac:dyDescent="0.25">
      <c r="A9" s="66" t="s">
        <v>322</v>
      </c>
      <c r="B9" s="63">
        <v>200</v>
      </c>
      <c r="C9" s="64"/>
      <c r="D9" s="64"/>
      <c r="E9" s="63">
        <v>30</v>
      </c>
      <c r="F9" s="64"/>
      <c r="G9" s="64"/>
      <c r="J9" s="357"/>
      <c r="K9" s="66" t="s">
        <v>322</v>
      </c>
      <c r="L9" s="64"/>
      <c r="M9" s="64"/>
      <c r="N9" s="64"/>
      <c r="O9" s="64"/>
      <c r="Q9" s="78" t="s">
        <v>323</v>
      </c>
    </row>
    <row r="10" spans="1:19" ht="14.25" customHeight="1" x14ac:dyDescent="0.25">
      <c r="A10" s="66" t="s">
        <v>324</v>
      </c>
      <c r="B10" s="63">
        <v>200</v>
      </c>
      <c r="C10" s="64"/>
      <c r="D10" s="64"/>
      <c r="E10" s="63">
        <v>30</v>
      </c>
      <c r="F10" s="64"/>
      <c r="G10" s="64"/>
      <c r="J10" s="357"/>
      <c r="K10" s="66" t="s">
        <v>324</v>
      </c>
      <c r="L10" s="64"/>
      <c r="M10" s="64"/>
      <c r="N10" s="64"/>
      <c r="O10" s="64"/>
      <c r="Q10" s="356" t="s">
        <v>325</v>
      </c>
      <c r="R10" s="356"/>
      <c r="S10" s="356"/>
    </row>
    <row r="11" spans="1:19" x14ac:dyDescent="0.25">
      <c r="A11" s="66" t="s">
        <v>326</v>
      </c>
      <c r="B11" s="63">
        <v>200</v>
      </c>
      <c r="C11" s="64"/>
      <c r="D11" s="64"/>
      <c r="E11" s="63">
        <v>30</v>
      </c>
      <c r="F11" s="64"/>
      <c r="G11" s="64"/>
      <c r="J11" s="357"/>
      <c r="K11" s="66" t="s">
        <v>326</v>
      </c>
      <c r="L11" s="64"/>
      <c r="M11" s="64"/>
      <c r="N11" s="64"/>
      <c r="O11" s="64"/>
      <c r="Q11" s="356"/>
      <c r="R11" s="356"/>
      <c r="S11" s="356"/>
    </row>
    <row r="12" spans="1:19" x14ac:dyDescent="0.25">
      <c r="A12" s="66" t="s">
        <v>327</v>
      </c>
      <c r="B12" s="63">
        <v>200</v>
      </c>
      <c r="C12" s="64"/>
      <c r="D12" s="64"/>
      <c r="E12" s="63">
        <v>30</v>
      </c>
      <c r="F12" s="64"/>
      <c r="G12" s="64"/>
      <c r="J12" s="357"/>
      <c r="K12" s="66" t="s">
        <v>327</v>
      </c>
      <c r="L12" s="64"/>
      <c r="M12" s="64"/>
      <c r="N12" s="64"/>
      <c r="O12" s="64"/>
      <c r="Q12" s="356"/>
      <c r="R12" s="356"/>
      <c r="S12" s="356"/>
    </row>
    <row r="13" spans="1:19" ht="14.25" customHeight="1" x14ac:dyDescent="0.25">
      <c r="A13" s="66" t="s">
        <v>328</v>
      </c>
      <c r="B13" s="63">
        <v>200</v>
      </c>
      <c r="C13" s="64"/>
      <c r="D13" s="64"/>
      <c r="E13" s="63">
        <v>30</v>
      </c>
      <c r="F13" s="64"/>
      <c r="G13" s="64"/>
      <c r="J13" s="357"/>
      <c r="K13" s="66" t="s">
        <v>328</v>
      </c>
      <c r="L13" s="64"/>
      <c r="M13" s="64"/>
      <c r="N13" s="64"/>
      <c r="O13" s="64"/>
      <c r="Q13" s="356" t="s">
        <v>329</v>
      </c>
      <c r="R13" s="356"/>
      <c r="S13" s="356"/>
    </row>
    <row r="14" spans="1:19" x14ac:dyDescent="0.25">
      <c r="A14" s="66" t="s">
        <v>330</v>
      </c>
      <c r="B14" s="63">
        <v>200</v>
      </c>
      <c r="C14" s="64">
        <v>32.840000000000003</v>
      </c>
      <c r="D14" s="64">
        <v>393.36</v>
      </c>
      <c r="E14" s="63">
        <v>30</v>
      </c>
      <c r="F14" s="64"/>
      <c r="G14" s="64"/>
      <c r="J14" s="357"/>
      <c r="K14" s="66" t="s">
        <v>330</v>
      </c>
      <c r="L14" s="64">
        <v>32.840000000000003</v>
      </c>
      <c r="M14" s="64">
        <v>393.36</v>
      </c>
      <c r="N14" s="64"/>
      <c r="O14" s="64"/>
      <c r="Q14" s="356"/>
      <c r="R14" s="356"/>
      <c r="S14" s="356"/>
    </row>
    <row r="15" spans="1:19" x14ac:dyDescent="0.25">
      <c r="A15" s="66" t="s">
        <v>331</v>
      </c>
      <c r="B15" s="63">
        <v>200</v>
      </c>
      <c r="C15" s="64">
        <v>14.42</v>
      </c>
      <c r="D15" s="64">
        <v>37.51</v>
      </c>
      <c r="E15" s="63">
        <v>30</v>
      </c>
      <c r="F15" s="64">
        <v>14.89</v>
      </c>
      <c r="G15" s="64">
        <v>17.21</v>
      </c>
      <c r="J15" s="357"/>
      <c r="K15" s="66" t="s">
        <v>331</v>
      </c>
      <c r="L15" s="64">
        <v>14.42</v>
      </c>
      <c r="M15" s="64">
        <v>37.51</v>
      </c>
      <c r="N15" s="64">
        <v>14.89</v>
      </c>
      <c r="O15" s="64">
        <v>17.21</v>
      </c>
      <c r="Q15" s="356"/>
      <c r="R15" s="356"/>
      <c r="S15" s="356"/>
    </row>
    <row r="16" spans="1:19" x14ac:dyDescent="0.25">
      <c r="A16" s="66" t="s">
        <v>332</v>
      </c>
      <c r="B16" s="63">
        <v>200</v>
      </c>
      <c r="C16" s="64">
        <v>11.92</v>
      </c>
      <c r="D16" s="64">
        <v>28.39</v>
      </c>
      <c r="E16" s="63">
        <v>30</v>
      </c>
      <c r="F16" s="64">
        <v>11.92</v>
      </c>
      <c r="G16" s="64">
        <v>11.92</v>
      </c>
      <c r="J16" s="357"/>
      <c r="K16" s="66" t="s">
        <v>332</v>
      </c>
      <c r="L16" s="64">
        <v>11.92</v>
      </c>
      <c r="M16" s="64">
        <v>28.39</v>
      </c>
      <c r="N16" s="64">
        <v>11.92</v>
      </c>
      <c r="O16" s="64">
        <v>11.92</v>
      </c>
      <c r="Q16" s="356"/>
      <c r="R16" s="356"/>
      <c r="S16" s="356"/>
    </row>
    <row r="17" spans="1:15" x14ac:dyDescent="0.25">
      <c r="A17" s="66" t="s">
        <v>333</v>
      </c>
      <c r="B17" s="63">
        <v>200</v>
      </c>
      <c r="C17" s="64">
        <v>12.63</v>
      </c>
      <c r="D17" s="64">
        <v>62.66</v>
      </c>
      <c r="E17" s="63">
        <v>30</v>
      </c>
      <c r="F17" s="64">
        <v>12.15</v>
      </c>
      <c r="G17" s="64">
        <v>12.15</v>
      </c>
      <c r="J17" s="357"/>
      <c r="K17" s="66" t="s">
        <v>333</v>
      </c>
      <c r="L17" s="64">
        <v>12.63</v>
      </c>
      <c r="M17" s="64">
        <v>62.66</v>
      </c>
      <c r="N17" s="64">
        <v>12.15</v>
      </c>
      <c r="O17" s="64">
        <v>12.15</v>
      </c>
    </row>
    <row r="18" spans="1:15" x14ac:dyDescent="0.25">
      <c r="A18" s="66" t="s">
        <v>334</v>
      </c>
      <c r="B18" s="63">
        <v>200</v>
      </c>
      <c r="C18" s="64">
        <v>10.74</v>
      </c>
      <c r="D18" s="64">
        <v>38.92</v>
      </c>
      <c r="E18" s="63">
        <v>30</v>
      </c>
      <c r="F18" s="64">
        <v>10.71</v>
      </c>
      <c r="G18" s="64">
        <v>12.58</v>
      </c>
      <c r="J18" s="357"/>
      <c r="K18" s="66" t="s">
        <v>334</v>
      </c>
      <c r="L18" s="64">
        <v>10.74</v>
      </c>
      <c r="M18" s="64">
        <v>38.92</v>
      </c>
      <c r="N18" s="64">
        <v>10.71</v>
      </c>
      <c r="O18" s="64">
        <v>12.58</v>
      </c>
    </row>
    <row r="19" spans="1:15" x14ac:dyDescent="0.25">
      <c r="J19" s="357"/>
      <c r="K19" s="62" t="s">
        <v>335</v>
      </c>
      <c r="L19" s="62">
        <f>AVERAGE(L7:L18)</f>
        <v>16.509999999999998</v>
      </c>
      <c r="M19" s="62">
        <f>MAX(M7:M18)</f>
        <v>393.36</v>
      </c>
      <c r="N19" s="62">
        <f>AVERAGE(N7:N18)</f>
        <v>12.4175</v>
      </c>
      <c r="O19" s="62">
        <f>MAX(O7:O18)</f>
        <v>17.21</v>
      </c>
    </row>
    <row r="21" spans="1:15" ht="41.4" x14ac:dyDescent="0.25">
      <c r="J21" s="61">
        <f>+A6</f>
        <v>2022</v>
      </c>
      <c r="K21" s="61" t="s">
        <v>317</v>
      </c>
      <c r="L21" s="67" t="s">
        <v>312</v>
      </c>
      <c r="M21" s="67" t="s">
        <v>318</v>
      </c>
      <c r="N21" s="67" t="s">
        <v>315</v>
      </c>
      <c r="O21" s="67" t="s">
        <v>319</v>
      </c>
    </row>
    <row r="22" spans="1:15" x14ac:dyDescent="0.25">
      <c r="J22" s="357" t="s">
        <v>163</v>
      </c>
      <c r="K22" s="66" t="s">
        <v>320</v>
      </c>
      <c r="L22" s="64"/>
      <c r="M22" s="64"/>
      <c r="N22" s="64"/>
      <c r="O22" s="64"/>
    </row>
    <row r="23" spans="1:15" x14ac:dyDescent="0.25">
      <c r="J23" s="357"/>
      <c r="K23" s="66" t="s">
        <v>321</v>
      </c>
      <c r="L23" s="64"/>
      <c r="M23" s="64"/>
      <c r="N23" s="64"/>
      <c r="O23" s="64"/>
    </row>
    <row r="24" spans="1:15" x14ac:dyDescent="0.25">
      <c r="J24" s="357"/>
      <c r="K24" s="66" t="s">
        <v>322</v>
      </c>
      <c r="L24" s="64"/>
      <c r="M24" s="64"/>
      <c r="N24" s="64"/>
      <c r="O24" s="64"/>
    </row>
    <row r="25" spans="1:15" x14ac:dyDescent="0.25">
      <c r="J25" s="357"/>
      <c r="K25" s="66" t="s">
        <v>324</v>
      </c>
      <c r="L25" s="64"/>
      <c r="M25" s="64"/>
      <c r="N25" s="64"/>
      <c r="O25" s="64"/>
    </row>
    <row r="26" spans="1:15" x14ac:dyDescent="0.25">
      <c r="J26" s="357"/>
      <c r="K26" s="66" t="s">
        <v>326</v>
      </c>
      <c r="L26" s="64"/>
      <c r="M26" s="64"/>
      <c r="N26" s="64"/>
      <c r="O26" s="64"/>
    </row>
    <row r="27" spans="1:15" x14ac:dyDescent="0.25">
      <c r="J27" s="357"/>
      <c r="K27" s="66" t="s">
        <v>327</v>
      </c>
      <c r="L27" s="64"/>
      <c r="M27" s="64"/>
      <c r="N27" s="64"/>
      <c r="O27" s="64"/>
    </row>
    <row r="28" spans="1:15" x14ac:dyDescent="0.25">
      <c r="J28" s="357"/>
      <c r="K28" s="66" t="s">
        <v>328</v>
      </c>
      <c r="L28" s="64"/>
      <c r="M28" s="64"/>
      <c r="N28" s="64"/>
      <c r="O28" s="64"/>
    </row>
    <row r="29" spans="1:15" x14ac:dyDescent="0.25">
      <c r="J29" s="357"/>
      <c r="K29" s="66" t="s">
        <v>330</v>
      </c>
      <c r="L29" s="64"/>
      <c r="M29" s="64"/>
      <c r="N29" s="64"/>
      <c r="O29" s="64"/>
    </row>
    <row r="30" spans="1:15" x14ac:dyDescent="0.25">
      <c r="J30" s="357"/>
      <c r="K30" s="66" t="s">
        <v>331</v>
      </c>
      <c r="L30" s="64"/>
      <c r="M30" s="64"/>
      <c r="N30" s="64"/>
      <c r="O30" s="64"/>
    </row>
    <row r="31" spans="1:15" x14ac:dyDescent="0.25">
      <c r="B31" s="35" t="s">
        <v>367</v>
      </c>
      <c r="J31" s="357"/>
      <c r="K31" s="66" t="s">
        <v>332</v>
      </c>
      <c r="L31" s="64"/>
      <c r="M31" s="64"/>
      <c r="N31" s="64"/>
      <c r="O31" s="64"/>
    </row>
    <row r="32" spans="1:15" x14ac:dyDescent="0.25">
      <c r="J32" s="357"/>
      <c r="K32" s="66" t="s">
        <v>333</v>
      </c>
      <c r="L32" s="64"/>
      <c r="M32" s="64"/>
      <c r="N32" s="64"/>
      <c r="O32" s="64"/>
    </row>
    <row r="33" spans="1:15" x14ac:dyDescent="0.25">
      <c r="J33" s="357"/>
      <c r="K33" s="66" t="s">
        <v>334</v>
      </c>
      <c r="L33" s="64"/>
      <c r="M33" s="64"/>
      <c r="N33" s="64"/>
      <c r="O33" s="64"/>
    </row>
    <row r="34" spans="1:15" x14ac:dyDescent="0.25">
      <c r="J34" s="357"/>
      <c r="K34" s="62" t="s">
        <v>335</v>
      </c>
      <c r="L34" s="62" t="e">
        <f>AVERAGE(L22:L33)</f>
        <v>#DIV/0!</v>
      </c>
      <c r="M34" s="62">
        <f>MAX(M22:M33)</f>
        <v>0</v>
      </c>
      <c r="N34" s="62" t="e">
        <f>AVERAGE(N22:N33)</f>
        <v>#DIV/0!</v>
      </c>
      <c r="O34" s="62">
        <f>MAX(O22:O33)</f>
        <v>0</v>
      </c>
    </row>
    <row r="36" spans="1:15" ht="41.4" x14ac:dyDescent="0.25">
      <c r="J36" s="61">
        <f>+A6</f>
        <v>2022</v>
      </c>
      <c r="K36" s="61" t="s">
        <v>317</v>
      </c>
      <c r="L36" s="67" t="s">
        <v>312</v>
      </c>
      <c r="M36" s="67" t="s">
        <v>318</v>
      </c>
      <c r="N36" s="67" t="s">
        <v>315</v>
      </c>
      <c r="O36" s="67" t="s">
        <v>319</v>
      </c>
    </row>
    <row r="37" spans="1:15" x14ac:dyDescent="0.25">
      <c r="J37" s="357" t="s">
        <v>164</v>
      </c>
      <c r="K37" s="66" t="s">
        <v>320</v>
      </c>
      <c r="L37" s="64"/>
      <c r="M37" s="64"/>
      <c r="N37" s="64"/>
      <c r="O37" s="64"/>
    </row>
    <row r="38" spans="1:15" x14ac:dyDescent="0.25">
      <c r="J38" s="357"/>
      <c r="K38" s="66" t="s">
        <v>321</v>
      </c>
      <c r="L38" s="64"/>
      <c r="M38" s="64"/>
      <c r="N38" s="64"/>
      <c r="O38" s="64"/>
    </row>
    <row r="39" spans="1:15" x14ac:dyDescent="0.25">
      <c r="J39" s="357"/>
      <c r="K39" s="66" t="s">
        <v>322</v>
      </c>
      <c r="L39" s="64"/>
      <c r="M39" s="64"/>
      <c r="N39" s="64"/>
      <c r="O39" s="64"/>
    </row>
    <row r="40" spans="1:15" x14ac:dyDescent="0.25">
      <c r="J40" s="357"/>
      <c r="K40" s="66" t="s">
        <v>324</v>
      </c>
      <c r="L40" s="64"/>
      <c r="M40" s="64"/>
      <c r="N40" s="64"/>
      <c r="O40" s="64"/>
    </row>
    <row r="41" spans="1:15" x14ac:dyDescent="0.25">
      <c r="J41" s="357"/>
      <c r="K41" s="66" t="s">
        <v>326</v>
      </c>
      <c r="L41" s="64"/>
      <c r="M41" s="64"/>
      <c r="N41" s="64"/>
      <c r="O41" s="64"/>
    </row>
    <row r="42" spans="1:15" x14ac:dyDescent="0.25">
      <c r="J42" s="357"/>
      <c r="K42" s="66" t="s">
        <v>327</v>
      </c>
      <c r="L42" s="64"/>
      <c r="M42" s="64"/>
      <c r="N42" s="64"/>
      <c r="O42" s="64"/>
    </row>
    <row r="43" spans="1:15" x14ac:dyDescent="0.25">
      <c r="J43" s="357"/>
      <c r="K43" s="66" t="s">
        <v>328</v>
      </c>
      <c r="L43" s="64"/>
      <c r="M43" s="64"/>
      <c r="N43" s="64"/>
      <c r="O43" s="64"/>
    </row>
    <row r="44" spans="1:15" x14ac:dyDescent="0.25">
      <c r="J44" s="357"/>
      <c r="K44" s="66" t="s">
        <v>330</v>
      </c>
      <c r="L44" s="64"/>
      <c r="M44" s="64"/>
      <c r="N44" s="64"/>
      <c r="O44" s="64"/>
    </row>
    <row r="45" spans="1:15" x14ac:dyDescent="0.25">
      <c r="J45" s="357"/>
      <c r="K45" s="66" t="s">
        <v>331</v>
      </c>
      <c r="L45" s="64"/>
      <c r="M45" s="64"/>
      <c r="N45" s="64"/>
      <c r="O45" s="64"/>
    </row>
    <row r="46" spans="1:15" x14ac:dyDescent="0.25">
      <c r="J46" s="357"/>
      <c r="K46" s="66" t="s">
        <v>332</v>
      </c>
      <c r="L46" s="64"/>
      <c r="M46" s="64"/>
      <c r="N46" s="64"/>
      <c r="O46" s="64"/>
    </row>
    <row r="47" spans="1:15" x14ac:dyDescent="0.25">
      <c r="J47" s="357"/>
      <c r="K47" s="66" t="s">
        <v>333</v>
      </c>
      <c r="L47" s="64"/>
      <c r="M47" s="64"/>
      <c r="N47" s="64"/>
      <c r="O47" s="64"/>
    </row>
    <row r="48" spans="1:15" x14ac:dyDescent="0.25">
      <c r="A48" s="369" t="s">
        <v>233</v>
      </c>
      <c r="B48" s="370"/>
      <c r="C48" s="370"/>
      <c r="D48" s="370"/>
      <c r="E48" s="370"/>
      <c r="F48" s="370"/>
      <c r="G48" s="371"/>
      <c r="J48" s="357"/>
      <c r="K48" s="66" t="s">
        <v>334</v>
      </c>
      <c r="L48" s="64"/>
      <c r="M48" s="64"/>
      <c r="N48" s="64"/>
      <c r="O48" s="64"/>
    </row>
    <row r="49" spans="1:15" x14ac:dyDescent="0.25">
      <c r="A49" s="360"/>
      <c r="B49" s="361"/>
      <c r="C49" s="361"/>
      <c r="D49" s="361"/>
      <c r="E49" s="361"/>
      <c r="F49" s="361"/>
      <c r="G49" s="362"/>
      <c r="J49" s="357"/>
      <c r="K49" s="62" t="s">
        <v>335</v>
      </c>
      <c r="L49" s="62" t="e">
        <f>AVERAGE(L37:L48)</f>
        <v>#DIV/0!</v>
      </c>
      <c r="M49" s="62">
        <f>MAX(M37:M48)</f>
        <v>0</v>
      </c>
      <c r="N49" s="62" t="e">
        <f>AVERAGE(N37:N48)</f>
        <v>#DIV/0!</v>
      </c>
      <c r="O49" s="62">
        <f>MAX(O37:O48)</f>
        <v>0</v>
      </c>
    </row>
    <row r="50" spans="1:15" x14ac:dyDescent="0.25">
      <c r="A50" s="363"/>
      <c r="B50" s="364"/>
      <c r="C50" s="364"/>
      <c r="D50" s="364"/>
      <c r="E50" s="364"/>
      <c r="F50" s="364"/>
      <c r="G50" s="365"/>
    </row>
    <row r="51" spans="1:15" ht="41.4" x14ac:dyDescent="0.25">
      <c r="A51" s="363"/>
      <c r="B51" s="364"/>
      <c r="C51" s="364"/>
      <c r="D51" s="364"/>
      <c r="E51" s="364"/>
      <c r="F51" s="364"/>
      <c r="G51" s="365"/>
      <c r="J51" s="61">
        <f>+A6</f>
        <v>2022</v>
      </c>
      <c r="K51" s="61" t="s">
        <v>317</v>
      </c>
      <c r="L51" s="67" t="s">
        <v>312</v>
      </c>
      <c r="M51" s="67" t="s">
        <v>318</v>
      </c>
      <c r="N51" s="67" t="s">
        <v>315</v>
      </c>
      <c r="O51" s="67" t="s">
        <v>319</v>
      </c>
    </row>
    <row r="52" spans="1:15" x14ac:dyDescent="0.25">
      <c r="A52" s="366"/>
      <c r="B52" s="367"/>
      <c r="C52" s="367"/>
      <c r="D52" s="367"/>
      <c r="E52" s="367"/>
      <c r="F52" s="367"/>
      <c r="G52" s="368"/>
      <c r="J52" s="357" t="s">
        <v>165</v>
      </c>
      <c r="K52" s="66" t="s">
        <v>320</v>
      </c>
      <c r="L52" s="64"/>
      <c r="M52" s="64"/>
      <c r="N52" s="64"/>
      <c r="O52" s="64"/>
    </row>
    <row r="53" spans="1:15" x14ac:dyDescent="0.25">
      <c r="J53" s="357"/>
      <c r="K53" s="66" t="s">
        <v>321</v>
      </c>
      <c r="L53" s="64"/>
      <c r="M53" s="64"/>
      <c r="N53" s="64"/>
      <c r="O53" s="64"/>
    </row>
    <row r="54" spans="1:15" x14ac:dyDescent="0.25">
      <c r="J54" s="357"/>
      <c r="K54" s="66" t="s">
        <v>322</v>
      </c>
      <c r="L54" s="64"/>
      <c r="M54" s="64"/>
      <c r="N54" s="64"/>
      <c r="O54" s="64"/>
    </row>
    <row r="55" spans="1:15" x14ac:dyDescent="0.25">
      <c r="J55" s="357"/>
      <c r="K55" s="66" t="s">
        <v>324</v>
      </c>
      <c r="L55" s="64"/>
      <c r="M55" s="64"/>
      <c r="N55" s="64"/>
      <c r="O55" s="64"/>
    </row>
    <row r="56" spans="1:15" x14ac:dyDescent="0.25">
      <c r="J56" s="357"/>
      <c r="K56" s="66" t="s">
        <v>326</v>
      </c>
      <c r="L56" s="64"/>
      <c r="M56" s="64"/>
      <c r="N56" s="64"/>
      <c r="O56" s="64"/>
    </row>
    <row r="57" spans="1:15" x14ac:dyDescent="0.25">
      <c r="J57" s="357"/>
      <c r="K57" s="66" t="s">
        <v>327</v>
      </c>
      <c r="L57" s="64"/>
      <c r="M57" s="64"/>
      <c r="N57" s="64"/>
      <c r="O57" s="64"/>
    </row>
    <row r="58" spans="1:15" x14ac:dyDescent="0.25">
      <c r="J58" s="357"/>
      <c r="K58" s="66" t="s">
        <v>328</v>
      </c>
      <c r="L58" s="64"/>
      <c r="M58" s="64"/>
      <c r="N58" s="64"/>
      <c r="O58" s="64"/>
    </row>
    <row r="59" spans="1:15" x14ac:dyDescent="0.25">
      <c r="J59" s="357"/>
      <c r="K59" s="66" t="s">
        <v>330</v>
      </c>
      <c r="L59" s="64"/>
      <c r="M59" s="64"/>
      <c r="N59" s="64"/>
      <c r="O59" s="64"/>
    </row>
    <row r="60" spans="1:15" x14ac:dyDescent="0.25">
      <c r="J60" s="357"/>
      <c r="K60" s="66" t="s">
        <v>331</v>
      </c>
      <c r="L60" s="64"/>
      <c r="M60" s="64"/>
      <c r="N60" s="64"/>
      <c r="O60" s="64"/>
    </row>
    <row r="61" spans="1:15" x14ac:dyDescent="0.25">
      <c r="J61" s="357"/>
      <c r="K61" s="66" t="s">
        <v>332</v>
      </c>
      <c r="L61" s="64"/>
      <c r="M61" s="64"/>
      <c r="N61" s="64"/>
      <c r="O61" s="64"/>
    </row>
    <row r="62" spans="1:15" x14ac:dyDescent="0.25">
      <c r="J62" s="357"/>
      <c r="K62" s="66" t="s">
        <v>333</v>
      </c>
      <c r="L62" s="64"/>
      <c r="M62" s="64"/>
      <c r="N62" s="64"/>
      <c r="O62" s="64"/>
    </row>
    <row r="63" spans="1:15" x14ac:dyDescent="0.25">
      <c r="J63" s="357"/>
      <c r="K63" s="66" t="s">
        <v>334</v>
      </c>
      <c r="L63" s="64"/>
      <c r="M63" s="64"/>
      <c r="N63" s="64"/>
      <c r="O63" s="64"/>
    </row>
    <row r="64" spans="1:15" x14ac:dyDescent="0.25">
      <c r="J64" s="357"/>
      <c r="K64" s="62" t="s">
        <v>335</v>
      </c>
      <c r="L64" s="62" t="e">
        <f>AVERAGE(L52:L63)</f>
        <v>#DIV/0!</v>
      </c>
      <c r="M64" s="62">
        <f>MAX(M52:M63)</f>
        <v>0</v>
      </c>
      <c r="N64" s="62" t="e">
        <f>AVERAGE(N52:N63)</f>
        <v>#DIV/0!</v>
      </c>
      <c r="O64" s="62">
        <f>MAX(O52:O63)</f>
        <v>0</v>
      </c>
    </row>
    <row r="66" spans="10:15" ht="41.4" x14ac:dyDescent="0.25">
      <c r="J66" s="61">
        <f>+A6</f>
        <v>2022</v>
      </c>
      <c r="K66" s="61" t="s">
        <v>317</v>
      </c>
      <c r="L66" s="67" t="s">
        <v>312</v>
      </c>
      <c r="M66" s="67" t="s">
        <v>318</v>
      </c>
      <c r="N66" s="67" t="s">
        <v>315</v>
      </c>
      <c r="O66" s="67" t="s">
        <v>319</v>
      </c>
    </row>
    <row r="67" spans="10:15" x14ac:dyDescent="0.25">
      <c r="J67" s="357" t="s">
        <v>166</v>
      </c>
      <c r="K67" s="66" t="s">
        <v>320</v>
      </c>
      <c r="L67" s="64"/>
      <c r="M67" s="64"/>
      <c r="N67" s="64"/>
      <c r="O67" s="64"/>
    </row>
    <row r="68" spans="10:15" x14ac:dyDescent="0.25">
      <c r="J68" s="357"/>
      <c r="K68" s="66" t="s">
        <v>321</v>
      </c>
      <c r="L68" s="64"/>
      <c r="M68" s="64"/>
      <c r="N68" s="64"/>
      <c r="O68" s="64"/>
    </row>
    <row r="69" spans="10:15" x14ac:dyDescent="0.25">
      <c r="J69" s="357"/>
      <c r="K69" s="66" t="s">
        <v>322</v>
      </c>
      <c r="L69" s="64"/>
      <c r="M69" s="64"/>
      <c r="N69" s="64"/>
      <c r="O69" s="64"/>
    </row>
    <row r="70" spans="10:15" x14ac:dyDescent="0.25">
      <c r="J70" s="357"/>
      <c r="K70" s="66" t="s">
        <v>324</v>
      </c>
      <c r="L70" s="64"/>
      <c r="M70" s="64"/>
      <c r="N70" s="64"/>
      <c r="O70" s="64"/>
    </row>
    <row r="71" spans="10:15" x14ac:dyDescent="0.25">
      <c r="J71" s="357"/>
      <c r="K71" s="66" t="s">
        <v>326</v>
      </c>
      <c r="L71" s="64"/>
      <c r="M71" s="64"/>
      <c r="N71" s="64"/>
      <c r="O71" s="64"/>
    </row>
    <row r="72" spans="10:15" x14ac:dyDescent="0.25">
      <c r="J72" s="357"/>
      <c r="K72" s="66" t="s">
        <v>327</v>
      </c>
      <c r="L72" s="64"/>
      <c r="M72" s="64"/>
      <c r="N72" s="64"/>
      <c r="O72" s="64"/>
    </row>
    <row r="73" spans="10:15" x14ac:dyDescent="0.25">
      <c r="J73" s="357"/>
      <c r="K73" s="66" t="s">
        <v>328</v>
      </c>
      <c r="L73" s="64"/>
      <c r="M73" s="64"/>
      <c r="N73" s="64"/>
      <c r="O73" s="64"/>
    </row>
    <row r="74" spans="10:15" x14ac:dyDescent="0.25">
      <c r="J74" s="357"/>
      <c r="K74" s="66" t="s">
        <v>330</v>
      </c>
      <c r="L74" s="64"/>
      <c r="M74" s="64"/>
      <c r="N74" s="64"/>
      <c r="O74" s="64"/>
    </row>
    <row r="75" spans="10:15" x14ac:dyDescent="0.25">
      <c r="J75" s="357"/>
      <c r="K75" s="66" t="s">
        <v>331</v>
      </c>
      <c r="L75" s="64"/>
      <c r="M75" s="64"/>
      <c r="N75" s="64"/>
      <c r="O75" s="64"/>
    </row>
    <row r="76" spans="10:15" x14ac:dyDescent="0.25">
      <c r="J76" s="357"/>
      <c r="K76" s="66" t="s">
        <v>332</v>
      </c>
      <c r="L76" s="64"/>
      <c r="M76" s="64"/>
      <c r="N76" s="64"/>
      <c r="O76" s="64"/>
    </row>
    <row r="77" spans="10:15" x14ac:dyDescent="0.25">
      <c r="J77" s="357"/>
      <c r="K77" s="66" t="s">
        <v>333</v>
      </c>
      <c r="L77" s="64"/>
      <c r="M77" s="64"/>
      <c r="N77" s="64"/>
      <c r="O77" s="64"/>
    </row>
    <row r="78" spans="10:15" x14ac:dyDescent="0.25">
      <c r="J78" s="357"/>
      <c r="K78" s="66" t="s">
        <v>334</v>
      </c>
      <c r="L78" s="64"/>
      <c r="M78" s="64"/>
      <c r="N78" s="64"/>
      <c r="O78" s="64"/>
    </row>
    <row r="79" spans="10:15" x14ac:dyDescent="0.25">
      <c r="J79" s="357"/>
      <c r="K79" s="62" t="s">
        <v>335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abSelected="1" topLeftCell="E3" zoomScaleNormal="100" workbookViewId="0">
      <selection activeCell="B31" sqref="B31:I3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5" t="str">
        <f>+'Cover Page'!$B$29</f>
        <v>Annual Performance Report 2022</v>
      </c>
      <c r="B1" s="95"/>
      <c r="C1" s="95"/>
      <c r="D1" s="95"/>
      <c r="E1" s="95" t="str">
        <f>+'Cover Page'!$B$33</f>
        <v>Clinitek (Stoke) LLP</v>
      </c>
      <c r="F1" s="95"/>
    </row>
    <row r="3" spans="1:19" ht="14.4" x14ac:dyDescent="0.3">
      <c r="A3" s="60" t="s">
        <v>339</v>
      </c>
      <c r="D3" s="76" t="s">
        <v>304</v>
      </c>
      <c r="G3" s="80" t="s">
        <v>305</v>
      </c>
      <c r="J3" s="9" t="str">
        <f>+A3</f>
        <v>Monitoring of Oxides of Nitrogen emissions</v>
      </c>
      <c r="L3" s="9"/>
      <c r="N3" s="9" t="s">
        <v>306</v>
      </c>
      <c r="Q3" s="79" t="s">
        <v>2</v>
      </c>
      <c r="R3" s="74"/>
      <c r="S3" s="74"/>
    </row>
    <row r="4" spans="1:19" ht="13.95" customHeight="1" x14ac:dyDescent="0.25">
      <c r="Q4" s="342" t="s">
        <v>307</v>
      </c>
      <c r="R4" s="342"/>
      <c r="S4" s="342"/>
    </row>
    <row r="5" spans="1:19" ht="16.2" x14ac:dyDescent="0.25">
      <c r="A5" s="68" t="s">
        <v>308</v>
      </c>
      <c r="B5" s="359" t="s">
        <v>309</v>
      </c>
      <c r="C5" s="359"/>
      <c r="D5" s="359"/>
      <c r="E5" s="359" t="s">
        <v>310</v>
      </c>
      <c r="F5" s="359"/>
      <c r="G5" s="359"/>
      <c r="J5" s="358"/>
      <c r="K5" s="358"/>
      <c r="L5" s="358"/>
      <c r="M5" s="358"/>
      <c r="N5" s="358"/>
      <c r="O5" s="358"/>
      <c r="Q5" s="342"/>
      <c r="R5" s="342"/>
      <c r="S5" s="342"/>
    </row>
    <row r="6" spans="1:19" s="58" customFormat="1" ht="37.5" customHeight="1" x14ac:dyDescent="0.3">
      <c r="A6" s="65">
        <f>+'Cover Page'!C39</f>
        <v>2022</v>
      </c>
      <c r="B6" s="55" t="s">
        <v>340</v>
      </c>
      <c r="C6" s="55" t="s">
        <v>312</v>
      </c>
      <c r="D6" s="55" t="s">
        <v>313</v>
      </c>
      <c r="E6" s="55" t="s">
        <v>341</v>
      </c>
      <c r="F6" s="55" t="s">
        <v>315</v>
      </c>
      <c r="G6" s="55" t="s">
        <v>316</v>
      </c>
      <c r="H6" s="59"/>
      <c r="J6" s="61">
        <f>+A6</f>
        <v>2022</v>
      </c>
      <c r="K6" s="61" t="s">
        <v>317</v>
      </c>
      <c r="L6" s="67" t="s">
        <v>312</v>
      </c>
      <c r="M6" s="67" t="s">
        <v>318</v>
      </c>
      <c r="N6" s="67" t="s">
        <v>315</v>
      </c>
      <c r="O6" s="67" t="s">
        <v>319</v>
      </c>
      <c r="Q6" s="342"/>
      <c r="R6" s="342"/>
      <c r="S6" s="342"/>
    </row>
    <row r="7" spans="1:19" x14ac:dyDescent="0.25">
      <c r="A7" s="66" t="s">
        <v>320</v>
      </c>
      <c r="B7" s="63">
        <v>400</v>
      </c>
      <c r="C7" s="64"/>
      <c r="D7" s="64"/>
      <c r="E7" s="63">
        <v>80</v>
      </c>
      <c r="F7" s="64"/>
      <c r="G7" s="64"/>
      <c r="J7" s="357" t="s">
        <v>162</v>
      </c>
      <c r="K7" s="66" t="s">
        <v>320</v>
      </c>
      <c r="L7" s="64"/>
      <c r="M7" s="64"/>
      <c r="N7" s="64"/>
      <c r="O7" s="64"/>
      <c r="Q7" s="342"/>
      <c r="R7" s="342"/>
      <c r="S7" s="342"/>
    </row>
    <row r="8" spans="1:19" x14ac:dyDescent="0.25">
      <c r="A8" s="66" t="s">
        <v>321</v>
      </c>
      <c r="B8" s="63">
        <v>400</v>
      </c>
      <c r="C8" s="64"/>
      <c r="D8" s="64"/>
      <c r="E8" s="63">
        <v>80</v>
      </c>
      <c r="F8" s="64"/>
      <c r="G8" s="64"/>
      <c r="J8" s="357"/>
      <c r="K8" s="66" t="s">
        <v>321</v>
      </c>
      <c r="L8" s="64"/>
      <c r="M8" s="64"/>
      <c r="N8" s="64"/>
      <c r="O8" s="64"/>
      <c r="Q8" s="342"/>
      <c r="R8" s="342"/>
      <c r="S8" s="342"/>
    </row>
    <row r="9" spans="1:19" x14ac:dyDescent="0.25">
      <c r="A9" s="66" t="s">
        <v>322</v>
      </c>
      <c r="B9" s="63">
        <v>400</v>
      </c>
      <c r="C9" s="64"/>
      <c r="D9" s="64"/>
      <c r="E9" s="63">
        <v>80</v>
      </c>
      <c r="F9" s="64"/>
      <c r="G9" s="64"/>
      <c r="J9" s="357"/>
      <c r="K9" s="66" t="s">
        <v>322</v>
      </c>
      <c r="L9" s="64"/>
      <c r="M9" s="64"/>
      <c r="N9" s="64"/>
      <c r="O9" s="64"/>
      <c r="Q9" s="78" t="s">
        <v>323</v>
      </c>
    </row>
    <row r="10" spans="1:19" ht="14.25" customHeight="1" x14ac:dyDescent="0.25">
      <c r="A10" s="66" t="s">
        <v>324</v>
      </c>
      <c r="B10" s="63">
        <v>400</v>
      </c>
      <c r="C10" s="64"/>
      <c r="D10" s="64"/>
      <c r="E10" s="63">
        <v>80</v>
      </c>
      <c r="F10" s="64"/>
      <c r="G10" s="64"/>
      <c r="J10" s="357"/>
      <c r="K10" s="66" t="s">
        <v>324</v>
      </c>
      <c r="L10" s="64"/>
      <c r="M10" s="64"/>
      <c r="N10" s="64"/>
      <c r="O10" s="64"/>
      <c r="Q10" s="356" t="s">
        <v>325</v>
      </c>
      <c r="R10" s="356"/>
      <c r="S10" s="356"/>
    </row>
    <row r="11" spans="1:19" x14ac:dyDescent="0.25">
      <c r="A11" s="66" t="s">
        <v>326</v>
      </c>
      <c r="B11" s="63">
        <v>400</v>
      </c>
      <c r="C11" s="64"/>
      <c r="D11" s="64"/>
      <c r="E11" s="63">
        <v>80</v>
      </c>
      <c r="F11" s="64"/>
      <c r="G11" s="64"/>
      <c r="J11" s="357"/>
      <c r="K11" s="66" t="s">
        <v>326</v>
      </c>
      <c r="L11" s="64"/>
      <c r="M11" s="64"/>
      <c r="N11" s="64"/>
      <c r="O11" s="64"/>
      <c r="Q11" s="356"/>
      <c r="R11" s="356"/>
      <c r="S11" s="356"/>
    </row>
    <row r="12" spans="1:19" x14ac:dyDescent="0.25">
      <c r="A12" s="66" t="s">
        <v>327</v>
      </c>
      <c r="B12" s="63">
        <v>400</v>
      </c>
      <c r="C12" s="64"/>
      <c r="D12" s="64"/>
      <c r="E12" s="63">
        <v>80</v>
      </c>
      <c r="F12" s="64"/>
      <c r="G12" s="64"/>
      <c r="J12" s="357"/>
      <c r="K12" s="66" t="s">
        <v>327</v>
      </c>
      <c r="L12" s="64"/>
      <c r="M12" s="64"/>
      <c r="N12" s="64"/>
      <c r="O12" s="64"/>
      <c r="Q12" s="356"/>
      <c r="R12" s="356"/>
      <c r="S12" s="356"/>
    </row>
    <row r="13" spans="1:19" ht="14.25" customHeight="1" x14ac:dyDescent="0.25">
      <c r="A13" s="66" t="s">
        <v>328</v>
      </c>
      <c r="B13" s="63">
        <v>400</v>
      </c>
      <c r="C13" s="64"/>
      <c r="D13" s="64"/>
      <c r="E13" s="63">
        <v>80</v>
      </c>
      <c r="F13" s="64"/>
      <c r="G13" s="64"/>
      <c r="J13" s="357"/>
      <c r="K13" s="66" t="s">
        <v>328</v>
      </c>
      <c r="L13" s="64"/>
      <c r="M13" s="64"/>
      <c r="N13" s="64"/>
      <c r="O13" s="64"/>
      <c r="Q13" s="356" t="s">
        <v>329</v>
      </c>
      <c r="R13" s="356"/>
      <c r="S13" s="356"/>
    </row>
    <row r="14" spans="1:19" x14ac:dyDescent="0.25">
      <c r="A14" s="66" t="s">
        <v>330</v>
      </c>
      <c r="B14" s="63">
        <v>400</v>
      </c>
      <c r="C14" s="64">
        <v>79.760000000000005</v>
      </c>
      <c r="D14" s="64">
        <v>163.96</v>
      </c>
      <c r="E14" s="63">
        <v>80</v>
      </c>
      <c r="F14" s="64"/>
      <c r="G14" s="64"/>
      <c r="J14" s="357"/>
      <c r="K14" s="66" t="s">
        <v>330</v>
      </c>
      <c r="L14" s="64">
        <v>79.760000000000005</v>
      </c>
      <c r="M14" s="64">
        <v>163.96</v>
      </c>
      <c r="N14" s="64"/>
      <c r="O14" s="64"/>
      <c r="Q14" s="356"/>
      <c r="R14" s="356"/>
      <c r="S14" s="356"/>
    </row>
    <row r="15" spans="1:19" x14ac:dyDescent="0.25">
      <c r="A15" s="66" t="s">
        <v>331</v>
      </c>
      <c r="B15" s="63">
        <v>400</v>
      </c>
      <c r="C15" s="64">
        <v>41.25</v>
      </c>
      <c r="D15" s="64">
        <v>112.05</v>
      </c>
      <c r="E15" s="63">
        <v>80</v>
      </c>
      <c r="F15" s="64">
        <v>36.659999999999997</v>
      </c>
      <c r="G15" s="64">
        <v>37.659999999999997</v>
      </c>
      <c r="J15" s="357"/>
      <c r="K15" s="66" t="s">
        <v>331</v>
      </c>
      <c r="L15" s="64">
        <v>41.25</v>
      </c>
      <c r="M15" s="64">
        <v>112.05</v>
      </c>
      <c r="N15" s="64">
        <v>36.659999999999997</v>
      </c>
      <c r="O15" s="64">
        <v>37.659999999999997</v>
      </c>
      <c r="Q15" s="356"/>
      <c r="R15" s="356"/>
      <c r="S15" s="356"/>
    </row>
    <row r="16" spans="1:19" x14ac:dyDescent="0.25">
      <c r="A16" s="66" t="s">
        <v>332</v>
      </c>
      <c r="B16" s="63">
        <v>400</v>
      </c>
      <c r="C16" s="64">
        <v>60.49</v>
      </c>
      <c r="D16" s="64">
        <v>120.25</v>
      </c>
      <c r="E16" s="63">
        <v>80</v>
      </c>
      <c r="F16" s="64">
        <v>60.49</v>
      </c>
      <c r="G16" s="64">
        <v>60.49</v>
      </c>
      <c r="J16" s="357"/>
      <c r="K16" s="66" t="s">
        <v>332</v>
      </c>
      <c r="L16" s="64">
        <v>60.49</v>
      </c>
      <c r="M16" s="64">
        <v>120.25</v>
      </c>
      <c r="N16" s="64">
        <v>60.49</v>
      </c>
      <c r="O16" s="64">
        <v>60.49</v>
      </c>
      <c r="Q16" s="356"/>
      <c r="R16" s="356"/>
      <c r="S16" s="356"/>
    </row>
    <row r="17" spans="1:15" x14ac:dyDescent="0.25">
      <c r="A17" s="66" t="s">
        <v>333</v>
      </c>
      <c r="B17" s="63">
        <v>400</v>
      </c>
      <c r="C17" s="64">
        <v>47.84</v>
      </c>
      <c r="D17" s="64">
        <v>138.86000000000001</v>
      </c>
      <c r="E17" s="63">
        <v>80</v>
      </c>
      <c r="F17" s="64">
        <v>58.7</v>
      </c>
      <c r="G17" s="64">
        <v>58.7</v>
      </c>
      <c r="J17" s="357"/>
      <c r="K17" s="66" t="s">
        <v>333</v>
      </c>
      <c r="L17" s="64">
        <v>47.84</v>
      </c>
      <c r="M17" s="64">
        <v>138.86000000000001</v>
      </c>
      <c r="N17" s="64">
        <v>58.7</v>
      </c>
      <c r="O17" s="64">
        <v>58.7</v>
      </c>
    </row>
    <row r="18" spans="1:15" x14ac:dyDescent="0.25">
      <c r="A18" s="66" t="s">
        <v>334</v>
      </c>
      <c r="B18" s="63">
        <v>400</v>
      </c>
      <c r="C18" s="64">
        <v>49.55</v>
      </c>
      <c r="D18" s="64">
        <v>87.4</v>
      </c>
      <c r="E18" s="63">
        <v>80</v>
      </c>
      <c r="F18" s="64">
        <v>48.61</v>
      </c>
      <c r="G18" s="64">
        <v>52.89</v>
      </c>
      <c r="J18" s="357"/>
      <c r="K18" s="66" t="s">
        <v>334</v>
      </c>
      <c r="L18" s="64">
        <v>49.55</v>
      </c>
      <c r="M18" s="64">
        <v>87.4</v>
      </c>
      <c r="N18" s="64">
        <v>48.61</v>
      </c>
      <c r="O18" s="64">
        <v>52.89</v>
      </c>
    </row>
    <row r="19" spans="1:15" x14ac:dyDescent="0.25">
      <c r="J19" s="357"/>
      <c r="K19" s="62" t="s">
        <v>335</v>
      </c>
      <c r="L19" s="62">
        <f>AVERAGE(L7:L18)</f>
        <v>55.777999999999999</v>
      </c>
      <c r="M19" s="62">
        <f>MAX(M7:M18)</f>
        <v>163.96</v>
      </c>
      <c r="N19" s="62">
        <f>AVERAGE(N7:N18)</f>
        <v>51.115000000000009</v>
      </c>
      <c r="O19" s="62">
        <f>MAX(O7:O18)</f>
        <v>60.49</v>
      </c>
    </row>
    <row r="21" spans="1:15" ht="41.4" x14ac:dyDescent="0.25">
      <c r="J21" s="61">
        <f>+A6</f>
        <v>2022</v>
      </c>
      <c r="K21" s="61" t="s">
        <v>317</v>
      </c>
      <c r="L21" s="67" t="s">
        <v>312</v>
      </c>
      <c r="M21" s="67" t="s">
        <v>318</v>
      </c>
      <c r="N21" s="67" t="s">
        <v>315</v>
      </c>
      <c r="O21" s="67" t="s">
        <v>319</v>
      </c>
    </row>
    <row r="22" spans="1:15" x14ac:dyDescent="0.25">
      <c r="J22" s="357" t="s">
        <v>163</v>
      </c>
      <c r="K22" s="66" t="s">
        <v>320</v>
      </c>
      <c r="L22" s="64"/>
      <c r="M22" s="64"/>
      <c r="N22" s="64"/>
      <c r="O22" s="64"/>
    </row>
    <row r="23" spans="1:15" x14ac:dyDescent="0.25">
      <c r="J23" s="357"/>
      <c r="K23" s="66" t="s">
        <v>321</v>
      </c>
      <c r="L23" s="64"/>
      <c r="M23" s="64"/>
      <c r="N23" s="64"/>
      <c r="O23" s="64"/>
    </row>
    <row r="24" spans="1:15" x14ac:dyDescent="0.25">
      <c r="J24" s="357"/>
      <c r="K24" s="66" t="s">
        <v>322</v>
      </c>
      <c r="L24" s="64"/>
      <c r="M24" s="64"/>
      <c r="N24" s="64"/>
      <c r="O24" s="64"/>
    </row>
    <row r="25" spans="1:15" x14ac:dyDescent="0.25">
      <c r="J25" s="357"/>
      <c r="K25" s="66" t="s">
        <v>324</v>
      </c>
      <c r="L25" s="64"/>
      <c r="M25" s="64"/>
      <c r="N25" s="64"/>
      <c r="O25" s="64"/>
    </row>
    <row r="26" spans="1:15" x14ac:dyDescent="0.25">
      <c r="J26" s="357"/>
      <c r="K26" s="66" t="s">
        <v>326</v>
      </c>
      <c r="L26" s="64"/>
      <c r="M26" s="64"/>
      <c r="N26" s="64"/>
      <c r="O26" s="64"/>
    </row>
    <row r="27" spans="1:15" x14ac:dyDescent="0.25">
      <c r="J27" s="357"/>
      <c r="K27" s="66" t="s">
        <v>327</v>
      </c>
      <c r="L27" s="64"/>
      <c r="M27" s="64"/>
      <c r="N27" s="64"/>
      <c r="O27" s="64"/>
    </row>
    <row r="28" spans="1:15" x14ac:dyDescent="0.25">
      <c r="J28" s="357"/>
      <c r="K28" s="66" t="s">
        <v>328</v>
      </c>
      <c r="L28" s="64"/>
      <c r="M28" s="64"/>
      <c r="N28" s="64"/>
      <c r="O28" s="64"/>
    </row>
    <row r="29" spans="1:15" x14ac:dyDescent="0.25">
      <c r="J29" s="357"/>
      <c r="K29" s="66" t="s">
        <v>330</v>
      </c>
      <c r="L29" s="64"/>
      <c r="M29" s="64"/>
      <c r="N29" s="64"/>
      <c r="O29" s="64"/>
    </row>
    <row r="30" spans="1:15" x14ac:dyDescent="0.25">
      <c r="J30" s="357"/>
      <c r="K30" s="66" t="s">
        <v>331</v>
      </c>
      <c r="L30" s="64"/>
      <c r="M30" s="64"/>
      <c r="N30" s="64"/>
      <c r="O30" s="64"/>
    </row>
    <row r="31" spans="1:15" x14ac:dyDescent="0.25">
      <c r="B31" s="35" t="s">
        <v>367</v>
      </c>
      <c r="J31" s="357"/>
      <c r="K31" s="66" t="s">
        <v>332</v>
      </c>
      <c r="L31" s="64"/>
      <c r="M31" s="64"/>
      <c r="N31" s="64"/>
      <c r="O31" s="64"/>
    </row>
    <row r="32" spans="1:15" x14ac:dyDescent="0.25">
      <c r="J32" s="357"/>
      <c r="K32" s="66" t="s">
        <v>333</v>
      </c>
      <c r="L32" s="64"/>
      <c r="M32" s="64"/>
      <c r="N32" s="64"/>
      <c r="O32" s="64"/>
    </row>
    <row r="33" spans="1:15" x14ac:dyDescent="0.25">
      <c r="J33" s="357"/>
      <c r="K33" s="66" t="s">
        <v>334</v>
      </c>
      <c r="L33" s="64"/>
      <c r="M33" s="64"/>
      <c r="N33" s="64"/>
      <c r="O33" s="64"/>
    </row>
    <row r="34" spans="1:15" x14ac:dyDescent="0.25">
      <c r="J34" s="357"/>
      <c r="K34" s="62" t="s">
        <v>335</v>
      </c>
      <c r="L34" s="62" t="e">
        <f>AVERAGE(L22:L33)</f>
        <v>#DIV/0!</v>
      </c>
      <c r="M34" s="62">
        <f>MAX(M22:M33)</f>
        <v>0</v>
      </c>
      <c r="N34" s="62" t="e">
        <f>AVERAGE(N22:N33)</f>
        <v>#DIV/0!</v>
      </c>
      <c r="O34" s="62">
        <f>MAX(O22:O33)</f>
        <v>0</v>
      </c>
    </row>
    <row r="36" spans="1:15" ht="41.4" x14ac:dyDescent="0.25">
      <c r="J36" s="61">
        <f>+A6</f>
        <v>2022</v>
      </c>
      <c r="K36" s="61" t="s">
        <v>317</v>
      </c>
      <c r="L36" s="67" t="s">
        <v>312</v>
      </c>
      <c r="M36" s="67" t="s">
        <v>318</v>
      </c>
      <c r="N36" s="67" t="s">
        <v>315</v>
      </c>
      <c r="O36" s="67" t="s">
        <v>319</v>
      </c>
    </row>
    <row r="37" spans="1:15" x14ac:dyDescent="0.25">
      <c r="J37" s="357" t="s">
        <v>164</v>
      </c>
      <c r="K37" s="66" t="s">
        <v>320</v>
      </c>
      <c r="L37" s="64"/>
      <c r="M37" s="64"/>
      <c r="N37" s="64"/>
      <c r="O37" s="64"/>
    </row>
    <row r="38" spans="1:15" x14ac:dyDescent="0.25">
      <c r="J38" s="357"/>
      <c r="K38" s="66" t="s">
        <v>321</v>
      </c>
      <c r="L38" s="64"/>
      <c r="M38" s="64"/>
      <c r="N38" s="64"/>
      <c r="O38" s="64"/>
    </row>
    <row r="39" spans="1:15" x14ac:dyDescent="0.25">
      <c r="J39" s="357"/>
      <c r="K39" s="66" t="s">
        <v>322</v>
      </c>
      <c r="L39" s="64"/>
      <c r="M39" s="64"/>
      <c r="N39" s="64"/>
      <c r="O39" s="64"/>
    </row>
    <row r="40" spans="1:15" x14ac:dyDescent="0.25">
      <c r="J40" s="357"/>
      <c r="K40" s="66" t="s">
        <v>324</v>
      </c>
      <c r="L40" s="64"/>
      <c r="M40" s="64"/>
      <c r="N40" s="64"/>
      <c r="O40" s="64"/>
    </row>
    <row r="41" spans="1:15" x14ac:dyDescent="0.25">
      <c r="J41" s="357"/>
      <c r="K41" s="66" t="s">
        <v>326</v>
      </c>
      <c r="L41" s="64"/>
      <c r="M41" s="64"/>
      <c r="N41" s="64"/>
      <c r="O41" s="64"/>
    </row>
    <row r="42" spans="1:15" x14ac:dyDescent="0.25">
      <c r="J42" s="357"/>
      <c r="K42" s="66" t="s">
        <v>327</v>
      </c>
      <c r="L42" s="64"/>
      <c r="M42" s="64"/>
      <c r="N42" s="64"/>
      <c r="O42" s="64"/>
    </row>
    <row r="43" spans="1:15" x14ac:dyDescent="0.25">
      <c r="J43" s="357"/>
      <c r="K43" s="66" t="s">
        <v>328</v>
      </c>
      <c r="L43" s="64"/>
      <c r="M43" s="64"/>
      <c r="N43" s="64"/>
      <c r="O43" s="64"/>
    </row>
    <row r="44" spans="1:15" x14ac:dyDescent="0.25">
      <c r="J44" s="357"/>
      <c r="K44" s="66" t="s">
        <v>330</v>
      </c>
      <c r="L44" s="64"/>
      <c r="M44" s="64"/>
      <c r="N44" s="64"/>
      <c r="O44" s="64"/>
    </row>
    <row r="45" spans="1:15" x14ac:dyDescent="0.25">
      <c r="J45" s="357"/>
      <c r="K45" s="66" t="s">
        <v>331</v>
      </c>
      <c r="L45" s="64"/>
      <c r="M45" s="64"/>
      <c r="N45" s="64"/>
      <c r="O45" s="64"/>
    </row>
    <row r="46" spans="1:15" x14ac:dyDescent="0.25">
      <c r="J46" s="357"/>
      <c r="K46" s="66" t="s">
        <v>332</v>
      </c>
      <c r="L46" s="64"/>
      <c r="M46" s="64"/>
      <c r="N46" s="64"/>
      <c r="O46" s="64"/>
    </row>
    <row r="47" spans="1:15" x14ac:dyDescent="0.25">
      <c r="J47" s="357"/>
      <c r="K47" s="66" t="s">
        <v>333</v>
      </c>
      <c r="L47" s="64"/>
      <c r="M47" s="64"/>
      <c r="N47" s="64"/>
      <c r="O47" s="64"/>
    </row>
    <row r="48" spans="1:15" x14ac:dyDescent="0.25">
      <c r="A48" s="369" t="s">
        <v>233</v>
      </c>
      <c r="B48" s="370"/>
      <c r="C48" s="370"/>
      <c r="D48" s="370"/>
      <c r="E48" s="370"/>
      <c r="F48" s="370"/>
      <c r="G48" s="371"/>
      <c r="J48" s="357"/>
      <c r="K48" s="66" t="s">
        <v>334</v>
      </c>
      <c r="L48" s="64"/>
      <c r="M48" s="64"/>
      <c r="N48" s="64"/>
      <c r="O48" s="64"/>
    </row>
    <row r="49" spans="1:15" x14ac:dyDescent="0.25">
      <c r="A49" s="360"/>
      <c r="B49" s="361"/>
      <c r="C49" s="361"/>
      <c r="D49" s="361"/>
      <c r="E49" s="361"/>
      <c r="F49" s="361"/>
      <c r="G49" s="362"/>
      <c r="J49" s="357"/>
      <c r="K49" s="62" t="s">
        <v>335</v>
      </c>
      <c r="L49" s="62" t="e">
        <f>AVERAGE(L37:L48)</f>
        <v>#DIV/0!</v>
      </c>
      <c r="M49" s="62">
        <f>MAX(M37:M48)</f>
        <v>0</v>
      </c>
      <c r="N49" s="62" t="e">
        <f>AVERAGE(N37:N48)</f>
        <v>#DIV/0!</v>
      </c>
      <c r="O49" s="62">
        <f>MAX(O37:O48)</f>
        <v>0</v>
      </c>
    </row>
    <row r="50" spans="1:15" x14ac:dyDescent="0.25">
      <c r="A50" s="363"/>
      <c r="B50" s="364"/>
      <c r="C50" s="364"/>
      <c r="D50" s="364"/>
      <c r="E50" s="364"/>
      <c r="F50" s="364"/>
      <c r="G50" s="365"/>
    </row>
    <row r="51" spans="1:15" ht="41.4" x14ac:dyDescent="0.25">
      <c r="A51" s="363"/>
      <c r="B51" s="364"/>
      <c r="C51" s="364"/>
      <c r="D51" s="364"/>
      <c r="E51" s="364"/>
      <c r="F51" s="364"/>
      <c r="G51" s="365"/>
      <c r="J51" s="61">
        <f>+A6</f>
        <v>2022</v>
      </c>
      <c r="K51" s="61" t="s">
        <v>317</v>
      </c>
      <c r="L51" s="67" t="s">
        <v>312</v>
      </c>
      <c r="M51" s="67" t="s">
        <v>318</v>
      </c>
      <c r="N51" s="67" t="s">
        <v>315</v>
      </c>
      <c r="O51" s="67" t="s">
        <v>319</v>
      </c>
    </row>
    <row r="52" spans="1:15" x14ac:dyDescent="0.25">
      <c r="A52" s="366"/>
      <c r="B52" s="367"/>
      <c r="C52" s="367"/>
      <c r="D52" s="367"/>
      <c r="E52" s="367"/>
      <c r="F52" s="367"/>
      <c r="G52" s="368"/>
      <c r="J52" s="357" t="s">
        <v>165</v>
      </c>
      <c r="K52" s="66" t="s">
        <v>320</v>
      </c>
      <c r="L52" s="64"/>
      <c r="M52" s="64"/>
      <c r="N52" s="64"/>
      <c r="O52" s="64"/>
    </row>
    <row r="53" spans="1:15" x14ac:dyDescent="0.25">
      <c r="J53" s="357"/>
      <c r="K53" s="66" t="s">
        <v>321</v>
      </c>
      <c r="L53" s="64"/>
      <c r="M53" s="64"/>
      <c r="N53" s="64"/>
      <c r="O53" s="64"/>
    </row>
    <row r="54" spans="1:15" x14ac:dyDescent="0.25">
      <c r="J54" s="357"/>
      <c r="K54" s="66" t="s">
        <v>322</v>
      </c>
      <c r="L54" s="64"/>
      <c r="M54" s="64"/>
      <c r="N54" s="64"/>
      <c r="O54" s="64"/>
    </row>
    <row r="55" spans="1:15" x14ac:dyDescent="0.25">
      <c r="J55" s="357"/>
      <c r="K55" s="66" t="s">
        <v>324</v>
      </c>
      <c r="L55" s="64"/>
      <c r="M55" s="64"/>
      <c r="N55" s="64"/>
      <c r="O55" s="64"/>
    </row>
    <row r="56" spans="1:15" x14ac:dyDescent="0.25">
      <c r="J56" s="357"/>
      <c r="K56" s="66" t="s">
        <v>326</v>
      </c>
      <c r="L56" s="64"/>
      <c r="M56" s="64"/>
      <c r="N56" s="64"/>
      <c r="O56" s="64"/>
    </row>
    <row r="57" spans="1:15" x14ac:dyDescent="0.25">
      <c r="J57" s="357"/>
      <c r="K57" s="66" t="s">
        <v>327</v>
      </c>
      <c r="L57" s="64"/>
      <c r="M57" s="64"/>
      <c r="N57" s="64"/>
      <c r="O57" s="64"/>
    </row>
    <row r="58" spans="1:15" x14ac:dyDescent="0.25">
      <c r="J58" s="357"/>
      <c r="K58" s="66" t="s">
        <v>328</v>
      </c>
      <c r="L58" s="64"/>
      <c r="M58" s="64"/>
      <c r="N58" s="64"/>
      <c r="O58" s="64"/>
    </row>
    <row r="59" spans="1:15" x14ac:dyDescent="0.25">
      <c r="J59" s="357"/>
      <c r="K59" s="66" t="s">
        <v>330</v>
      </c>
      <c r="L59" s="64"/>
      <c r="M59" s="64"/>
      <c r="N59" s="64"/>
      <c r="O59" s="64"/>
    </row>
    <row r="60" spans="1:15" x14ac:dyDescent="0.25">
      <c r="J60" s="357"/>
      <c r="K60" s="66" t="s">
        <v>331</v>
      </c>
      <c r="L60" s="64"/>
      <c r="M60" s="64"/>
      <c r="N60" s="64"/>
      <c r="O60" s="64"/>
    </row>
    <row r="61" spans="1:15" x14ac:dyDescent="0.25">
      <c r="J61" s="357"/>
      <c r="K61" s="66" t="s">
        <v>332</v>
      </c>
      <c r="L61" s="64"/>
      <c r="M61" s="64"/>
      <c r="N61" s="64"/>
      <c r="O61" s="64"/>
    </row>
    <row r="62" spans="1:15" x14ac:dyDescent="0.25">
      <c r="J62" s="357"/>
      <c r="K62" s="66" t="s">
        <v>333</v>
      </c>
      <c r="L62" s="64"/>
      <c r="M62" s="64"/>
      <c r="N62" s="64"/>
      <c r="O62" s="64"/>
    </row>
    <row r="63" spans="1:15" x14ac:dyDescent="0.25">
      <c r="J63" s="357"/>
      <c r="K63" s="66" t="s">
        <v>334</v>
      </c>
      <c r="L63" s="64"/>
      <c r="M63" s="64"/>
      <c r="N63" s="64"/>
      <c r="O63" s="64"/>
    </row>
    <row r="64" spans="1:15" x14ac:dyDescent="0.25">
      <c r="J64" s="357"/>
      <c r="K64" s="62" t="s">
        <v>335</v>
      </c>
      <c r="L64" s="62" t="e">
        <f>AVERAGE(L52:L63)</f>
        <v>#DIV/0!</v>
      </c>
      <c r="M64" s="62">
        <f>MAX(M52:M63)</f>
        <v>0</v>
      </c>
      <c r="N64" s="62" t="e">
        <f>AVERAGE(N52:N63)</f>
        <v>#DIV/0!</v>
      </c>
      <c r="O64" s="62">
        <f>MAX(O52:O63)</f>
        <v>0</v>
      </c>
    </row>
    <row r="66" spans="10:15" ht="41.4" x14ac:dyDescent="0.25">
      <c r="J66" s="61">
        <f>+A6</f>
        <v>2022</v>
      </c>
      <c r="K66" s="61" t="s">
        <v>317</v>
      </c>
      <c r="L66" s="67" t="s">
        <v>312</v>
      </c>
      <c r="M66" s="67" t="s">
        <v>318</v>
      </c>
      <c r="N66" s="67" t="s">
        <v>315</v>
      </c>
      <c r="O66" s="67" t="s">
        <v>319</v>
      </c>
    </row>
    <row r="67" spans="10:15" x14ac:dyDescent="0.25">
      <c r="J67" s="357" t="s">
        <v>166</v>
      </c>
      <c r="K67" s="66" t="s">
        <v>320</v>
      </c>
      <c r="L67" s="64"/>
      <c r="M67" s="64"/>
      <c r="N67" s="64"/>
      <c r="O67" s="64"/>
    </row>
    <row r="68" spans="10:15" x14ac:dyDescent="0.25">
      <c r="J68" s="357"/>
      <c r="K68" s="66" t="s">
        <v>321</v>
      </c>
      <c r="L68" s="64"/>
      <c r="M68" s="64"/>
      <c r="N68" s="64"/>
      <c r="O68" s="64"/>
    </row>
    <row r="69" spans="10:15" x14ac:dyDescent="0.25">
      <c r="J69" s="357"/>
      <c r="K69" s="66" t="s">
        <v>322</v>
      </c>
      <c r="L69" s="64"/>
      <c r="M69" s="64"/>
      <c r="N69" s="64"/>
      <c r="O69" s="64"/>
    </row>
    <row r="70" spans="10:15" x14ac:dyDescent="0.25">
      <c r="J70" s="357"/>
      <c r="K70" s="66" t="s">
        <v>324</v>
      </c>
      <c r="L70" s="64"/>
      <c r="M70" s="64"/>
      <c r="N70" s="64"/>
      <c r="O70" s="64"/>
    </row>
    <row r="71" spans="10:15" x14ac:dyDescent="0.25">
      <c r="J71" s="357"/>
      <c r="K71" s="66" t="s">
        <v>326</v>
      </c>
      <c r="L71" s="64"/>
      <c r="M71" s="64"/>
      <c r="N71" s="64"/>
      <c r="O71" s="64"/>
    </row>
    <row r="72" spans="10:15" x14ac:dyDescent="0.25">
      <c r="J72" s="357"/>
      <c r="K72" s="66" t="s">
        <v>327</v>
      </c>
      <c r="L72" s="64"/>
      <c r="M72" s="64"/>
      <c r="N72" s="64"/>
      <c r="O72" s="64"/>
    </row>
    <row r="73" spans="10:15" x14ac:dyDescent="0.25">
      <c r="J73" s="357"/>
      <c r="K73" s="66" t="s">
        <v>328</v>
      </c>
      <c r="L73" s="64"/>
      <c r="M73" s="64"/>
      <c r="N73" s="64"/>
      <c r="O73" s="64"/>
    </row>
    <row r="74" spans="10:15" x14ac:dyDescent="0.25">
      <c r="J74" s="357"/>
      <c r="K74" s="66" t="s">
        <v>330</v>
      </c>
      <c r="L74" s="64"/>
      <c r="M74" s="64"/>
      <c r="N74" s="64"/>
      <c r="O74" s="64"/>
    </row>
    <row r="75" spans="10:15" x14ac:dyDescent="0.25">
      <c r="J75" s="357"/>
      <c r="K75" s="66" t="s">
        <v>331</v>
      </c>
      <c r="L75" s="64"/>
      <c r="M75" s="64"/>
      <c r="N75" s="64"/>
      <c r="O75" s="64"/>
    </row>
    <row r="76" spans="10:15" x14ac:dyDescent="0.25">
      <c r="J76" s="357"/>
      <c r="K76" s="66" t="s">
        <v>332</v>
      </c>
      <c r="L76" s="64"/>
      <c r="M76" s="64"/>
      <c r="N76" s="64"/>
      <c r="O76" s="64"/>
    </row>
    <row r="77" spans="10:15" x14ac:dyDescent="0.25">
      <c r="J77" s="357"/>
      <c r="K77" s="66" t="s">
        <v>333</v>
      </c>
      <c r="L77" s="64"/>
      <c r="M77" s="64"/>
      <c r="N77" s="64"/>
      <c r="O77" s="64"/>
    </row>
    <row r="78" spans="10:15" x14ac:dyDescent="0.25">
      <c r="J78" s="357"/>
      <c r="K78" s="66" t="s">
        <v>334</v>
      </c>
      <c r="L78" s="64"/>
      <c r="M78" s="64"/>
      <c r="N78" s="64"/>
      <c r="O78" s="64"/>
    </row>
    <row r="79" spans="10:15" x14ac:dyDescent="0.25">
      <c r="J79" s="357"/>
      <c r="K79" s="62" t="s">
        <v>335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tabSelected="1" topLeftCell="A18" zoomScaleNormal="100" workbookViewId="0">
      <selection activeCell="B31" sqref="B31:I31"/>
    </sheetView>
  </sheetViews>
  <sheetFormatPr defaultColWidth="9.33203125" defaultRowHeight="15" x14ac:dyDescent="0.25"/>
  <cols>
    <col min="1" max="1" width="21.33203125" style="2" customWidth="1"/>
    <col min="2" max="2" width="13.6640625" style="2" customWidth="1"/>
    <col min="3" max="3" width="16.33203125" style="2" customWidth="1"/>
    <col min="4" max="12" width="9.33203125" style="2"/>
    <col min="13" max="13" width="10.44140625" style="2" customWidth="1"/>
    <col min="14" max="16384" width="9.33203125" style="2"/>
  </cols>
  <sheetData>
    <row r="1" spans="1:16" x14ac:dyDescent="0.25">
      <c r="A1" s="95" t="str">
        <f>+'Cover Page'!$B$29</f>
        <v>Annual Performance Report 2022</v>
      </c>
      <c r="B1" s="95"/>
      <c r="C1" s="95"/>
      <c r="D1" s="95"/>
      <c r="E1" s="95"/>
      <c r="F1" s="95"/>
      <c r="G1" s="95"/>
      <c r="H1" s="95"/>
      <c r="I1" s="95" t="str">
        <f>+'Cover Page'!$B$33</f>
        <v>Clinitek (Stoke) LLP</v>
      </c>
      <c r="J1" s="95"/>
      <c r="K1" s="95"/>
      <c r="L1" s="95"/>
      <c r="M1" s="95"/>
      <c r="N1" s="95"/>
      <c r="O1" s="95"/>
      <c r="P1" s="95"/>
    </row>
    <row r="3" spans="1:16" ht="15.6" x14ac:dyDescent="0.3">
      <c r="A3" s="1" t="s">
        <v>279</v>
      </c>
      <c r="B3" s="95"/>
      <c r="C3" s="95"/>
      <c r="D3" s="95"/>
      <c r="E3" s="95"/>
      <c r="F3" s="95"/>
      <c r="G3" s="95"/>
      <c r="H3" s="95"/>
      <c r="I3" s="95"/>
      <c r="J3" s="95"/>
      <c r="K3" s="95"/>
      <c r="L3" s="95"/>
      <c r="M3" s="95"/>
      <c r="N3" s="95"/>
      <c r="O3" s="95"/>
      <c r="P3" s="95"/>
    </row>
    <row r="4" spans="1:16" ht="15.6" x14ac:dyDescent="0.3">
      <c r="A4" s="1"/>
      <c r="B4" s="95"/>
      <c r="C4" s="95"/>
      <c r="D4" s="95"/>
      <c r="E4" s="95"/>
      <c r="F4" s="95"/>
      <c r="G4" s="95"/>
      <c r="H4" s="95"/>
      <c r="I4" s="95"/>
      <c r="J4" s="95"/>
      <c r="K4" s="95"/>
      <c r="L4" s="95"/>
      <c r="M4" s="95"/>
      <c r="N4" s="95"/>
      <c r="O4" s="95"/>
      <c r="P4" s="73" t="s">
        <v>2</v>
      </c>
    </row>
    <row r="5" spans="1:16" s="3" customFormat="1" ht="21.75" customHeight="1" x14ac:dyDescent="0.3">
      <c r="A5" s="48" t="s">
        <v>239</v>
      </c>
      <c r="B5" s="49"/>
      <c r="C5" s="49"/>
      <c r="D5" s="49"/>
      <c r="E5" s="49"/>
      <c r="F5" s="49"/>
      <c r="G5" s="49"/>
      <c r="H5" s="49"/>
      <c r="I5" s="49"/>
      <c r="J5" s="49"/>
      <c r="K5" s="49"/>
      <c r="L5" s="49"/>
      <c r="M5" s="50"/>
      <c r="P5" s="74" t="s">
        <v>280</v>
      </c>
    </row>
    <row r="6" spans="1:16" s="3" customFormat="1" ht="15.75" customHeight="1" x14ac:dyDescent="0.25">
      <c r="A6" s="318" t="s">
        <v>439</v>
      </c>
      <c r="B6" s="213"/>
      <c r="C6" s="213"/>
      <c r="D6" s="213"/>
      <c r="E6" s="213"/>
      <c r="F6" s="213"/>
      <c r="G6" s="213"/>
      <c r="H6" s="213"/>
      <c r="I6" s="213"/>
      <c r="J6" s="213"/>
      <c r="K6" s="213"/>
      <c r="L6" s="213"/>
      <c r="M6" s="214"/>
      <c r="P6" s="3" t="s">
        <v>281</v>
      </c>
    </row>
    <row r="7" spans="1:16" s="3" customFormat="1" ht="15.75" customHeight="1" x14ac:dyDescent="0.25">
      <c r="A7" s="218"/>
      <c r="B7" s="219"/>
      <c r="C7" s="219"/>
      <c r="D7" s="219"/>
      <c r="E7" s="219"/>
      <c r="F7" s="219"/>
      <c r="G7" s="219"/>
      <c r="H7" s="219"/>
      <c r="I7" s="219"/>
      <c r="J7" s="219"/>
      <c r="K7" s="219"/>
      <c r="L7" s="219"/>
      <c r="M7" s="220"/>
    </row>
    <row r="8" spans="1:16" s="3" customFormat="1" ht="15.75" customHeight="1" x14ac:dyDescent="0.25">
      <c r="A8" s="204"/>
      <c r="B8" s="205"/>
      <c r="C8" s="205"/>
      <c r="D8" s="205"/>
      <c r="E8" s="205"/>
      <c r="F8" s="205"/>
      <c r="G8" s="205"/>
      <c r="H8" s="205"/>
      <c r="I8" s="205"/>
      <c r="J8" s="205"/>
      <c r="K8" s="205"/>
      <c r="L8" s="205"/>
      <c r="M8" s="206"/>
    </row>
    <row r="9" spans="1:16" s="3" customFormat="1" ht="15.75" customHeight="1" x14ac:dyDescent="0.25">
      <c r="A9" s="210"/>
      <c r="B9" s="211"/>
      <c r="C9" s="211"/>
      <c r="D9" s="211"/>
      <c r="E9" s="211"/>
      <c r="F9" s="211"/>
      <c r="G9" s="211"/>
      <c r="H9" s="211"/>
      <c r="I9" s="211"/>
      <c r="J9" s="211"/>
      <c r="K9" s="211"/>
      <c r="L9" s="211"/>
      <c r="M9" s="212"/>
    </row>
    <row r="10" spans="1:16" s="3" customFormat="1" ht="13.8" x14ac:dyDescent="0.25"/>
    <row r="11" spans="1:16" s="56" customFormat="1" ht="16.5" customHeight="1" x14ac:dyDescent="0.25">
      <c r="A11" s="319" t="s">
        <v>282</v>
      </c>
      <c r="B11" s="319"/>
      <c r="C11" s="319"/>
      <c r="D11" s="319"/>
      <c r="E11" s="319"/>
      <c r="F11" s="319"/>
      <c r="G11" s="319"/>
      <c r="H11" s="319"/>
      <c r="I11" s="319"/>
      <c r="J11" s="319"/>
      <c r="K11" s="319"/>
      <c r="L11" s="319"/>
      <c r="M11" s="319"/>
    </row>
    <row r="12" spans="1:16" s="56" customFormat="1" ht="16.5" customHeight="1" x14ac:dyDescent="0.25">
      <c r="A12" s="377" t="s">
        <v>187</v>
      </c>
      <c r="B12" s="354" t="s">
        <v>283</v>
      </c>
      <c r="C12" s="300" t="s">
        <v>243</v>
      </c>
      <c r="D12" s="301" t="s">
        <v>162</v>
      </c>
      <c r="E12" s="379"/>
      <c r="F12" s="301" t="s">
        <v>163</v>
      </c>
      <c r="G12" s="379"/>
      <c r="H12" s="301" t="s">
        <v>164</v>
      </c>
      <c r="I12" s="379"/>
      <c r="J12" s="301" t="s">
        <v>165</v>
      </c>
      <c r="K12" s="379"/>
      <c r="L12" s="301" t="s">
        <v>166</v>
      </c>
      <c r="M12" s="379"/>
    </row>
    <row r="13" spans="1:16" s="12" customFormat="1" ht="17.25" customHeight="1" x14ac:dyDescent="0.25">
      <c r="A13" s="377"/>
      <c r="B13" s="378"/>
      <c r="C13" s="300"/>
      <c r="D13" s="46" t="s">
        <v>237</v>
      </c>
      <c r="E13" s="57" t="s">
        <v>284</v>
      </c>
      <c r="F13" s="46" t="s">
        <v>237</v>
      </c>
      <c r="G13" s="57" t="s">
        <v>284</v>
      </c>
      <c r="H13" s="46" t="s">
        <v>237</v>
      </c>
      <c r="I13" s="57" t="s">
        <v>284</v>
      </c>
      <c r="J13" s="46" t="s">
        <v>237</v>
      </c>
      <c r="K13" s="57" t="s">
        <v>284</v>
      </c>
      <c r="L13" s="46" t="s">
        <v>237</v>
      </c>
      <c r="M13" s="57" t="s">
        <v>284</v>
      </c>
      <c r="N13" s="108"/>
      <c r="O13" s="108"/>
      <c r="P13" s="108"/>
    </row>
    <row r="14" spans="1:16" s="12" customFormat="1" ht="23.25" customHeight="1" x14ac:dyDescent="0.25">
      <c r="A14" s="234" t="s">
        <v>193</v>
      </c>
      <c r="B14" s="154" t="s">
        <v>285</v>
      </c>
      <c r="C14" s="154" t="s">
        <v>425</v>
      </c>
      <c r="D14" s="157">
        <v>60.49</v>
      </c>
      <c r="E14" s="157">
        <v>51.115000000000009</v>
      </c>
      <c r="F14" s="157"/>
      <c r="G14" s="157"/>
      <c r="H14" s="157"/>
      <c r="I14" s="157"/>
      <c r="J14" s="157"/>
      <c r="K14" s="157"/>
      <c r="L14" s="157"/>
      <c r="M14" s="157"/>
      <c r="N14" s="108"/>
      <c r="O14" s="108"/>
      <c r="P14" s="108"/>
    </row>
    <row r="15" spans="1:16" s="12" customFormat="1" ht="23.25" customHeight="1" x14ac:dyDescent="0.25">
      <c r="A15" s="234"/>
      <c r="B15" s="154" t="s">
        <v>287</v>
      </c>
      <c r="C15" s="154" t="s">
        <v>288</v>
      </c>
      <c r="D15" s="157">
        <v>163.96</v>
      </c>
      <c r="E15" s="157">
        <v>55.777999999999999</v>
      </c>
      <c r="F15" s="157"/>
      <c r="G15" s="157"/>
      <c r="H15" s="157"/>
      <c r="I15" s="157"/>
      <c r="J15" s="157"/>
      <c r="K15" s="157"/>
      <c r="L15" s="157"/>
      <c r="M15" s="157"/>
      <c r="N15" s="108"/>
      <c r="O15" s="108"/>
      <c r="P15" s="108"/>
    </row>
    <row r="16" spans="1:16" s="12" customFormat="1" ht="23.25" customHeight="1" x14ac:dyDescent="0.25">
      <c r="A16" s="94" t="s">
        <v>192</v>
      </c>
      <c r="B16" s="159" t="s">
        <v>285</v>
      </c>
      <c r="C16" s="154" t="s">
        <v>426</v>
      </c>
      <c r="D16" s="157">
        <v>0.52</v>
      </c>
      <c r="E16" s="157">
        <v>0.47</v>
      </c>
      <c r="F16" s="157"/>
      <c r="G16" s="157"/>
      <c r="H16" s="157"/>
      <c r="I16" s="157"/>
      <c r="J16" s="157"/>
      <c r="K16" s="157"/>
      <c r="L16" s="157"/>
      <c r="M16" s="157"/>
      <c r="N16" s="108"/>
      <c r="O16" s="108"/>
      <c r="P16" s="108"/>
    </row>
    <row r="17" spans="1:13" s="12" customFormat="1" ht="23.25" customHeight="1" x14ac:dyDescent="0.25">
      <c r="A17" s="94"/>
      <c r="B17" s="154" t="s">
        <v>287</v>
      </c>
      <c r="C17" s="154" t="s">
        <v>289</v>
      </c>
      <c r="D17" s="157">
        <v>3.87</v>
      </c>
      <c r="E17" s="157">
        <v>0.57000000000000006</v>
      </c>
      <c r="F17" s="157"/>
      <c r="G17" s="157"/>
      <c r="H17" s="157"/>
      <c r="I17" s="157"/>
      <c r="J17" s="157"/>
      <c r="K17" s="157"/>
      <c r="L17" s="157"/>
      <c r="M17" s="157"/>
    </row>
    <row r="18" spans="1:13" s="12" customFormat="1" ht="23.25" customHeight="1" x14ac:dyDescent="0.25">
      <c r="A18" s="94" t="s">
        <v>290</v>
      </c>
      <c r="B18" s="154" t="s">
        <v>285</v>
      </c>
      <c r="C18" s="154" t="s">
        <v>291</v>
      </c>
      <c r="D18" s="157">
        <v>0.3</v>
      </c>
      <c r="E18" s="157">
        <v>1.2500000000000004E-2</v>
      </c>
      <c r="F18" s="157"/>
      <c r="G18" s="157"/>
      <c r="H18" s="157"/>
      <c r="I18" s="157"/>
      <c r="J18" s="157"/>
      <c r="K18" s="157"/>
      <c r="L18" s="157"/>
      <c r="M18" s="157"/>
    </row>
    <row r="19" spans="1:13" s="12" customFormat="1" ht="23.25" customHeight="1" x14ac:dyDescent="0.25">
      <c r="A19" s="94"/>
      <c r="B19" s="154" t="s">
        <v>287</v>
      </c>
      <c r="C19" s="154" t="s">
        <v>292</v>
      </c>
      <c r="D19" s="157">
        <v>83.79</v>
      </c>
      <c r="E19" s="157">
        <v>1.1839999999999999</v>
      </c>
      <c r="F19" s="157"/>
      <c r="G19" s="157"/>
      <c r="H19" s="157"/>
      <c r="I19" s="157"/>
      <c r="J19" s="157"/>
      <c r="K19" s="157"/>
      <c r="L19" s="157"/>
      <c r="M19" s="157"/>
    </row>
    <row r="20" spans="1:13" s="12" customFormat="1" ht="23.25" customHeight="1" x14ac:dyDescent="0.25">
      <c r="A20" s="94" t="s">
        <v>293</v>
      </c>
      <c r="B20" s="154" t="s">
        <v>285</v>
      </c>
      <c r="C20" s="154" t="s">
        <v>427</v>
      </c>
      <c r="D20" s="157">
        <v>24.44</v>
      </c>
      <c r="E20" s="157">
        <v>11.005000000000001</v>
      </c>
      <c r="F20" s="157"/>
      <c r="G20" s="157"/>
      <c r="H20" s="157"/>
      <c r="I20" s="157"/>
      <c r="J20" s="157"/>
      <c r="K20" s="157"/>
      <c r="L20" s="157"/>
      <c r="M20" s="157"/>
    </row>
    <row r="21" spans="1:13" s="12" customFormat="1" ht="23.25" customHeight="1" x14ac:dyDescent="0.25">
      <c r="A21" s="94"/>
      <c r="B21" s="154" t="s">
        <v>287</v>
      </c>
      <c r="C21" s="154" t="s">
        <v>294</v>
      </c>
      <c r="D21" s="157">
        <v>505.51</v>
      </c>
      <c r="E21" s="157">
        <v>9.9359999999999999</v>
      </c>
      <c r="F21" s="157"/>
      <c r="G21" s="157"/>
      <c r="H21" s="157"/>
      <c r="I21" s="157"/>
      <c r="J21" s="157"/>
      <c r="K21" s="157"/>
      <c r="L21" s="157"/>
      <c r="M21" s="157"/>
    </row>
    <row r="22" spans="1:13" s="12" customFormat="1" ht="23.25" customHeight="1" x14ac:dyDescent="0.25">
      <c r="A22" s="94" t="s">
        <v>194</v>
      </c>
      <c r="B22" s="154" t="s">
        <v>285</v>
      </c>
      <c r="C22" s="154" t="s">
        <v>289</v>
      </c>
      <c r="D22" s="157">
        <v>17.21</v>
      </c>
      <c r="E22" s="157">
        <v>12.4175</v>
      </c>
      <c r="F22" s="157"/>
      <c r="G22" s="157"/>
      <c r="H22" s="157"/>
      <c r="I22" s="157"/>
      <c r="J22" s="157"/>
      <c r="K22" s="157"/>
      <c r="L22" s="157"/>
      <c r="M22" s="157"/>
    </row>
    <row r="23" spans="1:13" s="12" customFormat="1" ht="23.25" customHeight="1" x14ac:dyDescent="0.25">
      <c r="A23" s="94"/>
      <c r="B23" s="154" t="s">
        <v>287</v>
      </c>
      <c r="C23" s="154" t="s">
        <v>286</v>
      </c>
      <c r="D23" s="157">
        <v>393.36</v>
      </c>
      <c r="E23" s="157">
        <v>16.509999999999998</v>
      </c>
      <c r="F23" s="157"/>
      <c r="G23" s="157"/>
      <c r="H23" s="157"/>
      <c r="I23" s="157"/>
      <c r="J23" s="157"/>
      <c r="K23" s="157"/>
      <c r="L23" s="157"/>
      <c r="M23" s="157"/>
    </row>
    <row r="24" spans="1:13" s="12" customFormat="1" ht="23.25" customHeight="1" x14ac:dyDescent="0.25">
      <c r="A24" s="94" t="s">
        <v>296</v>
      </c>
      <c r="B24" s="154" t="s">
        <v>285</v>
      </c>
      <c r="C24" s="154" t="s">
        <v>295</v>
      </c>
      <c r="D24" s="157">
        <v>20.12</v>
      </c>
      <c r="E24" s="157">
        <v>15.672499999999999</v>
      </c>
      <c r="F24" s="157"/>
      <c r="G24" s="157"/>
      <c r="H24" s="157"/>
      <c r="I24" s="157"/>
      <c r="J24" s="157"/>
      <c r="K24" s="157"/>
      <c r="L24" s="157"/>
      <c r="M24" s="157"/>
    </row>
    <row r="25" spans="1:13" s="12" customFormat="1" ht="23.25" customHeight="1" x14ac:dyDescent="0.25">
      <c r="A25" s="94"/>
      <c r="B25" s="157" t="s">
        <v>297</v>
      </c>
      <c r="C25" s="157" t="s">
        <v>298</v>
      </c>
      <c r="D25" s="157">
        <v>426.24</v>
      </c>
      <c r="E25" s="157">
        <v>15.672499999999999</v>
      </c>
      <c r="F25" s="157"/>
      <c r="G25" s="157"/>
      <c r="H25" s="157"/>
      <c r="I25" s="157"/>
      <c r="J25" s="157"/>
      <c r="K25" s="157"/>
      <c r="L25" s="157"/>
      <c r="M25" s="157"/>
    </row>
    <row r="26" spans="1:13" s="12" customFormat="1" ht="23.25" customHeight="1" x14ac:dyDescent="0.25">
      <c r="A26" s="94"/>
      <c r="B26" s="157" t="s">
        <v>299</v>
      </c>
      <c r="C26" s="157" t="s">
        <v>300</v>
      </c>
      <c r="D26" s="157">
        <v>72.801999999999992</v>
      </c>
      <c r="E26" s="157">
        <v>21.222000000000001</v>
      </c>
      <c r="F26" s="157"/>
      <c r="G26" s="157"/>
      <c r="H26" s="157"/>
      <c r="I26" s="157"/>
      <c r="J26" s="157"/>
      <c r="K26" s="157"/>
      <c r="L26" s="157"/>
      <c r="M26" s="157"/>
    </row>
    <row r="27" spans="1:13" s="12" customFormat="1" ht="23.25" customHeight="1" x14ac:dyDescent="0.25">
      <c r="A27" s="160" t="s">
        <v>301</v>
      </c>
      <c r="B27" s="161" t="s">
        <v>285</v>
      </c>
      <c r="C27" s="161" t="s">
        <v>424</v>
      </c>
      <c r="D27" s="162">
        <v>2.0299999999999998</v>
      </c>
      <c r="E27" s="162">
        <v>0.85000000000000009</v>
      </c>
      <c r="F27" s="162"/>
      <c r="G27" s="162"/>
      <c r="H27" s="162"/>
      <c r="I27" s="162"/>
      <c r="J27" s="162"/>
      <c r="K27" s="162"/>
      <c r="L27" s="162"/>
      <c r="M27" s="162"/>
    </row>
    <row r="28" spans="1:13" x14ac:dyDescent="0.25">
      <c r="A28" s="372" t="s">
        <v>302</v>
      </c>
      <c r="B28" s="373"/>
      <c r="C28" s="373"/>
      <c r="D28" s="373"/>
      <c r="E28" s="373"/>
      <c r="F28" s="373"/>
      <c r="G28" s="373"/>
      <c r="H28" s="373"/>
      <c r="I28" s="373"/>
      <c r="J28" s="373"/>
      <c r="K28" s="373"/>
      <c r="L28" s="373"/>
      <c r="M28" s="374"/>
    </row>
    <row r="29" spans="1:13" x14ac:dyDescent="0.25">
      <c r="A29" s="83" t="s">
        <v>233</v>
      </c>
      <c r="B29" s="84"/>
      <c r="C29" s="84"/>
      <c r="D29" s="84"/>
      <c r="E29" s="84"/>
      <c r="F29" s="84"/>
      <c r="G29" s="84"/>
      <c r="H29" s="84"/>
      <c r="I29" s="84"/>
      <c r="J29" s="84"/>
      <c r="K29" s="84"/>
      <c r="L29" s="84"/>
      <c r="M29" s="85"/>
    </row>
    <row r="30" spans="1:13" x14ac:dyDescent="0.25">
      <c r="A30" s="375"/>
      <c r="B30" s="375"/>
      <c r="C30" s="375"/>
      <c r="D30" s="375"/>
      <c r="E30" s="375"/>
      <c r="F30" s="375"/>
      <c r="G30" s="375"/>
      <c r="H30" s="375"/>
      <c r="I30" s="375"/>
      <c r="J30" s="375"/>
      <c r="K30" s="375"/>
      <c r="L30" s="375"/>
      <c r="M30" s="375"/>
    </row>
    <row r="31" spans="1:13" x14ac:dyDescent="0.25">
      <c r="A31" s="376"/>
      <c r="B31" s="376"/>
      <c r="C31" s="376"/>
      <c r="D31" s="376"/>
      <c r="E31" s="376"/>
      <c r="F31" s="376"/>
      <c r="G31" s="376"/>
      <c r="H31" s="376"/>
      <c r="I31" s="376"/>
      <c r="J31" s="376"/>
      <c r="K31" s="376"/>
      <c r="L31" s="376"/>
      <c r="M31" s="376"/>
    </row>
    <row r="68" spans="6:6" x14ac:dyDescent="0.25">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abSelected="1" topLeftCell="B1" zoomScaleNormal="100" workbookViewId="0">
      <selection activeCell="B31" sqref="B31:I3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5" t="str">
        <f>+'Cover Page'!$B$29</f>
        <v>Annual Performance Report 2022</v>
      </c>
      <c r="B1" s="95"/>
      <c r="C1" s="95"/>
      <c r="D1" s="95"/>
      <c r="E1" s="95" t="str">
        <f>+'Cover Page'!$B$33</f>
        <v>Clinitek (Stoke) LLP</v>
      </c>
    </row>
    <row r="3" spans="1:19" ht="14.4" x14ac:dyDescent="0.3">
      <c r="A3" s="60" t="s">
        <v>342</v>
      </c>
      <c r="D3" s="76" t="s">
        <v>304</v>
      </c>
      <c r="G3" s="80" t="s">
        <v>305</v>
      </c>
      <c r="J3" s="9" t="str">
        <f>+A3</f>
        <v>Monitoring of Total organic carbon emissions</v>
      </c>
      <c r="L3" s="9"/>
      <c r="N3" s="9" t="s">
        <v>306</v>
      </c>
      <c r="Q3" s="79" t="s">
        <v>2</v>
      </c>
      <c r="R3" s="74"/>
      <c r="S3" s="74"/>
    </row>
    <row r="4" spans="1:19" ht="13.95" customHeight="1" x14ac:dyDescent="0.25">
      <c r="Q4" s="342" t="s">
        <v>307</v>
      </c>
      <c r="R4" s="342"/>
      <c r="S4" s="342"/>
    </row>
    <row r="5" spans="1:19" ht="16.2" x14ac:dyDescent="0.25">
      <c r="A5" s="68" t="s">
        <v>308</v>
      </c>
      <c r="B5" s="359" t="s">
        <v>309</v>
      </c>
      <c r="C5" s="359"/>
      <c r="D5" s="359"/>
      <c r="E5" s="359" t="s">
        <v>310</v>
      </c>
      <c r="F5" s="359"/>
      <c r="G5" s="359"/>
      <c r="J5" s="358"/>
      <c r="K5" s="358"/>
      <c r="L5" s="358"/>
      <c r="M5" s="358"/>
      <c r="N5" s="358"/>
      <c r="O5" s="358"/>
      <c r="Q5" s="342"/>
      <c r="R5" s="342"/>
      <c r="S5" s="342"/>
    </row>
    <row r="6" spans="1:19" s="58" customFormat="1" ht="37.5" customHeight="1" x14ac:dyDescent="0.3">
      <c r="A6" s="65">
        <f>+'Cover Page'!C39</f>
        <v>2022</v>
      </c>
      <c r="B6" s="55" t="s">
        <v>343</v>
      </c>
      <c r="C6" s="55" t="s">
        <v>312</v>
      </c>
      <c r="D6" s="55" t="s">
        <v>313</v>
      </c>
      <c r="E6" s="55" t="s">
        <v>344</v>
      </c>
      <c r="F6" s="55" t="s">
        <v>315</v>
      </c>
      <c r="G6" s="55" t="s">
        <v>316</v>
      </c>
      <c r="H6" s="59"/>
      <c r="J6" s="61">
        <f>+A6</f>
        <v>2022</v>
      </c>
      <c r="K6" s="61" t="s">
        <v>317</v>
      </c>
      <c r="L6" s="67" t="s">
        <v>312</v>
      </c>
      <c r="M6" s="67" t="s">
        <v>318</v>
      </c>
      <c r="N6" s="67" t="s">
        <v>315</v>
      </c>
      <c r="O6" s="67" t="s">
        <v>319</v>
      </c>
      <c r="Q6" s="342"/>
      <c r="R6" s="342"/>
      <c r="S6" s="342"/>
    </row>
    <row r="7" spans="1:19" x14ac:dyDescent="0.25">
      <c r="A7" s="66" t="s">
        <v>320</v>
      </c>
      <c r="B7" s="63">
        <v>20</v>
      </c>
      <c r="C7" s="64"/>
      <c r="D7" s="64"/>
      <c r="E7" s="63">
        <v>10</v>
      </c>
      <c r="F7" s="64"/>
      <c r="G7" s="64"/>
      <c r="J7" s="357" t="s">
        <v>162</v>
      </c>
      <c r="K7" s="66" t="s">
        <v>320</v>
      </c>
      <c r="L7" s="64"/>
      <c r="M7" s="64"/>
      <c r="N7" s="64"/>
      <c r="O7" s="64"/>
      <c r="Q7" s="342"/>
      <c r="R7" s="342"/>
      <c r="S7" s="342"/>
    </row>
    <row r="8" spans="1:19" x14ac:dyDescent="0.25">
      <c r="A8" s="66" t="s">
        <v>321</v>
      </c>
      <c r="B8" s="63">
        <v>20</v>
      </c>
      <c r="C8" s="64"/>
      <c r="D8" s="64"/>
      <c r="E8" s="63">
        <v>10</v>
      </c>
      <c r="F8" s="64"/>
      <c r="G8" s="64"/>
      <c r="J8" s="357"/>
      <c r="K8" s="66" t="s">
        <v>321</v>
      </c>
      <c r="L8" s="64"/>
      <c r="M8" s="64"/>
      <c r="N8" s="64"/>
      <c r="O8" s="64"/>
      <c r="Q8" s="342"/>
      <c r="R8" s="342"/>
      <c r="S8" s="342"/>
    </row>
    <row r="9" spans="1:19" x14ac:dyDescent="0.25">
      <c r="A9" s="66" t="s">
        <v>322</v>
      </c>
      <c r="B9" s="63">
        <v>20</v>
      </c>
      <c r="C9" s="64"/>
      <c r="D9" s="64"/>
      <c r="E9" s="63">
        <v>10</v>
      </c>
      <c r="F9" s="64"/>
      <c r="G9" s="64"/>
      <c r="J9" s="357"/>
      <c r="K9" s="66" t="s">
        <v>322</v>
      </c>
      <c r="L9" s="64"/>
      <c r="M9" s="64"/>
      <c r="N9" s="64"/>
      <c r="O9" s="64"/>
      <c r="Q9" s="78" t="s">
        <v>323</v>
      </c>
    </row>
    <row r="10" spans="1:19" ht="14.25" customHeight="1" x14ac:dyDescent="0.25">
      <c r="A10" s="66" t="s">
        <v>324</v>
      </c>
      <c r="B10" s="63">
        <v>20</v>
      </c>
      <c r="C10" s="64"/>
      <c r="D10" s="64"/>
      <c r="E10" s="63">
        <v>10</v>
      </c>
      <c r="F10" s="64"/>
      <c r="G10" s="64"/>
      <c r="J10" s="357"/>
      <c r="K10" s="66" t="s">
        <v>324</v>
      </c>
      <c r="L10" s="64"/>
      <c r="M10" s="64"/>
      <c r="N10" s="64"/>
      <c r="O10" s="64"/>
      <c r="Q10" s="356" t="s">
        <v>325</v>
      </c>
      <c r="R10" s="356"/>
      <c r="S10" s="356"/>
    </row>
    <row r="11" spans="1:19" x14ac:dyDescent="0.25">
      <c r="A11" s="66" t="s">
        <v>326</v>
      </c>
      <c r="B11" s="63">
        <v>20</v>
      </c>
      <c r="C11" s="64"/>
      <c r="D11" s="64"/>
      <c r="E11" s="63">
        <v>10</v>
      </c>
      <c r="F11" s="64"/>
      <c r="G11" s="64"/>
      <c r="J11" s="357"/>
      <c r="K11" s="66" t="s">
        <v>326</v>
      </c>
      <c r="L11" s="64"/>
      <c r="M11" s="64"/>
      <c r="N11" s="64"/>
      <c r="O11" s="64"/>
      <c r="Q11" s="356"/>
      <c r="R11" s="356"/>
      <c r="S11" s="356"/>
    </row>
    <row r="12" spans="1:19" x14ac:dyDescent="0.25">
      <c r="A12" s="66" t="s">
        <v>327</v>
      </c>
      <c r="B12" s="63">
        <v>20</v>
      </c>
      <c r="C12" s="64"/>
      <c r="D12" s="64"/>
      <c r="E12" s="63">
        <v>10</v>
      </c>
      <c r="F12" s="64"/>
      <c r="G12" s="64"/>
      <c r="J12" s="357"/>
      <c r="K12" s="66" t="s">
        <v>327</v>
      </c>
      <c r="L12" s="64"/>
      <c r="M12" s="64"/>
      <c r="N12" s="64"/>
      <c r="O12" s="64"/>
      <c r="Q12" s="356"/>
      <c r="R12" s="356"/>
      <c r="S12" s="356"/>
    </row>
    <row r="13" spans="1:19" ht="14.25" customHeight="1" x14ac:dyDescent="0.25">
      <c r="A13" s="66" t="s">
        <v>328</v>
      </c>
      <c r="B13" s="63">
        <v>20</v>
      </c>
      <c r="C13" s="64"/>
      <c r="D13" s="64"/>
      <c r="E13" s="63">
        <v>10</v>
      </c>
      <c r="F13" s="64"/>
      <c r="G13" s="64"/>
      <c r="J13" s="357"/>
      <c r="K13" s="66" t="s">
        <v>328</v>
      </c>
      <c r="L13" s="64"/>
      <c r="M13" s="64"/>
      <c r="N13" s="64"/>
      <c r="O13" s="64"/>
      <c r="Q13" s="356" t="s">
        <v>329</v>
      </c>
      <c r="R13" s="356"/>
      <c r="S13" s="356"/>
    </row>
    <row r="14" spans="1:19" x14ac:dyDescent="0.25">
      <c r="A14" s="66" t="s">
        <v>330</v>
      </c>
      <c r="B14" s="63">
        <v>20</v>
      </c>
      <c r="C14" s="64">
        <v>5.94</v>
      </c>
      <c r="D14" s="64">
        <v>83.79</v>
      </c>
      <c r="E14" s="63">
        <v>10</v>
      </c>
      <c r="F14" s="64"/>
      <c r="G14" s="64"/>
      <c r="J14" s="357"/>
      <c r="K14" s="66" t="s">
        <v>330</v>
      </c>
      <c r="L14" s="64">
        <v>5.94</v>
      </c>
      <c r="M14" s="64">
        <v>83.79</v>
      </c>
      <c r="N14" s="64"/>
      <c r="O14" s="64"/>
      <c r="Q14" s="356"/>
      <c r="R14" s="356"/>
      <c r="S14" s="356"/>
    </row>
    <row r="15" spans="1:19" x14ac:dyDescent="0.25">
      <c r="A15" s="66" t="s">
        <v>331</v>
      </c>
      <c r="B15" s="63">
        <v>20</v>
      </c>
      <c r="C15" s="64">
        <v>0.56000000000000005</v>
      </c>
      <c r="D15" s="64">
        <v>49.68</v>
      </c>
      <c r="E15" s="63">
        <v>10</v>
      </c>
      <c r="F15" s="64">
        <v>0.17</v>
      </c>
      <c r="G15" s="64">
        <v>0.3</v>
      </c>
      <c r="J15" s="357"/>
      <c r="K15" s="66" t="s">
        <v>331</v>
      </c>
      <c r="L15" s="64">
        <v>0.56000000000000005</v>
      </c>
      <c r="M15" s="64">
        <v>49.68</v>
      </c>
      <c r="N15" s="64">
        <v>0.17</v>
      </c>
      <c r="O15" s="64">
        <v>0.3</v>
      </c>
      <c r="Q15" s="356"/>
      <c r="R15" s="356"/>
      <c r="S15" s="356"/>
    </row>
    <row r="16" spans="1:19" x14ac:dyDescent="0.25">
      <c r="A16" s="66" t="s">
        <v>332</v>
      </c>
      <c r="B16" s="63">
        <v>20</v>
      </c>
      <c r="C16" s="64">
        <v>-0.32</v>
      </c>
      <c r="D16" s="64">
        <v>0.62</v>
      </c>
      <c r="E16" s="63">
        <v>10</v>
      </c>
      <c r="F16" s="64">
        <v>-0.12</v>
      </c>
      <c r="G16" s="64">
        <v>-0.12</v>
      </c>
      <c r="J16" s="357"/>
      <c r="K16" s="66" t="s">
        <v>332</v>
      </c>
      <c r="L16" s="64">
        <v>-0.32</v>
      </c>
      <c r="M16" s="64">
        <v>0.62</v>
      </c>
      <c r="N16" s="64">
        <v>-0.12</v>
      </c>
      <c r="O16" s="64">
        <v>-0.12</v>
      </c>
      <c r="Q16" s="356"/>
      <c r="R16" s="356"/>
      <c r="S16" s="356"/>
    </row>
    <row r="17" spans="1:15" x14ac:dyDescent="0.25">
      <c r="A17" s="66" t="s">
        <v>333</v>
      </c>
      <c r="B17" s="63">
        <v>20</v>
      </c>
      <c r="C17" s="64">
        <v>-0.12</v>
      </c>
      <c r="D17" s="64">
        <v>0.69</v>
      </c>
      <c r="E17" s="63">
        <v>10</v>
      </c>
      <c r="F17" s="64">
        <v>0.18</v>
      </c>
      <c r="G17" s="64">
        <v>0.18</v>
      </c>
      <c r="J17" s="357"/>
      <c r="K17" s="66" t="s">
        <v>333</v>
      </c>
      <c r="L17" s="64">
        <v>-0.12</v>
      </c>
      <c r="M17" s="64">
        <v>0.69</v>
      </c>
      <c r="N17" s="64">
        <v>0.18</v>
      </c>
      <c r="O17" s="64">
        <v>0.18</v>
      </c>
    </row>
    <row r="18" spans="1:15" x14ac:dyDescent="0.25">
      <c r="A18" s="66" t="s">
        <v>334</v>
      </c>
      <c r="B18" s="63">
        <v>20</v>
      </c>
      <c r="C18" s="64">
        <v>-0.14000000000000001</v>
      </c>
      <c r="D18" s="64">
        <v>5.53</v>
      </c>
      <c r="E18" s="63">
        <v>10</v>
      </c>
      <c r="F18" s="64">
        <v>-0.18</v>
      </c>
      <c r="G18" s="64">
        <v>0.15</v>
      </c>
      <c r="J18" s="357"/>
      <c r="K18" s="66" t="s">
        <v>334</v>
      </c>
      <c r="L18" s="64">
        <v>-0.14000000000000001</v>
      </c>
      <c r="M18" s="64">
        <v>5.53</v>
      </c>
      <c r="N18" s="64">
        <v>-0.18</v>
      </c>
      <c r="O18" s="64">
        <v>0.15</v>
      </c>
    </row>
    <row r="19" spans="1:15" x14ac:dyDescent="0.25">
      <c r="J19" s="357"/>
      <c r="K19" s="62" t="s">
        <v>335</v>
      </c>
      <c r="L19" s="62">
        <f>AVERAGE(L7:L18)</f>
        <v>1.1839999999999999</v>
      </c>
      <c r="M19" s="62">
        <f>MAX(M7:M18)</f>
        <v>83.79</v>
      </c>
      <c r="N19" s="62">
        <f>AVERAGE(N7:N18)</f>
        <v>1.2500000000000004E-2</v>
      </c>
      <c r="O19" s="62">
        <f>MAX(O7:O18)</f>
        <v>0.3</v>
      </c>
    </row>
    <row r="21" spans="1:15" ht="41.4" x14ac:dyDescent="0.25">
      <c r="J21" s="61">
        <f>+A6</f>
        <v>2022</v>
      </c>
      <c r="K21" s="61" t="s">
        <v>317</v>
      </c>
      <c r="L21" s="67" t="s">
        <v>312</v>
      </c>
      <c r="M21" s="67" t="s">
        <v>318</v>
      </c>
      <c r="N21" s="67" t="s">
        <v>315</v>
      </c>
      <c r="O21" s="67" t="s">
        <v>319</v>
      </c>
    </row>
    <row r="22" spans="1:15" x14ac:dyDescent="0.25">
      <c r="J22" s="357" t="s">
        <v>163</v>
      </c>
      <c r="K22" s="66" t="s">
        <v>320</v>
      </c>
      <c r="L22" s="64"/>
      <c r="M22" s="64"/>
      <c r="N22" s="64"/>
      <c r="O22" s="64"/>
    </row>
    <row r="23" spans="1:15" x14ac:dyDescent="0.25">
      <c r="J23" s="357"/>
      <c r="K23" s="66" t="s">
        <v>321</v>
      </c>
      <c r="L23" s="64"/>
      <c r="M23" s="64"/>
      <c r="N23" s="64"/>
      <c r="O23" s="64"/>
    </row>
    <row r="24" spans="1:15" x14ac:dyDescent="0.25">
      <c r="J24" s="357"/>
      <c r="K24" s="66" t="s">
        <v>322</v>
      </c>
      <c r="L24" s="64"/>
      <c r="M24" s="64"/>
      <c r="N24" s="64"/>
      <c r="O24" s="64"/>
    </row>
    <row r="25" spans="1:15" x14ac:dyDescent="0.25">
      <c r="J25" s="357"/>
      <c r="K25" s="66" t="s">
        <v>324</v>
      </c>
      <c r="L25" s="64"/>
      <c r="M25" s="64"/>
      <c r="N25" s="64"/>
      <c r="O25" s="64"/>
    </row>
    <row r="26" spans="1:15" x14ac:dyDescent="0.25">
      <c r="J26" s="357"/>
      <c r="K26" s="66" t="s">
        <v>326</v>
      </c>
      <c r="L26" s="64"/>
      <c r="M26" s="64"/>
      <c r="N26" s="64"/>
      <c r="O26" s="64"/>
    </row>
    <row r="27" spans="1:15" x14ac:dyDescent="0.25">
      <c r="J27" s="357"/>
      <c r="K27" s="66" t="s">
        <v>327</v>
      </c>
      <c r="L27" s="64"/>
      <c r="M27" s="64"/>
      <c r="N27" s="64"/>
      <c r="O27" s="64"/>
    </row>
    <row r="28" spans="1:15" x14ac:dyDescent="0.25">
      <c r="J28" s="357"/>
      <c r="K28" s="66" t="s">
        <v>328</v>
      </c>
      <c r="L28" s="64"/>
      <c r="M28" s="64"/>
      <c r="N28" s="64"/>
      <c r="O28" s="64"/>
    </row>
    <row r="29" spans="1:15" x14ac:dyDescent="0.25">
      <c r="J29" s="357"/>
      <c r="K29" s="66" t="s">
        <v>330</v>
      </c>
      <c r="L29" s="64"/>
      <c r="M29" s="64"/>
      <c r="N29" s="64"/>
      <c r="O29" s="64"/>
    </row>
    <row r="30" spans="1:15" x14ac:dyDescent="0.25">
      <c r="J30" s="357"/>
      <c r="K30" s="66" t="s">
        <v>331</v>
      </c>
      <c r="L30" s="64"/>
      <c r="M30" s="64"/>
      <c r="N30" s="64"/>
      <c r="O30" s="64"/>
    </row>
    <row r="31" spans="1:15" x14ac:dyDescent="0.25">
      <c r="B31" s="35" t="s">
        <v>367</v>
      </c>
      <c r="J31" s="357"/>
      <c r="K31" s="66" t="s">
        <v>332</v>
      </c>
      <c r="L31" s="64"/>
      <c r="M31" s="64"/>
      <c r="N31" s="64"/>
      <c r="O31" s="64"/>
    </row>
    <row r="32" spans="1:15" x14ac:dyDescent="0.25">
      <c r="J32" s="357"/>
      <c r="K32" s="66" t="s">
        <v>333</v>
      </c>
      <c r="L32" s="64"/>
      <c r="M32" s="64"/>
      <c r="N32" s="64"/>
      <c r="O32" s="64"/>
    </row>
    <row r="33" spans="1:15" x14ac:dyDescent="0.25">
      <c r="J33" s="357"/>
      <c r="K33" s="66" t="s">
        <v>334</v>
      </c>
      <c r="L33" s="64"/>
      <c r="M33" s="64"/>
      <c r="N33" s="64"/>
      <c r="O33" s="64"/>
    </row>
    <row r="34" spans="1:15" x14ac:dyDescent="0.25">
      <c r="J34" s="357"/>
      <c r="K34" s="62" t="s">
        <v>335</v>
      </c>
      <c r="L34" s="62" t="e">
        <f>AVERAGE(L22:L33)</f>
        <v>#DIV/0!</v>
      </c>
      <c r="M34" s="62">
        <f>MAX(M22:M33)</f>
        <v>0</v>
      </c>
      <c r="N34" s="62" t="e">
        <f>AVERAGE(N22:N33)</f>
        <v>#DIV/0!</v>
      </c>
      <c r="O34" s="62">
        <f>MAX(O22:O33)</f>
        <v>0</v>
      </c>
    </row>
    <row r="36" spans="1:15" ht="41.4" x14ac:dyDescent="0.25">
      <c r="J36" s="61">
        <f>+A6</f>
        <v>2022</v>
      </c>
      <c r="K36" s="61" t="s">
        <v>317</v>
      </c>
      <c r="L36" s="67" t="s">
        <v>312</v>
      </c>
      <c r="M36" s="67" t="s">
        <v>318</v>
      </c>
      <c r="N36" s="67" t="s">
        <v>315</v>
      </c>
      <c r="O36" s="67" t="s">
        <v>319</v>
      </c>
    </row>
    <row r="37" spans="1:15" x14ac:dyDescent="0.25">
      <c r="J37" s="357" t="s">
        <v>164</v>
      </c>
      <c r="K37" s="66" t="s">
        <v>320</v>
      </c>
      <c r="L37" s="64"/>
      <c r="M37" s="64"/>
      <c r="N37" s="64"/>
      <c r="O37" s="64"/>
    </row>
    <row r="38" spans="1:15" x14ac:dyDescent="0.25">
      <c r="J38" s="357"/>
      <c r="K38" s="66" t="s">
        <v>321</v>
      </c>
      <c r="L38" s="64"/>
      <c r="M38" s="64"/>
      <c r="N38" s="64"/>
      <c r="O38" s="64"/>
    </row>
    <row r="39" spans="1:15" x14ac:dyDescent="0.25">
      <c r="J39" s="357"/>
      <c r="K39" s="66" t="s">
        <v>322</v>
      </c>
      <c r="L39" s="64"/>
      <c r="M39" s="64"/>
      <c r="N39" s="64"/>
      <c r="O39" s="64"/>
    </row>
    <row r="40" spans="1:15" x14ac:dyDescent="0.25">
      <c r="J40" s="357"/>
      <c r="K40" s="66" t="s">
        <v>324</v>
      </c>
      <c r="L40" s="64"/>
      <c r="M40" s="64"/>
      <c r="N40" s="64"/>
      <c r="O40" s="64"/>
    </row>
    <row r="41" spans="1:15" x14ac:dyDescent="0.25">
      <c r="J41" s="357"/>
      <c r="K41" s="66" t="s">
        <v>326</v>
      </c>
      <c r="L41" s="64"/>
      <c r="M41" s="64"/>
      <c r="N41" s="64"/>
      <c r="O41" s="64"/>
    </row>
    <row r="42" spans="1:15" x14ac:dyDescent="0.25">
      <c r="J42" s="357"/>
      <c r="K42" s="66" t="s">
        <v>327</v>
      </c>
      <c r="L42" s="64"/>
      <c r="M42" s="64"/>
      <c r="N42" s="64"/>
      <c r="O42" s="64"/>
    </row>
    <row r="43" spans="1:15" x14ac:dyDescent="0.25">
      <c r="J43" s="357"/>
      <c r="K43" s="66" t="s">
        <v>328</v>
      </c>
      <c r="L43" s="64"/>
      <c r="M43" s="64"/>
      <c r="N43" s="64"/>
      <c r="O43" s="64"/>
    </row>
    <row r="44" spans="1:15" x14ac:dyDescent="0.25">
      <c r="J44" s="357"/>
      <c r="K44" s="66" t="s">
        <v>330</v>
      </c>
      <c r="L44" s="64"/>
      <c r="M44" s="64"/>
      <c r="N44" s="64"/>
      <c r="O44" s="64"/>
    </row>
    <row r="45" spans="1:15" x14ac:dyDescent="0.25">
      <c r="J45" s="357"/>
      <c r="K45" s="66" t="s">
        <v>331</v>
      </c>
      <c r="L45" s="64"/>
      <c r="M45" s="64"/>
      <c r="N45" s="64"/>
      <c r="O45" s="64"/>
    </row>
    <row r="46" spans="1:15" x14ac:dyDescent="0.25">
      <c r="J46" s="357"/>
      <c r="K46" s="66" t="s">
        <v>332</v>
      </c>
      <c r="L46" s="64"/>
      <c r="M46" s="64"/>
      <c r="N46" s="64"/>
      <c r="O46" s="64"/>
    </row>
    <row r="47" spans="1:15" x14ac:dyDescent="0.25">
      <c r="J47" s="357"/>
      <c r="K47" s="66" t="s">
        <v>333</v>
      </c>
      <c r="L47" s="64"/>
      <c r="M47" s="64"/>
      <c r="N47" s="64"/>
      <c r="O47" s="64"/>
    </row>
    <row r="48" spans="1:15" x14ac:dyDescent="0.25">
      <c r="A48" s="369" t="s">
        <v>233</v>
      </c>
      <c r="B48" s="370"/>
      <c r="C48" s="370"/>
      <c r="D48" s="370"/>
      <c r="E48" s="370"/>
      <c r="F48" s="370"/>
      <c r="G48" s="371"/>
      <c r="J48" s="357"/>
      <c r="K48" s="66" t="s">
        <v>334</v>
      </c>
      <c r="L48" s="64"/>
      <c r="M48" s="64"/>
      <c r="N48" s="64"/>
      <c r="O48" s="64"/>
    </row>
    <row r="49" spans="1:15" x14ac:dyDescent="0.25">
      <c r="A49" s="360"/>
      <c r="B49" s="361"/>
      <c r="C49" s="361"/>
      <c r="D49" s="361"/>
      <c r="E49" s="361"/>
      <c r="F49" s="361"/>
      <c r="G49" s="362"/>
      <c r="J49" s="357"/>
      <c r="K49" s="62" t="s">
        <v>335</v>
      </c>
      <c r="L49" s="62" t="e">
        <f>AVERAGE(L37:L48)</f>
        <v>#DIV/0!</v>
      </c>
      <c r="M49" s="62">
        <f>MAX(M37:M48)</f>
        <v>0</v>
      </c>
      <c r="N49" s="62" t="e">
        <f>AVERAGE(N37:N48)</f>
        <v>#DIV/0!</v>
      </c>
      <c r="O49" s="62">
        <f>MAX(O37:O48)</f>
        <v>0</v>
      </c>
    </row>
    <row r="50" spans="1:15" x14ac:dyDescent="0.25">
      <c r="A50" s="363"/>
      <c r="B50" s="364"/>
      <c r="C50" s="364"/>
      <c r="D50" s="364"/>
      <c r="E50" s="364"/>
      <c r="F50" s="364"/>
      <c r="G50" s="365"/>
    </row>
    <row r="51" spans="1:15" ht="41.4" x14ac:dyDescent="0.25">
      <c r="A51" s="363"/>
      <c r="B51" s="364"/>
      <c r="C51" s="364"/>
      <c r="D51" s="364"/>
      <c r="E51" s="364"/>
      <c r="F51" s="364"/>
      <c r="G51" s="365"/>
      <c r="J51" s="61">
        <f>+A6</f>
        <v>2022</v>
      </c>
      <c r="K51" s="61" t="s">
        <v>317</v>
      </c>
      <c r="L51" s="67" t="s">
        <v>312</v>
      </c>
      <c r="M51" s="67" t="s">
        <v>318</v>
      </c>
      <c r="N51" s="67" t="s">
        <v>315</v>
      </c>
      <c r="O51" s="67" t="s">
        <v>319</v>
      </c>
    </row>
    <row r="52" spans="1:15" x14ac:dyDescent="0.25">
      <c r="A52" s="366"/>
      <c r="B52" s="367"/>
      <c r="C52" s="367"/>
      <c r="D52" s="367"/>
      <c r="E52" s="367"/>
      <c r="F52" s="367"/>
      <c r="G52" s="368"/>
      <c r="J52" s="357" t="s">
        <v>165</v>
      </c>
      <c r="K52" s="66" t="s">
        <v>320</v>
      </c>
      <c r="L52" s="64"/>
      <c r="M52" s="64"/>
      <c r="N52" s="64"/>
      <c r="O52" s="64"/>
    </row>
    <row r="53" spans="1:15" x14ac:dyDescent="0.25">
      <c r="J53" s="357"/>
      <c r="K53" s="66" t="s">
        <v>321</v>
      </c>
      <c r="L53" s="64"/>
      <c r="M53" s="64"/>
      <c r="N53" s="64"/>
      <c r="O53" s="64"/>
    </row>
    <row r="54" spans="1:15" x14ac:dyDescent="0.25">
      <c r="J54" s="357"/>
      <c r="K54" s="66" t="s">
        <v>322</v>
      </c>
      <c r="L54" s="64"/>
      <c r="M54" s="64"/>
      <c r="N54" s="64"/>
      <c r="O54" s="64"/>
    </row>
    <row r="55" spans="1:15" x14ac:dyDescent="0.25">
      <c r="J55" s="357"/>
      <c r="K55" s="66" t="s">
        <v>324</v>
      </c>
      <c r="L55" s="64"/>
      <c r="M55" s="64"/>
      <c r="N55" s="64"/>
      <c r="O55" s="64"/>
    </row>
    <row r="56" spans="1:15" x14ac:dyDescent="0.25">
      <c r="J56" s="357"/>
      <c r="K56" s="66" t="s">
        <v>326</v>
      </c>
      <c r="L56" s="64"/>
      <c r="M56" s="64"/>
      <c r="N56" s="64"/>
      <c r="O56" s="64"/>
    </row>
    <row r="57" spans="1:15" x14ac:dyDescent="0.25">
      <c r="J57" s="357"/>
      <c r="K57" s="66" t="s">
        <v>327</v>
      </c>
      <c r="L57" s="64"/>
      <c r="M57" s="64"/>
      <c r="N57" s="64"/>
      <c r="O57" s="64"/>
    </row>
    <row r="58" spans="1:15" x14ac:dyDescent="0.25">
      <c r="J58" s="357"/>
      <c r="K58" s="66" t="s">
        <v>328</v>
      </c>
      <c r="L58" s="64"/>
      <c r="M58" s="64"/>
      <c r="N58" s="64"/>
      <c r="O58" s="64"/>
    </row>
    <row r="59" spans="1:15" x14ac:dyDescent="0.25">
      <c r="J59" s="357"/>
      <c r="K59" s="66" t="s">
        <v>330</v>
      </c>
      <c r="L59" s="64"/>
      <c r="M59" s="64"/>
      <c r="N59" s="64"/>
      <c r="O59" s="64"/>
    </row>
    <row r="60" spans="1:15" x14ac:dyDescent="0.25">
      <c r="J60" s="357"/>
      <c r="K60" s="66" t="s">
        <v>331</v>
      </c>
      <c r="L60" s="64"/>
      <c r="M60" s="64"/>
      <c r="N60" s="64"/>
      <c r="O60" s="64"/>
    </row>
    <row r="61" spans="1:15" x14ac:dyDescent="0.25">
      <c r="J61" s="357"/>
      <c r="K61" s="66" t="s">
        <v>332</v>
      </c>
      <c r="L61" s="64"/>
      <c r="M61" s="64"/>
      <c r="N61" s="64"/>
      <c r="O61" s="64"/>
    </row>
    <row r="62" spans="1:15" x14ac:dyDescent="0.25">
      <c r="J62" s="357"/>
      <c r="K62" s="66" t="s">
        <v>333</v>
      </c>
      <c r="L62" s="64"/>
      <c r="M62" s="64"/>
      <c r="N62" s="64"/>
      <c r="O62" s="64"/>
    </row>
    <row r="63" spans="1:15" x14ac:dyDescent="0.25">
      <c r="J63" s="357"/>
      <c r="K63" s="66" t="s">
        <v>334</v>
      </c>
      <c r="L63" s="64"/>
      <c r="M63" s="64"/>
      <c r="N63" s="64"/>
      <c r="O63" s="64"/>
    </row>
    <row r="64" spans="1:15" x14ac:dyDescent="0.25">
      <c r="J64" s="357"/>
      <c r="K64" s="62" t="s">
        <v>335</v>
      </c>
      <c r="L64" s="62" t="e">
        <f>AVERAGE(L52:L63)</f>
        <v>#DIV/0!</v>
      </c>
      <c r="M64" s="62">
        <f>MAX(M52:M63)</f>
        <v>0</v>
      </c>
      <c r="N64" s="62" t="e">
        <f>AVERAGE(N52:N63)</f>
        <v>#DIV/0!</v>
      </c>
      <c r="O64" s="62">
        <f>MAX(O52:O63)</f>
        <v>0</v>
      </c>
    </row>
    <row r="66" spans="10:15" ht="41.4" x14ac:dyDescent="0.25">
      <c r="J66" s="61">
        <f>+A6</f>
        <v>2022</v>
      </c>
      <c r="K66" s="61" t="s">
        <v>317</v>
      </c>
      <c r="L66" s="67" t="s">
        <v>312</v>
      </c>
      <c r="M66" s="67" t="s">
        <v>318</v>
      </c>
      <c r="N66" s="67" t="s">
        <v>315</v>
      </c>
      <c r="O66" s="67" t="s">
        <v>319</v>
      </c>
    </row>
    <row r="67" spans="10:15" x14ac:dyDescent="0.25">
      <c r="J67" s="357" t="s">
        <v>166</v>
      </c>
      <c r="K67" s="66" t="s">
        <v>320</v>
      </c>
      <c r="L67" s="64"/>
      <c r="M67" s="64"/>
      <c r="N67" s="64"/>
      <c r="O67" s="64"/>
    </row>
    <row r="68" spans="10:15" x14ac:dyDescent="0.25">
      <c r="J68" s="357"/>
      <c r="K68" s="66" t="s">
        <v>321</v>
      </c>
      <c r="L68" s="64"/>
      <c r="M68" s="64"/>
      <c r="N68" s="64"/>
      <c r="O68" s="64"/>
    </row>
    <row r="69" spans="10:15" x14ac:dyDescent="0.25">
      <c r="J69" s="357"/>
      <c r="K69" s="66" t="s">
        <v>322</v>
      </c>
      <c r="L69" s="64"/>
      <c r="M69" s="64"/>
      <c r="N69" s="64"/>
      <c r="O69" s="64"/>
    </row>
    <row r="70" spans="10:15" x14ac:dyDescent="0.25">
      <c r="J70" s="357"/>
      <c r="K70" s="66" t="s">
        <v>324</v>
      </c>
      <c r="L70" s="64"/>
      <c r="M70" s="64"/>
      <c r="N70" s="64"/>
      <c r="O70" s="64"/>
    </row>
    <row r="71" spans="10:15" x14ac:dyDescent="0.25">
      <c r="J71" s="357"/>
      <c r="K71" s="66" t="s">
        <v>326</v>
      </c>
      <c r="L71" s="64"/>
      <c r="M71" s="64"/>
      <c r="N71" s="64"/>
      <c r="O71" s="64"/>
    </row>
    <row r="72" spans="10:15" x14ac:dyDescent="0.25">
      <c r="J72" s="357"/>
      <c r="K72" s="66" t="s">
        <v>327</v>
      </c>
      <c r="L72" s="64"/>
      <c r="M72" s="64"/>
      <c r="N72" s="64"/>
      <c r="O72" s="64"/>
    </row>
    <row r="73" spans="10:15" x14ac:dyDescent="0.25">
      <c r="J73" s="357"/>
      <c r="K73" s="66" t="s">
        <v>328</v>
      </c>
      <c r="L73" s="64"/>
      <c r="M73" s="64"/>
      <c r="N73" s="64"/>
      <c r="O73" s="64"/>
    </row>
    <row r="74" spans="10:15" x14ac:dyDescent="0.25">
      <c r="J74" s="357"/>
      <c r="K74" s="66" t="s">
        <v>330</v>
      </c>
      <c r="L74" s="64"/>
      <c r="M74" s="64"/>
      <c r="N74" s="64"/>
      <c r="O74" s="64"/>
    </row>
    <row r="75" spans="10:15" x14ac:dyDescent="0.25">
      <c r="J75" s="357"/>
      <c r="K75" s="66" t="s">
        <v>331</v>
      </c>
      <c r="L75" s="64"/>
      <c r="M75" s="64"/>
      <c r="N75" s="64"/>
      <c r="O75" s="64"/>
    </row>
    <row r="76" spans="10:15" x14ac:dyDescent="0.25">
      <c r="J76" s="357"/>
      <c r="K76" s="66" t="s">
        <v>332</v>
      </c>
      <c r="L76" s="64"/>
      <c r="M76" s="64"/>
      <c r="N76" s="64"/>
      <c r="O76" s="64"/>
    </row>
    <row r="77" spans="10:15" x14ac:dyDescent="0.25">
      <c r="J77" s="357"/>
      <c r="K77" s="66" t="s">
        <v>333</v>
      </c>
      <c r="L77" s="64"/>
      <c r="M77" s="64"/>
      <c r="N77" s="64"/>
      <c r="O77" s="64"/>
    </row>
    <row r="78" spans="10:15" x14ac:dyDescent="0.25">
      <c r="J78" s="357"/>
      <c r="K78" s="66" t="s">
        <v>334</v>
      </c>
      <c r="L78" s="64"/>
      <c r="M78" s="64"/>
      <c r="N78" s="64"/>
      <c r="O78" s="64"/>
    </row>
    <row r="79" spans="10:15" x14ac:dyDescent="0.25">
      <c r="J79" s="357"/>
      <c r="K79" s="62" t="s">
        <v>335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abSelected="1" topLeftCell="C1" zoomScaleNormal="100" workbookViewId="0">
      <selection activeCell="B31" sqref="B31:I3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5" t="str">
        <f>+'Cover Page'!$B$29</f>
        <v>Annual Performance Report 2022</v>
      </c>
      <c r="B1" s="95"/>
      <c r="C1" s="95"/>
      <c r="D1" s="95"/>
      <c r="E1" s="95" t="str">
        <f>+'Cover Page'!$B$33</f>
        <v>Clinitek (Stoke) LLP</v>
      </c>
    </row>
    <row r="3" spans="1:19" ht="14.4" x14ac:dyDescent="0.3">
      <c r="A3" s="60" t="s">
        <v>345</v>
      </c>
      <c r="D3" s="76" t="s">
        <v>304</v>
      </c>
      <c r="G3" s="80" t="s">
        <v>305</v>
      </c>
      <c r="J3" s="9" t="str">
        <f>+A3</f>
        <v>Monitoring of Particulate matter emissions</v>
      </c>
      <c r="L3" s="9"/>
      <c r="N3" s="9" t="s">
        <v>306</v>
      </c>
      <c r="Q3" s="79" t="s">
        <v>2</v>
      </c>
      <c r="R3" s="74"/>
      <c r="S3" s="74"/>
    </row>
    <row r="4" spans="1:19" ht="13.95" customHeight="1" x14ac:dyDescent="0.25">
      <c r="Q4" s="342" t="s">
        <v>307</v>
      </c>
      <c r="R4" s="342"/>
      <c r="S4" s="342"/>
    </row>
    <row r="5" spans="1:19" ht="16.2" x14ac:dyDescent="0.25">
      <c r="A5" s="68" t="s">
        <v>308</v>
      </c>
      <c r="B5" s="359" t="s">
        <v>309</v>
      </c>
      <c r="C5" s="359"/>
      <c r="D5" s="359"/>
      <c r="E5" s="359" t="s">
        <v>310</v>
      </c>
      <c r="F5" s="359"/>
      <c r="G5" s="359"/>
      <c r="J5" s="358"/>
      <c r="K5" s="358"/>
      <c r="L5" s="358"/>
      <c r="M5" s="358"/>
      <c r="N5" s="358"/>
      <c r="O5" s="358"/>
      <c r="Q5" s="342"/>
      <c r="R5" s="342"/>
      <c r="S5" s="342"/>
    </row>
    <row r="6" spans="1:19" s="58" customFormat="1" ht="37.5" customHeight="1" x14ac:dyDescent="0.3">
      <c r="A6" s="65">
        <f>+'Cover Page'!C39</f>
        <v>2022</v>
      </c>
      <c r="B6" s="55" t="s">
        <v>346</v>
      </c>
      <c r="C6" s="55" t="s">
        <v>312</v>
      </c>
      <c r="D6" s="55" t="s">
        <v>313</v>
      </c>
      <c r="E6" s="55" t="s">
        <v>347</v>
      </c>
      <c r="F6" s="55" t="s">
        <v>315</v>
      </c>
      <c r="G6" s="55" t="s">
        <v>316</v>
      </c>
      <c r="H6" s="59"/>
      <c r="J6" s="61">
        <f>+A6</f>
        <v>2022</v>
      </c>
      <c r="K6" s="61" t="s">
        <v>317</v>
      </c>
      <c r="L6" s="67" t="s">
        <v>312</v>
      </c>
      <c r="M6" s="67" t="s">
        <v>318</v>
      </c>
      <c r="N6" s="67" t="s">
        <v>315</v>
      </c>
      <c r="O6" s="67" t="s">
        <v>319</v>
      </c>
      <c r="Q6" s="342"/>
      <c r="R6" s="342"/>
      <c r="S6" s="342"/>
    </row>
    <row r="7" spans="1:19" x14ac:dyDescent="0.25">
      <c r="A7" s="66" t="s">
        <v>320</v>
      </c>
      <c r="B7" s="63">
        <v>30</v>
      </c>
      <c r="C7" s="64"/>
      <c r="D7" s="64"/>
      <c r="E7" s="63">
        <v>5</v>
      </c>
      <c r="F7" s="64"/>
      <c r="G7" s="64"/>
      <c r="J7" s="357" t="s">
        <v>162</v>
      </c>
      <c r="K7" s="66" t="s">
        <v>320</v>
      </c>
      <c r="L7" s="64"/>
      <c r="M7" s="64"/>
      <c r="N7" s="64"/>
      <c r="O7" s="64"/>
      <c r="Q7" s="342"/>
      <c r="R7" s="342"/>
      <c r="S7" s="342"/>
    </row>
    <row r="8" spans="1:19" x14ac:dyDescent="0.25">
      <c r="A8" s="66" t="s">
        <v>321</v>
      </c>
      <c r="B8" s="63">
        <v>30</v>
      </c>
      <c r="C8" s="64"/>
      <c r="D8" s="64"/>
      <c r="E8" s="63">
        <v>5</v>
      </c>
      <c r="F8" s="64"/>
      <c r="G8" s="64"/>
      <c r="J8" s="357"/>
      <c r="K8" s="66" t="s">
        <v>321</v>
      </c>
      <c r="L8" s="64"/>
      <c r="M8" s="64"/>
      <c r="N8" s="64"/>
      <c r="O8" s="64"/>
      <c r="Q8" s="342"/>
      <c r="R8" s="342"/>
      <c r="S8" s="342"/>
    </row>
    <row r="9" spans="1:19" x14ac:dyDescent="0.25">
      <c r="A9" s="66" t="s">
        <v>322</v>
      </c>
      <c r="B9" s="63">
        <v>30</v>
      </c>
      <c r="C9" s="64"/>
      <c r="D9" s="64"/>
      <c r="E9" s="63">
        <v>5</v>
      </c>
      <c r="F9" s="64"/>
      <c r="G9" s="64"/>
      <c r="J9" s="357"/>
      <c r="K9" s="66" t="s">
        <v>322</v>
      </c>
      <c r="L9" s="64"/>
      <c r="M9" s="64"/>
      <c r="N9" s="64"/>
      <c r="O9" s="64"/>
      <c r="Q9" s="78" t="s">
        <v>323</v>
      </c>
    </row>
    <row r="10" spans="1:19" ht="14.25" customHeight="1" x14ac:dyDescent="0.25">
      <c r="A10" s="66" t="s">
        <v>324</v>
      </c>
      <c r="B10" s="63">
        <v>30</v>
      </c>
      <c r="C10" s="64"/>
      <c r="D10" s="64"/>
      <c r="E10" s="63">
        <v>5</v>
      </c>
      <c r="F10" s="64"/>
      <c r="G10" s="64"/>
      <c r="J10" s="357"/>
      <c r="K10" s="66" t="s">
        <v>324</v>
      </c>
      <c r="L10" s="64"/>
      <c r="M10" s="64"/>
      <c r="N10" s="64"/>
      <c r="O10" s="64"/>
      <c r="Q10" s="356" t="s">
        <v>325</v>
      </c>
      <c r="R10" s="356"/>
      <c r="S10" s="356"/>
    </row>
    <row r="11" spans="1:19" x14ac:dyDescent="0.25">
      <c r="A11" s="66" t="s">
        <v>326</v>
      </c>
      <c r="B11" s="63">
        <v>30</v>
      </c>
      <c r="C11" s="64"/>
      <c r="D11" s="64"/>
      <c r="E11" s="63">
        <v>5</v>
      </c>
      <c r="F11" s="64"/>
      <c r="G11" s="64"/>
      <c r="J11" s="357"/>
      <c r="K11" s="66" t="s">
        <v>326</v>
      </c>
      <c r="L11" s="64"/>
      <c r="M11" s="64"/>
      <c r="N11" s="64"/>
      <c r="O11" s="64"/>
      <c r="Q11" s="356"/>
      <c r="R11" s="356"/>
      <c r="S11" s="356"/>
    </row>
    <row r="12" spans="1:19" x14ac:dyDescent="0.25">
      <c r="A12" s="66" t="s">
        <v>327</v>
      </c>
      <c r="B12" s="63">
        <v>30</v>
      </c>
      <c r="C12" s="64"/>
      <c r="D12" s="64"/>
      <c r="E12" s="63">
        <v>5</v>
      </c>
      <c r="F12" s="64"/>
      <c r="G12" s="64"/>
      <c r="J12" s="357"/>
      <c r="K12" s="66" t="s">
        <v>327</v>
      </c>
      <c r="L12" s="64"/>
      <c r="M12" s="64"/>
      <c r="N12" s="64"/>
      <c r="O12" s="64"/>
      <c r="Q12" s="356"/>
      <c r="R12" s="356"/>
      <c r="S12" s="356"/>
    </row>
    <row r="13" spans="1:19" ht="14.25" customHeight="1" x14ac:dyDescent="0.25">
      <c r="A13" s="66" t="s">
        <v>328</v>
      </c>
      <c r="B13" s="63">
        <v>30</v>
      </c>
      <c r="C13" s="64"/>
      <c r="D13" s="64"/>
      <c r="E13" s="63">
        <v>5</v>
      </c>
      <c r="F13" s="64"/>
      <c r="G13" s="64"/>
      <c r="J13" s="357"/>
      <c r="K13" s="66" t="s">
        <v>328</v>
      </c>
      <c r="L13" s="64"/>
      <c r="M13" s="64"/>
      <c r="N13" s="64"/>
      <c r="O13" s="64"/>
      <c r="Q13" s="356" t="s">
        <v>329</v>
      </c>
      <c r="R13" s="356"/>
      <c r="S13" s="356"/>
    </row>
    <row r="14" spans="1:19" x14ac:dyDescent="0.25">
      <c r="A14" s="66" t="s">
        <v>330</v>
      </c>
      <c r="B14" s="63">
        <v>30</v>
      </c>
      <c r="C14" s="64">
        <v>0.98</v>
      </c>
      <c r="D14" s="64">
        <v>3.87</v>
      </c>
      <c r="E14" s="63">
        <v>5</v>
      </c>
      <c r="F14" s="64"/>
      <c r="G14" s="64"/>
      <c r="J14" s="357"/>
      <c r="K14" s="66" t="s">
        <v>330</v>
      </c>
      <c r="L14" s="64">
        <v>0.98</v>
      </c>
      <c r="M14" s="64">
        <v>3.87</v>
      </c>
      <c r="N14" s="64"/>
      <c r="O14" s="64"/>
      <c r="Q14" s="356"/>
      <c r="R14" s="356"/>
      <c r="S14" s="356"/>
    </row>
    <row r="15" spans="1:19" x14ac:dyDescent="0.25">
      <c r="A15" s="66" t="s">
        <v>331</v>
      </c>
      <c r="B15" s="63">
        <v>30</v>
      </c>
      <c r="C15" s="64">
        <v>0.51</v>
      </c>
      <c r="D15" s="64">
        <v>0.79</v>
      </c>
      <c r="E15" s="63">
        <v>5</v>
      </c>
      <c r="F15" s="64">
        <v>0.5</v>
      </c>
      <c r="G15" s="64">
        <v>0.52</v>
      </c>
      <c r="J15" s="357"/>
      <c r="K15" s="66" t="s">
        <v>331</v>
      </c>
      <c r="L15" s="64">
        <v>0.51</v>
      </c>
      <c r="M15" s="64">
        <v>0.79</v>
      </c>
      <c r="N15" s="64">
        <v>0.5</v>
      </c>
      <c r="O15" s="64">
        <v>0.52</v>
      </c>
      <c r="Q15" s="356"/>
      <c r="R15" s="356"/>
      <c r="S15" s="356"/>
    </row>
    <row r="16" spans="1:19" x14ac:dyDescent="0.25">
      <c r="A16" s="66" t="s">
        <v>332</v>
      </c>
      <c r="B16" s="63">
        <v>30</v>
      </c>
      <c r="C16" s="64">
        <v>0.43</v>
      </c>
      <c r="D16" s="64">
        <v>0.56000000000000005</v>
      </c>
      <c r="E16" s="63">
        <v>5</v>
      </c>
      <c r="F16" s="64">
        <v>0.44</v>
      </c>
      <c r="G16" s="64">
        <v>0.44</v>
      </c>
      <c r="J16" s="357"/>
      <c r="K16" s="66" t="s">
        <v>332</v>
      </c>
      <c r="L16" s="64">
        <v>0.43</v>
      </c>
      <c r="M16" s="64">
        <v>0.56000000000000005</v>
      </c>
      <c r="N16" s="64">
        <v>0.44</v>
      </c>
      <c r="O16" s="64">
        <v>0.44</v>
      </c>
      <c r="Q16" s="356"/>
      <c r="R16" s="356"/>
      <c r="S16" s="356"/>
    </row>
    <row r="17" spans="1:15" x14ac:dyDescent="0.25">
      <c r="A17" s="66" t="s">
        <v>333</v>
      </c>
      <c r="B17" s="63">
        <v>30</v>
      </c>
      <c r="C17" s="64">
        <v>0.48</v>
      </c>
      <c r="D17" s="64">
        <v>0.92</v>
      </c>
      <c r="E17" s="63">
        <v>5</v>
      </c>
      <c r="F17" s="64">
        <v>0.49</v>
      </c>
      <c r="G17" s="64">
        <v>0.49</v>
      </c>
      <c r="J17" s="357"/>
      <c r="K17" s="66" t="s">
        <v>333</v>
      </c>
      <c r="L17" s="64">
        <v>0.48</v>
      </c>
      <c r="M17" s="64">
        <v>0.92</v>
      </c>
      <c r="N17" s="64">
        <v>0.49</v>
      </c>
      <c r="O17" s="64">
        <v>0.49</v>
      </c>
    </row>
    <row r="18" spans="1:15" x14ac:dyDescent="0.25">
      <c r="A18" s="66" t="s">
        <v>334</v>
      </c>
      <c r="B18" s="63">
        <v>30</v>
      </c>
      <c r="C18" s="64">
        <v>0.45</v>
      </c>
      <c r="D18" s="64">
        <v>0.66</v>
      </c>
      <c r="E18" s="63">
        <v>5</v>
      </c>
      <c r="F18" s="64">
        <v>0.45</v>
      </c>
      <c r="G18" s="64">
        <v>0.48</v>
      </c>
      <c r="J18" s="357"/>
      <c r="K18" s="66" t="s">
        <v>334</v>
      </c>
      <c r="L18" s="64">
        <v>0.45</v>
      </c>
      <c r="M18" s="64">
        <v>0.66</v>
      </c>
      <c r="N18" s="64">
        <v>0.45</v>
      </c>
      <c r="O18" s="64">
        <v>0.48</v>
      </c>
    </row>
    <row r="19" spans="1:15" x14ac:dyDescent="0.25">
      <c r="J19" s="357"/>
      <c r="K19" s="62" t="s">
        <v>335</v>
      </c>
      <c r="L19" s="62">
        <f>AVERAGE(L7:L18)</f>
        <v>0.57000000000000006</v>
      </c>
      <c r="M19" s="62">
        <f>MAX(M7:M18)</f>
        <v>3.87</v>
      </c>
      <c r="N19" s="62">
        <f>AVERAGE(N7:N18)</f>
        <v>0.47</v>
      </c>
      <c r="O19" s="62">
        <f>MAX(O7:O18)</f>
        <v>0.52</v>
      </c>
    </row>
    <row r="21" spans="1:15" ht="41.4" x14ac:dyDescent="0.25">
      <c r="J21" s="61">
        <f>+A6</f>
        <v>2022</v>
      </c>
      <c r="K21" s="61" t="s">
        <v>317</v>
      </c>
      <c r="L21" s="67" t="s">
        <v>312</v>
      </c>
      <c r="M21" s="67" t="s">
        <v>318</v>
      </c>
      <c r="N21" s="67" t="s">
        <v>315</v>
      </c>
      <c r="O21" s="67" t="s">
        <v>319</v>
      </c>
    </row>
    <row r="22" spans="1:15" x14ac:dyDescent="0.25">
      <c r="J22" s="357" t="s">
        <v>163</v>
      </c>
      <c r="K22" s="66" t="s">
        <v>320</v>
      </c>
      <c r="L22" s="64"/>
      <c r="M22" s="64"/>
      <c r="N22" s="64"/>
      <c r="O22" s="64"/>
    </row>
    <row r="23" spans="1:15" x14ac:dyDescent="0.25">
      <c r="J23" s="357"/>
      <c r="K23" s="66" t="s">
        <v>321</v>
      </c>
      <c r="L23" s="64"/>
      <c r="M23" s="64"/>
      <c r="N23" s="64"/>
      <c r="O23" s="64"/>
    </row>
    <row r="24" spans="1:15" x14ac:dyDescent="0.25">
      <c r="J24" s="357"/>
      <c r="K24" s="66" t="s">
        <v>322</v>
      </c>
      <c r="L24" s="64"/>
      <c r="M24" s="64"/>
      <c r="N24" s="64"/>
      <c r="O24" s="64"/>
    </row>
    <row r="25" spans="1:15" x14ac:dyDescent="0.25">
      <c r="J25" s="357"/>
      <c r="K25" s="66" t="s">
        <v>324</v>
      </c>
      <c r="L25" s="64"/>
      <c r="M25" s="64"/>
      <c r="N25" s="64"/>
      <c r="O25" s="64"/>
    </row>
    <row r="26" spans="1:15" x14ac:dyDescent="0.25">
      <c r="J26" s="357"/>
      <c r="K26" s="66" t="s">
        <v>326</v>
      </c>
      <c r="L26" s="64"/>
      <c r="M26" s="64"/>
      <c r="N26" s="64"/>
      <c r="O26" s="64"/>
    </row>
    <row r="27" spans="1:15" x14ac:dyDescent="0.25">
      <c r="J27" s="357"/>
      <c r="K27" s="66" t="s">
        <v>327</v>
      </c>
      <c r="L27" s="64"/>
      <c r="M27" s="64"/>
      <c r="N27" s="64"/>
      <c r="O27" s="64"/>
    </row>
    <row r="28" spans="1:15" x14ac:dyDescent="0.25">
      <c r="J28" s="357"/>
      <c r="K28" s="66" t="s">
        <v>328</v>
      </c>
      <c r="L28" s="64"/>
      <c r="M28" s="64"/>
      <c r="N28" s="64"/>
      <c r="O28" s="64"/>
    </row>
    <row r="29" spans="1:15" x14ac:dyDescent="0.25">
      <c r="J29" s="357"/>
      <c r="K29" s="66" t="s">
        <v>330</v>
      </c>
      <c r="L29" s="64"/>
      <c r="M29" s="64"/>
      <c r="N29" s="64"/>
      <c r="O29" s="64"/>
    </row>
    <row r="30" spans="1:15" x14ac:dyDescent="0.25">
      <c r="J30" s="357"/>
      <c r="K30" s="66" t="s">
        <v>331</v>
      </c>
      <c r="L30" s="64"/>
      <c r="M30" s="64"/>
      <c r="N30" s="64"/>
      <c r="O30" s="64"/>
    </row>
    <row r="31" spans="1:15" x14ac:dyDescent="0.25">
      <c r="B31" s="35" t="s">
        <v>367</v>
      </c>
      <c r="J31" s="357"/>
      <c r="K31" s="66" t="s">
        <v>332</v>
      </c>
      <c r="L31" s="64"/>
      <c r="M31" s="64"/>
      <c r="N31" s="64"/>
      <c r="O31" s="64"/>
    </row>
    <row r="32" spans="1:15" x14ac:dyDescent="0.25">
      <c r="J32" s="357"/>
      <c r="K32" s="66" t="s">
        <v>333</v>
      </c>
      <c r="L32" s="64"/>
      <c r="M32" s="64"/>
      <c r="N32" s="64"/>
      <c r="O32" s="64"/>
    </row>
    <row r="33" spans="1:15" x14ac:dyDescent="0.25">
      <c r="J33" s="357"/>
      <c r="K33" s="66" t="s">
        <v>334</v>
      </c>
      <c r="L33" s="64"/>
      <c r="M33" s="64"/>
      <c r="N33" s="64"/>
      <c r="O33" s="64"/>
    </row>
    <row r="34" spans="1:15" x14ac:dyDescent="0.25">
      <c r="J34" s="357"/>
      <c r="K34" s="62" t="s">
        <v>335</v>
      </c>
      <c r="L34" s="62" t="e">
        <f>AVERAGE(L22:L33)</f>
        <v>#DIV/0!</v>
      </c>
      <c r="M34" s="62">
        <f>MAX(M22:M33)</f>
        <v>0</v>
      </c>
      <c r="N34" s="62" t="e">
        <f>AVERAGE(N22:N33)</f>
        <v>#DIV/0!</v>
      </c>
      <c r="O34" s="62">
        <f>MAX(O22:O33)</f>
        <v>0</v>
      </c>
    </row>
    <row r="36" spans="1:15" ht="41.4" x14ac:dyDescent="0.25">
      <c r="J36" s="61">
        <f>+A6</f>
        <v>2022</v>
      </c>
      <c r="K36" s="61" t="s">
        <v>317</v>
      </c>
      <c r="L36" s="67" t="s">
        <v>312</v>
      </c>
      <c r="M36" s="67" t="s">
        <v>318</v>
      </c>
      <c r="N36" s="67" t="s">
        <v>315</v>
      </c>
      <c r="O36" s="67" t="s">
        <v>319</v>
      </c>
    </row>
    <row r="37" spans="1:15" x14ac:dyDescent="0.25">
      <c r="J37" s="357" t="s">
        <v>164</v>
      </c>
      <c r="K37" s="66" t="s">
        <v>320</v>
      </c>
      <c r="L37" s="64"/>
      <c r="M37" s="64"/>
      <c r="N37" s="64"/>
      <c r="O37" s="64"/>
    </row>
    <row r="38" spans="1:15" x14ac:dyDescent="0.25">
      <c r="J38" s="357"/>
      <c r="K38" s="66" t="s">
        <v>321</v>
      </c>
      <c r="L38" s="64"/>
      <c r="M38" s="64"/>
      <c r="N38" s="64"/>
      <c r="O38" s="64"/>
    </row>
    <row r="39" spans="1:15" x14ac:dyDescent="0.25">
      <c r="J39" s="357"/>
      <c r="K39" s="66" t="s">
        <v>322</v>
      </c>
      <c r="L39" s="64"/>
      <c r="M39" s="64"/>
      <c r="N39" s="64"/>
      <c r="O39" s="64"/>
    </row>
    <row r="40" spans="1:15" x14ac:dyDescent="0.25">
      <c r="J40" s="357"/>
      <c r="K40" s="66" t="s">
        <v>324</v>
      </c>
      <c r="L40" s="64"/>
      <c r="M40" s="64"/>
      <c r="N40" s="64"/>
      <c r="O40" s="64"/>
    </row>
    <row r="41" spans="1:15" x14ac:dyDescent="0.25">
      <c r="J41" s="357"/>
      <c r="K41" s="66" t="s">
        <v>326</v>
      </c>
      <c r="L41" s="64"/>
      <c r="M41" s="64"/>
      <c r="N41" s="64"/>
      <c r="O41" s="64"/>
    </row>
    <row r="42" spans="1:15" x14ac:dyDescent="0.25">
      <c r="J42" s="357"/>
      <c r="K42" s="66" t="s">
        <v>327</v>
      </c>
      <c r="L42" s="64"/>
      <c r="M42" s="64"/>
      <c r="N42" s="64"/>
      <c r="O42" s="64"/>
    </row>
    <row r="43" spans="1:15" x14ac:dyDescent="0.25">
      <c r="J43" s="357"/>
      <c r="K43" s="66" t="s">
        <v>328</v>
      </c>
      <c r="L43" s="64"/>
      <c r="M43" s="64"/>
      <c r="N43" s="64"/>
      <c r="O43" s="64"/>
    </row>
    <row r="44" spans="1:15" x14ac:dyDescent="0.25">
      <c r="J44" s="357"/>
      <c r="K44" s="66" t="s">
        <v>330</v>
      </c>
      <c r="L44" s="64"/>
      <c r="M44" s="64"/>
      <c r="N44" s="64"/>
      <c r="O44" s="64"/>
    </row>
    <row r="45" spans="1:15" x14ac:dyDescent="0.25">
      <c r="J45" s="357"/>
      <c r="K45" s="66" t="s">
        <v>331</v>
      </c>
      <c r="L45" s="64"/>
      <c r="M45" s="64"/>
      <c r="N45" s="64"/>
      <c r="O45" s="64"/>
    </row>
    <row r="46" spans="1:15" x14ac:dyDescent="0.25">
      <c r="J46" s="357"/>
      <c r="K46" s="66" t="s">
        <v>332</v>
      </c>
      <c r="L46" s="64"/>
      <c r="M46" s="64"/>
      <c r="N46" s="64"/>
      <c r="O46" s="64"/>
    </row>
    <row r="47" spans="1:15" x14ac:dyDescent="0.25">
      <c r="J47" s="357"/>
      <c r="K47" s="66" t="s">
        <v>333</v>
      </c>
      <c r="L47" s="64"/>
      <c r="M47" s="64"/>
      <c r="N47" s="64"/>
      <c r="O47" s="64"/>
    </row>
    <row r="48" spans="1:15" x14ac:dyDescent="0.25">
      <c r="A48" s="369" t="s">
        <v>233</v>
      </c>
      <c r="B48" s="370"/>
      <c r="C48" s="370"/>
      <c r="D48" s="370"/>
      <c r="E48" s="370"/>
      <c r="F48" s="370"/>
      <c r="G48" s="371"/>
      <c r="J48" s="357"/>
      <c r="K48" s="66" t="s">
        <v>334</v>
      </c>
      <c r="L48" s="64"/>
      <c r="M48" s="64"/>
      <c r="N48" s="64"/>
      <c r="O48" s="64"/>
    </row>
    <row r="49" spans="1:15" x14ac:dyDescent="0.25">
      <c r="A49" s="360"/>
      <c r="B49" s="361"/>
      <c r="C49" s="361"/>
      <c r="D49" s="361"/>
      <c r="E49" s="361"/>
      <c r="F49" s="361"/>
      <c r="G49" s="362"/>
      <c r="J49" s="357"/>
      <c r="K49" s="62" t="s">
        <v>335</v>
      </c>
      <c r="L49" s="62" t="e">
        <f>AVERAGE(L37:L48)</f>
        <v>#DIV/0!</v>
      </c>
      <c r="M49" s="62">
        <f>MAX(M37:M48)</f>
        <v>0</v>
      </c>
      <c r="N49" s="62" t="e">
        <f>AVERAGE(N37:N48)</f>
        <v>#DIV/0!</v>
      </c>
      <c r="O49" s="62">
        <f>MAX(O37:O48)</f>
        <v>0</v>
      </c>
    </row>
    <row r="50" spans="1:15" x14ac:dyDescent="0.25">
      <c r="A50" s="363"/>
      <c r="B50" s="364"/>
      <c r="C50" s="364"/>
      <c r="D50" s="364"/>
      <c r="E50" s="364"/>
      <c r="F50" s="364"/>
      <c r="G50" s="365"/>
    </row>
    <row r="51" spans="1:15" ht="41.4" x14ac:dyDescent="0.25">
      <c r="A51" s="363"/>
      <c r="B51" s="364"/>
      <c r="C51" s="364"/>
      <c r="D51" s="364"/>
      <c r="E51" s="364"/>
      <c r="F51" s="364"/>
      <c r="G51" s="365"/>
      <c r="J51" s="61">
        <f>+A6</f>
        <v>2022</v>
      </c>
      <c r="K51" s="61" t="s">
        <v>317</v>
      </c>
      <c r="L51" s="67" t="s">
        <v>312</v>
      </c>
      <c r="M51" s="67" t="s">
        <v>318</v>
      </c>
      <c r="N51" s="67" t="s">
        <v>315</v>
      </c>
      <c r="O51" s="67" t="s">
        <v>319</v>
      </c>
    </row>
    <row r="52" spans="1:15" x14ac:dyDescent="0.25">
      <c r="A52" s="366"/>
      <c r="B52" s="367"/>
      <c r="C52" s="367"/>
      <c r="D52" s="367"/>
      <c r="E52" s="367"/>
      <c r="F52" s="367"/>
      <c r="G52" s="368"/>
      <c r="J52" s="357" t="s">
        <v>165</v>
      </c>
      <c r="K52" s="66" t="s">
        <v>320</v>
      </c>
      <c r="L52" s="64"/>
      <c r="M52" s="64"/>
      <c r="N52" s="64"/>
      <c r="O52" s="64"/>
    </row>
    <row r="53" spans="1:15" x14ac:dyDescent="0.25">
      <c r="J53" s="357"/>
      <c r="K53" s="66" t="s">
        <v>321</v>
      </c>
      <c r="L53" s="64"/>
      <c r="M53" s="64"/>
      <c r="N53" s="64"/>
      <c r="O53" s="64"/>
    </row>
    <row r="54" spans="1:15" x14ac:dyDescent="0.25">
      <c r="J54" s="357"/>
      <c r="K54" s="66" t="s">
        <v>322</v>
      </c>
      <c r="L54" s="64"/>
      <c r="M54" s="64"/>
      <c r="N54" s="64"/>
      <c r="O54" s="64"/>
    </row>
    <row r="55" spans="1:15" x14ac:dyDescent="0.25">
      <c r="J55" s="357"/>
      <c r="K55" s="66" t="s">
        <v>324</v>
      </c>
      <c r="L55" s="64"/>
      <c r="M55" s="64"/>
      <c r="N55" s="64"/>
      <c r="O55" s="64"/>
    </row>
    <row r="56" spans="1:15" x14ac:dyDescent="0.25">
      <c r="J56" s="357"/>
      <c r="K56" s="66" t="s">
        <v>326</v>
      </c>
      <c r="L56" s="64"/>
      <c r="M56" s="64"/>
      <c r="N56" s="64"/>
      <c r="O56" s="64"/>
    </row>
    <row r="57" spans="1:15" x14ac:dyDescent="0.25">
      <c r="J57" s="357"/>
      <c r="K57" s="66" t="s">
        <v>327</v>
      </c>
      <c r="L57" s="64"/>
      <c r="M57" s="64"/>
      <c r="N57" s="64"/>
      <c r="O57" s="64"/>
    </row>
    <row r="58" spans="1:15" x14ac:dyDescent="0.25">
      <c r="J58" s="357"/>
      <c r="K58" s="66" t="s">
        <v>328</v>
      </c>
      <c r="L58" s="64"/>
      <c r="M58" s="64"/>
      <c r="N58" s="64"/>
      <c r="O58" s="64"/>
    </row>
    <row r="59" spans="1:15" x14ac:dyDescent="0.25">
      <c r="J59" s="357"/>
      <c r="K59" s="66" t="s">
        <v>330</v>
      </c>
      <c r="L59" s="64"/>
      <c r="M59" s="64"/>
      <c r="N59" s="64"/>
      <c r="O59" s="64"/>
    </row>
    <row r="60" spans="1:15" x14ac:dyDescent="0.25">
      <c r="J60" s="357"/>
      <c r="K60" s="66" t="s">
        <v>331</v>
      </c>
      <c r="L60" s="64"/>
      <c r="M60" s="64"/>
      <c r="N60" s="64"/>
      <c r="O60" s="64"/>
    </row>
    <row r="61" spans="1:15" x14ac:dyDescent="0.25">
      <c r="J61" s="357"/>
      <c r="K61" s="66" t="s">
        <v>332</v>
      </c>
      <c r="L61" s="64"/>
      <c r="M61" s="64"/>
      <c r="N61" s="64"/>
      <c r="O61" s="64"/>
    </row>
    <row r="62" spans="1:15" x14ac:dyDescent="0.25">
      <c r="J62" s="357"/>
      <c r="K62" s="66" t="s">
        <v>333</v>
      </c>
      <c r="L62" s="64"/>
      <c r="M62" s="64"/>
      <c r="N62" s="64"/>
      <c r="O62" s="64"/>
    </row>
    <row r="63" spans="1:15" x14ac:dyDescent="0.25">
      <c r="J63" s="357"/>
      <c r="K63" s="66" t="s">
        <v>334</v>
      </c>
      <c r="L63" s="64"/>
      <c r="M63" s="64"/>
      <c r="N63" s="64"/>
      <c r="O63" s="64"/>
    </row>
    <row r="64" spans="1:15" x14ac:dyDescent="0.25">
      <c r="J64" s="357"/>
      <c r="K64" s="62" t="s">
        <v>335</v>
      </c>
      <c r="L64" s="62" t="e">
        <f>AVERAGE(L52:L63)</f>
        <v>#DIV/0!</v>
      </c>
      <c r="M64" s="62">
        <f>MAX(M52:M63)</f>
        <v>0</v>
      </c>
      <c r="N64" s="62" t="e">
        <f>AVERAGE(N52:N63)</f>
        <v>#DIV/0!</v>
      </c>
      <c r="O64" s="62">
        <f>MAX(O52:O63)</f>
        <v>0</v>
      </c>
    </row>
    <row r="66" spans="10:15" ht="41.4" x14ac:dyDescent="0.25">
      <c r="J66" s="61">
        <f>+A6</f>
        <v>2022</v>
      </c>
      <c r="K66" s="61" t="s">
        <v>317</v>
      </c>
      <c r="L66" s="67" t="s">
        <v>312</v>
      </c>
      <c r="M66" s="67" t="s">
        <v>318</v>
      </c>
      <c r="N66" s="67" t="s">
        <v>315</v>
      </c>
      <c r="O66" s="67" t="s">
        <v>319</v>
      </c>
    </row>
    <row r="67" spans="10:15" x14ac:dyDescent="0.25">
      <c r="J67" s="357" t="s">
        <v>166</v>
      </c>
      <c r="K67" s="66" t="s">
        <v>320</v>
      </c>
      <c r="L67" s="64"/>
      <c r="M67" s="64"/>
      <c r="N67" s="64"/>
      <c r="O67" s="64"/>
    </row>
    <row r="68" spans="10:15" x14ac:dyDescent="0.25">
      <c r="J68" s="357"/>
      <c r="K68" s="66" t="s">
        <v>321</v>
      </c>
      <c r="L68" s="64"/>
      <c r="M68" s="64"/>
      <c r="N68" s="64"/>
      <c r="O68" s="64"/>
    </row>
    <row r="69" spans="10:15" x14ac:dyDescent="0.25">
      <c r="J69" s="357"/>
      <c r="K69" s="66" t="s">
        <v>322</v>
      </c>
      <c r="L69" s="64"/>
      <c r="M69" s="64"/>
      <c r="N69" s="64"/>
      <c r="O69" s="64"/>
    </row>
    <row r="70" spans="10:15" x14ac:dyDescent="0.25">
      <c r="J70" s="357"/>
      <c r="K70" s="66" t="s">
        <v>324</v>
      </c>
      <c r="L70" s="64"/>
      <c r="M70" s="64"/>
      <c r="N70" s="64"/>
      <c r="O70" s="64"/>
    </row>
    <row r="71" spans="10:15" x14ac:dyDescent="0.25">
      <c r="J71" s="357"/>
      <c r="K71" s="66" t="s">
        <v>326</v>
      </c>
      <c r="L71" s="64"/>
      <c r="M71" s="64"/>
      <c r="N71" s="64"/>
      <c r="O71" s="64"/>
    </row>
    <row r="72" spans="10:15" x14ac:dyDescent="0.25">
      <c r="J72" s="357"/>
      <c r="K72" s="66" t="s">
        <v>327</v>
      </c>
      <c r="L72" s="64"/>
      <c r="M72" s="64"/>
      <c r="N72" s="64"/>
      <c r="O72" s="64"/>
    </row>
    <row r="73" spans="10:15" x14ac:dyDescent="0.25">
      <c r="J73" s="357"/>
      <c r="K73" s="66" t="s">
        <v>328</v>
      </c>
      <c r="L73" s="64"/>
      <c r="M73" s="64"/>
      <c r="N73" s="64"/>
      <c r="O73" s="64"/>
    </row>
    <row r="74" spans="10:15" x14ac:dyDescent="0.25">
      <c r="J74" s="357"/>
      <c r="K74" s="66" t="s">
        <v>330</v>
      </c>
      <c r="L74" s="64"/>
      <c r="M74" s="64"/>
      <c r="N74" s="64"/>
      <c r="O74" s="64"/>
    </row>
    <row r="75" spans="10:15" x14ac:dyDescent="0.25">
      <c r="J75" s="357"/>
      <c r="K75" s="66" t="s">
        <v>331</v>
      </c>
      <c r="L75" s="64"/>
      <c r="M75" s="64"/>
      <c r="N75" s="64"/>
      <c r="O75" s="64"/>
    </row>
    <row r="76" spans="10:15" x14ac:dyDescent="0.25">
      <c r="J76" s="357"/>
      <c r="K76" s="66" t="s">
        <v>332</v>
      </c>
      <c r="L76" s="64"/>
      <c r="M76" s="64"/>
      <c r="N76" s="64"/>
      <c r="O76" s="64"/>
    </row>
    <row r="77" spans="10:15" x14ac:dyDescent="0.25">
      <c r="J77" s="357"/>
      <c r="K77" s="66" t="s">
        <v>333</v>
      </c>
      <c r="L77" s="64"/>
      <c r="M77" s="64"/>
      <c r="N77" s="64"/>
      <c r="O77" s="64"/>
    </row>
    <row r="78" spans="10:15" x14ac:dyDescent="0.25">
      <c r="J78" s="357"/>
      <c r="K78" s="66" t="s">
        <v>334</v>
      </c>
      <c r="L78" s="64"/>
      <c r="M78" s="64"/>
      <c r="N78" s="64"/>
      <c r="O78" s="64"/>
    </row>
    <row r="79" spans="10:15" x14ac:dyDescent="0.25">
      <c r="J79" s="357"/>
      <c r="K79" s="62" t="s">
        <v>335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showGridLines="0" tabSelected="1" topLeftCell="D1" zoomScaleNormal="100" workbookViewId="0">
      <selection activeCell="B31" sqref="B31:I3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5" t="str">
        <f>+'Cover Page'!$B$29</f>
        <v>Annual Performance Report 2022</v>
      </c>
      <c r="B1" s="95"/>
      <c r="C1" s="95"/>
      <c r="D1" s="95"/>
      <c r="E1" s="95" t="str">
        <f>+'Cover Page'!$B$33</f>
        <v>Clinitek (Stoke) LLP</v>
      </c>
    </row>
    <row r="3" spans="1:19" ht="14.4" x14ac:dyDescent="0.3">
      <c r="A3" s="60" t="s">
        <v>348</v>
      </c>
      <c r="D3" s="76" t="s">
        <v>304</v>
      </c>
      <c r="G3" s="80" t="s">
        <v>305</v>
      </c>
      <c r="J3" s="9" t="str">
        <f>+A3</f>
        <v>Monitoring of Carbon Monoxide (half hourly)</v>
      </c>
      <c r="L3" s="9"/>
      <c r="N3" s="9" t="s">
        <v>306</v>
      </c>
      <c r="Q3" s="79" t="s">
        <v>2</v>
      </c>
      <c r="R3" s="74"/>
      <c r="S3" s="74"/>
    </row>
    <row r="4" spans="1:19" ht="13.95" customHeight="1" x14ac:dyDescent="0.25">
      <c r="Q4" s="342" t="s">
        <v>307</v>
      </c>
      <c r="R4" s="342"/>
      <c r="S4" s="342"/>
    </row>
    <row r="5" spans="1:19" ht="16.2" x14ac:dyDescent="0.25">
      <c r="A5" s="68" t="s">
        <v>308</v>
      </c>
      <c r="B5" s="359" t="s">
        <v>309</v>
      </c>
      <c r="C5" s="359"/>
      <c r="D5" s="359"/>
      <c r="E5" s="359" t="s">
        <v>310</v>
      </c>
      <c r="F5" s="359"/>
      <c r="G5" s="359"/>
      <c r="J5" s="358"/>
      <c r="K5" s="358"/>
      <c r="L5" s="358"/>
      <c r="M5" s="358"/>
      <c r="N5" s="358"/>
      <c r="O5" s="358"/>
      <c r="Q5" s="342"/>
      <c r="R5" s="342"/>
      <c r="S5" s="342"/>
    </row>
    <row r="6" spans="1:19" s="58" customFormat="1" ht="37.5" customHeight="1" x14ac:dyDescent="0.3">
      <c r="A6" s="65">
        <f>+'Cover Page'!C39</f>
        <v>2022</v>
      </c>
      <c r="B6" s="55" t="s">
        <v>349</v>
      </c>
      <c r="C6" s="55" t="s">
        <v>312</v>
      </c>
      <c r="D6" s="55" t="s">
        <v>313</v>
      </c>
      <c r="E6" s="55" t="s">
        <v>350</v>
      </c>
      <c r="F6" s="55" t="s">
        <v>315</v>
      </c>
      <c r="G6" s="55" t="s">
        <v>316</v>
      </c>
      <c r="H6" s="59"/>
      <c r="J6" s="61">
        <f>+A6</f>
        <v>2022</v>
      </c>
      <c r="K6" s="61" t="s">
        <v>317</v>
      </c>
      <c r="L6" s="67" t="s">
        <v>312</v>
      </c>
      <c r="M6" s="67" t="s">
        <v>318</v>
      </c>
      <c r="N6" s="67" t="s">
        <v>315</v>
      </c>
      <c r="O6" s="67" t="s">
        <v>319</v>
      </c>
      <c r="Q6" s="342"/>
      <c r="R6" s="342"/>
      <c r="S6" s="342"/>
    </row>
    <row r="7" spans="1:19" x14ac:dyDescent="0.25">
      <c r="A7" s="66" t="s">
        <v>320</v>
      </c>
      <c r="B7" s="69">
        <v>0</v>
      </c>
      <c r="C7" s="64"/>
      <c r="D7" s="64"/>
      <c r="E7" s="69">
        <v>50</v>
      </c>
      <c r="F7" s="64"/>
      <c r="G7" s="64"/>
      <c r="J7" s="357" t="s">
        <v>162</v>
      </c>
      <c r="K7" s="66" t="s">
        <v>320</v>
      </c>
      <c r="L7" s="64"/>
      <c r="M7" s="64"/>
      <c r="N7" s="64"/>
      <c r="O7" s="64"/>
      <c r="Q7" s="342"/>
      <c r="R7" s="342"/>
      <c r="S7" s="342"/>
    </row>
    <row r="8" spans="1:19" x14ac:dyDescent="0.25">
      <c r="A8" s="66" t="s">
        <v>321</v>
      </c>
      <c r="B8" s="63">
        <f>+B7</f>
        <v>0</v>
      </c>
      <c r="C8" s="64"/>
      <c r="D8" s="64"/>
      <c r="E8" s="63">
        <f>+E7</f>
        <v>50</v>
      </c>
      <c r="F8" s="64"/>
      <c r="G8" s="64"/>
      <c r="J8" s="357"/>
      <c r="K8" s="66" t="s">
        <v>321</v>
      </c>
      <c r="L8" s="64"/>
      <c r="M8" s="64"/>
      <c r="N8" s="64"/>
      <c r="O8" s="64"/>
      <c r="Q8" s="342"/>
      <c r="R8" s="342"/>
      <c r="S8" s="342"/>
    </row>
    <row r="9" spans="1:19" x14ac:dyDescent="0.25">
      <c r="A9" s="66" t="s">
        <v>322</v>
      </c>
      <c r="B9" s="63">
        <f t="shared" ref="B9:B18" si="0">+B8</f>
        <v>0</v>
      </c>
      <c r="C9" s="64"/>
      <c r="D9" s="64"/>
      <c r="E9" s="63">
        <f t="shared" ref="E9:E18" si="1">+E8</f>
        <v>50</v>
      </c>
      <c r="F9" s="64"/>
      <c r="G9" s="64"/>
      <c r="J9" s="357"/>
      <c r="K9" s="66" t="s">
        <v>322</v>
      </c>
      <c r="L9" s="64"/>
      <c r="M9" s="64"/>
      <c r="N9" s="64"/>
      <c r="O9" s="64"/>
      <c r="Q9" s="78" t="s">
        <v>323</v>
      </c>
    </row>
    <row r="10" spans="1:19" ht="14.25" customHeight="1" x14ac:dyDescent="0.25">
      <c r="A10" s="66" t="s">
        <v>324</v>
      </c>
      <c r="B10" s="63">
        <f t="shared" si="0"/>
        <v>0</v>
      </c>
      <c r="C10" s="64"/>
      <c r="D10" s="64"/>
      <c r="E10" s="63">
        <f t="shared" si="1"/>
        <v>50</v>
      </c>
      <c r="F10" s="64"/>
      <c r="G10" s="64"/>
      <c r="J10" s="357"/>
      <c r="K10" s="66" t="s">
        <v>324</v>
      </c>
      <c r="L10" s="64"/>
      <c r="M10" s="64"/>
      <c r="N10" s="64"/>
      <c r="O10" s="64"/>
      <c r="Q10" s="356" t="s">
        <v>325</v>
      </c>
      <c r="R10" s="356"/>
      <c r="S10" s="356"/>
    </row>
    <row r="11" spans="1:19" x14ac:dyDescent="0.25">
      <c r="A11" s="66" t="s">
        <v>326</v>
      </c>
      <c r="B11" s="63">
        <f t="shared" si="0"/>
        <v>0</v>
      </c>
      <c r="C11" s="64"/>
      <c r="D11" s="64"/>
      <c r="E11" s="63">
        <f t="shared" si="1"/>
        <v>50</v>
      </c>
      <c r="F11" s="64"/>
      <c r="G11" s="64"/>
      <c r="J11" s="357"/>
      <c r="K11" s="66" t="s">
        <v>326</v>
      </c>
      <c r="L11" s="64"/>
      <c r="M11" s="64"/>
      <c r="N11" s="64"/>
      <c r="O11" s="64"/>
      <c r="Q11" s="356"/>
      <c r="R11" s="356"/>
      <c r="S11" s="356"/>
    </row>
    <row r="12" spans="1:19" x14ac:dyDescent="0.25">
      <c r="A12" s="66" t="s">
        <v>327</v>
      </c>
      <c r="B12" s="63">
        <f t="shared" si="0"/>
        <v>0</v>
      </c>
      <c r="C12" s="64"/>
      <c r="D12" s="64"/>
      <c r="E12" s="63">
        <f t="shared" si="1"/>
        <v>50</v>
      </c>
      <c r="F12" s="64"/>
      <c r="G12" s="64"/>
      <c r="J12" s="357"/>
      <c r="K12" s="66" t="s">
        <v>327</v>
      </c>
      <c r="L12" s="64"/>
      <c r="M12" s="64"/>
      <c r="N12" s="64"/>
      <c r="O12" s="64"/>
      <c r="Q12" s="356"/>
      <c r="R12" s="356"/>
      <c r="S12" s="356"/>
    </row>
    <row r="13" spans="1:19" ht="14.25" customHeight="1" x14ac:dyDescent="0.25">
      <c r="A13" s="66" t="s">
        <v>328</v>
      </c>
      <c r="B13" s="63">
        <f t="shared" si="0"/>
        <v>0</v>
      </c>
      <c r="C13" s="64"/>
      <c r="D13" s="64"/>
      <c r="E13" s="63">
        <f t="shared" si="1"/>
        <v>50</v>
      </c>
      <c r="F13" s="64"/>
      <c r="G13" s="64"/>
      <c r="J13" s="357"/>
      <c r="K13" s="66" t="s">
        <v>328</v>
      </c>
      <c r="L13" s="64"/>
      <c r="M13" s="64"/>
      <c r="N13" s="64"/>
      <c r="O13" s="64"/>
      <c r="Q13" s="356" t="s">
        <v>329</v>
      </c>
      <c r="R13" s="356"/>
      <c r="S13" s="356"/>
    </row>
    <row r="14" spans="1:19" x14ac:dyDescent="0.25">
      <c r="A14" s="66" t="s">
        <v>330</v>
      </c>
      <c r="B14" s="63">
        <f t="shared" si="0"/>
        <v>0</v>
      </c>
      <c r="C14" s="64">
        <v>39.06</v>
      </c>
      <c r="D14" s="64">
        <v>214.22</v>
      </c>
      <c r="E14" s="63">
        <f t="shared" si="1"/>
        <v>50</v>
      </c>
      <c r="F14" s="64"/>
      <c r="G14" s="64"/>
      <c r="J14" s="357"/>
      <c r="K14" s="66" t="s">
        <v>330</v>
      </c>
      <c r="L14" s="64">
        <v>39.06</v>
      </c>
      <c r="M14" s="64">
        <v>214.22</v>
      </c>
      <c r="N14" s="64"/>
      <c r="O14" s="64"/>
      <c r="Q14" s="356"/>
      <c r="R14" s="356"/>
      <c r="S14" s="356"/>
    </row>
    <row r="15" spans="1:19" x14ac:dyDescent="0.25">
      <c r="A15" s="66" t="s">
        <v>331</v>
      </c>
      <c r="B15" s="63">
        <f t="shared" si="0"/>
        <v>0</v>
      </c>
      <c r="C15" s="64">
        <v>25.25</v>
      </c>
      <c r="D15" s="64">
        <v>201.86</v>
      </c>
      <c r="E15" s="63">
        <f t="shared" si="1"/>
        <v>50</v>
      </c>
      <c r="F15" s="64">
        <v>18.600000000000001</v>
      </c>
      <c r="G15" s="64">
        <v>20.12</v>
      </c>
      <c r="J15" s="357"/>
      <c r="K15" s="66" t="s">
        <v>331</v>
      </c>
      <c r="L15" s="64">
        <v>25.25</v>
      </c>
      <c r="M15" s="64">
        <v>201.86</v>
      </c>
      <c r="N15" s="64">
        <v>18.600000000000001</v>
      </c>
      <c r="O15" s="64">
        <v>20.12</v>
      </c>
      <c r="Q15" s="356"/>
      <c r="R15" s="356"/>
      <c r="S15" s="356"/>
    </row>
    <row r="16" spans="1:19" x14ac:dyDescent="0.25">
      <c r="A16" s="66" t="s">
        <v>332</v>
      </c>
      <c r="B16" s="63">
        <f t="shared" si="0"/>
        <v>0</v>
      </c>
      <c r="C16" s="64">
        <v>16.61</v>
      </c>
      <c r="D16" s="64">
        <v>29.92</v>
      </c>
      <c r="E16" s="63">
        <f t="shared" si="1"/>
        <v>50</v>
      </c>
      <c r="F16" s="64">
        <v>16.059999999999999</v>
      </c>
      <c r="G16" s="64">
        <v>16.059999999999999</v>
      </c>
      <c r="J16" s="357"/>
      <c r="K16" s="66" t="s">
        <v>332</v>
      </c>
      <c r="L16" s="64">
        <v>16.61</v>
      </c>
      <c r="M16" s="64">
        <v>29.92</v>
      </c>
      <c r="N16" s="64">
        <v>16.059999999999999</v>
      </c>
      <c r="O16" s="64">
        <v>16.059999999999999</v>
      </c>
      <c r="Q16" s="356"/>
      <c r="R16" s="356"/>
      <c r="S16" s="356"/>
    </row>
    <row r="17" spans="1:15" x14ac:dyDescent="0.25">
      <c r="A17" s="66" t="s">
        <v>333</v>
      </c>
      <c r="B17" s="63">
        <f t="shared" si="0"/>
        <v>0</v>
      </c>
      <c r="C17" s="64">
        <v>13.54</v>
      </c>
      <c r="D17" s="64">
        <v>38.01</v>
      </c>
      <c r="E17" s="63">
        <f t="shared" si="1"/>
        <v>50</v>
      </c>
      <c r="F17" s="64">
        <v>15.3</v>
      </c>
      <c r="G17" s="64">
        <v>15.3</v>
      </c>
      <c r="J17" s="357"/>
      <c r="K17" s="66" t="s">
        <v>333</v>
      </c>
      <c r="L17" s="64">
        <v>13.54</v>
      </c>
      <c r="M17" s="64">
        <v>38.01</v>
      </c>
      <c r="N17" s="64">
        <v>15.3</v>
      </c>
      <c r="O17" s="64">
        <v>15.3</v>
      </c>
    </row>
    <row r="18" spans="1:15" x14ac:dyDescent="0.25">
      <c r="A18" s="66" t="s">
        <v>334</v>
      </c>
      <c r="B18" s="63">
        <f t="shared" si="0"/>
        <v>0</v>
      </c>
      <c r="C18" s="64">
        <v>11.41</v>
      </c>
      <c r="D18" s="64">
        <v>426.24</v>
      </c>
      <c r="E18" s="63">
        <f t="shared" si="1"/>
        <v>50</v>
      </c>
      <c r="F18" s="64">
        <v>12.73</v>
      </c>
      <c r="G18" s="64">
        <v>18.55</v>
      </c>
      <c r="J18" s="357"/>
      <c r="K18" s="66" t="s">
        <v>334</v>
      </c>
      <c r="L18" s="64">
        <v>11.41</v>
      </c>
      <c r="M18" s="64">
        <v>426.24</v>
      </c>
      <c r="N18" s="64">
        <v>12.73</v>
      </c>
      <c r="O18" s="64">
        <v>18.55</v>
      </c>
    </row>
    <row r="19" spans="1:15" x14ac:dyDescent="0.25">
      <c r="J19" s="357"/>
      <c r="K19" s="62" t="s">
        <v>335</v>
      </c>
      <c r="L19" s="62">
        <f>AVERAGE(L7:L18)</f>
        <v>21.173999999999999</v>
      </c>
      <c r="M19" s="62">
        <f>MAX(M7:M18)</f>
        <v>426.24</v>
      </c>
      <c r="N19" s="62">
        <f>AVERAGE(N7:N18)</f>
        <v>15.672499999999999</v>
      </c>
      <c r="O19" s="62">
        <f>MAX(O7:O18)</f>
        <v>20.12</v>
      </c>
    </row>
    <row r="21" spans="1:15" ht="41.4" x14ac:dyDescent="0.25">
      <c r="J21" s="61">
        <f>+A6</f>
        <v>2022</v>
      </c>
      <c r="K21" s="61" t="s">
        <v>317</v>
      </c>
      <c r="L21" s="67" t="s">
        <v>312</v>
      </c>
      <c r="M21" s="67" t="s">
        <v>318</v>
      </c>
      <c r="N21" s="67" t="s">
        <v>315</v>
      </c>
      <c r="O21" s="67" t="s">
        <v>319</v>
      </c>
    </row>
    <row r="22" spans="1:15" x14ac:dyDescent="0.25">
      <c r="J22" s="357" t="s">
        <v>163</v>
      </c>
      <c r="K22" s="66" t="s">
        <v>320</v>
      </c>
      <c r="L22" s="64"/>
      <c r="M22" s="64"/>
      <c r="N22" s="64"/>
      <c r="O22" s="64"/>
    </row>
    <row r="23" spans="1:15" x14ac:dyDescent="0.25">
      <c r="J23" s="357"/>
      <c r="K23" s="66" t="s">
        <v>321</v>
      </c>
      <c r="L23" s="64"/>
      <c r="M23" s="64"/>
      <c r="N23" s="64"/>
      <c r="O23" s="64"/>
    </row>
    <row r="24" spans="1:15" x14ac:dyDescent="0.25">
      <c r="J24" s="357"/>
      <c r="K24" s="66" t="s">
        <v>322</v>
      </c>
      <c r="L24" s="64"/>
      <c r="M24" s="64"/>
      <c r="N24" s="64"/>
      <c r="O24" s="64"/>
    </row>
    <row r="25" spans="1:15" x14ac:dyDescent="0.25">
      <c r="J25" s="357"/>
      <c r="K25" s="66" t="s">
        <v>324</v>
      </c>
      <c r="L25" s="64"/>
      <c r="M25" s="64"/>
      <c r="N25" s="64"/>
      <c r="O25" s="64"/>
    </row>
    <row r="26" spans="1:15" x14ac:dyDescent="0.25">
      <c r="J26" s="357"/>
      <c r="K26" s="66" t="s">
        <v>326</v>
      </c>
      <c r="L26" s="64"/>
      <c r="M26" s="64"/>
      <c r="N26" s="64"/>
      <c r="O26" s="64"/>
    </row>
    <row r="27" spans="1:15" x14ac:dyDescent="0.25">
      <c r="J27" s="357"/>
      <c r="K27" s="66" t="s">
        <v>327</v>
      </c>
      <c r="L27" s="64"/>
      <c r="M27" s="64"/>
      <c r="N27" s="64"/>
      <c r="O27" s="64"/>
    </row>
    <row r="28" spans="1:15" x14ac:dyDescent="0.25">
      <c r="J28" s="357"/>
      <c r="K28" s="66" t="s">
        <v>328</v>
      </c>
      <c r="L28" s="64"/>
      <c r="M28" s="64"/>
      <c r="N28" s="64"/>
      <c r="O28" s="64"/>
    </row>
    <row r="29" spans="1:15" x14ac:dyDescent="0.25">
      <c r="J29" s="357"/>
      <c r="K29" s="66" t="s">
        <v>330</v>
      </c>
      <c r="L29" s="64"/>
      <c r="M29" s="64"/>
      <c r="N29" s="64"/>
      <c r="O29" s="64"/>
    </row>
    <row r="30" spans="1:15" x14ac:dyDescent="0.25">
      <c r="J30" s="357"/>
      <c r="K30" s="66" t="s">
        <v>331</v>
      </c>
      <c r="L30" s="64"/>
      <c r="M30" s="64"/>
      <c r="N30" s="64"/>
      <c r="O30" s="64"/>
    </row>
    <row r="31" spans="1:15" x14ac:dyDescent="0.25">
      <c r="B31" s="35" t="s">
        <v>367</v>
      </c>
      <c r="J31" s="357"/>
      <c r="K31" s="66" t="s">
        <v>332</v>
      </c>
      <c r="L31" s="64"/>
      <c r="M31" s="64"/>
      <c r="N31" s="64"/>
      <c r="O31" s="64"/>
    </row>
    <row r="32" spans="1:15" x14ac:dyDescent="0.25">
      <c r="J32" s="357"/>
      <c r="K32" s="66" t="s">
        <v>333</v>
      </c>
      <c r="L32" s="64"/>
      <c r="M32" s="64"/>
      <c r="N32" s="64"/>
      <c r="O32" s="64"/>
    </row>
    <row r="33" spans="1:15" x14ac:dyDescent="0.25">
      <c r="J33" s="357"/>
      <c r="K33" s="66" t="s">
        <v>334</v>
      </c>
      <c r="L33" s="64"/>
      <c r="M33" s="64"/>
      <c r="N33" s="64"/>
      <c r="O33" s="64"/>
    </row>
    <row r="34" spans="1:15" x14ac:dyDescent="0.25">
      <c r="J34" s="357"/>
      <c r="K34" s="62" t="s">
        <v>335</v>
      </c>
      <c r="L34" s="62" t="e">
        <f>AVERAGE(L22:L33)</f>
        <v>#DIV/0!</v>
      </c>
      <c r="M34" s="62">
        <f>MAX(M22:M33)</f>
        <v>0</v>
      </c>
      <c r="N34" s="62" t="e">
        <f>AVERAGE(N22:N33)</f>
        <v>#DIV/0!</v>
      </c>
      <c r="O34" s="62">
        <f>MAX(O22:O33)</f>
        <v>0</v>
      </c>
    </row>
    <row r="36" spans="1:15" ht="41.4" x14ac:dyDescent="0.25">
      <c r="J36" s="61">
        <f>+A6</f>
        <v>2022</v>
      </c>
      <c r="K36" s="61" t="s">
        <v>317</v>
      </c>
      <c r="L36" s="67" t="s">
        <v>312</v>
      </c>
      <c r="M36" s="67" t="s">
        <v>318</v>
      </c>
      <c r="N36" s="67" t="s">
        <v>315</v>
      </c>
      <c r="O36" s="67" t="s">
        <v>319</v>
      </c>
    </row>
    <row r="37" spans="1:15" x14ac:dyDescent="0.25">
      <c r="J37" s="357" t="s">
        <v>164</v>
      </c>
      <c r="K37" s="66" t="s">
        <v>320</v>
      </c>
      <c r="L37" s="64"/>
      <c r="M37" s="64"/>
      <c r="N37" s="64"/>
      <c r="O37" s="64"/>
    </row>
    <row r="38" spans="1:15" x14ac:dyDescent="0.25">
      <c r="J38" s="357"/>
      <c r="K38" s="66" t="s">
        <v>321</v>
      </c>
      <c r="L38" s="64"/>
      <c r="M38" s="64"/>
      <c r="N38" s="64"/>
      <c r="O38" s="64"/>
    </row>
    <row r="39" spans="1:15" x14ac:dyDescent="0.25">
      <c r="J39" s="357"/>
      <c r="K39" s="66" t="s">
        <v>322</v>
      </c>
      <c r="L39" s="64"/>
      <c r="M39" s="64"/>
      <c r="N39" s="64"/>
      <c r="O39" s="64"/>
    </row>
    <row r="40" spans="1:15" x14ac:dyDescent="0.25">
      <c r="J40" s="357"/>
      <c r="K40" s="66" t="s">
        <v>324</v>
      </c>
      <c r="L40" s="64"/>
      <c r="M40" s="64"/>
      <c r="N40" s="64"/>
      <c r="O40" s="64"/>
    </row>
    <row r="41" spans="1:15" x14ac:dyDescent="0.25">
      <c r="J41" s="357"/>
      <c r="K41" s="66" t="s">
        <v>326</v>
      </c>
      <c r="L41" s="64"/>
      <c r="M41" s="64"/>
      <c r="N41" s="64"/>
      <c r="O41" s="64"/>
    </row>
    <row r="42" spans="1:15" x14ac:dyDescent="0.25">
      <c r="J42" s="357"/>
      <c r="K42" s="66" t="s">
        <v>327</v>
      </c>
      <c r="L42" s="64"/>
      <c r="M42" s="64"/>
      <c r="N42" s="64"/>
      <c r="O42" s="64"/>
    </row>
    <row r="43" spans="1:15" x14ac:dyDescent="0.25">
      <c r="J43" s="357"/>
      <c r="K43" s="66" t="s">
        <v>328</v>
      </c>
      <c r="L43" s="64"/>
      <c r="M43" s="64"/>
      <c r="N43" s="64"/>
      <c r="O43" s="64"/>
    </row>
    <row r="44" spans="1:15" x14ac:dyDescent="0.25">
      <c r="J44" s="357"/>
      <c r="K44" s="66" t="s">
        <v>330</v>
      </c>
      <c r="L44" s="64"/>
      <c r="M44" s="64"/>
      <c r="N44" s="64"/>
      <c r="O44" s="64"/>
    </row>
    <row r="45" spans="1:15" x14ac:dyDescent="0.25">
      <c r="J45" s="357"/>
      <c r="K45" s="66" t="s">
        <v>331</v>
      </c>
      <c r="L45" s="64"/>
      <c r="M45" s="64"/>
      <c r="N45" s="64"/>
      <c r="O45" s="64"/>
    </row>
    <row r="46" spans="1:15" x14ac:dyDescent="0.25">
      <c r="J46" s="357"/>
      <c r="K46" s="66" t="s">
        <v>332</v>
      </c>
      <c r="L46" s="64"/>
      <c r="M46" s="64"/>
      <c r="N46" s="64"/>
      <c r="O46" s="64"/>
    </row>
    <row r="47" spans="1:15" x14ac:dyDescent="0.25">
      <c r="J47" s="357"/>
      <c r="K47" s="66" t="s">
        <v>333</v>
      </c>
      <c r="L47" s="64"/>
      <c r="M47" s="64"/>
      <c r="N47" s="64"/>
      <c r="O47" s="64"/>
    </row>
    <row r="48" spans="1:15" x14ac:dyDescent="0.25">
      <c r="A48" s="369" t="s">
        <v>233</v>
      </c>
      <c r="B48" s="370"/>
      <c r="C48" s="370"/>
      <c r="D48" s="370"/>
      <c r="E48" s="370"/>
      <c r="F48" s="370"/>
      <c r="G48" s="371"/>
      <c r="J48" s="357"/>
      <c r="K48" s="66" t="s">
        <v>334</v>
      </c>
      <c r="L48" s="64"/>
      <c r="M48" s="64"/>
      <c r="N48" s="64"/>
      <c r="O48" s="64"/>
    </row>
    <row r="49" spans="1:15" x14ac:dyDescent="0.25">
      <c r="A49" s="360" t="s">
        <v>428</v>
      </c>
      <c r="B49" s="361"/>
      <c r="C49" s="361"/>
      <c r="D49" s="361"/>
      <c r="E49" s="361"/>
      <c r="F49" s="361"/>
      <c r="G49" s="362"/>
      <c r="J49" s="357"/>
      <c r="K49" s="62" t="s">
        <v>335</v>
      </c>
      <c r="L49" s="62" t="e">
        <f>AVERAGE(L37:L48)</f>
        <v>#DIV/0!</v>
      </c>
      <c r="M49" s="62">
        <f>MAX(M37:M48)</f>
        <v>0</v>
      </c>
      <c r="N49" s="62" t="e">
        <f>AVERAGE(N37:N48)</f>
        <v>#DIV/0!</v>
      </c>
      <c r="O49" s="62">
        <f>MAX(O37:O48)</f>
        <v>0</v>
      </c>
    </row>
    <row r="50" spans="1:15" x14ac:dyDescent="0.25">
      <c r="A50" s="363"/>
      <c r="B50" s="364"/>
      <c r="C50" s="364"/>
      <c r="D50" s="364"/>
      <c r="E50" s="364"/>
      <c r="F50" s="364"/>
      <c r="G50" s="365"/>
    </row>
    <row r="51" spans="1:15" ht="41.4" x14ac:dyDescent="0.25">
      <c r="A51" s="363"/>
      <c r="B51" s="364"/>
      <c r="C51" s="364"/>
      <c r="D51" s="364"/>
      <c r="E51" s="364"/>
      <c r="F51" s="364"/>
      <c r="G51" s="365"/>
      <c r="J51" s="61">
        <f>+A6</f>
        <v>2022</v>
      </c>
      <c r="K51" s="61" t="s">
        <v>317</v>
      </c>
      <c r="L51" s="67" t="s">
        <v>312</v>
      </c>
      <c r="M51" s="67" t="s">
        <v>318</v>
      </c>
      <c r="N51" s="67" t="s">
        <v>315</v>
      </c>
      <c r="O51" s="67" t="s">
        <v>319</v>
      </c>
    </row>
    <row r="52" spans="1:15" x14ac:dyDescent="0.25">
      <c r="A52" s="366"/>
      <c r="B52" s="367"/>
      <c r="C52" s="367"/>
      <c r="D52" s="367"/>
      <c r="E52" s="367"/>
      <c r="F52" s="367"/>
      <c r="G52" s="368"/>
      <c r="J52" s="357" t="s">
        <v>165</v>
      </c>
      <c r="K52" s="66" t="s">
        <v>320</v>
      </c>
      <c r="L52" s="64"/>
      <c r="M52" s="64"/>
      <c r="N52" s="64"/>
      <c r="O52" s="64"/>
    </row>
    <row r="53" spans="1:15" x14ac:dyDescent="0.25">
      <c r="J53" s="357"/>
      <c r="K53" s="66" t="s">
        <v>321</v>
      </c>
      <c r="L53" s="64"/>
      <c r="M53" s="64"/>
      <c r="N53" s="64"/>
      <c r="O53" s="64"/>
    </row>
    <row r="54" spans="1:15" x14ac:dyDescent="0.25">
      <c r="J54" s="357"/>
      <c r="K54" s="66" t="s">
        <v>322</v>
      </c>
      <c r="L54" s="64"/>
      <c r="M54" s="64"/>
      <c r="N54" s="64"/>
      <c r="O54" s="64"/>
    </row>
    <row r="55" spans="1:15" x14ac:dyDescent="0.25">
      <c r="J55" s="357"/>
      <c r="K55" s="66" t="s">
        <v>324</v>
      </c>
      <c r="L55" s="64"/>
      <c r="M55" s="64"/>
      <c r="N55" s="64"/>
      <c r="O55" s="64"/>
    </row>
    <row r="56" spans="1:15" x14ac:dyDescent="0.25">
      <c r="J56" s="357"/>
      <c r="K56" s="66" t="s">
        <v>326</v>
      </c>
      <c r="L56" s="64"/>
      <c r="M56" s="64"/>
      <c r="N56" s="64"/>
      <c r="O56" s="64"/>
    </row>
    <row r="57" spans="1:15" x14ac:dyDescent="0.25">
      <c r="J57" s="357"/>
      <c r="K57" s="66" t="s">
        <v>327</v>
      </c>
      <c r="L57" s="64"/>
      <c r="M57" s="64"/>
      <c r="N57" s="64"/>
      <c r="O57" s="64"/>
    </row>
    <row r="58" spans="1:15" x14ac:dyDescent="0.25">
      <c r="J58" s="357"/>
      <c r="K58" s="66" t="s">
        <v>328</v>
      </c>
      <c r="L58" s="64"/>
      <c r="M58" s="64"/>
      <c r="N58" s="64"/>
      <c r="O58" s="64"/>
    </row>
    <row r="59" spans="1:15" x14ac:dyDescent="0.25">
      <c r="J59" s="357"/>
      <c r="K59" s="66" t="s">
        <v>330</v>
      </c>
      <c r="L59" s="64"/>
      <c r="M59" s="64"/>
      <c r="N59" s="64"/>
      <c r="O59" s="64"/>
    </row>
    <row r="60" spans="1:15" x14ac:dyDescent="0.25">
      <c r="J60" s="357"/>
      <c r="K60" s="66" t="s">
        <v>331</v>
      </c>
      <c r="L60" s="64"/>
      <c r="M60" s="64"/>
      <c r="N60" s="64"/>
      <c r="O60" s="64"/>
    </row>
    <row r="61" spans="1:15" x14ac:dyDescent="0.25">
      <c r="J61" s="357"/>
      <c r="K61" s="66" t="s">
        <v>332</v>
      </c>
      <c r="L61" s="64"/>
      <c r="M61" s="64"/>
      <c r="N61" s="64"/>
      <c r="O61" s="64"/>
    </row>
    <row r="62" spans="1:15" x14ac:dyDescent="0.25">
      <c r="J62" s="357"/>
      <c r="K62" s="66" t="s">
        <v>333</v>
      </c>
      <c r="L62" s="64"/>
      <c r="M62" s="64"/>
      <c r="N62" s="64"/>
      <c r="O62" s="64"/>
    </row>
    <row r="63" spans="1:15" x14ac:dyDescent="0.25">
      <c r="J63" s="357"/>
      <c r="K63" s="66" t="s">
        <v>334</v>
      </c>
      <c r="L63" s="64"/>
      <c r="M63" s="64"/>
      <c r="N63" s="64"/>
      <c r="O63" s="64"/>
    </row>
    <row r="64" spans="1:15" x14ac:dyDescent="0.25">
      <c r="J64" s="357"/>
      <c r="K64" s="62" t="s">
        <v>335</v>
      </c>
      <c r="L64" s="62" t="e">
        <f>AVERAGE(L52:L63)</f>
        <v>#DIV/0!</v>
      </c>
      <c r="M64" s="62">
        <f>MAX(M52:M63)</f>
        <v>0</v>
      </c>
      <c r="N64" s="62" t="e">
        <f>AVERAGE(N52:N63)</f>
        <v>#DIV/0!</v>
      </c>
      <c r="O64" s="62">
        <f>MAX(O52:O63)</f>
        <v>0</v>
      </c>
    </row>
    <row r="66" spans="10:15" ht="41.4" x14ac:dyDescent="0.25">
      <c r="J66" s="61">
        <f>+A6</f>
        <v>2022</v>
      </c>
      <c r="K66" s="61" t="s">
        <v>317</v>
      </c>
      <c r="L66" s="67" t="s">
        <v>312</v>
      </c>
      <c r="M66" s="67" t="s">
        <v>318</v>
      </c>
      <c r="N66" s="67" t="s">
        <v>315</v>
      </c>
      <c r="O66" s="67" t="s">
        <v>319</v>
      </c>
    </row>
    <row r="67" spans="10:15" x14ac:dyDescent="0.25">
      <c r="J67" s="357" t="s">
        <v>166</v>
      </c>
      <c r="K67" s="66" t="s">
        <v>320</v>
      </c>
      <c r="L67" s="64"/>
      <c r="M67" s="64"/>
      <c r="N67" s="64"/>
      <c r="O67" s="64"/>
    </row>
    <row r="68" spans="10:15" x14ac:dyDescent="0.25">
      <c r="J68" s="357"/>
      <c r="K68" s="66" t="s">
        <v>321</v>
      </c>
      <c r="L68" s="64"/>
      <c r="M68" s="64"/>
      <c r="N68" s="64"/>
      <c r="O68" s="64"/>
    </row>
    <row r="69" spans="10:15" x14ac:dyDescent="0.25">
      <c r="J69" s="357"/>
      <c r="K69" s="66" t="s">
        <v>322</v>
      </c>
      <c r="L69" s="64"/>
      <c r="M69" s="64"/>
      <c r="N69" s="64"/>
      <c r="O69" s="64"/>
    </row>
    <row r="70" spans="10:15" x14ac:dyDescent="0.25">
      <c r="J70" s="357"/>
      <c r="K70" s="66" t="s">
        <v>324</v>
      </c>
      <c r="L70" s="64"/>
      <c r="M70" s="64"/>
      <c r="N70" s="64"/>
      <c r="O70" s="64"/>
    </row>
    <row r="71" spans="10:15" x14ac:dyDescent="0.25">
      <c r="J71" s="357"/>
      <c r="K71" s="66" t="s">
        <v>326</v>
      </c>
      <c r="L71" s="64"/>
      <c r="M71" s="64"/>
      <c r="N71" s="64"/>
      <c r="O71" s="64"/>
    </row>
    <row r="72" spans="10:15" x14ac:dyDescent="0.25">
      <c r="J72" s="357"/>
      <c r="K72" s="66" t="s">
        <v>327</v>
      </c>
      <c r="L72" s="64"/>
      <c r="M72" s="64"/>
      <c r="N72" s="64"/>
      <c r="O72" s="64"/>
    </row>
    <row r="73" spans="10:15" x14ac:dyDescent="0.25">
      <c r="J73" s="357"/>
      <c r="K73" s="66" t="s">
        <v>328</v>
      </c>
      <c r="L73" s="64"/>
      <c r="M73" s="64"/>
      <c r="N73" s="64"/>
      <c r="O73" s="64"/>
    </row>
    <row r="74" spans="10:15" x14ac:dyDescent="0.25">
      <c r="J74" s="357"/>
      <c r="K74" s="66" t="s">
        <v>330</v>
      </c>
      <c r="L74" s="64"/>
      <c r="M74" s="64"/>
      <c r="N74" s="64"/>
      <c r="O74" s="64"/>
    </row>
    <row r="75" spans="10:15" x14ac:dyDescent="0.25">
      <c r="J75" s="357"/>
      <c r="K75" s="66" t="s">
        <v>331</v>
      </c>
      <c r="L75" s="64"/>
      <c r="M75" s="64"/>
      <c r="N75" s="64"/>
      <c r="O75" s="64"/>
    </row>
    <row r="76" spans="10:15" x14ac:dyDescent="0.25">
      <c r="J76" s="357"/>
      <c r="K76" s="66" t="s">
        <v>332</v>
      </c>
      <c r="L76" s="64"/>
      <c r="M76" s="64"/>
      <c r="N76" s="64"/>
      <c r="O76" s="64"/>
    </row>
    <row r="77" spans="10:15" x14ac:dyDescent="0.25">
      <c r="J77" s="357"/>
      <c r="K77" s="66" t="s">
        <v>333</v>
      </c>
      <c r="L77" s="64"/>
      <c r="M77" s="64"/>
      <c r="N77" s="64"/>
      <c r="O77" s="64"/>
    </row>
    <row r="78" spans="10:15" x14ac:dyDescent="0.25">
      <c r="J78" s="357"/>
      <c r="K78" s="66" t="s">
        <v>334</v>
      </c>
      <c r="L78" s="64"/>
      <c r="M78" s="64"/>
      <c r="N78" s="64"/>
      <c r="O78" s="64"/>
    </row>
    <row r="79" spans="10:15" x14ac:dyDescent="0.25">
      <c r="J79" s="357"/>
      <c r="K79" s="62" t="s">
        <v>335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abSelected="1" zoomScaleNormal="100" workbookViewId="0">
      <selection activeCell="B31" sqref="B31:I31"/>
    </sheetView>
  </sheetViews>
  <sheetFormatPr defaultRowHeight="13.8" x14ac:dyDescent="0.25"/>
  <cols>
    <col min="1" max="1" width="14" style="3" customWidth="1"/>
    <col min="2" max="2" width="12.6640625" style="35" customWidth="1"/>
    <col min="3" max="3" width="15.33203125" style="35" customWidth="1"/>
    <col min="4" max="4" width="17.6640625" style="35" customWidth="1"/>
    <col min="5" max="5" width="14.6640625" style="35" customWidth="1"/>
    <col min="6" max="6" width="11.5546875" style="35" customWidth="1"/>
    <col min="7" max="7" width="15" style="35" customWidth="1"/>
    <col min="8" max="8" width="14.6640625" style="35"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95" t="str">
        <f>+'Cover Page'!$B$29</f>
        <v>Annual Performance Report 2022</v>
      </c>
      <c r="B1" s="95"/>
      <c r="C1" s="95"/>
      <c r="D1" s="95"/>
      <c r="E1" s="95" t="str">
        <f>+'Cover Page'!$B$33</f>
        <v>Clinitek (Stoke) LLP</v>
      </c>
    </row>
    <row r="3" spans="1:21" ht="14.4" x14ac:dyDescent="0.3">
      <c r="A3" s="60" t="s">
        <v>351</v>
      </c>
      <c r="E3" s="76" t="s">
        <v>304</v>
      </c>
      <c r="H3" s="80" t="s">
        <v>352</v>
      </c>
      <c r="J3" s="9" t="str">
        <f>+A3</f>
        <v>Monitoring of Carbon Monoxide (10-minute avg)</v>
      </c>
      <c r="L3" s="9"/>
      <c r="O3" s="9" t="s">
        <v>306</v>
      </c>
      <c r="Q3" s="77" t="s">
        <v>2</v>
      </c>
      <c r="S3" s="79" t="s">
        <v>2</v>
      </c>
      <c r="T3" s="74"/>
      <c r="U3" s="74"/>
    </row>
    <row r="4" spans="1:21" ht="13.95" customHeight="1" x14ac:dyDescent="0.25">
      <c r="S4" s="342" t="s">
        <v>353</v>
      </c>
      <c r="T4" s="342"/>
      <c r="U4" s="342"/>
    </row>
    <row r="5" spans="1:21" ht="16.2" x14ac:dyDescent="0.25">
      <c r="A5" s="68" t="s">
        <v>308</v>
      </c>
      <c r="B5" s="359" t="s">
        <v>354</v>
      </c>
      <c r="C5" s="359"/>
      <c r="D5" s="359"/>
      <c r="E5" s="359"/>
      <c r="F5" s="359" t="s">
        <v>310</v>
      </c>
      <c r="G5" s="359"/>
      <c r="H5" s="359"/>
      <c r="K5" s="358"/>
      <c r="L5" s="358"/>
      <c r="M5" s="358"/>
      <c r="N5" s="358"/>
      <c r="O5" s="358"/>
      <c r="P5" s="358"/>
      <c r="Q5" s="358"/>
      <c r="S5" s="342"/>
      <c r="T5" s="342"/>
      <c r="U5" s="342"/>
    </row>
    <row r="6" spans="1:21" s="58" customFormat="1" ht="37.5" customHeight="1" x14ac:dyDescent="0.3">
      <c r="A6" s="65">
        <f>+'Cover Page'!C39</f>
        <v>2022</v>
      </c>
      <c r="B6" s="55" t="s">
        <v>355</v>
      </c>
      <c r="C6" s="55" t="s">
        <v>356</v>
      </c>
      <c r="D6" s="55" t="s">
        <v>357</v>
      </c>
      <c r="E6" s="55" t="s">
        <v>358</v>
      </c>
      <c r="F6" s="55" t="s">
        <v>350</v>
      </c>
      <c r="G6" s="55" t="s">
        <v>315</v>
      </c>
      <c r="H6" s="55" t="s">
        <v>316</v>
      </c>
      <c r="I6" s="59"/>
      <c r="K6" s="61">
        <f>+A6</f>
        <v>2022</v>
      </c>
      <c r="L6" s="61" t="s">
        <v>317</v>
      </c>
      <c r="M6" s="55" t="s">
        <v>356</v>
      </c>
      <c r="N6" s="55" t="s">
        <v>357</v>
      </c>
      <c r="O6" s="55" t="s">
        <v>358</v>
      </c>
      <c r="P6" s="67" t="s">
        <v>315</v>
      </c>
      <c r="Q6" s="67" t="s">
        <v>319</v>
      </c>
      <c r="S6" s="342"/>
      <c r="T6" s="342"/>
      <c r="U6" s="342"/>
    </row>
    <row r="7" spans="1:21" x14ac:dyDescent="0.25">
      <c r="A7" s="66" t="s">
        <v>320</v>
      </c>
      <c r="B7" s="69">
        <v>150</v>
      </c>
      <c r="C7" s="64"/>
      <c r="D7" s="64"/>
      <c r="E7" s="64"/>
      <c r="F7" s="69">
        <v>50</v>
      </c>
      <c r="G7" s="64"/>
      <c r="H7" s="64"/>
      <c r="K7" s="357" t="s">
        <v>162</v>
      </c>
      <c r="L7" s="66" t="s">
        <v>320</v>
      </c>
      <c r="M7" s="64"/>
      <c r="N7" s="64"/>
      <c r="O7" s="64"/>
      <c r="P7" s="64"/>
      <c r="Q7" s="64"/>
      <c r="S7" s="342"/>
      <c r="T7" s="342"/>
      <c r="U7" s="342"/>
    </row>
    <row r="8" spans="1:21" x14ac:dyDescent="0.25">
      <c r="A8" s="66" t="s">
        <v>321</v>
      </c>
      <c r="B8" s="63">
        <f>+B7</f>
        <v>150</v>
      </c>
      <c r="C8" s="64"/>
      <c r="D8" s="64"/>
      <c r="E8" s="64"/>
      <c r="F8" s="63">
        <f>+F7</f>
        <v>50</v>
      </c>
      <c r="G8" s="64"/>
      <c r="H8" s="64"/>
      <c r="K8" s="357"/>
      <c r="L8" s="66" t="s">
        <v>321</v>
      </c>
      <c r="M8" s="64"/>
      <c r="N8" s="64"/>
      <c r="O8" s="64"/>
      <c r="P8" s="64"/>
      <c r="Q8" s="64"/>
      <c r="S8" s="342"/>
      <c r="T8" s="342"/>
      <c r="U8" s="342"/>
    </row>
    <row r="9" spans="1:21" x14ac:dyDescent="0.25">
      <c r="A9" s="66" t="s">
        <v>322</v>
      </c>
      <c r="B9" s="63">
        <f t="shared" ref="B9:B18" si="0">+B8</f>
        <v>150</v>
      </c>
      <c r="C9" s="64"/>
      <c r="D9" s="64"/>
      <c r="E9" s="64"/>
      <c r="F9" s="63">
        <f t="shared" ref="F9:F18" si="1">+F8</f>
        <v>50</v>
      </c>
      <c r="G9" s="64"/>
      <c r="H9" s="64"/>
      <c r="K9" s="357"/>
      <c r="L9" s="66" t="s">
        <v>322</v>
      </c>
      <c r="M9" s="64"/>
      <c r="N9" s="64"/>
      <c r="O9" s="64"/>
      <c r="P9" s="64"/>
      <c r="Q9" s="64"/>
      <c r="S9" s="78" t="s">
        <v>359</v>
      </c>
    </row>
    <row r="10" spans="1:21" x14ac:dyDescent="0.25">
      <c r="A10" s="66" t="s">
        <v>324</v>
      </c>
      <c r="B10" s="63">
        <f t="shared" si="0"/>
        <v>150</v>
      </c>
      <c r="C10" s="64"/>
      <c r="D10" s="64"/>
      <c r="E10" s="64"/>
      <c r="F10" s="63">
        <f t="shared" si="1"/>
        <v>50</v>
      </c>
      <c r="G10" s="64"/>
      <c r="H10" s="64"/>
      <c r="K10" s="357"/>
      <c r="L10" s="66" t="s">
        <v>324</v>
      </c>
      <c r="M10" s="64"/>
      <c r="N10" s="64"/>
      <c r="O10" s="64"/>
      <c r="P10" s="64"/>
      <c r="Q10" s="64"/>
      <c r="S10" s="356" t="s">
        <v>360</v>
      </c>
      <c r="T10" s="356"/>
      <c r="U10" s="356"/>
    </row>
    <row r="11" spans="1:21" x14ac:dyDescent="0.25">
      <c r="A11" s="66" t="s">
        <v>326</v>
      </c>
      <c r="B11" s="63">
        <f t="shared" si="0"/>
        <v>150</v>
      </c>
      <c r="C11" s="64"/>
      <c r="D11" s="64"/>
      <c r="E11" s="64"/>
      <c r="F11" s="63">
        <f t="shared" si="1"/>
        <v>50</v>
      </c>
      <c r="G11" s="64"/>
      <c r="H11" s="64"/>
      <c r="K11" s="357"/>
      <c r="L11" s="66" t="s">
        <v>326</v>
      </c>
      <c r="M11" s="64"/>
      <c r="N11" s="64"/>
      <c r="O11" s="64"/>
      <c r="P11" s="64"/>
      <c r="Q11" s="64"/>
      <c r="S11" s="356"/>
      <c r="T11" s="356"/>
      <c r="U11" s="356"/>
    </row>
    <row r="12" spans="1:21" x14ac:dyDescent="0.25">
      <c r="A12" s="66" t="s">
        <v>327</v>
      </c>
      <c r="B12" s="63">
        <f t="shared" si="0"/>
        <v>150</v>
      </c>
      <c r="C12" s="64"/>
      <c r="D12" s="64"/>
      <c r="E12" s="64"/>
      <c r="F12" s="63">
        <f t="shared" si="1"/>
        <v>50</v>
      </c>
      <c r="G12" s="64"/>
      <c r="H12" s="64"/>
      <c r="K12" s="357"/>
      <c r="L12" s="66" t="s">
        <v>327</v>
      </c>
      <c r="M12" s="64"/>
      <c r="N12" s="64"/>
      <c r="O12" s="64"/>
      <c r="P12" s="64"/>
      <c r="Q12" s="64"/>
      <c r="S12" s="356"/>
      <c r="T12" s="356"/>
      <c r="U12" s="356"/>
    </row>
    <row r="13" spans="1:21" x14ac:dyDescent="0.25">
      <c r="A13" s="66" t="s">
        <v>328</v>
      </c>
      <c r="B13" s="63">
        <f t="shared" si="0"/>
        <v>150</v>
      </c>
      <c r="C13" s="64"/>
      <c r="D13" s="64"/>
      <c r="E13" s="64"/>
      <c r="F13" s="63">
        <f t="shared" si="1"/>
        <v>50</v>
      </c>
      <c r="G13" s="64"/>
      <c r="H13" s="64"/>
      <c r="K13" s="357"/>
      <c r="L13" s="66" t="s">
        <v>328</v>
      </c>
      <c r="M13" s="64"/>
      <c r="N13" s="64"/>
      <c r="O13" s="64"/>
      <c r="P13" s="64"/>
      <c r="Q13" s="64"/>
      <c r="S13" s="356" t="s">
        <v>361</v>
      </c>
      <c r="T13" s="356"/>
      <c r="U13" s="356"/>
    </row>
    <row r="14" spans="1:21" x14ac:dyDescent="0.25">
      <c r="A14" s="66" t="s">
        <v>330</v>
      </c>
      <c r="B14" s="63">
        <f t="shared" si="0"/>
        <v>150</v>
      </c>
      <c r="C14" s="64">
        <v>159.85</v>
      </c>
      <c r="D14" s="64">
        <v>38.590000000000003</v>
      </c>
      <c r="E14" s="64">
        <v>290.64</v>
      </c>
      <c r="F14" s="63">
        <f t="shared" si="1"/>
        <v>50</v>
      </c>
      <c r="G14" s="64"/>
      <c r="H14" s="64"/>
      <c r="K14" s="357"/>
      <c r="L14" s="66" t="s">
        <v>330</v>
      </c>
      <c r="M14" s="64">
        <v>159.85</v>
      </c>
      <c r="N14" s="64">
        <v>38.590000000000003</v>
      </c>
      <c r="O14" s="64">
        <v>290.64</v>
      </c>
      <c r="P14" s="64"/>
      <c r="Q14" s="64"/>
      <c r="S14" s="356"/>
      <c r="T14" s="356"/>
      <c r="U14" s="356"/>
    </row>
    <row r="15" spans="1:21" x14ac:dyDescent="0.25">
      <c r="A15" s="66" t="s">
        <v>331</v>
      </c>
      <c r="B15" s="63">
        <f t="shared" si="0"/>
        <v>150</v>
      </c>
      <c r="C15" s="64">
        <v>115.77</v>
      </c>
      <c r="D15" s="64">
        <v>25.67</v>
      </c>
      <c r="E15" s="64">
        <v>263.52</v>
      </c>
      <c r="F15" s="63">
        <f t="shared" si="1"/>
        <v>50</v>
      </c>
      <c r="G15" s="64">
        <v>18.64</v>
      </c>
      <c r="H15" s="64">
        <v>20.190000000000001</v>
      </c>
      <c r="K15" s="357"/>
      <c r="L15" s="66" t="s">
        <v>331</v>
      </c>
      <c r="M15" s="64">
        <v>115.77</v>
      </c>
      <c r="N15" s="64">
        <v>25.67</v>
      </c>
      <c r="O15" s="64">
        <v>263.52</v>
      </c>
      <c r="P15" s="64">
        <v>18.64</v>
      </c>
      <c r="Q15" s="64">
        <v>20.190000000000001</v>
      </c>
      <c r="S15" s="356"/>
      <c r="T15" s="356"/>
      <c r="U15" s="356"/>
    </row>
    <row r="16" spans="1:21" x14ac:dyDescent="0.25">
      <c r="A16" s="66" t="s">
        <v>332</v>
      </c>
      <c r="B16" s="63">
        <f t="shared" si="0"/>
        <v>150</v>
      </c>
      <c r="C16" s="64">
        <v>25.36</v>
      </c>
      <c r="D16" s="64">
        <v>16.670000000000002</v>
      </c>
      <c r="E16" s="64">
        <v>39.75</v>
      </c>
      <c r="F16" s="63">
        <f t="shared" si="1"/>
        <v>50</v>
      </c>
      <c r="G16" s="64">
        <v>15.99</v>
      </c>
      <c r="H16" s="64">
        <v>15.99</v>
      </c>
      <c r="K16" s="357"/>
      <c r="L16" s="66" t="s">
        <v>332</v>
      </c>
      <c r="M16" s="64">
        <v>25.36</v>
      </c>
      <c r="N16" s="64">
        <v>16.670000000000002</v>
      </c>
      <c r="O16" s="64">
        <v>39.75</v>
      </c>
      <c r="P16" s="64">
        <v>15.99</v>
      </c>
      <c r="Q16" s="64">
        <v>15.99</v>
      </c>
      <c r="S16" s="356"/>
      <c r="T16" s="356"/>
      <c r="U16" s="356"/>
    </row>
    <row r="17" spans="1:17" x14ac:dyDescent="0.25">
      <c r="A17" s="66" t="s">
        <v>333</v>
      </c>
      <c r="B17" s="63">
        <f t="shared" si="0"/>
        <v>150</v>
      </c>
      <c r="C17" s="64">
        <v>24.83</v>
      </c>
      <c r="D17" s="64">
        <v>13.75</v>
      </c>
      <c r="E17" s="64">
        <v>234.22</v>
      </c>
      <c r="F17" s="63">
        <f t="shared" si="1"/>
        <v>50</v>
      </c>
      <c r="G17" s="64">
        <v>15.32</v>
      </c>
      <c r="H17" s="64">
        <v>15.32</v>
      </c>
      <c r="K17" s="357"/>
      <c r="L17" s="66" t="s">
        <v>333</v>
      </c>
      <c r="M17" s="64">
        <v>24.83</v>
      </c>
      <c r="N17" s="64">
        <v>13.75</v>
      </c>
      <c r="O17" s="64">
        <v>234.22</v>
      </c>
      <c r="P17" s="64">
        <v>15.32</v>
      </c>
      <c r="Q17" s="64">
        <v>15.32</v>
      </c>
    </row>
    <row r="18" spans="1:17" x14ac:dyDescent="0.25">
      <c r="A18" s="66" t="s">
        <v>334</v>
      </c>
      <c r="B18" s="63">
        <f t="shared" si="0"/>
        <v>150</v>
      </c>
      <c r="C18" s="64">
        <v>38.200000000000003</v>
      </c>
      <c r="D18" s="64">
        <v>11.43</v>
      </c>
      <c r="E18" s="64">
        <v>647.58000000000004</v>
      </c>
      <c r="F18" s="63">
        <f t="shared" si="1"/>
        <v>50</v>
      </c>
      <c r="G18" s="64">
        <v>12.8</v>
      </c>
      <c r="H18" s="64">
        <v>18.78</v>
      </c>
      <c r="K18" s="357"/>
      <c r="L18" s="66" t="s">
        <v>334</v>
      </c>
      <c r="M18" s="64">
        <v>38.200000000000003</v>
      </c>
      <c r="N18" s="64">
        <v>11.43</v>
      </c>
      <c r="O18" s="64">
        <v>647.58000000000004</v>
      </c>
      <c r="P18" s="64">
        <v>12.8</v>
      </c>
      <c r="Q18" s="64">
        <v>18.78</v>
      </c>
    </row>
    <row r="19" spans="1:17" x14ac:dyDescent="0.25">
      <c r="K19" s="357"/>
      <c r="L19" s="62" t="s">
        <v>335</v>
      </c>
      <c r="M19" s="62">
        <f>AVERAGE(M7:M18)</f>
        <v>72.801999999999992</v>
      </c>
      <c r="N19" s="62">
        <f>AVERAGE(N7:N18)</f>
        <v>21.222000000000001</v>
      </c>
      <c r="O19" s="62">
        <f>MAX(O7:O18)</f>
        <v>647.58000000000004</v>
      </c>
      <c r="P19" s="62">
        <f>AVERAGE(P7:P18)</f>
        <v>15.6875</v>
      </c>
      <c r="Q19" s="62">
        <f>MAX(Q7:Q18)</f>
        <v>20.190000000000001</v>
      </c>
    </row>
    <row r="21" spans="1:17" ht="27.6" x14ac:dyDescent="0.25">
      <c r="K21" s="61">
        <f>+A6</f>
        <v>2022</v>
      </c>
      <c r="L21" s="61" t="s">
        <v>317</v>
      </c>
      <c r="M21" s="55" t="s">
        <v>356</v>
      </c>
      <c r="N21" s="55" t="s">
        <v>357</v>
      </c>
      <c r="O21" s="55" t="s">
        <v>358</v>
      </c>
      <c r="P21" s="67" t="s">
        <v>315</v>
      </c>
      <c r="Q21" s="67" t="s">
        <v>319</v>
      </c>
    </row>
    <row r="22" spans="1:17" x14ac:dyDescent="0.25">
      <c r="K22" s="357" t="s">
        <v>163</v>
      </c>
      <c r="L22" s="66" t="s">
        <v>320</v>
      </c>
      <c r="M22" s="64"/>
      <c r="N22" s="64"/>
      <c r="O22" s="64"/>
      <c r="P22" s="64"/>
      <c r="Q22" s="64"/>
    </row>
    <row r="23" spans="1:17" x14ac:dyDescent="0.25">
      <c r="K23" s="357"/>
      <c r="L23" s="66" t="s">
        <v>321</v>
      </c>
      <c r="M23" s="64"/>
      <c r="N23" s="64"/>
      <c r="O23" s="64"/>
      <c r="P23" s="64"/>
      <c r="Q23" s="64"/>
    </row>
    <row r="24" spans="1:17" x14ac:dyDescent="0.25">
      <c r="K24" s="357"/>
      <c r="L24" s="66" t="s">
        <v>322</v>
      </c>
      <c r="M24" s="64"/>
      <c r="N24" s="64"/>
      <c r="O24" s="64"/>
      <c r="P24" s="64"/>
      <c r="Q24" s="64"/>
    </row>
    <row r="25" spans="1:17" x14ac:dyDescent="0.25">
      <c r="K25" s="357"/>
      <c r="L25" s="66" t="s">
        <v>324</v>
      </c>
      <c r="M25" s="64"/>
      <c r="N25" s="64"/>
      <c r="O25" s="64"/>
      <c r="P25" s="64"/>
      <c r="Q25" s="64"/>
    </row>
    <row r="26" spans="1:17" x14ac:dyDescent="0.25">
      <c r="K26" s="357"/>
      <c r="L26" s="66" t="s">
        <v>326</v>
      </c>
      <c r="M26" s="64"/>
      <c r="N26" s="64"/>
      <c r="O26" s="64"/>
      <c r="P26" s="64"/>
      <c r="Q26" s="64"/>
    </row>
    <row r="27" spans="1:17" x14ac:dyDescent="0.25">
      <c r="K27" s="357"/>
      <c r="L27" s="66" t="s">
        <v>327</v>
      </c>
      <c r="M27" s="64"/>
      <c r="N27" s="64"/>
      <c r="O27" s="64"/>
      <c r="P27" s="64"/>
      <c r="Q27" s="64"/>
    </row>
    <row r="28" spans="1:17" x14ac:dyDescent="0.25">
      <c r="K28" s="357"/>
      <c r="L28" s="66" t="s">
        <v>328</v>
      </c>
      <c r="M28" s="64"/>
      <c r="N28" s="64"/>
      <c r="O28" s="64"/>
      <c r="P28" s="64"/>
      <c r="Q28" s="64"/>
    </row>
    <row r="29" spans="1:17" x14ac:dyDescent="0.25">
      <c r="K29" s="357"/>
      <c r="L29" s="66" t="s">
        <v>330</v>
      </c>
      <c r="M29" s="64"/>
      <c r="N29" s="64"/>
      <c r="O29" s="64"/>
      <c r="P29" s="64"/>
      <c r="Q29" s="64"/>
    </row>
    <row r="30" spans="1:17" x14ac:dyDescent="0.25">
      <c r="K30" s="357"/>
      <c r="L30" s="66" t="s">
        <v>331</v>
      </c>
      <c r="M30" s="64"/>
      <c r="N30" s="64"/>
      <c r="O30" s="64"/>
      <c r="P30" s="64"/>
      <c r="Q30" s="64"/>
    </row>
    <row r="31" spans="1:17" x14ac:dyDescent="0.25">
      <c r="B31" s="35" t="s">
        <v>367</v>
      </c>
      <c r="K31" s="357"/>
      <c r="L31" s="66" t="s">
        <v>332</v>
      </c>
      <c r="M31" s="64"/>
      <c r="N31" s="64"/>
      <c r="O31" s="64"/>
      <c r="P31" s="64"/>
      <c r="Q31" s="64"/>
    </row>
    <row r="32" spans="1:17" x14ac:dyDescent="0.25">
      <c r="K32" s="357"/>
      <c r="L32" s="66" t="s">
        <v>333</v>
      </c>
      <c r="M32" s="64"/>
      <c r="N32" s="64"/>
      <c r="O32" s="64"/>
      <c r="P32" s="64"/>
      <c r="Q32" s="64"/>
    </row>
    <row r="33" spans="1:17" x14ac:dyDescent="0.25">
      <c r="K33" s="357"/>
      <c r="L33" s="66" t="s">
        <v>334</v>
      </c>
      <c r="M33" s="64"/>
      <c r="N33" s="64"/>
      <c r="O33" s="64"/>
      <c r="P33" s="64"/>
      <c r="Q33" s="64"/>
    </row>
    <row r="34" spans="1:17" x14ac:dyDescent="0.25">
      <c r="K34" s="357"/>
      <c r="L34" s="62" t="s">
        <v>335</v>
      </c>
      <c r="M34" s="62" t="e">
        <f>AVERAGE(M22:M33)</f>
        <v>#DIV/0!</v>
      </c>
      <c r="N34" s="62"/>
      <c r="O34" s="62">
        <f>MAX(O22:O33)</f>
        <v>0</v>
      </c>
      <c r="P34" s="62" t="e">
        <f>AVERAGE(P22:P33)</f>
        <v>#DIV/0!</v>
      </c>
      <c r="Q34" s="62">
        <f>MAX(Q22:Q33)</f>
        <v>0</v>
      </c>
    </row>
    <row r="36" spans="1:17" ht="27.6" x14ac:dyDescent="0.25">
      <c r="K36" s="61">
        <f>+A6</f>
        <v>2022</v>
      </c>
      <c r="L36" s="61" t="s">
        <v>317</v>
      </c>
      <c r="M36" s="55" t="s">
        <v>356</v>
      </c>
      <c r="N36" s="55" t="s">
        <v>357</v>
      </c>
      <c r="O36" s="55" t="s">
        <v>358</v>
      </c>
      <c r="P36" s="67" t="s">
        <v>315</v>
      </c>
      <c r="Q36" s="67" t="s">
        <v>319</v>
      </c>
    </row>
    <row r="37" spans="1:17" x14ac:dyDescent="0.25">
      <c r="K37" s="357" t="s">
        <v>164</v>
      </c>
      <c r="L37" s="66" t="s">
        <v>320</v>
      </c>
      <c r="M37" s="64"/>
      <c r="N37" s="64"/>
      <c r="O37" s="64"/>
      <c r="P37" s="64"/>
      <c r="Q37" s="64"/>
    </row>
    <row r="38" spans="1:17" x14ac:dyDescent="0.25">
      <c r="K38" s="357"/>
      <c r="L38" s="66" t="s">
        <v>321</v>
      </c>
      <c r="M38" s="64"/>
      <c r="N38" s="64"/>
      <c r="O38" s="64"/>
      <c r="P38" s="64"/>
      <c r="Q38" s="64"/>
    </row>
    <row r="39" spans="1:17" x14ac:dyDescent="0.25">
      <c r="K39" s="357"/>
      <c r="L39" s="66" t="s">
        <v>322</v>
      </c>
      <c r="M39" s="64"/>
      <c r="N39" s="64"/>
      <c r="O39" s="64"/>
      <c r="P39" s="64"/>
      <c r="Q39" s="64"/>
    </row>
    <row r="40" spans="1:17" x14ac:dyDescent="0.25">
      <c r="K40" s="357"/>
      <c r="L40" s="66" t="s">
        <v>324</v>
      </c>
      <c r="M40" s="64"/>
      <c r="N40" s="64"/>
      <c r="O40" s="64"/>
      <c r="P40" s="64"/>
      <c r="Q40" s="64"/>
    </row>
    <row r="41" spans="1:17" x14ac:dyDescent="0.25">
      <c r="K41" s="357"/>
      <c r="L41" s="66" t="s">
        <v>326</v>
      </c>
      <c r="M41" s="64"/>
      <c r="N41" s="64"/>
      <c r="O41" s="64"/>
      <c r="P41" s="64"/>
      <c r="Q41" s="64"/>
    </row>
    <row r="42" spans="1:17" x14ac:dyDescent="0.25">
      <c r="K42" s="357"/>
      <c r="L42" s="66" t="s">
        <v>327</v>
      </c>
      <c r="M42" s="64"/>
      <c r="N42" s="64"/>
      <c r="O42" s="64"/>
      <c r="P42" s="64"/>
      <c r="Q42" s="64"/>
    </row>
    <row r="43" spans="1:17" x14ac:dyDescent="0.25">
      <c r="K43" s="357"/>
      <c r="L43" s="66" t="s">
        <v>328</v>
      </c>
      <c r="M43" s="64"/>
      <c r="N43" s="64"/>
      <c r="O43" s="64"/>
      <c r="P43" s="64"/>
      <c r="Q43" s="64"/>
    </row>
    <row r="44" spans="1:17" x14ac:dyDescent="0.25">
      <c r="K44" s="357"/>
      <c r="L44" s="66" t="s">
        <v>330</v>
      </c>
      <c r="M44" s="64"/>
      <c r="N44" s="64"/>
      <c r="O44" s="64"/>
      <c r="P44" s="64"/>
      <c r="Q44" s="64"/>
    </row>
    <row r="45" spans="1:17" x14ac:dyDescent="0.25">
      <c r="K45" s="357"/>
      <c r="L45" s="66" t="s">
        <v>331</v>
      </c>
      <c r="M45" s="64"/>
      <c r="N45" s="64"/>
      <c r="O45" s="64"/>
      <c r="P45" s="64"/>
      <c r="Q45" s="64"/>
    </row>
    <row r="46" spans="1:17" x14ac:dyDescent="0.25">
      <c r="K46" s="357"/>
      <c r="L46" s="66" t="s">
        <v>332</v>
      </c>
      <c r="M46" s="64"/>
      <c r="N46" s="64"/>
      <c r="O46" s="64"/>
      <c r="P46" s="64"/>
      <c r="Q46" s="64"/>
    </row>
    <row r="47" spans="1:17" x14ac:dyDescent="0.25">
      <c r="K47" s="357"/>
      <c r="L47" s="66" t="s">
        <v>333</v>
      </c>
      <c r="M47" s="64"/>
      <c r="N47" s="64"/>
      <c r="O47" s="64"/>
      <c r="P47" s="64"/>
      <c r="Q47" s="64"/>
    </row>
    <row r="48" spans="1:17" x14ac:dyDescent="0.25">
      <c r="A48" s="369" t="s">
        <v>233</v>
      </c>
      <c r="B48" s="370"/>
      <c r="C48" s="370"/>
      <c r="D48" s="370"/>
      <c r="E48" s="370"/>
      <c r="F48" s="370"/>
      <c r="G48" s="370"/>
      <c r="H48" s="371"/>
      <c r="K48" s="357"/>
      <c r="L48" s="66" t="s">
        <v>334</v>
      </c>
      <c r="M48" s="64"/>
      <c r="N48" s="64"/>
      <c r="O48" s="64"/>
      <c r="P48" s="64"/>
      <c r="Q48" s="64"/>
    </row>
    <row r="49" spans="1:17" x14ac:dyDescent="0.25">
      <c r="A49" s="380" t="s">
        <v>362</v>
      </c>
      <c r="B49" s="381"/>
      <c r="C49" s="381"/>
      <c r="D49" s="381"/>
      <c r="E49" s="381"/>
      <c r="F49" s="381"/>
      <c r="G49" s="381"/>
      <c r="H49" s="382"/>
      <c r="K49" s="357"/>
      <c r="L49" s="62" t="s">
        <v>335</v>
      </c>
      <c r="M49" s="62" t="e">
        <f>AVERAGE(M37:M48)</f>
        <v>#DIV/0!</v>
      </c>
      <c r="N49" s="62"/>
      <c r="O49" s="62">
        <f>MAX(O37:O48)</f>
        <v>0</v>
      </c>
      <c r="P49" s="62" t="e">
        <f>AVERAGE(P37:P48)</f>
        <v>#DIV/0!</v>
      </c>
      <c r="Q49" s="62">
        <f>MAX(Q37:Q48)</f>
        <v>0</v>
      </c>
    </row>
    <row r="50" spans="1:17" x14ac:dyDescent="0.25">
      <c r="A50" s="383"/>
      <c r="B50" s="384"/>
      <c r="C50" s="384"/>
      <c r="D50" s="384"/>
      <c r="E50" s="384"/>
      <c r="F50" s="384"/>
      <c r="G50" s="384"/>
      <c r="H50" s="385"/>
    </row>
    <row r="51" spans="1:17" ht="27.6" x14ac:dyDescent="0.25">
      <c r="A51" s="383"/>
      <c r="B51" s="384"/>
      <c r="C51" s="384"/>
      <c r="D51" s="384"/>
      <c r="E51" s="384"/>
      <c r="F51" s="384"/>
      <c r="G51" s="384"/>
      <c r="H51" s="385"/>
      <c r="K51" s="61">
        <f>+A6</f>
        <v>2022</v>
      </c>
      <c r="L51" s="61" t="s">
        <v>317</v>
      </c>
      <c r="M51" s="55" t="s">
        <v>356</v>
      </c>
      <c r="N51" s="55" t="s">
        <v>357</v>
      </c>
      <c r="O51" s="55" t="s">
        <v>358</v>
      </c>
      <c r="P51" s="67" t="s">
        <v>315</v>
      </c>
      <c r="Q51" s="67" t="s">
        <v>319</v>
      </c>
    </row>
    <row r="52" spans="1:17" x14ac:dyDescent="0.25">
      <c r="A52" s="386"/>
      <c r="B52" s="387"/>
      <c r="C52" s="387"/>
      <c r="D52" s="387"/>
      <c r="E52" s="387"/>
      <c r="F52" s="387"/>
      <c r="G52" s="387"/>
      <c r="H52" s="388"/>
      <c r="K52" s="357" t="s">
        <v>165</v>
      </c>
      <c r="L52" s="66" t="s">
        <v>320</v>
      </c>
      <c r="M52" s="64"/>
      <c r="N52" s="64"/>
      <c r="O52" s="64"/>
      <c r="P52" s="64"/>
      <c r="Q52" s="64"/>
    </row>
    <row r="53" spans="1:17" x14ac:dyDescent="0.25">
      <c r="K53" s="357"/>
      <c r="L53" s="66" t="s">
        <v>321</v>
      </c>
      <c r="M53" s="64"/>
      <c r="N53" s="64"/>
      <c r="O53" s="64"/>
      <c r="P53" s="64"/>
      <c r="Q53" s="64"/>
    </row>
    <row r="54" spans="1:17" x14ac:dyDescent="0.25">
      <c r="K54" s="357"/>
      <c r="L54" s="66" t="s">
        <v>322</v>
      </c>
      <c r="M54" s="64"/>
      <c r="N54" s="64"/>
      <c r="O54" s="64"/>
      <c r="P54" s="64"/>
      <c r="Q54" s="64"/>
    </row>
    <row r="55" spans="1:17" x14ac:dyDescent="0.25">
      <c r="K55" s="357"/>
      <c r="L55" s="66" t="s">
        <v>324</v>
      </c>
      <c r="M55" s="64"/>
      <c r="N55" s="64"/>
      <c r="O55" s="64"/>
      <c r="P55" s="64"/>
      <c r="Q55" s="64"/>
    </row>
    <row r="56" spans="1:17" x14ac:dyDescent="0.25">
      <c r="K56" s="357"/>
      <c r="L56" s="66" t="s">
        <v>326</v>
      </c>
      <c r="M56" s="64"/>
      <c r="N56" s="64"/>
      <c r="O56" s="64"/>
      <c r="P56" s="64"/>
      <c r="Q56" s="64"/>
    </row>
    <row r="57" spans="1:17" x14ac:dyDescent="0.25">
      <c r="K57" s="357"/>
      <c r="L57" s="66" t="s">
        <v>327</v>
      </c>
      <c r="M57" s="64"/>
      <c r="N57" s="64"/>
      <c r="O57" s="64"/>
      <c r="P57" s="64"/>
      <c r="Q57" s="64"/>
    </row>
    <row r="58" spans="1:17" x14ac:dyDescent="0.25">
      <c r="K58" s="357"/>
      <c r="L58" s="66" t="s">
        <v>328</v>
      </c>
      <c r="M58" s="64"/>
      <c r="N58" s="64"/>
      <c r="O58" s="64"/>
      <c r="P58" s="64"/>
      <c r="Q58" s="64"/>
    </row>
    <row r="59" spans="1:17" x14ac:dyDescent="0.25">
      <c r="K59" s="357"/>
      <c r="L59" s="66" t="s">
        <v>330</v>
      </c>
      <c r="M59" s="64"/>
      <c r="N59" s="64"/>
      <c r="O59" s="64"/>
      <c r="P59" s="64"/>
      <c r="Q59" s="64"/>
    </row>
    <row r="60" spans="1:17" x14ac:dyDescent="0.25">
      <c r="K60" s="357"/>
      <c r="L60" s="66" t="s">
        <v>331</v>
      </c>
      <c r="M60" s="64"/>
      <c r="N60" s="64"/>
      <c r="O60" s="64"/>
      <c r="P60" s="64"/>
      <c r="Q60" s="64"/>
    </row>
    <row r="61" spans="1:17" x14ac:dyDescent="0.25">
      <c r="K61" s="357"/>
      <c r="L61" s="66" t="s">
        <v>332</v>
      </c>
      <c r="M61" s="64"/>
      <c r="N61" s="64"/>
      <c r="O61" s="64"/>
      <c r="P61" s="64"/>
      <c r="Q61" s="64"/>
    </row>
    <row r="62" spans="1:17" x14ac:dyDescent="0.25">
      <c r="K62" s="357"/>
      <c r="L62" s="66" t="s">
        <v>333</v>
      </c>
      <c r="M62" s="64"/>
      <c r="N62" s="64"/>
      <c r="O62" s="64"/>
      <c r="P62" s="64"/>
      <c r="Q62" s="64"/>
    </row>
    <row r="63" spans="1:17" x14ac:dyDescent="0.25">
      <c r="K63" s="357"/>
      <c r="L63" s="66" t="s">
        <v>334</v>
      </c>
      <c r="M63" s="64"/>
      <c r="N63" s="64"/>
      <c r="O63" s="64"/>
      <c r="P63" s="64"/>
      <c r="Q63" s="64"/>
    </row>
    <row r="64" spans="1:17" x14ac:dyDescent="0.25">
      <c r="K64" s="357"/>
      <c r="L64" s="62" t="s">
        <v>335</v>
      </c>
      <c r="M64" s="62" t="e">
        <f>AVERAGE(M52:M63)</f>
        <v>#DIV/0!</v>
      </c>
      <c r="N64" s="62"/>
      <c r="O64" s="62">
        <f>MAX(O52:O63)</f>
        <v>0</v>
      </c>
      <c r="P64" s="62" t="e">
        <f>AVERAGE(P52:P63)</f>
        <v>#DIV/0!</v>
      </c>
      <c r="Q64" s="62">
        <f>MAX(Q52:Q63)</f>
        <v>0</v>
      </c>
    </row>
    <row r="66" spans="11:17" ht="27.6" x14ac:dyDescent="0.25">
      <c r="K66" s="61">
        <f>+A6</f>
        <v>2022</v>
      </c>
      <c r="L66" s="61" t="s">
        <v>317</v>
      </c>
      <c r="M66" s="55" t="s">
        <v>356</v>
      </c>
      <c r="N66" s="55" t="s">
        <v>357</v>
      </c>
      <c r="O66" s="55" t="s">
        <v>358</v>
      </c>
      <c r="P66" s="67" t="s">
        <v>315</v>
      </c>
      <c r="Q66" s="67" t="s">
        <v>319</v>
      </c>
    </row>
    <row r="67" spans="11:17" x14ac:dyDescent="0.25">
      <c r="K67" s="357" t="s">
        <v>166</v>
      </c>
      <c r="L67" s="66" t="s">
        <v>320</v>
      </c>
      <c r="M67" s="64"/>
      <c r="N67" s="64"/>
      <c r="O67" s="64"/>
      <c r="P67" s="64"/>
      <c r="Q67" s="64"/>
    </row>
    <row r="68" spans="11:17" x14ac:dyDescent="0.25">
      <c r="K68" s="357"/>
      <c r="L68" s="66" t="s">
        <v>321</v>
      </c>
      <c r="M68" s="64"/>
      <c r="N68" s="64"/>
      <c r="O68" s="64"/>
      <c r="P68" s="64"/>
      <c r="Q68" s="64"/>
    </row>
    <row r="69" spans="11:17" x14ac:dyDescent="0.25">
      <c r="K69" s="357"/>
      <c r="L69" s="66" t="s">
        <v>322</v>
      </c>
      <c r="M69" s="64"/>
      <c r="N69" s="64"/>
      <c r="O69" s="64"/>
      <c r="P69" s="64"/>
      <c r="Q69" s="64"/>
    </row>
    <row r="70" spans="11:17" x14ac:dyDescent="0.25">
      <c r="K70" s="357"/>
      <c r="L70" s="66" t="s">
        <v>324</v>
      </c>
      <c r="M70" s="64"/>
      <c r="N70" s="64"/>
      <c r="O70" s="64"/>
      <c r="P70" s="64"/>
      <c r="Q70" s="64"/>
    </row>
    <row r="71" spans="11:17" x14ac:dyDescent="0.25">
      <c r="K71" s="357"/>
      <c r="L71" s="66" t="s">
        <v>326</v>
      </c>
      <c r="M71" s="64"/>
      <c r="N71" s="64"/>
      <c r="O71" s="64"/>
      <c r="P71" s="64"/>
      <c r="Q71" s="64"/>
    </row>
    <row r="72" spans="11:17" x14ac:dyDescent="0.25">
      <c r="K72" s="357"/>
      <c r="L72" s="66" t="s">
        <v>327</v>
      </c>
      <c r="M72" s="64"/>
      <c r="N72" s="64"/>
      <c r="O72" s="64"/>
      <c r="P72" s="64"/>
      <c r="Q72" s="64"/>
    </row>
    <row r="73" spans="11:17" x14ac:dyDescent="0.25">
      <c r="K73" s="357"/>
      <c r="L73" s="66" t="s">
        <v>328</v>
      </c>
      <c r="M73" s="64"/>
      <c r="N73" s="64"/>
      <c r="O73" s="64"/>
      <c r="P73" s="64"/>
      <c r="Q73" s="64"/>
    </row>
    <row r="74" spans="11:17" x14ac:dyDescent="0.25">
      <c r="K74" s="357"/>
      <c r="L74" s="66" t="s">
        <v>330</v>
      </c>
      <c r="M74" s="64"/>
      <c r="N74" s="64"/>
      <c r="O74" s="64"/>
      <c r="P74" s="64"/>
      <c r="Q74" s="64"/>
    </row>
    <row r="75" spans="11:17" x14ac:dyDescent="0.25">
      <c r="K75" s="357"/>
      <c r="L75" s="66" t="s">
        <v>331</v>
      </c>
      <c r="M75" s="64"/>
      <c r="N75" s="64"/>
      <c r="O75" s="64"/>
      <c r="P75" s="64"/>
      <c r="Q75" s="64"/>
    </row>
    <row r="76" spans="11:17" x14ac:dyDescent="0.25">
      <c r="K76" s="357"/>
      <c r="L76" s="66" t="s">
        <v>332</v>
      </c>
      <c r="M76" s="64"/>
      <c r="N76" s="64"/>
      <c r="O76" s="64"/>
      <c r="P76" s="64"/>
      <c r="Q76" s="64"/>
    </row>
    <row r="77" spans="11:17" x14ac:dyDescent="0.25">
      <c r="K77" s="357"/>
      <c r="L77" s="66" t="s">
        <v>333</v>
      </c>
      <c r="M77" s="64"/>
      <c r="N77" s="64"/>
      <c r="O77" s="64"/>
      <c r="P77" s="64"/>
      <c r="Q77" s="64"/>
    </row>
    <row r="78" spans="11:17" x14ac:dyDescent="0.25">
      <c r="K78" s="357"/>
      <c r="L78" s="66" t="s">
        <v>334</v>
      </c>
      <c r="M78" s="64"/>
      <c r="N78" s="64"/>
      <c r="O78" s="64"/>
      <c r="P78" s="64"/>
      <c r="Q78" s="64"/>
    </row>
    <row r="79" spans="11:17" x14ac:dyDescent="0.25">
      <c r="K79" s="357"/>
      <c r="L79" s="62" t="s">
        <v>335</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abSelected="1" topLeftCell="C8" zoomScaleNormal="100" workbookViewId="0">
      <selection activeCell="B31" sqref="B31:I31"/>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5" t="str">
        <f>+'Cover Page'!$B$29</f>
        <v>Annual Performance Report 2022</v>
      </c>
      <c r="B1" s="95"/>
      <c r="C1" s="95"/>
      <c r="D1" s="95"/>
      <c r="E1" s="95" t="str">
        <f>+'Cover Page'!$B$33</f>
        <v>Clinitek (Stoke) LLP</v>
      </c>
    </row>
    <row r="3" spans="1:19" ht="14.4" x14ac:dyDescent="0.3">
      <c r="A3" s="60" t="s">
        <v>363</v>
      </c>
      <c r="D3" s="76" t="s">
        <v>304</v>
      </c>
      <c r="G3" s="80" t="s">
        <v>305</v>
      </c>
      <c r="J3" s="9" t="str">
        <f>+A3</f>
        <v xml:space="preserve">Monitoring of Ammnonia emissions </v>
      </c>
      <c r="L3" s="9"/>
      <c r="N3" s="9" t="s">
        <v>306</v>
      </c>
      <c r="Q3" s="79" t="s">
        <v>2</v>
      </c>
      <c r="R3" s="74"/>
      <c r="S3" s="74"/>
    </row>
    <row r="4" spans="1:19" ht="13.95" customHeight="1" x14ac:dyDescent="0.25">
      <c r="Q4" s="342" t="s">
        <v>307</v>
      </c>
      <c r="R4" s="342"/>
      <c r="S4" s="342"/>
    </row>
    <row r="5" spans="1:19" ht="16.2" x14ac:dyDescent="0.25">
      <c r="A5" s="68" t="s">
        <v>308</v>
      </c>
      <c r="B5" s="359" t="s">
        <v>309</v>
      </c>
      <c r="C5" s="359"/>
      <c r="D5" s="359"/>
      <c r="E5" s="359" t="s">
        <v>310</v>
      </c>
      <c r="F5" s="359"/>
      <c r="G5" s="359"/>
      <c r="J5" s="358"/>
      <c r="K5" s="358"/>
      <c r="L5" s="358"/>
      <c r="M5" s="358"/>
      <c r="N5" s="358"/>
      <c r="O5" s="358"/>
      <c r="Q5" s="342"/>
      <c r="R5" s="342"/>
      <c r="S5" s="342"/>
    </row>
    <row r="6" spans="1:19" s="58" customFormat="1" ht="37.5" customHeight="1" x14ac:dyDescent="0.3">
      <c r="A6" s="65">
        <f>+'Cover Page'!C39</f>
        <v>2022</v>
      </c>
      <c r="B6" s="55" t="s">
        <v>364</v>
      </c>
      <c r="C6" s="55" t="s">
        <v>312</v>
      </c>
      <c r="D6" s="55" t="s">
        <v>313</v>
      </c>
      <c r="E6" s="55" t="s">
        <v>365</v>
      </c>
      <c r="F6" s="55" t="s">
        <v>315</v>
      </c>
      <c r="G6" s="55" t="s">
        <v>316</v>
      </c>
      <c r="H6" s="59"/>
      <c r="J6" s="61">
        <f>+A6</f>
        <v>2022</v>
      </c>
      <c r="K6" s="61" t="s">
        <v>317</v>
      </c>
      <c r="L6" s="67" t="s">
        <v>312</v>
      </c>
      <c r="M6" s="67" t="s">
        <v>318</v>
      </c>
      <c r="N6" s="67" t="s">
        <v>315</v>
      </c>
      <c r="O6" s="67" t="s">
        <v>319</v>
      </c>
      <c r="Q6" s="342"/>
      <c r="R6" s="342"/>
      <c r="S6" s="342"/>
    </row>
    <row r="7" spans="1:19" x14ac:dyDescent="0.25">
      <c r="A7" s="66" t="s">
        <v>320</v>
      </c>
      <c r="B7" s="69">
        <v>0</v>
      </c>
      <c r="C7" s="64"/>
      <c r="D7" s="64"/>
      <c r="E7" s="69">
        <v>10</v>
      </c>
      <c r="F7" s="64"/>
      <c r="G7" s="64"/>
      <c r="J7" s="357" t="s">
        <v>162</v>
      </c>
      <c r="K7" s="66" t="s">
        <v>320</v>
      </c>
      <c r="L7" s="64"/>
      <c r="M7" s="64"/>
      <c r="N7" s="64"/>
      <c r="O7" s="64"/>
      <c r="Q7" s="342"/>
      <c r="R7" s="342"/>
      <c r="S7" s="342"/>
    </row>
    <row r="8" spans="1:19" x14ac:dyDescent="0.25">
      <c r="A8" s="66" t="s">
        <v>321</v>
      </c>
      <c r="B8" s="63">
        <f>+B7</f>
        <v>0</v>
      </c>
      <c r="C8" s="64"/>
      <c r="D8" s="64"/>
      <c r="E8" s="63">
        <f>+E7</f>
        <v>10</v>
      </c>
      <c r="F8" s="64"/>
      <c r="G8" s="64"/>
      <c r="J8" s="357"/>
      <c r="K8" s="66" t="s">
        <v>321</v>
      </c>
      <c r="L8" s="64"/>
      <c r="M8" s="64"/>
      <c r="N8" s="64"/>
      <c r="O8" s="64"/>
      <c r="Q8" s="342"/>
      <c r="R8" s="342"/>
      <c r="S8" s="342"/>
    </row>
    <row r="9" spans="1:19" x14ac:dyDescent="0.25">
      <c r="A9" s="66" t="s">
        <v>322</v>
      </c>
      <c r="B9" s="63">
        <f t="shared" ref="B9:B18" si="0">+B8</f>
        <v>0</v>
      </c>
      <c r="C9" s="64"/>
      <c r="D9" s="64"/>
      <c r="E9" s="63">
        <f t="shared" ref="E9:E18" si="1">+E8</f>
        <v>10</v>
      </c>
      <c r="F9" s="64"/>
      <c r="G9" s="64"/>
      <c r="J9" s="357"/>
      <c r="K9" s="66" t="s">
        <v>322</v>
      </c>
      <c r="L9" s="64"/>
      <c r="M9" s="64"/>
      <c r="N9" s="64"/>
      <c r="O9" s="64"/>
      <c r="Q9" s="78" t="s">
        <v>323</v>
      </c>
    </row>
    <row r="10" spans="1:19" ht="14.25" customHeight="1" x14ac:dyDescent="0.25">
      <c r="A10" s="66" t="s">
        <v>324</v>
      </c>
      <c r="B10" s="63">
        <f t="shared" si="0"/>
        <v>0</v>
      </c>
      <c r="C10" s="64"/>
      <c r="D10" s="64"/>
      <c r="E10" s="63">
        <f t="shared" si="1"/>
        <v>10</v>
      </c>
      <c r="F10" s="64"/>
      <c r="G10" s="64"/>
      <c r="J10" s="357"/>
      <c r="K10" s="66" t="s">
        <v>324</v>
      </c>
      <c r="L10" s="64"/>
      <c r="M10" s="64"/>
      <c r="N10" s="64"/>
      <c r="O10" s="64"/>
      <c r="Q10" s="356" t="s">
        <v>325</v>
      </c>
      <c r="R10" s="356"/>
      <c r="S10" s="356"/>
    </row>
    <row r="11" spans="1:19" x14ac:dyDescent="0.25">
      <c r="A11" s="66" t="s">
        <v>326</v>
      </c>
      <c r="B11" s="63">
        <f t="shared" si="0"/>
        <v>0</v>
      </c>
      <c r="C11" s="64"/>
      <c r="D11" s="64"/>
      <c r="E11" s="63">
        <f t="shared" si="1"/>
        <v>10</v>
      </c>
      <c r="F11" s="64"/>
      <c r="G11" s="64"/>
      <c r="J11" s="357"/>
      <c r="K11" s="66" t="s">
        <v>326</v>
      </c>
      <c r="L11" s="64"/>
      <c r="M11" s="64"/>
      <c r="N11" s="64"/>
      <c r="O11" s="64"/>
      <c r="Q11" s="356"/>
      <c r="R11" s="356"/>
      <c r="S11" s="356"/>
    </row>
    <row r="12" spans="1:19" x14ac:dyDescent="0.25">
      <c r="A12" s="66" t="s">
        <v>327</v>
      </c>
      <c r="B12" s="63">
        <f t="shared" si="0"/>
        <v>0</v>
      </c>
      <c r="C12" s="64"/>
      <c r="D12" s="64"/>
      <c r="E12" s="63">
        <f t="shared" si="1"/>
        <v>10</v>
      </c>
      <c r="F12" s="64"/>
      <c r="G12" s="64"/>
      <c r="J12" s="357"/>
      <c r="K12" s="66" t="s">
        <v>327</v>
      </c>
      <c r="L12" s="64"/>
      <c r="M12" s="64"/>
      <c r="N12" s="64"/>
      <c r="O12" s="64"/>
      <c r="Q12" s="356"/>
      <c r="R12" s="356"/>
      <c r="S12" s="356"/>
    </row>
    <row r="13" spans="1:19" ht="14.25" customHeight="1" x14ac:dyDescent="0.25">
      <c r="A13" s="66" t="s">
        <v>328</v>
      </c>
      <c r="B13" s="63">
        <f t="shared" si="0"/>
        <v>0</v>
      </c>
      <c r="C13" s="64"/>
      <c r="D13" s="64"/>
      <c r="E13" s="63">
        <f t="shared" si="1"/>
        <v>10</v>
      </c>
      <c r="F13" s="64"/>
      <c r="G13" s="64"/>
      <c r="J13" s="357"/>
      <c r="K13" s="66" t="s">
        <v>328</v>
      </c>
      <c r="L13" s="64"/>
      <c r="M13" s="64"/>
      <c r="N13" s="64"/>
      <c r="O13" s="64"/>
      <c r="Q13" s="356" t="s">
        <v>329</v>
      </c>
      <c r="R13" s="356"/>
      <c r="S13" s="356"/>
    </row>
    <row r="14" spans="1:19" x14ac:dyDescent="0.25">
      <c r="A14" s="66" t="s">
        <v>330</v>
      </c>
      <c r="B14" s="63">
        <f t="shared" si="0"/>
        <v>0</v>
      </c>
      <c r="C14" s="64">
        <v>134.93</v>
      </c>
      <c r="D14" s="64">
        <v>1170.4100000000001</v>
      </c>
      <c r="E14" s="63">
        <f t="shared" si="1"/>
        <v>10</v>
      </c>
      <c r="F14" s="64"/>
      <c r="G14" s="64"/>
      <c r="J14" s="357"/>
      <c r="K14" s="66" t="s">
        <v>330</v>
      </c>
      <c r="L14" s="64">
        <v>134.93</v>
      </c>
      <c r="M14" s="64">
        <v>1170.4100000000001</v>
      </c>
      <c r="N14" s="64"/>
      <c r="O14" s="64"/>
      <c r="Q14" s="356"/>
      <c r="R14" s="356"/>
      <c r="S14" s="356"/>
    </row>
    <row r="15" spans="1:19" x14ac:dyDescent="0.25">
      <c r="A15" s="66" t="s">
        <v>331</v>
      </c>
      <c r="B15" s="63">
        <f t="shared" si="0"/>
        <v>0</v>
      </c>
      <c r="C15" s="64">
        <v>1.71</v>
      </c>
      <c r="D15" s="64">
        <v>24.8</v>
      </c>
      <c r="E15" s="63">
        <f t="shared" si="1"/>
        <v>10</v>
      </c>
      <c r="F15" s="64">
        <v>1.95</v>
      </c>
      <c r="G15" s="64">
        <v>2.0299999999999998</v>
      </c>
      <c r="J15" s="357"/>
      <c r="K15" s="66" t="s">
        <v>331</v>
      </c>
      <c r="L15" s="64">
        <v>1.71</v>
      </c>
      <c r="M15" s="64">
        <v>24.8</v>
      </c>
      <c r="N15" s="64">
        <v>1.95</v>
      </c>
      <c r="O15" s="64">
        <v>2.0299999999999998</v>
      </c>
      <c r="Q15" s="356"/>
      <c r="R15" s="356"/>
      <c r="S15" s="356"/>
    </row>
    <row r="16" spans="1:19" x14ac:dyDescent="0.25">
      <c r="A16" s="66" t="s">
        <v>332</v>
      </c>
      <c r="B16" s="63">
        <f t="shared" si="0"/>
        <v>0</v>
      </c>
      <c r="C16" s="64">
        <v>0.3</v>
      </c>
      <c r="D16" s="64">
        <v>5.67</v>
      </c>
      <c r="E16" s="63">
        <f t="shared" si="1"/>
        <v>10</v>
      </c>
      <c r="F16" s="64">
        <v>0.54</v>
      </c>
      <c r="G16" s="64">
        <v>0.54</v>
      </c>
      <c r="J16" s="357"/>
      <c r="K16" s="66" t="s">
        <v>332</v>
      </c>
      <c r="L16" s="64">
        <v>0.3</v>
      </c>
      <c r="M16" s="64">
        <v>5.67</v>
      </c>
      <c r="N16" s="64">
        <v>0.54</v>
      </c>
      <c r="O16" s="64">
        <v>0.54</v>
      </c>
      <c r="Q16" s="356"/>
      <c r="R16" s="356"/>
      <c r="S16" s="356"/>
    </row>
    <row r="17" spans="1:15" x14ac:dyDescent="0.25">
      <c r="A17" s="66" t="s">
        <v>333</v>
      </c>
      <c r="B17" s="63">
        <f t="shared" si="0"/>
        <v>0</v>
      </c>
      <c r="C17" s="64">
        <v>1.27</v>
      </c>
      <c r="D17" s="64">
        <v>22.9</v>
      </c>
      <c r="E17" s="63">
        <f t="shared" si="1"/>
        <v>10</v>
      </c>
      <c r="F17" s="64">
        <v>0.53</v>
      </c>
      <c r="G17" s="64">
        <v>0.53</v>
      </c>
      <c r="J17" s="357"/>
      <c r="K17" s="66" t="s">
        <v>333</v>
      </c>
      <c r="L17" s="64">
        <v>1.27</v>
      </c>
      <c r="M17" s="64">
        <v>22.9</v>
      </c>
      <c r="N17" s="64">
        <v>0.53</v>
      </c>
      <c r="O17" s="64">
        <v>0.53</v>
      </c>
    </row>
    <row r="18" spans="1:15" x14ac:dyDescent="0.25">
      <c r="A18" s="66" t="s">
        <v>334</v>
      </c>
      <c r="B18" s="63">
        <f t="shared" si="0"/>
        <v>0</v>
      </c>
      <c r="C18" s="64">
        <v>0.27</v>
      </c>
      <c r="D18" s="64">
        <v>11.1</v>
      </c>
      <c r="E18" s="63">
        <f t="shared" si="1"/>
        <v>10</v>
      </c>
      <c r="F18" s="64">
        <v>0.38</v>
      </c>
      <c r="G18" s="64">
        <v>0.73</v>
      </c>
      <c r="J18" s="357"/>
      <c r="K18" s="66" t="s">
        <v>334</v>
      </c>
      <c r="L18" s="64">
        <v>0.27</v>
      </c>
      <c r="M18" s="64">
        <v>11.1</v>
      </c>
      <c r="N18" s="64">
        <v>0.38</v>
      </c>
      <c r="O18" s="64">
        <v>0.73</v>
      </c>
    </row>
    <row r="19" spans="1:15" x14ac:dyDescent="0.25">
      <c r="J19" s="357"/>
      <c r="K19" s="62" t="s">
        <v>335</v>
      </c>
      <c r="L19" s="62">
        <f>AVERAGE(L7:L18)</f>
        <v>27.696000000000009</v>
      </c>
      <c r="M19" s="62">
        <f>MAX(M7:M18)</f>
        <v>1170.4100000000001</v>
      </c>
      <c r="N19" s="62">
        <f>AVERAGE(N7:N18)</f>
        <v>0.85000000000000009</v>
      </c>
      <c r="O19" s="62">
        <f>MAX(O7:O18)</f>
        <v>2.0299999999999998</v>
      </c>
    </row>
    <row r="21" spans="1:15" ht="41.4" x14ac:dyDescent="0.25">
      <c r="J21" s="61">
        <f>+A6</f>
        <v>2022</v>
      </c>
      <c r="K21" s="61" t="s">
        <v>317</v>
      </c>
      <c r="L21" s="67" t="s">
        <v>312</v>
      </c>
      <c r="M21" s="67" t="s">
        <v>318</v>
      </c>
      <c r="N21" s="67" t="s">
        <v>315</v>
      </c>
      <c r="O21" s="67" t="s">
        <v>319</v>
      </c>
    </row>
    <row r="22" spans="1:15" x14ac:dyDescent="0.25">
      <c r="J22" s="357" t="s">
        <v>163</v>
      </c>
      <c r="K22" s="66" t="s">
        <v>320</v>
      </c>
      <c r="L22" s="64"/>
      <c r="M22" s="64"/>
      <c r="N22" s="64"/>
      <c r="O22" s="64"/>
    </row>
    <row r="23" spans="1:15" x14ac:dyDescent="0.25">
      <c r="J23" s="357"/>
      <c r="K23" s="66" t="s">
        <v>321</v>
      </c>
      <c r="L23" s="64"/>
      <c r="M23" s="64"/>
      <c r="N23" s="64"/>
      <c r="O23" s="64"/>
    </row>
    <row r="24" spans="1:15" x14ac:dyDescent="0.25">
      <c r="J24" s="357"/>
      <c r="K24" s="66" t="s">
        <v>322</v>
      </c>
      <c r="L24" s="64"/>
      <c r="M24" s="64"/>
      <c r="N24" s="64"/>
      <c r="O24" s="64"/>
    </row>
    <row r="25" spans="1:15" x14ac:dyDescent="0.25">
      <c r="J25" s="357"/>
      <c r="K25" s="66" t="s">
        <v>324</v>
      </c>
      <c r="L25" s="64"/>
      <c r="M25" s="64"/>
      <c r="N25" s="64"/>
      <c r="O25" s="64"/>
    </row>
    <row r="26" spans="1:15" x14ac:dyDescent="0.25">
      <c r="J26" s="357"/>
      <c r="K26" s="66" t="s">
        <v>326</v>
      </c>
      <c r="L26" s="64"/>
      <c r="M26" s="64"/>
      <c r="N26" s="64"/>
      <c r="O26" s="64"/>
    </row>
    <row r="27" spans="1:15" x14ac:dyDescent="0.25">
      <c r="J27" s="357"/>
      <c r="K27" s="66" t="s">
        <v>327</v>
      </c>
      <c r="L27" s="64"/>
      <c r="M27" s="64"/>
      <c r="N27" s="64"/>
      <c r="O27" s="64"/>
    </row>
    <row r="28" spans="1:15" x14ac:dyDescent="0.25">
      <c r="J28" s="357"/>
      <c r="K28" s="66" t="s">
        <v>328</v>
      </c>
      <c r="L28" s="64"/>
      <c r="M28" s="64"/>
      <c r="N28" s="64"/>
      <c r="O28" s="64"/>
    </row>
    <row r="29" spans="1:15" x14ac:dyDescent="0.25">
      <c r="J29" s="357"/>
      <c r="K29" s="66" t="s">
        <v>330</v>
      </c>
      <c r="L29" s="64"/>
      <c r="M29" s="64"/>
      <c r="N29" s="64"/>
      <c r="O29" s="64"/>
    </row>
    <row r="30" spans="1:15" x14ac:dyDescent="0.25">
      <c r="J30" s="357"/>
      <c r="K30" s="66" t="s">
        <v>331</v>
      </c>
      <c r="L30" s="64"/>
      <c r="M30" s="64"/>
      <c r="N30" s="64"/>
      <c r="O30" s="64"/>
    </row>
    <row r="31" spans="1:15" x14ac:dyDescent="0.25">
      <c r="B31" s="35" t="s">
        <v>367</v>
      </c>
      <c r="J31" s="357"/>
      <c r="K31" s="66" t="s">
        <v>332</v>
      </c>
      <c r="L31" s="64"/>
      <c r="M31" s="64"/>
      <c r="N31" s="64"/>
      <c r="O31" s="64"/>
    </row>
    <row r="32" spans="1:15" x14ac:dyDescent="0.25">
      <c r="J32" s="357"/>
      <c r="K32" s="66" t="s">
        <v>333</v>
      </c>
      <c r="L32" s="64"/>
      <c r="M32" s="64"/>
      <c r="N32" s="64"/>
      <c r="O32" s="64"/>
    </row>
    <row r="33" spans="1:15" x14ac:dyDescent="0.25">
      <c r="J33" s="357"/>
      <c r="K33" s="66" t="s">
        <v>334</v>
      </c>
      <c r="L33" s="64"/>
      <c r="M33" s="64"/>
      <c r="N33" s="64"/>
      <c r="O33" s="64"/>
    </row>
    <row r="34" spans="1:15" x14ac:dyDescent="0.25">
      <c r="J34" s="357"/>
      <c r="K34" s="62" t="s">
        <v>335</v>
      </c>
      <c r="L34" s="62" t="e">
        <f>AVERAGE(L22:L33)</f>
        <v>#DIV/0!</v>
      </c>
      <c r="M34" s="62">
        <f>MAX(M22:M33)</f>
        <v>0</v>
      </c>
      <c r="N34" s="62" t="e">
        <f>AVERAGE(N22:N33)</f>
        <v>#DIV/0!</v>
      </c>
      <c r="O34" s="62">
        <f>MAX(O22:O33)</f>
        <v>0</v>
      </c>
    </row>
    <row r="36" spans="1:15" ht="41.4" x14ac:dyDescent="0.25">
      <c r="J36" s="61">
        <f>+A6</f>
        <v>2022</v>
      </c>
      <c r="K36" s="61" t="s">
        <v>317</v>
      </c>
      <c r="L36" s="67" t="s">
        <v>312</v>
      </c>
      <c r="M36" s="67" t="s">
        <v>318</v>
      </c>
      <c r="N36" s="67" t="s">
        <v>315</v>
      </c>
      <c r="O36" s="67" t="s">
        <v>319</v>
      </c>
    </row>
    <row r="37" spans="1:15" x14ac:dyDescent="0.25">
      <c r="J37" s="357" t="s">
        <v>164</v>
      </c>
      <c r="K37" s="66" t="s">
        <v>320</v>
      </c>
      <c r="L37" s="64"/>
      <c r="M37" s="64"/>
      <c r="N37" s="64"/>
      <c r="O37" s="64"/>
    </row>
    <row r="38" spans="1:15" x14ac:dyDescent="0.25">
      <c r="J38" s="357"/>
      <c r="K38" s="66" t="s">
        <v>321</v>
      </c>
      <c r="L38" s="64"/>
      <c r="M38" s="64"/>
      <c r="N38" s="64"/>
      <c r="O38" s="64"/>
    </row>
    <row r="39" spans="1:15" x14ac:dyDescent="0.25">
      <c r="J39" s="357"/>
      <c r="K39" s="66" t="s">
        <v>322</v>
      </c>
      <c r="L39" s="64"/>
      <c r="M39" s="64"/>
      <c r="N39" s="64"/>
      <c r="O39" s="64"/>
    </row>
    <row r="40" spans="1:15" x14ac:dyDescent="0.25">
      <c r="J40" s="357"/>
      <c r="K40" s="66" t="s">
        <v>324</v>
      </c>
      <c r="L40" s="64"/>
      <c r="M40" s="64"/>
      <c r="N40" s="64"/>
      <c r="O40" s="64"/>
    </row>
    <row r="41" spans="1:15" x14ac:dyDescent="0.25">
      <c r="J41" s="357"/>
      <c r="K41" s="66" t="s">
        <v>326</v>
      </c>
      <c r="L41" s="64"/>
      <c r="M41" s="64"/>
      <c r="N41" s="64"/>
      <c r="O41" s="64"/>
    </row>
    <row r="42" spans="1:15" x14ac:dyDescent="0.25">
      <c r="J42" s="357"/>
      <c r="K42" s="66" t="s">
        <v>327</v>
      </c>
      <c r="L42" s="64"/>
      <c r="M42" s="64"/>
      <c r="N42" s="64"/>
      <c r="O42" s="64"/>
    </row>
    <row r="43" spans="1:15" x14ac:dyDescent="0.25">
      <c r="J43" s="357"/>
      <c r="K43" s="66" t="s">
        <v>328</v>
      </c>
      <c r="L43" s="64"/>
      <c r="M43" s="64"/>
      <c r="N43" s="64"/>
      <c r="O43" s="64"/>
    </row>
    <row r="44" spans="1:15" x14ac:dyDescent="0.25">
      <c r="J44" s="357"/>
      <c r="K44" s="66" t="s">
        <v>330</v>
      </c>
      <c r="L44" s="64"/>
      <c r="M44" s="64"/>
      <c r="N44" s="64"/>
      <c r="O44" s="64"/>
    </row>
    <row r="45" spans="1:15" x14ac:dyDescent="0.25">
      <c r="J45" s="357"/>
      <c r="K45" s="66" t="s">
        <v>331</v>
      </c>
      <c r="L45" s="64"/>
      <c r="M45" s="64"/>
      <c r="N45" s="64"/>
      <c r="O45" s="64"/>
    </row>
    <row r="46" spans="1:15" x14ac:dyDescent="0.25">
      <c r="J46" s="357"/>
      <c r="K46" s="66" t="s">
        <v>332</v>
      </c>
      <c r="L46" s="64"/>
      <c r="M46" s="64"/>
      <c r="N46" s="64"/>
      <c r="O46" s="64"/>
    </row>
    <row r="47" spans="1:15" x14ac:dyDescent="0.25">
      <c r="J47" s="357"/>
      <c r="K47" s="66" t="s">
        <v>333</v>
      </c>
      <c r="L47" s="64"/>
      <c r="M47" s="64"/>
      <c r="N47" s="64"/>
      <c r="O47" s="64"/>
    </row>
    <row r="48" spans="1:15" x14ac:dyDescent="0.25">
      <c r="A48" s="369" t="s">
        <v>233</v>
      </c>
      <c r="B48" s="370"/>
      <c r="C48" s="370"/>
      <c r="D48" s="370"/>
      <c r="E48" s="370"/>
      <c r="F48" s="370"/>
      <c r="G48" s="371"/>
      <c r="J48" s="357"/>
      <c r="K48" s="66" t="s">
        <v>334</v>
      </c>
      <c r="L48" s="64"/>
      <c r="M48" s="64"/>
      <c r="N48" s="64"/>
      <c r="O48" s="64"/>
    </row>
    <row r="49" spans="1:15" x14ac:dyDescent="0.25">
      <c r="A49" s="360" t="s">
        <v>366</v>
      </c>
      <c r="B49" s="361"/>
      <c r="C49" s="361"/>
      <c r="D49" s="361"/>
      <c r="E49" s="361"/>
      <c r="F49" s="361"/>
      <c r="G49" s="362"/>
      <c r="J49" s="357"/>
      <c r="K49" s="62" t="s">
        <v>335</v>
      </c>
      <c r="L49" s="62" t="e">
        <f>AVERAGE(L37:L48)</f>
        <v>#DIV/0!</v>
      </c>
      <c r="M49" s="62">
        <f>MAX(M37:M48)</f>
        <v>0</v>
      </c>
      <c r="N49" s="62" t="e">
        <f>AVERAGE(N37:N48)</f>
        <v>#DIV/0!</v>
      </c>
      <c r="O49" s="62">
        <f>MAX(O37:O48)</f>
        <v>0</v>
      </c>
    </row>
    <row r="50" spans="1:15" x14ac:dyDescent="0.25">
      <c r="A50" s="363"/>
      <c r="B50" s="364"/>
      <c r="C50" s="364"/>
      <c r="D50" s="364"/>
      <c r="E50" s="364"/>
      <c r="F50" s="364"/>
      <c r="G50" s="365"/>
    </row>
    <row r="51" spans="1:15" ht="41.4" x14ac:dyDescent="0.25">
      <c r="A51" s="363"/>
      <c r="B51" s="364"/>
      <c r="C51" s="364"/>
      <c r="D51" s="364"/>
      <c r="E51" s="364"/>
      <c r="F51" s="364"/>
      <c r="G51" s="365"/>
      <c r="J51" s="61">
        <f>+A6</f>
        <v>2022</v>
      </c>
      <c r="K51" s="61" t="s">
        <v>317</v>
      </c>
      <c r="L51" s="67" t="s">
        <v>312</v>
      </c>
      <c r="M51" s="67" t="s">
        <v>318</v>
      </c>
      <c r="N51" s="67" t="s">
        <v>315</v>
      </c>
      <c r="O51" s="67" t="s">
        <v>319</v>
      </c>
    </row>
    <row r="52" spans="1:15" x14ac:dyDescent="0.25">
      <c r="A52" s="366"/>
      <c r="B52" s="367"/>
      <c r="C52" s="367"/>
      <c r="D52" s="367"/>
      <c r="E52" s="367"/>
      <c r="F52" s="367"/>
      <c r="G52" s="368"/>
      <c r="J52" s="357" t="s">
        <v>165</v>
      </c>
      <c r="K52" s="66" t="s">
        <v>320</v>
      </c>
      <c r="L52" s="64"/>
      <c r="M52" s="64"/>
      <c r="N52" s="64"/>
      <c r="O52" s="64"/>
    </row>
    <row r="53" spans="1:15" x14ac:dyDescent="0.25">
      <c r="J53" s="357"/>
      <c r="K53" s="66" t="s">
        <v>321</v>
      </c>
      <c r="L53" s="64"/>
      <c r="M53" s="64"/>
      <c r="N53" s="64"/>
      <c r="O53" s="64"/>
    </row>
    <row r="54" spans="1:15" x14ac:dyDescent="0.25">
      <c r="J54" s="357"/>
      <c r="K54" s="66" t="s">
        <v>322</v>
      </c>
      <c r="L54" s="64"/>
      <c r="M54" s="64"/>
      <c r="N54" s="64"/>
      <c r="O54" s="64"/>
    </row>
    <row r="55" spans="1:15" x14ac:dyDescent="0.25">
      <c r="J55" s="357"/>
      <c r="K55" s="66" t="s">
        <v>324</v>
      </c>
      <c r="L55" s="64"/>
      <c r="M55" s="64"/>
      <c r="N55" s="64"/>
      <c r="O55" s="64"/>
    </row>
    <row r="56" spans="1:15" x14ac:dyDescent="0.25">
      <c r="J56" s="357"/>
      <c r="K56" s="66" t="s">
        <v>326</v>
      </c>
      <c r="L56" s="64"/>
      <c r="M56" s="64"/>
      <c r="N56" s="64"/>
      <c r="O56" s="64"/>
    </row>
    <row r="57" spans="1:15" x14ac:dyDescent="0.25">
      <c r="J57" s="357"/>
      <c r="K57" s="66" t="s">
        <v>327</v>
      </c>
      <c r="L57" s="64"/>
      <c r="M57" s="64"/>
      <c r="N57" s="64"/>
      <c r="O57" s="64"/>
    </row>
    <row r="58" spans="1:15" x14ac:dyDescent="0.25">
      <c r="J58" s="357"/>
      <c r="K58" s="66" t="s">
        <v>328</v>
      </c>
      <c r="L58" s="64"/>
      <c r="M58" s="64"/>
      <c r="N58" s="64"/>
      <c r="O58" s="64"/>
    </row>
    <row r="59" spans="1:15" x14ac:dyDescent="0.25">
      <c r="J59" s="357"/>
      <c r="K59" s="66" t="s">
        <v>330</v>
      </c>
      <c r="L59" s="64"/>
      <c r="M59" s="64"/>
      <c r="N59" s="64"/>
      <c r="O59" s="64"/>
    </row>
    <row r="60" spans="1:15" x14ac:dyDescent="0.25">
      <c r="J60" s="357"/>
      <c r="K60" s="66" t="s">
        <v>331</v>
      </c>
      <c r="L60" s="64"/>
      <c r="M60" s="64"/>
      <c r="N60" s="64"/>
      <c r="O60" s="64"/>
    </row>
    <row r="61" spans="1:15" x14ac:dyDescent="0.25">
      <c r="J61" s="357"/>
      <c r="K61" s="66" t="s">
        <v>332</v>
      </c>
      <c r="L61" s="64"/>
      <c r="M61" s="64"/>
      <c r="N61" s="64"/>
      <c r="O61" s="64"/>
    </row>
    <row r="62" spans="1:15" x14ac:dyDescent="0.25">
      <c r="J62" s="357"/>
      <c r="K62" s="66" t="s">
        <v>333</v>
      </c>
      <c r="L62" s="64"/>
      <c r="M62" s="64"/>
      <c r="N62" s="64"/>
      <c r="O62" s="64"/>
    </row>
    <row r="63" spans="1:15" x14ac:dyDescent="0.25">
      <c r="J63" s="357"/>
      <c r="K63" s="66" t="s">
        <v>334</v>
      </c>
      <c r="L63" s="64"/>
      <c r="M63" s="64"/>
      <c r="N63" s="64"/>
      <c r="O63" s="64"/>
    </row>
    <row r="64" spans="1:15" x14ac:dyDescent="0.25">
      <c r="J64" s="357"/>
      <c r="K64" s="62" t="s">
        <v>335</v>
      </c>
      <c r="L64" s="62" t="e">
        <f>AVERAGE(L52:L63)</f>
        <v>#DIV/0!</v>
      </c>
      <c r="M64" s="62">
        <f>MAX(M52:M63)</f>
        <v>0</v>
      </c>
      <c r="N64" s="62" t="e">
        <f>AVERAGE(N52:N63)</f>
        <v>#DIV/0!</v>
      </c>
      <c r="O64" s="62">
        <f>MAX(O52:O63)</f>
        <v>0</v>
      </c>
    </row>
    <row r="66" spans="10:15" ht="41.4" x14ac:dyDescent="0.25">
      <c r="J66" s="61">
        <f>+A6</f>
        <v>2022</v>
      </c>
      <c r="K66" s="61" t="s">
        <v>317</v>
      </c>
      <c r="L66" s="67" t="s">
        <v>312</v>
      </c>
      <c r="M66" s="67" t="s">
        <v>318</v>
      </c>
      <c r="N66" s="67" t="s">
        <v>315</v>
      </c>
      <c r="O66" s="67" t="s">
        <v>319</v>
      </c>
    </row>
    <row r="67" spans="10:15" x14ac:dyDescent="0.25">
      <c r="J67" s="357" t="s">
        <v>166</v>
      </c>
      <c r="K67" s="66" t="s">
        <v>320</v>
      </c>
      <c r="L67" s="64"/>
      <c r="M67" s="64"/>
      <c r="N67" s="64"/>
      <c r="O67" s="64"/>
    </row>
    <row r="68" spans="10:15" x14ac:dyDescent="0.25">
      <c r="J68" s="357"/>
      <c r="K68" s="66" t="s">
        <v>321</v>
      </c>
      <c r="L68" s="64"/>
      <c r="M68" s="64"/>
      <c r="N68" s="64"/>
      <c r="O68" s="64"/>
    </row>
    <row r="69" spans="10:15" x14ac:dyDescent="0.25">
      <c r="J69" s="357"/>
      <c r="K69" s="66" t="s">
        <v>322</v>
      </c>
      <c r="L69" s="64"/>
      <c r="M69" s="64"/>
      <c r="N69" s="64"/>
      <c r="O69" s="64"/>
    </row>
    <row r="70" spans="10:15" x14ac:dyDescent="0.25">
      <c r="J70" s="357"/>
      <c r="K70" s="66" t="s">
        <v>324</v>
      </c>
      <c r="L70" s="64"/>
      <c r="M70" s="64"/>
      <c r="N70" s="64"/>
      <c r="O70" s="64"/>
    </row>
    <row r="71" spans="10:15" x14ac:dyDescent="0.25">
      <c r="J71" s="357"/>
      <c r="K71" s="66" t="s">
        <v>326</v>
      </c>
      <c r="L71" s="64"/>
      <c r="M71" s="64"/>
      <c r="N71" s="64"/>
      <c r="O71" s="64"/>
    </row>
    <row r="72" spans="10:15" x14ac:dyDescent="0.25">
      <c r="J72" s="357"/>
      <c r="K72" s="66" t="s">
        <v>327</v>
      </c>
      <c r="L72" s="64"/>
      <c r="M72" s="64"/>
      <c r="N72" s="64"/>
      <c r="O72" s="64"/>
    </row>
    <row r="73" spans="10:15" x14ac:dyDescent="0.25">
      <c r="J73" s="357"/>
      <c r="K73" s="66" t="s">
        <v>328</v>
      </c>
      <c r="L73" s="64"/>
      <c r="M73" s="64"/>
      <c r="N73" s="64"/>
      <c r="O73" s="64"/>
    </row>
    <row r="74" spans="10:15" x14ac:dyDescent="0.25">
      <c r="J74" s="357"/>
      <c r="K74" s="66" t="s">
        <v>330</v>
      </c>
      <c r="L74" s="64"/>
      <c r="M74" s="64"/>
      <c r="N74" s="64"/>
      <c r="O74" s="64"/>
    </row>
    <row r="75" spans="10:15" x14ac:dyDescent="0.25">
      <c r="J75" s="357"/>
      <c r="K75" s="66" t="s">
        <v>331</v>
      </c>
      <c r="L75" s="64"/>
      <c r="M75" s="64"/>
      <c r="N75" s="64"/>
      <c r="O75" s="64"/>
    </row>
    <row r="76" spans="10:15" x14ac:dyDescent="0.25">
      <c r="J76" s="357"/>
      <c r="K76" s="66" t="s">
        <v>332</v>
      </c>
      <c r="L76" s="64"/>
      <c r="M76" s="64"/>
      <c r="N76" s="64"/>
      <c r="O76" s="64"/>
    </row>
    <row r="77" spans="10:15" x14ac:dyDescent="0.25">
      <c r="J77" s="357"/>
      <c r="K77" s="66" t="s">
        <v>333</v>
      </c>
      <c r="L77" s="64"/>
      <c r="M77" s="64"/>
      <c r="N77" s="64"/>
      <c r="O77" s="64"/>
    </row>
    <row r="78" spans="10:15" x14ac:dyDescent="0.25">
      <c r="J78" s="357"/>
      <c r="K78" s="66" t="s">
        <v>334</v>
      </c>
      <c r="L78" s="64"/>
      <c r="M78" s="64"/>
      <c r="N78" s="64"/>
      <c r="O78" s="64"/>
    </row>
    <row r="79" spans="10:15" x14ac:dyDescent="0.25">
      <c r="J79" s="357"/>
      <c r="K79" s="62" t="s">
        <v>335</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_ip_UnifiedCompliancePolicyUIAction xmlns="http://schemas.microsoft.com/sharepoint/v3" xsi:nil="true"/>
    <_ip_UnifiedCompliancePolicyProperties xmlns="http://schemas.microsoft.com/sharepoint/v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83EAD66-5EE7-4D5A-98ED-194772A65E28}">
  <ds:schemaRefs>
    <ds:schemaRef ds:uri="Microsoft.SharePoint.Taxonomy.ContentTypeSync"/>
  </ds:schemaRefs>
</ds:datastoreItem>
</file>

<file path=customXml/itemProps2.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3.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customXml/itemProps4.xml><?xml version="1.0" encoding="utf-8"?>
<ds:datastoreItem xmlns:ds="http://schemas.openxmlformats.org/officeDocument/2006/customXml" ds:itemID="{070A0E51-203B-49CE-B4A1-0920D68671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Residue Quality </vt:lpstr>
      <vt:lpstr>Water</vt:lpstr>
      <vt:lpstr>Air (periodic)</vt:lpstr>
      <vt:lpstr>HCl</vt:lpstr>
      <vt:lpstr>SO2</vt:lpstr>
      <vt:lpstr>NOx</vt:lpstr>
      <vt:lpstr>Air (CEMS)</vt:lpstr>
      <vt:lpstr>TOC</vt:lpstr>
      <vt:lpstr>Particulates</vt:lpstr>
      <vt:lpstr>CO 0.5hourly</vt:lpstr>
      <vt:lpstr>CO 95% 10 min</vt:lpstr>
      <vt:lpstr>NH3</vt:lpstr>
      <vt:lpstr>'Air (CEMS)'!Print_Area</vt:lpstr>
      <vt:lpstr>'Air (periodic)'!Print_Area</vt:lpstr>
      <vt:lpstr>'CO 0.5hourly'!Print_Area</vt:lpstr>
      <vt:lpstr>'CO 95% 10 min'!Print_Area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cp:lastPrinted>2023-02-01T14:41:56Z</cp:lastPrinted>
  <dcterms:created xsi:type="dcterms:W3CDTF">2019-04-02T06:44:55Z</dcterms:created>
  <dcterms:modified xsi:type="dcterms:W3CDTF">2023-03-22T17:39:23Z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Distribution">
    <vt:lpwstr>9;#Internal EA|b77da37e-7166-4741-8c12-4679faab22d9</vt:lpwstr>
  </property>
  <property fmtid="{D5CDD505-2E9C-101B-9397-08002B2CF9AE}" pid="4" name="HOCopyrightLevel">
    <vt:lpwstr>7;#Crown|69589897-2828-4761-976e-717fd8e631c9</vt:lpwstr>
  </property>
  <property fmtid="{D5CDD505-2E9C-101B-9397-08002B2CF9AE}" pid="5" name="HOGovernmentSecurityClassification">
    <vt:lpwstr>6;#Official|14c80daa-741b-422c-9722-f71693c9ede4</vt:lpwstr>
  </property>
  <property fmtid="{D5CDD505-2E9C-101B-9397-08002B2CF9AE}" pid="6" name="HOSiteType">
    <vt:lpwstr>10;#Community|144ac7d7-0b9a-42f9-9385-2935294b6de3</vt:lpwstr>
  </property>
  <property fmtid="{D5CDD505-2E9C-101B-9397-08002B2CF9AE}" pid="7" name="OrganisationalUnit">
    <vt:lpwstr>8;#EA|d5f78ddb-b1b6-4328-9877-d7e3ed06fdac</vt:lpwstr>
  </property>
  <property fmtid="{D5CDD505-2E9C-101B-9397-08002B2CF9AE}" pid="8" name="InformationType">
    <vt:lpwstr/>
  </property>
</Properties>
</file>