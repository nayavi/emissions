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EmilyHingston\Sol Team Dropbox\Emily Hingston\Projects\Cobalt Energy\2. Annual Reports\Stoke\"/>
    </mc:Choice>
  </mc:AlternateContent>
  <xr:revisionPtr revIDLastSave="0" documentId="13_ncr:1_{15952D57-5F58-45AA-9BE5-E457C5922055}" xr6:coauthVersionLast="47" xr6:coauthVersionMax="47" xr10:uidLastSave="{00000000-0000-0000-0000-000000000000}"/>
  <bookViews>
    <workbookView xWindow="-108" yWindow="-108" windowWidth="23256" windowHeight="12576" tabRatio="900" activeTab="3"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95% 10 min" sheetId="30" r:id="rId20"/>
    <sheet name="NH3" sheetId="31" r:id="rId21"/>
  </sheets>
  <definedNames>
    <definedName name="_xlnm.Print_Area" localSheetId="13">'Air (CEMS)'!$A$1:$M$30</definedName>
    <definedName name="_xlnm.Print_Area" localSheetId="12">'Air (periodic)'!$A$1:$J$41</definedName>
    <definedName name="_xlnm.Print_Area" localSheetId="19">'CO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Info'!$A$1:$I$76</definedName>
    <definedName name="_xlnm.Print_Area" localSheetId="14">HCl!$A$1:$G$52</definedName>
    <definedName name="_xlnm.Print_Area" localSheetId="8">Improvements!$A$1:$J$48</definedName>
    <definedName name="_xlnm.Print_Area" localSheetId="20">'NH3'!$A$1:$G$52</definedName>
    <definedName name="_xlnm.Print_Area" localSheetId="16">NOx!$A$1:$G$52</definedName>
    <definedName name="_xlnm.Print_Area" localSheetId="3">'Operational Data'!$A$1:$H$59</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Compliance'!$A$1:$J$49</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4" i="30" l="1"/>
  <c r="G25" i="24" s="1"/>
  <c r="N19" i="30"/>
  <c r="E25" i="24" s="1"/>
  <c r="F8" i="3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G8" i="30"/>
  <c r="H8" i="30"/>
  <c r="G9" i="30"/>
  <c r="H9" i="30"/>
  <c r="G10" i="30"/>
  <c r="H10" i="30"/>
  <c r="G11" i="30"/>
  <c r="H11" i="30"/>
  <c r="G12" i="30"/>
  <c r="H12" i="30"/>
  <c r="G13" i="30"/>
  <c r="H13" i="30"/>
  <c r="G14" i="30"/>
  <c r="H14" i="30"/>
  <c r="G15" i="30"/>
  <c r="H15" i="30"/>
  <c r="G16" i="30"/>
  <c r="H16" i="30"/>
  <c r="G17" i="30"/>
  <c r="H17" i="30"/>
  <c r="G18" i="30"/>
  <c r="H18"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H7" i="30"/>
  <c r="G7" i="30"/>
  <c r="E7" i="30"/>
  <c r="D7" i="30"/>
  <c r="C7" i="30"/>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G7" i="28"/>
  <c r="F7" i="28"/>
  <c r="D7" i="28"/>
  <c r="C7" i="28"/>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F8" i="26"/>
  <c r="G8" i="26"/>
  <c r="F9" i="26"/>
  <c r="G9" i="26"/>
  <c r="F10" i="26"/>
  <c r="G10" i="26"/>
  <c r="F11" i="26"/>
  <c r="G11" i="26"/>
  <c r="F12" i="26"/>
  <c r="G12" i="26"/>
  <c r="F13" i="26"/>
  <c r="G13" i="26"/>
  <c r="F14" i="26"/>
  <c r="G14" i="26"/>
  <c r="F15" i="26"/>
  <c r="G15" i="26"/>
  <c r="F16" i="26"/>
  <c r="G16" i="26"/>
  <c r="F17" i="26"/>
  <c r="G17" i="26"/>
  <c r="F18" i="26"/>
  <c r="G18" i="26"/>
  <c r="C8" i="26"/>
  <c r="D8" i="26"/>
  <c r="C9" i="26"/>
  <c r="D9" i="26"/>
  <c r="C10" i="26"/>
  <c r="D10" i="26"/>
  <c r="C11" i="26"/>
  <c r="D11" i="26"/>
  <c r="C12" i="26"/>
  <c r="D12" i="26"/>
  <c r="C13" i="26"/>
  <c r="D13" i="26"/>
  <c r="C14" i="26"/>
  <c r="D14" i="26"/>
  <c r="C15" i="26"/>
  <c r="D15" i="26"/>
  <c r="C16" i="26"/>
  <c r="D16" i="26"/>
  <c r="C17" i="26"/>
  <c r="D17" i="26"/>
  <c r="C18" i="26"/>
  <c r="D18" i="26"/>
  <c r="G7" i="26"/>
  <c r="F7" i="26"/>
  <c r="D7" i="26"/>
  <c r="C7" i="26"/>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C53" i="6"/>
  <c r="D53" i="6"/>
  <c r="E53" i="6"/>
  <c r="F53" i="6"/>
  <c r="G43" i="6"/>
  <c r="H43" i="6" s="1"/>
  <c r="G44" i="6"/>
  <c r="G45" i="6"/>
  <c r="G46" i="6"/>
  <c r="G47" i="6"/>
  <c r="G48" i="6"/>
  <c r="G41" i="6"/>
  <c r="E1" i="5" l="1"/>
  <c r="G12" i="6"/>
  <c r="I20" i="7"/>
  <c r="I21" i="7"/>
  <c r="I22" i="7"/>
  <c r="I12" i="7"/>
  <c r="I13" i="7"/>
  <c r="I14" i="7"/>
  <c r="C15" i="6" l="1"/>
  <c r="H55" i="6" l="1"/>
  <c r="G13" i="6" l="1"/>
  <c r="H13" i="6" s="1"/>
  <c r="G39" i="6"/>
  <c r="E35" i="7" s="1"/>
  <c r="J3" i="31" l="1"/>
  <c r="J3" i="30"/>
  <c r="J3" i="28"/>
  <c r="J3" i="27"/>
  <c r="J3" i="26"/>
  <c r="J3" i="25"/>
  <c r="J3" i="13"/>
  <c r="G16" i="6" l="1"/>
  <c r="G54" i="6" l="1"/>
  <c r="G59" i="6"/>
  <c r="G58" i="6"/>
  <c r="H58" i="6" s="1"/>
  <c r="G57" i="6"/>
  <c r="G55" i="6"/>
  <c r="G51" i="6"/>
  <c r="G52" i="6"/>
  <c r="D46" i="7" l="1"/>
  <c r="H52" i="6"/>
  <c r="C46" i="7"/>
  <c r="H51" i="6"/>
  <c r="I46" i="7"/>
  <c r="H54" i="6"/>
  <c r="G53" i="6"/>
  <c r="H53" i="6" s="1"/>
  <c r="D15" i="6"/>
  <c r="E15" i="6"/>
  <c r="F15" i="6"/>
  <c r="G18"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A1" i="6"/>
  <c r="A1" i="5"/>
  <c r="E1" i="4"/>
  <c r="A1" i="4"/>
  <c r="E1" i="3"/>
  <c r="A1" i="3"/>
  <c r="O34" i="31"/>
  <c r="F26" i="24" s="1"/>
  <c r="N34" i="31"/>
  <c r="G26" i="24" s="1"/>
  <c r="M34" i="31"/>
  <c r="L34" i="31"/>
  <c r="O19" i="31"/>
  <c r="D26" i="24" s="1"/>
  <c r="N19" i="31"/>
  <c r="E26"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Q34" i="30"/>
  <c r="F24" i="24" s="1"/>
  <c r="P34" i="30"/>
  <c r="G24" i="24" s="1"/>
  <c r="O34" i="30"/>
  <c r="M34" i="30"/>
  <c r="F25" i="24" s="1"/>
  <c r="Q19" i="30"/>
  <c r="D24" i="24" s="1"/>
  <c r="P19" i="30"/>
  <c r="E24" i="24" s="1"/>
  <c r="O19" i="30"/>
  <c r="M19" i="30"/>
  <c r="D25"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O34" i="28"/>
  <c r="F16" i="24" s="1"/>
  <c r="N34" i="28"/>
  <c r="G16" i="24" s="1"/>
  <c r="M34" i="28"/>
  <c r="F17" i="24" s="1"/>
  <c r="L34" i="28"/>
  <c r="G17" i="24" s="1"/>
  <c r="O19" i="28"/>
  <c r="D16" i="24" s="1"/>
  <c r="N19" i="28"/>
  <c r="E16" i="24" s="1"/>
  <c r="M19" i="28"/>
  <c r="D17" i="24" s="1"/>
  <c r="L19" i="28"/>
  <c r="E17" i="24" s="1"/>
  <c r="A6" i="28"/>
  <c r="O34" i="27"/>
  <c r="F18" i="24" s="1"/>
  <c r="N34" i="27"/>
  <c r="G18" i="24" s="1"/>
  <c r="M34" i="27"/>
  <c r="F19" i="24" s="1"/>
  <c r="L34" i="27"/>
  <c r="G19" i="24" s="1"/>
  <c r="O19" i="27"/>
  <c r="D18" i="24" s="1"/>
  <c r="N19" i="27"/>
  <c r="E18" i="24" s="1"/>
  <c r="M19" i="27"/>
  <c r="D19" i="24" s="1"/>
  <c r="L19" i="27"/>
  <c r="E19" i="24" s="1"/>
  <c r="A6" i="27"/>
  <c r="O34" i="26"/>
  <c r="F14" i="24" s="1"/>
  <c r="N34" i="26"/>
  <c r="G14" i="24" s="1"/>
  <c r="M34" i="26"/>
  <c r="F15" i="24" s="1"/>
  <c r="L34" i="26"/>
  <c r="G15" i="24" s="1"/>
  <c r="O19" i="26"/>
  <c r="D14" i="24" s="1"/>
  <c r="N19" i="26"/>
  <c r="E14" i="24" s="1"/>
  <c r="M19" i="26"/>
  <c r="D15" i="24" s="1"/>
  <c r="L19" i="26"/>
  <c r="E15" i="24" s="1"/>
  <c r="A6" i="26"/>
  <c r="O34" i="25"/>
  <c r="F22" i="24" s="1"/>
  <c r="N34" i="25"/>
  <c r="G22" i="24" s="1"/>
  <c r="M34" i="25"/>
  <c r="F23" i="24" s="1"/>
  <c r="L34" i="25"/>
  <c r="G23" i="24" s="1"/>
  <c r="O19" i="25"/>
  <c r="D22" i="24" s="1"/>
  <c r="N19" i="25"/>
  <c r="E22" i="24" s="1"/>
  <c r="M19" i="25"/>
  <c r="D23" i="24" s="1"/>
  <c r="L19" i="25"/>
  <c r="E23" i="24" s="1"/>
  <c r="A6" i="25"/>
  <c r="O34" i="13"/>
  <c r="F20" i="24" s="1"/>
  <c r="N34" i="13"/>
  <c r="G20" i="24" s="1"/>
  <c r="M34" i="13"/>
  <c r="F21" i="24" s="1"/>
  <c r="L34" i="13"/>
  <c r="G21" i="24" s="1"/>
  <c r="O19" i="13"/>
  <c r="D20" i="24" s="1"/>
  <c r="N19" i="13"/>
  <c r="E20" i="24" s="1"/>
  <c r="M19" i="13"/>
  <c r="D21" i="24" s="1"/>
  <c r="L19" i="13"/>
  <c r="E21" i="24" s="1"/>
  <c r="A6" i="13"/>
  <c r="J21" i="28" l="1"/>
  <c r="J21" i="27"/>
  <c r="J21" i="26"/>
  <c r="J21" i="25"/>
  <c r="J21" i="13"/>
  <c r="J6" i="13"/>
  <c r="J21" i="31"/>
  <c r="J6" i="31"/>
  <c r="K6" i="30"/>
  <c r="K21" i="30"/>
  <c r="J6" i="28"/>
  <c r="J6" i="27"/>
  <c r="J6" i="26"/>
  <c r="J6" i="25"/>
  <c r="D25" i="6"/>
  <c r="E25" i="6"/>
  <c r="F25" i="6"/>
  <c r="C25" i="6"/>
  <c r="G7" i="8"/>
  <c r="D7" i="8"/>
  <c r="B5" i="8"/>
  <c r="A3" i="8"/>
  <c r="A1" i="8"/>
  <c r="E23" i="7"/>
  <c r="G15" i="7"/>
  <c r="B4" i="7"/>
  <c r="A3" i="7"/>
  <c r="A1" i="7"/>
  <c r="A8" i="7" s="1"/>
  <c r="H59" i="6"/>
  <c r="H57" i="6"/>
  <c r="G42" i="6"/>
  <c r="G40" i="6"/>
  <c r="G38" i="6"/>
  <c r="G37" i="6"/>
  <c r="G36" i="6"/>
  <c r="G33" i="6"/>
  <c r="G19" i="7" s="1"/>
  <c r="I19" i="7" s="1"/>
  <c r="G32" i="6"/>
  <c r="G18" i="7" s="1"/>
  <c r="I18" i="7" s="1"/>
  <c r="G31" i="6"/>
  <c r="E11" i="7" s="1"/>
  <c r="I11" i="7" s="1"/>
  <c r="G27" i="6"/>
  <c r="G26" i="6"/>
  <c r="H26" i="6" s="1"/>
  <c r="G24" i="6"/>
  <c r="G23" i="6"/>
  <c r="H23" i="6" s="1"/>
  <c r="G22" i="6"/>
  <c r="G21" i="6"/>
  <c r="H21" i="6" s="1"/>
  <c r="G17" i="6"/>
  <c r="H17" i="6" s="1"/>
  <c r="G14" i="6"/>
  <c r="G11" i="6"/>
  <c r="G10" i="6"/>
  <c r="G9" i="6"/>
  <c r="G8" i="6"/>
  <c r="E15" i="7" l="1"/>
  <c r="G23" i="7"/>
  <c r="I23" i="7"/>
  <c r="I15" i="7"/>
  <c r="D14" i="8"/>
  <c r="H27" i="6"/>
  <c r="D11" i="8"/>
  <c r="H24" i="6"/>
  <c r="D12" i="8"/>
  <c r="H22" i="6"/>
  <c r="E33" i="7"/>
  <c r="H33" i="7" s="1"/>
  <c r="H35" i="7"/>
  <c r="H38" i="6"/>
  <c r="E37" i="7"/>
  <c r="H37" i="7" s="1"/>
  <c r="H41" i="6"/>
  <c r="E36" i="7"/>
  <c r="H36" i="7" s="1"/>
  <c r="G24" i="7"/>
  <c r="G15" i="6"/>
  <c r="H40" i="6" s="1"/>
  <c r="G25" i="6"/>
  <c r="E24" i="7"/>
  <c r="E34" i="7"/>
  <c r="H34" i="7" s="1"/>
  <c r="D10" i="8"/>
  <c r="G10" i="8"/>
  <c r="A31" i="7"/>
  <c r="A43" i="7" s="1"/>
  <c r="H37" i="6" l="1"/>
  <c r="H44" i="6"/>
  <c r="H47" i="6"/>
  <c r="H48" i="6"/>
  <c r="H46" i="6"/>
  <c r="H45" i="6"/>
  <c r="H18" i="6"/>
  <c r="H39" i="6"/>
  <c r="H36" i="6"/>
  <c r="H42" i="6"/>
  <c r="H12" i="6"/>
  <c r="I24" i="7"/>
  <c r="H8" i="6"/>
  <c r="H16" i="6"/>
  <c r="H33" i="6"/>
  <c r="H31" i="6"/>
  <c r="H10" i="6"/>
  <c r="G11" i="8"/>
  <c r="G12" i="8"/>
  <c r="H14" i="6"/>
  <c r="G14" i="8"/>
  <c r="H11" i="6"/>
  <c r="H9" i="6"/>
  <c r="H32" i="6"/>
</calcChain>
</file>

<file path=xl/sharedStrings.xml><?xml version="1.0" encoding="utf-8"?>
<sst xmlns="http://schemas.openxmlformats.org/spreadsheetml/2006/main" count="1073" uniqueCount="443">
  <si>
    <t>North Midlands Operations Limited</t>
  </si>
  <si>
    <t xml:space="preserve">Version 20.5 </t>
  </si>
  <si>
    <t>Add photo</t>
  </si>
  <si>
    <t>Notes:</t>
  </si>
  <si>
    <t>This template may require adjustments by individual operators to meet specific reporting requirements as defined in the site Permit(s)</t>
  </si>
  <si>
    <t>Annual Performance Report 2022</t>
  </si>
  <si>
    <t>Permit EPR/HP3341QV</t>
  </si>
  <si>
    <t>Stoke Energy from Waste Facility</t>
  </si>
  <si>
    <t>Year:</t>
  </si>
  <si>
    <t>Address:</t>
  </si>
  <si>
    <t>Campbell Road, Sideway, Stoke-On-Trent, Staffordshire, ST4 4DX</t>
  </si>
  <si>
    <t xml:space="preserve">Tel: </t>
  </si>
  <si>
    <t>01179 372 811</t>
  </si>
  <si>
    <t xml:space="preserve">Email: </t>
  </si>
  <si>
    <t>emily.hingston@sol-environment.co.uk</t>
  </si>
  <si>
    <t>Prepared by:</t>
  </si>
  <si>
    <t>Emily Hingston</t>
  </si>
  <si>
    <t>Position:</t>
  </si>
  <si>
    <t>Consultant</t>
  </si>
  <si>
    <t>Approved by:</t>
  </si>
  <si>
    <t>Kate Harrop</t>
  </si>
  <si>
    <t>Quality &amp; Environment Manager</t>
  </si>
  <si>
    <t>Version:</t>
  </si>
  <si>
    <t>Issue Date:</t>
  </si>
  <si>
    <t>TBC</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</si>
  <si>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</si>
  <si>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</si>
  <si>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</si>
  <si>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</si>
  <si>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</si>
  <si>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</si>
  <si>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</si>
  <si>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</si>
  <si>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</si>
  <si>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</si>
  <si>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</si>
  <si>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</si>
  <si>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</si>
  <si>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</si>
  <si>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</si>
  <si>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</si>
  <si>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</si>
  <si>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</si>
  <si>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</si>
  <si>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</si>
  <si>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</si>
  <si>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</si>
  <si>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</si>
  <si>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</si>
  <si>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</si>
  <si>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</si>
  <si>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</si>
  <si>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</si>
  <si>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</si>
  <si>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</si>
  <si>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</si>
  <si>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</si>
  <si>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</si>
  <si>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</si>
  <si>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Stoke Energy from Waste Facility utilises municipal waste to recover energy in the form of electricity and steam for export to the local grid. The facility processes approximately 210,000 tpa of waste in two combustion streams (combined capacity of 24 tonnes per hour) which operate using moving grate furnace systems.  The heat produced during combustion is converted to electrical energy by generating steam in high-pressure boilers and expanding the steam through a steam turbine.  When operating at full load, the plant will typically generate around 14.2 MW of electricity and, after satisfying its own power needs, exports approximately 12 MW of electricity to the grid. 
The installation provides a sustainable method of waste disposal and recovery for the whole of the North Staffordshire conurbation, comprising the districts of Stoke-on- Trent, Newcastle under Lyme, Staffordshire Moorlands the northern area of Stafford and limited quantities from East Staffordshire, Leicestershire and Derbyshire, which would usually be taken to landfill.
The process includes waste reception and storage, combustion, waste heat boilers, abatement of flue gases and the onsite storage of residues produced, namely IBA and APCr.
The plant is operated in accordance with its Environmental Management System which is designed to meet the requirements of ISO14001:2004.  </t>
  </si>
  <si>
    <t xml:space="preserve">Include summary of plant design, design capacity, no. of combustion lines, electrical and heat capacity and any other general information that describes the facility, its location and purpose </t>
  </si>
  <si>
    <t>Summary of Operational Processes and Procedures</t>
  </si>
  <si>
    <r>
      <t xml:space="preserve">The principle components of the process comprise the following:
</t>
    </r>
    <r>
      <rPr>
        <i/>
        <sz val="10"/>
        <color theme="1"/>
        <rFont val="Arial"/>
        <family val="2"/>
      </rPr>
      <t>Waste Acceptance and Reception</t>
    </r>
    <r>
      <rPr>
        <sz val="10"/>
        <color theme="1"/>
        <rFont val="Arial"/>
        <family val="2"/>
      </rPr>
      <t xml:space="preserve">: All waste is delivered directly into the fuel storage building and unloaded into the storage bunkers. When required, the waste is discharged onto the feedstock feed system, which delivers the waste into the furnaces via feed hoppers. All waste is accepted in accordance to the sites waste acceptance procedures.
</t>
    </r>
    <r>
      <rPr>
        <i/>
        <sz val="10"/>
        <color theme="1"/>
        <rFont val="Arial"/>
        <family val="2"/>
      </rPr>
      <t>Combustion</t>
    </r>
    <r>
      <rPr>
        <sz val="10"/>
        <color theme="1"/>
        <rFont val="Arial"/>
        <family val="2"/>
      </rPr>
      <t xml:space="preserve">: The feed ram ensures that material falls into the moving grate within the furnace in a controlled manner.  The moving grate ensures the waste is agitated as it progresses down the furnace to the ash discharge.  Primary air is introduced beneath the grate causing the waste to go through a series of drying and burning areas.  Secondary air is introduced from above the grate for combustion control.  Auxiliary oil fired burners are located in the combustion chamber for start up and temperature control.  The produced gases are resident in the combustion chamber at the 850C for at least 2seconds before transfer to the boiler , economiser and abatement plant. 
</t>
    </r>
    <r>
      <rPr>
        <i/>
        <sz val="10"/>
        <color theme="1"/>
        <rFont val="Arial"/>
        <family val="2"/>
      </rPr>
      <t>Electricity Generation</t>
    </r>
    <r>
      <rPr>
        <sz val="10"/>
        <color theme="1"/>
        <rFont val="Arial"/>
        <family val="2"/>
      </rPr>
      <t xml:space="preserve">: Each furnace is equipped with a 2-pass water tube boiler raising steam at 45 bar and 355C. The steam then passes to a Steam Turbine and Generator, which exports electricity to the grid.
</t>
    </r>
    <r>
      <rPr>
        <i/>
        <sz val="10"/>
        <color theme="1"/>
        <rFont val="Arial"/>
        <family val="2"/>
      </rPr>
      <t xml:space="preserve">Flue-Gas Cleaning: </t>
    </r>
    <r>
      <rPr>
        <sz val="10"/>
        <color theme="1"/>
        <rFont val="Arial"/>
        <family val="2"/>
      </rPr>
      <t>Flue gas cleaning and pollution control consists of urea injection for De-NOx, semi-dry scrubbing using lime for acid gas neutralisation and activated carbon powder injection for absorption and removal of heavy metals, dioxins, VOCs and other harmful substances.  Bag filters remove particulates prior to emission to atmosphere via a single 76m high stack.
Process effluent is treated onsite in the effluent treatment plant and recycled through the process. Any surplus is discharged to foul sewer.
The Plant is regulated under the terms of a Permit issued by the Environment Agency (HP3341QV) which contains conditions to ensure that the requirements of the Industrial Emissions Directive are incorporated and shall be met. 
North Midlands Operations Ltd operates all of its sites under an Integrated Management System certified to ISO 14001:2015 (environmental management), ISO 9001:2015 (quality management), and ISO 45001:2018 (health and safety management).  
In terms of plant operation, the incineration processes have been designed against the background of a detailed assessment of the prevailing environmental conditions at the site location, and are based upon the Best Available Technology (BAT) as detailed both in the original Authorisation application and the application for the Permit issued under the Pollution Prevention and Control (England and Wales) Regulations.  These include, but are not limited to, the following:
• Well proven process plant developed specifically for incineration of municipal solid wastes
• Efficient, comprehensive process control and monitoring systems to ensure optimum conditions for complete combustion of the wastes and to minimise emissions from the processes
• Operations confined within buildings under slight negative pressure in order to contain and minimise emissions such as dust and odour
• Qualified and experienced operating and maintenance personnel to implement procedures to ensure that the required high standards are maintained. Operating and Maintenance Procedures are established according to an internationally recognised system of quality assurance
• Multi-stage high efficiency flue gas cleaning systems comprising deNOx Selective Non-Catalytic Reduction (SNCR) for the removal of oxides of nitrogen, activated carbon and lime semi-dry acid gas scrubbing for controlling acid gas, dioxins/furans and mercury emissions
• Final stage flue gas abatement for particulate materials using fabric filtration
• Residues from the combustion process and from the flue gas cleaning system disposed of by approved means, maximising recycling wherever possible
• Waste water from the process is neutralised and recycled as far as is practicable to minimise the quantities released to sewers
• Provision of bunds or double skinned vessels for storage of fuel and chemicals in order to prevent accidental and inappropriate discharge to the public sewers and watercourse
The site is currently working towards compliance with the new Waste Incineration BAT Conclusions, to which compliance is required by 03.12.2023.</t>
    </r>
  </si>
  <si>
    <t>Include summary of key processes and procedures such as (but not limited to); waste reception, control rooms, grate, bed and boiler, energy &amp; heat  generation, cooling systems, residue management, emission controls, health and safety systems, maintenance</t>
  </si>
  <si>
    <t>Stoke EfW</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</si>
  <si>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</si>
  <si>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</si>
  <si>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</si>
  <si>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</si>
  <si>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</si>
  <si>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</si>
  <si>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</si>
  <si>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</si>
  <si>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</si>
  <si>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</si>
  <si>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</si>
  <si>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</si>
  <si>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</si>
  <si>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</si>
  <si>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</si>
  <si>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</si>
  <si>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</si>
  <si>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</si>
  <si>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</si>
  <si>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</si>
  <si>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</si>
  <si>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</si>
  <si>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</si>
  <si>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</si>
  <si>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</si>
  <si>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</si>
  <si>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</si>
  <si>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</si>
  <si>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</si>
  <si>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</si>
  <si>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</si>
  <si>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</si>
  <si>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</si>
  <si>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</si>
  <si>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</si>
  <si>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</si>
  <si>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</si>
  <si>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</si>
  <si>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</si>
  <si>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</si>
  <si>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</si>
  <si>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</si>
  <si>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</si>
  <si>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</si>
  <si>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</si>
  <si>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</si>
  <si>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</si>
  <si>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Raw Material Usage</t>
  </si>
  <si>
    <t>kg or Ltr /te</t>
  </si>
  <si>
    <t>Mains Water</t>
  </si>
  <si>
    <t>M3</t>
  </si>
  <si>
    <t>Other Water</t>
  </si>
  <si>
    <t>ltrs</t>
  </si>
  <si>
    <t>Ammonia</t>
  </si>
  <si>
    <t>kgs</t>
  </si>
  <si>
    <t>Urea</t>
  </si>
  <si>
    <t>Activated Carbon</t>
  </si>
  <si>
    <t>Lime / hydrated lime</t>
  </si>
  <si>
    <t>Fuel oil</t>
  </si>
  <si>
    <t>Gas</t>
  </si>
  <si>
    <t>cf</t>
  </si>
  <si>
    <t>HCl</t>
  </si>
  <si>
    <t>Caustic Soda</t>
  </si>
  <si>
    <t>O2 Reducer</t>
  </si>
  <si>
    <t>Phosphate</t>
  </si>
  <si>
    <t>Sodium hypochlorite</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</si>
  <si>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</si>
  <si>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</si>
  <si>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</si>
  <si>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</si>
  <si>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</si>
  <si>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</si>
  <si>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</si>
  <si>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</si>
  <si>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</si>
  <si>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</si>
  <si>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</si>
  <si>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</si>
  <si>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</si>
  <si>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</si>
  <si>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</si>
  <si>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</si>
  <si>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Statutory inspections were regularly performed.
In 2022, grate bar issues were the main reason of boiler unavailability in Stoke. After experiencing a number of quality issues, it has now been agreed that only Martin bars will be used for replacements.
The overall boiler availability for the year was 91%.
The turbine availability for the year was 88..41%.
• Extensive scheduled maintenance was undertaken at the plants annual planned shutdown period:
o Boilers thorough inspections performed. Thin pipes and worn refractory renewed. 
o Soot blowers and air hammers inspected and maintained.
o Combustion system thoroughly inspected and worn parts replaced. 
o Auxiliary burners inspected and serviced. 
o Hydraulic packs serviced.
o All 4 boiler pressure relief valves serviced. 
o Common vessels and main valves inspected. 
o Bag house filters and scrubbers cleaned, inspected and repaired where needed. The program of bags replacement continued. 
o Ducting and expansion joints inspections and repairs made. 
o Fly ash and bottom ash conveyors inspected and serviced. 
o Lime, urea and activated carbon systems cleaned and inspected. 
o Main fans and pumps inspected and serviced. The main electrical motors have been tested. 
o Main instrumentation calibrated. o Main electrical systems inspected and tested. 							</t>
  </si>
  <si>
    <t xml:space="preserve">Include summary of key operational and/or maintenance activity undertaken in the year, such as any major component upgrades and/or replacements </t>
  </si>
  <si>
    <t>Summary of Residue Handling for the reporting year</t>
  </si>
  <si>
    <t>There are two main sources of residue that arise from the operation of the plant;  Incinerator Bottom ash (IBA) (which also includes ferrous metals discharged within the ash), and residues from the flue gas treatment system - known as Air Pollution Control residue (APCr).
Residues from the flue gas treatment process (APCr) are discharged into an enclosed system which feed into double-skinned heavy-duty bags prior to removal from site for controlled treatment and disposal.  These residues account for around 5% of the total weight of all refuse processed by the facility.
The bottom ash produced by the site represents around 10% of the original volume of the refuse processed, and around 20% of its weight.  Bottom ash residues are discharged from the lower end of each grate into a water filled ash discharger, where it is quenched and then ejected onto a conveyor system. Larger items are screened out and ferrous metals are removed via magnetic separation.  
The resulting material is stored in the storage bunkers prior to removal from site for recycling - the storage capacity for bottom ash residues and separated ferrous metals is sufficient to ensure 4 days storage. Collections for delivery to further processing or treatment sites are made on Mondays to Fridays and are scheduled to ensure sufficient storage capacity is maintained at all times. Collections are available at weekends if operational conditions require this facility.
Bottom ash is now widely used in the UK and Europe as a substitute for valuable primary aggregate materials in the construction of roads and embankments.  Bottom ash from North Midlands Operations Ltd is currently being reprocessed, with additional ferrous and trace metals being removed, and the remaining material being further processed into usable aggregate in a zero to landfill process.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</si>
  <si>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</si>
  <si>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</si>
  <si>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</si>
  <si>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</si>
  <si>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</si>
  <si>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</si>
  <si>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</si>
  <si>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</si>
  <si>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</si>
  <si>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</si>
  <si>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</si>
  <si>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</si>
  <si>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</si>
  <si>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</si>
  <si>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</si>
  <si>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</si>
  <si>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</si>
  <si>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</si>
  <si>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</si>
  <si>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</si>
  <si>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</si>
  <si>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</si>
  <si>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</si>
  <si>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</si>
  <si>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</si>
  <si>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</si>
  <si>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</si>
  <si>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</si>
  <si>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</si>
  <si>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</si>
  <si>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</si>
  <si>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</si>
  <si>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</si>
  <si>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</si>
  <si>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</si>
  <si>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</si>
  <si>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</si>
  <si>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</si>
  <si>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</si>
  <si>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</si>
  <si>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Turbine 1</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</si>
  <si>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</si>
  <si>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</si>
  <si>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</si>
  <si>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</si>
  <si>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</si>
  <si>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</si>
  <si>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</si>
  <si>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</si>
  <si>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</si>
  <si>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</si>
  <si>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</si>
  <si>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</si>
  <si>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</si>
  <si>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</si>
  <si>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</si>
  <si>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</si>
  <si>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</si>
  <si>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</si>
  <si>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</si>
  <si>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</si>
  <si>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</si>
  <si>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</si>
  <si>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</si>
  <si>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</si>
  <si>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</si>
  <si>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</si>
  <si>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</si>
  <si>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</si>
  <si>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</si>
  <si>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</si>
  <si>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</si>
  <si>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Average</t>
  </si>
  <si>
    <t>Summary of any notifications or non-compliances under the permit</t>
  </si>
  <si>
    <t>Summary of notification or non-compliance [including Line/Reference]</t>
  </si>
  <si>
    <t xml:space="preserve">Reason </t>
  </si>
  <si>
    <t>Measures taken to prevent reoccurrence</t>
  </si>
  <si>
    <t>HCL Daily ELV breach (10.66 mg/m3)</t>
  </si>
  <si>
    <t>Lime screw tripped on overload</t>
  </si>
  <si>
    <t>Control valves opened and repairs carried out</t>
  </si>
  <si>
    <t>HCL Daily ELV breach (12.7 mg/m3)</t>
  </si>
  <si>
    <t>HCL 1/2 hrly ELV breach (95.77 mg/m3)</t>
  </si>
  <si>
    <t>HCL 1/2 hrly ELV breach (83.87 mg/m3)</t>
  </si>
  <si>
    <t>Duty lime delivery pump stator failed</t>
  </si>
  <si>
    <t>Inspected and repaired pump</t>
  </si>
  <si>
    <t>HCL 1/2 hrly ELV breach (61.71 mg/m3)</t>
  </si>
  <si>
    <t>Debris identified in dilution control valves</t>
  </si>
  <si>
    <t>Lime sampled for quality check, control valves opened</t>
  </si>
  <si>
    <t>HCL Daily ELV breach (10.59 mg/m3)</t>
  </si>
  <si>
    <t>HCL 1/2 hrly ELV breach (110.99 mg/m3)</t>
  </si>
  <si>
    <t>Poor waste quality</t>
  </si>
  <si>
    <t>Control valves opened. Increase waste mixing</t>
  </si>
  <si>
    <t>HCL 1/2 hrly ELV breach (128.82 mg/m3)</t>
  </si>
  <si>
    <t>Lime turbine failure due to power cable chaffing on steelwork</t>
  </si>
  <si>
    <t>Plant shutdown and repaired</t>
  </si>
  <si>
    <t>HCL Daily ELV breach (11.87 mg/m3)</t>
  </si>
  <si>
    <t>HCL 1/2 hrly ELV breach (84.2 mg/m3)</t>
  </si>
  <si>
    <t>Increase in lime dosing and waste mixing</t>
  </si>
  <si>
    <t>HCL Daily ELV breach (10.65 mg/m3)</t>
  </si>
  <si>
    <t>HCL 1/2 hrly ELV breach (85.59 mg/m3)</t>
  </si>
  <si>
    <t>Lime pump failure</t>
  </si>
  <si>
    <t>Switch to standby pump</t>
  </si>
  <si>
    <t>HCL 1/2 hrly ELV breach (68.01 mg/m3)</t>
  </si>
  <si>
    <t>Lime turbine failure</t>
  </si>
  <si>
    <t>Switch to standby turbine</t>
  </si>
  <si>
    <t>HCL Daily ELV breach (11.24 mg/m3)</t>
  </si>
  <si>
    <t>Change in defective equipment</t>
  </si>
  <si>
    <t>HCL Daily ELV breach (10.17 mg/m3)</t>
  </si>
  <si>
    <t>Reduce quantity of HWRC waste, increase mixing and increase lime flow</t>
  </si>
  <si>
    <t>Periodic Testing: Stack A2 breach of dioxin/furan (I-TEQ) ELV (0.1465 mg/m3)</t>
  </si>
  <si>
    <t>Unclear</t>
  </si>
  <si>
    <t>Report not provided to current operator in timely manner to undergo investigation</t>
  </si>
  <si>
    <t>HCL 1/2 hrly ELV breach (136.65 mg/m3)</t>
  </si>
  <si>
    <t>Boilers cleaned reducing FGT temperature, in turn reducing lime slurry volumes</t>
  </si>
  <si>
    <t xml:space="preserve">Lime valve opened </t>
  </si>
  <si>
    <t>HCL Daily ELV breach (11.05 mg/m3)</t>
  </si>
  <si>
    <t>HCL Daily ELV breach (12.95 mg/m3)</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</si>
  <si>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</si>
  <si>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</si>
  <si>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</si>
  <si>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</si>
  <si>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</si>
  <si>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</si>
  <si>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 xml:space="preserve">In March 2022, MES Environmental's parent company CNIM went into receivership. In October, MES Environmental Ltd went into liquidation, and the environmental permit was transferred to North Midlands Operations Ltd.
MES Environmental Ltd staff were TUPE'd over to NMOL, allowing for continuity of day-to-day operation.
During 2022, it is evident that due to the financial difficulties of their parent company and the uncertainty regarding the O&amp;M contract for the plant, there was limited investment or effort put into plant improvement by MES-E.
There is evidence that LED lamps continued to be replaced, as did damaged lagging. </t>
  </si>
  <si>
    <t>Summary of any permit improvement conditions that have been completed within the year and the resulting environmental benefits.</t>
  </si>
  <si>
    <t>No permit improvement conditions were completed in 2022. A number of new improvement conditions came with the new (BREF) variation in December 2022. Work towards completing them is now already underway.</t>
  </si>
  <si>
    <t>Summary of any changes to the plant or operating techniques which required a variation to the permit and a summary of the resulting environmental impact.</t>
  </si>
  <si>
    <t>There were no changes in 2022 to the plant or its operating techniques which required a variation to the permit.</t>
  </si>
  <si>
    <t>Summary of any other improvements made to the plant or planned to be made and a summary of the resulting environmental benefits.</t>
  </si>
  <si>
    <t>NMOL will prioritise improvements needed to achieve BREF-compliance in 2023.</t>
  </si>
  <si>
    <t>Details of Public &amp; Stakeholder Liasion</t>
  </si>
  <si>
    <t>Summary of events held during the reporting year.</t>
  </si>
  <si>
    <t>Description</t>
  </si>
  <si>
    <t>Jan 22 - Oct 22</t>
  </si>
  <si>
    <t>MESE conducted monthly meetings with its core stakeholders in order discuss operational, health and safety, and environmental performance.</t>
  </si>
  <si>
    <t>Nov 22- Dec 22</t>
  </si>
  <si>
    <t>NMOL conducted monthly meetings with its core stakeholders in order discuss operational, health and safety, and environmental performance.</t>
  </si>
  <si>
    <t>List of events planned for next year</t>
  </si>
  <si>
    <t>NMOL will continue to meet with its core stakeholders on a monthly basis.</t>
  </si>
  <si>
    <t>NMOL to launch company website.</t>
  </si>
  <si>
    <t>If you wish to be involved in the public liasion programme, please contact _________________</t>
  </si>
  <si>
    <t>Residue Quality Monitoring Requirements</t>
  </si>
  <si>
    <t>Summary of monitoring undertaken and compliance</t>
  </si>
  <si>
    <t>In line with the permit quarterly APCr testing and monthly IBA testing is undertaken</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</si>
  <si>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</si>
  <si>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</si>
  <si>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</si>
  <si>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</si>
  <si>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</si>
  <si>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</si>
  <si>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</si>
  <si>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</si>
  <si>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</si>
  <si>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</si>
  <si>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</si>
  <si>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</si>
  <si>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</si>
  <si>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</si>
  <si>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</si>
  <si>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 xml:space="preserve">Testing results for December have been undertaken but the report not yet provided to the operator at the time of annual reporting </t>
  </si>
  <si>
    <t>N/A</t>
  </si>
  <si>
    <t>Emissions to Water / Sewer</t>
  </si>
  <si>
    <t>Monitoring Frequency</t>
  </si>
  <si>
    <t>Target</t>
  </si>
  <si>
    <t>Max.</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</si>
  <si>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</si>
  <si>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</si>
  <si>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</si>
  <si>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</si>
  <si>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</si>
  <si>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</si>
  <si>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</si>
  <si>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</si>
  <si>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</si>
  <si>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</si>
  <si>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</si>
  <si>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</si>
  <si>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</si>
  <si>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</si>
  <si>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</si>
  <si>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</si>
  <si>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</si>
  <si>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</si>
  <si>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</si>
  <si>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</si>
  <si>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</si>
  <si>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</si>
  <si>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</si>
  <si>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</si>
  <si>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</si>
  <si>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&lt;0.007</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</si>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</sst>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6">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b/>
      <sz val="12"/>
      <color theme="4"/>
      <name val="Arial"/>
      <family val="2"/>
    </font>
    <font>
      <i/>
      <sz val="10"/>
      <color theme="1"/>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385">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0" fontId="2" fillId="0" borderId="0" xfId="0" applyFont="1" applyAlignment="1">
      <alignment horizontal="center" vertical="center"/>
    </xf>
    <xf numFmtId="0" fontId="6" fillId="0" borderId="0" xfId="0" applyFont="1" applyAlignment="1">
      <alignment horizontal="left"/>
    </xf>
    <xf numFmtId="0" fontId="2" fillId="0" borderId="0" xfId="0" applyFont="1"/>
    <xf numFmtId="0" fontId="2" fillId="0" borderId="9" xfId="0" applyFont="1" applyBorder="1"/>
    <xf numFmtId="0" fontId="2" fillId="0" borderId="11" xfId="0" applyFont="1" applyBorder="1"/>
    <xf numFmtId="0" fontId="2" fillId="2" borderId="12" xfId="0" applyFont="1" applyFill="1" applyBorder="1" applyAlignment="1">
      <alignment horizontal="center" vertical="center"/>
    </xf>
    <xf numFmtId="0" fontId="2" fillId="5" borderId="2" xfId="0" applyFont="1" applyFill="1" applyBorder="1" applyAlignment="1">
      <alignment horizontal="center" vertical="center" wrapText="1"/>
    </xf>
    <xf numFmtId="2" fontId="6" fillId="5" borderId="2" xfId="0" applyNumberFormat="1" applyFont="1" applyFill="1" applyBorder="1" applyAlignment="1">
      <alignment horizontal="center"/>
    </xf>
    <xf numFmtId="2" fontId="6" fillId="0" borderId="2" xfId="0" applyNumberFormat="1" applyFont="1" applyBorder="1"/>
    <xf numFmtId="1" fontId="6" fillId="5" borderId="2" xfId="0" applyNumberFormat="1" applyFont="1" applyFill="1" applyBorder="1" applyAlignment="1">
      <alignment horizontal="center"/>
    </xf>
    <xf numFmtId="1" fontId="19" fillId="5" borderId="2" xfId="0" applyNumberFormat="1" applyFont="1" applyFill="1" applyBorder="1" applyAlignment="1">
      <alignment horizontal="center"/>
    </xf>
    <xf numFmtId="1" fontId="19" fillId="0" borderId="2" xfId="0" applyNumberFormat="1" applyFont="1" applyBorder="1" applyAlignment="1">
      <alignment horizontal="center"/>
    </xf>
    <xf numFmtId="0" fontId="2" fillId="0" borderId="0" xfId="0" applyFont="1" applyAlignment="1">
      <alignment horizontal="center" vertical="center" wrapText="1"/>
    </xf>
    <xf numFmtId="2" fontId="2" fillId="0" borderId="0" xfId="0" applyNumberFormat="1" applyFont="1" applyAlignment="1">
      <alignment horizontal="center" vertical="center" wrapText="1"/>
    </xf>
    <xf numFmtId="0" fontId="2" fillId="2" borderId="2" xfId="0" applyFont="1" applyFill="1" applyBorder="1" applyAlignment="1">
      <alignment horizontal="left"/>
    </xf>
    <xf numFmtId="0" fontId="2" fillId="2" borderId="2" xfId="0" applyFont="1" applyFill="1" applyBorder="1" applyAlignment="1">
      <alignment vertical="center" wrapText="1"/>
    </xf>
    <xf numFmtId="0" fontId="2" fillId="0" borderId="2" xfId="0" applyFont="1" applyBorder="1" applyAlignment="1">
      <alignment horizontal="left" vertical="center" wrapText="1"/>
    </xf>
    <xf numFmtId="0" fontId="22" fillId="0" borderId="0" xfId="0" applyFont="1" applyAlignment="1">
      <alignment horizontal="left" wrapText="1"/>
    </xf>
    <xf numFmtId="0" fontId="8" fillId="2" borderId="0" xfId="0" applyFont="1" applyFill="1" applyAlignment="1">
      <alignment horizontal="center"/>
    </xf>
    <xf numFmtId="0" fontId="34" fillId="2" borderId="0" xfId="0" applyFont="1" applyFill="1" applyAlignment="1">
      <alignment horizontal="center" vertical="center"/>
    </xf>
    <xf numFmtId="0" fontId="4" fillId="2" borderId="0" xfId="0" applyFont="1" applyFill="1" applyAlignment="1">
      <alignment horizontal="center" vertical="center"/>
    </xf>
    <xf numFmtId="0" fontId="1" fillId="2" borderId="0" xfId="0" applyFont="1"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2" fillId="2" borderId="6" xfId="0" applyFont="1" applyFill="1" applyBorder="1" applyAlignment="1">
      <alignment horizontal="left" vertical="top" wrapText="1"/>
    </xf>
    <xf numFmtId="0" fontId="1" fillId="0" borderId="0" xfId="0" applyFont="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2" fillId="2" borderId="2" xfId="0" applyFont="1" applyFill="1" applyBorder="1" applyAlignment="1">
      <alignment horizontal="left" vertical="top" wrapText="1"/>
    </xf>
    <xf numFmtId="0" fontId="2" fillId="2" borderId="2" xfId="0" applyFont="1" applyFill="1" applyBorder="1" applyAlignment="1">
      <alignment vertical="center" wrapText="1"/>
    </xf>
    <xf numFmtId="0" fontId="2" fillId="2" borderId="6" xfId="0" applyFont="1" applyFill="1" applyBorder="1" applyAlignment="1">
      <alignment vertical="center" wrapText="1"/>
    </xf>
    <xf numFmtId="0" fontId="2" fillId="2" borderId="7" xfId="0" applyFont="1" applyFill="1" applyBorder="1" applyAlignment="1">
      <alignment vertical="center" wrapText="1"/>
    </xf>
    <xf numFmtId="0" fontId="2" fillId="2" borderId="8" xfId="0" applyFont="1" applyFill="1" applyBorder="1" applyAlignment="1">
      <alignment vertical="center" wrapText="1"/>
    </xf>
    <xf numFmtId="0" fontId="2" fillId="2" borderId="9" xfId="0" applyFont="1" applyFill="1" applyBorder="1" applyAlignment="1">
      <alignment vertical="center" wrapText="1"/>
    </xf>
    <xf numFmtId="0" fontId="2" fillId="2" borderId="0" xfId="0" applyFont="1" applyFill="1" applyAlignment="1">
      <alignment vertical="center" wrapText="1"/>
    </xf>
    <xf numFmtId="0" fontId="2" fillId="2" borderId="10" xfId="0" applyFont="1" applyFill="1" applyBorder="1" applyAlignment="1">
      <alignment vertical="center" wrapText="1"/>
    </xf>
    <xf numFmtId="0" fontId="2" fillId="2" borderId="11" xfId="0" applyFont="1" applyFill="1" applyBorder="1" applyAlignment="1">
      <alignment vertical="center" wrapText="1"/>
    </xf>
    <xf numFmtId="0" fontId="2" fillId="2" borderId="12" xfId="0" applyFont="1" applyFill="1" applyBorder="1" applyAlignment="1">
      <alignment vertical="center" wrapText="1"/>
    </xf>
    <xf numFmtId="0" fontId="2" fillId="2" borderId="13" xfId="0" applyFont="1" applyFill="1" applyBorder="1" applyAlignment="1">
      <alignment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2" xfId="0" applyFont="1" applyFill="1" applyBorder="1" applyAlignment="1">
      <alignment vertical="center"/>
    </xf>
    <xf numFmtId="0" fontId="2" fillId="2" borderId="3" xfId="0" applyFont="1" applyFill="1" applyBorder="1" applyAlignment="1">
      <alignment horizontal="left" vertical="center"/>
    </xf>
    <xf numFmtId="0" fontId="2" fillId="2" borderId="4" xfId="0" applyFont="1" applyFill="1" applyBorder="1" applyAlignment="1">
      <alignment horizontal="left" vertical="center"/>
    </xf>
    <xf numFmtId="0" fontId="2" fillId="2" borderId="5" xfId="0" applyFont="1" applyFill="1" applyBorder="1" applyAlignment="1">
      <alignment horizontal="left" vertical="center"/>
    </xf>
    <xf numFmtId="0" fontId="2" fillId="2" borderId="5" xfId="0" applyFont="1" applyFill="1" applyBorder="1" applyAlignment="1">
      <alignment horizontal="left" vertical="center"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10" fontId="2" fillId="2" borderId="2" xfId="0" applyNumberFormat="1" applyFont="1" applyFill="1" applyBorder="1" applyAlignment="1">
      <alignment horizontal="center" vertical="center"/>
    </xf>
    <xf numFmtId="10" fontId="2" fillId="2" borderId="2" xfId="0" applyNumberFormat="1" applyFont="1" applyFill="1" applyBorder="1" applyAlignment="1">
      <alignment horizontal="center"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left" vertical="center"/>
    </xf>
    <xf numFmtId="0" fontId="6" fillId="7" borderId="5" xfId="0" applyFont="1" applyFill="1" applyBorder="1" applyAlignment="1">
      <alignment horizontal="left"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2" fillId="2" borderId="2" xfId="0" applyFont="1" applyFill="1" applyBorder="1" applyAlignment="1">
      <alignment horizontal="left"/>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2" fillId="2" borderId="6" xfId="0" applyFont="1" applyFill="1" applyBorder="1" applyAlignment="1">
      <alignment horizontal="left" vertical="top"/>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17" fontId="2" fillId="2" borderId="6" xfId="0" applyNumberFormat="1" applyFont="1" applyFill="1" applyBorder="1" applyAlignment="1">
      <alignment horizontal="left" vertical="top"/>
    </xf>
    <xf numFmtId="0" fontId="18" fillId="0" borderId="2" xfId="0" applyFont="1" applyBorder="1" applyAlignment="1">
      <alignment horizontal="left" vertical="center" wrapText="1"/>
    </xf>
    <xf numFmtId="0" fontId="10" fillId="3" borderId="2" xfId="0" applyFont="1" applyFill="1" applyBorder="1" applyAlignment="1">
      <alignment horizontal="left" vertical="center" wrapText="1"/>
    </xf>
    <xf numFmtId="0" fontId="2" fillId="0" borderId="2" xfId="0" applyFont="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6" fillId="2" borderId="2" xfId="0" applyFont="1" applyFill="1" applyBorder="1" applyAlignment="1">
      <alignment horizontal="left" vertical="top"/>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17" fontId="1" fillId="0" borderId="0" xfId="0" applyNumberFormat="1" applyFont="1"/>
    <xf numFmtId="0" fontId="1" fillId="2" borderId="0" xfId="0" applyFont="1" applyFill="1" applyAlignment="1">
      <alignment horizontal="center" vertical="center"/>
    </xf>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center" vertical="top"/>
    </xf>
    <xf numFmtId="0" fontId="2" fillId="2" borderId="2" xfId="0" applyFont="1" applyFill="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0" borderId="0" xfId="0" applyFont="1" applyAlignment="1">
      <alignment horizontal="center"/>
    </xf>
    <xf numFmtId="164" fontId="6" fillId="2" borderId="7" xfId="1" applyNumberFormat="1" applyFont="1" applyFill="1" applyBorder="1" applyAlignment="1"/>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0" fontId="2" fillId="0" borderId="7" xfId="0" applyFont="1" applyBorder="1" applyAlignment="1">
      <alignment horizontal="center" vertical="center" textRotation="90"/>
    </xf>
    <xf numFmtId="164" fontId="2" fillId="2" borderId="7" xfId="1" applyNumberFormat="1" applyFont="1" applyFill="1" applyBorder="1" applyAlignment="1">
      <alignment horizontal="center"/>
    </xf>
    <xf numFmtId="165" fontId="2" fillId="0" borderId="8" xfId="2" applyNumberFormat="1" applyFont="1" applyBorder="1" applyAlignment="1">
      <alignment horizontal="center"/>
    </xf>
    <xf numFmtId="0" fontId="2" fillId="0" borderId="9" xfId="0" applyFont="1" applyBorder="1" applyAlignment="1">
      <alignment vertical="center"/>
    </xf>
    <xf numFmtId="0" fontId="2" fillId="0" borderId="0" xfId="0" applyFont="1" applyAlignment="1">
      <alignment horizontal="center" vertical="center" textRotation="90"/>
    </xf>
    <xf numFmtId="164" fontId="2" fillId="2" borderId="0" xfId="1" applyNumberFormat="1" applyFont="1" applyFill="1" applyBorder="1" applyAlignment="1">
      <alignment horizontal="center"/>
    </xf>
    <xf numFmtId="165" fontId="2" fillId="0" borderId="10" xfId="2" applyNumberFormat="1" applyFont="1" applyBorder="1" applyAlignment="1">
      <alignment horizontal="center"/>
    </xf>
    <xf numFmtId="165" fontId="2" fillId="0" borderId="10" xfId="2" applyNumberFormat="1" applyFont="1" applyFill="1" applyBorder="1" applyAlignment="1">
      <alignment horizontal="center"/>
    </xf>
    <xf numFmtId="0" fontId="2" fillId="0" borderId="12" xfId="0" applyFont="1" applyBorder="1" applyAlignment="1">
      <alignment horizontal="center" vertical="center" textRotation="90"/>
    </xf>
    <xf numFmtId="165" fontId="2" fillId="0" borderId="13" xfId="2" applyNumberFormat="1"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xf numFmtId="164" fontId="2" fillId="0" borderId="8" xfId="0" applyNumberFormat="1" applyFont="1" applyBorder="1" applyAlignment="1">
      <alignment horizontal="center"/>
    </xf>
    <xf numFmtId="164" fontId="2" fillId="2" borderId="0" xfId="1" applyNumberFormat="1" applyFont="1" applyFill="1" applyAlignment="1">
      <alignment horizontal="center"/>
    </xf>
    <xf numFmtId="164" fontId="2" fillId="0" borderId="10" xfId="0" applyNumberFormat="1" applyFont="1" applyBorder="1" applyAlignment="1">
      <alignment horizontal="center"/>
    </xf>
    <xf numFmtId="165" fontId="2" fillId="0" borderId="0" xfId="2" applyNumberFormat="1" applyFont="1" applyAlignment="1">
      <alignment horizontal="center" vertical="center"/>
    </xf>
    <xf numFmtId="0" fontId="2" fillId="0" borderId="0" xfId="0" applyFont="1" applyAlignment="1">
      <alignment horizontal="center" textRotation="90"/>
    </xf>
    <xf numFmtId="0" fontId="2" fillId="0" borderId="12" xfId="0" applyFont="1" applyBorder="1"/>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0" fontId="2" fillId="0" borderId="6" xfId="0" applyFont="1" applyBorder="1" applyAlignment="1">
      <alignment horizontal="center" vertical="center"/>
    </xf>
    <xf numFmtId="0" fontId="2" fillId="0" borderId="8" xfId="0" quotePrefix="1" applyFont="1" applyBorder="1" applyAlignment="1">
      <alignment horizontal="center"/>
    </xf>
    <xf numFmtId="0" fontId="2" fillId="0" borderId="12" xfId="0" applyFont="1" applyBorder="1" applyAlignment="1">
      <alignment horizontal="center" vertical="center" textRotation="90"/>
    </xf>
    <xf numFmtId="164" fontId="2" fillId="2" borderId="12" xfId="1" applyNumberFormat="1" applyFont="1" applyFill="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43" fontId="2" fillId="0" borderId="13" xfId="0" applyNumberFormat="1" applyFont="1" applyBorder="1" applyAlignment="1">
      <alignment horizontal="center" vertical="center"/>
    </xf>
    <xf numFmtId="0" fontId="2" fillId="0" borderId="6" xfId="0" applyFont="1" applyBorder="1" applyAlignment="1">
      <alignment horizontal="center"/>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2" fillId="2" borderId="2" xfId="0" applyFont="1" applyFill="1" applyBorder="1" applyAlignment="1">
      <alignment horizontal="left" vertical="center" wrapText="1"/>
    </xf>
    <xf numFmtId="0" fontId="2" fillId="0" borderId="1" xfId="0" applyFont="1" applyBorder="1" applyAlignment="1">
      <alignment vertical="center" wrapText="1"/>
    </xf>
    <xf numFmtId="168" fontId="2" fillId="0" borderId="1" xfId="0" applyNumberFormat="1" applyFont="1" applyBorder="1" applyAlignment="1">
      <alignment horizontal="center"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4" xfId="0" applyFont="1" applyBorder="1" applyAlignment="1">
      <alignment vertical="center" wrapText="1"/>
    </xf>
    <xf numFmtId="0" fontId="2" fillId="0" borderId="2" xfId="0" applyFont="1" applyBorder="1" applyAlignment="1">
      <alignment vertical="center" wrapText="1"/>
    </xf>
    <xf numFmtId="165" fontId="2" fillId="0" borderId="2" xfId="2" applyNumberFormat="1" applyFont="1" applyBorder="1" applyAlignment="1">
      <alignment horizontal="center" vertical="center" wrapText="1"/>
    </xf>
    <xf numFmtId="0" fontId="2" fillId="0" borderId="0" xfId="0" applyFont="1" applyAlignment="1">
      <alignment vertical="center"/>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4" fontId="2" fillId="0" borderId="2" xfId="0" applyNumberFormat="1"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2" xfId="0" applyNumberFormat="1"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1" fillId="2" borderId="2" xfId="0" applyFont="1" applyFill="1" applyBorder="1"/>
    <xf numFmtId="3" fontId="2" fillId="0" borderId="2" xfId="0" applyNumberFormat="1" applyFont="1" applyBorder="1" applyAlignment="1">
      <alignment horizontal="center" vertical="center" wrapText="1"/>
    </xf>
    <xf numFmtId="0" fontId="2" fillId="0" borderId="2" xfId="0" applyFont="1" applyBorder="1" applyAlignment="1">
      <alignment horizontal="center" vertical="center" wrapText="1"/>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xf numFmtId="0" fontId="2" fillId="0" borderId="2" xfId="0" applyFont="1" applyBorder="1" applyAlignment="1">
      <alignment horizontal="left"/>
    </xf>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14" fontId="2" fillId="2" borderId="2" xfId="0" applyNumberFormat="1" applyFont="1" applyFill="1" applyBorder="1" applyAlignment="1">
      <alignment vertical="center"/>
    </xf>
    <xf numFmtId="0" fontId="2" fillId="2" borderId="3" xfId="0" applyFont="1" applyFill="1" applyBorder="1" applyAlignment="1">
      <alignment vertical="center"/>
    </xf>
    <xf numFmtId="0" fontId="2" fillId="2" borderId="7" xfId="0" applyFont="1" applyFill="1" applyBorder="1" applyAlignment="1">
      <alignment vertical="center"/>
    </xf>
    <xf numFmtId="0" fontId="2" fillId="2" borderId="3" xfId="0" applyFont="1" applyFill="1" applyBorder="1" applyAlignment="1">
      <alignment horizontal="left"/>
    </xf>
    <xf numFmtId="9" fontId="2" fillId="0" borderId="2" xfId="0" applyNumberFormat="1" applyFont="1" applyBorder="1" applyAlignment="1">
      <alignment horizontal="center"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5" borderId="6"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3"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5" borderId="2" xfId="0" applyFont="1" applyFill="1" applyBorder="1" applyAlignment="1">
      <alignment horizontal="left" vertical="center" wrapText="1"/>
    </xf>
    <xf numFmtId="0" fontId="2" fillId="0" borderId="2" xfId="0" applyFont="1" applyBorder="1" applyAlignment="1">
      <alignment horizontal="center"/>
    </xf>
    <xf numFmtId="2" fontId="2" fillId="5" borderId="2" xfId="0" applyNumberFormat="1" applyFont="1" applyFill="1" applyBorder="1" applyAlignment="1">
      <alignment horizontal="center" vertical="center" wrapText="1"/>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2" fontId="2" fillId="5" borderId="1" xfId="0" applyNumberFormat="1" applyFont="1" applyFill="1" applyBorder="1" applyAlignment="1">
      <alignment horizontal="center" vertical="center" wrapText="1"/>
    </xf>
    <xf numFmtId="0" fontId="2" fillId="5" borderId="1" xfId="0" applyFont="1" applyFill="1" applyBorder="1" applyAlignment="1">
      <alignment horizontal="center" vertical="center"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c:formatCode>
                <c:ptCount val="12"/>
                <c:pt idx="0">
                  <c:v>5.5</c:v>
                </c:pt>
                <c:pt idx="1">
                  <c:v>8</c:v>
                </c:pt>
                <c:pt idx="2">
                  <c:v>8</c:v>
                </c:pt>
                <c:pt idx="3">
                  <c:v>8</c:v>
                </c:pt>
                <c:pt idx="4">
                  <c:v>8</c:v>
                </c:pt>
                <c:pt idx="5">
                  <c:v>8.5</c:v>
                </c:pt>
                <c:pt idx="6">
                  <c:v>7.5</c:v>
                </c:pt>
                <c:pt idx="7">
                  <c:v>8</c:v>
                </c:pt>
                <c:pt idx="8">
                  <c:v>7.5</c:v>
                </c:pt>
                <c:pt idx="9">
                  <c:v>7.5</c:v>
                </c:pt>
                <c:pt idx="10">
                  <c:v>7</c:v>
                </c:pt>
                <c:pt idx="11">
                  <c:v>7.5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c:formatCode>
                <c:ptCount val="12"/>
                <c:pt idx="0">
                  <c:v>40</c:v>
                </c:pt>
                <c:pt idx="1">
                  <c:v>95</c:v>
                </c:pt>
                <c:pt idx="2">
                  <c:v>129</c:v>
                </c:pt>
                <c:pt idx="3">
                  <c:v>84</c:v>
                </c:pt>
                <c:pt idx="4">
                  <c:v>54</c:v>
                </c:pt>
                <c:pt idx="5">
                  <c:v>86</c:v>
                </c:pt>
                <c:pt idx="6">
                  <c:v>44</c:v>
                </c:pt>
                <c:pt idx="7">
                  <c:v>47</c:v>
                </c:pt>
                <c:pt idx="8">
                  <c:v>37</c:v>
                </c:pt>
                <c:pt idx="9">
                  <c:v>26</c:v>
                </c:pt>
                <c:pt idx="10">
                  <c:v>57</c:v>
                </c:pt>
                <c:pt idx="11">
                  <c:v>137</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c:formatCode>
                <c:ptCount val="12"/>
                <c:pt idx="0">
                  <c:v>7.4645161290322584</c:v>
                </c:pt>
                <c:pt idx="1">
                  <c:v>8.3630952380952372</c:v>
                </c:pt>
                <c:pt idx="2">
                  <c:v>7.8344086021505372</c:v>
                </c:pt>
                <c:pt idx="3">
                  <c:v>8.0155172413793103</c:v>
                </c:pt>
                <c:pt idx="4">
                  <c:v>7.9838709677419359</c:v>
                </c:pt>
                <c:pt idx="5">
                  <c:v>8.189473684210526</c:v>
                </c:pt>
                <c:pt idx="6">
                  <c:v>7.8000000000000007</c:v>
                </c:pt>
                <c:pt idx="7">
                  <c:v>7.758064516129032</c:v>
                </c:pt>
                <c:pt idx="8">
                  <c:v>7.0264367816091955</c:v>
                </c:pt>
                <c:pt idx="9">
                  <c:v>7.2892473118279568</c:v>
                </c:pt>
                <c:pt idx="10">
                  <c:v>6.9499999999999993</c:v>
                </c:pt>
                <c:pt idx="11">
                  <c:v>7.5991636798088411</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c:formatCode>
                <c:ptCount val="12"/>
                <c:pt idx="0">
                  <c:v>10</c:v>
                </c:pt>
                <c:pt idx="1">
                  <c:v>13</c:v>
                </c:pt>
                <c:pt idx="2">
                  <c:v>12</c:v>
                </c:pt>
                <c:pt idx="3">
                  <c:v>11</c:v>
                </c:pt>
                <c:pt idx="4">
                  <c:v>10</c:v>
                </c:pt>
                <c:pt idx="5">
                  <c:v>11</c:v>
                </c:pt>
                <c:pt idx="6">
                  <c:v>11</c:v>
                </c:pt>
                <c:pt idx="7">
                  <c:v>9</c:v>
                </c:pt>
                <c:pt idx="8">
                  <c:v>9</c:v>
                </c:pt>
                <c:pt idx="9">
                  <c:v>9</c:v>
                </c:pt>
                <c:pt idx="10">
                  <c:v>9</c:v>
                </c:pt>
                <c:pt idx="11">
                  <c:v>13</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11390368"/>
        <c:axId val="311390760"/>
      </c:lineChart>
      <c:catAx>
        <c:axId val="311390368"/>
        <c:scaling>
          <c:orientation val="minMax"/>
        </c:scaling>
        <c:delete val="0"/>
        <c:axPos val="b"/>
        <c:numFmt formatCode="General" sourceLinked="1"/>
        <c:majorTickMark val="out"/>
        <c:minorTickMark val="none"/>
        <c:tickLblPos val="nextTo"/>
        <c:crossAx val="311390760"/>
        <c:crosses val="autoZero"/>
        <c:auto val="1"/>
        <c:lblAlgn val="ctr"/>
        <c:lblOffset val="100"/>
        <c:noMultiLvlLbl val="0"/>
      </c:catAx>
      <c:valAx>
        <c:axId val="3113907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03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c:formatCode>
                <c:ptCount val="12"/>
                <c:pt idx="0">
                  <c:v>22</c:v>
                </c:pt>
                <c:pt idx="1">
                  <c:v>26</c:v>
                </c:pt>
                <c:pt idx="2">
                  <c:v>23.5</c:v>
                </c:pt>
                <c:pt idx="3">
                  <c:v>22.5</c:v>
                </c:pt>
                <c:pt idx="4">
                  <c:v>20.5</c:v>
                </c:pt>
                <c:pt idx="5">
                  <c:v>17</c:v>
                </c:pt>
                <c:pt idx="6">
                  <c:v>27</c:v>
                </c:pt>
                <c:pt idx="7">
                  <c:v>23</c:v>
                </c:pt>
                <c:pt idx="8">
                  <c:v>24</c:v>
                </c:pt>
                <c:pt idx="9">
                  <c:v>26</c:v>
                </c:pt>
                <c:pt idx="10">
                  <c:v>26.5</c:v>
                </c:pt>
                <c:pt idx="11">
                  <c:v>28</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c:formatCode>
                <c:ptCount val="12"/>
                <c:pt idx="0">
                  <c:v>151</c:v>
                </c:pt>
                <c:pt idx="1">
                  <c:v>192</c:v>
                </c:pt>
                <c:pt idx="2">
                  <c:v>121</c:v>
                </c:pt>
                <c:pt idx="3">
                  <c:v>99</c:v>
                </c:pt>
                <c:pt idx="4">
                  <c:v>107</c:v>
                </c:pt>
                <c:pt idx="5">
                  <c:v>79</c:v>
                </c:pt>
                <c:pt idx="6">
                  <c:v>164</c:v>
                </c:pt>
                <c:pt idx="7">
                  <c:v>84</c:v>
                </c:pt>
                <c:pt idx="8">
                  <c:v>117</c:v>
                </c:pt>
                <c:pt idx="9">
                  <c:v>150</c:v>
                </c:pt>
                <c:pt idx="10">
                  <c:v>125</c:v>
                </c:pt>
                <c:pt idx="11">
                  <c:v>90</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0</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c:formatCode>
                <c:ptCount val="12"/>
                <c:pt idx="0">
                  <c:v>21.637634408602153</c:v>
                </c:pt>
                <c:pt idx="1">
                  <c:v>25.987433862433861</c:v>
                </c:pt>
                <c:pt idx="2">
                  <c:v>23.138709677419357</c:v>
                </c:pt>
                <c:pt idx="3">
                  <c:v>22.521264367816091</c:v>
                </c:pt>
                <c:pt idx="4">
                  <c:v>20.451612903225808</c:v>
                </c:pt>
                <c:pt idx="5">
                  <c:v>16.839473684210525</c:v>
                </c:pt>
                <c:pt idx="6">
                  <c:v>26.927777777777777</c:v>
                </c:pt>
                <c:pt idx="7">
                  <c:v>22.935483870967744</c:v>
                </c:pt>
                <c:pt idx="8">
                  <c:v>23.978735632183909</c:v>
                </c:pt>
                <c:pt idx="9">
                  <c:v>26.45752688172043</c:v>
                </c:pt>
                <c:pt idx="10">
                  <c:v>26.116666666666667</c:v>
                </c:pt>
                <c:pt idx="11">
                  <c:v>27.891278375149341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c:formatCode>
                <c:ptCount val="12"/>
                <c:pt idx="0">
                  <c:v>38</c:v>
                </c:pt>
                <c:pt idx="1">
                  <c:v>39</c:v>
                </c:pt>
                <c:pt idx="2">
                  <c:v>31</c:v>
                </c:pt>
                <c:pt idx="3">
                  <c:v>37</c:v>
                </c:pt>
                <c:pt idx="4">
                  <c:v>30</c:v>
                </c:pt>
                <c:pt idx="5">
                  <c:v>23</c:v>
                </c:pt>
                <c:pt idx="6">
                  <c:v>39</c:v>
                </c:pt>
                <c:pt idx="7">
                  <c:v>32</c:v>
                </c:pt>
                <c:pt idx="8">
                  <c:v>32</c:v>
                </c:pt>
                <c:pt idx="9">
                  <c:v>38</c:v>
                </c:pt>
                <c:pt idx="10">
                  <c:v>35</c:v>
                </c:pt>
                <c:pt idx="11">
                  <c:v>36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1391936"/>
        <c:axId val="311392328"/>
      </c:lineChart>
      <c:catAx>
        <c:axId val="311391936"/>
        <c:scaling>
          <c:orientation val="minMax"/>
        </c:scaling>
        <c:delete val="0"/>
        <c:axPos val="b"/>
        <c:numFmt formatCode="General" sourceLinked="1"/>
        <c:majorTickMark val="out"/>
        <c:minorTickMark val="none"/>
        <c:tickLblPos val="nextTo"/>
        <c:crossAx val="311392328"/>
        <c:crosses val="autoZero"/>
        <c:auto val="1"/>
        <c:lblAlgn val="ctr"/>
        <c:lblOffset val="100"/>
        <c:noMultiLvlLbl val="0"/>
      </c:catAx>
      <c:valAx>
        <c:axId val="3113923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1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c:formatCode>
                <c:ptCount val="12"/>
                <c:pt idx="0">
                  <c:v>177.5</c:v>
                </c:pt>
                <c:pt idx="1">
                  <c:v>176</c:v>
                </c:pt>
                <c:pt idx="2">
                  <c:v>175</c:v>
                </c:pt>
                <c:pt idx="3">
                  <c:v>169</c:v>
                </c:pt>
                <c:pt idx="4">
                  <c:v>180</c:v>
                </c:pt>
                <c:pt idx="5">
                  <c:v>169</c:v>
                </c:pt>
                <c:pt idx="6">
                  <c:v>165.5</c:v>
                </c:pt>
                <c:pt idx="7">
                  <c:v>168.5</c:v>
                </c:pt>
                <c:pt idx="8">
                  <c:v>169</c:v>
                </c:pt>
                <c:pt idx="9">
                  <c:v>169</c:v>
                </c:pt>
                <c:pt idx="10">
                  <c:v>167.5</c:v>
                </c:pt>
                <c:pt idx="11">
                  <c:v>167.5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c:formatCode>
                <c:ptCount val="12"/>
                <c:pt idx="0">
                  <c:v>361</c:v>
                </c:pt>
                <c:pt idx="1">
                  <c:v>247</c:v>
                </c:pt>
                <c:pt idx="2">
                  <c:v>283</c:v>
                </c:pt>
                <c:pt idx="3">
                  <c:v>235</c:v>
                </c:pt>
                <c:pt idx="4">
                  <c:v>311</c:v>
                </c:pt>
                <c:pt idx="5">
                  <c:v>290</c:v>
                </c:pt>
                <c:pt idx="6">
                  <c:v>206</c:v>
                </c:pt>
                <c:pt idx="7">
                  <c:v>225</c:v>
                </c:pt>
                <c:pt idx="8">
                  <c:v>213</c:v>
                </c:pt>
                <c:pt idx="9">
                  <c:v>323</c:v>
                </c:pt>
                <c:pt idx="10">
                  <c:v>327</c:v>
                </c:pt>
                <c:pt idx="11">
                  <c:v>306</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0</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c:formatCode>
                <c:ptCount val="12"/>
                <c:pt idx="0">
                  <c:v>177.42956989247313</c:v>
                </c:pt>
                <c:pt idx="1">
                  <c:v>175.7962962962963</c:v>
                </c:pt>
                <c:pt idx="2">
                  <c:v>175.23602150537636</c:v>
                </c:pt>
                <c:pt idx="3">
                  <c:v>169.01149425287355</c:v>
                </c:pt>
                <c:pt idx="4">
                  <c:v>169.95161290322579</c:v>
                </c:pt>
                <c:pt idx="5">
                  <c:v>169.02192982456143</c:v>
                </c:pt>
                <c:pt idx="6">
                  <c:v>165.28333333333333</c:v>
                </c:pt>
                <c:pt idx="7">
                  <c:v>168.62903225806451</c:v>
                </c:pt>
                <c:pt idx="8">
                  <c:v>168.91839080459769</c:v>
                </c:pt>
                <c:pt idx="9">
                  <c:v>168.76612903225805</c:v>
                </c:pt>
                <c:pt idx="10">
                  <c:v>167.56666666666666</c:v>
                </c:pt>
                <c:pt idx="11">
                  <c:v>167.76344086021504</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c:formatCode>
                <c:ptCount val="12"/>
                <c:pt idx="0">
                  <c:v>185</c:v>
                </c:pt>
                <c:pt idx="1">
                  <c:v>180</c:v>
                </c:pt>
                <c:pt idx="2">
                  <c:v>180</c:v>
                </c:pt>
                <c:pt idx="3">
                  <c:v>185</c:v>
                </c:pt>
                <c:pt idx="4">
                  <c:v>192</c:v>
                </c:pt>
                <c:pt idx="5">
                  <c:v>179</c:v>
                </c:pt>
                <c:pt idx="6">
                  <c:v>178</c:v>
                </c:pt>
                <c:pt idx="7">
                  <c:v>181</c:v>
                </c:pt>
                <c:pt idx="8">
                  <c:v>183</c:v>
                </c:pt>
                <c:pt idx="9">
                  <c:v>185</c:v>
                </c:pt>
                <c:pt idx="10">
                  <c:v>179</c:v>
                </c:pt>
                <c:pt idx="11">
                  <c:v>183</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1393504"/>
        <c:axId val="315846440"/>
      </c:lineChart>
      <c:catAx>
        <c:axId val="311393504"/>
        <c:scaling>
          <c:orientation val="minMax"/>
        </c:scaling>
        <c:delete val="0"/>
        <c:axPos val="b"/>
        <c:numFmt formatCode="General" sourceLinked="1"/>
        <c:majorTickMark val="out"/>
        <c:minorTickMark val="none"/>
        <c:tickLblPos val="nextTo"/>
        <c:crossAx val="315846440"/>
        <c:crosses val="autoZero"/>
        <c:auto val="1"/>
        <c:lblAlgn val="ctr"/>
        <c:lblOffset val="100"/>
        <c:noMultiLvlLbl val="0"/>
      </c:catAx>
      <c:valAx>
        <c:axId val="315846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3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0.5</c:v>
                </c:pt>
                <c:pt idx="1">
                  <c:v>0.5</c:v>
                </c:pt>
                <c:pt idx="2">
                  <c:v>0</c:v>
                </c:pt>
                <c:pt idx="3">
                  <c:v>0</c:v>
                </c:pt>
                <c:pt idx="4">
                  <c:v>0.5</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4</c:v>
                </c:pt>
                <c:pt idx="1">
                  <c:v>5</c:v>
                </c:pt>
                <c:pt idx="2">
                  <c:v>6</c:v>
                </c:pt>
                <c:pt idx="3">
                  <c:v>11</c:v>
                </c:pt>
                <c:pt idx="4">
                  <c:v>7</c:v>
                </c:pt>
                <c:pt idx="5">
                  <c:v>15</c:v>
                </c:pt>
                <c:pt idx="6">
                  <c:v>7</c:v>
                </c:pt>
                <c:pt idx="7">
                  <c:v>5</c:v>
                </c:pt>
                <c:pt idx="8">
                  <c:v>5</c:v>
                </c:pt>
                <c:pt idx="9">
                  <c:v>8</c:v>
                </c:pt>
                <c:pt idx="10">
                  <c:v>18</c:v>
                </c:pt>
                <c:pt idx="11">
                  <c:v>10</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c:v>
                </c:pt>
                <c:pt idx="1">
                  <c:v>1</c:v>
                </c:pt>
                <c:pt idx="2">
                  <c:v>1</c:v>
                </c:pt>
                <c:pt idx="3">
                  <c:v>1</c:v>
                </c:pt>
                <c:pt idx="4">
                  <c:v>1</c:v>
                </c:pt>
                <c:pt idx="5">
                  <c:v>1</c:v>
                </c:pt>
                <c:pt idx="6">
                  <c:v>0</c:v>
                </c:pt>
                <c:pt idx="7">
                  <c:v>1</c:v>
                </c:pt>
                <c:pt idx="8">
                  <c:v>1</c:v>
                </c:pt>
                <c:pt idx="9">
                  <c:v>0</c:v>
                </c:pt>
                <c:pt idx="10">
                  <c:v>1</c:v>
                </c:pt>
                <c:pt idx="11">
                  <c:v>0</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5849184"/>
        <c:axId val="315849576"/>
      </c:lineChart>
      <c:catAx>
        <c:axId val="315849184"/>
        <c:scaling>
          <c:orientation val="minMax"/>
        </c:scaling>
        <c:delete val="0"/>
        <c:axPos val="b"/>
        <c:numFmt formatCode="General" sourceLinked="1"/>
        <c:majorTickMark val="out"/>
        <c:minorTickMark val="none"/>
        <c:tickLblPos val="nextTo"/>
        <c:crossAx val="315849576"/>
        <c:crosses val="autoZero"/>
        <c:auto val="1"/>
        <c:lblAlgn val="ctr"/>
        <c:lblOffset val="100"/>
        <c:noMultiLvlLbl val="0"/>
      </c:catAx>
      <c:valAx>
        <c:axId val="3158495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91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c:formatCode>
                <c:ptCount val="12"/>
                <c:pt idx="0">
                  <c:v>1.5</c:v>
                </c:pt>
                <c:pt idx="1">
                  <c:v>1.5</c:v>
                </c:pt>
                <c:pt idx="2">
                  <c:v>1</c:v>
                </c:pt>
                <c:pt idx="3">
                  <c:v>2</c:v>
                </c:pt>
                <c:pt idx="4">
                  <c:v>2.5</c:v>
                </c:pt>
                <c:pt idx="5">
                  <c:v>3.5</c:v>
                </c:pt>
                <c:pt idx="6">
                  <c:v>2.5</c:v>
                </c:pt>
                <c:pt idx="7">
                  <c:v>2</c:v>
                </c:pt>
                <c:pt idx="8">
                  <c:v>2</c:v>
                </c:pt>
                <c:pt idx="9">
                  <c:v>2.5</c:v>
                </c:pt>
                <c:pt idx="10">
                  <c:v>2</c:v>
                </c:pt>
                <c:pt idx="11">
                  <c:v>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c:formatCode>
                <c:ptCount val="12"/>
                <c:pt idx="0">
                  <c:v>11</c:v>
                </c:pt>
                <c:pt idx="1">
                  <c:v>9</c:v>
                </c:pt>
                <c:pt idx="2">
                  <c:v>6</c:v>
                </c:pt>
                <c:pt idx="3">
                  <c:v>15</c:v>
                </c:pt>
                <c:pt idx="4">
                  <c:v>16</c:v>
                </c:pt>
                <c:pt idx="5">
                  <c:v>20</c:v>
                </c:pt>
                <c:pt idx="6">
                  <c:v>25</c:v>
                </c:pt>
                <c:pt idx="7">
                  <c:v>28</c:v>
                </c:pt>
                <c:pt idx="8">
                  <c:v>5</c:v>
                </c:pt>
                <c:pt idx="9">
                  <c:v>8</c:v>
                </c:pt>
                <c:pt idx="10">
                  <c:v>11</c:v>
                </c:pt>
                <c:pt idx="11">
                  <c:v>7</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c:formatCode>
                <c:ptCount val="12"/>
                <c:pt idx="0">
                  <c:v>1.7</c:v>
                </c:pt>
                <c:pt idx="1">
                  <c:v>1.3392857142857142</c:v>
                </c:pt>
                <c:pt idx="2">
                  <c:v>1.0333333333333334</c:v>
                </c:pt>
                <c:pt idx="3">
                  <c:v>2.15</c:v>
                </c:pt>
                <c:pt idx="4">
                  <c:v>2.7096774193548385</c:v>
                </c:pt>
                <c:pt idx="5">
                  <c:v>3.5052631578947366</c:v>
                </c:pt>
                <c:pt idx="6">
                  <c:v>2.4666666666666663</c:v>
                </c:pt>
                <c:pt idx="7">
                  <c:v>1.8709677419354838</c:v>
                </c:pt>
                <c:pt idx="8">
                  <c:v>1.9310344827586208</c:v>
                </c:pt>
                <c:pt idx="9">
                  <c:v>2.274193548387097</c:v>
                </c:pt>
                <c:pt idx="10">
                  <c:v>1.95</c:v>
                </c:pt>
                <c:pt idx="11">
                  <c:v>1.8709677419354838</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c:formatCode>
                <c:ptCount val="12"/>
                <c:pt idx="0">
                  <c:v>0</c:v>
                </c:pt>
                <c:pt idx="1">
                  <c:v>1</c:v>
                </c:pt>
                <c:pt idx="2">
                  <c:v>0</c:v>
                </c:pt>
                <c:pt idx="3">
                  <c:v>0</c:v>
                </c:pt>
                <c:pt idx="4">
                  <c:v>2</c:v>
                </c:pt>
                <c:pt idx="5">
                  <c:v>2</c:v>
                </c:pt>
                <c:pt idx="6">
                  <c:v>2</c:v>
                </c:pt>
                <c:pt idx="7">
                  <c:v>1</c:v>
                </c:pt>
                <c:pt idx="8">
                  <c:v>0</c:v>
                </c:pt>
                <c:pt idx="9">
                  <c:v>0</c:v>
                </c:pt>
                <c:pt idx="10">
                  <c:v>0</c:v>
                </c:pt>
                <c:pt idx="11">
                  <c:v>0</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5851144"/>
        <c:axId val="315851536"/>
      </c:lineChart>
      <c:catAx>
        <c:axId val="315851144"/>
        <c:scaling>
          <c:orientation val="minMax"/>
        </c:scaling>
        <c:delete val="0"/>
        <c:axPos val="b"/>
        <c:numFmt formatCode="General" sourceLinked="1"/>
        <c:majorTickMark val="out"/>
        <c:minorTickMark val="none"/>
        <c:tickLblPos val="nextTo"/>
        <c:crossAx val="315851536"/>
        <c:crosses val="autoZero"/>
        <c:auto val="1"/>
        <c:lblAlgn val="ctr"/>
        <c:lblOffset val="100"/>
        <c:noMultiLvlLbl val="0"/>
      </c:catAx>
      <c:valAx>
        <c:axId val="3158515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11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29</c:v>
                </c:pt>
                <c:pt idx="1">
                  <c:v>31</c:v>
                </c:pt>
                <c:pt idx="2">
                  <c:v>21</c:v>
                </c:pt>
                <c:pt idx="3">
                  <c:v>20</c:v>
                </c:pt>
                <c:pt idx="4">
                  <c:v>45</c:v>
                </c:pt>
                <c:pt idx="5">
                  <c:v>40</c:v>
                </c:pt>
                <c:pt idx="6">
                  <c:v>19</c:v>
                </c:pt>
                <c:pt idx="7">
                  <c:v>17</c:v>
                </c:pt>
                <c:pt idx="8">
                  <c:v>35</c:v>
                </c:pt>
                <c:pt idx="9">
                  <c:v>40</c:v>
                </c:pt>
                <c:pt idx="10">
                  <c:v>45</c:v>
                </c:pt>
                <c:pt idx="11">
                  <c:v>26</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c:formatCode>
                <c:ptCount val="12"/>
                <c:pt idx="0">
                  <c:v>571</c:v>
                </c:pt>
                <c:pt idx="1">
                  <c:v>287</c:v>
                </c:pt>
                <c:pt idx="2">
                  <c:v>379</c:v>
                </c:pt>
                <c:pt idx="3">
                  <c:v>342</c:v>
                </c:pt>
                <c:pt idx="4">
                  <c:v>370</c:v>
                </c:pt>
                <c:pt idx="5">
                  <c:v>565</c:v>
                </c:pt>
                <c:pt idx="6">
                  <c:v>411</c:v>
                </c:pt>
                <c:pt idx="7">
                  <c:v>425</c:v>
                </c:pt>
                <c:pt idx="8">
                  <c:v>702</c:v>
                </c:pt>
                <c:pt idx="9">
                  <c:v>602</c:v>
                </c:pt>
                <c:pt idx="10">
                  <c:v>331</c:v>
                </c:pt>
                <c:pt idx="11">
                  <c:v>269</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0</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c:formatCode>
                <c:ptCount val="12"/>
                <c:pt idx="0">
                  <c:v>14.028494623655915</c:v>
                </c:pt>
                <c:pt idx="1">
                  <c:v>13.270502645502646</c:v>
                </c:pt>
                <c:pt idx="2">
                  <c:v>11.628494623655914</c:v>
                </c:pt>
                <c:pt idx="3">
                  <c:v>10.162068965517241</c:v>
                </c:pt>
                <c:pt idx="4">
                  <c:v>10.35483870967742</c:v>
                </c:pt>
                <c:pt idx="5">
                  <c:v>8.1035087719298247</c:v>
                </c:pt>
                <c:pt idx="6">
                  <c:v>4.2850000000000001</c:v>
                </c:pt>
                <c:pt idx="7">
                  <c:v>2.59</c:v>
                </c:pt>
                <c:pt idx="8">
                  <c:v>4.2249999999999996</c:v>
                </c:pt>
                <c:pt idx="9">
                  <c:v>4.760752688172043</c:v>
                </c:pt>
                <c:pt idx="10">
                  <c:v>7.9</c:v>
                </c:pt>
                <c:pt idx="11">
                  <c:v>6.78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c:formatCode>
                <c:ptCount val="12"/>
                <c:pt idx="0">
                  <c:v>21</c:v>
                </c:pt>
                <c:pt idx="1">
                  <c:v>22</c:v>
                </c:pt>
                <c:pt idx="2">
                  <c:v>22</c:v>
                </c:pt>
                <c:pt idx="3">
                  <c:v>14</c:v>
                </c:pt>
                <c:pt idx="4">
                  <c:v>20</c:v>
                </c:pt>
                <c:pt idx="5">
                  <c:v>20</c:v>
                </c:pt>
                <c:pt idx="6">
                  <c:v>12</c:v>
                </c:pt>
                <c:pt idx="7">
                  <c:v>8</c:v>
                </c:pt>
                <c:pt idx="8">
                  <c:v>14</c:v>
                </c:pt>
                <c:pt idx="9">
                  <c:v>14</c:v>
                </c:pt>
                <c:pt idx="10">
                  <c:v>20</c:v>
                </c:pt>
                <c:pt idx="11">
                  <c:v>17</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847616"/>
        <c:axId val="315852712"/>
      </c:lineChart>
      <c:catAx>
        <c:axId val="315847616"/>
        <c:scaling>
          <c:orientation val="minMax"/>
        </c:scaling>
        <c:delete val="0"/>
        <c:axPos val="b"/>
        <c:numFmt formatCode="General" sourceLinked="1"/>
        <c:majorTickMark val="out"/>
        <c:minorTickMark val="none"/>
        <c:tickLblPos val="nextTo"/>
        <c:crossAx val="315852712"/>
        <c:crosses val="autoZero"/>
        <c:auto val="1"/>
        <c:lblAlgn val="ctr"/>
        <c:lblOffset val="100"/>
        <c:noMultiLvlLbl val="0"/>
      </c:catAx>
      <c:valAx>
        <c:axId val="31585271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7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c:formatCode>
                <c:ptCount val="12"/>
                <c:pt idx="0">
                  <c:v>6</c:v>
                </c:pt>
                <c:pt idx="1">
                  <c:v>3.5</c:v>
                </c:pt>
                <c:pt idx="2">
                  <c:v>3</c:v>
                </c:pt>
                <c:pt idx="3">
                  <c:v>2</c:v>
                </c:pt>
                <c:pt idx="4">
                  <c:v>3.5</c:v>
                </c:pt>
                <c:pt idx="5">
                  <c:v>2.5</c:v>
                </c:pt>
                <c:pt idx="6">
                  <c:v>5.5</c:v>
                </c:pt>
                <c:pt idx="7">
                  <c:v>4</c:v>
                </c:pt>
                <c:pt idx="8">
                  <c:v>3.5</c:v>
                </c:pt>
                <c:pt idx="9">
                  <c:v>5</c:v>
                </c:pt>
                <c:pt idx="10">
                  <c:v>5</c:v>
                </c:pt>
                <c:pt idx="11">
                  <c:v>4.5</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c:formatCode>
                <c:ptCount val="12"/>
                <c:pt idx="0">
                  <c:v>82</c:v>
                </c:pt>
                <c:pt idx="1">
                  <c:v>21</c:v>
                </c:pt>
                <c:pt idx="2">
                  <c:v>40</c:v>
                </c:pt>
                <c:pt idx="3">
                  <c:v>21</c:v>
                </c:pt>
                <c:pt idx="4">
                  <c:v>54</c:v>
                </c:pt>
                <c:pt idx="5">
                  <c:v>88</c:v>
                </c:pt>
                <c:pt idx="6">
                  <c:v>25</c:v>
                </c:pt>
                <c:pt idx="7">
                  <c:v>24</c:v>
                </c:pt>
                <c:pt idx="8">
                  <c:v>53</c:v>
                </c:pt>
                <c:pt idx="9">
                  <c:v>118</c:v>
                </c:pt>
                <c:pt idx="10">
                  <c:v>120</c:v>
                </c:pt>
                <c:pt idx="11">
                  <c:v>135</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c:formatCode>
                <c:ptCount val="12"/>
                <c:pt idx="0">
                  <c:v>5.9564516129032263</c:v>
                </c:pt>
                <c:pt idx="1">
                  <c:v>3.556878306878307</c:v>
                </c:pt>
                <c:pt idx="2">
                  <c:v>2.9844086021505376</c:v>
                </c:pt>
                <c:pt idx="3">
                  <c:v>1.9839080459770115</c:v>
                </c:pt>
                <c:pt idx="4">
                  <c:v>3.370967741935484</c:v>
                </c:pt>
                <c:pt idx="5">
                  <c:v>2.2236842105263159</c:v>
                </c:pt>
                <c:pt idx="6">
                  <c:v>5.1055555555555552</c:v>
                </c:pt>
                <c:pt idx="7">
                  <c:v>3.7903225806451615</c:v>
                </c:pt>
                <c:pt idx="8">
                  <c:v>3.518390804597701</c:v>
                </c:pt>
                <c:pt idx="9">
                  <c:v>4.6709677419354838</c:v>
                </c:pt>
                <c:pt idx="10">
                  <c:v>4.8333333333333339</c:v>
                </c:pt>
                <c:pt idx="11">
                  <c:v>4.4850657108721625</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c:formatCode>
                <c:ptCount val="12"/>
                <c:pt idx="0">
                  <c:v>15</c:v>
                </c:pt>
                <c:pt idx="1">
                  <c:v>11</c:v>
                </c:pt>
                <c:pt idx="2">
                  <c:v>21</c:v>
                </c:pt>
                <c:pt idx="3">
                  <c:v>3</c:v>
                </c:pt>
                <c:pt idx="4">
                  <c:v>7</c:v>
                </c:pt>
                <c:pt idx="5">
                  <c:v>5</c:v>
                </c:pt>
                <c:pt idx="6">
                  <c:v>17</c:v>
                </c:pt>
                <c:pt idx="7">
                  <c:v>8</c:v>
                </c:pt>
                <c:pt idx="8">
                  <c:v>7</c:v>
                </c:pt>
                <c:pt idx="9">
                  <c:v>12</c:v>
                </c:pt>
                <c:pt idx="10">
                  <c:v>14</c:v>
                </c:pt>
                <c:pt idx="11">
                  <c:v>14</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5853888"/>
        <c:axId val="317518896"/>
      </c:lineChart>
      <c:catAx>
        <c:axId val="315853888"/>
        <c:scaling>
          <c:orientation val="minMax"/>
        </c:scaling>
        <c:delete val="0"/>
        <c:axPos val="b"/>
        <c:numFmt formatCode="General" sourceLinked="1"/>
        <c:majorTickMark val="out"/>
        <c:minorTickMark val="none"/>
        <c:tickLblPos val="nextTo"/>
        <c:crossAx val="317518896"/>
        <c:crosses val="autoZero"/>
        <c:auto val="1"/>
        <c:lblAlgn val="ctr"/>
        <c:lblOffset val="100"/>
        <c:noMultiLvlLbl val="0"/>
      </c:catAx>
      <c:valAx>
        <c:axId val="3175188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38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11430</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view="pageBreakPreview"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4" width="9.28515625" style="2"/>
    <col min="5" max="5" width="22.7109375" style="2" customWidth="1"/>
    <col min="6" max="6" width="9.28515625" style="2"/>
    <col min="7" max="7" width="12.7109375" style="2" customWidth="1"/>
    <col min="8" max="9" width="9.28515625" style="2"/>
    <col min="10" max="10" width="11.5703125" style="2" customWidth="1"/>
    <col min="11" max="14" width="9.28515625" style="2"/>
    <col min="15" max="15" width="9.28515625" style="2" customWidth="1"/>
    <col min="16" max="16384" width="9.28515625" style="2"/>
  </cols>
  <sheetData>
    <row r="1" spans="2:16">
      <c r="B1" s="93"/>
      <c r="C1" s="93"/>
      <c r="D1" s="113" t="s">
        <v>0</v>
      </c>
      <c r="E1" s="114"/>
      <c r="F1" s="114"/>
      <c r="G1" s="114"/>
      <c r="H1" s="93"/>
      <c r="I1" s="93"/>
      <c r="J1" s="93"/>
      <c r="K1" s="93"/>
      <c r="L1" s="93"/>
      <c r="M1" s="93"/>
      <c r="N1" s="93"/>
      <c r="O1" s="93"/>
      <c r="P1" s="93"/>
    </row>
    <row r="2" spans="2:16">
      <c r="B2" s="93"/>
      <c r="C2" s="93"/>
      <c r="D2" s="114"/>
      <c r="E2" s="114"/>
      <c r="F2" s="114"/>
      <c r="G2" s="114"/>
      <c r="H2" s="93"/>
      <c r="I2" s="93"/>
      <c r="J2" s="93"/>
      <c r="K2" s="93"/>
      <c r="L2" s="93"/>
      <c r="M2" s="93"/>
      <c r="N2" s="93" t="s">
        <v>1</v>
      </c>
      <c r="O2" s="93"/>
      <c r="P2" s="262"/>
    </row>
    <row r="3" spans="2:16">
      <c r="B3" s="93"/>
      <c r="C3" s="93"/>
      <c r="D3" s="114"/>
      <c r="E3" s="114"/>
      <c r="F3" s="114"/>
      <c r="G3" s="114"/>
      <c r="H3" s="93"/>
      <c r="I3" s="93"/>
      <c r="J3" s="93"/>
      <c r="K3" s="93"/>
      <c r="L3" s="93"/>
      <c r="M3" s="93"/>
      <c r="N3" s="262"/>
      <c r="O3" s="93"/>
      <c r="P3" s="93"/>
    </row>
    <row r="4" spans="2:16">
      <c r="B4" s="93"/>
      <c r="C4" s="93"/>
      <c r="D4" s="114"/>
      <c r="E4" s="114"/>
      <c r="F4" s="114"/>
      <c r="G4" s="114"/>
      <c r="H4" s="93"/>
      <c r="I4" s="93"/>
      <c r="J4" s="93"/>
      <c r="K4" s="93"/>
      <c r="L4" s="93"/>
      <c r="M4" s="93"/>
      <c r="N4" s="93"/>
      <c r="O4" s="93"/>
      <c r="P4" s="93"/>
    </row>
    <row r="5" spans="2:16">
      <c r="B5" s="93"/>
      <c r="C5" s="93"/>
      <c r="D5" s="114"/>
      <c r="E5" s="114"/>
      <c r="F5" s="114"/>
      <c r="G5" s="114"/>
      <c r="H5" s="93"/>
      <c r="I5" s="93"/>
      <c r="J5" s="93"/>
      <c r="K5" s="93"/>
      <c r="L5" s="93"/>
      <c r="M5" s="93"/>
      <c r="N5" s="93"/>
      <c r="O5" s="93"/>
      <c r="P5" s="93"/>
    </row>
    <row r="6" spans="2:16">
      <c r="B6" s="93"/>
      <c r="C6" s="93"/>
      <c r="D6" s="114"/>
      <c r="E6" s="114"/>
      <c r="F6" s="114"/>
      <c r="G6" s="114"/>
      <c r="H6" s="93"/>
      <c r="I6" s="93"/>
      <c r="J6" s="93"/>
      <c r="K6" s="93"/>
      <c r="L6" s="93"/>
      <c r="M6" s="93"/>
      <c r="N6" s="93"/>
      <c r="O6" s="93"/>
      <c r="P6" s="93"/>
    </row>
    <row r="8" spans="2:16" ht="15.75" customHeight="1">
      <c r="B8" s="263" t="s">
        <v>2</v>
      </c>
      <c r="C8" s="263"/>
      <c r="D8" s="263"/>
      <c r="E8" s="263"/>
      <c r="F8" s="263"/>
      <c r="G8" s="263"/>
      <c r="H8" s="263"/>
      <c r="I8" s="263"/>
      <c r="J8" s="93"/>
      <c r="K8" s="93"/>
      <c r="L8" s="93"/>
      <c r="M8" s="93"/>
      <c r="N8" s="71"/>
      <c r="O8" s="93"/>
      <c r="P8" s="93"/>
    </row>
    <row r="9" spans="2:16">
      <c r="B9" s="263"/>
      <c r="C9" s="263"/>
      <c r="D9" s="263"/>
      <c r="E9" s="263"/>
      <c r="F9" s="263"/>
      <c r="G9" s="263"/>
      <c r="H9" s="263"/>
      <c r="I9" s="263"/>
      <c r="J9" s="93"/>
      <c r="K9" s="93"/>
      <c r="L9" s="93"/>
      <c r="M9" s="93"/>
      <c r="N9" s="93"/>
      <c r="O9" s="93"/>
      <c r="P9" s="93"/>
    </row>
    <row r="10" spans="2:16">
      <c r="B10" s="263"/>
      <c r="C10" s="263"/>
      <c r="D10" s="263"/>
      <c r="E10" s="263"/>
      <c r="F10" s="263"/>
      <c r="G10" s="263"/>
      <c r="H10" s="263"/>
      <c r="I10" s="263"/>
      <c r="J10" s="93"/>
      <c r="K10" s="93"/>
      <c r="L10" s="93"/>
      <c r="M10" s="93"/>
      <c r="N10" s="93"/>
      <c r="O10" s="93"/>
      <c r="P10" s="93"/>
    </row>
    <row r="11" spans="2:16">
      <c r="B11" s="263"/>
      <c r="C11" s="263"/>
      <c r="D11" s="263"/>
      <c r="E11" s="263"/>
      <c r="F11" s="263"/>
      <c r="G11" s="263"/>
      <c r="H11" s="263"/>
      <c r="I11" s="263"/>
      <c r="J11" s="93"/>
      <c r="K11" s="93"/>
      <c r="L11" s="93"/>
      <c r="M11" s="93"/>
      <c r="N11" s="93"/>
      <c r="O11" s="93"/>
      <c r="P11" s="93"/>
    </row>
    <row r="12" spans="2:16">
      <c r="B12" s="263"/>
      <c r="C12" s="263"/>
      <c r="D12" s="263"/>
      <c r="E12" s="263"/>
      <c r="F12" s="263"/>
      <c r="G12" s="263"/>
      <c r="H12" s="263"/>
      <c r="I12" s="263"/>
      <c r="J12" s="93"/>
      <c r="K12" s="93"/>
      <c r="L12" s="93"/>
      <c r="M12" s="93"/>
      <c r="N12" s="93"/>
      <c r="O12" s="93"/>
      <c r="P12" s="93"/>
    </row>
    <row r="13" spans="2:16" ht="15.6">
      <c r="B13" s="263"/>
      <c r="C13" s="263"/>
      <c r="D13" s="263"/>
      <c r="E13" s="263"/>
      <c r="F13" s="263"/>
      <c r="G13" s="263"/>
      <c r="H13" s="263"/>
      <c r="I13" s="263"/>
      <c r="J13" s="93"/>
      <c r="K13" s="93"/>
      <c r="L13" s="93"/>
      <c r="M13" s="93"/>
      <c r="N13" s="75" t="s">
        <v>3</v>
      </c>
      <c r="O13" s="73"/>
      <c r="P13" s="73"/>
    </row>
    <row r="14" spans="2:16" ht="15.6" customHeight="1">
      <c r="B14" s="263"/>
      <c r="C14" s="263"/>
      <c r="D14" s="263"/>
      <c r="E14" s="263"/>
      <c r="F14" s="263"/>
      <c r="G14" s="263"/>
      <c r="H14" s="263"/>
      <c r="I14" s="263"/>
      <c r="J14" s="93"/>
      <c r="K14" s="93"/>
      <c r="L14" s="93"/>
      <c r="M14" s="93"/>
      <c r="N14" s="111" t="s">
        <v>4</v>
      </c>
      <c r="O14" s="111"/>
      <c r="P14" s="111"/>
    </row>
    <row r="15" spans="2:16">
      <c r="B15" s="263"/>
      <c r="C15" s="263"/>
      <c r="D15" s="263"/>
      <c r="E15" s="263"/>
      <c r="F15" s="263"/>
      <c r="G15" s="263"/>
      <c r="H15" s="263"/>
      <c r="I15" s="263"/>
      <c r="J15" s="93"/>
      <c r="K15" s="93"/>
      <c r="L15" s="93"/>
      <c r="M15" s="93"/>
      <c r="N15" s="111"/>
      <c r="O15" s="111"/>
      <c r="P15" s="111"/>
    </row>
    <row r="16" spans="2:16">
      <c r="B16" s="263"/>
      <c r="C16" s="263"/>
      <c r="D16" s="263"/>
      <c r="E16" s="263"/>
      <c r="F16" s="263"/>
      <c r="G16" s="263"/>
      <c r="H16" s="263"/>
      <c r="I16" s="263"/>
      <c r="J16" s="93"/>
      <c r="K16" s="93"/>
      <c r="L16" s="93"/>
      <c r="M16" s="93"/>
      <c r="N16" s="111"/>
      <c r="O16" s="111"/>
      <c r="P16" s="111"/>
    </row>
    <row r="17" spans="2:16">
      <c r="B17" s="263"/>
      <c r="C17" s="263"/>
      <c r="D17" s="263"/>
      <c r="E17" s="263"/>
      <c r="F17" s="263"/>
      <c r="G17" s="263"/>
      <c r="H17" s="263"/>
      <c r="I17" s="263"/>
      <c r="J17" s="93"/>
      <c r="K17" s="93"/>
      <c r="L17" s="93"/>
      <c r="M17" s="93"/>
      <c r="N17" s="111"/>
      <c r="O17" s="111"/>
      <c r="P17" s="111"/>
    </row>
    <row r="18" spans="2:16">
      <c r="B18" s="263"/>
      <c r="C18" s="263"/>
      <c r="D18" s="263"/>
      <c r="E18" s="263"/>
      <c r="F18" s="263"/>
      <c r="G18" s="263"/>
      <c r="H18" s="263"/>
      <c r="I18" s="263"/>
      <c r="J18" s="93"/>
      <c r="K18" s="93"/>
      <c r="L18" s="93"/>
      <c r="M18" s="93"/>
      <c r="N18" s="111"/>
      <c r="O18" s="111"/>
      <c r="P18" s="111"/>
    </row>
    <row r="19" spans="2:16">
      <c r="B19" s="263"/>
      <c r="C19" s="263"/>
      <c r="D19" s="263"/>
      <c r="E19" s="263"/>
      <c r="F19" s="263"/>
      <c r="G19" s="263"/>
      <c r="H19" s="263"/>
      <c r="I19" s="263"/>
      <c r="J19" s="93"/>
      <c r="K19" s="93"/>
      <c r="L19" s="93"/>
      <c r="M19" s="93"/>
      <c r="N19" s="111"/>
      <c r="O19" s="111"/>
      <c r="P19" s="111"/>
    </row>
    <row r="20" spans="2:16">
      <c r="B20" s="263"/>
      <c r="C20" s="263"/>
      <c r="D20" s="263"/>
      <c r="E20" s="263"/>
      <c r="F20" s="263"/>
      <c r="G20" s="263"/>
      <c r="H20" s="263"/>
      <c r="I20" s="263"/>
      <c r="J20" s="93"/>
      <c r="K20" s="93"/>
      <c r="L20" s="93"/>
      <c r="M20" s="93"/>
      <c r="N20" s="93"/>
      <c r="O20" s="93"/>
      <c r="P20" s="93"/>
    </row>
    <row r="21" spans="2:16">
      <c r="B21" s="263"/>
      <c r="C21" s="263"/>
      <c r="D21" s="263"/>
      <c r="E21" s="263"/>
      <c r="F21" s="263"/>
      <c r="G21" s="263"/>
      <c r="H21" s="263"/>
      <c r="I21" s="263"/>
      <c r="J21" s="93"/>
      <c r="K21" s="93"/>
      <c r="L21" s="93"/>
      <c r="M21" s="93"/>
      <c r="N21" s="93"/>
      <c r="O21" s="93"/>
      <c r="P21" s="93"/>
    </row>
    <row r="22" spans="2:16">
      <c r="B22" s="263"/>
      <c r="C22" s="263"/>
      <c r="D22" s="263"/>
      <c r="E22" s="263"/>
      <c r="F22" s="263"/>
      <c r="G22" s="263"/>
      <c r="H22" s="263"/>
      <c r="I22" s="263"/>
      <c r="J22" s="93"/>
      <c r="K22" s="93"/>
      <c r="L22" s="93"/>
      <c r="M22" s="93"/>
      <c r="N22" s="93"/>
      <c r="O22" s="93"/>
      <c r="P22" s="93"/>
    </row>
    <row r="23" spans="2:16">
      <c r="B23" s="263"/>
      <c r="C23" s="263"/>
      <c r="D23" s="263"/>
      <c r="E23" s="263"/>
      <c r="F23" s="263"/>
      <c r="G23" s="263"/>
      <c r="H23" s="263"/>
      <c r="I23" s="263"/>
      <c r="J23" s="93"/>
      <c r="K23" s="93"/>
      <c r="L23" s="93"/>
      <c r="M23" s="93"/>
      <c r="N23" s="93"/>
      <c r="O23" s="93"/>
      <c r="P23" s="93"/>
    </row>
    <row r="24" spans="2:16">
      <c r="B24" s="263"/>
      <c r="C24" s="263"/>
      <c r="D24" s="263"/>
      <c r="E24" s="263"/>
      <c r="F24" s="263"/>
      <c r="G24" s="263"/>
      <c r="H24" s="263"/>
      <c r="I24" s="263"/>
      <c r="J24" s="93"/>
      <c r="K24" s="93"/>
      <c r="L24" s="93"/>
      <c r="M24" s="93"/>
      <c r="N24" s="93"/>
      <c r="O24" s="93"/>
      <c r="P24" s="93"/>
    </row>
    <row r="29" spans="2:16" ht="17.45">
      <c r="B29" s="112" t="s">
        <v>5</v>
      </c>
      <c r="C29" s="112"/>
      <c r="D29" s="112"/>
      <c r="E29" s="112"/>
      <c r="F29" s="112"/>
      <c r="G29" s="112"/>
      <c r="H29" s="112"/>
      <c r="I29" s="112"/>
      <c r="J29" s="93"/>
      <c r="K29" s="93"/>
      <c r="L29" s="93"/>
      <c r="M29" s="93"/>
      <c r="N29" s="93"/>
      <c r="O29" s="93"/>
      <c r="P29" s="93"/>
    </row>
    <row r="30" spans="2:16" ht="17.45">
      <c r="B30" s="93"/>
      <c r="C30" s="7"/>
      <c r="D30" s="8"/>
      <c r="E30" s="8"/>
      <c r="F30" s="8"/>
      <c r="G30" s="8"/>
      <c r="H30" s="8"/>
      <c r="I30" s="8"/>
      <c r="J30" s="93"/>
      <c r="K30" s="93"/>
      <c r="L30" s="93"/>
      <c r="M30" s="93"/>
      <c r="N30" s="93"/>
      <c r="O30" s="93"/>
      <c r="P30" s="93"/>
    </row>
    <row r="31" spans="2:16" ht="17.45">
      <c r="B31" s="112" t="s">
        <v>6</v>
      </c>
      <c r="C31" s="112"/>
      <c r="D31" s="112"/>
      <c r="E31" s="112"/>
      <c r="F31" s="112"/>
      <c r="G31" s="112"/>
      <c r="H31" s="112"/>
      <c r="I31" s="112"/>
      <c r="J31" s="93"/>
      <c r="K31" s="93"/>
      <c r="L31" s="93"/>
      <c r="M31" s="93"/>
      <c r="N31" s="93"/>
      <c r="O31" s="93"/>
      <c r="P31" s="93"/>
    </row>
    <row r="32" spans="2:16" ht="17.45">
      <c r="B32" s="93"/>
      <c r="C32" s="7"/>
      <c r="D32" s="8"/>
      <c r="E32" s="8"/>
      <c r="F32" s="8"/>
      <c r="G32" s="8"/>
      <c r="H32" s="8"/>
      <c r="I32" s="8"/>
      <c r="J32" s="93"/>
      <c r="K32" s="93"/>
      <c r="L32" s="93"/>
      <c r="M32" s="93"/>
      <c r="N32" s="93"/>
      <c r="O32" s="93"/>
      <c r="P32" s="93"/>
    </row>
    <row r="33" spans="2:9" ht="17.45">
      <c r="B33" s="112" t="s">
        <v>7</v>
      </c>
      <c r="C33" s="112"/>
      <c r="D33" s="112"/>
      <c r="E33" s="112"/>
      <c r="F33" s="112"/>
      <c r="G33" s="112"/>
      <c r="H33" s="112"/>
      <c r="I33" s="112"/>
    </row>
    <row r="34" spans="2:9" ht="17.45">
      <c r="B34" s="93"/>
      <c r="C34" s="7"/>
      <c r="D34" s="8"/>
      <c r="E34" s="8"/>
      <c r="F34" s="8"/>
      <c r="G34" s="8"/>
      <c r="H34" s="8"/>
      <c r="I34" s="8"/>
    </row>
    <row r="35" spans="2:9" ht="17.45">
      <c r="B35" s="112" t="s">
        <v>0</v>
      </c>
      <c r="C35" s="112"/>
      <c r="D35" s="112"/>
      <c r="E35" s="112"/>
      <c r="F35" s="112"/>
      <c r="G35" s="112"/>
      <c r="H35" s="112"/>
      <c r="I35" s="112"/>
    </row>
    <row r="37" spans="2:9" ht="17.45">
      <c r="B37" s="112"/>
      <c r="C37" s="112"/>
      <c r="D37" s="112"/>
      <c r="E37" s="112"/>
      <c r="F37" s="112"/>
      <c r="G37" s="112"/>
      <c r="H37" s="112"/>
      <c r="I37" s="112"/>
    </row>
    <row r="39" spans="2:9">
      <c r="B39" s="93" t="s">
        <v>8</v>
      </c>
      <c r="C39" s="264">
        <v>2022</v>
      </c>
      <c r="D39" s="93"/>
      <c r="E39" s="93"/>
      <c r="F39" s="93"/>
      <c r="G39" s="93"/>
      <c r="H39" s="93"/>
      <c r="I39" s="93"/>
    </row>
    <row r="40" spans="2:9" ht="14.25" customHeight="1">
      <c r="B40" s="93"/>
      <c r="C40" s="93"/>
      <c r="D40" s="93"/>
      <c r="E40" s="93"/>
      <c r="F40" s="93"/>
      <c r="G40" s="93"/>
      <c r="H40" s="93"/>
      <c r="I40" s="93"/>
    </row>
    <row r="41" spans="2:9">
      <c r="B41" s="265" t="s">
        <v>9</v>
      </c>
      <c r="C41" s="115" t="s">
        <v>10</v>
      </c>
      <c r="D41" s="115"/>
      <c r="E41" s="115"/>
      <c r="F41" s="115"/>
      <c r="G41" s="115"/>
      <c r="H41" s="115"/>
      <c r="I41" s="115"/>
    </row>
    <row r="42" spans="2:9">
      <c r="B42" s="265"/>
      <c r="C42" s="93"/>
      <c r="D42" s="93"/>
      <c r="E42" s="93"/>
      <c r="F42" s="93"/>
      <c r="G42" s="93"/>
      <c r="H42" s="93"/>
      <c r="I42" s="93"/>
    </row>
    <row r="43" spans="2:9">
      <c r="B43" s="265" t="s">
        <v>11</v>
      </c>
      <c r="C43" s="115" t="s">
        <v>12</v>
      </c>
      <c r="D43" s="115"/>
      <c r="E43" s="115"/>
      <c r="F43" s="93"/>
      <c r="G43" s="93"/>
      <c r="H43" s="93"/>
      <c r="I43" s="93"/>
    </row>
    <row r="44" spans="2:9">
      <c r="B44" s="265"/>
      <c r="C44" s="93"/>
      <c r="D44" s="93"/>
      <c r="E44" s="93"/>
      <c r="F44" s="93"/>
      <c r="G44" s="93"/>
      <c r="H44" s="93"/>
      <c r="I44" s="93"/>
    </row>
    <row r="45" spans="2:9">
      <c r="B45" s="265" t="s">
        <v>13</v>
      </c>
      <c r="C45" s="115" t="s">
        <v>14</v>
      </c>
      <c r="D45" s="115"/>
      <c r="E45" s="115"/>
      <c r="F45" s="93"/>
      <c r="G45" s="93"/>
      <c r="H45" s="93"/>
      <c r="I45" s="93"/>
    </row>
    <row r="46" spans="2:9">
      <c r="B46" s="265"/>
      <c r="C46" s="93"/>
      <c r="D46" s="93"/>
      <c r="E46" s="93"/>
      <c r="F46" s="93"/>
      <c r="G46" s="93"/>
      <c r="H46" s="93"/>
      <c r="I46" s="93"/>
    </row>
    <row r="47" spans="2:9">
      <c r="B47" s="265" t="s">
        <v>15</v>
      </c>
      <c r="C47" s="115" t="s">
        <v>16</v>
      </c>
      <c r="D47" s="115"/>
      <c r="E47" s="93"/>
      <c r="F47" s="93" t="s">
        <v>17</v>
      </c>
      <c r="G47" s="115" t="s">
        <v>18</v>
      </c>
      <c r="H47" s="115"/>
      <c r="I47" s="115"/>
    </row>
    <row r="48" spans="2:9">
      <c r="B48" s="265"/>
      <c r="C48" s="93"/>
      <c r="D48" s="93"/>
      <c r="E48" s="93"/>
      <c r="F48" s="93"/>
      <c r="G48" s="93"/>
      <c r="H48" s="93"/>
      <c r="I48" s="93"/>
    </row>
    <row r="49" spans="2:9">
      <c r="B49" s="265" t="s">
        <v>19</v>
      </c>
      <c r="C49" s="115" t="s">
        <v>20</v>
      </c>
      <c r="D49" s="115"/>
      <c r="E49" s="93"/>
      <c r="F49" s="93" t="s">
        <v>17</v>
      </c>
      <c r="G49" s="115" t="s">
        <v>21</v>
      </c>
      <c r="H49" s="115"/>
      <c r="I49" s="115"/>
    </row>
    <row r="50" spans="2:9">
      <c r="B50" s="265"/>
      <c r="C50" s="93"/>
      <c r="D50" s="93"/>
      <c r="E50" s="93"/>
      <c r="F50" s="93"/>
      <c r="G50" s="93"/>
      <c r="H50" s="93"/>
      <c r="I50" s="93"/>
    </row>
    <row r="51" spans="2:9">
      <c r="B51" s="265" t="s">
        <v>22</v>
      </c>
      <c r="C51" s="264">
        <v>1</v>
      </c>
      <c r="D51" s="93"/>
      <c r="E51" s="93"/>
      <c r="F51" s="93"/>
      <c r="G51" s="93"/>
      <c r="H51" s="93"/>
      <c r="I51" s="93"/>
    </row>
    <row r="52" spans="2:9">
      <c r="B52" s="265"/>
      <c r="C52" s="93"/>
      <c r="D52" s="93"/>
      <c r="E52" s="93"/>
      <c r="F52" s="93"/>
      <c r="G52" s="93"/>
      <c r="H52" s="93"/>
      <c r="I52" s="93"/>
    </row>
    <row r="53" spans="2:9">
      <c r="B53" s="265" t="s">
        <v>23</v>
      </c>
      <c r="C53" s="115" t="s">
        <v>24</v>
      </c>
      <c r="D53" s="115"/>
      <c r="E53" s="93"/>
      <c r="F53" s="93"/>
      <c r="G53" s="93"/>
      <c r="H53" s="93"/>
      <c r="I53" s="93"/>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pageMargins left="1.0899999999999999" right="0.7" top="0.75" bottom="0.75" header="0.3" footer="0.3"/>
  <pageSetup scale="72" orientation="portrait" r:id="rId1"/>
  <headerFooter differentFirst="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5"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topLeftCell="A24" zoomScaleNormal="100" workbookViewId="0">
      <selection activeCell="U21" sqref="U2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3" t="str">
        <f>+'Cover Page'!$B$29</f>
        <v>Annual Performance Report 2022</v>
      </c>
      <c r="B1" s="93"/>
      <c r="C1" s="93"/>
      <c r="D1" s="93"/>
      <c r="E1" s="93" t="str">
        <f>+'Cover Page'!$B$33</f>
        <v>Stoke Energy from Waste Facility</v>
      </c>
      <c r="F1" s="93"/>
      <c r="G1" s="93"/>
      <c r="H1" s="93"/>
      <c r="I1" s="93"/>
      <c r="J1" s="93"/>
      <c r="K1" s="93"/>
      <c r="L1" s="93"/>
      <c r="M1" s="93"/>
      <c r="N1" s="93"/>
      <c r="O1" s="93"/>
    </row>
    <row r="3" spans="1:15" ht="15.6">
      <c r="A3" s="53" t="s">
        <v>25</v>
      </c>
      <c r="B3" s="266"/>
      <c r="C3" s="266"/>
      <c r="D3" s="266"/>
      <c r="E3" s="266"/>
      <c r="F3" s="266"/>
      <c r="G3" s="266"/>
      <c r="H3" s="267"/>
      <c r="I3" s="93"/>
      <c r="J3" s="93"/>
      <c r="K3" s="75" t="s">
        <v>3</v>
      </c>
      <c r="L3" s="93"/>
      <c r="M3" s="93"/>
      <c r="N3" s="93"/>
      <c r="O3" s="93"/>
    </row>
    <row r="4" spans="1:15" ht="15.6">
      <c r="A4" s="5" t="s">
        <v>26</v>
      </c>
      <c r="B4" s="117" t="s">
        <v>27</v>
      </c>
      <c r="C4" s="117"/>
      <c r="D4" s="117"/>
      <c r="E4" s="117"/>
      <c r="F4" s="117"/>
      <c r="G4" s="117"/>
      <c r="H4" s="6" t="s">
        <v>28</v>
      </c>
      <c r="I4" s="93"/>
      <c r="J4" s="93"/>
      <c r="K4" s="73" t="s">
        <v>29</v>
      </c>
      <c r="L4" s="93"/>
      <c r="M4" s="93"/>
      <c r="N4" s="93"/>
      <c r="O4" s="93"/>
    </row>
    <row r="5" spans="1:15" ht="15.6" customHeight="1">
      <c r="A5" s="4"/>
      <c r="B5" s="116" t="s">
        <v>30</v>
      </c>
      <c r="C5" s="116"/>
      <c r="D5" s="116"/>
      <c r="E5" s="116"/>
      <c r="F5" s="116"/>
      <c r="G5" s="116"/>
      <c r="H5" s="4">
        <v>4</v>
      </c>
      <c r="I5" s="93"/>
      <c r="J5" s="93"/>
      <c r="K5" s="111" t="s">
        <v>31</v>
      </c>
      <c r="L5" s="111"/>
      <c r="M5" s="111"/>
      <c r="N5" s="111"/>
      <c r="O5" s="111"/>
    </row>
    <row r="6" spans="1:15">
      <c r="A6" s="4"/>
      <c r="B6" s="116" t="s">
        <v>32</v>
      </c>
      <c r="C6" s="116"/>
      <c r="D6" s="116"/>
      <c r="E6" s="116"/>
      <c r="F6" s="116"/>
      <c r="G6" s="116"/>
      <c r="H6" s="4">
        <v>6</v>
      </c>
      <c r="I6" s="93"/>
      <c r="J6" s="93"/>
      <c r="K6" s="111"/>
      <c r="L6" s="111"/>
      <c r="M6" s="111"/>
      <c r="N6" s="111"/>
      <c r="O6" s="111"/>
    </row>
    <row r="7" spans="1:15" ht="15.75" customHeight="1">
      <c r="A7" s="4"/>
      <c r="B7" s="116" t="s">
        <v>33</v>
      </c>
      <c r="C7" s="116"/>
      <c r="D7" s="116"/>
      <c r="E7" s="116"/>
      <c r="F7" s="116"/>
      <c r="G7" s="116"/>
      <c r="H7" s="4">
        <v>5</v>
      </c>
      <c r="I7" s="93"/>
      <c r="J7" s="93"/>
      <c r="K7" s="111"/>
      <c r="L7" s="111"/>
      <c r="M7" s="111"/>
      <c r="N7" s="111"/>
      <c r="O7" s="111"/>
    </row>
    <row r="8" spans="1:15">
      <c r="A8" s="4"/>
      <c r="B8" s="116" t="s">
        <v>34</v>
      </c>
      <c r="C8" s="116"/>
      <c r="D8" s="116"/>
      <c r="E8" s="116"/>
      <c r="F8" s="116"/>
      <c r="G8" s="116"/>
      <c r="H8" s="4">
        <v>7</v>
      </c>
      <c r="I8" s="93"/>
      <c r="J8" s="93"/>
      <c r="K8" s="111"/>
      <c r="L8" s="111"/>
      <c r="M8" s="111"/>
      <c r="N8" s="111"/>
      <c r="O8" s="111"/>
    </row>
    <row r="9" spans="1:15">
      <c r="A9" s="4"/>
      <c r="B9" s="116" t="s">
        <v>35</v>
      </c>
      <c r="C9" s="116"/>
      <c r="D9" s="116"/>
      <c r="E9" s="116"/>
      <c r="F9" s="116"/>
      <c r="G9" s="116"/>
      <c r="H9" s="4">
        <v>8</v>
      </c>
      <c r="I9" s="93"/>
      <c r="J9" s="93"/>
      <c r="K9" s="93"/>
      <c r="L9" s="93"/>
      <c r="M9" s="93"/>
      <c r="N9" s="93"/>
      <c r="O9" s="93"/>
    </row>
    <row r="10" spans="1:15">
      <c r="A10" s="4"/>
      <c r="B10" s="116" t="s">
        <v>36</v>
      </c>
      <c r="C10" s="116"/>
      <c r="D10" s="116"/>
      <c r="E10" s="116"/>
      <c r="F10" s="116"/>
      <c r="G10" s="116"/>
      <c r="H10" s="4">
        <v>9</v>
      </c>
      <c r="I10" s="93"/>
      <c r="J10" s="93"/>
      <c r="K10" s="93"/>
      <c r="L10" s="93"/>
      <c r="M10" s="93"/>
      <c r="N10" s="93"/>
      <c r="O10" s="93"/>
    </row>
    <row r="11" spans="1:15">
      <c r="A11" s="4"/>
      <c r="B11" s="116" t="s">
        <v>37</v>
      </c>
      <c r="C11" s="116"/>
      <c r="D11" s="116"/>
      <c r="E11" s="116"/>
      <c r="F11" s="116"/>
      <c r="G11" s="116"/>
      <c r="H11" s="4">
        <v>10</v>
      </c>
      <c r="I11" s="93"/>
      <c r="J11" s="93"/>
      <c r="K11" s="93"/>
      <c r="L11" s="93"/>
      <c r="M11" s="93"/>
      <c r="N11" s="93"/>
      <c r="O11" s="93"/>
    </row>
    <row r="12" spans="1:15">
      <c r="A12" s="4"/>
      <c r="B12" s="116" t="s">
        <v>38</v>
      </c>
      <c r="C12" s="116"/>
      <c r="D12" s="116"/>
      <c r="E12" s="116"/>
      <c r="F12" s="116"/>
      <c r="G12" s="116"/>
      <c r="H12" s="4">
        <v>11</v>
      </c>
      <c r="I12" s="93"/>
      <c r="J12" s="93"/>
      <c r="K12" s="93"/>
      <c r="L12" s="93"/>
      <c r="M12" s="93"/>
      <c r="N12" s="93"/>
      <c r="O12" s="93"/>
    </row>
    <row r="13" spans="1:15">
      <c r="A13" s="4"/>
      <c r="B13" s="116" t="s">
        <v>39</v>
      </c>
      <c r="C13" s="116"/>
      <c r="D13" s="116"/>
      <c r="E13" s="116"/>
      <c r="F13" s="116"/>
      <c r="G13" s="116"/>
      <c r="H13" s="4">
        <v>12</v>
      </c>
      <c r="I13" s="93"/>
      <c r="J13" s="93"/>
      <c r="K13" s="93"/>
      <c r="L13" s="93"/>
      <c r="M13" s="93"/>
      <c r="N13" s="93"/>
      <c r="O13" s="93"/>
    </row>
    <row r="14" spans="1:15">
      <c r="A14" s="4"/>
      <c r="B14" s="116" t="s">
        <v>40</v>
      </c>
      <c r="C14" s="116"/>
      <c r="D14" s="116"/>
      <c r="E14" s="116"/>
      <c r="F14" s="116"/>
      <c r="G14" s="116"/>
      <c r="H14" s="4">
        <v>13</v>
      </c>
      <c r="I14" s="93"/>
      <c r="J14" s="93"/>
      <c r="K14" s="93"/>
      <c r="L14" s="93"/>
      <c r="M14" s="93"/>
      <c r="N14" s="93"/>
      <c r="O14" s="93"/>
    </row>
    <row r="15" spans="1:15">
      <c r="A15" s="4"/>
      <c r="B15" s="116" t="s">
        <v>41</v>
      </c>
      <c r="C15" s="116"/>
      <c r="D15" s="116"/>
      <c r="E15" s="116"/>
      <c r="F15" s="116"/>
      <c r="G15" s="116"/>
      <c r="H15" s="4">
        <v>14</v>
      </c>
      <c r="I15" s="93"/>
      <c r="J15" s="93"/>
      <c r="K15" s="93"/>
      <c r="L15" s="93"/>
      <c r="M15" s="93"/>
      <c r="N15" s="93"/>
      <c r="O15" s="93"/>
    </row>
    <row r="16" spans="1:15">
      <c r="A16" s="4"/>
      <c r="B16" s="116" t="s">
        <v>42</v>
      </c>
      <c r="C16" s="116"/>
      <c r="D16" s="116"/>
      <c r="E16" s="116"/>
      <c r="F16" s="116"/>
      <c r="G16" s="116"/>
      <c r="H16" s="4">
        <v>15</v>
      </c>
      <c r="I16" s="93"/>
      <c r="J16" s="93"/>
      <c r="K16" s="93"/>
      <c r="L16" s="93"/>
      <c r="M16" s="93"/>
      <c r="N16" s="93"/>
      <c r="O16" s="93"/>
    </row>
    <row r="17" spans="1:8">
      <c r="A17" s="4"/>
      <c r="B17" s="116" t="s">
        <v>43</v>
      </c>
      <c r="C17" s="116"/>
      <c r="D17" s="116"/>
      <c r="E17" s="116"/>
      <c r="F17" s="116"/>
      <c r="G17" s="116"/>
      <c r="H17" s="4">
        <v>16</v>
      </c>
    </row>
    <row r="18" spans="1:8">
      <c r="A18" s="4"/>
      <c r="B18" s="116" t="s">
        <v>44</v>
      </c>
      <c r="C18" s="116"/>
      <c r="D18" s="116"/>
      <c r="E18" s="116"/>
      <c r="F18" s="116"/>
      <c r="G18" s="116"/>
      <c r="H18" s="4">
        <v>17</v>
      </c>
    </row>
    <row r="19" spans="1:8">
      <c r="A19" s="4"/>
      <c r="B19" s="116" t="s">
        <v>45</v>
      </c>
      <c r="C19" s="116"/>
      <c r="D19" s="116"/>
      <c r="E19" s="116"/>
      <c r="F19" s="116"/>
      <c r="G19" s="116"/>
      <c r="H19" s="4">
        <v>18</v>
      </c>
    </row>
    <row r="20" spans="1:8">
      <c r="A20" s="4"/>
      <c r="B20" s="116" t="s">
        <v>46</v>
      </c>
      <c r="C20" s="116"/>
      <c r="D20" s="116"/>
      <c r="E20" s="116"/>
      <c r="F20" s="116"/>
      <c r="G20" s="116"/>
      <c r="H20" s="4">
        <v>19</v>
      </c>
    </row>
    <row r="21" spans="1:8">
      <c r="A21" s="4"/>
      <c r="B21" s="116" t="s">
        <v>47</v>
      </c>
      <c r="C21" s="116"/>
      <c r="D21" s="116"/>
      <c r="E21" s="116"/>
      <c r="F21" s="116"/>
      <c r="G21" s="116"/>
      <c r="H21" s="4">
        <v>20</v>
      </c>
    </row>
    <row r="22" spans="1:8">
      <c r="A22" s="4"/>
      <c r="B22" s="118" t="s">
        <v>48</v>
      </c>
      <c r="C22" s="119"/>
      <c r="D22" s="119"/>
      <c r="E22" s="119"/>
      <c r="F22" s="119"/>
      <c r="G22" s="120"/>
      <c r="H22" s="4">
        <v>21</v>
      </c>
    </row>
    <row r="23" spans="1:8">
      <c r="A23" s="4"/>
      <c r="B23" s="118" t="s">
        <v>49</v>
      </c>
      <c r="C23" s="119"/>
      <c r="D23" s="119"/>
      <c r="E23" s="119"/>
      <c r="F23" s="119"/>
      <c r="G23" s="120"/>
      <c r="H23" s="4">
        <v>22</v>
      </c>
    </row>
    <row r="24" spans="1:8">
      <c r="A24" s="4"/>
      <c r="B24" s="121"/>
      <c r="C24" s="121"/>
      <c r="D24" s="121"/>
      <c r="E24" s="121"/>
      <c r="F24" s="121"/>
      <c r="G24" s="121"/>
      <c r="H24" s="4"/>
    </row>
    <row r="26" spans="1:8">
      <c r="A26" s="52" t="s">
        <v>50</v>
      </c>
      <c r="B26" s="266"/>
      <c r="C26" s="266"/>
      <c r="D26" s="266"/>
      <c r="E26" s="266"/>
      <c r="F26" s="266"/>
      <c r="G26" s="266"/>
      <c r="H26" s="267"/>
    </row>
    <row r="27" spans="1:8">
      <c r="A27" s="10" t="s">
        <v>26</v>
      </c>
      <c r="B27" s="122" t="s">
        <v>51</v>
      </c>
      <c r="C27" s="122"/>
      <c r="D27" s="122"/>
      <c r="E27" s="122"/>
      <c r="F27" s="122"/>
      <c r="G27" s="122"/>
      <c r="H27" s="11" t="s">
        <v>52</v>
      </c>
    </row>
    <row r="28" spans="1:8">
      <c r="A28" s="268"/>
      <c r="B28" s="195"/>
      <c r="C28" s="195"/>
      <c r="D28" s="195"/>
      <c r="E28" s="195"/>
      <c r="F28" s="195"/>
      <c r="G28" s="195"/>
      <c r="H28" s="268"/>
    </row>
    <row r="29" spans="1:8">
      <c r="A29" s="268"/>
      <c r="B29" s="195"/>
      <c r="C29" s="195"/>
      <c r="D29" s="195"/>
      <c r="E29" s="195"/>
      <c r="F29" s="195"/>
      <c r="G29" s="195"/>
      <c r="H29" s="268"/>
    </row>
    <row r="30" spans="1:8">
      <c r="A30" s="268"/>
      <c r="B30" s="195"/>
      <c r="C30" s="195"/>
      <c r="D30" s="195"/>
      <c r="E30" s="195"/>
      <c r="F30" s="195"/>
      <c r="G30" s="195"/>
      <c r="H30" s="268"/>
    </row>
    <row r="31" spans="1:8">
      <c r="A31" s="268"/>
      <c r="B31" s="195"/>
      <c r="C31" s="195"/>
      <c r="D31" s="195"/>
      <c r="E31" s="195"/>
      <c r="F31" s="195"/>
      <c r="G31" s="195"/>
      <c r="H31" s="268"/>
    </row>
    <row r="32" spans="1:8">
      <c r="A32" s="268"/>
      <c r="B32" s="195"/>
      <c r="C32" s="195"/>
      <c r="D32" s="195"/>
      <c r="E32" s="195"/>
      <c r="F32" s="195"/>
      <c r="G32" s="195"/>
      <c r="H32" s="268"/>
    </row>
    <row r="34" spans="1:10" ht="14.25" customHeight="1">
      <c r="A34" s="52" t="s">
        <v>53</v>
      </c>
      <c r="B34" s="266"/>
      <c r="C34" s="266"/>
      <c r="D34" s="266"/>
      <c r="E34" s="266"/>
      <c r="F34" s="266"/>
      <c r="G34" s="266"/>
      <c r="H34" s="267"/>
      <c r="I34" s="93"/>
      <c r="J34" s="93"/>
    </row>
    <row r="35" spans="1:10">
      <c r="A35" s="13" t="s">
        <v>54</v>
      </c>
      <c r="B35" s="123" t="s">
        <v>55</v>
      </c>
      <c r="C35" s="123"/>
      <c r="D35" s="123"/>
      <c r="E35" s="123"/>
      <c r="F35" s="123"/>
      <c r="G35" s="123"/>
      <c r="H35" s="14" t="s">
        <v>56</v>
      </c>
      <c r="I35" s="93"/>
      <c r="J35" s="93"/>
    </row>
    <row r="36" spans="1:10">
      <c r="A36" s="269"/>
      <c r="B36" s="270"/>
      <c r="C36" s="270"/>
      <c r="D36" s="270"/>
      <c r="E36" s="270"/>
      <c r="F36" s="270"/>
      <c r="G36" s="270"/>
      <c r="H36" s="269"/>
      <c r="I36" s="93"/>
      <c r="J36" s="93"/>
    </row>
    <row r="37" spans="1:10">
      <c r="A37" s="269"/>
      <c r="B37" s="270"/>
      <c r="C37" s="270"/>
      <c r="D37" s="270"/>
      <c r="E37" s="270"/>
      <c r="F37" s="270"/>
      <c r="G37" s="270"/>
      <c r="H37" s="269"/>
      <c r="I37" s="93"/>
      <c r="J37" s="93"/>
    </row>
    <row r="38" spans="1:10">
      <c r="A38" s="269"/>
      <c r="B38" s="270"/>
      <c r="C38" s="270"/>
      <c r="D38" s="270"/>
      <c r="E38" s="270"/>
      <c r="F38" s="270"/>
      <c r="G38" s="270"/>
      <c r="H38" s="269"/>
      <c r="I38" s="93"/>
      <c r="J38" s="93"/>
    </row>
    <row r="39" spans="1:10">
      <c r="A39" s="269"/>
      <c r="B39" s="270"/>
      <c r="C39" s="270"/>
      <c r="D39" s="270"/>
      <c r="E39" s="270"/>
      <c r="F39" s="270"/>
      <c r="G39" s="270"/>
      <c r="H39" s="269"/>
      <c r="I39" s="93"/>
      <c r="J39" s="93"/>
    </row>
    <row r="40" spans="1:10">
      <c r="A40" s="269"/>
      <c r="B40" s="270"/>
      <c r="C40" s="270"/>
      <c r="D40" s="270"/>
      <c r="E40" s="270"/>
      <c r="F40" s="270"/>
      <c r="G40" s="270"/>
      <c r="H40" s="269"/>
      <c r="I40" s="93"/>
      <c r="J40" s="93"/>
    </row>
    <row r="41" spans="1:10">
      <c r="A41" s="269"/>
      <c r="B41" s="270"/>
      <c r="C41" s="270"/>
      <c r="D41" s="270"/>
      <c r="E41" s="270"/>
      <c r="F41" s="270"/>
      <c r="G41" s="270"/>
      <c r="H41" s="269"/>
      <c r="I41" s="93"/>
      <c r="J41" s="93"/>
    </row>
    <row r="42" spans="1:10">
      <c r="A42" s="269"/>
      <c r="B42" s="270"/>
      <c r="C42" s="270"/>
      <c r="D42" s="270"/>
      <c r="E42" s="270"/>
      <c r="F42" s="270"/>
      <c r="G42" s="270"/>
      <c r="H42" s="269"/>
      <c r="I42" s="93"/>
      <c r="J42" s="93"/>
    </row>
    <row r="44" spans="1:10">
      <c r="A44" s="271" t="s">
        <v>57</v>
      </c>
      <c r="B44" s="272"/>
      <c r="C44" s="272"/>
      <c r="D44" s="272"/>
      <c r="E44" s="272"/>
      <c r="F44" s="272"/>
      <c r="G44" s="272"/>
      <c r="H44" s="272"/>
      <c r="I44" s="272"/>
      <c r="J44" s="273"/>
    </row>
    <row r="45" spans="1:10">
      <c r="A45" s="274"/>
      <c r="B45" s="275"/>
      <c r="C45" s="275"/>
      <c r="D45" s="275"/>
      <c r="E45" s="275"/>
      <c r="F45" s="275"/>
      <c r="G45" s="275"/>
      <c r="H45" s="275"/>
      <c r="I45" s="275"/>
      <c r="J45" s="276"/>
    </row>
    <row r="46" spans="1:10">
      <c r="A46" s="274"/>
      <c r="B46" s="275"/>
      <c r="C46" s="275"/>
      <c r="D46" s="275"/>
      <c r="E46" s="275"/>
      <c r="F46" s="275"/>
      <c r="G46" s="275"/>
      <c r="H46" s="275"/>
      <c r="I46" s="275"/>
      <c r="J46" s="276"/>
    </row>
    <row r="47" spans="1:10">
      <c r="A47" s="277"/>
      <c r="B47" s="278"/>
      <c r="C47" s="278"/>
      <c r="D47" s="278"/>
      <c r="E47" s="278"/>
      <c r="F47" s="278"/>
      <c r="G47" s="278"/>
      <c r="H47" s="278"/>
      <c r="I47" s="278"/>
      <c r="J47" s="279"/>
    </row>
    <row r="65" spans="6:6">
      <c r="F65" s="3"/>
    </row>
  </sheetData>
  <mergeCells count="37">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19:G19"/>
    <mergeCell ref="B20:G20"/>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76"/>
  <sheetViews>
    <sheetView showGridLines="0" view="pageBreakPreview" topLeftCell="A45"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Stoke Energy from Waste Facility</v>
      </c>
      <c r="F1" s="93"/>
      <c r="G1" s="93"/>
      <c r="H1" s="93"/>
      <c r="I1" s="93"/>
      <c r="J1" s="93"/>
      <c r="K1" s="93"/>
      <c r="L1" s="93"/>
      <c r="M1" s="93"/>
      <c r="N1" s="93"/>
    </row>
    <row r="3" spans="1:14" ht="15.6">
      <c r="A3" s="51" t="s">
        <v>58</v>
      </c>
      <c r="B3" s="280"/>
      <c r="C3" s="280"/>
      <c r="D3" s="280"/>
      <c r="E3" s="280"/>
      <c r="F3" s="280"/>
      <c r="G3" s="280"/>
      <c r="H3" s="280"/>
      <c r="I3" s="281"/>
      <c r="J3" s="93"/>
      <c r="K3" s="81" t="s">
        <v>3</v>
      </c>
      <c r="L3" s="93"/>
      <c r="M3" s="93"/>
      <c r="N3" s="93"/>
    </row>
    <row r="4" spans="1:14">
      <c r="A4" s="282"/>
      <c r="B4" s="283"/>
      <c r="C4" s="283"/>
      <c r="D4" s="283"/>
      <c r="E4" s="283"/>
      <c r="F4" s="283"/>
      <c r="G4" s="283"/>
      <c r="H4" s="283"/>
      <c r="I4" s="284"/>
      <c r="J4" s="93"/>
      <c r="K4" s="93"/>
      <c r="L4" s="93"/>
      <c r="M4" s="93"/>
      <c r="N4" s="93"/>
    </row>
    <row r="5" spans="1:14" ht="15.75" customHeight="1">
      <c r="A5" s="124" t="s">
        <v>59</v>
      </c>
      <c r="B5" s="126"/>
      <c r="C5" s="126"/>
      <c r="D5" s="126"/>
      <c r="E5" s="126"/>
      <c r="F5" s="126"/>
      <c r="G5" s="126"/>
      <c r="H5" s="126"/>
      <c r="I5" s="127"/>
      <c r="J5" s="93"/>
      <c r="K5" s="125" t="s">
        <v>60</v>
      </c>
      <c r="L5" s="125"/>
      <c r="M5" s="125"/>
      <c r="N5" s="125"/>
    </row>
    <row r="6" spans="1:14">
      <c r="A6" s="128"/>
      <c r="B6" s="129"/>
      <c r="C6" s="129"/>
      <c r="D6" s="129"/>
      <c r="E6" s="129"/>
      <c r="F6" s="129"/>
      <c r="G6" s="129"/>
      <c r="H6" s="129"/>
      <c r="I6" s="130"/>
      <c r="J6" s="93"/>
      <c r="K6" s="125"/>
      <c r="L6" s="125"/>
      <c r="M6" s="125"/>
      <c r="N6" s="125"/>
    </row>
    <row r="7" spans="1:14">
      <c r="A7" s="128"/>
      <c r="B7" s="129"/>
      <c r="C7" s="129"/>
      <c r="D7" s="129"/>
      <c r="E7" s="129"/>
      <c r="F7" s="129"/>
      <c r="G7" s="129"/>
      <c r="H7" s="129"/>
      <c r="I7" s="130"/>
      <c r="J7" s="93"/>
      <c r="K7" s="125"/>
      <c r="L7" s="125"/>
      <c r="M7" s="125"/>
      <c r="N7" s="125"/>
    </row>
    <row r="8" spans="1:14" ht="15.75" customHeight="1">
      <c r="A8" s="128"/>
      <c r="B8" s="129"/>
      <c r="C8" s="129"/>
      <c r="D8" s="129"/>
      <c r="E8" s="129"/>
      <c r="F8" s="129"/>
      <c r="G8" s="129"/>
      <c r="H8" s="129"/>
      <c r="I8" s="130"/>
      <c r="J8" s="93"/>
      <c r="K8" s="125"/>
      <c r="L8" s="125"/>
      <c r="M8" s="125"/>
      <c r="N8" s="125"/>
    </row>
    <row r="9" spans="1:14">
      <c r="A9" s="128"/>
      <c r="B9" s="129"/>
      <c r="C9" s="129"/>
      <c r="D9" s="129"/>
      <c r="E9" s="129"/>
      <c r="F9" s="129"/>
      <c r="G9" s="129"/>
      <c r="H9" s="129"/>
      <c r="I9" s="130"/>
      <c r="J9" s="93"/>
      <c r="K9" s="125"/>
      <c r="L9" s="125"/>
      <c r="M9" s="125"/>
      <c r="N9" s="125"/>
    </row>
    <row r="10" spans="1:14">
      <c r="A10" s="128"/>
      <c r="B10" s="129"/>
      <c r="C10" s="129"/>
      <c r="D10" s="129"/>
      <c r="E10" s="129"/>
      <c r="F10" s="129"/>
      <c r="G10" s="129"/>
      <c r="H10" s="129"/>
      <c r="I10" s="130"/>
      <c r="J10" s="93"/>
      <c r="K10" s="125"/>
      <c r="L10" s="125"/>
      <c r="M10" s="125"/>
      <c r="N10" s="125"/>
    </row>
    <row r="11" spans="1:14">
      <c r="A11" s="128"/>
      <c r="B11" s="129"/>
      <c r="C11" s="129"/>
      <c r="D11" s="129"/>
      <c r="E11" s="129"/>
      <c r="F11" s="129"/>
      <c r="G11" s="129"/>
      <c r="H11" s="129"/>
      <c r="I11" s="130"/>
      <c r="J11" s="93"/>
      <c r="K11" s="125"/>
      <c r="L11" s="125"/>
      <c r="M11" s="125"/>
      <c r="N11" s="125"/>
    </row>
    <row r="12" spans="1:14">
      <c r="A12" s="128"/>
      <c r="B12" s="129"/>
      <c r="C12" s="129"/>
      <c r="D12" s="129"/>
      <c r="E12" s="129"/>
      <c r="F12" s="129"/>
      <c r="G12" s="129"/>
      <c r="H12" s="129"/>
      <c r="I12" s="130"/>
      <c r="J12" s="93"/>
      <c r="K12" s="125"/>
      <c r="L12" s="125"/>
      <c r="M12" s="125"/>
      <c r="N12" s="125"/>
    </row>
    <row r="13" spans="1:14">
      <c r="A13" s="128"/>
      <c r="B13" s="129"/>
      <c r="C13" s="129"/>
      <c r="D13" s="129"/>
      <c r="E13" s="129"/>
      <c r="F13" s="129"/>
      <c r="G13" s="129"/>
      <c r="H13" s="129"/>
      <c r="I13" s="130"/>
      <c r="J13" s="93"/>
      <c r="K13" s="125"/>
      <c r="L13" s="125"/>
      <c r="M13" s="125"/>
      <c r="N13" s="125"/>
    </row>
    <row r="14" spans="1:14">
      <c r="A14" s="128"/>
      <c r="B14" s="129"/>
      <c r="C14" s="129"/>
      <c r="D14" s="129"/>
      <c r="E14" s="129"/>
      <c r="F14" s="129"/>
      <c r="G14" s="129"/>
      <c r="H14" s="129"/>
      <c r="I14" s="130"/>
      <c r="J14" s="93"/>
      <c r="K14" s="125"/>
      <c r="L14" s="125"/>
      <c r="M14" s="125"/>
      <c r="N14" s="125"/>
    </row>
    <row r="15" spans="1:14">
      <c r="A15" s="128"/>
      <c r="B15" s="129"/>
      <c r="C15" s="129"/>
      <c r="D15" s="129"/>
      <c r="E15" s="129"/>
      <c r="F15" s="129"/>
      <c r="G15" s="129"/>
      <c r="H15" s="129"/>
      <c r="I15" s="130"/>
      <c r="J15" s="93"/>
      <c r="K15" s="93"/>
      <c r="L15" s="93"/>
      <c r="M15" s="93"/>
      <c r="N15" s="93"/>
    </row>
    <row r="16" spans="1:14">
      <c r="A16" s="128"/>
      <c r="B16" s="129"/>
      <c r="C16" s="129"/>
      <c r="D16" s="129"/>
      <c r="E16" s="129"/>
      <c r="F16" s="129"/>
      <c r="G16" s="129"/>
      <c r="H16" s="129"/>
      <c r="I16" s="130"/>
      <c r="J16" s="93"/>
      <c r="K16" s="93"/>
      <c r="L16" s="93"/>
      <c r="M16" s="93"/>
      <c r="N16" s="93"/>
    </row>
    <row r="17" spans="1:14">
      <c r="A17" s="128"/>
      <c r="B17" s="129"/>
      <c r="C17" s="129"/>
      <c r="D17" s="129"/>
      <c r="E17" s="129"/>
      <c r="F17" s="129"/>
      <c r="G17" s="129"/>
      <c r="H17" s="129"/>
      <c r="I17" s="130"/>
      <c r="J17" s="93"/>
      <c r="K17" s="93"/>
      <c r="L17" s="93"/>
      <c r="M17" s="93"/>
      <c r="N17" s="93"/>
    </row>
    <row r="18" spans="1:14">
      <c r="A18" s="131"/>
      <c r="B18" s="132"/>
      <c r="C18" s="132"/>
      <c r="D18" s="132"/>
      <c r="E18" s="132"/>
      <c r="F18" s="132"/>
      <c r="G18" s="132"/>
      <c r="H18" s="132"/>
      <c r="I18" s="133"/>
      <c r="J18" s="93"/>
      <c r="K18" s="93"/>
      <c r="L18" s="93"/>
      <c r="M18" s="93"/>
      <c r="N18" s="93"/>
    </row>
    <row r="20" spans="1:14">
      <c r="A20" s="51" t="s">
        <v>61</v>
      </c>
      <c r="B20" s="280"/>
      <c r="C20" s="280"/>
      <c r="D20" s="280"/>
      <c r="E20" s="280"/>
      <c r="F20" s="280"/>
      <c r="G20" s="280"/>
      <c r="H20" s="280"/>
      <c r="I20" s="281"/>
      <c r="J20" s="93"/>
      <c r="K20" s="93"/>
      <c r="L20" s="93"/>
      <c r="M20" s="93"/>
      <c r="N20" s="93"/>
    </row>
    <row r="21" spans="1:14">
      <c r="A21" s="282"/>
      <c r="B21" s="283"/>
      <c r="C21" s="283"/>
      <c r="D21" s="283"/>
      <c r="E21" s="283"/>
      <c r="F21" s="283"/>
      <c r="G21" s="283"/>
      <c r="H21" s="283"/>
      <c r="I21" s="284"/>
      <c r="J21" s="93"/>
      <c r="K21" s="93"/>
      <c r="L21" s="93"/>
      <c r="M21" s="93"/>
      <c r="N21" s="93"/>
    </row>
    <row r="22" spans="1:14" ht="15" customHeight="1">
      <c r="A22" s="124" t="s">
        <v>62</v>
      </c>
      <c r="B22" s="126"/>
      <c r="C22" s="126"/>
      <c r="D22" s="126"/>
      <c r="E22" s="126"/>
      <c r="F22" s="126"/>
      <c r="G22" s="126"/>
      <c r="H22" s="126"/>
      <c r="I22" s="127"/>
      <c r="J22" s="93"/>
      <c r="K22" s="125" t="s">
        <v>63</v>
      </c>
      <c r="L22" s="125"/>
      <c r="M22" s="125"/>
      <c r="N22" s="125"/>
    </row>
    <row r="23" spans="1:14">
      <c r="A23" s="128"/>
      <c r="B23" s="129"/>
      <c r="C23" s="129"/>
      <c r="D23" s="129"/>
      <c r="E23" s="129"/>
      <c r="F23" s="129"/>
      <c r="G23" s="129"/>
      <c r="H23" s="129"/>
      <c r="I23" s="130"/>
      <c r="J23" s="93"/>
      <c r="K23" s="125"/>
      <c r="L23" s="125"/>
      <c r="M23" s="125"/>
      <c r="N23" s="125"/>
    </row>
    <row r="24" spans="1:14">
      <c r="A24" s="128"/>
      <c r="B24" s="129"/>
      <c r="C24" s="129"/>
      <c r="D24" s="129"/>
      <c r="E24" s="129"/>
      <c r="F24" s="129"/>
      <c r="G24" s="129"/>
      <c r="H24" s="129"/>
      <c r="I24" s="130"/>
      <c r="J24" s="93"/>
      <c r="K24" s="125"/>
      <c r="L24" s="125"/>
      <c r="M24" s="125"/>
      <c r="N24" s="125"/>
    </row>
    <row r="25" spans="1:14">
      <c r="A25" s="128"/>
      <c r="B25" s="129"/>
      <c r="C25" s="129"/>
      <c r="D25" s="129"/>
      <c r="E25" s="129"/>
      <c r="F25" s="129"/>
      <c r="G25" s="129"/>
      <c r="H25" s="129"/>
      <c r="I25" s="130"/>
      <c r="J25" s="93"/>
      <c r="K25" s="125"/>
      <c r="L25" s="125"/>
      <c r="M25" s="125"/>
      <c r="N25" s="125"/>
    </row>
    <row r="26" spans="1:14">
      <c r="A26" s="128"/>
      <c r="B26" s="129"/>
      <c r="C26" s="129"/>
      <c r="D26" s="129"/>
      <c r="E26" s="129"/>
      <c r="F26" s="129"/>
      <c r="G26" s="129"/>
      <c r="H26" s="129"/>
      <c r="I26" s="130"/>
      <c r="J26" s="93"/>
      <c r="K26" s="125"/>
      <c r="L26" s="125"/>
      <c r="M26" s="125"/>
      <c r="N26" s="125"/>
    </row>
    <row r="27" spans="1:14">
      <c r="A27" s="128"/>
      <c r="B27" s="129"/>
      <c r="C27" s="129"/>
      <c r="D27" s="129"/>
      <c r="E27" s="129"/>
      <c r="F27" s="129"/>
      <c r="G27" s="129"/>
      <c r="H27" s="129"/>
      <c r="I27" s="130"/>
      <c r="J27" s="93"/>
      <c r="K27" s="125"/>
      <c r="L27" s="125"/>
      <c r="M27" s="125"/>
      <c r="N27" s="125"/>
    </row>
    <row r="28" spans="1:14">
      <c r="A28" s="128"/>
      <c r="B28" s="129"/>
      <c r="C28" s="129"/>
      <c r="D28" s="129"/>
      <c r="E28" s="129"/>
      <c r="F28" s="129"/>
      <c r="G28" s="129"/>
      <c r="H28" s="129"/>
      <c r="I28" s="130"/>
      <c r="J28" s="93"/>
      <c r="K28" s="125"/>
      <c r="L28" s="125"/>
      <c r="M28" s="125"/>
      <c r="N28" s="125"/>
    </row>
    <row r="29" spans="1:14">
      <c r="A29" s="128"/>
      <c r="B29" s="129"/>
      <c r="C29" s="129"/>
      <c r="D29" s="129"/>
      <c r="E29" s="129"/>
      <c r="F29" s="129"/>
      <c r="G29" s="129"/>
      <c r="H29" s="129"/>
      <c r="I29" s="130"/>
      <c r="J29" s="93"/>
      <c r="K29" s="125"/>
      <c r="L29" s="125"/>
      <c r="M29" s="125"/>
      <c r="N29" s="125"/>
    </row>
    <row r="30" spans="1:14">
      <c r="A30" s="128"/>
      <c r="B30" s="129"/>
      <c r="C30" s="129"/>
      <c r="D30" s="129"/>
      <c r="E30" s="129"/>
      <c r="F30" s="129"/>
      <c r="G30" s="129"/>
      <c r="H30" s="129"/>
      <c r="I30" s="130"/>
      <c r="J30" s="93"/>
      <c r="K30" s="125"/>
      <c r="L30" s="125"/>
      <c r="M30" s="125"/>
      <c r="N30" s="125"/>
    </row>
    <row r="31" spans="1:14">
      <c r="A31" s="128"/>
      <c r="B31" s="129"/>
      <c r="C31" s="129"/>
      <c r="D31" s="129"/>
      <c r="E31" s="129"/>
      <c r="F31" s="129"/>
      <c r="G31" s="129"/>
      <c r="H31" s="129"/>
      <c r="I31" s="130"/>
      <c r="J31" s="93"/>
      <c r="K31" s="125"/>
      <c r="L31" s="125"/>
      <c r="M31" s="125"/>
      <c r="N31" s="125"/>
    </row>
    <row r="32" spans="1:14">
      <c r="A32" s="128"/>
      <c r="B32" s="129"/>
      <c r="C32" s="129"/>
      <c r="D32" s="129"/>
      <c r="E32" s="129"/>
      <c r="F32" s="129"/>
      <c r="G32" s="129"/>
      <c r="H32" s="129"/>
      <c r="I32" s="130"/>
      <c r="J32" s="93"/>
      <c r="K32" s="93"/>
      <c r="L32" s="93"/>
      <c r="M32" s="93"/>
      <c r="N32" s="93"/>
    </row>
    <row r="33" spans="1:9">
      <c r="A33" s="128"/>
      <c r="B33" s="129"/>
      <c r="C33" s="129"/>
      <c r="D33" s="129"/>
      <c r="E33" s="129"/>
      <c r="F33" s="129"/>
      <c r="G33" s="129"/>
      <c r="H33" s="129"/>
      <c r="I33" s="130"/>
    </row>
    <row r="34" spans="1:9">
      <c r="A34" s="128"/>
      <c r="B34" s="129"/>
      <c r="C34" s="129"/>
      <c r="D34" s="129"/>
      <c r="E34" s="129"/>
      <c r="F34" s="129"/>
      <c r="G34" s="129"/>
      <c r="H34" s="129"/>
      <c r="I34" s="130"/>
    </row>
    <row r="35" spans="1:9">
      <c r="A35" s="128"/>
      <c r="B35" s="129"/>
      <c r="C35" s="129"/>
      <c r="D35" s="129"/>
      <c r="E35" s="129"/>
      <c r="F35" s="129"/>
      <c r="G35" s="129"/>
      <c r="H35" s="129"/>
      <c r="I35" s="130"/>
    </row>
    <row r="36" spans="1:9">
      <c r="A36" s="128"/>
      <c r="B36" s="129"/>
      <c r="C36" s="129"/>
      <c r="D36" s="129"/>
      <c r="E36" s="129"/>
      <c r="F36" s="129"/>
      <c r="G36" s="129"/>
      <c r="H36" s="129"/>
      <c r="I36" s="130"/>
    </row>
    <row r="37" spans="1:9">
      <c r="A37" s="128"/>
      <c r="B37" s="129"/>
      <c r="C37" s="129"/>
      <c r="D37" s="129"/>
      <c r="E37" s="129"/>
      <c r="F37" s="129"/>
      <c r="G37" s="129"/>
      <c r="H37" s="129"/>
      <c r="I37" s="130"/>
    </row>
    <row r="38" spans="1:9">
      <c r="A38" s="128"/>
      <c r="B38" s="129"/>
      <c r="C38" s="129"/>
      <c r="D38" s="129"/>
      <c r="E38" s="129"/>
      <c r="F38" s="129"/>
      <c r="G38" s="129"/>
      <c r="H38" s="129"/>
      <c r="I38" s="130"/>
    </row>
    <row r="39" spans="1:9">
      <c r="A39" s="128"/>
      <c r="B39" s="129"/>
      <c r="C39" s="129"/>
      <c r="D39" s="129"/>
      <c r="E39" s="129"/>
      <c r="F39" s="129"/>
      <c r="G39" s="129"/>
      <c r="H39" s="129"/>
      <c r="I39" s="130"/>
    </row>
    <row r="40" spans="1:9" ht="14.25" customHeight="1">
      <c r="A40" s="128"/>
      <c r="B40" s="129"/>
      <c r="C40" s="129"/>
      <c r="D40" s="129"/>
      <c r="E40" s="129"/>
      <c r="F40" s="129"/>
      <c r="G40" s="129"/>
      <c r="H40" s="129"/>
      <c r="I40" s="130"/>
    </row>
    <row r="41" spans="1:9">
      <c r="A41" s="128"/>
      <c r="B41" s="129"/>
      <c r="C41" s="129"/>
      <c r="D41" s="129"/>
      <c r="E41" s="129"/>
      <c r="F41" s="129"/>
      <c r="G41" s="129"/>
      <c r="H41" s="129"/>
      <c r="I41" s="130"/>
    </row>
    <row r="42" spans="1:9">
      <c r="A42" s="128"/>
      <c r="B42" s="129"/>
      <c r="C42" s="129"/>
      <c r="D42" s="129"/>
      <c r="E42" s="129"/>
      <c r="F42" s="129"/>
      <c r="G42" s="129"/>
      <c r="H42" s="129"/>
      <c r="I42" s="130"/>
    </row>
    <row r="43" spans="1:9">
      <c r="A43" s="128"/>
      <c r="B43" s="129"/>
      <c r="C43" s="129"/>
      <c r="D43" s="129"/>
      <c r="E43" s="129"/>
      <c r="F43" s="129"/>
      <c r="G43" s="129"/>
      <c r="H43" s="129"/>
      <c r="I43" s="130"/>
    </row>
    <row r="44" spans="1:9">
      <c r="A44" s="128"/>
      <c r="B44" s="129"/>
      <c r="C44" s="129"/>
      <c r="D44" s="129"/>
      <c r="E44" s="129"/>
      <c r="F44" s="129"/>
      <c r="G44" s="129"/>
      <c r="H44" s="129"/>
      <c r="I44" s="130"/>
    </row>
    <row r="45" spans="1:9">
      <c r="A45" s="128"/>
      <c r="B45" s="129"/>
      <c r="C45" s="129"/>
      <c r="D45" s="129"/>
      <c r="E45" s="129"/>
      <c r="F45" s="129"/>
      <c r="G45" s="129"/>
      <c r="H45" s="129"/>
      <c r="I45" s="130"/>
    </row>
    <row r="46" spans="1:9">
      <c r="A46" s="128"/>
      <c r="B46" s="129"/>
      <c r="C46" s="129"/>
      <c r="D46" s="129"/>
      <c r="E46" s="129"/>
      <c r="F46" s="129"/>
      <c r="G46" s="129"/>
      <c r="H46" s="129"/>
      <c r="I46" s="130"/>
    </row>
    <row r="47" spans="1:9">
      <c r="A47" s="128"/>
      <c r="B47" s="129"/>
      <c r="C47" s="129"/>
      <c r="D47" s="129"/>
      <c r="E47" s="129"/>
      <c r="F47" s="129"/>
      <c r="G47" s="129"/>
      <c r="H47" s="129"/>
      <c r="I47" s="130"/>
    </row>
    <row r="48" spans="1:9">
      <c r="A48" s="128"/>
      <c r="B48" s="129"/>
      <c r="C48" s="129"/>
      <c r="D48" s="129"/>
      <c r="E48" s="129"/>
      <c r="F48" s="129"/>
      <c r="G48" s="129"/>
      <c r="H48" s="129"/>
      <c r="I48" s="130"/>
    </row>
    <row r="49" spans="1:9">
      <c r="A49" s="128"/>
      <c r="B49" s="129"/>
      <c r="C49" s="129"/>
      <c r="D49" s="129"/>
      <c r="E49" s="129"/>
      <c r="F49" s="129"/>
      <c r="G49" s="129"/>
      <c r="H49" s="129"/>
      <c r="I49" s="130"/>
    </row>
    <row r="50" spans="1:9">
      <c r="A50" s="128"/>
      <c r="B50" s="129"/>
      <c r="C50" s="129"/>
      <c r="D50" s="129"/>
      <c r="E50" s="129"/>
      <c r="F50" s="129"/>
      <c r="G50" s="129"/>
      <c r="H50" s="129"/>
      <c r="I50" s="130"/>
    </row>
    <row r="51" spans="1:9">
      <c r="A51" s="128"/>
      <c r="B51" s="129"/>
      <c r="C51" s="129"/>
      <c r="D51" s="129"/>
      <c r="E51" s="129"/>
      <c r="F51" s="129"/>
      <c r="G51" s="129"/>
      <c r="H51" s="129"/>
      <c r="I51" s="130"/>
    </row>
    <row r="52" spans="1:9">
      <c r="A52" s="128"/>
      <c r="B52" s="129"/>
      <c r="C52" s="129"/>
      <c r="D52" s="129"/>
      <c r="E52" s="129"/>
      <c r="F52" s="129"/>
      <c r="G52" s="129"/>
      <c r="H52" s="129"/>
      <c r="I52" s="130"/>
    </row>
    <row r="53" spans="1:9">
      <c r="A53" s="128"/>
      <c r="B53" s="129"/>
      <c r="C53" s="129"/>
      <c r="D53" s="129"/>
      <c r="E53" s="129"/>
      <c r="F53" s="129"/>
      <c r="G53" s="129"/>
      <c r="H53" s="129"/>
      <c r="I53" s="130"/>
    </row>
    <row r="54" spans="1:9">
      <c r="A54" s="128"/>
      <c r="B54" s="129"/>
      <c r="C54" s="129"/>
      <c r="D54" s="129"/>
      <c r="E54" s="129"/>
      <c r="F54" s="129"/>
      <c r="G54" s="129"/>
      <c r="H54" s="129"/>
      <c r="I54" s="130"/>
    </row>
    <row r="55" spans="1:9">
      <c r="A55" s="128"/>
      <c r="B55" s="129"/>
      <c r="C55" s="129"/>
      <c r="D55" s="129"/>
      <c r="E55" s="129"/>
      <c r="F55" s="129"/>
      <c r="G55" s="129"/>
      <c r="H55" s="129"/>
      <c r="I55" s="130"/>
    </row>
    <row r="56" spans="1:9">
      <c r="A56" s="128"/>
      <c r="B56" s="129"/>
      <c r="C56" s="129"/>
      <c r="D56" s="129"/>
      <c r="E56" s="129"/>
      <c r="F56" s="129"/>
      <c r="G56" s="129"/>
      <c r="H56" s="129"/>
      <c r="I56" s="130"/>
    </row>
    <row r="57" spans="1:9">
      <c r="A57" s="128"/>
      <c r="B57" s="129"/>
      <c r="C57" s="129"/>
      <c r="D57" s="129"/>
      <c r="E57" s="129"/>
      <c r="F57" s="129"/>
      <c r="G57" s="129"/>
      <c r="H57" s="129"/>
      <c r="I57" s="130"/>
    </row>
    <row r="58" spans="1:9">
      <c r="A58" s="128"/>
      <c r="B58" s="129"/>
      <c r="C58" s="129"/>
      <c r="D58" s="129"/>
      <c r="E58" s="129"/>
      <c r="F58" s="129"/>
      <c r="G58" s="129"/>
      <c r="H58" s="129"/>
      <c r="I58" s="130"/>
    </row>
    <row r="59" spans="1:9">
      <c r="A59" s="128"/>
      <c r="B59" s="129"/>
      <c r="C59" s="129"/>
      <c r="D59" s="129"/>
      <c r="E59" s="129"/>
      <c r="F59" s="129"/>
      <c r="G59" s="129"/>
      <c r="H59" s="129"/>
      <c r="I59" s="130"/>
    </row>
    <row r="60" spans="1:9">
      <c r="A60" s="128"/>
      <c r="B60" s="129"/>
      <c r="C60" s="129"/>
      <c r="D60" s="129"/>
      <c r="E60" s="129"/>
      <c r="F60" s="129"/>
      <c r="G60" s="129"/>
      <c r="H60" s="129"/>
      <c r="I60" s="130"/>
    </row>
    <row r="61" spans="1:9">
      <c r="A61" s="128"/>
      <c r="B61" s="129"/>
      <c r="C61" s="129"/>
      <c r="D61" s="129"/>
      <c r="E61" s="129"/>
      <c r="F61" s="129"/>
      <c r="G61" s="129"/>
      <c r="H61" s="129"/>
      <c r="I61" s="130"/>
    </row>
    <row r="62" spans="1:9">
      <c r="A62" s="128"/>
      <c r="B62" s="129"/>
      <c r="C62" s="129"/>
      <c r="D62" s="129"/>
      <c r="E62" s="129"/>
      <c r="F62" s="129"/>
      <c r="G62" s="129"/>
      <c r="H62" s="129"/>
      <c r="I62" s="130"/>
    </row>
    <row r="63" spans="1:9">
      <c r="A63" s="128"/>
      <c r="B63" s="129"/>
      <c r="C63" s="129"/>
      <c r="D63" s="129"/>
      <c r="E63" s="129"/>
      <c r="F63" s="129"/>
      <c r="G63" s="129"/>
      <c r="H63" s="129"/>
      <c r="I63" s="130"/>
    </row>
    <row r="64" spans="1:9">
      <c r="A64" s="128"/>
      <c r="B64" s="129"/>
      <c r="C64" s="129"/>
      <c r="D64" s="129"/>
      <c r="E64" s="129"/>
      <c r="F64" s="129"/>
      <c r="G64" s="129"/>
      <c r="H64" s="129"/>
      <c r="I64" s="130"/>
    </row>
    <row r="65" spans="1:9">
      <c r="A65" s="128"/>
      <c r="B65" s="129"/>
      <c r="C65" s="129"/>
      <c r="D65" s="129"/>
      <c r="E65" s="129"/>
      <c r="F65" s="129"/>
      <c r="G65" s="129"/>
      <c r="H65" s="129"/>
      <c r="I65" s="130"/>
    </row>
    <row r="66" spans="1:9">
      <c r="A66" s="128"/>
      <c r="B66" s="129"/>
      <c r="C66" s="129"/>
      <c r="D66" s="129"/>
      <c r="E66" s="129"/>
      <c r="F66" s="129"/>
      <c r="G66" s="129"/>
      <c r="H66" s="129"/>
      <c r="I66" s="130"/>
    </row>
    <row r="67" spans="1:9">
      <c r="A67" s="128"/>
      <c r="B67" s="129"/>
      <c r="C67" s="129"/>
      <c r="D67" s="129"/>
      <c r="E67" s="129"/>
      <c r="F67" s="129"/>
      <c r="G67" s="129"/>
      <c r="H67" s="129"/>
      <c r="I67" s="130"/>
    </row>
    <row r="68" spans="1:9">
      <c r="A68" s="128"/>
      <c r="B68" s="129"/>
      <c r="C68" s="129"/>
      <c r="D68" s="129"/>
      <c r="E68" s="129"/>
      <c r="F68" s="129"/>
      <c r="G68" s="129"/>
      <c r="H68" s="129"/>
      <c r="I68" s="130"/>
    </row>
    <row r="69" spans="1:9">
      <c r="A69" s="128"/>
      <c r="B69" s="129"/>
      <c r="C69" s="129"/>
      <c r="D69" s="129"/>
      <c r="E69" s="129"/>
      <c r="F69" s="129"/>
      <c r="G69" s="129"/>
      <c r="H69" s="129"/>
      <c r="I69" s="130"/>
    </row>
    <row r="70" spans="1:9">
      <c r="A70" s="128"/>
      <c r="B70" s="129"/>
      <c r="C70" s="129"/>
      <c r="D70" s="129"/>
      <c r="E70" s="129"/>
      <c r="F70" s="129"/>
      <c r="G70" s="129"/>
      <c r="H70" s="129"/>
      <c r="I70" s="130"/>
    </row>
    <row r="71" spans="1:9">
      <c r="A71" s="128"/>
      <c r="B71" s="129"/>
      <c r="C71" s="129"/>
      <c r="D71" s="129"/>
      <c r="E71" s="129"/>
      <c r="F71" s="129"/>
      <c r="G71" s="129"/>
      <c r="H71" s="129"/>
      <c r="I71" s="130"/>
    </row>
    <row r="72" spans="1:9">
      <c r="A72" s="128"/>
      <c r="B72" s="129"/>
      <c r="C72" s="129"/>
      <c r="D72" s="129"/>
      <c r="E72" s="129"/>
      <c r="F72" s="129"/>
      <c r="G72" s="129"/>
      <c r="H72" s="129"/>
      <c r="I72" s="130"/>
    </row>
    <row r="73" spans="1:9">
      <c r="A73" s="128"/>
      <c r="B73" s="129"/>
      <c r="C73" s="129"/>
      <c r="D73" s="129"/>
      <c r="E73" s="129"/>
      <c r="F73" s="129"/>
      <c r="G73" s="129"/>
      <c r="H73" s="129"/>
      <c r="I73" s="130"/>
    </row>
    <row r="74" spans="1:9">
      <c r="A74" s="128"/>
      <c r="B74" s="129"/>
      <c r="C74" s="129"/>
      <c r="D74" s="129"/>
      <c r="E74" s="129"/>
      <c r="F74" s="129"/>
      <c r="G74" s="129"/>
      <c r="H74" s="129"/>
      <c r="I74" s="130"/>
    </row>
    <row r="75" spans="1:9">
      <c r="A75" s="128"/>
      <c r="B75" s="129"/>
      <c r="C75" s="129"/>
      <c r="D75" s="129"/>
      <c r="E75" s="129"/>
      <c r="F75" s="129"/>
      <c r="G75" s="129"/>
      <c r="H75" s="129"/>
      <c r="I75" s="130"/>
    </row>
    <row r="76" spans="1:9">
      <c r="A76" s="131"/>
      <c r="B76" s="132"/>
      <c r="C76" s="132"/>
      <c r="D76" s="132"/>
      <c r="E76" s="132"/>
      <c r="F76" s="132"/>
      <c r="G76" s="132"/>
      <c r="H76" s="132"/>
      <c r="I76" s="133"/>
    </row>
  </sheetData>
  <mergeCells count="4">
    <mergeCell ref="A5:I18"/>
    <mergeCell ref="K5:N14"/>
    <mergeCell ref="K22:N31"/>
    <mergeCell ref="A22:I76"/>
  </mergeCells>
  <pageMargins left="0.7" right="0.7" top="0.75" bottom="0.75" header="0.3" footer="0.3"/>
  <pageSetup paperSize="9" scale="63"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2"/>
  <sheetViews>
    <sheetView showGridLines="0" tabSelected="1" view="pageBreakPreview" zoomScale="60" zoomScaleNormal="100" workbookViewId="0">
      <selection activeCell="U21" sqref="U21"/>
    </sheetView>
  </sheetViews>
  <sheetFormatPr defaultColWidth="9.28515625" defaultRowHeight="15"/>
  <cols>
    <col min="1" max="1" width="28.42578125" style="2" customWidth="1"/>
    <col min="2" max="2" width="8.28515625" style="12" customWidth="1"/>
    <col min="3" max="3" width="9.7109375" style="12" bestFit="1" customWidth="1"/>
    <col min="4" max="5" width="9.71093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3" t="str">
        <f>+'Cover Page'!$B$29</f>
        <v>Annual Performance Report 2022</v>
      </c>
      <c r="B1" s="93"/>
      <c r="C1" s="93"/>
      <c r="D1" s="93"/>
      <c r="E1" s="93" t="s">
        <v>64</v>
      </c>
      <c r="F1" s="93"/>
      <c r="G1" s="93"/>
      <c r="H1" s="93"/>
      <c r="I1" s="93"/>
      <c r="J1" s="93"/>
      <c r="K1" s="93"/>
    </row>
    <row r="3" spans="1:11" ht="15.6">
      <c r="A3" s="1" t="s">
        <v>33</v>
      </c>
      <c r="B3" s="96"/>
      <c r="C3" s="96"/>
      <c r="D3" s="96"/>
      <c r="E3" s="96"/>
      <c r="F3" s="96"/>
      <c r="H3" s="285"/>
      <c r="I3" s="93"/>
      <c r="J3" s="93"/>
      <c r="K3" s="81" t="s">
        <v>3</v>
      </c>
    </row>
    <row r="4" spans="1:11">
      <c r="A4" s="18" t="s">
        <v>65</v>
      </c>
      <c r="B4" s="286">
        <v>210000</v>
      </c>
      <c r="C4" s="286"/>
      <c r="D4" s="20" t="s">
        <v>66</v>
      </c>
      <c r="E4" s="19"/>
      <c r="F4" s="20" t="s">
        <v>67</v>
      </c>
      <c r="G4" s="19">
        <v>14.2</v>
      </c>
      <c r="H4" s="70" t="s">
        <v>68</v>
      </c>
      <c r="I4" s="93"/>
      <c r="J4" s="93"/>
      <c r="K4" s="17" t="s">
        <v>69</v>
      </c>
    </row>
    <row r="5" spans="1:11">
      <c r="A5" s="21" t="s">
        <v>70</v>
      </c>
      <c r="B5" s="22">
        <v>2</v>
      </c>
      <c r="C5" s="23"/>
      <c r="D5" s="23" t="s">
        <v>71</v>
      </c>
      <c r="E5" s="23"/>
      <c r="F5" s="24">
        <v>1</v>
      </c>
      <c r="G5" s="25"/>
      <c r="H5" s="26"/>
      <c r="I5" s="93"/>
      <c r="J5" s="93"/>
      <c r="K5" s="17" t="s">
        <v>72</v>
      </c>
    </row>
    <row r="6" spans="1:11">
      <c r="A6" s="3"/>
      <c r="B6" s="96"/>
      <c r="C6" s="96"/>
      <c r="D6" s="96"/>
      <c r="E6" s="96"/>
      <c r="F6" s="96"/>
      <c r="H6" s="285"/>
      <c r="I6" s="93"/>
      <c r="J6" s="93"/>
      <c r="K6" s="134" t="s">
        <v>73</v>
      </c>
    </row>
    <row r="7" spans="1:11">
      <c r="A7" s="9" t="s">
        <v>74</v>
      </c>
      <c r="B7" s="287" t="s">
        <v>75</v>
      </c>
      <c r="C7" s="288" t="s">
        <v>76</v>
      </c>
      <c r="D7" s="288" t="s">
        <v>77</v>
      </c>
      <c r="E7" s="288" t="s">
        <v>78</v>
      </c>
      <c r="F7" s="288" t="s">
        <v>79</v>
      </c>
      <c r="G7" s="27" t="s">
        <v>80</v>
      </c>
      <c r="H7" s="289" t="s">
        <v>81</v>
      </c>
      <c r="I7" s="93"/>
      <c r="J7" s="93"/>
      <c r="K7" s="134"/>
    </row>
    <row r="8" spans="1:11" ht="15.75" customHeight="1">
      <c r="A8" s="290" t="s">
        <v>82</v>
      </c>
      <c r="B8" s="291" t="s">
        <v>83</v>
      </c>
      <c r="C8" s="292">
        <v>45442</v>
      </c>
      <c r="D8" s="292">
        <v>42696</v>
      </c>
      <c r="E8" s="292">
        <v>40848</v>
      </c>
      <c r="F8" s="292">
        <v>45738</v>
      </c>
      <c r="G8" s="28">
        <f>SUM(C8:F8)</f>
        <v>174724</v>
      </c>
      <c r="H8" s="293">
        <f t="shared" ref="H8:H14" si="0">IF(G8&gt;0,G8/$G$15,"-")</f>
        <v>0.89379290588584348</v>
      </c>
      <c r="I8" s="93"/>
      <c r="J8" s="93"/>
      <c r="K8" s="135" t="s">
        <v>84</v>
      </c>
    </row>
    <row r="9" spans="1:11">
      <c r="A9" s="294" t="s">
        <v>85</v>
      </c>
      <c r="B9" s="295"/>
      <c r="C9" s="296">
        <v>5000</v>
      </c>
      <c r="D9" s="296">
        <v>5033</v>
      </c>
      <c r="E9" s="296">
        <v>4980</v>
      </c>
      <c r="F9" s="296">
        <v>5749</v>
      </c>
      <c r="G9" s="89">
        <f t="shared" ref="G9:G14" si="1">SUM(C9:F9)</f>
        <v>20762</v>
      </c>
      <c r="H9" s="297">
        <f t="shared" si="0"/>
        <v>0.10620709411415651</v>
      </c>
      <c r="I9" s="93"/>
      <c r="J9" s="93"/>
      <c r="K9" s="135"/>
    </row>
    <row r="10" spans="1:11">
      <c r="A10" s="294" t="s">
        <v>86</v>
      </c>
      <c r="B10" s="295"/>
      <c r="C10" s="296">
        <v>0</v>
      </c>
      <c r="D10" s="296">
        <v>0</v>
      </c>
      <c r="E10" s="296">
        <v>0</v>
      </c>
      <c r="F10" s="296">
        <v>0</v>
      </c>
      <c r="G10" s="89">
        <f t="shared" si="1"/>
        <v>0</v>
      </c>
      <c r="H10" s="297" t="str">
        <f t="shared" si="0"/>
        <v>-</v>
      </c>
      <c r="I10" s="93"/>
      <c r="J10" s="93"/>
      <c r="K10" s="135"/>
    </row>
    <row r="11" spans="1:11">
      <c r="A11" s="294" t="s">
        <v>87</v>
      </c>
      <c r="B11" s="295"/>
      <c r="C11" s="296">
        <v>0</v>
      </c>
      <c r="D11" s="296">
        <v>0</v>
      </c>
      <c r="E11" s="296">
        <v>0</v>
      </c>
      <c r="F11" s="296">
        <v>0</v>
      </c>
      <c r="G11" s="89">
        <f t="shared" si="1"/>
        <v>0</v>
      </c>
      <c r="H11" s="297" t="str">
        <f t="shared" si="0"/>
        <v>-</v>
      </c>
      <c r="I11" s="93"/>
      <c r="J11" s="93"/>
      <c r="K11" s="135"/>
    </row>
    <row r="12" spans="1:11">
      <c r="A12" s="294" t="s">
        <v>88</v>
      </c>
      <c r="B12" s="295"/>
      <c r="C12" s="296">
        <v>0</v>
      </c>
      <c r="D12" s="296">
        <v>0</v>
      </c>
      <c r="E12" s="296">
        <v>0</v>
      </c>
      <c r="F12" s="296">
        <v>0</v>
      </c>
      <c r="G12" s="89">
        <f t="shared" si="1"/>
        <v>0</v>
      </c>
      <c r="H12" s="297" t="str">
        <f t="shared" si="0"/>
        <v>-</v>
      </c>
      <c r="I12" s="93"/>
      <c r="J12" s="93"/>
      <c r="K12" s="135"/>
    </row>
    <row r="13" spans="1:11">
      <c r="A13" s="294" t="s">
        <v>89</v>
      </c>
      <c r="B13" s="295"/>
      <c r="C13" s="296">
        <v>0</v>
      </c>
      <c r="D13" s="296">
        <v>0</v>
      </c>
      <c r="E13" s="296">
        <v>0</v>
      </c>
      <c r="F13" s="296">
        <v>0</v>
      </c>
      <c r="G13" s="89">
        <f t="shared" ref="G13" si="2">SUM(C13:F13)</f>
        <v>0</v>
      </c>
      <c r="H13" s="297" t="str">
        <f t="shared" si="0"/>
        <v>-</v>
      </c>
      <c r="I13" s="93"/>
      <c r="J13" s="93"/>
      <c r="K13" s="135"/>
    </row>
    <row r="14" spans="1:11">
      <c r="A14" s="294" t="s">
        <v>90</v>
      </c>
      <c r="B14" s="295"/>
      <c r="C14" s="296">
        <v>0</v>
      </c>
      <c r="D14" s="296">
        <v>0</v>
      </c>
      <c r="E14" s="296">
        <v>0</v>
      </c>
      <c r="F14" s="296">
        <v>0</v>
      </c>
      <c r="G14" s="89">
        <f t="shared" si="1"/>
        <v>0</v>
      </c>
      <c r="H14" s="297" t="str">
        <f t="shared" si="0"/>
        <v>-</v>
      </c>
      <c r="I14" s="93"/>
      <c r="J14" s="93"/>
      <c r="K14" s="135"/>
    </row>
    <row r="15" spans="1:11">
      <c r="A15" s="91" t="s">
        <v>91</v>
      </c>
      <c r="B15" s="295"/>
      <c r="C15" s="89">
        <f>SUM(C8:C14)</f>
        <v>50442</v>
      </c>
      <c r="D15" s="89">
        <f>SUM(D8:D14)</f>
        <v>47729</v>
      </c>
      <c r="E15" s="89">
        <f>SUM(E8:E14)</f>
        <v>45828</v>
      </c>
      <c r="F15" s="89">
        <f>SUM(F8:F14)</f>
        <v>51487</v>
      </c>
      <c r="G15" s="89">
        <f>SUM(G8:G14)</f>
        <v>195486</v>
      </c>
      <c r="H15" s="298">
        <v>1</v>
      </c>
      <c r="I15" s="93"/>
      <c r="J15" s="93"/>
      <c r="K15" s="135"/>
    </row>
    <row r="16" spans="1:11">
      <c r="A16" s="294" t="s">
        <v>92</v>
      </c>
      <c r="B16" s="295"/>
      <c r="C16" s="296"/>
      <c r="D16" s="296"/>
      <c r="E16" s="296"/>
      <c r="F16" s="296"/>
      <c r="G16" s="89">
        <f t="shared" ref="G16" si="3">SUM(C16:F16)</f>
        <v>0</v>
      </c>
      <c r="H16" s="297" t="str">
        <f t="shared" ref="H16" si="4">IF(G16&gt;0,G16/$G$15,"-")</f>
        <v>-</v>
      </c>
      <c r="I16" s="93"/>
      <c r="J16" s="93"/>
      <c r="K16" s="135"/>
    </row>
    <row r="17" spans="1:12">
      <c r="A17" s="294" t="s">
        <v>93</v>
      </c>
      <c r="B17" s="295"/>
      <c r="C17" s="296"/>
      <c r="D17" s="296"/>
      <c r="E17" s="296"/>
      <c r="F17" s="296"/>
      <c r="G17" s="89">
        <f t="shared" ref="G17" si="5">SUM(C17:F17)</f>
        <v>0</v>
      </c>
      <c r="H17" s="297" t="str">
        <f>IF(G17&gt;0,G17/$G$15,"-")</f>
        <v>-</v>
      </c>
      <c r="I17" s="93"/>
      <c r="J17" s="93"/>
      <c r="K17" s="93"/>
      <c r="L17" s="93"/>
    </row>
    <row r="18" spans="1:12">
      <c r="A18" s="92" t="s">
        <v>94</v>
      </c>
      <c r="B18" s="299"/>
      <c r="C18" s="90">
        <v>50361</v>
      </c>
      <c r="D18" s="90">
        <v>48848</v>
      </c>
      <c r="E18" s="90">
        <v>42968</v>
      </c>
      <c r="F18" s="90">
        <v>52211</v>
      </c>
      <c r="G18" s="30">
        <f>SUM(C18:F18)</f>
        <v>194388</v>
      </c>
      <c r="H18" s="300">
        <f>IF(G18&gt;0,G18/$G$15,"-")</f>
        <v>0.9943832294895798</v>
      </c>
      <c r="I18" s="93"/>
      <c r="J18" s="93"/>
      <c r="K18" s="93"/>
      <c r="L18" s="93"/>
    </row>
    <row r="19" spans="1:12">
      <c r="A19" s="3"/>
      <c r="B19" s="96"/>
      <c r="C19" s="285"/>
      <c r="D19" s="285"/>
      <c r="E19" s="285"/>
      <c r="F19" s="285"/>
      <c r="G19" s="31"/>
      <c r="H19" s="285"/>
      <c r="I19" s="93"/>
      <c r="J19" s="93"/>
      <c r="K19" s="93"/>
      <c r="L19" s="93"/>
    </row>
    <row r="20" spans="1:12">
      <c r="A20" s="9" t="s">
        <v>95</v>
      </c>
      <c r="B20" s="287" t="s">
        <v>75</v>
      </c>
      <c r="C20" s="301" t="s">
        <v>76</v>
      </c>
      <c r="D20" s="301" t="s">
        <v>77</v>
      </c>
      <c r="E20" s="301" t="s">
        <v>78</v>
      </c>
      <c r="F20" s="301" t="s">
        <v>79</v>
      </c>
      <c r="G20" s="32" t="s">
        <v>80</v>
      </c>
      <c r="H20" s="302" t="s">
        <v>96</v>
      </c>
      <c r="I20" s="93"/>
      <c r="J20" s="93"/>
      <c r="K20" s="93"/>
      <c r="L20" s="93"/>
    </row>
    <row r="21" spans="1:12" ht="15" customHeight="1">
      <c r="A21" s="303" t="s">
        <v>97</v>
      </c>
      <c r="B21" s="291" t="s">
        <v>98</v>
      </c>
      <c r="C21" s="292">
        <v>24812.49</v>
      </c>
      <c r="D21" s="292">
        <v>23606.51</v>
      </c>
      <c r="E21" s="292">
        <v>11569</v>
      </c>
      <c r="F21" s="292">
        <v>27007.98</v>
      </c>
      <c r="G21" s="28">
        <f t="shared" ref="G21:G24" si="6">SUM(C21:F21)</f>
        <v>86995.98</v>
      </c>
      <c r="H21" s="304">
        <f>IF(G21&gt;0,G21*1000/$G$18,"-")</f>
        <v>447.53781097598619</v>
      </c>
      <c r="I21" s="93"/>
      <c r="J21" s="93"/>
      <c r="K21" s="93"/>
      <c r="L21" s="93"/>
    </row>
    <row r="22" spans="1:12">
      <c r="A22" s="97" t="s">
        <v>99</v>
      </c>
      <c r="B22" s="295"/>
      <c r="C22" s="305">
        <v>21143.84</v>
      </c>
      <c r="D22" s="305">
        <v>20025.5</v>
      </c>
      <c r="E22" s="305">
        <v>9371.2999999999993</v>
      </c>
      <c r="F22" s="305">
        <v>23154.83</v>
      </c>
      <c r="G22" s="29">
        <f>SUM(C22:F22)</f>
        <v>73695.47</v>
      </c>
      <c r="H22" s="306">
        <f>IF(G22&gt;0,G22*1000/$G$18,"-")</f>
        <v>379.11532604893307</v>
      </c>
      <c r="I22" s="93"/>
      <c r="J22" s="93"/>
      <c r="K22" s="93"/>
      <c r="L22" s="93"/>
    </row>
    <row r="23" spans="1:12">
      <c r="A23" s="97" t="s">
        <v>100</v>
      </c>
      <c r="B23" s="295"/>
      <c r="C23" s="305">
        <v>3668.65</v>
      </c>
      <c r="D23" s="305">
        <v>3581</v>
      </c>
      <c r="E23" s="305">
        <v>2197.71</v>
      </c>
      <c r="F23" s="305">
        <v>3853.16</v>
      </c>
      <c r="G23" s="29">
        <f>SUM(C23:F23)</f>
        <v>13300.52</v>
      </c>
      <c r="H23" s="306">
        <f>IF(G23&gt;0,G23*1000/$G$18,"-")</f>
        <v>68.42253637055785</v>
      </c>
      <c r="I23" s="93"/>
      <c r="J23" s="93"/>
      <c r="K23" s="93"/>
      <c r="L23" s="93"/>
    </row>
    <row r="24" spans="1:12">
      <c r="A24" s="97" t="s">
        <v>101</v>
      </c>
      <c r="B24" s="295"/>
      <c r="C24" s="305">
        <v>176.27</v>
      </c>
      <c r="D24" s="305">
        <v>8.83</v>
      </c>
      <c r="E24" s="305">
        <v>930.09</v>
      </c>
      <c r="F24" s="305">
        <v>5.68</v>
      </c>
      <c r="G24" s="29">
        <f t="shared" si="6"/>
        <v>1120.8700000000001</v>
      </c>
      <c r="H24" s="306">
        <f>IF(G24&gt;0,G24*1000/$G$18,"-")</f>
        <v>5.7661481161388579</v>
      </c>
      <c r="I24" s="93"/>
      <c r="J24" s="93"/>
      <c r="K24" s="93"/>
      <c r="L24" s="93"/>
    </row>
    <row r="25" spans="1:12">
      <c r="A25" s="97" t="s">
        <v>102</v>
      </c>
      <c r="B25" s="94" t="s">
        <v>81</v>
      </c>
      <c r="C25" s="307">
        <f>IF(C21&gt;0,1-C22/(C21+C24),"-")</f>
        <v>0.15386597814377345</v>
      </c>
      <c r="D25" s="307">
        <f>IF(D21&gt;0,1-D22/(D21+D24),"-")</f>
        <v>0.15201305592043135</v>
      </c>
      <c r="E25" s="307">
        <f>IF(E21&gt;0,1-E22/(E21+E24),"-")</f>
        <v>0.25024141757519958</v>
      </c>
      <c r="F25" s="307">
        <f>IF(F21&gt;0,1-F22/(F21+F24),"-")</f>
        <v>0.14284735944703519</v>
      </c>
      <c r="G25" s="307">
        <f>IF(G21&gt;0,1-G22/(G21+G24),"-")</f>
        <v>0.1636620010815184</v>
      </c>
      <c r="H25" s="306"/>
      <c r="I25" s="93"/>
      <c r="J25" s="93"/>
      <c r="K25" s="93"/>
      <c r="L25" s="93"/>
    </row>
    <row r="26" spans="1:12">
      <c r="A26" s="97" t="s">
        <v>103</v>
      </c>
      <c r="B26" s="308" t="s">
        <v>98</v>
      </c>
      <c r="C26" s="305"/>
      <c r="D26" s="305"/>
      <c r="E26" s="305"/>
      <c r="F26" s="305"/>
      <c r="G26" s="29">
        <f t="shared" ref="G26:G27" si="7">SUM(C26:F26)</f>
        <v>0</v>
      </c>
      <c r="H26" s="306" t="str">
        <f>IF(G26&gt;0,G26*1000/$G$18,"-")</f>
        <v>-</v>
      </c>
      <c r="I26" s="93"/>
      <c r="J26" s="93"/>
      <c r="K26" s="93"/>
      <c r="L26" s="93"/>
    </row>
    <row r="27" spans="1:12">
      <c r="A27" s="97" t="s">
        <v>104</v>
      </c>
      <c r="B27" s="308"/>
      <c r="C27" s="305"/>
      <c r="D27" s="305"/>
      <c r="E27" s="305"/>
      <c r="F27" s="305"/>
      <c r="G27" s="29">
        <f t="shared" si="7"/>
        <v>0</v>
      </c>
      <c r="H27" s="306" t="str">
        <f>IF(G27&gt;0,G27*1000/$G$18,"-")</f>
        <v>-</v>
      </c>
      <c r="I27" s="93"/>
      <c r="J27" s="93"/>
      <c r="K27" s="17"/>
      <c r="L27" s="17"/>
    </row>
    <row r="28" spans="1:12">
      <c r="A28" s="98" t="s">
        <v>105</v>
      </c>
      <c r="B28" s="309"/>
      <c r="C28" s="310"/>
      <c r="D28" s="310"/>
      <c r="E28" s="310"/>
      <c r="F28" s="310"/>
      <c r="G28" s="311" t="s">
        <v>106</v>
      </c>
      <c r="H28" s="312"/>
      <c r="I28" s="93"/>
      <c r="J28" s="93"/>
      <c r="K28" s="93"/>
      <c r="L28" s="17"/>
    </row>
    <row r="29" spans="1:12">
      <c r="A29" s="3"/>
      <c r="B29" s="96"/>
      <c r="C29" s="285"/>
      <c r="D29" s="285"/>
      <c r="E29" s="285"/>
      <c r="F29" s="285"/>
      <c r="G29" s="31"/>
      <c r="H29" s="285"/>
      <c r="I29" s="93"/>
      <c r="J29" s="93"/>
      <c r="K29" s="93"/>
      <c r="L29" s="17"/>
    </row>
    <row r="30" spans="1:12">
      <c r="A30" s="9" t="s">
        <v>107</v>
      </c>
      <c r="B30" s="313" t="s">
        <v>75</v>
      </c>
      <c r="C30" s="301" t="s">
        <v>76</v>
      </c>
      <c r="D30" s="301" t="s">
        <v>77</v>
      </c>
      <c r="E30" s="301" t="s">
        <v>78</v>
      </c>
      <c r="F30" s="301" t="s">
        <v>79</v>
      </c>
      <c r="G30" s="32" t="s">
        <v>80</v>
      </c>
      <c r="H30" s="314" t="s">
        <v>108</v>
      </c>
      <c r="I30" s="93"/>
      <c r="J30" s="93"/>
      <c r="K30" s="93"/>
      <c r="L30" s="17"/>
    </row>
    <row r="31" spans="1:12" ht="15" customHeight="1">
      <c r="A31" s="303" t="s">
        <v>109</v>
      </c>
      <c r="B31" s="291" t="s">
        <v>83</v>
      </c>
      <c r="C31" s="292">
        <v>1779.08</v>
      </c>
      <c r="D31" s="292">
        <v>1486.6</v>
      </c>
      <c r="E31" s="292">
        <v>1323.32</v>
      </c>
      <c r="F31" s="292">
        <v>1671.48</v>
      </c>
      <c r="G31" s="28">
        <f>SUM(C31:F31)</f>
        <v>6260.48</v>
      </c>
      <c r="H31" s="293">
        <f>IF(G31&gt;0,G31/$G$15,"-")</f>
        <v>3.202520896637099E-2</v>
      </c>
      <c r="I31" s="93"/>
      <c r="J31" s="93"/>
      <c r="K31" s="17"/>
      <c r="L31" s="17"/>
    </row>
    <row r="32" spans="1:12" ht="15" customHeight="1">
      <c r="A32" s="97" t="s">
        <v>110</v>
      </c>
      <c r="B32" s="295"/>
      <c r="C32" s="296">
        <v>8584.5</v>
      </c>
      <c r="D32" s="296">
        <v>8843.7800000000007</v>
      </c>
      <c r="E32" s="296">
        <v>7511.1</v>
      </c>
      <c r="F32" s="296">
        <v>9327.42</v>
      </c>
      <c r="G32" s="89">
        <f t="shared" ref="G32" si="8">SUM(C32:F32)</f>
        <v>34266.799999999996</v>
      </c>
      <c r="H32" s="297">
        <f>IF(G32&gt;0,G32/$G$15,"-")</f>
        <v>0.17529030211882179</v>
      </c>
      <c r="I32" s="93"/>
      <c r="J32" s="93"/>
      <c r="K32" s="17"/>
      <c r="L32" s="17"/>
    </row>
    <row r="33" spans="1:8" ht="15" customHeight="1">
      <c r="A33" s="98" t="s">
        <v>111</v>
      </c>
      <c r="B33" s="315"/>
      <c r="C33" s="316">
        <v>832.06</v>
      </c>
      <c r="D33" s="316">
        <v>929.8</v>
      </c>
      <c r="E33" s="316">
        <v>805.3</v>
      </c>
      <c r="F33" s="316">
        <v>506.78</v>
      </c>
      <c r="G33" s="30">
        <f t="shared" ref="G33" si="9">SUM(C33:F33)</f>
        <v>3073.9399999999996</v>
      </c>
      <c r="H33" s="300">
        <f>IF(G33&gt;0,G33/$G$15,"-")</f>
        <v>1.5724604319490909E-2</v>
      </c>
    </row>
    <row r="34" spans="1:8">
      <c r="A34" s="96"/>
      <c r="B34" s="96"/>
      <c r="C34" s="285"/>
      <c r="D34" s="285"/>
      <c r="E34" s="285"/>
      <c r="F34" s="285"/>
      <c r="G34" s="31"/>
      <c r="H34" s="285"/>
    </row>
    <row r="35" spans="1:8">
      <c r="A35" s="9" t="s">
        <v>112</v>
      </c>
      <c r="B35" s="317" t="s">
        <v>75</v>
      </c>
      <c r="C35" s="288" t="s">
        <v>76</v>
      </c>
      <c r="D35" s="288" t="s">
        <v>77</v>
      </c>
      <c r="E35" s="288" t="s">
        <v>78</v>
      </c>
      <c r="F35" s="288" t="s">
        <v>79</v>
      </c>
      <c r="G35" s="27" t="s">
        <v>80</v>
      </c>
      <c r="H35" s="302" t="s">
        <v>113</v>
      </c>
    </row>
    <row r="36" spans="1:8" ht="15.6" customHeight="1">
      <c r="A36" s="303" t="s">
        <v>114</v>
      </c>
      <c r="B36" s="94" t="s">
        <v>115</v>
      </c>
      <c r="C36" s="292">
        <v>8401</v>
      </c>
      <c r="D36" s="292">
        <v>8806</v>
      </c>
      <c r="E36" s="292">
        <v>8200</v>
      </c>
      <c r="F36" s="292">
        <v>8870</v>
      </c>
      <c r="G36" s="28">
        <f t="shared" ref="G36:G48" si="10">SUM(C36:F36)</f>
        <v>34277</v>
      </c>
      <c r="H36" s="318">
        <f>IF(G36&gt;0,G36/$G$15,"-")</f>
        <v>0.17534247976837217</v>
      </c>
    </row>
    <row r="37" spans="1:8">
      <c r="A37" s="97" t="s">
        <v>116</v>
      </c>
      <c r="B37" s="94" t="s">
        <v>117</v>
      </c>
      <c r="C37" s="305">
        <v>12017</v>
      </c>
      <c r="D37" s="305">
        <v>10446</v>
      </c>
      <c r="E37" s="305">
        <v>379</v>
      </c>
      <c r="F37" s="305">
        <v>10328</v>
      </c>
      <c r="G37" s="29">
        <f t="shared" si="10"/>
        <v>33170</v>
      </c>
      <c r="H37" s="318">
        <f>IF(G37&gt;0,G37/$G$15,"-")</f>
        <v>0.16967967015540755</v>
      </c>
    </row>
    <row r="38" spans="1:8" ht="15.6" customHeight="1">
      <c r="A38" s="97" t="s">
        <v>118</v>
      </c>
      <c r="B38" s="94" t="s">
        <v>119</v>
      </c>
      <c r="C38" s="305">
        <v>0</v>
      </c>
      <c r="D38" s="305">
        <v>0</v>
      </c>
      <c r="E38" s="305">
        <v>0</v>
      </c>
      <c r="F38" s="305">
        <v>0</v>
      </c>
      <c r="G38" s="29">
        <f t="shared" si="10"/>
        <v>0</v>
      </c>
      <c r="H38" s="318" t="str">
        <f>IF(G38&gt;0,G38/$G$15,"-")</f>
        <v>-</v>
      </c>
    </row>
    <row r="39" spans="1:8" ht="15.6" customHeight="1">
      <c r="A39" s="97" t="s">
        <v>120</v>
      </c>
      <c r="B39" s="94" t="s">
        <v>119</v>
      </c>
      <c r="C39" s="305">
        <v>74000</v>
      </c>
      <c r="D39" s="305">
        <v>74000</v>
      </c>
      <c r="E39" s="305">
        <v>69000</v>
      </c>
      <c r="F39" s="305">
        <v>76000</v>
      </c>
      <c r="G39" s="29">
        <f t="shared" ref="G39" si="11">SUM(C39:F39)</f>
        <v>293000</v>
      </c>
      <c r="H39" s="318">
        <f>IF(G39&gt;0,G39/$G$15,"-")</f>
        <v>1.4988285606130363</v>
      </c>
    </row>
    <row r="40" spans="1:8">
      <c r="A40" s="97" t="s">
        <v>121</v>
      </c>
      <c r="B40" s="94" t="s">
        <v>119</v>
      </c>
      <c r="C40" s="305">
        <v>3000</v>
      </c>
      <c r="D40" s="305">
        <v>2500</v>
      </c>
      <c r="E40" s="305">
        <v>3500</v>
      </c>
      <c r="F40" s="305">
        <v>3000</v>
      </c>
      <c r="G40" s="29">
        <f t="shared" si="10"/>
        <v>12000</v>
      </c>
      <c r="H40" s="318">
        <f t="shared" ref="H40:H48" si="12">IF(G40&gt;0,G40/$G$15,"-")</f>
        <v>6.1385470059236981E-2</v>
      </c>
    </row>
    <row r="41" spans="1:8">
      <c r="A41" s="97" t="s">
        <v>122</v>
      </c>
      <c r="B41" s="94" t="s">
        <v>119</v>
      </c>
      <c r="C41" s="305">
        <v>600940</v>
      </c>
      <c r="D41" s="305">
        <v>515120</v>
      </c>
      <c r="E41" s="305">
        <v>452360</v>
      </c>
      <c r="F41" s="305">
        <v>533780</v>
      </c>
      <c r="G41" s="29">
        <f t="shared" si="10"/>
        <v>2102200</v>
      </c>
      <c r="H41" s="318">
        <f t="shared" si="12"/>
        <v>10.753711263210665</v>
      </c>
    </row>
    <row r="42" spans="1:8">
      <c r="A42" s="97" t="s">
        <v>123</v>
      </c>
      <c r="B42" s="94" t="s">
        <v>117</v>
      </c>
      <c r="C42" s="305">
        <v>75272</v>
      </c>
      <c r="D42" s="305">
        <v>14842</v>
      </c>
      <c r="E42" s="305">
        <v>76704</v>
      </c>
      <c r="F42" s="305">
        <v>41600</v>
      </c>
      <c r="G42" s="29">
        <f t="shared" si="10"/>
        <v>208418</v>
      </c>
      <c r="H42" s="318">
        <f t="shared" si="12"/>
        <v>1.0661530749005044</v>
      </c>
    </row>
    <row r="43" spans="1:8">
      <c r="A43" s="97" t="s">
        <v>124</v>
      </c>
      <c r="B43" s="94" t="s">
        <v>125</v>
      </c>
      <c r="C43" s="305"/>
      <c r="D43" s="305">
        <v>0</v>
      </c>
      <c r="E43" s="305">
        <v>0</v>
      </c>
      <c r="F43" s="305">
        <v>0</v>
      </c>
      <c r="G43" s="29">
        <f t="shared" si="10"/>
        <v>0</v>
      </c>
      <c r="H43" s="318" t="str">
        <f t="shared" si="12"/>
        <v>-</v>
      </c>
    </row>
    <row r="44" spans="1:8">
      <c r="A44" s="97" t="s">
        <v>126</v>
      </c>
      <c r="B44" s="94" t="s">
        <v>117</v>
      </c>
      <c r="C44" s="305">
        <v>12380</v>
      </c>
      <c r="D44" s="305">
        <v>10810</v>
      </c>
      <c r="E44" s="305">
        <v>8860</v>
      </c>
      <c r="F44" s="305">
        <v>8830</v>
      </c>
      <c r="G44" s="29">
        <f t="shared" si="10"/>
        <v>40880</v>
      </c>
      <c r="H44" s="318">
        <f t="shared" si="12"/>
        <v>0.20911983466846731</v>
      </c>
    </row>
    <row r="45" spans="1:8">
      <c r="A45" s="97" t="s">
        <v>127</v>
      </c>
      <c r="B45" s="94" t="s">
        <v>117</v>
      </c>
      <c r="C45" s="305">
        <v>14170</v>
      </c>
      <c r="D45" s="305">
        <v>13270</v>
      </c>
      <c r="E45" s="305">
        <v>10360</v>
      </c>
      <c r="F45" s="305">
        <v>10440</v>
      </c>
      <c r="G45" s="29">
        <f t="shared" si="10"/>
        <v>48240</v>
      </c>
      <c r="H45" s="318">
        <f t="shared" si="12"/>
        <v>0.24676958963813264</v>
      </c>
    </row>
    <row r="46" spans="1:8">
      <c r="A46" s="97" t="s">
        <v>128</v>
      </c>
      <c r="B46" s="94" t="s">
        <v>117</v>
      </c>
      <c r="C46" s="305">
        <v>726</v>
      </c>
      <c r="D46" s="305">
        <v>854</v>
      </c>
      <c r="E46" s="305">
        <v>627</v>
      </c>
      <c r="F46" s="305">
        <v>682</v>
      </c>
      <c r="G46" s="29">
        <f t="shared" si="10"/>
        <v>2889</v>
      </c>
      <c r="H46" s="318">
        <f t="shared" si="12"/>
        <v>1.4778551916761303E-2</v>
      </c>
    </row>
    <row r="47" spans="1:8">
      <c r="A47" s="97" t="s">
        <v>129</v>
      </c>
      <c r="B47" s="94" t="s">
        <v>117</v>
      </c>
      <c r="C47" s="305">
        <v>386</v>
      </c>
      <c r="D47" s="305">
        <v>297</v>
      </c>
      <c r="E47" s="305">
        <v>141</v>
      </c>
      <c r="F47" s="305">
        <v>212</v>
      </c>
      <c r="G47" s="29">
        <f t="shared" si="10"/>
        <v>1036</v>
      </c>
      <c r="H47" s="318">
        <f t="shared" si="12"/>
        <v>5.2996122484474592E-3</v>
      </c>
    </row>
    <row r="48" spans="1:8">
      <c r="A48" s="98" t="s">
        <v>130</v>
      </c>
      <c r="B48" s="99" t="s">
        <v>117</v>
      </c>
      <c r="C48" s="316">
        <v>1350</v>
      </c>
      <c r="D48" s="316">
        <v>1090</v>
      </c>
      <c r="E48" s="316">
        <v>940</v>
      </c>
      <c r="F48" s="316">
        <v>1360</v>
      </c>
      <c r="G48" s="30">
        <f t="shared" si="10"/>
        <v>4740</v>
      </c>
      <c r="H48" s="319">
        <f t="shared" si="12"/>
        <v>2.4247260673398607E-2</v>
      </c>
    </row>
    <row r="49" spans="1:10">
      <c r="A49" s="96"/>
      <c r="B49" s="96"/>
      <c r="C49" s="285">
        <v>1</v>
      </c>
      <c r="D49" s="285"/>
      <c r="E49" s="285"/>
      <c r="F49" s="285"/>
      <c r="G49" s="31"/>
      <c r="H49" s="285"/>
      <c r="I49" s="93"/>
      <c r="J49" s="93"/>
    </row>
    <row r="50" spans="1:10">
      <c r="A50" s="9" t="s">
        <v>131</v>
      </c>
      <c r="B50" s="320" t="s">
        <v>132</v>
      </c>
      <c r="C50" s="301" t="s">
        <v>76</v>
      </c>
      <c r="D50" s="301" t="s">
        <v>77</v>
      </c>
      <c r="E50" s="301" t="s">
        <v>78</v>
      </c>
      <c r="F50" s="301" t="s">
        <v>79</v>
      </c>
      <c r="G50" s="32" t="s">
        <v>80</v>
      </c>
      <c r="H50" s="302"/>
      <c r="I50" s="93"/>
      <c r="J50" s="86" t="s">
        <v>133</v>
      </c>
    </row>
    <row r="51" spans="1:10" ht="14.25" customHeight="1">
      <c r="A51" s="321" t="s">
        <v>134</v>
      </c>
      <c r="B51" s="301">
        <v>1</v>
      </c>
      <c r="C51" s="292">
        <v>1988.2</v>
      </c>
      <c r="D51" s="292">
        <v>1900.6</v>
      </c>
      <c r="E51" s="292">
        <v>1846.59</v>
      </c>
      <c r="F51" s="292">
        <v>2175.4499999999998</v>
      </c>
      <c r="G51" s="28">
        <f t="shared" ref="G51:G59" si="13">SUM(C51:F51)</f>
        <v>7910.84</v>
      </c>
      <c r="H51" s="293">
        <f>G51/J51</f>
        <v>0.90306392694063931</v>
      </c>
      <c r="I51" s="93"/>
      <c r="J51" s="88">
        <v>8760</v>
      </c>
    </row>
    <row r="52" spans="1:10" ht="14.25" customHeight="1">
      <c r="A52" s="322"/>
      <c r="B52" s="285">
        <v>2</v>
      </c>
      <c r="C52" s="296">
        <v>2068.6999999999998</v>
      </c>
      <c r="D52" s="296">
        <v>2130.33</v>
      </c>
      <c r="E52" s="296">
        <v>1801.78</v>
      </c>
      <c r="F52" s="296">
        <v>2032.05</v>
      </c>
      <c r="G52" s="29">
        <f t="shared" si="13"/>
        <v>8032.86</v>
      </c>
      <c r="H52" s="297">
        <f>G52/J51</f>
        <v>0.91699315068493148</v>
      </c>
      <c r="I52" s="93"/>
      <c r="J52" s="93"/>
    </row>
    <row r="53" spans="1:10" ht="14.25" customHeight="1">
      <c r="A53" s="97" t="s">
        <v>135</v>
      </c>
      <c r="B53" s="285"/>
      <c r="C53" s="29">
        <f t="shared" ref="C53:F53" si="14">AVERAGE(C51:C52)</f>
        <v>2028.4499999999998</v>
      </c>
      <c r="D53" s="29">
        <f t="shared" si="14"/>
        <v>2015.4649999999999</v>
      </c>
      <c r="E53" s="29">
        <f t="shared" si="14"/>
        <v>1824.1849999999999</v>
      </c>
      <c r="F53" s="29">
        <f t="shared" si="14"/>
        <v>2103.75</v>
      </c>
      <c r="G53" s="29">
        <f>AVERAGE(G51:G52)</f>
        <v>7971.85</v>
      </c>
      <c r="H53" s="87">
        <f>G53/J51</f>
        <v>0.91002853881278545</v>
      </c>
      <c r="I53" s="93"/>
      <c r="J53" s="93"/>
    </row>
    <row r="54" spans="1:10" ht="14.25" customHeight="1">
      <c r="A54" s="97" t="s">
        <v>136</v>
      </c>
      <c r="B54" s="285">
        <v>1</v>
      </c>
      <c r="C54" s="296">
        <v>2023.1</v>
      </c>
      <c r="D54" s="296">
        <v>2178.2600000000002</v>
      </c>
      <c r="E54" s="296">
        <v>1338.04</v>
      </c>
      <c r="F54" s="296">
        <v>2205.4499999999998</v>
      </c>
      <c r="G54" s="29">
        <f t="shared" si="13"/>
        <v>7744.85</v>
      </c>
      <c r="H54" s="297">
        <f>(G54)/J51</f>
        <v>0.88411529680365297</v>
      </c>
      <c r="I54" s="93"/>
      <c r="J54" s="93"/>
    </row>
    <row r="55" spans="1:10">
      <c r="A55" s="97" t="s">
        <v>137</v>
      </c>
      <c r="B55" s="285"/>
      <c r="C55" s="305"/>
      <c r="D55" s="305"/>
      <c r="E55" s="305"/>
      <c r="F55" s="305"/>
      <c r="G55" s="29">
        <f t="shared" si="13"/>
        <v>0</v>
      </c>
      <c r="H55" s="297" t="str">
        <f>IF(B55&gt;0,#REF!/J51,"n/a")</f>
        <v>n/a</v>
      </c>
      <c r="I55" s="93"/>
      <c r="J55" s="93"/>
    </row>
    <row r="56" spans="1:10">
      <c r="A56" s="97" t="s">
        <v>138</v>
      </c>
      <c r="B56" s="285" t="s">
        <v>139</v>
      </c>
      <c r="C56" s="305">
        <v>24.42</v>
      </c>
      <c r="D56" s="305">
        <v>25.5</v>
      </c>
      <c r="E56" s="305">
        <v>25.53</v>
      </c>
      <c r="F56" s="305">
        <v>24.64</v>
      </c>
      <c r="G56" s="29"/>
      <c r="H56" s="323" t="s">
        <v>140</v>
      </c>
      <c r="I56" s="93"/>
      <c r="J56" s="93"/>
    </row>
    <row r="57" spans="1:10">
      <c r="A57" s="97" t="s">
        <v>141</v>
      </c>
      <c r="B57" s="285" t="s">
        <v>142</v>
      </c>
      <c r="C57" s="305">
        <v>3</v>
      </c>
      <c r="D57" s="305">
        <v>2</v>
      </c>
      <c r="E57" s="305">
        <v>0</v>
      </c>
      <c r="F57" s="305">
        <v>0</v>
      </c>
      <c r="G57" s="29">
        <f t="shared" si="13"/>
        <v>5</v>
      </c>
      <c r="H57" s="306" t="str">
        <f>IF(G57&gt;0,"yes","no")</f>
        <v>yes</v>
      </c>
      <c r="I57" s="93"/>
      <c r="J57" s="93"/>
    </row>
    <row r="58" spans="1:10">
      <c r="A58" s="97" t="s">
        <v>143</v>
      </c>
      <c r="B58" s="285" t="s">
        <v>144</v>
      </c>
      <c r="C58" s="305">
        <v>6</v>
      </c>
      <c r="D58" s="305">
        <v>6</v>
      </c>
      <c r="E58" s="305">
        <v>0</v>
      </c>
      <c r="F58" s="305">
        <v>0</v>
      </c>
      <c r="G58" s="29">
        <f t="shared" si="13"/>
        <v>12</v>
      </c>
      <c r="H58" s="324">
        <f>+(G58)/J51</f>
        <v>1.3698630136986301E-3</v>
      </c>
      <c r="I58" s="93"/>
      <c r="J58" s="93"/>
    </row>
    <row r="59" spans="1:10">
      <c r="A59" s="98" t="s">
        <v>145</v>
      </c>
      <c r="B59" s="325" t="s">
        <v>142</v>
      </c>
      <c r="C59" s="316">
        <v>9</v>
      </c>
      <c r="D59" s="316">
        <v>6</v>
      </c>
      <c r="E59" s="316">
        <v>0</v>
      </c>
      <c r="F59" s="316">
        <v>3</v>
      </c>
      <c r="G59" s="30">
        <f t="shared" si="13"/>
        <v>18</v>
      </c>
      <c r="H59" s="326" t="str">
        <f>IF(G59&gt;0,"yes","no")</f>
        <v>yes</v>
      </c>
      <c r="I59" s="93"/>
      <c r="J59" s="93"/>
    </row>
    <row r="72" spans="6:6">
      <c r="F72" s="3"/>
    </row>
  </sheetData>
  <mergeCells count="10">
    <mergeCell ref="K6:K7"/>
    <mergeCell ref="K8:K16"/>
    <mergeCell ref="B31:B33"/>
    <mergeCell ref="C28:F28"/>
    <mergeCell ref="G28:H28"/>
    <mergeCell ref="B4:C4"/>
    <mergeCell ref="B8:B17"/>
    <mergeCell ref="B21:B24"/>
    <mergeCell ref="B26:B27"/>
    <mergeCell ref="A51:A52"/>
  </mergeCells>
  <phoneticPr fontId="25" type="noConversion"/>
  <pageMargins left="0.7" right="0.7" top="0.75" bottom="0.75" header="0.3" footer="0.3"/>
  <pageSetup paperSize="9" scale="82" orientation="portrait" r:id="rId1"/>
  <headerFooter scaleWithDoc="0">
    <oddFooter>&amp;C&amp;"Arial,Regular"Page &amp;P</oddFooter>
  </headerFooter>
  <ignoredErrors>
    <ignoredError sqref="G54 G52"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view="pageBreakPreview"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'Operational Data'!E1</f>
        <v>Stoke EfW</v>
      </c>
      <c r="F1" s="93"/>
      <c r="G1" s="93"/>
      <c r="H1" s="93"/>
      <c r="I1" s="93"/>
      <c r="J1" s="93"/>
      <c r="K1" s="93"/>
      <c r="L1" s="93"/>
      <c r="M1" s="93"/>
      <c r="N1" s="93"/>
    </row>
    <row r="3" spans="1:14" ht="15.6">
      <c r="A3" s="51" t="s">
        <v>146</v>
      </c>
      <c r="B3" s="280"/>
      <c r="C3" s="280"/>
      <c r="D3" s="280"/>
      <c r="E3" s="280"/>
      <c r="F3" s="280"/>
      <c r="G3" s="280"/>
      <c r="H3" s="280"/>
      <c r="I3" s="281"/>
      <c r="J3" s="93"/>
      <c r="K3" s="81" t="s">
        <v>3</v>
      </c>
      <c r="L3" s="93"/>
      <c r="M3" s="93"/>
      <c r="N3" s="93"/>
    </row>
    <row r="4" spans="1:14">
      <c r="A4" s="282"/>
      <c r="B4" s="283"/>
      <c r="C4" s="283"/>
      <c r="D4" s="283"/>
      <c r="E4" s="283"/>
      <c r="F4" s="283"/>
      <c r="G4" s="283"/>
      <c r="H4" s="283"/>
      <c r="I4" s="284"/>
      <c r="J4" s="93"/>
      <c r="K4" s="93"/>
      <c r="L4" s="93"/>
      <c r="M4" s="93"/>
      <c r="N4" s="93"/>
    </row>
    <row r="5" spans="1:14" ht="15.75" customHeight="1">
      <c r="A5" s="124" t="s">
        <v>147</v>
      </c>
      <c r="B5" s="126"/>
      <c r="C5" s="126"/>
      <c r="D5" s="126"/>
      <c r="E5" s="126"/>
      <c r="F5" s="126"/>
      <c r="G5" s="126"/>
      <c r="H5" s="126"/>
      <c r="I5" s="127"/>
      <c r="J5" s="93"/>
      <c r="K5" s="125" t="s">
        <v>148</v>
      </c>
      <c r="L5" s="125"/>
      <c r="M5" s="125"/>
      <c r="N5" s="125"/>
    </row>
    <row r="6" spans="1:14">
      <c r="A6" s="128"/>
      <c r="B6" s="129"/>
      <c r="C6" s="129"/>
      <c r="D6" s="129"/>
      <c r="E6" s="129"/>
      <c r="F6" s="129"/>
      <c r="G6" s="129"/>
      <c r="H6" s="129"/>
      <c r="I6" s="130"/>
      <c r="J6" s="93"/>
      <c r="K6" s="125"/>
      <c r="L6" s="125"/>
      <c r="M6" s="125"/>
      <c r="N6" s="125"/>
    </row>
    <row r="7" spans="1:14">
      <c r="A7" s="128"/>
      <c r="B7" s="129"/>
      <c r="C7" s="129"/>
      <c r="D7" s="129"/>
      <c r="E7" s="129"/>
      <c r="F7" s="129"/>
      <c r="G7" s="129"/>
      <c r="H7" s="129"/>
      <c r="I7" s="130"/>
      <c r="J7" s="93"/>
      <c r="K7" s="125"/>
      <c r="L7" s="125"/>
      <c r="M7" s="125"/>
      <c r="N7" s="125"/>
    </row>
    <row r="8" spans="1:14" ht="15.75" customHeight="1">
      <c r="A8" s="128"/>
      <c r="B8" s="129"/>
      <c r="C8" s="129"/>
      <c r="D8" s="129"/>
      <c r="E8" s="129"/>
      <c r="F8" s="129"/>
      <c r="G8" s="129"/>
      <c r="H8" s="129"/>
      <c r="I8" s="130"/>
      <c r="J8" s="93"/>
      <c r="K8" s="125"/>
      <c r="L8" s="125"/>
      <c r="M8" s="125"/>
      <c r="N8" s="125"/>
    </row>
    <row r="9" spans="1:14" ht="15.75" customHeight="1">
      <c r="A9" s="128"/>
      <c r="B9" s="129"/>
      <c r="C9" s="129"/>
      <c r="D9" s="129"/>
      <c r="E9" s="129"/>
      <c r="F9" s="129"/>
      <c r="G9" s="129"/>
      <c r="H9" s="129"/>
      <c r="I9" s="130"/>
      <c r="J9" s="93"/>
      <c r="K9" s="125"/>
      <c r="L9" s="125"/>
      <c r="M9" s="125"/>
      <c r="N9" s="125"/>
    </row>
    <row r="10" spans="1:14" ht="15.75" customHeight="1">
      <c r="A10" s="128"/>
      <c r="B10" s="129"/>
      <c r="C10" s="129"/>
      <c r="D10" s="129"/>
      <c r="E10" s="129"/>
      <c r="F10" s="129"/>
      <c r="G10" s="129"/>
      <c r="H10" s="129"/>
      <c r="I10" s="130"/>
      <c r="J10" s="93"/>
      <c r="K10" s="125"/>
      <c r="L10" s="125"/>
      <c r="M10" s="125"/>
      <c r="N10" s="125"/>
    </row>
    <row r="11" spans="1:14" ht="15.75" customHeight="1">
      <c r="A11" s="128"/>
      <c r="B11" s="129"/>
      <c r="C11" s="129"/>
      <c r="D11" s="129"/>
      <c r="E11" s="129"/>
      <c r="F11" s="129"/>
      <c r="G11" s="129"/>
      <c r="H11" s="129"/>
      <c r="I11" s="130"/>
      <c r="J11" s="93"/>
      <c r="K11" s="125"/>
      <c r="L11" s="125"/>
      <c r="M11" s="125"/>
      <c r="N11" s="125"/>
    </row>
    <row r="12" spans="1:14" ht="15.75" customHeight="1">
      <c r="A12" s="128"/>
      <c r="B12" s="129"/>
      <c r="C12" s="129"/>
      <c r="D12" s="129"/>
      <c r="E12" s="129"/>
      <c r="F12" s="129"/>
      <c r="G12" s="129"/>
      <c r="H12" s="129"/>
      <c r="I12" s="130"/>
      <c r="J12" s="93"/>
      <c r="K12" s="125"/>
      <c r="L12" s="125"/>
      <c r="M12" s="125"/>
      <c r="N12" s="125"/>
    </row>
    <row r="13" spans="1:14" ht="15.75" customHeight="1">
      <c r="A13" s="128"/>
      <c r="B13" s="129"/>
      <c r="C13" s="129"/>
      <c r="D13" s="129"/>
      <c r="E13" s="129"/>
      <c r="F13" s="129"/>
      <c r="G13" s="129"/>
      <c r="H13" s="129"/>
      <c r="I13" s="130"/>
      <c r="J13" s="93"/>
      <c r="K13" s="125"/>
      <c r="L13" s="125"/>
      <c r="M13" s="125"/>
      <c r="N13" s="125"/>
    </row>
    <row r="14" spans="1:14" ht="15.75" customHeight="1">
      <c r="A14" s="128"/>
      <c r="B14" s="129"/>
      <c r="C14" s="129"/>
      <c r="D14" s="129"/>
      <c r="E14" s="129"/>
      <c r="F14" s="129"/>
      <c r="G14" s="129"/>
      <c r="H14" s="129"/>
      <c r="I14" s="130"/>
      <c r="J14" s="93"/>
      <c r="K14" s="125"/>
      <c r="L14" s="125"/>
      <c r="M14" s="125"/>
      <c r="N14" s="125"/>
    </row>
    <row r="15" spans="1:14" ht="15.75" customHeight="1">
      <c r="A15" s="128"/>
      <c r="B15" s="129"/>
      <c r="C15" s="129"/>
      <c r="D15" s="129"/>
      <c r="E15" s="129"/>
      <c r="F15" s="129"/>
      <c r="G15" s="129"/>
      <c r="H15" s="129"/>
      <c r="I15" s="130"/>
      <c r="J15" s="93"/>
      <c r="K15" s="93"/>
      <c r="L15" s="93"/>
      <c r="M15" s="93"/>
      <c r="N15" s="93"/>
    </row>
    <row r="16" spans="1:14" ht="15.75" customHeight="1">
      <c r="A16" s="128"/>
      <c r="B16" s="129"/>
      <c r="C16" s="129"/>
      <c r="D16" s="129"/>
      <c r="E16" s="129"/>
      <c r="F16" s="129"/>
      <c r="G16" s="129"/>
      <c r="H16" s="129"/>
      <c r="I16" s="130"/>
      <c r="J16" s="93"/>
      <c r="K16" s="93"/>
      <c r="L16" s="93"/>
      <c r="M16" s="93"/>
      <c r="N16" s="93"/>
    </row>
    <row r="17" spans="1:14" ht="15.75" customHeight="1">
      <c r="A17" s="128"/>
      <c r="B17" s="129"/>
      <c r="C17" s="129"/>
      <c r="D17" s="129"/>
      <c r="E17" s="129"/>
      <c r="F17" s="129"/>
      <c r="G17" s="129"/>
      <c r="H17" s="129"/>
      <c r="I17" s="130"/>
      <c r="J17" s="93"/>
      <c r="K17" s="93"/>
      <c r="L17" s="93"/>
      <c r="M17" s="93"/>
      <c r="N17" s="93"/>
    </row>
    <row r="18" spans="1:14">
      <c r="A18" s="128"/>
      <c r="B18" s="129"/>
      <c r="C18" s="129"/>
      <c r="D18" s="129"/>
      <c r="E18" s="129"/>
      <c r="F18" s="129"/>
      <c r="G18" s="129"/>
      <c r="H18" s="129"/>
      <c r="I18" s="130"/>
      <c r="J18" s="93"/>
      <c r="K18" s="93"/>
      <c r="L18" s="93"/>
      <c r="M18" s="93"/>
      <c r="N18" s="93"/>
    </row>
    <row r="19" spans="1:14">
      <c r="A19" s="128"/>
      <c r="B19" s="129"/>
      <c r="C19" s="129"/>
      <c r="D19" s="129"/>
      <c r="E19" s="129"/>
      <c r="F19" s="129"/>
      <c r="G19" s="129"/>
      <c r="H19" s="129"/>
      <c r="I19" s="130"/>
      <c r="J19" s="93"/>
      <c r="K19" s="93"/>
      <c r="L19" s="93"/>
      <c r="M19" s="93"/>
      <c r="N19" s="93"/>
    </row>
    <row r="20" spans="1:14">
      <c r="A20" s="128"/>
      <c r="B20" s="129"/>
      <c r="C20" s="129"/>
      <c r="D20" s="129"/>
      <c r="E20" s="129"/>
      <c r="F20" s="129"/>
      <c r="G20" s="129"/>
      <c r="H20" s="129"/>
      <c r="I20" s="130"/>
      <c r="J20" s="93"/>
      <c r="K20" s="93"/>
      <c r="L20" s="93"/>
      <c r="M20" s="93"/>
      <c r="N20" s="93"/>
    </row>
    <row r="21" spans="1:14">
      <c r="A21" s="128"/>
      <c r="B21" s="129"/>
      <c r="C21" s="129"/>
      <c r="D21" s="129"/>
      <c r="E21" s="129"/>
      <c r="F21" s="129"/>
      <c r="G21" s="129"/>
      <c r="H21" s="129"/>
      <c r="I21" s="130"/>
      <c r="J21" s="93"/>
      <c r="K21" s="93"/>
      <c r="L21" s="93"/>
      <c r="M21" s="93"/>
      <c r="N21" s="93"/>
    </row>
    <row r="22" spans="1:14" ht="15.4" customHeight="1">
      <c r="A22" s="128"/>
      <c r="B22" s="129"/>
      <c r="C22" s="129"/>
      <c r="D22" s="129"/>
      <c r="E22" s="129"/>
      <c r="F22" s="129"/>
      <c r="G22" s="129"/>
      <c r="H22" s="129"/>
      <c r="I22" s="130"/>
      <c r="J22" s="93"/>
      <c r="K22" s="327"/>
      <c r="L22" s="327"/>
      <c r="M22" s="327"/>
      <c r="N22" s="327"/>
    </row>
    <row r="23" spans="1:14">
      <c r="A23" s="128"/>
      <c r="B23" s="129"/>
      <c r="C23" s="129"/>
      <c r="D23" s="129"/>
      <c r="E23" s="129"/>
      <c r="F23" s="129"/>
      <c r="G23" s="129"/>
      <c r="H23" s="129"/>
      <c r="I23" s="130"/>
      <c r="J23" s="93"/>
      <c r="K23" s="327"/>
      <c r="L23" s="327"/>
      <c r="M23" s="327"/>
      <c r="N23" s="327"/>
    </row>
    <row r="24" spans="1:14">
      <c r="A24" s="128"/>
      <c r="B24" s="129"/>
      <c r="C24" s="129"/>
      <c r="D24" s="129"/>
      <c r="E24" s="129"/>
      <c r="F24" s="129"/>
      <c r="G24" s="129"/>
      <c r="H24" s="129"/>
      <c r="I24" s="130"/>
      <c r="J24" s="93"/>
      <c r="K24" s="327"/>
      <c r="L24" s="327"/>
      <c r="M24" s="327"/>
      <c r="N24" s="327"/>
    </row>
    <row r="25" spans="1:14">
      <c r="A25" s="128"/>
      <c r="B25" s="129"/>
      <c r="C25" s="129"/>
      <c r="D25" s="129"/>
      <c r="E25" s="129"/>
      <c r="F25" s="129"/>
      <c r="G25" s="129"/>
      <c r="H25" s="129"/>
      <c r="I25" s="130"/>
      <c r="J25" s="93"/>
      <c r="K25" s="327"/>
      <c r="L25" s="327"/>
      <c r="M25" s="327"/>
      <c r="N25" s="327"/>
    </row>
    <row r="26" spans="1:14">
      <c r="A26" s="128"/>
      <c r="B26" s="129"/>
      <c r="C26" s="129"/>
      <c r="D26" s="129"/>
      <c r="E26" s="129"/>
      <c r="F26" s="129"/>
      <c r="G26" s="129"/>
      <c r="H26" s="129"/>
      <c r="I26" s="130"/>
      <c r="J26" s="93"/>
      <c r="K26" s="327"/>
      <c r="L26" s="327"/>
      <c r="M26" s="327"/>
      <c r="N26" s="327"/>
    </row>
    <row r="27" spans="1:14">
      <c r="A27" s="131"/>
      <c r="B27" s="132"/>
      <c r="C27" s="132"/>
      <c r="D27" s="132"/>
      <c r="E27" s="132"/>
      <c r="F27" s="132"/>
      <c r="G27" s="132"/>
      <c r="H27" s="132"/>
      <c r="I27" s="133"/>
      <c r="J27" s="93"/>
      <c r="K27" s="327"/>
      <c r="L27" s="327"/>
      <c r="M27" s="327"/>
      <c r="N27" s="327"/>
    </row>
    <row r="28" spans="1:14">
      <c r="A28" s="93"/>
      <c r="B28" s="93"/>
      <c r="C28" s="93"/>
      <c r="D28" s="93"/>
      <c r="E28" s="93"/>
      <c r="F28" s="93"/>
      <c r="G28" s="93"/>
      <c r="H28" s="93"/>
      <c r="I28" s="93"/>
      <c r="J28" s="93"/>
      <c r="K28" s="327"/>
      <c r="L28" s="327"/>
      <c r="M28" s="327"/>
      <c r="N28" s="327"/>
    </row>
    <row r="29" spans="1:14">
      <c r="A29" s="51" t="s">
        <v>149</v>
      </c>
      <c r="B29" s="280"/>
      <c r="C29" s="280"/>
      <c r="D29" s="280"/>
      <c r="E29" s="280"/>
      <c r="F29" s="280"/>
      <c r="G29" s="280"/>
      <c r="H29" s="280"/>
      <c r="I29" s="281"/>
      <c r="J29" s="93"/>
      <c r="K29" s="327"/>
      <c r="L29" s="327"/>
      <c r="M29" s="327"/>
      <c r="N29" s="327"/>
    </row>
    <row r="30" spans="1:14">
      <c r="A30" s="282"/>
      <c r="B30" s="283"/>
      <c r="C30" s="283"/>
      <c r="D30" s="283"/>
      <c r="E30" s="283"/>
      <c r="F30" s="283"/>
      <c r="G30" s="283"/>
      <c r="H30" s="283"/>
      <c r="I30" s="284"/>
      <c r="J30" s="93"/>
      <c r="K30" s="327"/>
      <c r="L30" s="327"/>
      <c r="M30" s="327"/>
      <c r="N30" s="327"/>
    </row>
    <row r="31" spans="1:14">
      <c r="A31" s="124" t="s">
        <v>150</v>
      </c>
      <c r="B31" s="136"/>
      <c r="C31" s="136"/>
      <c r="D31" s="136"/>
      <c r="E31" s="136"/>
      <c r="F31" s="136"/>
      <c r="G31" s="136"/>
      <c r="H31" s="136"/>
      <c r="I31" s="137"/>
      <c r="J31" s="93"/>
      <c r="K31" s="125" t="s">
        <v>151</v>
      </c>
      <c r="L31" s="125"/>
      <c r="M31" s="125"/>
      <c r="N31" s="125"/>
    </row>
    <row r="32" spans="1:14">
      <c r="A32" s="138"/>
      <c r="B32" s="139"/>
      <c r="C32" s="139"/>
      <c r="D32" s="139"/>
      <c r="E32" s="139"/>
      <c r="F32" s="139"/>
      <c r="G32" s="139"/>
      <c r="H32" s="139"/>
      <c r="I32" s="140"/>
      <c r="J32" s="93"/>
      <c r="K32" s="125"/>
      <c r="L32" s="125"/>
      <c r="M32" s="125"/>
      <c r="N32" s="125"/>
    </row>
    <row r="33" spans="1:14">
      <c r="A33" s="138"/>
      <c r="B33" s="139"/>
      <c r="C33" s="139"/>
      <c r="D33" s="139"/>
      <c r="E33" s="139"/>
      <c r="F33" s="139"/>
      <c r="G33" s="139"/>
      <c r="H33" s="139"/>
      <c r="I33" s="140"/>
      <c r="J33" s="93"/>
      <c r="K33" s="125"/>
      <c r="L33" s="125"/>
      <c r="M33" s="125"/>
      <c r="N33" s="125"/>
    </row>
    <row r="34" spans="1:14">
      <c r="A34" s="138"/>
      <c r="B34" s="139"/>
      <c r="C34" s="139"/>
      <c r="D34" s="139"/>
      <c r="E34" s="139"/>
      <c r="F34" s="139"/>
      <c r="G34" s="139"/>
      <c r="H34" s="139"/>
      <c r="I34" s="140"/>
      <c r="J34" s="93"/>
      <c r="K34" s="125"/>
      <c r="L34" s="125"/>
      <c r="M34" s="125"/>
      <c r="N34" s="125"/>
    </row>
    <row r="35" spans="1:14">
      <c r="A35" s="138"/>
      <c r="B35" s="139"/>
      <c r="C35" s="139"/>
      <c r="D35" s="139"/>
      <c r="E35" s="139"/>
      <c r="F35" s="139"/>
      <c r="G35" s="139"/>
      <c r="H35" s="139"/>
      <c r="I35" s="140"/>
      <c r="J35" s="93"/>
      <c r="K35" s="125"/>
      <c r="L35" s="125"/>
      <c r="M35" s="125"/>
      <c r="N35" s="125"/>
    </row>
    <row r="36" spans="1:14">
      <c r="A36" s="138"/>
      <c r="B36" s="139"/>
      <c r="C36" s="139"/>
      <c r="D36" s="139"/>
      <c r="E36" s="139"/>
      <c r="F36" s="139"/>
      <c r="G36" s="139"/>
      <c r="H36" s="139"/>
      <c r="I36" s="140"/>
      <c r="J36" s="93"/>
      <c r="K36" s="125"/>
      <c r="L36" s="125"/>
      <c r="M36" s="125"/>
      <c r="N36" s="125"/>
    </row>
    <row r="37" spans="1:14">
      <c r="A37" s="138"/>
      <c r="B37" s="139"/>
      <c r="C37" s="139"/>
      <c r="D37" s="139"/>
      <c r="E37" s="139"/>
      <c r="F37" s="139"/>
      <c r="G37" s="139"/>
      <c r="H37" s="139"/>
      <c r="I37" s="140"/>
      <c r="J37" s="93"/>
      <c r="K37" s="125"/>
      <c r="L37" s="125"/>
      <c r="M37" s="125"/>
      <c r="N37" s="125"/>
    </row>
    <row r="38" spans="1:14" ht="14.25" customHeight="1">
      <c r="A38" s="138"/>
      <c r="B38" s="139"/>
      <c r="C38" s="139"/>
      <c r="D38" s="139"/>
      <c r="E38" s="139"/>
      <c r="F38" s="139"/>
      <c r="G38" s="139"/>
      <c r="H38" s="139"/>
      <c r="I38" s="140"/>
      <c r="J38" s="93"/>
      <c r="K38" s="125"/>
      <c r="L38" s="125"/>
      <c r="M38" s="125"/>
      <c r="N38" s="125"/>
    </row>
    <row r="39" spans="1:14">
      <c r="A39" s="138"/>
      <c r="B39" s="139"/>
      <c r="C39" s="139"/>
      <c r="D39" s="139"/>
      <c r="E39" s="139"/>
      <c r="F39" s="139"/>
      <c r="G39" s="139"/>
      <c r="H39" s="139"/>
      <c r="I39" s="140"/>
      <c r="J39" s="93"/>
      <c r="K39" s="125"/>
      <c r="L39" s="125"/>
      <c r="M39" s="125"/>
      <c r="N39" s="125"/>
    </row>
    <row r="40" spans="1:14">
      <c r="A40" s="138"/>
      <c r="B40" s="139"/>
      <c r="C40" s="139"/>
      <c r="D40" s="139"/>
      <c r="E40" s="139"/>
      <c r="F40" s="139"/>
      <c r="G40" s="139"/>
      <c r="H40" s="139"/>
      <c r="I40" s="140"/>
      <c r="J40" s="93"/>
      <c r="K40" s="125"/>
      <c r="L40" s="125"/>
      <c r="M40" s="125"/>
      <c r="N40" s="125"/>
    </row>
    <row r="41" spans="1:14">
      <c r="A41" s="138"/>
      <c r="B41" s="139"/>
      <c r="C41" s="139"/>
      <c r="D41" s="139"/>
      <c r="E41" s="139"/>
      <c r="F41" s="139"/>
      <c r="G41" s="139"/>
      <c r="H41" s="139"/>
      <c r="I41" s="140"/>
      <c r="J41" s="93"/>
      <c r="K41" s="93"/>
      <c r="L41" s="93"/>
      <c r="M41" s="93"/>
      <c r="N41" s="93"/>
    </row>
    <row r="42" spans="1:14">
      <c r="A42" s="138"/>
      <c r="B42" s="139"/>
      <c r="C42" s="139"/>
      <c r="D42" s="139"/>
      <c r="E42" s="139"/>
      <c r="F42" s="139"/>
      <c r="G42" s="139"/>
      <c r="H42" s="139"/>
      <c r="I42" s="140"/>
      <c r="J42" s="93"/>
      <c r="K42" s="93"/>
      <c r="L42" s="93"/>
      <c r="M42" s="93"/>
      <c r="N42" s="93"/>
    </row>
    <row r="43" spans="1:14">
      <c r="A43" s="138"/>
      <c r="B43" s="139"/>
      <c r="C43" s="139"/>
      <c r="D43" s="139"/>
      <c r="E43" s="139"/>
      <c r="F43" s="139"/>
      <c r="G43" s="139"/>
      <c r="H43" s="139"/>
      <c r="I43" s="140"/>
      <c r="J43" s="93"/>
      <c r="K43" s="93"/>
      <c r="L43" s="93"/>
      <c r="M43" s="93"/>
      <c r="N43" s="93"/>
    </row>
    <row r="44" spans="1:14">
      <c r="A44" s="138"/>
      <c r="B44" s="139"/>
      <c r="C44" s="139"/>
      <c r="D44" s="139"/>
      <c r="E44" s="139"/>
      <c r="F44" s="139"/>
      <c r="G44" s="139"/>
      <c r="H44" s="139"/>
      <c r="I44" s="140"/>
      <c r="J44" s="93"/>
      <c r="K44" s="93"/>
      <c r="L44" s="93"/>
      <c r="M44" s="93"/>
      <c r="N44" s="93"/>
    </row>
    <row r="45" spans="1:14">
      <c r="A45" s="138"/>
      <c r="B45" s="139"/>
      <c r="C45" s="139"/>
      <c r="D45" s="139"/>
      <c r="E45" s="139"/>
      <c r="F45" s="139"/>
      <c r="G45" s="139"/>
      <c r="H45" s="139"/>
      <c r="I45" s="140"/>
      <c r="J45" s="93"/>
      <c r="K45" s="93"/>
      <c r="L45" s="93"/>
      <c r="M45" s="93"/>
      <c r="N45" s="93"/>
    </row>
    <row r="46" spans="1:14">
      <c r="A46" s="138"/>
      <c r="B46" s="139"/>
      <c r="C46" s="139"/>
      <c r="D46" s="139"/>
      <c r="E46" s="139"/>
      <c r="F46" s="139"/>
      <c r="G46" s="139"/>
      <c r="H46" s="139"/>
      <c r="I46" s="140"/>
      <c r="J46" s="93"/>
      <c r="K46" s="93"/>
      <c r="L46" s="93"/>
      <c r="M46" s="93"/>
      <c r="N46" s="93"/>
    </row>
    <row r="47" spans="1:14">
      <c r="A47" s="138"/>
      <c r="B47" s="139"/>
      <c r="C47" s="139"/>
      <c r="D47" s="139"/>
      <c r="E47" s="139"/>
      <c r="F47" s="139"/>
      <c r="G47" s="139"/>
      <c r="H47" s="139"/>
      <c r="I47" s="140"/>
      <c r="J47" s="93"/>
      <c r="K47" s="93"/>
      <c r="L47" s="93"/>
      <c r="M47" s="93"/>
      <c r="N47" s="93"/>
    </row>
    <row r="48" spans="1:14">
      <c r="A48" s="138"/>
      <c r="B48" s="139"/>
      <c r="C48" s="139"/>
      <c r="D48" s="139"/>
      <c r="E48" s="139"/>
      <c r="F48" s="139"/>
      <c r="G48" s="139"/>
      <c r="H48" s="139"/>
      <c r="I48" s="140"/>
      <c r="J48" s="93"/>
      <c r="K48" s="93"/>
      <c r="L48" s="93"/>
      <c r="M48" s="93"/>
      <c r="N48" s="93"/>
    </row>
    <row r="49" spans="1:9">
      <c r="A49" s="138"/>
      <c r="B49" s="139"/>
      <c r="C49" s="139"/>
      <c r="D49" s="139"/>
      <c r="E49" s="139"/>
      <c r="F49" s="139"/>
      <c r="G49" s="139"/>
      <c r="H49" s="139"/>
      <c r="I49" s="140"/>
    </row>
    <row r="50" spans="1:9">
      <c r="A50" s="138"/>
      <c r="B50" s="139"/>
      <c r="C50" s="139"/>
      <c r="D50" s="139"/>
      <c r="E50" s="139"/>
      <c r="F50" s="139"/>
      <c r="G50" s="139"/>
      <c r="H50" s="139"/>
      <c r="I50" s="140"/>
    </row>
    <row r="51" spans="1:9">
      <c r="A51" s="138"/>
      <c r="B51" s="139"/>
      <c r="C51" s="139"/>
      <c r="D51" s="139"/>
      <c r="E51" s="139"/>
      <c r="F51" s="139"/>
      <c r="G51" s="139"/>
      <c r="H51" s="139"/>
      <c r="I51" s="140"/>
    </row>
    <row r="52" spans="1:9">
      <c r="A52" s="141"/>
      <c r="B52" s="142"/>
      <c r="C52" s="142"/>
      <c r="D52" s="142"/>
      <c r="E52" s="142"/>
      <c r="F52" s="142"/>
      <c r="G52" s="142"/>
      <c r="H52" s="142"/>
      <c r="I52" s="143"/>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view="pageBreakPreview" zoomScale="60" zoomScaleNormal="100" workbookViewId="0">
      <selection activeCell="U21" sqref="U21"/>
    </sheetView>
  </sheetViews>
  <sheetFormatPr defaultColWidth="9.28515625" defaultRowHeight="15"/>
  <cols>
    <col min="1" max="16384" width="9.28515625" style="2"/>
  </cols>
  <sheetData>
    <row r="1" spans="1:10" ht="15.6">
      <c r="A1" s="33">
        <f>+'Cover Page'!C39</f>
        <v>2022</v>
      </c>
      <c r="B1" s="34" t="s">
        <v>152</v>
      </c>
      <c r="C1" s="34"/>
      <c r="D1" s="34"/>
      <c r="E1" s="34"/>
      <c r="F1" s="34"/>
      <c r="G1" s="34"/>
      <c r="H1" s="34"/>
      <c r="I1" s="34"/>
      <c r="J1" s="34"/>
    </row>
    <row r="2" spans="1:10" ht="8.25" customHeight="1">
      <c r="A2" s="93"/>
      <c r="B2" s="93"/>
      <c r="C2" s="93"/>
      <c r="D2" s="93"/>
      <c r="E2" s="93"/>
      <c r="F2" s="93"/>
      <c r="G2" s="93"/>
      <c r="H2" s="93"/>
      <c r="I2" s="93"/>
      <c r="J2" s="93"/>
    </row>
    <row r="3" spans="1:10" s="3" customFormat="1" ht="13.9">
      <c r="A3" s="144" t="str">
        <f>+'Cover Page'!B31</f>
        <v>Permit EPR/HP3341QV</v>
      </c>
      <c r="B3" s="144"/>
      <c r="C3" s="144"/>
      <c r="D3" s="144"/>
      <c r="E3" s="144"/>
      <c r="F3" s="3" t="s">
        <v>153</v>
      </c>
      <c r="G3" s="145" t="s">
        <v>64</v>
      </c>
      <c r="H3" s="145"/>
      <c r="I3" s="145"/>
    </row>
    <row r="4" spans="1:10" s="3" customFormat="1" ht="13.9">
      <c r="A4" s="3" t="s">
        <v>154</v>
      </c>
      <c r="B4" s="144" t="str">
        <f>+'Cover Page'!B33:I33</f>
        <v>Stoke Energy from Waste Facility</v>
      </c>
      <c r="C4" s="144"/>
      <c r="D4" s="144"/>
      <c r="E4" s="144"/>
      <c r="F4" s="3" t="s">
        <v>155</v>
      </c>
      <c r="G4" s="3" t="s">
        <v>156</v>
      </c>
    </row>
    <row r="5" spans="1:10" s="3" customFormat="1" ht="6.75" customHeight="1"/>
    <row r="6" spans="1:10" s="3" customFormat="1" ht="15.75" customHeight="1">
      <c r="A6" s="3" t="s">
        <v>157</v>
      </c>
      <c r="D6" s="146">
        <v>44562</v>
      </c>
      <c r="E6" s="146"/>
      <c r="F6" s="35" t="s">
        <v>158</v>
      </c>
      <c r="G6" s="146">
        <v>44926</v>
      </c>
      <c r="H6" s="146"/>
    </row>
    <row r="7" spans="1:10" s="3" customFormat="1" ht="7.5" customHeight="1"/>
    <row r="8" spans="1:10" s="3" customFormat="1" ht="15.6">
      <c r="A8" s="9">
        <f>+A1</f>
        <v>2022</v>
      </c>
      <c r="B8" s="34" t="s">
        <v>159</v>
      </c>
      <c r="C8"/>
      <c r="D8"/>
      <c r="E8"/>
      <c r="F8"/>
      <c r="G8"/>
    </row>
    <row r="9" spans="1:10" s="3" customFormat="1" ht="28.5" customHeight="1">
      <c r="A9" s="147" t="s">
        <v>160</v>
      </c>
      <c r="B9" s="147"/>
      <c r="C9" s="147" t="s">
        <v>161</v>
      </c>
      <c r="D9" s="147"/>
      <c r="E9" s="147" t="s">
        <v>162</v>
      </c>
      <c r="F9" s="147"/>
      <c r="G9" s="147" t="s">
        <v>163</v>
      </c>
      <c r="H9" s="147"/>
      <c r="I9" s="147" t="s">
        <v>164</v>
      </c>
      <c r="J9" s="147"/>
    </row>
    <row r="10" spans="1:10" s="3" customFormat="1" ht="14.25" customHeight="1">
      <c r="A10" s="206" t="s">
        <v>165</v>
      </c>
      <c r="B10" s="206"/>
      <c r="C10" s="206"/>
      <c r="D10" s="206"/>
      <c r="E10" s="206"/>
      <c r="F10" s="206"/>
      <c r="G10" s="206"/>
      <c r="H10" s="206"/>
      <c r="I10" s="206"/>
      <c r="J10" s="206"/>
    </row>
    <row r="11" spans="1:10" s="3" customFormat="1" ht="14.25" customHeight="1">
      <c r="A11" s="206" t="s">
        <v>166</v>
      </c>
      <c r="B11" s="206"/>
      <c r="C11" s="328"/>
      <c r="D11" s="328"/>
      <c r="E11" s="329">
        <f>'Operational Data'!G31</f>
        <v>6260.48</v>
      </c>
      <c r="F11" s="329"/>
      <c r="G11" s="329">
        <v>0</v>
      </c>
      <c r="H11" s="329"/>
      <c r="I11" s="330">
        <f>IF((E11+G11)&gt;0,(E11+G11)/'Operational Data'!$G$18, "-")</f>
        <v>3.2206103257402717E-2</v>
      </c>
      <c r="J11" s="330"/>
    </row>
    <row r="12" spans="1:10" s="3" customFormat="1" ht="14.25" customHeight="1">
      <c r="A12" s="206" t="s">
        <v>167</v>
      </c>
      <c r="B12" s="206"/>
      <c r="C12" s="328"/>
      <c r="D12" s="328"/>
      <c r="E12" s="329">
        <v>0</v>
      </c>
      <c r="F12" s="329"/>
      <c r="G12" s="329">
        <v>0</v>
      </c>
      <c r="H12" s="329"/>
      <c r="I12" s="330" t="str">
        <f>IF((E12+G12)&gt;0,(E12+G12)/'Operational Data'!$G$18, "-")</f>
        <v>-</v>
      </c>
      <c r="J12" s="330"/>
    </row>
    <row r="13" spans="1:10" s="3" customFormat="1" ht="14.25" customHeight="1">
      <c r="A13" s="331"/>
      <c r="B13" s="331"/>
      <c r="C13" s="328"/>
      <c r="D13" s="328"/>
      <c r="E13" s="329"/>
      <c r="F13" s="329"/>
      <c r="G13" s="329"/>
      <c r="H13" s="329"/>
      <c r="I13" s="330" t="str">
        <f>IF((E13+G13)&gt;0,(E13+G13)/'Operational Data'!$G$18, "-")</f>
        <v>-</v>
      </c>
      <c r="J13" s="330"/>
    </row>
    <row r="14" spans="1:10" s="3" customFormat="1" ht="14.25" customHeight="1">
      <c r="A14" s="331"/>
      <c r="B14" s="331"/>
      <c r="C14" s="328"/>
      <c r="D14" s="328"/>
      <c r="E14" s="329"/>
      <c r="F14" s="329"/>
      <c r="G14" s="329"/>
      <c r="H14" s="329"/>
      <c r="I14" s="330" t="str">
        <f>IF((E14+G14)&gt;0,(E14+G14)/'Operational Data'!$G$18, "-")</f>
        <v>-</v>
      </c>
      <c r="J14" s="330"/>
    </row>
    <row r="15" spans="1:10" s="3" customFormat="1" ht="14.25" customHeight="1">
      <c r="A15" s="332" t="s">
        <v>168</v>
      </c>
      <c r="B15" s="332"/>
      <c r="C15" s="332"/>
      <c r="D15" s="332"/>
      <c r="E15" s="333">
        <f>SUM(E11:F14)</f>
        <v>6260.48</v>
      </c>
      <c r="F15" s="333"/>
      <c r="G15" s="333">
        <f>SUM(G11:H14)</f>
        <v>0</v>
      </c>
      <c r="H15" s="333"/>
      <c r="I15" s="330">
        <f>IF((E15+G15)&gt;0,(E15+G15)/'Operational Data'!$G$18, "-")</f>
        <v>3.2206103257402717E-2</v>
      </c>
      <c r="J15" s="330"/>
    </row>
    <row r="16" spans="1:10" s="3" customFormat="1" ht="14.25" customHeight="1">
      <c r="A16" s="334"/>
      <c r="B16" s="335"/>
      <c r="C16" s="335"/>
      <c r="D16" s="335"/>
      <c r="E16" s="336"/>
      <c r="F16" s="336"/>
      <c r="G16" s="336"/>
      <c r="H16" s="336"/>
      <c r="I16" s="337"/>
      <c r="J16" s="338"/>
    </row>
    <row r="17" spans="1:10" s="3" customFormat="1" ht="14.25" customHeight="1">
      <c r="A17" s="339" t="s">
        <v>169</v>
      </c>
      <c r="B17" s="339"/>
      <c r="C17" s="339"/>
      <c r="D17" s="339"/>
      <c r="E17" s="339"/>
      <c r="F17" s="339"/>
      <c r="G17" s="339"/>
      <c r="H17" s="339"/>
      <c r="I17" s="339"/>
      <c r="J17" s="339"/>
    </row>
    <row r="18" spans="1:10" ht="14.25" customHeight="1">
      <c r="A18" s="206" t="s">
        <v>167</v>
      </c>
      <c r="B18" s="206"/>
      <c r="C18" s="328"/>
      <c r="D18" s="328"/>
      <c r="E18" s="329">
        <v>0</v>
      </c>
      <c r="F18" s="329"/>
      <c r="G18" s="329">
        <f>'Operational Data'!G32</f>
        <v>34266.799999999996</v>
      </c>
      <c r="H18" s="329"/>
      <c r="I18" s="330">
        <f>IF((E18+G18)&gt;0,(E18+G18)/'Operational Data'!$G$18, "-")</f>
        <v>0.1762804288330555</v>
      </c>
      <c r="J18" s="330"/>
    </row>
    <row r="19" spans="1:10" s="3" customFormat="1" ht="14.25" customHeight="1">
      <c r="A19" s="206" t="s">
        <v>170</v>
      </c>
      <c r="B19" s="206"/>
      <c r="C19" s="328"/>
      <c r="D19" s="328"/>
      <c r="E19" s="329">
        <v>0</v>
      </c>
      <c r="F19" s="329"/>
      <c r="G19" s="329">
        <f>'Operational Data'!G33</f>
        <v>3073.9399999999996</v>
      </c>
      <c r="H19" s="329"/>
      <c r="I19" s="330">
        <f>IF((E19+G19)&gt;0,(E19+G19)/'Operational Data'!$G$18, "-")</f>
        <v>1.5813424696997754E-2</v>
      </c>
      <c r="J19" s="330"/>
    </row>
    <row r="20" spans="1:10" s="3" customFormat="1" ht="14.25" customHeight="1">
      <c r="A20" s="206" t="s">
        <v>171</v>
      </c>
      <c r="B20" s="206"/>
      <c r="C20" s="328"/>
      <c r="D20" s="328"/>
      <c r="E20" s="329">
        <v>0</v>
      </c>
      <c r="F20" s="329"/>
      <c r="G20" s="329">
        <v>0</v>
      </c>
      <c r="H20" s="329"/>
      <c r="I20" s="330" t="str">
        <f>IF((E20+G20)&gt;0,(E20+G20)/'Operational Data'!$G$18, "-")</f>
        <v>-</v>
      </c>
      <c r="J20" s="330"/>
    </row>
    <row r="21" spans="1:10" s="3" customFormat="1" ht="14.25" customHeight="1">
      <c r="A21" s="161"/>
      <c r="B21" s="161"/>
      <c r="C21" s="328"/>
      <c r="D21" s="328"/>
      <c r="E21" s="329"/>
      <c r="F21" s="329"/>
      <c r="G21" s="329"/>
      <c r="H21" s="329"/>
      <c r="I21" s="330" t="str">
        <f>IF((E21+G21)&gt;0,(E21+G21)/'Operational Data'!$G$18, "-")</f>
        <v>-</v>
      </c>
      <c r="J21" s="330"/>
    </row>
    <row r="22" spans="1:10" s="3" customFormat="1" ht="14.25" customHeight="1">
      <c r="A22" s="161"/>
      <c r="B22" s="161"/>
      <c r="C22" s="328"/>
      <c r="D22" s="328"/>
      <c r="E22" s="329"/>
      <c r="F22" s="329"/>
      <c r="G22" s="329"/>
      <c r="H22" s="329"/>
      <c r="I22" s="330" t="str">
        <f>IF((E22+G22)&gt;0,(E22+G22)/'Operational Data'!$G$18, "-")</f>
        <v>-</v>
      </c>
      <c r="J22" s="330"/>
    </row>
    <row r="23" spans="1:10" s="3" customFormat="1" ht="14.25" customHeight="1">
      <c r="A23" s="340" t="s">
        <v>172</v>
      </c>
      <c r="B23" s="340"/>
      <c r="C23" s="340"/>
      <c r="D23" s="340"/>
      <c r="E23" s="333">
        <f>SUM(E18:F22)</f>
        <v>0</v>
      </c>
      <c r="F23" s="333"/>
      <c r="G23" s="333">
        <f>SUM(G18:H22)</f>
        <v>37340.74</v>
      </c>
      <c r="H23" s="333"/>
      <c r="I23" s="330">
        <f>IF((E23+G23)&gt;0,(E23+G23)/'Operational Data'!$G$18, "-")</f>
        <v>0.19209385353005329</v>
      </c>
      <c r="J23" s="330"/>
    </row>
    <row r="24" spans="1:10" s="3" customFormat="1" ht="14.25" customHeight="1">
      <c r="A24" s="153" t="s">
        <v>173</v>
      </c>
      <c r="B24" s="153"/>
      <c r="C24" s="153"/>
      <c r="D24" s="153"/>
      <c r="E24" s="154">
        <f>+E23+E15</f>
        <v>6260.48</v>
      </c>
      <c r="F24" s="154"/>
      <c r="G24" s="154">
        <f>+G23+G15</f>
        <v>37340.74</v>
      </c>
      <c r="H24" s="154"/>
      <c r="I24" s="341">
        <f>IF((E24+G24)&gt;0,(E24+G24)/'Operational Data'!$G$18, "-")</f>
        <v>0.22429995678745601</v>
      </c>
      <c r="J24" s="341"/>
    </row>
    <row r="25" spans="1:10" s="3" customFormat="1" ht="8.25" customHeight="1">
      <c r="A25" s="342"/>
      <c r="B25"/>
      <c r="C25"/>
      <c r="D25"/>
      <c r="E25"/>
      <c r="F25"/>
      <c r="G25"/>
    </row>
    <row r="26" spans="1:10" s="3" customFormat="1" ht="14.25" customHeight="1">
      <c r="A26" s="155" t="s">
        <v>174</v>
      </c>
      <c r="B26" s="155"/>
      <c r="C26" s="155"/>
      <c r="D26" s="155"/>
      <c r="E26" s="155"/>
      <c r="F26" s="155"/>
      <c r="G26" s="155"/>
      <c r="H26" s="155"/>
      <c r="I26" s="155"/>
      <c r="J26" s="155"/>
    </row>
    <row r="27" spans="1:10" s="3" customFormat="1" ht="14.25" customHeight="1">
      <c r="A27" s="156"/>
      <c r="B27" s="156"/>
      <c r="C27" s="156"/>
      <c r="D27" s="156"/>
      <c r="E27" s="156"/>
      <c r="F27" s="156"/>
      <c r="G27" s="156"/>
      <c r="H27" s="156"/>
      <c r="I27" s="156"/>
      <c r="J27" s="156"/>
    </row>
    <row r="28" spans="1:10" s="3" customFormat="1" ht="14.25" customHeight="1">
      <c r="A28" s="156"/>
      <c r="B28" s="156"/>
      <c r="C28" s="156"/>
      <c r="D28" s="156"/>
      <c r="E28" s="156"/>
      <c r="F28" s="156"/>
      <c r="G28" s="156"/>
      <c r="H28" s="156"/>
      <c r="I28" s="156"/>
      <c r="J28" s="156"/>
    </row>
    <row r="29" spans="1:10" s="3" customFormat="1" ht="14.25" customHeight="1">
      <c r="A29" s="156"/>
      <c r="B29" s="156"/>
      <c r="C29" s="156"/>
      <c r="D29" s="156"/>
      <c r="E29" s="156"/>
      <c r="F29" s="156"/>
      <c r="G29" s="156"/>
      <c r="H29" s="156"/>
      <c r="I29" s="156"/>
      <c r="J29" s="156"/>
    </row>
    <row r="30" spans="1:10" s="3" customFormat="1" ht="14.25" customHeight="1">
      <c r="A30" s="342"/>
      <c r="B30"/>
      <c r="C30"/>
      <c r="D30"/>
      <c r="E30"/>
      <c r="F30"/>
      <c r="G30"/>
    </row>
    <row r="31" spans="1:10" s="3" customFormat="1" ht="14.25" customHeight="1">
      <c r="A31" s="1">
        <f>+A1</f>
        <v>2022</v>
      </c>
      <c r="B31" s="34" t="s">
        <v>175</v>
      </c>
      <c r="C31" s="34"/>
      <c r="D31" s="34"/>
      <c r="E31" s="34"/>
      <c r="F31" s="34"/>
    </row>
    <row r="32" spans="1:10" s="3" customFormat="1" ht="24.75" customHeight="1">
      <c r="A32" s="148" t="s">
        <v>176</v>
      </c>
      <c r="B32" s="149"/>
      <c r="C32" s="149"/>
      <c r="D32" s="150"/>
      <c r="E32" s="38" t="s">
        <v>177</v>
      </c>
      <c r="F32" s="39"/>
      <c r="G32" s="40" t="s">
        <v>75</v>
      </c>
      <c r="H32" s="151" t="s">
        <v>178</v>
      </c>
      <c r="I32" s="152"/>
      <c r="J32" s="41" t="s">
        <v>75</v>
      </c>
    </row>
    <row r="33" spans="1:10" s="3" customFormat="1" ht="14.25" customHeight="1">
      <c r="A33" s="334" t="s">
        <v>114</v>
      </c>
      <c r="B33" s="335"/>
      <c r="C33" s="335"/>
      <c r="D33" s="343"/>
      <c r="E33" s="344">
        <f>+'Operational Data'!G36</f>
        <v>34277</v>
      </c>
      <c r="F33" s="338"/>
      <c r="G33" s="345" t="s">
        <v>179</v>
      </c>
      <c r="H33" s="346">
        <f>IF(E33&gt;0,E33/'Operational Data'!$G$18,"-")</f>
        <v>0.17633290120789349</v>
      </c>
      <c r="I33" s="347"/>
      <c r="J33" s="345" t="s">
        <v>180</v>
      </c>
    </row>
    <row r="34" spans="1:10" s="3" customFormat="1" ht="14.25" customHeight="1">
      <c r="A34" s="334" t="s">
        <v>181</v>
      </c>
      <c r="B34" s="335"/>
      <c r="C34" s="335"/>
      <c r="D34" s="343"/>
      <c r="E34" s="344">
        <f>+'Operational Data'!G37+'Operational Data'!G36</f>
        <v>67447</v>
      </c>
      <c r="F34" s="338"/>
      <c r="G34" s="345" t="s">
        <v>179</v>
      </c>
      <c r="H34" s="346">
        <f>IF(E34&gt;0,E34/'Operational Data'!$G$18,"-")</f>
        <v>0.34697100644072681</v>
      </c>
      <c r="I34" s="347"/>
      <c r="J34" s="345" t="s">
        <v>180</v>
      </c>
    </row>
    <row r="35" spans="1:10" s="3" customFormat="1" ht="14.25" customHeight="1">
      <c r="A35" s="334" t="s">
        <v>182</v>
      </c>
      <c r="B35" s="335"/>
      <c r="C35" s="335"/>
      <c r="D35" s="343"/>
      <c r="E35" s="344">
        <f>'Operational Data'!G39</f>
        <v>293000</v>
      </c>
      <c r="F35" s="338"/>
      <c r="G35" s="345" t="s">
        <v>183</v>
      </c>
      <c r="H35" s="346">
        <f>IF(E35&gt;0,E35/'Operational Data'!$G$18,"-")</f>
        <v>1.5072946889725702</v>
      </c>
      <c r="I35" s="347"/>
      <c r="J35" s="345" t="s">
        <v>184</v>
      </c>
    </row>
    <row r="36" spans="1:10" s="3" customFormat="1" ht="14.25" customHeight="1">
      <c r="A36" s="334" t="s">
        <v>121</v>
      </c>
      <c r="B36" s="335"/>
      <c r="C36" s="335"/>
      <c r="D36" s="343"/>
      <c r="E36" s="344">
        <f>+'Operational Data'!G40</f>
        <v>12000</v>
      </c>
      <c r="F36" s="338"/>
      <c r="G36" s="345" t="s">
        <v>183</v>
      </c>
      <c r="H36" s="346">
        <f>IF(E36&gt;0,E36/'Operational Data'!$G$18,"-")</f>
        <v>6.1732205691709362E-2</v>
      </c>
      <c r="I36" s="347"/>
      <c r="J36" s="345" t="s">
        <v>184</v>
      </c>
    </row>
    <row r="37" spans="1:10" s="3" customFormat="1" ht="14.25" customHeight="1">
      <c r="A37" s="334" t="s">
        <v>185</v>
      </c>
      <c r="B37" s="335"/>
      <c r="C37" s="335"/>
      <c r="D37" s="343"/>
      <c r="E37" s="344">
        <f>+'Operational Data'!G41</f>
        <v>2102200</v>
      </c>
      <c r="F37" s="338"/>
      <c r="G37" s="345" t="s">
        <v>183</v>
      </c>
      <c r="H37" s="346">
        <f>IF(E37&gt;0,E37/'Operational Data'!$G$18,"-")</f>
        <v>10.814453567092619</v>
      </c>
      <c r="I37" s="347"/>
      <c r="J37" s="345" t="s">
        <v>184</v>
      </c>
    </row>
    <row r="38" spans="1:10" s="3" customFormat="1" ht="14.25" customHeight="1">
      <c r="A38" s="171"/>
      <c r="B38" s="172"/>
      <c r="C38" s="172"/>
      <c r="D38" s="177"/>
      <c r="E38" s="348"/>
      <c r="F38" s="349"/>
      <c r="G38" s="350"/>
      <c r="H38" s="351"/>
      <c r="I38" s="352"/>
      <c r="J38" s="350"/>
    </row>
    <row r="39" spans="1:10" s="3" customFormat="1" ht="14.25" customHeight="1">
      <c r="A39" s="155" t="s">
        <v>174</v>
      </c>
      <c r="B39" s="155"/>
      <c r="C39" s="155"/>
      <c r="D39" s="155"/>
      <c r="E39" s="155"/>
      <c r="F39" s="155"/>
      <c r="G39" s="155"/>
      <c r="H39" s="155"/>
      <c r="I39" s="155"/>
      <c r="J39" s="155"/>
    </row>
    <row r="40" spans="1:10" s="3" customFormat="1" ht="14.25" customHeight="1">
      <c r="A40" s="156"/>
      <c r="B40" s="156"/>
      <c r="C40" s="156"/>
      <c r="D40" s="156"/>
      <c r="E40" s="156"/>
      <c r="F40" s="156"/>
      <c r="G40" s="156"/>
      <c r="H40" s="156"/>
      <c r="I40" s="156"/>
      <c r="J40" s="156"/>
    </row>
    <row r="41" spans="1:10" s="3" customFormat="1" ht="14.25" customHeight="1">
      <c r="A41" s="156"/>
      <c r="B41" s="156"/>
      <c r="C41" s="156"/>
      <c r="D41" s="156"/>
      <c r="E41" s="156"/>
      <c r="F41" s="156"/>
      <c r="G41" s="156"/>
      <c r="H41" s="156"/>
      <c r="I41" s="156"/>
      <c r="J41" s="156"/>
    </row>
    <row r="42" spans="1:10" s="3" customFormat="1" ht="14.25" customHeight="1">
      <c r="A42" s="42"/>
      <c r="B42" s="42"/>
      <c r="C42" s="42"/>
      <c r="D42" s="42"/>
      <c r="E42" s="42"/>
      <c r="F42" s="42"/>
      <c r="G42" s="42"/>
      <c r="H42" s="42"/>
      <c r="I42" s="42"/>
      <c r="J42" s="42"/>
    </row>
    <row r="43" spans="1:10" s="3" customFormat="1" ht="14.25" customHeight="1">
      <c r="A43" s="34">
        <f>+A31</f>
        <v>2022</v>
      </c>
      <c r="B43" s="34" t="s">
        <v>186</v>
      </c>
      <c r="C43" s="34"/>
      <c r="D43" s="34"/>
      <c r="E43" s="34"/>
      <c r="F43" s="34"/>
      <c r="G43" s="93"/>
    </row>
    <row r="44" spans="1:10" ht="14.25" customHeight="1">
      <c r="A44" s="157" t="s">
        <v>187</v>
      </c>
      <c r="B44" s="157"/>
      <c r="C44" s="157" t="s">
        <v>188</v>
      </c>
      <c r="D44" s="157"/>
      <c r="E44" s="157"/>
      <c r="F44" s="157"/>
      <c r="G44" s="157"/>
      <c r="H44" s="157"/>
      <c r="I44" s="157"/>
      <c r="J44" s="157"/>
    </row>
    <row r="45" spans="1:10" ht="14.25" customHeight="1">
      <c r="A45" s="43"/>
      <c r="B45" s="43"/>
      <c r="C45" s="36" t="s">
        <v>189</v>
      </c>
      <c r="D45" s="36" t="s">
        <v>190</v>
      </c>
      <c r="E45" s="36"/>
      <c r="F45" s="36"/>
      <c r="G45" s="36"/>
      <c r="H45" s="36"/>
      <c r="I45" s="36" t="s">
        <v>191</v>
      </c>
      <c r="J45" s="36"/>
    </row>
    <row r="46" spans="1:10" ht="31.5" customHeight="1">
      <c r="A46" s="206" t="s">
        <v>192</v>
      </c>
      <c r="B46" s="206"/>
      <c r="C46" s="109">
        <f>'Operational Data'!G51</f>
        <v>7910.84</v>
      </c>
      <c r="D46" s="109">
        <f>'Operational Data'!G52</f>
        <v>8032.86</v>
      </c>
      <c r="E46" s="109"/>
      <c r="F46" s="353"/>
      <c r="G46" s="353"/>
      <c r="H46" s="353"/>
      <c r="I46" s="353">
        <f>'Operational Data'!G54</f>
        <v>7744.85</v>
      </c>
      <c r="J46" s="353"/>
    </row>
    <row r="47" spans="1:10" ht="43.5" customHeight="1">
      <c r="A47" s="206" t="s">
        <v>193</v>
      </c>
      <c r="B47" s="206"/>
      <c r="C47" s="109">
        <v>4</v>
      </c>
      <c r="D47" s="109">
        <v>1</v>
      </c>
      <c r="E47" s="109"/>
      <c r="F47" s="353"/>
      <c r="G47" s="353"/>
      <c r="H47" s="353"/>
      <c r="I47" s="353"/>
      <c r="J47" s="353"/>
    </row>
    <row r="48" spans="1:10" ht="42.75" customHeight="1">
      <c r="A48" s="206" t="s">
        <v>194</v>
      </c>
      <c r="B48" s="206"/>
      <c r="C48" s="109">
        <v>3</v>
      </c>
      <c r="D48" s="109">
        <v>3</v>
      </c>
      <c r="E48" s="109"/>
      <c r="F48" s="353"/>
      <c r="G48" s="353"/>
      <c r="H48" s="353"/>
      <c r="I48" s="353"/>
      <c r="J48" s="353"/>
    </row>
    <row r="49" spans="1:10" ht="8.25" customHeight="1">
      <c r="A49" s="93"/>
      <c r="B49" s="93"/>
      <c r="C49" s="93"/>
      <c r="D49" s="93"/>
      <c r="E49" s="93"/>
      <c r="F49" s="93"/>
      <c r="G49" s="93"/>
      <c r="H49" s="93"/>
      <c r="I49" s="93"/>
      <c r="J49" s="93"/>
    </row>
    <row r="50" spans="1:10">
      <c r="A50" s="155" t="s">
        <v>174</v>
      </c>
      <c r="B50" s="155"/>
      <c r="C50" s="155"/>
      <c r="D50" s="155"/>
      <c r="E50" s="155"/>
      <c r="F50" s="155"/>
      <c r="G50" s="155"/>
      <c r="H50" s="155"/>
      <c r="I50" s="155"/>
      <c r="J50" s="155"/>
    </row>
    <row r="51" spans="1:10">
      <c r="A51" s="156"/>
      <c r="B51" s="156"/>
      <c r="C51" s="156"/>
      <c r="D51" s="156"/>
      <c r="E51" s="156"/>
      <c r="F51" s="156"/>
      <c r="G51" s="156"/>
      <c r="H51" s="156"/>
      <c r="I51" s="156"/>
      <c r="J51" s="156"/>
    </row>
    <row r="52" spans="1:10">
      <c r="A52" s="156"/>
      <c r="B52" s="156"/>
      <c r="C52" s="156"/>
      <c r="D52" s="156"/>
      <c r="E52" s="156"/>
      <c r="F52" s="156"/>
      <c r="G52" s="156"/>
      <c r="H52" s="156"/>
      <c r="I52" s="156"/>
      <c r="J52" s="156"/>
    </row>
    <row r="54" spans="1:10">
      <c r="A54" s="3" t="s">
        <v>195</v>
      </c>
      <c r="B54" s="44"/>
      <c r="C54" s="44"/>
      <c r="D54" s="44"/>
      <c r="E54" s="44"/>
      <c r="F54" s="3"/>
      <c r="G54" s="3" t="s">
        <v>196</v>
      </c>
      <c r="H54" s="44"/>
      <c r="I54" s="44"/>
      <c r="J54" s="93"/>
    </row>
    <row r="62" spans="1:10">
      <c r="A62" s="93"/>
      <c r="B62" s="93"/>
      <c r="C62" s="93"/>
      <c r="D62" s="93"/>
      <c r="E62" s="93"/>
      <c r="F62" s="3"/>
      <c r="G62" s="93"/>
      <c r="H62" s="93"/>
      <c r="I62" s="93"/>
      <c r="J62" s="9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4"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view="pageBreakPreview" zoomScale="60" zoomScaleNormal="100" workbookViewId="0">
      <selection activeCell="U21" sqref="U21"/>
    </sheetView>
  </sheetViews>
  <sheetFormatPr defaultColWidth="9.28515625" defaultRowHeight="15"/>
  <cols>
    <col min="1" max="1" width="9.42578125" style="2" bestFit="1" customWidth="1"/>
    <col min="2" max="16384" width="9.28515625" style="2"/>
  </cols>
  <sheetData>
    <row r="1" spans="1:10" ht="15.6">
      <c r="A1" s="33">
        <f>+'Cover Page'!C39</f>
        <v>2022</v>
      </c>
      <c r="B1" s="34" t="s">
        <v>197</v>
      </c>
      <c r="C1" s="34"/>
      <c r="D1" s="34"/>
      <c r="E1" s="34"/>
      <c r="F1" s="34"/>
      <c r="G1" s="34"/>
      <c r="H1" s="34"/>
      <c r="I1" s="34"/>
      <c r="J1" s="34"/>
    </row>
    <row r="3" spans="1:10" s="3" customFormat="1" ht="15" customHeight="1">
      <c r="A3" s="3" t="str">
        <f>+'Cover Page'!B31</f>
        <v>Permit EPR/HP3341QV</v>
      </c>
      <c r="F3" s="3" t="s">
        <v>153</v>
      </c>
      <c r="G3" s="158" t="s">
        <v>64</v>
      </c>
      <c r="H3" s="158"/>
      <c r="I3" s="158"/>
    </row>
    <row r="4" spans="1:10" s="3" customFormat="1" ht="13.9"/>
    <row r="5" spans="1:10" s="3" customFormat="1" ht="13.9">
      <c r="A5" s="3" t="s">
        <v>154</v>
      </c>
      <c r="B5" s="144" t="str">
        <f>+'Cover Page'!B33:I33</f>
        <v>Stoke Energy from Waste Facility</v>
      </c>
      <c r="C5" s="144"/>
      <c r="D5" s="144"/>
      <c r="E5" s="144"/>
      <c r="F5" s="3" t="s">
        <v>155</v>
      </c>
      <c r="G5" s="3" t="s">
        <v>198</v>
      </c>
    </row>
    <row r="6" spans="1:10" s="3" customFormat="1" ht="13.9"/>
    <row r="7" spans="1:10" s="3" customFormat="1" ht="15.75" customHeight="1">
      <c r="A7" s="3" t="s">
        <v>157</v>
      </c>
      <c r="D7" s="159">
        <f>+'Perf. Form 1'!D6:E6</f>
        <v>44562</v>
      </c>
      <c r="E7" s="159"/>
      <c r="F7" s="35" t="s">
        <v>158</v>
      </c>
      <c r="G7" s="159">
        <f>+'Perf. Form 1'!G6:H6</f>
        <v>44926</v>
      </c>
      <c r="H7" s="159"/>
    </row>
    <row r="8" spans="1:10" s="3" customFormat="1" ht="14.45">
      <c r="B8"/>
      <c r="C8"/>
      <c r="D8"/>
    </row>
    <row r="9" spans="1:10" s="3" customFormat="1" ht="37.5" customHeight="1">
      <c r="A9" s="157" t="s">
        <v>199</v>
      </c>
      <c r="B9" s="157"/>
      <c r="C9" s="157"/>
      <c r="D9" s="147" t="s">
        <v>200</v>
      </c>
      <c r="E9" s="147"/>
      <c r="F9" s="36" t="s">
        <v>75</v>
      </c>
      <c r="G9" s="157" t="s">
        <v>201</v>
      </c>
      <c r="H9" s="157"/>
      <c r="I9" s="157"/>
    </row>
    <row r="10" spans="1:10" s="3" customFormat="1" ht="24.75" customHeight="1">
      <c r="A10" s="206" t="s">
        <v>202</v>
      </c>
      <c r="B10" s="206"/>
      <c r="C10" s="206"/>
      <c r="D10" s="354">
        <f>+'Operational Data'!G21</f>
        <v>86995.98</v>
      </c>
      <c r="E10" s="354"/>
      <c r="F10" s="355" t="s">
        <v>98</v>
      </c>
      <c r="G10" s="356">
        <f>+'Operational Data'!H21</f>
        <v>447.53781097598619</v>
      </c>
      <c r="H10" s="356"/>
      <c r="I10" s="356"/>
    </row>
    <row r="11" spans="1:10" s="3" customFormat="1" ht="24.75" customHeight="1">
      <c r="A11" s="206" t="s">
        <v>203</v>
      </c>
      <c r="B11" s="206"/>
      <c r="C11" s="206"/>
      <c r="D11" s="357">
        <f>+'Operational Data'!G24</f>
        <v>1120.8700000000001</v>
      </c>
      <c r="E11" s="357"/>
      <c r="F11" s="355" t="s">
        <v>98</v>
      </c>
      <c r="G11" s="356">
        <f>+'Operational Data'!H24</f>
        <v>5.7661481161388579</v>
      </c>
      <c r="H11" s="356"/>
      <c r="I11" s="356"/>
    </row>
    <row r="12" spans="1:10" s="3" customFormat="1" ht="24.75" customHeight="1">
      <c r="A12" s="206" t="s">
        <v>204</v>
      </c>
      <c r="B12" s="206"/>
      <c r="C12" s="206"/>
      <c r="D12" s="354">
        <f>+'Operational Data'!G22</f>
        <v>73695.47</v>
      </c>
      <c r="E12" s="354"/>
      <c r="F12" s="355" t="s">
        <v>98</v>
      </c>
      <c r="G12" s="356">
        <f>+'Operational Data'!H22</f>
        <v>379.11532604893307</v>
      </c>
      <c r="H12" s="356"/>
      <c r="I12" s="356"/>
    </row>
    <row r="13" spans="1:10" s="3" customFormat="1" ht="24.75" customHeight="1">
      <c r="A13" s="206" t="s">
        <v>205</v>
      </c>
      <c r="B13" s="206"/>
      <c r="C13" s="206"/>
      <c r="D13" s="358"/>
      <c r="E13" s="358"/>
      <c r="F13" s="355" t="s">
        <v>83</v>
      </c>
      <c r="G13" s="359"/>
      <c r="H13" s="359"/>
      <c r="I13" s="359"/>
    </row>
    <row r="14" spans="1:10" s="3" customFormat="1" ht="24.75" customHeight="1">
      <c r="A14" s="206" t="s">
        <v>206</v>
      </c>
      <c r="B14" s="206"/>
      <c r="C14" s="206"/>
      <c r="D14" s="354">
        <f>+'Operational Data'!G27</f>
        <v>0</v>
      </c>
      <c r="E14" s="354"/>
      <c r="F14" s="355" t="s">
        <v>207</v>
      </c>
      <c r="G14" s="356" t="str">
        <f>+'Operational Data'!H27</f>
        <v>-</v>
      </c>
      <c r="H14" s="356"/>
      <c r="I14" s="356"/>
    </row>
    <row r="15" spans="1:10" s="3" customFormat="1" ht="24.75" customHeight="1">
      <c r="A15" s="331"/>
      <c r="B15" s="331"/>
      <c r="C15" s="331"/>
      <c r="D15" s="331"/>
      <c r="E15" s="331"/>
      <c r="F15" s="360"/>
      <c r="G15" s="195"/>
      <c r="H15" s="195"/>
      <c r="I15" s="195"/>
    </row>
    <row r="16" spans="1:10" s="3" customFormat="1" ht="24.75" customHeight="1">
      <c r="A16" s="331"/>
      <c r="B16" s="331"/>
      <c r="C16" s="331"/>
      <c r="D16" s="331"/>
      <c r="E16" s="331"/>
      <c r="F16" s="360"/>
      <c r="G16" s="195"/>
      <c r="H16" s="195"/>
      <c r="I16" s="195"/>
    </row>
    <row r="17" spans="1:9" s="3" customFormat="1" ht="14.45">
      <c r="A17" s="45"/>
      <c r="B17"/>
      <c r="C17"/>
      <c r="D17"/>
    </row>
    <row r="18" spans="1:9" s="3" customFormat="1" ht="24" customHeight="1">
      <c r="A18" s="155" t="s">
        <v>174</v>
      </c>
      <c r="B18" s="155"/>
      <c r="C18" s="155"/>
      <c r="D18" s="155"/>
      <c r="E18" s="155"/>
      <c r="F18" s="155"/>
      <c r="G18" s="155"/>
      <c r="H18" s="155"/>
      <c r="I18" s="155"/>
    </row>
    <row r="19" spans="1:9" s="3" customFormat="1" ht="13.9">
      <c r="A19" s="160"/>
      <c r="B19" s="160"/>
      <c r="C19" s="160"/>
      <c r="D19" s="160"/>
      <c r="E19" s="160"/>
      <c r="F19" s="160"/>
      <c r="G19" s="160"/>
      <c r="H19" s="160"/>
      <c r="I19" s="160"/>
    </row>
    <row r="20" spans="1:9" s="3" customFormat="1" ht="13.9">
      <c r="A20" s="160"/>
      <c r="B20" s="160"/>
      <c r="C20" s="160"/>
      <c r="D20" s="160"/>
      <c r="E20" s="160"/>
      <c r="F20" s="160"/>
      <c r="G20" s="160"/>
      <c r="H20" s="160"/>
      <c r="I20" s="160"/>
    </row>
    <row r="21" spans="1:9" s="3" customFormat="1" ht="13.9">
      <c r="A21" s="160"/>
      <c r="B21" s="160"/>
      <c r="C21" s="160"/>
      <c r="D21" s="160"/>
      <c r="E21" s="160"/>
      <c r="F21" s="160"/>
      <c r="G21" s="160"/>
      <c r="H21" s="160"/>
      <c r="I21" s="160"/>
    </row>
    <row r="22" spans="1:9" s="3" customFormat="1" ht="13.9">
      <c r="A22" s="160"/>
      <c r="B22" s="160"/>
      <c r="C22" s="160"/>
      <c r="D22" s="160"/>
      <c r="E22" s="160"/>
      <c r="F22" s="160"/>
      <c r="G22" s="160"/>
      <c r="H22" s="160"/>
      <c r="I22" s="160"/>
    </row>
    <row r="23" spans="1:9" s="3" customFormat="1" ht="13.9">
      <c r="A23" s="160"/>
      <c r="B23" s="160"/>
      <c r="C23" s="160"/>
      <c r="D23" s="160"/>
      <c r="E23" s="160"/>
      <c r="F23" s="160"/>
      <c r="G23" s="160"/>
      <c r="H23" s="160"/>
      <c r="I23" s="160"/>
    </row>
    <row r="24" spans="1:9" s="3" customFormat="1" ht="13.9">
      <c r="A24" s="160"/>
      <c r="B24" s="160"/>
      <c r="C24" s="160"/>
      <c r="D24" s="160"/>
      <c r="E24" s="160"/>
      <c r="F24" s="160"/>
      <c r="G24" s="160"/>
      <c r="H24" s="160"/>
      <c r="I24" s="160"/>
    </row>
    <row r="25" spans="1:9" s="3" customFormat="1" ht="13.9">
      <c r="A25" s="160"/>
      <c r="B25" s="160"/>
      <c r="C25" s="160"/>
      <c r="D25" s="160"/>
      <c r="E25" s="160"/>
      <c r="F25" s="160"/>
      <c r="G25" s="160"/>
      <c r="H25" s="160"/>
      <c r="I25" s="160"/>
    </row>
    <row r="26" spans="1:9" s="3" customFormat="1" ht="13.9">
      <c r="A26" s="42"/>
      <c r="B26" s="42"/>
      <c r="C26" s="42"/>
      <c r="D26" s="42"/>
      <c r="E26" s="42"/>
      <c r="F26" s="42"/>
      <c r="G26" s="42"/>
      <c r="H26" s="42"/>
      <c r="I26" s="42"/>
    </row>
    <row r="27" spans="1:9" s="3" customFormat="1" ht="13.9"/>
    <row r="28" spans="1:9" s="3" customFormat="1" ht="13.9"/>
    <row r="29" spans="1:9" s="3" customFormat="1" ht="13.9">
      <c r="A29" s="3" t="s">
        <v>195</v>
      </c>
      <c r="B29" s="44"/>
      <c r="C29" s="44"/>
      <c r="D29" s="44"/>
      <c r="E29" s="44"/>
      <c r="G29" s="3" t="s">
        <v>196</v>
      </c>
      <c r="H29" s="44"/>
      <c r="I29" s="44"/>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3"/>
      <c r="B34" s="93"/>
      <c r="C34" s="93"/>
      <c r="D34" s="93"/>
      <c r="E34" s="93"/>
      <c r="F34" s="93"/>
      <c r="G34" s="93"/>
      <c r="H34" s="93"/>
      <c r="I34" s="93"/>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81"/>
  <sheetViews>
    <sheetView showGridLines="0" topLeftCell="B1" zoomScaleNormal="100" workbookViewId="0">
      <selection activeCell="U21" sqref="U21"/>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3" t="str">
        <f>+'Cover Page'!$B$29</f>
        <v>Annual Performance Report 2022</v>
      </c>
      <c r="B1" s="93"/>
      <c r="C1" s="93"/>
      <c r="D1" s="93"/>
      <c r="E1" s="93" t="str">
        <f>+'Cover Page'!$B$33</f>
        <v>Stoke Energy from Waste Facility</v>
      </c>
      <c r="F1" s="93"/>
      <c r="G1" s="93"/>
      <c r="H1" s="93"/>
      <c r="I1" s="93"/>
      <c r="J1" s="93"/>
      <c r="K1" s="93"/>
      <c r="L1" s="93"/>
      <c r="M1" s="93"/>
      <c r="N1" s="93"/>
      <c r="O1" s="93"/>
    </row>
    <row r="3" spans="1:15" ht="15.6">
      <c r="A3" s="1" t="s">
        <v>208</v>
      </c>
      <c r="B3" s="93"/>
      <c r="C3" s="93"/>
      <c r="D3" s="93"/>
      <c r="E3" s="93"/>
      <c r="F3" s="93"/>
      <c r="G3" s="93"/>
      <c r="H3" s="93"/>
      <c r="I3" s="93"/>
      <c r="J3" s="93"/>
      <c r="K3" s="93"/>
      <c r="L3" s="93"/>
      <c r="M3" s="93"/>
      <c r="N3" s="93"/>
      <c r="O3" s="93"/>
    </row>
    <row r="4" spans="1:15" ht="15.6">
      <c r="A4" s="1"/>
      <c r="B4" s="93"/>
      <c r="C4" s="93"/>
      <c r="D4" s="93"/>
      <c r="E4" s="93"/>
      <c r="F4" s="93"/>
      <c r="G4" s="93"/>
      <c r="H4" s="93"/>
      <c r="I4" s="93"/>
      <c r="J4" s="93"/>
      <c r="K4" s="93"/>
      <c r="L4" s="93"/>
      <c r="M4" s="93"/>
      <c r="N4" s="93"/>
      <c r="O4" s="93"/>
    </row>
    <row r="5" spans="1:15">
      <c r="A5" s="9" t="s">
        <v>209</v>
      </c>
      <c r="B5" s="93"/>
      <c r="C5" s="93"/>
      <c r="D5" s="93"/>
      <c r="E5" s="93"/>
      <c r="F5" s="93"/>
      <c r="G5" s="93"/>
      <c r="H5" s="93"/>
      <c r="I5" s="93"/>
      <c r="J5" s="93"/>
      <c r="K5" s="93"/>
      <c r="L5" s="93"/>
      <c r="M5" s="93"/>
      <c r="N5" s="93"/>
      <c r="O5" s="93"/>
    </row>
    <row r="6" spans="1:15">
      <c r="A6" s="9"/>
      <c r="B6" s="93"/>
      <c r="C6" s="93"/>
      <c r="D6" s="93"/>
      <c r="E6" s="93"/>
      <c r="F6" s="93"/>
      <c r="G6" s="93"/>
      <c r="H6" s="93"/>
      <c r="I6" s="93"/>
      <c r="J6" s="93"/>
      <c r="K6" s="93"/>
      <c r="L6" s="93"/>
      <c r="M6" s="93"/>
      <c r="N6" s="93"/>
      <c r="O6" s="93"/>
    </row>
    <row r="7" spans="1:15">
      <c r="A7" s="96" t="s">
        <v>210</v>
      </c>
      <c r="B7" s="93"/>
      <c r="C7" s="93"/>
      <c r="D7" s="93"/>
      <c r="E7" s="93"/>
      <c r="F7" s="93"/>
      <c r="G7" s="93"/>
      <c r="H7" s="93"/>
      <c r="I7" s="93"/>
      <c r="J7" s="93"/>
      <c r="K7" s="93"/>
      <c r="L7" s="93"/>
      <c r="M7" s="93"/>
      <c r="N7" s="93"/>
      <c r="O7" s="93"/>
    </row>
    <row r="8" spans="1:15" s="3" customFormat="1" ht="25.5" customHeight="1">
      <c r="A8" s="182" t="s">
        <v>211</v>
      </c>
      <c r="B8" s="183"/>
      <c r="C8" s="182" t="s">
        <v>212</v>
      </c>
      <c r="D8" s="184"/>
      <c r="E8" s="184"/>
      <c r="F8" s="184"/>
      <c r="G8" s="184"/>
      <c r="H8" s="184"/>
      <c r="I8" s="183"/>
      <c r="L8" s="81" t="s">
        <v>3</v>
      </c>
    </row>
    <row r="9" spans="1:15" s="3" customFormat="1" ht="22.5" customHeight="1">
      <c r="A9" s="185"/>
      <c r="B9" s="186"/>
      <c r="C9" s="187" t="s">
        <v>213</v>
      </c>
      <c r="D9" s="187"/>
      <c r="E9" s="187"/>
      <c r="F9" s="187" t="s">
        <v>214</v>
      </c>
      <c r="G9" s="187"/>
      <c r="H9" s="187"/>
      <c r="I9" s="187"/>
      <c r="L9" s="125" t="s">
        <v>215</v>
      </c>
      <c r="M9" s="125"/>
      <c r="N9" s="125"/>
      <c r="O9" s="125"/>
    </row>
    <row r="10" spans="1:15" s="3" customFormat="1" ht="22.5" customHeight="1">
      <c r="A10" s="179" t="s">
        <v>216</v>
      </c>
      <c r="B10" s="179"/>
      <c r="C10" s="180">
        <v>1</v>
      </c>
      <c r="D10" s="361"/>
      <c r="E10" s="361"/>
      <c r="F10" s="180">
        <v>1</v>
      </c>
      <c r="G10" s="361"/>
      <c r="H10" s="361"/>
      <c r="I10" s="361"/>
      <c r="L10" s="125"/>
      <c r="M10" s="125"/>
      <c r="N10" s="125"/>
      <c r="O10" s="125"/>
    </row>
    <row r="11" spans="1:15" s="3" customFormat="1" ht="22.5" customHeight="1">
      <c r="A11" s="179" t="s">
        <v>217</v>
      </c>
      <c r="B11" s="179"/>
      <c r="C11" s="180">
        <v>1</v>
      </c>
      <c r="D11" s="361"/>
      <c r="E11" s="361"/>
      <c r="F11" s="180">
        <v>1</v>
      </c>
      <c r="G11" s="361"/>
      <c r="H11" s="361"/>
      <c r="I11" s="361"/>
      <c r="L11" s="125"/>
      <c r="M11" s="125"/>
      <c r="N11" s="125"/>
      <c r="O11" s="125"/>
    </row>
    <row r="12" spans="1:15" s="3" customFormat="1" ht="22.5" customHeight="1">
      <c r="A12" s="179" t="s">
        <v>218</v>
      </c>
      <c r="B12" s="179"/>
      <c r="C12" s="180">
        <v>1</v>
      </c>
      <c r="D12" s="361"/>
      <c r="E12" s="361"/>
      <c r="F12" s="180">
        <v>1</v>
      </c>
      <c r="G12" s="361"/>
      <c r="H12" s="361"/>
      <c r="I12" s="361"/>
      <c r="L12" s="125"/>
      <c r="M12" s="125"/>
      <c r="N12" s="125"/>
      <c r="O12" s="125"/>
    </row>
    <row r="13" spans="1:15" s="3" customFormat="1" ht="22.5" customHeight="1">
      <c r="A13" s="179" t="s">
        <v>219</v>
      </c>
      <c r="B13" s="179"/>
      <c r="C13" s="181">
        <v>1</v>
      </c>
      <c r="D13" s="361"/>
      <c r="E13" s="361"/>
      <c r="F13" s="180">
        <v>1</v>
      </c>
      <c r="G13" s="361"/>
      <c r="H13" s="361"/>
      <c r="I13" s="361"/>
      <c r="L13" s="125"/>
      <c r="M13" s="125"/>
      <c r="N13" s="125"/>
      <c r="O13" s="125"/>
    </row>
    <row r="14" spans="1:15" s="3" customFormat="1" ht="22.5" customHeight="1">
      <c r="A14" s="179" t="s">
        <v>220</v>
      </c>
      <c r="B14" s="179"/>
      <c r="C14" s="180">
        <v>1</v>
      </c>
      <c r="D14" s="361"/>
      <c r="E14" s="361"/>
      <c r="F14" s="180">
        <v>1</v>
      </c>
      <c r="G14" s="361"/>
      <c r="H14" s="361"/>
      <c r="I14" s="361"/>
      <c r="L14" s="125"/>
      <c r="M14" s="125"/>
      <c r="N14" s="125"/>
      <c r="O14" s="125"/>
    </row>
    <row r="15" spans="1:15" s="3" customFormat="1" ht="22.5" customHeight="1">
      <c r="A15" s="179" t="s">
        <v>221</v>
      </c>
      <c r="B15" s="179"/>
      <c r="C15" s="180">
        <v>0.99939999999999996</v>
      </c>
      <c r="D15" s="361"/>
      <c r="E15" s="361"/>
      <c r="F15" s="180">
        <v>0.98080000000000001</v>
      </c>
      <c r="G15" s="361"/>
      <c r="H15" s="361"/>
      <c r="I15" s="361"/>
      <c r="L15" s="125"/>
      <c r="M15" s="125"/>
      <c r="N15" s="125"/>
      <c r="O15" s="125"/>
    </row>
    <row r="16" spans="1:15" s="3" customFormat="1" ht="22.5" customHeight="1">
      <c r="A16" s="179" t="s">
        <v>222</v>
      </c>
      <c r="B16" s="179"/>
      <c r="C16" s="180">
        <v>1</v>
      </c>
      <c r="D16" s="361"/>
      <c r="E16" s="361"/>
      <c r="F16" s="180">
        <v>1</v>
      </c>
      <c r="G16" s="361"/>
      <c r="H16" s="361"/>
      <c r="I16" s="361"/>
      <c r="L16" s="125"/>
      <c r="M16" s="125"/>
      <c r="N16" s="125"/>
      <c r="O16" s="125"/>
    </row>
    <row r="17" spans="1:15" s="3" customFormat="1" ht="22.5" customHeight="1">
      <c r="A17" s="188" t="s">
        <v>223</v>
      </c>
      <c r="B17" s="189"/>
      <c r="C17" s="180">
        <v>0.99990000000000001</v>
      </c>
      <c r="D17" s="361"/>
      <c r="E17" s="361"/>
      <c r="F17" s="180">
        <v>0.99729999999999996</v>
      </c>
      <c r="G17" s="361"/>
      <c r="H17" s="361"/>
      <c r="I17" s="361"/>
      <c r="L17" s="125"/>
      <c r="M17" s="125"/>
      <c r="N17" s="125"/>
      <c r="O17" s="125"/>
    </row>
    <row r="18" spans="1:15" s="3" customFormat="1" ht="13.9">
      <c r="L18" s="125"/>
      <c r="M18" s="125"/>
      <c r="N18" s="125"/>
      <c r="O18" s="125"/>
    </row>
    <row r="19" spans="1:15" s="45" customFormat="1" ht="21.75" customHeight="1">
      <c r="A19" s="190" t="s">
        <v>224</v>
      </c>
      <c r="B19" s="191"/>
      <c r="C19" s="191"/>
      <c r="D19" s="191"/>
      <c r="E19" s="191"/>
      <c r="F19" s="191"/>
      <c r="G19" s="191"/>
      <c r="H19" s="191"/>
      <c r="I19" s="191"/>
      <c r="J19" s="191"/>
      <c r="K19" s="192"/>
    </row>
    <row r="20" spans="1:15" s="3" customFormat="1" ht="38.25" customHeight="1">
      <c r="A20" s="46" t="s">
        <v>52</v>
      </c>
      <c r="B20" s="193" t="s">
        <v>225</v>
      </c>
      <c r="C20" s="193"/>
      <c r="D20" s="193"/>
      <c r="E20" s="193" t="s">
        <v>226</v>
      </c>
      <c r="F20" s="193"/>
      <c r="G20" s="193"/>
      <c r="H20" s="193" t="s">
        <v>227</v>
      </c>
      <c r="I20" s="193"/>
      <c r="J20" s="194"/>
      <c r="K20" s="72"/>
    </row>
    <row r="21" spans="1:15" s="3" customFormat="1" ht="13.9">
      <c r="A21" s="362">
        <v>44608</v>
      </c>
      <c r="B21" s="173" t="s">
        <v>228</v>
      </c>
      <c r="C21" s="173"/>
      <c r="D21" s="173"/>
      <c r="E21" s="162" t="s">
        <v>229</v>
      </c>
      <c r="F21" s="163"/>
      <c r="G21" s="164"/>
      <c r="H21" s="162" t="s">
        <v>230</v>
      </c>
      <c r="I21" s="163"/>
      <c r="J21" s="164"/>
      <c r="K21" s="72"/>
    </row>
    <row r="22" spans="1:15" s="3" customFormat="1" ht="13.9">
      <c r="A22" s="362">
        <v>44608</v>
      </c>
      <c r="B22" s="173" t="s">
        <v>231</v>
      </c>
      <c r="C22" s="173"/>
      <c r="D22" s="173"/>
      <c r="E22" s="165"/>
      <c r="F22" s="166"/>
      <c r="G22" s="167"/>
      <c r="H22" s="165"/>
      <c r="I22" s="166"/>
      <c r="J22" s="167"/>
      <c r="K22" s="72"/>
    </row>
    <row r="23" spans="1:15" s="3" customFormat="1" ht="13.9" customHeight="1">
      <c r="A23" s="362">
        <v>44608</v>
      </c>
      <c r="B23" s="173" t="s">
        <v>232</v>
      </c>
      <c r="C23" s="173"/>
      <c r="D23" s="173"/>
      <c r="E23" s="168"/>
      <c r="F23" s="169"/>
      <c r="G23" s="170"/>
      <c r="H23" s="168"/>
      <c r="I23" s="169"/>
      <c r="J23" s="170"/>
      <c r="K23" s="72"/>
    </row>
    <row r="24" spans="1:15" s="3" customFormat="1" ht="28.9" customHeight="1">
      <c r="A24" s="362">
        <v>44613</v>
      </c>
      <c r="B24" s="173" t="s">
        <v>233</v>
      </c>
      <c r="C24" s="173"/>
      <c r="D24" s="173"/>
      <c r="E24" s="161" t="s">
        <v>234</v>
      </c>
      <c r="F24" s="161"/>
      <c r="G24" s="161"/>
      <c r="H24" s="161" t="s">
        <v>235</v>
      </c>
      <c r="I24" s="161"/>
      <c r="J24" s="363"/>
      <c r="K24" s="72"/>
    </row>
    <row r="25" spans="1:15" s="3" customFormat="1" ht="13.9">
      <c r="A25" s="362">
        <v>44619</v>
      </c>
      <c r="B25" s="173" t="s">
        <v>236</v>
      </c>
      <c r="C25" s="173"/>
      <c r="D25" s="173"/>
      <c r="E25" s="162" t="s">
        <v>237</v>
      </c>
      <c r="F25" s="163"/>
      <c r="G25" s="164"/>
      <c r="H25" s="162" t="s">
        <v>238</v>
      </c>
      <c r="I25" s="164"/>
      <c r="J25" s="363"/>
      <c r="K25" s="72"/>
    </row>
    <row r="26" spans="1:15" s="3" customFormat="1" ht="34.9" customHeight="1">
      <c r="A26" s="362">
        <v>44619</v>
      </c>
      <c r="B26" s="173" t="s">
        <v>239</v>
      </c>
      <c r="C26" s="173"/>
      <c r="D26" s="173"/>
      <c r="E26" s="168"/>
      <c r="F26" s="169"/>
      <c r="G26" s="170"/>
      <c r="H26" s="168"/>
      <c r="I26" s="170"/>
      <c r="J26" s="363"/>
      <c r="K26" s="72"/>
    </row>
    <row r="27" spans="1:15" s="3" customFormat="1" ht="18.600000000000001" customHeight="1">
      <c r="A27" s="362">
        <v>44627</v>
      </c>
      <c r="B27" s="173" t="s">
        <v>240</v>
      </c>
      <c r="C27" s="173"/>
      <c r="D27" s="173"/>
      <c r="E27" s="173" t="s">
        <v>241</v>
      </c>
      <c r="F27" s="173"/>
      <c r="G27" s="173"/>
      <c r="H27" s="173" t="s">
        <v>242</v>
      </c>
      <c r="I27" s="173"/>
      <c r="J27" s="363"/>
      <c r="K27" s="72"/>
    </row>
    <row r="28" spans="1:15" s="3" customFormat="1" ht="13.9">
      <c r="A28" s="362">
        <v>44641</v>
      </c>
      <c r="B28" s="173" t="s">
        <v>243</v>
      </c>
      <c r="C28" s="173"/>
      <c r="D28" s="173"/>
      <c r="E28" s="162" t="s">
        <v>244</v>
      </c>
      <c r="F28" s="163"/>
      <c r="G28" s="164"/>
      <c r="H28" s="162" t="s">
        <v>245</v>
      </c>
      <c r="I28" s="164"/>
      <c r="J28" s="363"/>
      <c r="K28" s="72"/>
    </row>
    <row r="29" spans="1:15" s="3" customFormat="1" ht="27" customHeight="1">
      <c r="A29" s="362">
        <v>44641</v>
      </c>
      <c r="B29" s="173" t="s">
        <v>246</v>
      </c>
      <c r="C29" s="173"/>
      <c r="D29" s="173"/>
      <c r="E29" s="168"/>
      <c r="F29" s="169"/>
      <c r="G29" s="170"/>
      <c r="H29" s="168"/>
      <c r="I29" s="170"/>
      <c r="J29" s="363"/>
      <c r="K29" s="72"/>
    </row>
    <row r="30" spans="1:15" s="3" customFormat="1" ht="13.9">
      <c r="A30" s="362">
        <v>44664</v>
      </c>
      <c r="B30" s="173" t="s">
        <v>247</v>
      </c>
      <c r="C30" s="173"/>
      <c r="D30" s="173"/>
      <c r="E30" s="162" t="s">
        <v>241</v>
      </c>
      <c r="F30" s="163"/>
      <c r="G30" s="164"/>
      <c r="H30" s="162" t="s">
        <v>248</v>
      </c>
      <c r="I30" s="164"/>
      <c r="J30" s="363"/>
      <c r="K30" s="72"/>
    </row>
    <row r="31" spans="1:15" s="3" customFormat="1" ht="13.9">
      <c r="A31" s="362">
        <v>44664</v>
      </c>
      <c r="B31" s="173" t="s">
        <v>249</v>
      </c>
      <c r="C31" s="173"/>
      <c r="D31" s="173"/>
      <c r="E31" s="168"/>
      <c r="F31" s="169"/>
      <c r="G31" s="170"/>
      <c r="H31" s="168"/>
      <c r="I31" s="170"/>
      <c r="J31" s="363"/>
      <c r="K31" s="72"/>
    </row>
    <row r="32" spans="1:15" s="3" customFormat="1" ht="31.15" customHeight="1">
      <c r="A32" s="362">
        <v>44725</v>
      </c>
      <c r="B32" s="173" t="s">
        <v>250</v>
      </c>
      <c r="C32" s="173"/>
      <c r="D32" s="173"/>
      <c r="E32" s="173" t="s">
        <v>251</v>
      </c>
      <c r="F32" s="173"/>
      <c r="G32" s="173"/>
      <c r="H32" s="161" t="s">
        <v>252</v>
      </c>
      <c r="I32" s="161"/>
      <c r="J32" s="363"/>
      <c r="K32" s="72"/>
    </row>
    <row r="33" spans="1:11" s="3" customFormat="1" ht="28.9" customHeight="1">
      <c r="A33" s="362">
        <v>44725</v>
      </c>
      <c r="B33" s="173" t="s">
        <v>253</v>
      </c>
      <c r="C33" s="173"/>
      <c r="D33" s="173"/>
      <c r="E33" s="173" t="s">
        <v>254</v>
      </c>
      <c r="F33" s="173"/>
      <c r="G33" s="173"/>
      <c r="H33" s="161" t="s">
        <v>255</v>
      </c>
      <c r="I33" s="161"/>
      <c r="J33" s="363"/>
      <c r="K33" s="72"/>
    </row>
    <row r="34" spans="1:11" s="3" customFormat="1" ht="31.15" customHeight="1">
      <c r="A34" s="362">
        <v>44725</v>
      </c>
      <c r="B34" s="173" t="s">
        <v>256</v>
      </c>
      <c r="C34" s="173"/>
      <c r="D34" s="173"/>
      <c r="E34" s="173" t="s">
        <v>254</v>
      </c>
      <c r="F34" s="173"/>
      <c r="G34" s="173"/>
      <c r="H34" s="161" t="s">
        <v>257</v>
      </c>
      <c r="I34" s="161"/>
      <c r="J34" s="363"/>
      <c r="K34" s="72"/>
    </row>
    <row r="35" spans="1:11" s="3" customFormat="1" ht="58.15" customHeight="1">
      <c r="A35" s="362">
        <v>44737</v>
      </c>
      <c r="B35" s="173" t="s">
        <v>258</v>
      </c>
      <c r="C35" s="173"/>
      <c r="D35" s="173"/>
      <c r="E35" s="173" t="s">
        <v>241</v>
      </c>
      <c r="F35" s="173"/>
      <c r="G35" s="173"/>
      <c r="H35" s="161" t="s">
        <v>259</v>
      </c>
      <c r="I35" s="161"/>
      <c r="J35" s="363"/>
      <c r="K35" s="72"/>
    </row>
    <row r="36" spans="1:11" s="3" customFormat="1" ht="58.15" customHeight="1">
      <c r="A36" s="362">
        <v>44843</v>
      </c>
      <c r="B36" s="171" t="s">
        <v>260</v>
      </c>
      <c r="C36" s="172"/>
      <c r="D36" s="177"/>
      <c r="E36" s="174" t="s">
        <v>261</v>
      </c>
      <c r="F36" s="175"/>
      <c r="G36" s="176"/>
      <c r="H36" s="171" t="s">
        <v>262</v>
      </c>
      <c r="I36" s="172"/>
      <c r="J36" s="364"/>
      <c r="K36" s="72"/>
    </row>
    <row r="37" spans="1:11" s="3" customFormat="1" ht="13.9">
      <c r="A37" s="362">
        <v>44907</v>
      </c>
      <c r="B37" s="173" t="s">
        <v>263</v>
      </c>
      <c r="C37" s="173"/>
      <c r="D37" s="173"/>
      <c r="E37" s="162" t="s">
        <v>264</v>
      </c>
      <c r="F37" s="163"/>
      <c r="G37" s="164"/>
      <c r="H37" s="162" t="s">
        <v>265</v>
      </c>
      <c r="I37" s="163"/>
      <c r="J37" s="164"/>
      <c r="K37" s="72"/>
    </row>
    <row r="38" spans="1:11" s="3" customFormat="1" ht="13.9">
      <c r="A38" s="362">
        <v>44907</v>
      </c>
      <c r="B38" s="173" t="s">
        <v>266</v>
      </c>
      <c r="C38" s="173"/>
      <c r="D38" s="173"/>
      <c r="E38" s="165"/>
      <c r="F38" s="166"/>
      <c r="G38" s="167"/>
      <c r="H38" s="165"/>
      <c r="I38" s="166"/>
      <c r="J38" s="167"/>
      <c r="K38" s="72"/>
    </row>
    <row r="39" spans="1:11" s="3" customFormat="1" ht="25.9" customHeight="1">
      <c r="A39" s="362">
        <v>44917</v>
      </c>
      <c r="B39" s="173" t="s">
        <v>267</v>
      </c>
      <c r="C39" s="173"/>
      <c r="D39" s="173"/>
      <c r="E39" s="168"/>
      <c r="F39" s="169"/>
      <c r="G39" s="170"/>
      <c r="H39" s="168"/>
      <c r="I39" s="169"/>
      <c r="J39" s="170"/>
      <c r="K39" s="72"/>
    </row>
    <row r="40" spans="1:11" s="3" customFormat="1" ht="13.9"/>
    <row r="41" spans="1:11" s="45" customFormat="1" ht="22.5" customHeight="1">
      <c r="A41" s="190" t="s">
        <v>268</v>
      </c>
      <c r="B41" s="191"/>
      <c r="C41" s="191"/>
      <c r="D41" s="191"/>
      <c r="E41" s="191"/>
      <c r="F41" s="191"/>
      <c r="G41" s="191"/>
      <c r="H41" s="191"/>
      <c r="I41" s="191"/>
      <c r="J41" s="191"/>
      <c r="K41" s="192"/>
    </row>
    <row r="42" spans="1:11" s="3" customFormat="1" ht="39" customHeight="1">
      <c r="A42" s="46" t="s">
        <v>52</v>
      </c>
      <c r="B42" s="193" t="s">
        <v>269</v>
      </c>
      <c r="C42" s="193"/>
      <c r="D42" s="193"/>
      <c r="E42" s="193" t="s">
        <v>270</v>
      </c>
      <c r="F42" s="193"/>
      <c r="G42" s="193"/>
      <c r="H42" s="193" t="s">
        <v>227</v>
      </c>
      <c r="I42" s="193"/>
      <c r="J42" s="194"/>
      <c r="K42" s="72"/>
    </row>
    <row r="43" spans="1:11" s="3" customFormat="1" ht="13.9">
      <c r="A43" s="108"/>
      <c r="B43" s="195"/>
      <c r="C43" s="195"/>
      <c r="D43" s="195"/>
      <c r="E43" s="195"/>
      <c r="F43" s="195"/>
      <c r="G43" s="195"/>
      <c r="H43" s="195"/>
      <c r="I43" s="195"/>
      <c r="J43" s="365"/>
      <c r="K43" s="72"/>
    </row>
    <row r="44" spans="1:11" s="3" customFormat="1" ht="13.9">
      <c r="A44" s="108"/>
      <c r="B44" s="195"/>
      <c r="C44" s="195"/>
      <c r="D44" s="195"/>
      <c r="E44" s="195"/>
      <c r="F44" s="195"/>
      <c r="G44" s="195"/>
      <c r="H44" s="195"/>
      <c r="I44" s="195"/>
      <c r="J44" s="365"/>
      <c r="K44" s="72"/>
    </row>
    <row r="45" spans="1:11" ht="14.25" customHeight="1">
      <c r="A45" s="108"/>
      <c r="B45" s="195"/>
      <c r="C45" s="195"/>
      <c r="D45" s="195"/>
      <c r="E45" s="195"/>
      <c r="F45" s="195"/>
      <c r="G45" s="195"/>
      <c r="H45" s="195"/>
      <c r="I45" s="195"/>
      <c r="J45" s="365"/>
      <c r="K45" s="72"/>
    </row>
    <row r="46" spans="1:11" s="3" customFormat="1" ht="13.9">
      <c r="A46" s="108"/>
      <c r="B46" s="195"/>
      <c r="C46" s="195"/>
      <c r="D46" s="195"/>
      <c r="E46" s="195"/>
      <c r="F46" s="195"/>
      <c r="G46" s="195"/>
      <c r="H46" s="195"/>
      <c r="I46" s="195"/>
      <c r="J46" s="365"/>
      <c r="K46" s="72"/>
    </row>
    <row r="47" spans="1:11" s="3" customFormat="1" ht="13.9">
      <c r="A47" s="108"/>
      <c r="B47" s="195"/>
      <c r="C47" s="195"/>
      <c r="D47" s="195"/>
      <c r="E47" s="195"/>
      <c r="F47" s="195"/>
      <c r="G47" s="195"/>
      <c r="H47" s="195"/>
      <c r="I47" s="195"/>
      <c r="J47" s="365"/>
      <c r="K47" s="72"/>
    </row>
    <row r="48" spans="1:11" s="3" customFormat="1" ht="29.25" customHeight="1">
      <c r="A48" s="96"/>
      <c r="E48" s="178" t="s">
        <v>271</v>
      </c>
      <c r="F48" s="178"/>
      <c r="G48" s="178"/>
      <c r="H48" s="178"/>
      <c r="I48" s="178"/>
      <c r="J48" s="96"/>
    </row>
    <row r="81" spans="6:6">
      <c r="F81" s="3"/>
    </row>
  </sheetData>
  <mergeCells count="97">
    <mergeCell ref="A19:K19"/>
    <mergeCell ref="B46:D46"/>
    <mergeCell ref="E46:G46"/>
    <mergeCell ref="H46:J46"/>
    <mergeCell ref="B42:D42"/>
    <mergeCell ref="E42:G42"/>
    <mergeCell ref="H42:J42"/>
    <mergeCell ref="B43:D43"/>
    <mergeCell ref="E43:G43"/>
    <mergeCell ref="H43:J43"/>
    <mergeCell ref="B39:D39"/>
    <mergeCell ref="A41:K41"/>
    <mergeCell ref="B20:D20"/>
    <mergeCell ref="E20:G20"/>
    <mergeCell ref="H20:J20"/>
    <mergeCell ref="B21:D21"/>
    <mergeCell ref="B47:D47"/>
    <mergeCell ref="E47:G47"/>
    <mergeCell ref="H47:J47"/>
    <mergeCell ref="B44:D44"/>
    <mergeCell ref="E44:G44"/>
    <mergeCell ref="H44:J44"/>
    <mergeCell ref="B45:D45"/>
    <mergeCell ref="E45:G45"/>
    <mergeCell ref="H45:J45"/>
    <mergeCell ref="B38:D38"/>
    <mergeCell ref="C17:E17"/>
    <mergeCell ref="F17:I17"/>
    <mergeCell ref="C16:E16"/>
    <mergeCell ref="F16:I16"/>
    <mergeCell ref="A17:B17"/>
    <mergeCell ref="B22:D22"/>
    <mergeCell ref="B23:D23"/>
    <mergeCell ref="B24:D24"/>
    <mergeCell ref="B25:D25"/>
    <mergeCell ref="B26:D26"/>
    <mergeCell ref="B27:D27"/>
    <mergeCell ref="B28:D28"/>
    <mergeCell ref="B29:D29"/>
    <mergeCell ref="B30:D30"/>
    <mergeCell ref="B31:D31"/>
    <mergeCell ref="F14:I14"/>
    <mergeCell ref="A15:B15"/>
    <mergeCell ref="C15:E15"/>
    <mergeCell ref="F15:I15"/>
    <mergeCell ref="A16:B16"/>
    <mergeCell ref="A8:B8"/>
    <mergeCell ref="C8:I8"/>
    <mergeCell ref="A9:B9"/>
    <mergeCell ref="C9:E9"/>
    <mergeCell ref="F9:I9"/>
    <mergeCell ref="L9:O18"/>
    <mergeCell ref="E48:I48"/>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B32:D32"/>
    <mergeCell ref="B33:D33"/>
    <mergeCell ref="B34:D34"/>
    <mergeCell ref="B35:D35"/>
    <mergeCell ref="B37:D37"/>
    <mergeCell ref="B36:D36"/>
    <mergeCell ref="E27:G27"/>
    <mergeCell ref="E28:G29"/>
    <mergeCell ref="E30:G31"/>
    <mergeCell ref="E24:G24"/>
    <mergeCell ref="E21:G23"/>
    <mergeCell ref="E25:G26"/>
    <mergeCell ref="E32:G32"/>
    <mergeCell ref="E33:G33"/>
    <mergeCell ref="E35:G35"/>
    <mergeCell ref="E34:G34"/>
    <mergeCell ref="E37:G39"/>
    <mergeCell ref="E36:G36"/>
    <mergeCell ref="H27:I27"/>
    <mergeCell ref="H28:I29"/>
    <mergeCell ref="H30:I31"/>
    <mergeCell ref="H24:I24"/>
    <mergeCell ref="H21:J23"/>
    <mergeCell ref="H25:I26"/>
    <mergeCell ref="H32:I32"/>
    <mergeCell ref="H33:I33"/>
    <mergeCell ref="H35:I35"/>
    <mergeCell ref="H34:I34"/>
    <mergeCell ref="H37:J39"/>
    <mergeCell ref="H36:I36"/>
  </mergeCells>
  <pageMargins left="0.7" right="0.7" top="0.75" bottom="0.75" header="0.3" footer="0.3"/>
  <pageSetup paperSize="9" scale="73"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view="pageBreakPreview"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93" t="str">
        <f>+'Cover Page'!$B$29</f>
        <v>Annual Performance Report 2022</v>
      </c>
      <c r="B1" s="93"/>
      <c r="C1" s="93"/>
      <c r="D1" s="93"/>
      <c r="E1" s="93" t="str">
        <f>+'Cover Page'!$B$33</f>
        <v>Stoke Energy from Waste Facility</v>
      </c>
      <c r="F1" s="93"/>
      <c r="G1" s="93"/>
      <c r="H1" s="93"/>
      <c r="I1" s="93"/>
      <c r="J1" s="93"/>
    </row>
    <row r="3" spans="1:10" ht="15.6">
      <c r="A3" s="1" t="s">
        <v>272</v>
      </c>
      <c r="B3" s="93"/>
      <c r="C3" s="93"/>
      <c r="D3" s="93"/>
      <c r="E3" s="93"/>
      <c r="F3" s="93"/>
      <c r="G3" s="93"/>
      <c r="H3" s="93"/>
      <c r="I3" s="93"/>
      <c r="J3" s="93"/>
    </row>
    <row r="4" spans="1:10" ht="15.6">
      <c r="A4" s="1"/>
      <c r="B4" s="93"/>
      <c r="C4" s="93"/>
      <c r="D4" s="93"/>
      <c r="E4" s="93"/>
      <c r="F4" s="93"/>
      <c r="G4" s="93"/>
      <c r="H4" s="93"/>
      <c r="I4" s="93"/>
      <c r="J4" s="93"/>
    </row>
    <row r="5" spans="1:10" s="3" customFormat="1" ht="13.9">
      <c r="A5" s="200" t="s">
        <v>273</v>
      </c>
      <c r="B5" s="201"/>
      <c r="C5" s="201"/>
      <c r="D5" s="201"/>
      <c r="E5" s="201"/>
      <c r="F5" s="201"/>
      <c r="G5" s="201"/>
      <c r="H5" s="201"/>
      <c r="I5" s="201"/>
      <c r="J5" s="202"/>
    </row>
    <row r="6" spans="1:10" s="3" customFormat="1" ht="15.75" customHeight="1">
      <c r="A6" s="124" t="s">
        <v>274</v>
      </c>
      <c r="B6" s="136"/>
      <c r="C6" s="136"/>
      <c r="D6" s="136"/>
      <c r="E6" s="136"/>
      <c r="F6" s="136"/>
      <c r="G6" s="136"/>
      <c r="H6" s="136"/>
      <c r="I6" s="136"/>
      <c r="J6" s="137"/>
    </row>
    <row r="7" spans="1:10" s="3" customFormat="1" ht="15.75" customHeight="1">
      <c r="A7" s="138"/>
      <c r="B7" s="139"/>
      <c r="C7" s="139"/>
      <c r="D7" s="139"/>
      <c r="E7" s="139"/>
      <c r="F7" s="139"/>
      <c r="G7" s="139"/>
      <c r="H7" s="139"/>
      <c r="I7" s="139"/>
      <c r="J7" s="140"/>
    </row>
    <row r="8" spans="1:10" s="3" customFormat="1" ht="15.75" customHeight="1">
      <c r="A8" s="138"/>
      <c r="B8" s="139"/>
      <c r="C8" s="139"/>
      <c r="D8" s="139"/>
      <c r="E8" s="139"/>
      <c r="F8" s="139"/>
      <c r="G8" s="139"/>
      <c r="H8" s="139"/>
      <c r="I8" s="139"/>
      <c r="J8" s="140"/>
    </row>
    <row r="9" spans="1:10" s="3" customFormat="1" ht="15.75" customHeight="1">
      <c r="A9" s="138"/>
      <c r="B9" s="139"/>
      <c r="C9" s="139"/>
      <c r="D9" s="139"/>
      <c r="E9" s="139"/>
      <c r="F9" s="139"/>
      <c r="G9" s="139"/>
      <c r="H9" s="139"/>
      <c r="I9" s="139"/>
      <c r="J9" s="140"/>
    </row>
    <row r="10" spans="1:10" s="3" customFormat="1" ht="15.75" customHeight="1">
      <c r="A10" s="138"/>
      <c r="B10" s="139"/>
      <c r="C10" s="139"/>
      <c r="D10" s="139"/>
      <c r="E10" s="139"/>
      <c r="F10" s="139"/>
      <c r="G10" s="139"/>
      <c r="H10" s="139"/>
      <c r="I10" s="139"/>
      <c r="J10" s="140"/>
    </row>
    <row r="11" spans="1:10" s="3" customFormat="1" ht="15.75" customHeight="1">
      <c r="A11" s="138"/>
      <c r="B11" s="139"/>
      <c r="C11" s="139"/>
      <c r="D11" s="139"/>
      <c r="E11" s="139"/>
      <c r="F11" s="139"/>
      <c r="G11" s="139"/>
      <c r="H11" s="139"/>
      <c r="I11" s="139"/>
      <c r="J11" s="140"/>
    </row>
    <row r="12" spans="1:10" s="3" customFormat="1" ht="15.75" customHeight="1">
      <c r="A12" s="138"/>
      <c r="B12" s="139"/>
      <c r="C12" s="139"/>
      <c r="D12" s="139"/>
      <c r="E12" s="139"/>
      <c r="F12" s="139"/>
      <c r="G12" s="139"/>
      <c r="H12" s="139"/>
      <c r="I12" s="139"/>
      <c r="J12" s="140"/>
    </row>
    <row r="13" spans="1:10" s="3" customFormat="1" ht="15.75" customHeight="1">
      <c r="A13" s="138"/>
      <c r="B13" s="139"/>
      <c r="C13" s="139"/>
      <c r="D13" s="139"/>
      <c r="E13" s="139"/>
      <c r="F13" s="139"/>
      <c r="G13" s="139"/>
      <c r="H13" s="139"/>
      <c r="I13" s="139"/>
      <c r="J13" s="140"/>
    </row>
    <row r="14" spans="1:10" s="3" customFormat="1" ht="15.75" customHeight="1">
      <c r="A14" s="141"/>
      <c r="B14" s="142"/>
      <c r="C14" s="142"/>
      <c r="D14" s="142"/>
      <c r="E14" s="142"/>
      <c r="F14" s="142"/>
      <c r="G14" s="142"/>
      <c r="H14" s="142"/>
      <c r="I14" s="142"/>
      <c r="J14" s="143"/>
    </row>
    <row r="15" spans="1:10" s="3" customFormat="1" ht="13.9"/>
    <row r="16" spans="1:10" s="47" customFormat="1" ht="33.75" customHeight="1">
      <c r="A16" s="196" t="s">
        <v>275</v>
      </c>
      <c r="B16" s="197"/>
      <c r="C16" s="197"/>
      <c r="D16" s="197"/>
      <c r="E16" s="197"/>
      <c r="F16" s="197"/>
      <c r="G16" s="197"/>
      <c r="H16" s="197"/>
      <c r="I16" s="197"/>
      <c r="J16" s="198"/>
    </row>
    <row r="17" spans="1:10" ht="15.75" customHeight="1">
      <c r="A17" s="124" t="s">
        <v>276</v>
      </c>
      <c r="B17" s="126"/>
      <c r="C17" s="126"/>
      <c r="D17" s="126"/>
      <c r="E17" s="126"/>
      <c r="F17" s="126"/>
      <c r="G17" s="126"/>
      <c r="H17" s="126"/>
      <c r="I17" s="126"/>
      <c r="J17" s="127"/>
    </row>
    <row r="18" spans="1:10" ht="15.75" customHeight="1">
      <c r="A18" s="128"/>
      <c r="B18" s="129"/>
      <c r="C18" s="129"/>
      <c r="D18" s="129"/>
      <c r="E18" s="129"/>
      <c r="F18" s="129"/>
      <c r="G18" s="129"/>
      <c r="H18" s="129"/>
      <c r="I18" s="129"/>
      <c r="J18" s="130"/>
    </row>
    <row r="19" spans="1:10" ht="15.75" customHeight="1">
      <c r="A19" s="128"/>
      <c r="B19" s="129"/>
      <c r="C19" s="129"/>
      <c r="D19" s="129"/>
      <c r="E19" s="129"/>
      <c r="F19" s="129"/>
      <c r="G19" s="129"/>
      <c r="H19" s="129"/>
      <c r="I19" s="129"/>
      <c r="J19" s="130"/>
    </row>
    <row r="20" spans="1:10" ht="15.75" customHeight="1">
      <c r="A20" s="128"/>
      <c r="B20" s="129"/>
      <c r="C20" s="129"/>
      <c r="D20" s="129"/>
      <c r="E20" s="129"/>
      <c r="F20" s="129"/>
      <c r="G20" s="129"/>
      <c r="H20" s="129"/>
      <c r="I20" s="129"/>
      <c r="J20" s="130"/>
    </row>
    <row r="21" spans="1:10" ht="15.75" customHeight="1">
      <c r="A21" s="128"/>
      <c r="B21" s="129"/>
      <c r="C21" s="129"/>
      <c r="D21" s="129"/>
      <c r="E21" s="129"/>
      <c r="F21" s="129"/>
      <c r="G21" s="129"/>
      <c r="H21" s="129"/>
      <c r="I21" s="129"/>
      <c r="J21" s="130"/>
    </row>
    <row r="22" spans="1:10" ht="15.75" customHeight="1">
      <c r="A22" s="128"/>
      <c r="B22" s="129"/>
      <c r="C22" s="129"/>
      <c r="D22" s="129"/>
      <c r="E22" s="129"/>
      <c r="F22" s="129"/>
      <c r="G22" s="129"/>
      <c r="H22" s="129"/>
      <c r="I22" s="129"/>
      <c r="J22" s="130"/>
    </row>
    <row r="23" spans="1:10" ht="15.75" customHeight="1">
      <c r="A23" s="128"/>
      <c r="B23" s="129"/>
      <c r="C23" s="129"/>
      <c r="D23" s="129"/>
      <c r="E23" s="129"/>
      <c r="F23" s="129"/>
      <c r="G23" s="129"/>
      <c r="H23" s="129"/>
      <c r="I23" s="129"/>
      <c r="J23" s="130"/>
    </row>
    <row r="24" spans="1:10" ht="15.75" customHeight="1">
      <c r="A24" s="128"/>
      <c r="B24" s="129"/>
      <c r="C24" s="129"/>
      <c r="D24" s="129"/>
      <c r="E24" s="129"/>
      <c r="F24" s="129"/>
      <c r="G24" s="129"/>
      <c r="H24" s="129"/>
      <c r="I24" s="129"/>
      <c r="J24" s="130"/>
    </row>
    <row r="25" spans="1:10" ht="15.75" customHeight="1">
      <c r="A25" s="131"/>
      <c r="B25" s="132"/>
      <c r="C25" s="132"/>
      <c r="D25" s="132"/>
      <c r="E25" s="132"/>
      <c r="F25" s="132"/>
      <c r="G25" s="132"/>
      <c r="H25" s="132"/>
      <c r="I25" s="132"/>
      <c r="J25" s="133"/>
    </row>
    <row r="26" spans="1:10" ht="15.6">
      <c r="A26" s="1"/>
      <c r="B26" s="93"/>
      <c r="C26" s="93"/>
      <c r="D26" s="93"/>
      <c r="E26" s="93"/>
      <c r="F26" s="93"/>
      <c r="G26" s="93"/>
      <c r="H26" s="93"/>
      <c r="I26" s="93"/>
      <c r="J26" s="93"/>
    </row>
    <row r="27" spans="1:10" ht="36.75" customHeight="1">
      <c r="A27" s="196" t="s">
        <v>277</v>
      </c>
      <c r="B27" s="197"/>
      <c r="C27" s="197"/>
      <c r="D27" s="197"/>
      <c r="E27" s="197"/>
      <c r="F27" s="197"/>
      <c r="G27" s="197"/>
      <c r="H27" s="197"/>
      <c r="I27" s="197"/>
      <c r="J27" s="198"/>
    </row>
    <row r="28" spans="1:10" ht="15.75" customHeight="1">
      <c r="A28" s="199" t="s">
        <v>278</v>
      </c>
      <c r="B28" s="136"/>
      <c r="C28" s="136"/>
      <c r="D28" s="136"/>
      <c r="E28" s="136"/>
      <c r="F28" s="136"/>
      <c r="G28" s="136"/>
      <c r="H28" s="136"/>
      <c r="I28" s="136"/>
      <c r="J28" s="137"/>
    </row>
    <row r="29" spans="1:10" ht="15.75" customHeight="1">
      <c r="A29" s="138"/>
      <c r="B29" s="139"/>
      <c r="C29" s="139"/>
      <c r="D29" s="139"/>
      <c r="E29" s="139"/>
      <c r="F29" s="139"/>
      <c r="G29" s="139"/>
      <c r="H29" s="139"/>
      <c r="I29" s="139"/>
      <c r="J29" s="140"/>
    </row>
    <row r="30" spans="1:10" ht="15.75" customHeight="1">
      <c r="A30" s="138"/>
      <c r="B30" s="139"/>
      <c r="C30" s="139"/>
      <c r="D30" s="139"/>
      <c r="E30" s="139"/>
      <c r="F30" s="139"/>
      <c r="G30" s="139"/>
      <c r="H30" s="139"/>
      <c r="I30" s="139"/>
      <c r="J30" s="140"/>
    </row>
    <row r="31" spans="1:10" ht="15.75" customHeight="1">
      <c r="A31" s="138"/>
      <c r="B31" s="139"/>
      <c r="C31" s="139"/>
      <c r="D31" s="139"/>
      <c r="E31" s="139"/>
      <c r="F31" s="139"/>
      <c r="G31" s="139"/>
      <c r="H31" s="139"/>
      <c r="I31" s="139"/>
      <c r="J31" s="140"/>
    </row>
    <row r="32" spans="1:10" ht="15.75" customHeight="1">
      <c r="A32" s="138"/>
      <c r="B32" s="139"/>
      <c r="C32" s="139"/>
      <c r="D32" s="139"/>
      <c r="E32" s="139"/>
      <c r="F32" s="139"/>
      <c r="G32" s="139"/>
      <c r="H32" s="139"/>
      <c r="I32" s="139"/>
      <c r="J32" s="140"/>
    </row>
    <row r="33" spans="1:10" ht="15.75" customHeight="1">
      <c r="A33" s="138"/>
      <c r="B33" s="139"/>
      <c r="C33" s="139"/>
      <c r="D33" s="139"/>
      <c r="E33" s="139"/>
      <c r="F33" s="139"/>
      <c r="G33" s="139"/>
      <c r="H33" s="139"/>
      <c r="I33" s="139"/>
      <c r="J33" s="140"/>
    </row>
    <row r="34" spans="1:10" ht="15.75" customHeight="1">
      <c r="A34" s="138"/>
      <c r="B34" s="139"/>
      <c r="C34" s="139"/>
      <c r="D34" s="139"/>
      <c r="E34" s="139"/>
      <c r="F34" s="139"/>
      <c r="G34" s="139"/>
      <c r="H34" s="139"/>
      <c r="I34" s="139"/>
      <c r="J34" s="140"/>
    </row>
    <row r="35" spans="1:10" ht="15.75" customHeight="1">
      <c r="A35" s="138"/>
      <c r="B35" s="139"/>
      <c r="C35" s="139"/>
      <c r="D35" s="139"/>
      <c r="E35" s="139"/>
      <c r="F35" s="139"/>
      <c r="G35" s="139"/>
      <c r="H35" s="139"/>
      <c r="I35" s="139"/>
      <c r="J35" s="140"/>
    </row>
    <row r="36" spans="1:10" ht="15.75" customHeight="1">
      <c r="A36" s="141"/>
      <c r="B36" s="142"/>
      <c r="C36" s="142"/>
      <c r="D36" s="142"/>
      <c r="E36" s="142"/>
      <c r="F36" s="142"/>
      <c r="G36" s="142"/>
      <c r="H36" s="142"/>
      <c r="I36" s="142"/>
      <c r="J36" s="143"/>
    </row>
    <row r="38" spans="1:10" ht="33" customHeight="1">
      <c r="A38" s="196" t="s">
        <v>279</v>
      </c>
      <c r="B38" s="197"/>
      <c r="C38" s="197"/>
      <c r="D38" s="197"/>
      <c r="E38" s="197"/>
      <c r="F38" s="197"/>
      <c r="G38" s="197"/>
      <c r="H38" s="197"/>
      <c r="I38" s="197"/>
      <c r="J38" s="198"/>
    </row>
    <row r="39" spans="1:10" ht="15.75" customHeight="1">
      <c r="A39" s="199" t="s">
        <v>280</v>
      </c>
      <c r="B39" s="136"/>
      <c r="C39" s="136"/>
      <c r="D39" s="136"/>
      <c r="E39" s="136"/>
      <c r="F39" s="136"/>
      <c r="G39" s="136"/>
      <c r="H39" s="136"/>
      <c r="I39" s="136"/>
      <c r="J39" s="137"/>
    </row>
    <row r="40" spans="1:10" ht="15.75" customHeight="1">
      <c r="A40" s="138"/>
      <c r="B40" s="139"/>
      <c r="C40" s="139"/>
      <c r="D40" s="139"/>
      <c r="E40" s="139"/>
      <c r="F40" s="139"/>
      <c r="G40" s="139"/>
      <c r="H40" s="139"/>
      <c r="I40" s="139"/>
      <c r="J40" s="140"/>
    </row>
    <row r="41" spans="1:10" ht="15.75" customHeight="1">
      <c r="A41" s="138"/>
      <c r="B41" s="139"/>
      <c r="C41" s="139"/>
      <c r="D41" s="139"/>
      <c r="E41" s="139"/>
      <c r="F41" s="139"/>
      <c r="G41" s="139"/>
      <c r="H41" s="139"/>
      <c r="I41" s="139"/>
      <c r="J41" s="140"/>
    </row>
    <row r="42" spans="1:10" ht="15.75" customHeight="1">
      <c r="A42" s="138"/>
      <c r="B42" s="139"/>
      <c r="C42" s="139"/>
      <c r="D42" s="139"/>
      <c r="E42" s="139"/>
      <c r="F42" s="139"/>
      <c r="G42" s="139"/>
      <c r="H42" s="139"/>
      <c r="I42" s="139"/>
      <c r="J42" s="140"/>
    </row>
    <row r="43" spans="1:10" ht="15.75" customHeight="1">
      <c r="A43" s="138"/>
      <c r="B43" s="139"/>
      <c r="C43" s="139"/>
      <c r="D43" s="139"/>
      <c r="E43" s="139"/>
      <c r="F43" s="139"/>
      <c r="G43" s="139"/>
      <c r="H43" s="139"/>
      <c r="I43" s="139"/>
      <c r="J43" s="140"/>
    </row>
    <row r="44" spans="1:10" ht="15.75" customHeight="1">
      <c r="A44" s="138"/>
      <c r="B44" s="139"/>
      <c r="C44" s="139"/>
      <c r="D44" s="139"/>
      <c r="E44" s="139"/>
      <c r="F44" s="139"/>
      <c r="G44" s="139"/>
      <c r="H44" s="139"/>
      <c r="I44" s="139"/>
      <c r="J44" s="140"/>
    </row>
    <row r="45" spans="1:10" ht="15.75" customHeight="1">
      <c r="A45" s="138"/>
      <c r="B45" s="139"/>
      <c r="C45" s="139"/>
      <c r="D45" s="139"/>
      <c r="E45" s="139"/>
      <c r="F45" s="139"/>
      <c r="G45" s="139"/>
      <c r="H45" s="139"/>
      <c r="I45" s="139"/>
      <c r="J45" s="140"/>
    </row>
    <row r="46" spans="1:10" ht="15.75" customHeight="1">
      <c r="A46" s="138"/>
      <c r="B46" s="139"/>
      <c r="C46" s="139"/>
      <c r="D46" s="139"/>
      <c r="E46" s="139"/>
      <c r="F46" s="139"/>
      <c r="G46" s="139"/>
      <c r="H46" s="139"/>
      <c r="I46" s="139"/>
      <c r="J46" s="140"/>
    </row>
    <row r="47" spans="1:10" ht="15.75" customHeight="1">
      <c r="A47" s="138"/>
      <c r="B47" s="139"/>
      <c r="C47" s="139"/>
      <c r="D47" s="139"/>
      <c r="E47" s="139"/>
      <c r="F47" s="139"/>
      <c r="G47" s="139"/>
      <c r="H47" s="139"/>
      <c r="I47" s="139"/>
      <c r="J47" s="140"/>
    </row>
    <row r="48" spans="1:10" ht="15.75" customHeight="1">
      <c r="A48" s="141"/>
      <c r="B48" s="142"/>
      <c r="C48" s="142"/>
      <c r="D48" s="142"/>
      <c r="E48" s="142"/>
      <c r="F48" s="142"/>
      <c r="G48" s="142"/>
      <c r="H48" s="142"/>
      <c r="I48" s="142"/>
      <c r="J48" s="143"/>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6"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view="pageBreakPreview"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93" t="str">
        <f>+'Cover Page'!$B$29</f>
        <v>Annual Performance Report 2022</v>
      </c>
      <c r="B1" s="93"/>
      <c r="C1" s="93"/>
      <c r="D1" s="93"/>
      <c r="E1" s="93" t="str">
        <f>+'Cover Page'!$B$33</f>
        <v>Stoke Energy from Waste Facility</v>
      </c>
      <c r="F1" s="93"/>
      <c r="G1" s="93"/>
      <c r="H1" s="93"/>
      <c r="I1" s="93"/>
      <c r="J1" s="93"/>
    </row>
    <row r="3" spans="1:10" ht="15.6">
      <c r="A3" s="1" t="s">
        <v>281</v>
      </c>
      <c r="B3" s="93"/>
      <c r="C3" s="93"/>
      <c r="D3" s="93"/>
      <c r="E3" s="93"/>
      <c r="F3" s="93"/>
      <c r="G3" s="93"/>
      <c r="H3" s="93"/>
      <c r="I3" s="93"/>
      <c r="J3" s="93"/>
    </row>
    <row r="4" spans="1:10" ht="15.6">
      <c r="A4" s="1"/>
      <c r="B4" s="93"/>
      <c r="C4" s="93"/>
      <c r="D4" s="93"/>
      <c r="E4" s="93"/>
      <c r="F4" s="93"/>
      <c r="G4" s="93"/>
      <c r="H4" s="93"/>
      <c r="I4" s="93"/>
      <c r="J4" s="93"/>
    </row>
    <row r="5" spans="1:10" s="3" customFormat="1" ht="28.5" customHeight="1">
      <c r="A5" s="48" t="s">
        <v>282</v>
      </c>
      <c r="B5" s="49"/>
      <c r="C5" s="49"/>
      <c r="D5" s="49"/>
      <c r="E5" s="49"/>
      <c r="F5" s="49"/>
      <c r="G5" s="49"/>
      <c r="H5" s="49"/>
      <c r="I5" s="49"/>
      <c r="J5" s="50"/>
    </row>
    <row r="6" spans="1:10" s="3" customFormat="1" ht="15.75" customHeight="1">
      <c r="A6" s="200" t="s">
        <v>52</v>
      </c>
      <c r="B6" s="202"/>
      <c r="C6" s="200" t="s">
        <v>283</v>
      </c>
      <c r="D6" s="201"/>
      <c r="E6" s="201"/>
      <c r="F6" s="201"/>
      <c r="G6" s="201"/>
      <c r="H6" s="201"/>
      <c r="I6" s="201"/>
      <c r="J6" s="202"/>
    </row>
    <row r="7" spans="1:10" s="3" customFormat="1" ht="15.75" customHeight="1">
      <c r="A7" s="199" t="s">
        <v>284</v>
      </c>
      <c r="B7" s="137"/>
      <c r="C7" s="124" t="s">
        <v>285</v>
      </c>
      <c r="D7" s="126"/>
      <c r="E7" s="126"/>
      <c r="F7" s="126"/>
      <c r="G7" s="126"/>
      <c r="H7" s="126"/>
      <c r="I7" s="126"/>
      <c r="J7" s="127"/>
    </row>
    <row r="8" spans="1:10" s="3" customFormat="1" ht="15.75" customHeight="1">
      <c r="A8" s="141"/>
      <c r="B8" s="143"/>
      <c r="C8" s="131"/>
      <c r="D8" s="132"/>
      <c r="E8" s="132"/>
      <c r="F8" s="132"/>
      <c r="G8" s="132"/>
      <c r="H8" s="132"/>
      <c r="I8" s="132"/>
      <c r="J8" s="133"/>
    </row>
    <row r="9" spans="1:10" s="3" customFormat="1" ht="15.75" customHeight="1">
      <c r="A9" s="203" t="s">
        <v>286</v>
      </c>
      <c r="B9" s="137"/>
      <c r="C9" s="124" t="s">
        <v>287</v>
      </c>
      <c r="D9" s="126"/>
      <c r="E9" s="126"/>
      <c r="F9" s="126"/>
      <c r="G9" s="126"/>
      <c r="H9" s="126"/>
      <c r="I9" s="126"/>
      <c r="J9" s="127"/>
    </row>
    <row r="10" spans="1:10" s="3" customFormat="1" ht="15.75" customHeight="1">
      <c r="A10" s="141"/>
      <c r="B10" s="143"/>
      <c r="C10" s="131"/>
      <c r="D10" s="132"/>
      <c r="E10" s="132"/>
      <c r="F10" s="132"/>
      <c r="G10" s="132"/>
      <c r="H10" s="132"/>
      <c r="I10" s="132"/>
      <c r="J10" s="133"/>
    </row>
    <row r="11" spans="1:10" s="3" customFormat="1" ht="15.75" customHeight="1">
      <c r="A11" s="199"/>
      <c r="B11" s="137"/>
      <c r="C11" s="199"/>
      <c r="D11" s="136"/>
      <c r="E11" s="136"/>
      <c r="F11" s="136"/>
      <c r="G11" s="136"/>
      <c r="H11" s="136"/>
      <c r="I11" s="136"/>
      <c r="J11" s="137"/>
    </row>
    <row r="12" spans="1:10" s="3" customFormat="1" ht="15.75" customHeight="1">
      <c r="A12" s="141"/>
      <c r="B12" s="143"/>
      <c r="C12" s="141"/>
      <c r="D12" s="142"/>
      <c r="E12" s="142"/>
      <c r="F12" s="142"/>
      <c r="G12" s="142"/>
      <c r="H12" s="142"/>
      <c r="I12" s="142"/>
      <c r="J12" s="143"/>
    </row>
    <row r="13" spans="1:10" s="3" customFormat="1" ht="15.75" customHeight="1">
      <c r="A13" s="199"/>
      <c r="B13" s="137"/>
      <c r="C13" s="199"/>
      <c r="D13" s="136"/>
      <c r="E13" s="136"/>
      <c r="F13" s="136"/>
      <c r="G13" s="136"/>
      <c r="H13" s="136"/>
      <c r="I13" s="136"/>
      <c r="J13" s="137"/>
    </row>
    <row r="14" spans="1:10" s="3" customFormat="1" ht="15.75" customHeight="1">
      <c r="A14" s="141"/>
      <c r="B14" s="143"/>
      <c r="C14" s="141"/>
      <c r="D14" s="142"/>
      <c r="E14" s="142"/>
      <c r="F14" s="142"/>
      <c r="G14" s="142"/>
      <c r="H14" s="142"/>
      <c r="I14" s="142"/>
      <c r="J14" s="143"/>
    </row>
    <row r="15" spans="1:10" s="3" customFormat="1" ht="13.9"/>
    <row r="16" spans="1:10" s="47" customFormat="1" ht="33.75" customHeight="1">
      <c r="A16" s="196" t="s">
        <v>288</v>
      </c>
      <c r="B16" s="197"/>
      <c r="C16" s="197"/>
      <c r="D16" s="197"/>
      <c r="E16" s="197"/>
      <c r="F16" s="197"/>
      <c r="G16" s="197"/>
      <c r="H16" s="197"/>
      <c r="I16" s="197"/>
      <c r="J16" s="198"/>
    </row>
    <row r="17" spans="1:10" ht="15.75" customHeight="1">
      <c r="A17" s="200" t="s">
        <v>52</v>
      </c>
      <c r="B17" s="202"/>
      <c r="C17" s="200" t="s">
        <v>283</v>
      </c>
      <c r="D17" s="201"/>
      <c r="E17" s="201"/>
      <c r="F17" s="201"/>
      <c r="G17" s="201"/>
      <c r="H17" s="201"/>
      <c r="I17" s="201"/>
      <c r="J17" s="201"/>
    </row>
    <row r="18" spans="1:10" ht="15.75" customHeight="1">
      <c r="A18" s="199">
        <v>2023</v>
      </c>
      <c r="B18" s="137"/>
      <c r="C18" s="199" t="s">
        <v>289</v>
      </c>
      <c r="D18" s="136"/>
      <c r="E18" s="136"/>
      <c r="F18" s="136"/>
      <c r="G18" s="136"/>
      <c r="H18" s="136"/>
      <c r="I18" s="136"/>
      <c r="J18" s="137"/>
    </row>
    <row r="19" spans="1:10" ht="15.75" customHeight="1">
      <c r="A19" s="141"/>
      <c r="B19" s="143"/>
      <c r="C19" s="141"/>
      <c r="D19" s="142"/>
      <c r="E19" s="142"/>
      <c r="F19" s="142"/>
      <c r="G19" s="142"/>
      <c r="H19" s="142"/>
      <c r="I19" s="142"/>
      <c r="J19" s="143"/>
    </row>
    <row r="20" spans="1:10" ht="15.75" customHeight="1">
      <c r="A20" s="199">
        <v>2023</v>
      </c>
      <c r="B20" s="137"/>
      <c r="C20" s="199" t="s">
        <v>290</v>
      </c>
      <c r="D20" s="136"/>
      <c r="E20" s="136"/>
      <c r="F20" s="136"/>
      <c r="G20" s="136"/>
      <c r="H20" s="136"/>
      <c r="I20" s="136"/>
      <c r="J20" s="137"/>
    </row>
    <row r="21" spans="1:10" ht="15.75" customHeight="1">
      <c r="A21" s="141"/>
      <c r="B21" s="143"/>
      <c r="C21" s="141"/>
      <c r="D21" s="142"/>
      <c r="E21" s="142"/>
      <c r="F21" s="142"/>
      <c r="G21" s="142"/>
      <c r="H21" s="142"/>
      <c r="I21" s="142"/>
      <c r="J21" s="143"/>
    </row>
    <row r="22" spans="1:10" ht="15.75" customHeight="1">
      <c r="A22" s="199"/>
      <c r="B22" s="137"/>
      <c r="C22" s="199"/>
      <c r="D22" s="136"/>
      <c r="E22" s="136"/>
      <c r="F22" s="136"/>
      <c r="G22" s="136"/>
      <c r="H22" s="136"/>
      <c r="I22" s="136"/>
      <c r="J22" s="137"/>
    </row>
    <row r="23" spans="1:10" ht="15.75" customHeight="1">
      <c r="A23" s="141"/>
      <c r="B23" s="143"/>
      <c r="C23" s="141"/>
      <c r="D23" s="142"/>
      <c r="E23" s="142"/>
      <c r="F23" s="142"/>
      <c r="G23" s="142"/>
      <c r="H23" s="142"/>
      <c r="I23" s="142"/>
      <c r="J23" s="143"/>
    </row>
    <row r="24" spans="1:10" ht="15.75" customHeight="1">
      <c r="A24" s="199"/>
      <c r="B24" s="137"/>
      <c r="C24" s="199"/>
      <c r="D24" s="136"/>
      <c r="E24" s="136"/>
      <c r="F24" s="136"/>
      <c r="G24" s="136"/>
      <c r="H24" s="136"/>
      <c r="I24" s="136"/>
      <c r="J24" s="137"/>
    </row>
    <row r="25" spans="1:10" ht="15.75" customHeight="1">
      <c r="A25" s="141"/>
      <c r="B25" s="143"/>
      <c r="C25" s="141"/>
      <c r="D25" s="142"/>
      <c r="E25" s="142"/>
      <c r="F25" s="142"/>
      <c r="G25" s="142"/>
      <c r="H25" s="142"/>
      <c r="I25" s="142"/>
      <c r="J25" s="143"/>
    </row>
    <row r="26" spans="1:10" ht="15.75" customHeight="1">
      <c r="A26" s="199"/>
      <c r="B26" s="137"/>
      <c r="C26" s="199"/>
      <c r="D26" s="136"/>
      <c r="E26" s="136"/>
      <c r="F26" s="136"/>
      <c r="G26" s="136"/>
      <c r="H26" s="136"/>
      <c r="I26" s="136"/>
      <c r="J26" s="137"/>
    </row>
    <row r="27" spans="1:10" ht="15.75" customHeight="1">
      <c r="A27" s="141"/>
      <c r="B27" s="143"/>
      <c r="C27" s="141"/>
      <c r="D27" s="142"/>
      <c r="E27" s="142"/>
      <c r="F27" s="142"/>
      <c r="G27" s="142"/>
      <c r="H27" s="142"/>
      <c r="I27" s="142"/>
      <c r="J27" s="143"/>
    </row>
    <row r="28" spans="1:10" ht="15.6">
      <c r="A28" s="1"/>
      <c r="B28" s="93"/>
      <c r="C28" s="93"/>
      <c r="D28" s="93"/>
      <c r="E28" s="93"/>
      <c r="F28" s="93"/>
      <c r="G28" s="93"/>
      <c r="H28" s="93"/>
      <c r="I28" s="93"/>
      <c r="J28" s="93"/>
    </row>
    <row r="29" spans="1:10" ht="36.75" customHeight="1">
      <c r="A29" s="196" t="s">
        <v>291</v>
      </c>
      <c r="B29" s="197"/>
      <c r="C29" s="197"/>
      <c r="D29" s="197"/>
      <c r="E29" s="197"/>
      <c r="F29" s="197"/>
      <c r="G29" s="197"/>
      <c r="H29" s="197"/>
      <c r="I29" s="197"/>
      <c r="J29" s="198"/>
    </row>
    <row r="66" spans="6:6">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6"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view="pageBreakPreview"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3" t="str">
        <f>+'Cover Page'!$B$29</f>
        <v>Annual Performance Report 2022</v>
      </c>
      <c r="B1" s="93"/>
      <c r="C1" s="93"/>
      <c r="D1" s="93"/>
      <c r="E1" s="93" t="str">
        <f>+'Cover Page'!$B$33</f>
        <v>Stoke Energy from Waste Facility</v>
      </c>
      <c r="F1" s="93"/>
      <c r="G1" s="93"/>
    </row>
    <row r="3" spans="1:7" ht="15.6">
      <c r="A3" s="1" t="s">
        <v>292</v>
      </c>
      <c r="B3" s="93"/>
      <c r="C3" s="93"/>
      <c r="D3" s="93"/>
      <c r="E3" s="93"/>
      <c r="F3" s="93"/>
      <c r="G3" s="93"/>
    </row>
    <row r="4" spans="1:7" ht="15.6">
      <c r="A4" s="1"/>
      <c r="B4" s="93"/>
      <c r="C4" s="93"/>
      <c r="D4" s="93"/>
      <c r="E4" s="93"/>
      <c r="F4" s="93"/>
      <c r="G4" s="93"/>
    </row>
    <row r="5" spans="1:7" s="3" customFormat="1" ht="21.75" customHeight="1">
      <c r="A5" s="48" t="s">
        <v>293</v>
      </c>
      <c r="B5" s="49"/>
      <c r="C5" s="49"/>
      <c r="D5" s="49"/>
      <c r="E5" s="49"/>
      <c r="F5" s="49"/>
      <c r="G5" s="50"/>
    </row>
    <row r="6" spans="1:7" s="3" customFormat="1" ht="15.75" customHeight="1">
      <c r="A6" s="199" t="s">
        <v>294</v>
      </c>
      <c r="B6" s="136"/>
      <c r="C6" s="136"/>
      <c r="D6" s="136"/>
      <c r="E6" s="136"/>
      <c r="F6" s="136"/>
      <c r="G6" s="137"/>
    </row>
    <row r="7" spans="1:7" s="3" customFormat="1" ht="15.75" customHeight="1">
      <c r="A7" s="141"/>
      <c r="B7" s="142"/>
      <c r="C7" s="142"/>
      <c r="D7" s="142"/>
      <c r="E7" s="142"/>
      <c r="F7" s="142"/>
      <c r="G7" s="143"/>
    </row>
    <row r="8" spans="1:7" s="3" customFormat="1" ht="15.75" customHeight="1">
      <c r="A8" s="124"/>
      <c r="B8" s="126"/>
      <c r="C8" s="126"/>
      <c r="D8" s="126"/>
      <c r="E8" s="126"/>
      <c r="F8" s="126"/>
      <c r="G8" s="127"/>
    </row>
    <row r="9" spans="1:7" s="3" customFormat="1" ht="15.75" customHeight="1">
      <c r="A9" s="131"/>
      <c r="B9" s="132"/>
      <c r="C9" s="132"/>
      <c r="D9" s="132"/>
      <c r="E9" s="132"/>
      <c r="F9" s="132"/>
      <c r="G9" s="133"/>
    </row>
    <row r="10" spans="1:7" s="3" customFormat="1" ht="15.75" customHeight="1">
      <c r="A10" s="124"/>
      <c r="B10" s="126"/>
      <c r="C10" s="126"/>
      <c r="D10" s="126"/>
      <c r="E10" s="126"/>
      <c r="F10" s="126"/>
      <c r="G10" s="127"/>
    </row>
    <row r="11" spans="1:7" s="3" customFormat="1" ht="15.75" customHeight="1">
      <c r="A11" s="131"/>
      <c r="B11" s="132"/>
      <c r="C11" s="132"/>
      <c r="D11" s="132"/>
      <c r="E11" s="132"/>
      <c r="F11" s="132"/>
      <c r="G11" s="133"/>
    </row>
    <row r="12" spans="1:7" s="3" customFormat="1" ht="13.9"/>
    <row r="13" spans="1:7" s="47" customFormat="1" ht="33.75" customHeight="1">
      <c r="A13" s="196" t="s">
        <v>295</v>
      </c>
      <c r="B13" s="197"/>
      <c r="C13" s="197"/>
      <c r="D13" s="197"/>
      <c r="E13" s="197"/>
      <c r="F13" s="197"/>
      <c r="G13" s="198"/>
    </row>
    <row r="14" spans="1:7" ht="15.75" customHeight="1">
      <c r="A14" s="200" t="s">
        <v>296</v>
      </c>
      <c r="B14" s="202"/>
      <c r="C14" s="200" t="s">
        <v>283</v>
      </c>
      <c r="D14" s="201"/>
      <c r="E14" s="201"/>
      <c r="F14" s="201"/>
      <c r="G14" s="201"/>
    </row>
    <row r="15" spans="1:7" ht="15.75" customHeight="1">
      <c r="A15" s="124"/>
      <c r="B15" s="127"/>
      <c r="C15" s="199"/>
      <c r="D15" s="136"/>
      <c r="E15" s="136"/>
      <c r="F15" s="136"/>
      <c r="G15" s="137"/>
    </row>
    <row r="16" spans="1:7" ht="15.75" customHeight="1">
      <c r="A16" s="131"/>
      <c r="B16" s="133"/>
      <c r="C16" s="141"/>
      <c r="D16" s="142"/>
      <c r="E16" s="142"/>
      <c r="F16" s="142"/>
      <c r="G16" s="143"/>
    </row>
    <row r="17" spans="1:11" ht="15.75" customHeight="1">
      <c r="A17" s="199"/>
      <c r="B17" s="137"/>
      <c r="C17" s="199"/>
      <c r="D17" s="136"/>
      <c r="E17" s="136"/>
      <c r="F17" s="136"/>
      <c r="G17" s="137"/>
      <c r="H17" s="93"/>
      <c r="I17" s="93"/>
      <c r="J17" s="93"/>
      <c r="K17" s="93"/>
    </row>
    <row r="18" spans="1:11" ht="15.75" customHeight="1">
      <c r="A18" s="141"/>
      <c r="B18" s="143"/>
      <c r="C18" s="141"/>
      <c r="D18" s="142"/>
      <c r="E18" s="142"/>
      <c r="F18" s="142"/>
      <c r="G18" s="143"/>
      <c r="H18" s="93"/>
      <c r="I18" s="93"/>
      <c r="J18" s="93"/>
      <c r="K18" s="93"/>
    </row>
    <row r="19" spans="1:11" ht="15.75" customHeight="1">
      <c r="A19" s="199"/>
      <c r="B19" s="137"/>
      <c r="C19" s="199"/>
      <c r="D19" s="136"/>
      <c r="E19" s="136"/>
      <c r="F19" s="136"/>
      <c r="G19" s="137"/>
      <c r="H19" s="93"/>
      <c r="I19" s="93"/>
      <c r="J19" s="93"/>
      <c r="K19" s="93"/>
    </row>
    <row r="20" spans="1:11" ht="15.75" customHeight="1">
      <c r="A20" s="141"/>
      <c r="B20" s="143"/>
      <c r="C20" s="141"/>
      <c r="D20" s="142"/>
      <c r="E20" s="142"/>
      <c r="F20" s="142"/>
      <c r="G20" s="143"/>
      <c r="H20" s="93"/>
      <c r="I20" s="93"/>
      <c r="J20" s="93"/>
      <c r="K20" s="93"/>
    </row>
    <row r="21" spans="1:11" ht="15.75" customHeight="1">
      <c r="A21" s="199"/>
      <c r="B21" s="137"/>
      <c r="C21" s="199"/>
      <c r="D21" s="136"/>
      <c r="E21" s="136"/>
      <c r="F21" s="136"/>
      <c r="G21" s="137"/>
      <c r="H21" s="93"/>
      <c r="I21" s="93"/>
      <c r="J21" s="93"/>
      <c r="K21" s="93"/>
    </row>
    <row r="22" spans="1:11" ht="15.75" customHeight="1">
      <c r="A22" s="141"/>
      <c r="B22" s="143"/>
      <c r="C22" s="141"/>
      <c r="D22" s="142"/>
      <c r="E22" s="142"/>
      <c r="F22" s="142"/>
      <c r="G22" s="143"/>
      <c r="H22" s="93"/>
      <c r="I22" s="93"/>
      <c r="J22" s="93"/>
      <c r="K22" s="93"/>
    </row>
    <row r="23" spans="1:11" ht="15.75" customHeight="1">
      <c r="A23" s="199"/>
      <c r="B23" s="137"/>
      <c r="C23" s="199"/>
      <c r="D23" s="136"/>
      <c r="E23" s="136"/>
      <c r="F23" s="136"/>
      <c r="G23" s="137"/>
      <c r="H23" s="93"/>
      <c r="I23" s="93"/>
      <c r="J23" s="93"/>
      <c r="K23" s="93"/>
    </row>
    <row r="24" spans="1:11" ht="15.75" customHeight="1">
      <c r="A24" s="141"/>
      <c r="B24" s="143"/>
      <c r="C24" s="141"/>
      <c r="D24" s="142"/>
      <c r="E24" s="142"/>
      <c r="F24" s="142"/>
      <c r="G24" s="143"/>
      <c r="H24" s="93"/>
      <c r="I24" s="93"/>
      <c r="J24" s="93"/>
      <c r="K24" s="93"/>
    </row>
    <row r="26" spans="1:11">
      <c r="A26" s="96"/>
      <c r="B26" s="96"/>
      <c r="C26" s="96"/>
      <c r="D26" s="96"/>
      <c r="E26" s="96"/>
      <c r="F26" s="96"/>
      <c r="G26" s="96"/>
      <c r="H26" s="93"/>
      <c r="I26" s="93"/>
      <c r="J26" s="93"/>
      <c r="K26" s="93"/>
    </row>
    <row r="27" spans="1:11" s="56" customFormat="1" ht="16.5" customHeight="1">
      <c r="A27" s="204" t="s">
        <v>297</v>
      </c>
      <c r="B27" s="204"/>
      <c r="C27" s="204"/>
      <c r="D27" s="204"/>
      <c r="E27" s="204"/>
      <c r="F27" s="204"/>
      <c r="G27" s="204"/>
    </row>
    <row r="28" spans="1:11" s="12" customFormat="1" ht="17.25" customHeight="1">
      <c r="A28" s="205" t="s">
        <v>298</v>
      </c>
      <c r="B28" s="205"/>
      <c r="C28" s="193" t="s">
        <v>299</v>
      </c>
      <c r="D28" s="193" t="s">
        <v>300</v>
      </c>
      <c r="E28" s="193"/>
      <c r="F28" s="193"/>
      <c r="G28" s="193"/>
      <c r="H28" s="96"/>
      <c r="I28" s="96"/>
      <c r="J28" s="96"/>
      <c r="K28" s="96"/>
    </row>
    <row r="29" spans="1:11" s="12" customFormat="1" ht="17.25" customHeight="1">
      <c r="A29" s="205"/>
      <c r="B29" s="205"/>
      <c r="C29" s="193"/>
      <c r="D29" s="193" t="s">
        <v>301</v>
      </c>
      <c r="E29" s="193"/>
      <c r="F29" s="193" t="s">
        <v>166</v>
      </c>
      <c r="G29" s="193"/>
      <c r="H29" s="96"/>
      <c r="I29" s="96"/>
      <c r="J29" s="96"/>
      <c r="K29" s="96"/>
    </row>
    <row r="30" spans="1:11" s="37" customFormat="1" ht="38.1" customHeight="1">
      <c r="A30" s="206" t="s">
        <v>302</v>
      </c>
      <c r="B30" s="206"/>
      <c r="C30" s="366" t="s">
        <v>303</v>
      </c>
      <c r="D30" s="358">
        <v>5.81</v>
      </c>
      <c r="E30" s="358"/>
      <c r="F30" s="367"/>
      <c r="G30" s="368"/>
      <c r="H30" s="342"/>
      <c r="I30" s="342"/>
      <c r="J30" s="96"/>
      <c r="K30" s="96"/>
    </row>
    <row r="31" spans="1:11" s="37" customFormat="1" ht="38.1" customHeight="1">
      <c r="A31" s="206" t="s">
        <v>304</v>
      </c>
      <c r="B31" s="206"/>
      <c r="C31" s="355" t="s">
        <v>305</v>
      </c>
      <c r="D31" s="358">
        <v>0.76</v>
      </c>
      <c r="E31" s="358"/>
      <c r="F31" s="367"/>
      <c r="G31" s="368"/>
      <c r="H31" s="342"/>
      <c r="I31" s="342"/>
      <c r="J31" s="96"/>
      <c r="K31" s="96"/>
    </row>
    <row r="32" spans="1:11" s="37" customFormat="1" ht="38.1" customHeight="1">
      <c r="A32" s="206" t="s">
        <v>306</v>
      </c>
      <c r="B32" s="206"/>
      <c r="C32" s="355" t="s">
        <v>307</v>
      </c>
      <c r="D32" s="358">
        <v>6</v>
      </c>
      <c r="E32" s="358"/>
      <c r="F32" s="369">
        <v>4</v>
      </c>
      <c r="G32" s="370"/>
      <c r="H32" s="342"/>
      <c r="I32" s="342"/>
      <c r="J32" s="96"/>
      <c r="K32" s="96"/>
    </row>
    <row r="33" spans="1:7" s="37" customFormat="1" ht="38.1" customHeight="1">
      <c r="A33" s="206" t="s">
        <v>308</v>
      </c>
      <c r="B33" s="206"/>
      <c r="C33" s="355" t="s">
        <v>307</v>
      </c>
      <c r="D33" s="358">
        <v>0</v>
      </c>
      <c r="E33" s="358"/>
      <c r="F33" s="367"/>
      <c r="G33" s="368"/>
    </row>
    <row r="35" spans="1:7">
      <c r="A35" s="155" t="s">
        <v>309</v>
      </c>
      <c r="B35" s="155"/>
      <c r="C35" s="155"/>
      <c r="D35" s="155"/>
      <c r="E35" s="155"/>
      <c r="F35" s="155"/>
      <c r="G35" s="155"/>
    </row>
    <row r="36" spans="1:7">
      <c r="A36" s="156" t="s">
        <v>310</v>
      </c>
      <c r="B36" s="156"/>
      <c r="C36" s="156"/>
      <c r="D36" s="156"/>
      <c r="E36" s="156"/>
      <c r="F36" s="156"/>
      <c r="G36" s="156"/>
    </row>
    <row r="37" spans="1:7">
      <c r="A37" s="156"/>
      <c r="B37" s="156"/>
      <c r="C37" s="156"/>
      <c r="D37" s="156"/>
      <c r="E37" s="156"/>
      <c r="F37" s="156"/>
      <c r="G37" s="156"/>
    </row>
    <row r="38" spans="1:7">
      <c r="A38" s="156"/>
      <c r="B38" s="156"/>
      <c r="C38" s="156"/>
      <c r="D38" s="156"/>
      <c r="E38" s="156"/>
      <c r="F38" s="156"/>
      <c r="G38" s="156"/>
    </row>
    <row r="39" spans="1:7">
      <c r="A39" s="156"/>
      <c r="B39" s="156"/>
      <c r="C39" s="156"/>
      <c r="D39" s="156"/>
      <c r="E39" s="156"/>
      <c r="F39" s="156"/>
      <c r="G39" s="156"/>
    </row>
    <row r="40" spans="1:7">
      <c r="A40" s="156"/>
      <c r="B40" s="156"/>
      <c r="C40" s="156"/>
      <c r="D40" s="156"/>
      <c r="E40" s="156"/>
      <c r="F40" s="156"/>
      <c r="G40" s="156"/>
    </row>
    <row r="41" spans="1:7">
      <c r="A41" s="156"/>
      <c r="B41" s="156"/>
      <c r="C41" s="156"/>
      <c r="D41" s="156"/>
      <c r="E41" s="156"/>
      <c r="F41" s="156"/>
      <c r="G41" s="156"/>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view="pageBreakPreview"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93" t="str">
        <f>+'Cover Page'!$B$29</f>
        <v>Annual Performance Report 2022</v>
      </c>
      <c r="B1" s="93"/>
      <c r="C1" s="93"/>
      <c r="D1" s="93"/>
      <c r="E1" s="93" t="str">
        <f>+'Cover Page'!$B$33</f>
        <v>Stoke Energy from Waste Facility</v>
      </c>
      <c r="F1" s="93"/>
      <c r="G1" s="93"/>
      <c r="H1" s="93"/>
      <c r="I1" s="93"/>
      <c r="J1" s="93"/>
    </row>
    <row r="3" spans="1:10" ht="15.6">
      <c r="A3" s="1" t="s">
        <v>40</v>
      </c>
      <c r="B3" s="93"/>
      <c r="C3" s="93"/>
      <c r="D3" s="93"/>
      <c r="E3" s="93"/>
      <c r="F3" s="93"/>
      <c r="G3" s="93"/>
      <c r="H3" s="93"/>
      <c r="I3" s="93"/>
      <c r="J3" s="93"/>
    </row>
    <row r="4" spans="1:10" ht="15.6">
      <c r="A4" s="1"/>
      <c r="B4" s="93"/>
      <c r="C4" s="93"/>
      <c r="D4" s="93"/>
      <c r="E4" s="93"/>
      <c r="F4" s="93"/>
      <c r="G4" s="93"/>
      <c r="H4" s="93"/>
      <c r="I4" s="93"/>
      <c r="J4" s="93"/>
    </row>
    <row r="5" spans="1:10" s="3" customFormat="1" ht="21.75" customHeight="1">
      <c r="A5" s="48" t="s">
        <v>293</v>
      </c>
      <c r="B5" s="49"/>
      <c r="C5" s="49"/>
      <c r="D5" s="49"/>
      <c r="E5" s="49"/>
      <c r="F5" s="49"/>
      <c r="G5" s="49"/>
      <c r="H5" s="49"/>
      <c r="I5" s="49"/>
      <c r="J5" s="50"/>
    </row>
    <row r="6" spans="1:10" s="3" customFormat="1" ht="15.75" customHeight="1">
      <c r="A6" s="199" t="s">
        <v>311</v>
      </c>
      <c r="B6" s="136"/>
      <c r="C6" s="136"/>
      <c r="D6" s="136"/>
      <c r="E6" s="136"/>
      <c r="F6" s="136"/>
      <c r="G6" s="136"/>
      <c r="H6" s="136"/>
      <c r="I6" s="136"/>
      <c r="J6" s="137"/>
    </row>
    <row r="7" spans="1:10" s="3" customFormat="1" ht="15.75" customHeight="1">
      <c r="A7" s="141"/>
      <c r="B7" s="142"/>
      <c r="C7" s="142"/>
      <c r="D7" s="142"/>
      <c r="E7" s="142"/>
      <c r="F7" s="142"/>
      <c r="G7" s="142"/>
      <c r="H7" s="142"/>
      <c r="I7" s="142"/>
      <c r="J7" s="143"/>
    </row>
    <row r="8" spans="1:10" s="3" customFormat="1" ht="15.75" customHeight="1">
      <c r="A8" s="124"/>
      <c r="B8" s="126"/>
      <c r="C8" s="126"/>
      <c r="D8" s="126"/>
      <c r="E8" s="126"/>
      <c r="F8" s="126"/>
      <c r="G8" s="126"/>
      <c r="H8" s="126"/>
      <c r="I8" s="126"/>
      <c r="J8" s="127"/>
    </row>
    <row r="9" spans="1:10" s="3" customFormat="1" ht="15.75" customHeight="1">
      <c r="A9" s="131"/>
      <c r="B9" s="132"/>
      <c r="C9" s="132"/>
      <c r="D9" s="132"/>
      <c r="E9" s="132"/>
      <c r="F9" s="132"/>
      <c r="G9" s="132"/>
      <c r="H9" s="132"/>
      <c r="I9" s="132"/>
      <c r="J9" s="133"/>
    </row>
    <row r="10" spans="1:10" s="3" customFormat="1" ht="15.75" customHeight="1">
      <c r="A10" s="124"/>
      <c r="B10" s="126"/>
      <c r="C10" s="126"/>
      <c r="D10" s="126"/>
      <c r="E10" s="126"/>
      <c r="F10" s="126"/>
      <c r="G10" s="126"/>
      <c r="H10" s="126"/>
      <c r="I10" s="126"/>
      <c r="J10" s="127"/>
    </row>
    <row r="11" spans="1:10" s="3" customFormat="1" ht="15.75" customHeight="1">
      <c r="A11" s="131"/>
      <c r="B11" s="132"/>
      <c r="C11" s="132"/>
      <c r="D11" s="132"/>
      <c r="E11" s="132"/>
      <c r="F11" s="132"/>
      <c r="G11" s="132"/>
      <c r="H11" s="132"/>
      <c r="I11" s="132"/>
      <c r="J11" s="133"/>
    </row>
    <row r="12" spans="1:10" s="3" customFormat="1" ht="13.9"/>
    <row r="13" spans="1:10" s="47" customFormat="1" ht="33.75" customHeight="1">
      <c r="A13" s="196" t="s">
        <v>295</v>
      </c>
      <c r="B13" s="197"/>
      <c r="C13" s="197"/>
      <c r="D13" s="197"/>
      <c r="E13" s="197"/>
      <c r="F13" s="197"/>
      <c r="G13" s="197"/>
      <c r="H13" s="197"/>
      <c r="I13" s="197"/>
      <c r="J13" s="198"/>
    </row>
    <row r="14" spans="1:10" ht="15.75" customHeight="1">
      <c r="A14" s="200" t="s">
        <v>296</v>
      </c>
      <c r="B14" s="202"/>
      <c r="C14" s="200" t="s">
        <v>283</v>
      </c>
      <c r="D14" s="201"/>
      <c r="E14" s="201"/>
      <c r="F14" s="201"/>
      <c r="G14" s="201"/>
      <c r="H14" s="201"/>
      <c r="I14" s="201"/>
      <c r="J14" s="201"/>
    </row>
    <row r="15" spans="1:10" ht="15.75" customHeight="1">
      <c r="A15" s="124"/>
      <c r="B15" s="127"/>
      <c r="C15" s="199"/>
      <c r="D15" s="136"/>
      <c r="E15" s="136"/>
      <c r="F15" s="136"/>
      <c r="G15" s="136"/>
      <c r="H15" s="136"/>
      <c r="I15" s="136"/>
      <c r="J15" s="137"/>
    </row>
    <row r="16" spans="1:10" ht="15.75" customHeight="1">
      <c r="A16" s="131"/>
      <c r="B16" s="133"/>
      <c r="C16" s="141"/>
      <c r="D16" s="142"/>
      <c r="E16" s="142"/>
      <c r="F16" s="142"/>
      <c r="G16" s="142"/>
      <c r="H16" s="142"/>
      <c r="I16" s="142"/>
      <c r="J16" s="143"/>
    </row>
    <row r="17" spans="1:10" ht="15.75" customHeight="1">
      <c r="A17" s="199"/>
      <c r="B17" s="137"/>
      <c r="C17" s="199"/>
      <c r="D17" s="136"/>
      <c r="E17" s="136"/>
      <c r="F17" s="136"/>
      <c r="G17" s="136"/>
      <c r="H17" s="136"/>
      <c r="I17" s="136"/>
      <c r="J17" s="137"/>
    </row>
    <row r="18" spans="1:10" ht="15.75" customHeight="1">
      <c r="A18" s="141"/>
      <c r="B18" s="143"/>
      <c r="C18" s="141"/>
      <c r="D18" s="142"/>
      <c r="E18" s="142"/>
      <c r="F18" s="142"/>
      <c r="G18" s="142"/>
      <c r="H18" s="142"/>
      <c r="I18" s="142"/>
      <c r="J18" s="143"/>
    </row>
    <row r="19" spans="1:10" ht="15.75" customHeight="1">
      <c r="A19" s="199"/>
      <c r="B19" s="137"/>
      <c r="C19" s="199"/>
      <c r="D19" s="136"/>
      <c r="E19" s="136"/>
      <c r="F19" s="136"/>
      <c r="G19" s="136"/>
      <c r="H19" s="136"/>
      <c r="I19" s="136"/>
      <c r="J19" s="137"/>
    </row>
    <row r="20" spans="1:10" ht="15.75" customHeight="1">
      <c r="A20" s="141"/>
      <c r="B20" s="143"/>
      <c r="C20" s="141"/>
      <c r="D20" s="142"/>
      <c r="E20" s="142"/>
      <c r="F20" s="142"/>
      <c r="G20" s="142"/>
      <c r="H20" s="142"/>
      <c r="I20" s="142"/>
      <c r="J20" s="143"/>
    </row>
    <row r="22" spans="1:10" ht="22.5" customHeight="1">
      <c r="A22" s="207" t="s">
        <v>312</v>
      </c>
      <c r="B22" s="208"/>
      <c r="C22" s="208"/>
      <c r="D22" s="208"/>
      <c r="E22" s="208"/>
      <c r="F22" s="208"/>
      <c r="G22" s="208"/>
      <c r="H22" s="208"/>
      <c r="I22" s="208"/>
      <c r="J22" s="208"/>
    </row>
    <row r="23" spans="1:10" ht="19.5" customHeight="1">
      <c r="A23" s="209" t="s">
        <v>187</v>
      </c>
      <c r="B23" s="210"/>
      <c r="C23" s="211"/>
      <c r="D23" s="212" t="s">
        <v>313</v>
      </c>
      <c r="E23" s="213"/>
      <c r="F23" s="214"/>
      <c r="G23" s="54" t="s">
        <v>299</v>
      </c>
      <c r="H23" s="54" t="s">
        <v>314</v>
      </c>
      <c r="I23" s="54" t="s">
        <v>315</v>
      </c>
      <c r="J23" s="54" t="s">
        <v>223</v>
      </c>
    </row>
    <row r="24" spans="1:10">
      <c r="A24" s="371"/>
      <c r="B24" s="372"/>
      <c r="C24" s="373"/>
      <c r="D24" s="374"/>
      <c r="E24" s="375"/>
      <c r="F24" s="376"/>
      <c r="G24" s="100"/>
      <c r="H24" s="100"/>
      <c r="I24" s="100"/>
      <c r="J24" s="100"/>
    </row>
    <row r="25" spans="1:10">
      <c r="A25" s="371"/>
      <c r="B25" s="372"/>
      <c r="C25" s="373"/>
      <c r="D25" s="374"/>
      <c r="E25" s="375"/>
      <c r="F25" s="376"/>
      <c r="G25" s="100"/>
      <c r="H25" s="100"/>
      <c r="I25" s="100"/>
      <c r="J25" s="100"/>
    </row>
    <row r="26" spans="1:10">
      <c r="A26" s="371"/>
      <c r="B26" s="372"/>
      <c r="C26" s="373"/>
      <c r="D26" s="374"/>
      <c r="E26" s="375"/>
      <c r="F26" s="376"/>
      <c r="G26" s="100"/>
      <c r="H26" s="100"/>
      <c r="I26" s="100"/>
      <c r="J26" s="100"/>
    </row>
    <row r="27" spans="1:10">
      <c r="A27" s="371"/>
      <c r="B27" s="372"/>
      <c r="C27" s="373"/>
      <c r="D27" s="374"/>
      <c r="E27" s="375"/>
      <c r="F27" s="376"/>
      <c r="G27" s="100"/>
      <c r="H27" s="100"/>
      <c r="I27" s="100"/>
      <c r="J27" s="100"/>
    </row>
    <row r="28" spans="1:10">
      <c r="A28" s="371"/>
      <c r="B28" s="372"/>
      <c r="C28" s="373"/>
      <c r="D28" s="374"/>
      <c r="E28" s="375"/>
      <c r="F28" s="376"/>
      <c r="G28" s="100"/>
      <c r="H28" s="100"/>
      <c r="I28" s="100"/>
      <c r="J28" s="100"/>
    </row>
    <row r="29" spans="1:10">
      <c r="A29" s="371"/>
      <c r="B29" s="372"/>
      <c r="C29" s="373"/>
      <c r="D29" s="374"/>
      <c r="E29" s="375"/>
      <c r="F29" s="376"/>
      <c r="G29" s="100"/>
      <c r="H29" s="100"/>
      <c r="I29" s="100"/>
      <c r="J29" s="100"/>
    </row>
    <row r="30" spans="1:10">
      <c r="A30" s="377"/>
      <c r="B30" s="377"/>
      <c r="C30" s="377"/>
      <c r="D30" s="374"/>
      <c r="E30" s="375"/>
      <c r="F30" s="376"/>
      <c r="G30" s="100"/>
      <c r="H30" s="100"/>
      <c r="I30" s="100"/>
      <c r="J30" s="100"/>
    </row>
    <row r="31" spans="1:10">
      <c r="A31" s="96"/>
      <c r="B31" s="96"/>
      <c r="C31" s="96"/>
      <c r="D31" s="96"/>
      <c r="E31" s="96"/>
      <c r="F31" s="96"/>
      <c r="G31" s="96"/>
      <c r="H31" s="96"/>
      <c r="I31" s="96"/>
      <c r="J31" s="96"/>
    </row>
    <row r="32" spans="1:10">
      <c r="A32" s="96"/>
      <c r="B32" s="96"/>
      <c r="C32" s="96"/>
      <c r="D32" s="96"/>
      <c r="E32" s="96"/>
      <c r="F32" s="96"/>
      <c r="G32" s="96"/>
      <c r="H32" s="96"/>
      <c r="I32" s="96"/>
      <c r="J32" s="96"/>
    </row>
    <row r="33" spans="1:10">
      <c r="A33" s="96"/>
      <c r="B33" s="96"/>
      <c r="C33" s="96"/>
      <c r="D33" s="96"/>
      <c r="E33" s="96"/>
      <c r="F33" s="96"/>
      <c r="G33" s="96"/>
      <c r="H33" s="96"/>
      <c r="I33" s="96"/>
      <c r="J33" s="96"/>
    </row>
    <row r="66" spans="6:6">
      <c r="F66" s="3"/>
    </row>
  </sheetData>
  <mergeCells count="29">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s>
  <pageMargins left="0.7" right="0.7" top="0.75" bottom="0.75" header="0.3" footer="0.3"/>
  <pageSetup paperSize="9" scale="79"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view="pageBreakPreview" zoomScale="60" zoomScaleNormal="100" workbookViewId="0">
      <selection activeCell="U21" sqref="U21"/>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3" t="str">
        <f>+'Cover Page'!$B$29</f>
        <v>Annual Performance Report 2022</v>
      </c>
      <c r="B1" s="93"/>
      <c r="C1" s="93"/>
      <c r="D1" s="93"/>
      <c r="E1" s="93" t="str">
        <f>+'Cover Page'!$B$33</f>
        <v>Stoke Energy from Waste Facility</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ht="15.6">
      <c r="A3" s="1" t="s">
        <v>41</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316</v>
      </c>
      <c r="B5" s="49"/>
      <c r="C5" s="49"/>
      <c r="D5" s="49"/>
      <c r="E5" s="49"/>
      <c r="F5" s="49"/>
      <c r="G5" s="49"/>
      <c r="H5" s="49"/>
      <c r="I5" s="49"/>
      <c r="J5" s="50"/>
      <c r="M5" s="82" t="s">
        <v>3</v>
      </c>
    </row>
    <row r="6" spans="1:16" s="3" customFormat="1" ht="15.75" customHeight="1">
      <c r="A6" s="199"/>
      <c r="B6" s="136"/>
      <c r="C6" s="136"/>
      <c r="D6" s="136"/>
      <c r="E6" s="136"/>
      <c r="F6" s="136"/>
      <c r="G6" s="136"/>
      <c r="H6" s="136"/>
      <c r="I6" s="136"/>
      <c r="J6" s="137"/>
      <c r="M6" s="215" t="s">
        <v>317</v>
      </c>
      <c r="N6" s="215"/>
      <c r="O6" s="215"/>
      <c r="P6" s="215"/>
    </row>
    <row r="7" spans="1:16" s="3" customFormat="1" ht="15.75" customHeight="1">
      <c r="A7" s="141"/>
      <c r="B7" s="142"/>
      <c r="C7" s="142"/>
      <c r="D7" s="142"/>
      <c r="E7" s="142"/>
      <c r="F7" s="142"/>
      <c r="G7" s="142"/>
      <c r="H7" s="142"/>
      <c r="I7" s="142"/>
      <c r="J7" s="143"/>
      <c r="M7" s="215"/>
      <c r="N7" s="215"/>
      <c r="O7" s="215"/>
      <c r="P7" s="215"/>
    </row>
    <row r="8" spans="1:16" s="3" customFormat="1" ht="13.9">
      <c r="M8" s="215"/>
      <c r="N8" s="215"/>
      <c r="O8" s="215"/>
      <c r="P8" s="215"/>
    </row>
    <row r="9" spans="1:16" s="56" customFormat="1" ht="16.5" customHeight="1">
      <c r="A9" s="204" t="s">
        <v>318</v>
      </c>
      <c r="B9" s="204"/>
      <c r="C9" s="204"/>
      <c r="D9" s="204"/>
      <c r="E9" s="204"/>
      <c r="F9" s="204"/>
      <c r="G9" s="204"/>
      <c r="H9" s="204"/>
      <c r="I9" s="204"/>
      <c r="J9" s="204"/>
      <c r="M9" s="215"/>
      <c r="N9" s="215"/>
      <c r="O9" s="215"/>
      <c r="P9" s="215"/>
    </row>
    <row r="10" spans="1:16" s="56" customFormat="1" ht="16.5" customHeight="1">
      <c r="A10" s="216" t="s">
        <v>211</v>
      </c>
      <c r="B10" s="217"/>
      <c r="C10" s="227" t="s">
        <v>319</v>
      </c>
      <c r="D10" s="223" t="s">
        <v>320</v>
      </c>
      <c r="E10" s="224"/>
      <c r="F10" s="220" t="s">
        <v>223</v>
      </c>
      <c r="G10" s="221"/>
      <c r="H10" s="221"/>
      <c r="I10" s="221"/>
      <c r="J10" s="222"/>
      <c r="M10" s="215" t="s">
        <v>321</v>
      </c>
      <c r="N10" s="215"/>
      <c r="O10" s="215"/>
      <c r="P10" s="215"/>
    </row>
    <row r="11" spans="1:16" s="12" customFormat="1" ht="17.25" customHeight="1">
      <c r="A11" s="218"/>
      <c r="B11" s="219"/>
      <c r="C11" s="228"/>
      <c r="D11" s="225"/>
      <c r="E11" s="226"/>
      <c r="F11" s="46" t="s">
        <v>189</v>
      </c>
      <c r="G11" s="46" t="s">
        <v>190</v>
      </c>
      <c r="H11" s="46"/>
      <c r="I11" s="46"/>
      <c r="J11" s="46"/>
      <c r="K11" s="96"/>
      <c r="L11" s="96"/>
      <c r="M11" s="215"/>
      <c r="N11" s="215"/>
      <c r="O11" s="215"/>
      <c r="P11" s="215"/>
    </row>
    <row r="12" spans="1:16" s="12" customFormat="1" ht="23.25" customHeight="1">
      <c r="A12" s="206" t="s">
        <v>222</v>
      </c>
      <c r="B12" s="206"/>
      <c r="C12" s="378" t="s">
        <v>322</v>
      </c>
      <c r="D12" s="357" t="s">
        <v>323</v>
      </c>
      <c r="E12" s="357"/>
      <c r="F12" s="100">
        <v>0.253</v>
      </c>
      <c r="G12" s="100">
        <v>0.47499999999999998</v>
      </c>
      <c r="H12" s="100"/>
      <c r="I12" s="100"/>
      <c r="J12" s="100"/>
      <c r="K12" s="96"/>
      <c r="L12" s="96"/>
      <c r="M12" s="215"/>
      <c r="N12" s="215"/>
      <c r="O12" s="215"/>
      <c r="P12" s="215"/>
    </row>
    <row r="13" spans="1:16" s="12" customFormat="1" ht="23.25" customHeight="1">
      <c r="A13" s="206" t="s">
        <v>324</v>
      </c>
      <c r="B13" s="206"/>
      <c r="C13" s="378" t="s">
        <v>325</v>
      </c>
      <c r="D13" s="357" t="s">
        <v>326</v>
      </c>
      <c r="E13" s="357"/>
      <c r="F13" s="100">
        <v>2.1250000000000002E-3</v>
      </c>
      <c r="G13" s="100">
        <v>2E-3</v>
      </c>
      <c r="H13" s="100"/>
      <c r="I13" s="100"/>
      <c r="J13" s="100"/>
      <c r="K13" s="96"/>
      <c r="L13" s="96"/>
      <c r="M13" s="96"/>
      <c r="N13" s="96"/>
      <c r="O13" s="96"/>
      <c r="P13" s="96"/>
    </row>
    <row r="14" spans="1:16" s="12" customFormat="1" ht="23.25" customHeight="1">
      <c r="A14" s="206" t="s">
        <v>327</v>
      </c>
      <c r="B14" s="206"/>
      <c r="C14" s="378" t="s">
        <v>325</v>
      </c>
      <c r="D14" s="357" t="s">
        <v>326</v>
      </c>
      <c r="E14" s="357"/>
      <c r="F14" s="100">
        <v>5.1999999999999998E-3</v>
      </c>
      <c r="G14" s="100">
        <v>3.5000000000000001E-3</v>
      </c>
      <c r="H14" s="100"/>
      <c r="I14" s="100"/>
      <c r="J14" s="100"/>
      <c r="K14" s="96"/>
      <c r="L14" s="96"/>
      <c r="M14" s="96"/>
      <c r="N14" s="96"/>
      <c r="O14" s="96"/>
      <c r="P14" s="96"/>
    </row>
    <row r="15" spans="1:16" s="12" customFormat="1" ht="23.25" customHeight="1">
      <c r="A15" s="206" t="s">
        <v>328</v>
      </c>
      <c r="B15" s="206"/>
      <c r="C15" s="378" t="s">
        <v>325</v>
      </c>
      <c r="D15" s="357" t="s">
        <v>329</v>
      </c>
      <c r="E15" s="357"/>
      <c r="F15" s="100">
        <v>0.34855000000000003</v>
      </c>
      <c r="G15" s="100">
        <v>9.7000000000000003E-2</v>
      </c>
      <c r="H15" s="100"/>
      <c r="I15" s="100"/>
      <c r="J15" s="100"/>
      <c r="K15" s="96"/>
      <c r="L15" s="96"/>
      <c r="M15" s="96"/>
      <c r="N15" s="96"/>
      <c r="O15" s="96"/>
      <c r="P15" s="96"/>
    </row>
    <row r="16" spans="1:16" s="12" customFormat="1" ht="23.25" customHeight="1">
      <c r="A16" s="206" t="s">
        <v>330</v>
      </c>
      <c r="B16" s="206"/>
      <c r="C16" s="378" t="s">
        <v>325</v>
      </c>
      <c r="D16" s="357" t="s">
        <v>331</v>
      </c>
      <c r="E16" s="357"/>
      <c r="F16" s="100">
        <v>1.7899999999999999E-2</v>
      </c>
      <c r="G16" s="100">
        <v>8.1199999999999994E-2</v>
      </c>
      <c r="H16" s="100"/>
      <c r="I16" s="100"/>
      <c r="J16" s="100"/>
      <c r="K16" s="96"/>
      <c r="L16" s="96"/>
      <c r="M16" s="96"/>
      <c r="N16" s="96"/>
      <c r="O16" s="96"/>
      <c r="P16" s="96"/>
    </row>
    <row r="17" spans="1:10" s="12" customFormat="1" ht="23.25" customHeight="1">
      <c r="A17" s="206" t="s">
        <v>332</v>
      </c>
      <c r="B17" s="206"/>
      <c r="C17" s="378" t="s">
        <v>325</v>
      </c>
      <c r="D17" s="357" t="s">
        <v>333</v>
      </c>
      <c r="E17" s="357"/>
      <c r="F17" s="100">
        <v>1.1000000000000001E-3</v>
      </c>
      <c r="G17" s="100">
        <v>7.9000000000000008E-3</v>
      </c>
      <c r="H17" s="100"/>
      <c r="I17" s="100"/>
      <c r="J17" s="100"/>
    </row>
    <row r="18" spans="1:10" s="12" customFormat="1" ht="23.25" customHeight="1">
      <c r="A18" s="206" t="s">
        <v>334</v>
      </c>
      <c r="B18" s="206"/>
      <c r="C18" s="378" t="s">
        <v>325</v>
      </c>
      <c r="D18" s="357" t="s">
        <v>333</v>
      </c>
      <c r="E18" s="357"/>
      <c r="F18" s="100">
        <v>6.0000000000000002E-5</v>
      </c>
      <c r="G18" s="100">
        <v>5.1999999999999995E-4</v>
      </c>
      <c r="H18" s="100"/>
      <c r="I18" s="100"/>
      <c r="J18" s="100"/>
    </row>
    <row r="19" spans="1:10" s="12" customFormat="1" ht="23.25" customHeight="1">
      <c r="A19" s="206" t="s">
        <v>335</v>
      </c>
      <c r="B19" s="206"/>
      <c r="C19" s="378" t="s">
        <v>325</v>
      </c>
      <c r="D19" s="357" t="s">
        <v>333</v>
      </c>
      <c r="E19" s="357"/>
      <c r="F19" s="100">
        <v>2.5000000000000001E-3</v>
      </c>
      <c r="G19" s="100">
        <v>2.9399999999999999E-2</v>
      </c>
      <c r="H19" s="100"/>
      <c r="I19" s="100"/>
      <c r="J19" s="100"/>
    </row>
    <row r="20" spans="1:10" s="12" customFormat="1" ht="23.25" customHeight="1">
      <c r="A20" s="206" t="s">
        <v>336</v>
      </c>
      <c r="B20" s="206"/>
      <c r="C20" s="378" t="s">
        <v>325</v>
      </c>
      <c r="D20" s="357" t="s">
        <v>333</v>
      </c>
      <c r="E20" s="357"/>
      <c r="F20" s="100">
        <v>1.685E-2</v>
      </c>
      <c r="G20" s="100">
        <v>9.4399999999999998E-2</v>
      </c>
      <c r="H20" s="100"/>
      <c r="I20" s="100"/>
      <c r="J20" s="100"/>
    </row>
    <row r="21" spans="1:10" s="12" customFormat="1" ht="23.25" customHeight="1">
      <c r="A21" s="206" t="s">
        <v>337</v>
      </c>
      <c r="B21" s="206"/>
      <c r="C21" s="378" t="s">
        <v>325</v>
      </c>
      <c r="D21" s="357" t="s">
        <v>333</v>
      </c>
      <c r="E21" s="357"/>
      <c r="F21" s="100">
        <v>1.9E-2</v>
      </c>
      <c r="G21" s="100">
        <v>0.10299999999999999</v>
      </c>
      <c r="H21" s="100"/>
      <c r="I21" s="100"/>
      <c r="J21" s="100"/>
    </row>
    <row r="22" spans="1:10" s="12" customFormat="1" ht="23.25" customHeight="1">
      <c r="A22" s="206" t="s">
        <v>338</v>
      </c>
      <c r="B22" s="206"/>
      <c r="C22" s="378" t="s">
        <v>325</v>
      </c>
      <c r="D22" s="357" t="s">
        <v>333</v>
      </c>
      <c r="E22" s="357"/>
      <c r="F22" s="100">
        <v>3.6450000000000003E-2</v>
      </c>
      <c r="G22" s="100">
        <v>0.14199999999999999</v>
      </c>
      <c r="H22" s="100"/>
      <c r="I22" s="100"/>
      <c r="J22" s="100"/>
    </row>
    <row r="23" spans="1:10" s="12" customFormat="1" ht="23.25" customHeight="1">
      <c r="A23" s="206" t="s">
        <v>339</v>
      </c>
      <c r="B23" s="206"/>
      <c r="C23" s="378" t="s">
        <v>325</v>
      </c>
      <c r="D23" s="357" t="s">
        <v>340</v>
      </c>
      <c r="E23" s="357"/>
      <c r="F23" s="100" t="s">
        <v>341</v>
      </c>
      <c r="G23" s="100" t="s">
        <v>341</v>
      </c>
      <c r="H23" s="100"/>
      <c r="I23" s="100"/>
      <c r="J23" s="100"/>
    </row>
    <row r="24" spans="1:10" s="12" customFormat="1" ht="23.25" customHeight="1">
      <c r="A24" s="206" t="s">
        <v>342</v>
      </c>
      <c r="B24" s="206"/>
      <c r="C24" s="378" t="s">
        <v>325</v>
      </c>
      <c r="D24" s="357" t="s">
        <v>340</v>
      </c>
      <c r="E24" s="357"/>
      <c r="F24" s="100" t="s">
        <v>341</v>
      </c>
      <c r="G24" s="100">
        <v>0.01</v>
      </c>
      <c r="H24" s="100"/>
      <c r="I24" s="100"/>
      <c r="J24" s="100"/>
    </row>
    <row r="25" spans="1:10" s="12" customFormat="1" ht="23.25" customHeight="1">
      <c r="A25" s="206" t="s">
        <v>343</v>
      </c>
      <c r="B25" s="206"/>
      <c r="C25" s="378" t="s">
        <v>325</v>
      </c>
      <c r="D25" s="357" t="s">
        <v>340</v>
      </c>
      <c r="E25" s="357"/>
      <c r="F25" s="100" t="s">
        <v>341</v>
      </c>
      <c r="G25" s="100" t="s">
        <v>341</v>
      </c>
      <c r="H25" s="100"/>
      <c r="I25" s="100"/>
      <c r="J25" s="100"/>
    </row>
    <row r="26" spans="1:10" s="12" customFormat="1" ht="23.25" customHeight="1">
      <c r="A26" s="206" t="s">
        <v>344</v>
      </c>
      <c r="B26" s="206"/>
      <c r="C26" s="378" t="s">
        <v>325</v>
      </c>
      <c r="D26" s="357" t="s">
        <v>340</v>
      </c>
      <c r="E26" s="357"/>
      <c r="F26" s="100">
        <v>0.01</v>
      </c>
      <c r="G26" s="100">
        <v>0.01</v>
      </c>
      <c r="H26" s="100"/>
      <c r="I26" s="100"/>
      <c r="J26" s="100"/>
    </row>
    <row r="27" spans="1:10" s="12" customFormat="1" ht="23.25" customHeight="1">
      <c r="A27" s="206" t="s">
        <v>345</v>
      </c>
      <c r="B27" s="206"/>
      <c r="C27" s="378" t="s">
        <v>325</v>
      </c>
      <c r="D27" s="357" t="s">
        <v>340</v>
      </c>
      <c r="E27" s="357"/>
      <c r="F27" s="100">
        <v>0.01</v>
      </c>
      <c r="G27" s="100">
        <v>0.01</v>
      </c>
      <c r="H27" s="100"/>
      <c r="I27" s="100"/>
      <c r="J27" s="100"/>
    </row>
    <row r="28" spans="1:10" s="12" customFormat="1" ht="23.25" customHeight="1">
      <c r="A28" s="206" t="s">
        <v>346</v>
      </c>
      <c r="B28" s="206"/>
      <c r="C28" s="378" t="s">
        <v>325</v>
      </c>
      <c r="D28" s="357" t="s">
        <v>340</v>
      </c>
      <c r="E28" s="357"/>
      <c r="F28" s="100" t="s">
        <v>341</v>
      </c>
      <c r="G28" s="100" t="s">
        <v>341</v>
      </c>
      <c r="H28" s="100"/>
      <c r="I28" s="100"/>
      <c r="J28" s="100"/>
    </row>
    <row r="29" spans="1:10" s="12" customFormat="1" ht="23.25" customHeight="1">
      <c r="A29" s="206" t="s">
        <v>347</v>
      </c>
      <c r="B29" s="206"/>
      <c r="C29" s="378" t="s">
        <v>325</v>
      </c>
      <c r="D29" s="357" t="s">
        <v>340</v>
      </c>
      <c r="E29" s="357"/>
      <c r="F29" s="100">
        <v>0.02</v>
      </c>
      <c r="G29" s="100">
        <v>0.1</v>
      </c>
      <c r="H29" s="100"/>
      <c r="I29" s="100"/>
      <c r="J29" s="100"/>
    </row>
    <row r="30" spans="1:10" s="12" customFormat="1" ht="23.25" customHeight="1">
      <c r="A30" s="206" t="s">
        <v>348</v>
      </c>
      <c r="B30" s="206"/>
      <c r="C30" s="378" t="s">
        <v>325</v>
      </c>
      <c r="D30" s="357" t="s">
        <v>340</v>
      </c>
      <c r="E30" s="357"/>
      <c r="F30" s="100" t="s">
        <v>341</v>
      </c>
      <c r="G30" s="100" t="s">
        <v>341</v>
      </c>
      <c r="H30" s="100"/>
      <c r="I30" s="100"/>
      <c r="J30" s="100"/>
    </row>
    <row r="31" spans="1:10" s="12" customFormat="1" ht="23.25" customHeight="1">
      <c r="A31" s="206" t="s">
        <v>349</v>
      </c>
      <c r="B31" s="206"/>
      <c r="C31" s="378" t="s">
        <v>325</v>
      </c>
      <c r="D31" s="357" t="s">
        <v>340</v>
      </c>
      <c r="E31" s="357"/>
      <c r="F31" s="100" t="s">
        <v>341</v>
      </c>
      <c r="G31" s="100" t="s">
        <v>341</v>
      </c>
      <c r="H31" s="100"/>
      <c r="I31" s="100"/>
      <c r="J31" s="100"/>
    </row>
    <row r="32" spans="1:10" s="12" customFormat="1" ht="23.25" customHeight="1">
      <c r="A32" s="206" t="s">
        <v>350</v>
      </c>
      <c r="B32" s="206"/>
      <c r="C32" s="378" t="s">
        <v>325</v>
      </c>
      <c r="D32" s="357" t="s">
        <v>340</v>
      </c>
      <c r="E32" s="357"/>
      <c r="F32" s="100">
        <v>0.01</v>
      </c>
      <c r="G32" s="100">
        <v>0.01</v>
      </c>
      <c r="H32" s="100"/>
      <c r="I32" s="100"/>
      <c r="J32" s="100"/>
    </row>
    <row r="33" spans="1:10" s="12" customFormat="1" ht="23.25" customHeight="1">
      <c r="A33" s="206" t="s">
        <v>351</v>
      </c>
      <c r="B33" s="206"/>
      <c r="C33" s="378" t="s">
        <v>325</v>
      </c>
      <c r="D33" s="357" t="s">
        <v>340</v>
      </c>
      <c r="E33" s="357"/>
      <c r="F33" s="100" t="s">
        <v>341</v>
      </c>
      <c r="G33" s="100" t="s">
        <v>341</v>
      </c>
      <c r="H33" s="100"/>
      <c r="I33" s="100"/>
      <c r="J33" s="100"/>
    </row>
    <row r="34" spans="1:10" s="12" customFormat="1" ht="23.25" customHeight="1">
      <c r="A34" s="206" t="s">
        <v>352</v>
      </c>
      <c r="B34" s="206"/>
      <c r="C34" s="378" t="s">
        <v>325</v>
      </c>
      <c r="D34" s="357" t="s">
        <v>340</v>
      </c>
      <c r="E34" s="357"/>
      <c r="F34" s="100" t="s">
        <v>341</v>
      </c>
      <c r="G34" s="100" t="s">
        <v>341</v>
      </c>
      <c r="H34" s="100"/>
      <c r="I34" s="100"/>
      <c r="J34" s="100"/>
    </row>
    <row r="35" spans="1:10" s="12" customFormat="1" ht="23.25" customHeight="1">
      <c r="A35" s="206" t="s">
        <v>353</v>
      </c>
      <c r="B35" s="206"/>
      <c r="C35" s="378" t="s">
        <v>325</v>
      </c>
      <c r="D35" s="357" t="s">
        <v>340</v>
      </c>
      <c r="E35" s="357"/>
      <c r="F35" s="100" t="s">
        <v>341</v>
      </c>
      <c r="G35" s="100" t="s">
        <v>341</v>
      </c>
      <c r="H35" s="100"/>
      <c r="I35" s="100"/>
      <c r="J35" s="100"/>
    </row>
    <row r="36" spans="1:10" s="12" customFormat="1" ht="23.25" customHeight="1">
      <c r="A36" s="206" t="s">
        <v>354</v>
      </c>
      <c r="B36" s="206"/>
      <c r="C36" s="378" t="s">
        <v>325</v>
      </c>
      <c r="D36" s="357" t="s">
        <v>340</v>
      </c>
      <c r="E36" s="357"/>
      <c r="F36" s="100">
        <v>6.7000000000000004E-2</v>
      </c>
      <c r="G36" s="100">
        <v>0.21</v>
      </c>
      <c r="H36" s="100"/>
      <c r="I36" s="100"/>
      <c r="J36" s="100"/>
    </row>
    <row r="37" spans="1:10" s="12" customFormat="1" ht="23.25" customHeight="1">
      <c r="A37" s="206" t="s">
        <v>355</v>
      </c>
      <c r="B37" s="206"/>
      <c r="C37" s="378" t="s">
        <v>325</v>
      </c>
      <c r="D37" s="357" t="s">
        <v>340</v>
      </c>
      <c r="E37" s="357"/>
      <c r="F37" s="100">
        <v>0.01</v>
      </c>
      <c r="G37" s="100">
        <v>0.01</v>
      </c>
      <c r="H37" s="100"/>
      <c r="I37" s="100"/>
      <c r="J37" s="100"/>
    </row>
    <row r="38" spans="1:10" s="12" customFormat="1" ht="23.25" customHeight="1">
      <c r="A38" s="206" t="s">
        <v>356</v>
      </c>
      <c r="B38" s="206"/>
      <c r="C38" s="378" t="s">
        <v>325</v>
      </c>
      <c r="D38" s="357" t="s">
        <v>340</v>
      </c>
      <c r="E38" s="357"/>
      <c r="F38" s="100">
        <v>1.26</v>
      </c>
      <c r="G38" s="100">
        <v>1.21</v>
      </c>
      <c r="H38" s="100"/>
      <c r="I38" s="100"/>
      <c r="J38" s="100"/>
    </row>
    <row r="39" spans="1:10">
      <c r="A39" s="155" t="s">
        <v>309</v>
      </c>
      <c r="B39" s="155"/>
      <c r="C39" s="155"/>
      <c r="D39" s="155"/>
      <c r="E39" s="155"/>
      <c r="F39" s="155"/>
      <c r="G39" s="155"/>
      <c r="H39" s="155"/>
      <c r="I39" s="155"/>
      <c r="J39" s="155"/>
    </row>
    <row r="40" spans="1:10">
      <c r="A40" s="229"/>
      <c r="B40" s="229"/>
      <c r="C40" s="229"/>
      <c r="D40" s="229"/>
      <c r="E40" s="229"/>
      <c r="F40" s="229"/>
      <c r="G40" s="229"/>
      <c r="H40" s="229"/>
      <c r="I40" s="229"/>
      <c r="J40" s="229"/>
    </row>
    <row r="41" spans="1:10">
      <c r="A41" s="229"/>
      <c r="B41" s="229"/>
      <c r="C41" s="229"/>
      <c r="D41" s="229"/>
      <c r="E41" s="229"/>
      <c r="F41" s="229"/>
      <c r="G41" s="229"/>
      <c r="H41" s="229"/>
      <c r="I41" s="229"/>
      <c r="J41" s="229"/>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6"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showGridLines="0" view="pageBreakPreview" zoomScale="60" zoomScaleNormal="100" workbookViewId="0">
      <selection activeCell="U21" sqref="U21"/>
    </sheetView>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93" t="str">
        <f>+'Cover Page'!$B$29</f>
        <v>Annual Performance Report 2022</v>
      </c>
      <c r="B1" s="93"/>
      <c r="C1" s="93"/>
      <c r="D1" s="93"/>
      <c r="E1" s="93"/>
      <c r="F1" s="93"/>
      <c r="G1" s="93"/>
      <c r="H1" s="93"/>
      <c r="I1" s="93" t="str">
        <f>+'Cover Page'!$B$33</f>
        <v>Stoke Energy from Waste Facility</v>
      </c>
      <c r="J1" s="93"/>
      <c r="K1" s="93"/>
      <c r="L1" s="93"/>
      <c r="M1" s="93"/>
      <c r="N1" s="93"/>
      <c r="O1" s="93"/>
      <c r="P1" s="93"/>
    </row>
    <row r="3" spans="1:16" ht="15.6">
      <c r="A3" s="1" t="s">
        <v>357</v>
      </c>
      <c r="B3" s="93"/>
      <c r="C3" s="93"/>
      <c r="D3" s="93"/>
      <c r="E3" s="93"/>
      <c r="F3" s="93"/>
      <c r="G3" s="93"/>
      <c r="H3" s="93"/>
      <c r="I3" s="93"/>
      <c r="J3" s="93"/>
      <c r="K3" s="93"/>
      <c r="L3" s="93"/>
      <c r="M3" s="93"/>
      <c r="N3" s="93"/>
      <c r="O3" s="93"/>
      <c r="P3" s="93"/>
    </row>
    <row r="4" spans="1:16" ht="15.6">
      <c r="A4" s="1"/>
      <c r="B4" s="93"/>
      <c r="C4" s="93"/>
      <c r="D4" s="93"/>
      <c r="E4" s="93"/>
      <c r="F4" s="93"/>
      <c r="G4" s="93"/>
      <c r="H4" s="93"/>
      <c r="I4" s="93"/>
      <c r="J4" s="93"/>
      <c r="K4" s="93"/>
      <c r="L4" s="93"/>
      <c r="M4" s="93"/>
      <c r="N4" s="93"/>
      <c r="O4" s="93"/>
      <c r="P4" s="73" t="s">
        <v>3</v>
      </c>
    </row>
    <row r="5" spans="1:16" s="3" customFormat="1" ht="21.75" customHeight="1">
      <c r="A5" s="48" t="s">
        <v>316</v>
      </c>
      <c r="B5" s="49"/>
      <c r="C5" s="49"/>
      <c r="D5" s="49"/>
      <c r="E5" s="49"/>
      <c r="F5" s="49"/>
      <c r="G5" s="49"/>
      <c r="H5" s="49"/>
      <c r="I5" s="49"/>
      <c r="J5" s="49"/>
      <c r="K5" s="49"/>
      <c r="L5" s="49"/>
      <c r="M5" s="50"/>
      <c r="P5" s="74" t="s">
        <v>358</v>
      </c>
    </row>
    <row r="6" spans="1:16" s="3" customFormat="1" ht="15.75" customHeight="1">
      <c r="A6" s="199"/>
      <c r="B6" s="136"/>
      <c r="C6" s="136"/>
      <c r="D6" s="136"/>
      <c r="E6" s="136"/>
      <c r="F6" s="136"/>
      <c r="G6" s="136"/>
      <c r="H6" s="136"/>
      <c r="I6" s="136"/>
      <c r="J6" s="136"/>
      <c r="K6" s="136"/>
      <c r="L6" s="136"/>
      <c r="M6" s="137"/>
      <c r="P6" s="3" t="s">
        <v>359</v>
      </c>
    </row>
    <row r="7" spans="1:16" s="3" customFormat="1" ht="15.75" customHeight="1">
      <c r="A7" s="141"/>
      <c r="B7" s="142"/>
      <c r="C7" s="142"/>
      <c r="D7" s="142"/>
      <c r="E7" s="142"/>
      <c r="F7" s="142"/>
      <c r="G7" s="142"/>
      <c r="H7" s="142"/>
      <c r="I7" s="142"/>
      <c r="J7" s="142"/>
      <c r="K7" s="142"/>
      <c r="L7" s="142"/>
      <c r="M7" s="143"/>
    </row>
    <row r="8" spans="1:16" s="3" customFormat="1" ht="15.75" customHeight="1">
      <c r="A8" s="124"/>
      <c r="B8" s="126"/>
      <c r="C8" s="126"/>
      <c r="D8" s="126"/>
      <c r="E8" s="126"/>
      <c r="F8" s="126"/>
      <c r="G8" s="126"/>
      <c r="H8" s="126"/>
      <c r="I8" s="126"/>
      <c r="J8" s="126"/>
      <c r="K8" s="126"/>
      <c r="L8" s="126"/>
      <c r="M8" s="127"/>
    </row>
    <row r="9" spans="1:16" s="3" customFormat="1" ht="15.75" customHeight="1">
      <c r="A9" s="131"/>
      <c r="B9" s="132"/>
      <c r="C9" s="132"/>
      <c r="D9" s="132"/>
      <c r="E9" s="132"/>
      <c r="F9" s="132"/>
      <c r="G9" s="132"/>
      <c r="H9" s="132"/>
      <c r="I9" s="132"/>
      <c r="J9" s="132"/>
      <c r="K9" s="132"/>
      <c r="L9" s="132"/>
      <c r="M9" s="133"/>
    </row>
    <row r="10" spans="1:16" s="3" customFormat="1" ht="13.9"/>
    <row r="11" spans="1:16" s="56" customFormat="1" ht="16.5" customHeight="1">
      <c r="A11" s="204" t="s">
        <v>360</v>
      </c>
      <c r="B11" s="204"/>
      <c r="C11" s="204"/>
      <c r="D11" s="204"/>
      <c r="E11" s="204"/>
      <c r="F11" s="204"/>
      <c r="G11" s="204"/>
      <c r="H11" s="204"/>
      <c r="I11" s="204"/>
      <c r="J11" s="204"/>
      <c r="K11" s="204"/>
      <c r="L11" s="204"/>
      <c r="M11" s="204"/>
    </row>
    <row r="12" spans="1:16" s="56" customFormat="1" ht="16.5" customHeight="1">
      <c r="A12" s="234" t="s">
        <v>211</v>
      </c>
      <c r="B12" s="227" t="s">
        <v>361</v>
      </c>
      <c r="C12" s="193" t="s">
        <v>320</v>
      </c>
      <c r="D12" s="194" t="s">
        <v>189</v>
      </c>
      <c r="E12" s="236"/>
      <c r="F12" s="194" t="s">
        <v>190</v>
      </c>
      <c r="G12" s="236"/>
      <c r="H12" s="194"/>
      <c r="I12" s="236"/>
      <c r="J12" s="194"/>
      <c r="K12" s="236"/>
      <c r="L12" s="194"/>
      <c r="M12" s="236"/>
    </row>
    <row r="13" spans="1:16" s="12" customFormat="1" ht="17.25" customHeight="1">
      <c r="A13" s="234"/>
      <c r="B13" s="235"/>
      <c r="C13" s="193"/>
      <c r="D13" s="46" t="s">
        <v>315</v>
      </c>
      <c r="E13" s="57" t="s">
        <v>362</v>
      </c>
      <c r="F13" s="46" t="s">
        <v>315</v>
      </c>
      <c r="G13" s="57" t="s">
        <v>362</v>
      </c>
      <c r="H13" s="46"/>
      <c r="I13" s="57"/>
      <c r="J13" s="46"/>
      <c r="K13" s="57"/>
      <c r="L13" s="46"/>
      <c r="M13" s="57"/>
      <c r="N13" s="96"/>
      <c r="O13" s="96"/>
      <c r="P13" s="96"/>
    </row>
    <row r="14" spans="1:16" s="12" customFormat="1" ht="23.25" customHeight="1">
      <c r="A14" s="206" t="s">
        <v>217</v>
      </c>
      <c r="B14" s="355" t="s">
        <v>363</v>
      </c>
      <c r="C14" s="355" t="s">
        <v>364</v>
      </c>
      <c r="D14" s="379">
        <f>NOx!O19</f>
        <v>192</v>
      </c>
      <c r="E14" s="379">
        <f>NOx!N19</f>
        <v>178.33091365324694</v>
      </c>
      <c r="F14" s="379">
        <f>NOx!O34</f>
        <v>184</v>
      </c>
      <c r="G14" s="379">
        <f>NOx!N34</f>
        <v>162.23140595174337</v>
      </c>
      <c r="H14" s="100"/>
      <c r="I14" s="100"/>
      <c r="J14" s="100"/>
      <c r="K14" s="100"/>
      <c r="L14" s="100"/>
      <c r="M14" s="100"/>
      <c r="N14" s="96"/>
      <c r="O14" s="96"/>
      <c r="P14" s="96"/>
    </row>
    <row r="15" spans="1:16" s="12" customFormat="1" ht="23.25" customHeight="1">
      <c r="A15" s="206"/>
      <c r="B15" s="355" t="s">
        <v>365</v>
      </c>
      <c r="C15" s="355" t="s">
        <v>366</v>
      </c>
      <c r="D15" s="379">
        <f>NOx!M19</f>
        <v>361</v>
      </c>
      <c r="E15" s="379">
        <f>NOx!L19</f>
        <v>178.25</v>
      </c>
      <c r="F15" s="379">
        <f>NOx!M34</f>
        <v>327</v>
      </c>
      <c r="G15" s="379">
        <f>NOx!L34</f>
        <v>164</v>
      </c>
      <c r="H15" s="100"/>
      <c r="I15" s="100"/>
      <c r="J15" s="100"/>
      <c r="K15" s="100"/>
      <c r="L15" s="100"/>
      <c r="M15" s="100"/>
      <c r="N15" s="96"/>
      <c r="O15" s="96"/>
      <c r="P15" s="96"/>
    </row>
    <row r="16" spans="1:16" s="12" customFormat="1" ht="23.25" customHeight="1">
      <c r="A16" s="110" t="s">
        <v>216</v>
      </c>
      <c r="B16" s="380" t="s">
        <v>363</v>
      </c>
      <c r="C16" s="355" t="s">
        <v>367</v>
      </c>
      <c r="D16" s="379">
        <f>Particulates!O19</f>
        <v>10</v>
      </c>
      <c r="E16" s="379">
        <f>Particulates!N19</f>
        <v>3.8502316344253287</v>
      </c>
      <c r="F16" s="379">
        <f>Particulates!O34</f>
        <v>2</v>
      </c>
      <c r="G16" s="379">
        <f>Particulates!N34</f>
        <v>0.28333333333333333</v>
      </c>
      <c r="H16" s="100"/>
      <c r="I16" s="100"/>
      <c r="J16" s="100"/>
      <c r="K16" s="100"/>
      <c r="L16" s="100"/>
      <c r="M16" s="100"/>
      <c r="N16" s="96"/>
      <c r="O16" s="96"/>
      <c r="P16" s="96"/>
    </row>
    <row r="17" spans="1:13" s="12" customFormat="1" ht="23.25" customHeight="1">
      <c r="A17" s="110"/>
      <c r="B17" s="355" t="s">
        <v>365</v>
      </c>
      <c r="C17" s="355" t="s">
        <v>368</v>
      </c>
      <c r="D17" s="379">
        <f>Particulates!M19</f>
        <v>28</v>
      </c>
      <c r="E17" s="379">
        <f>Particulates!L19</f>
        <v>3.8333333333333335</v>
      </c>
      <c r="F17" s="379">
        <f>Particulates!M34</f>
        <v>25</v>
      </c>
      <c r="G17" s="379">
        <f>Particulates!L34</f>
        <v>0.33333333333333331</v>
      </c>
      <c r="H17" s="100"/>
      <c r="I17" s="100"/>
      <c r="J17" s="100"/>
      <c r="K17" s="100"/>
      <c r="L17" s="100"/>
      <c r="M17" s="100"/>
    </row>
    <row r="18" spans="1:13" s="12" customFormat="1" ht="23.25" customHeight="1">
      <c r="A18" s="110" t="s">
        <v>369</v>
      </c>
      <c r="B18" s="355" t="s">
        <v>363</v>
      </c>
      <c r="C18" s="355" t="s">
        <v>370</v>
      </c>
      <c r="D18" s="379">
        <f>TOC!O19</f>
        <v>1</v>
      </c>
      <c r="E18" s="379">
        <f>TOC!N19</f>
        <v>0</v>
      </c>
      <c r="F18" s="379">
        <f>TOC!O34</f>
        <v>1</v>
      </c>
      <c r="G18" s="379">
        <f>TOC!N34</f>
        <v>8.3333333333333329E-2</v>
      </c>
      <c r="H18" s="100"/>
      <c r="I18" s="100"/>
      <c r="J18" s="100"/>
      <c r="K18" s="100"/>
      <c r="L18" s="100"/>
      <c r="M18" s="100"/>
    </row>
    <row r="19" spans="1:13" s="12" customFormat="1" ht="23.25" customHeight="1">
      <c r="A19" s="110"/>
      <c r="B19" s="355" t="s">
        <v>365</v>
      </c>
      <c r="C19" s="355" t="s">
        <v>371</v>
      </c>
      <c r="D19" s="379">
        <f>TOC!M19</f>
        <v>18</v>
      </c>
      <c r="E19" s="379">
        <f>TOC!L19</f>
        <v>8.3333333333333329E-2</v>
      </c>
      <c r="F19" s="379">
        <f>TOC!M34</f>
        <v>11</v>
      </c>
      <c r="G19" s="379">
        <f>TOC!L34</f>
        <v>0.16666666666666666</v>
      </c>
      <c r="H19" s="100"/>
      <c r="I19" s="100"/>
      <c r="J19" s="100"/>
      <c r="K19" s="100"/>
      <c r="L19" s="100"/>
      <c r="M19" s="100"/>
    </row>
    <row r="20" spans="1:13" s="12" customFormat="1" ht="23.25" customHeight="1">
      <c r="A20" s="110" t="s">
        <v>372</v>
      </c>
      <c r="B20" s="355" t="s">
        <v>363</v>
      </c>
      <c r="C20" s="355" t="s">
        <v>370</v>
      </c>
      <c r="D20" s="379">
        <f>HCl!O19</f>
        <v>12</v>
      </c>
      <c r="E20" s="379">
        <f>HCl!N19</f>
        <v>7.5473074022653961</v>
      </c>
      <c r="F20" s="379">
        <f>HCl!O34</f>
        <v>13</v>
      </c>
      <c r="G20" s="379">
        <f>HCl!N34</f>
        <v>7.8316582897320748</v>
      </c>
      <c r="H20" s="100"/>
      <c r="I20" s="100"/>
      <c r="J20" s="100"/>
      <c r="K20" s="100"/>
      <c r="L20" s="100"/>
      <c r="M20" s="100"/>
    </row>
    <row r="21" spans="1:13" s="12" customFormat="1" ht="23.25" customHeight="1">
      <c r="A21" s="110"/>
      <c r="B21" s="355" t="s">
        <v>365</v>
      </c>
      <c r="C21" s="355" t="s">
        <v>373</v>
      </c>
      <c r="D21" s="379">
        <f>HCl!M19</f>
        <v>137</v>
      </c>
      <c r="E21" s="379">
        <f>HCl!L19</f>
        <v>7.583333333333333</v>
      </c>
      <c r="F21" s="379">
        <f>HCl!M34</f>
        <v>111</v>
      </c>
      <c r="G21" s="379">
        <f>HCl!L34</f>
        <v>7.583333333333333</v>
      </c>
      <c r="H21" s="100"/>
      <c r="I21" s="100"/>
      <c r="J21" s="100"/>
      <c r="K21" s="100"/>
      <c r="L21" s="100"/>
      <c r="M21" s="100"/>
    </row>
    <row r="22" spans="1:13" s="12" customFormat="1" ht="23.25" customHeight="1">
      <c r="A22" s="110" t="s">
        <v>218</v>
      </c>
      <c r="B22" s="355" t="s">
        <v>363</v>
      </c>
      <c r="C22" s="355" t="s">
        <v>374</v>
      </c>
      <c r="D22" s="379">
        <f>'SO2'!O19</f>
        <v>39</v>
      </c>
      <c r="E22" s="379">
        <f>'SO2'!N19</f>
        <v>25.875592063058395</v>
      </c>
      <c r="F22" s="379">
        <f>'SO2'!O34</f>
        <v>36</v>
      </c>
      <c r="G22" s="379">
        <f>'SO2'!N34</f>
        <v>21.605007621637213</v>
      </c>
      <c r="H22" s="100"/>
      <c r="I22" s="100"/>
      <c r="J22" s="100"/>
      <c r="K22" s="100"/>
      <c r="L22" s="100"/>
      <c r="M22" s="100"/>
    </row>
    <row r="23" spans="1:13" s="12" customFormat="1" ht="23.25" customHeight="1">
      <c r="A23" s="110"/>
      <c r="B23" s="355" t="s">
        <v>365</v>
      </c>
      <c r="C23" s="355" t="s">
        <v>364</v>
      </c>
      <c r="D23" s="379">
        <f>'SO2'!M19</f>
        <v>192</v>
      </c>
      <c r="E23" s="379">
        <f>'SO2'!L19</f>
        <v>26.083333333333332</v>
      </c>
      <c r="F23" s="379">
        <f>'SO2'!M34</f>
        <v>147</v>
      </c>
      <c r="G23" s="379">
        <f>'SO2'!L34</f>
        <v>21.583333333333332</v>
      </c>
      <c r="H23" s="100"/>
      <c r="I23" s="100"/>
      <c r="J23" s="100"/>
      <c r="K23" s="100"/>
      <c r="L23" s="100"/>
      <c r="M23" s="100"/>
    </row>
    <row r="24" spans="1:13" s="12" customFormat="1" ht="23.25" customHeight="1">
      <c r="A24" s="110" t="s">
        <v>375</v>
      </c>
      <c r="B24" s="355" t="s">
        <v>363</v>
      </c>
      <c r="C24" s="355" t="s">
        <v>374</v>
      </c>
      <c r="D24" s="379">
        <f>'CO 95% 10 min'!Q19</f>
        <v>22</v>
      </c>
      <c r="E24" s="379">
        <f>'CO 95% 10 min'!P19</f>
        <v>9.7383408117066868</v>
      </c>
      <c r="F24" s="379">
        <f>'CO 95% 10 min'!Q34</f>
        <v>19</v>
      </c>
      <c r="G24" s="379">
        <f>'CO 95% 10 min'!P34</f>
        <v>6.6097693596451483</v>
      </c>
      <c r="H24" s="100"/>
      <c r="I24" s="100"/>
      <c r="J24" s="100"/>
      <c r="K24" s="100"/>
      <c r="L24" s="100"/>
      <c r="M24" s="100"/>
    </row>
    <row r="25" spans="1:13" s="12" customFormat="1" ht="23.25" customHeight="1">
      <c r="A25" s="110"/>
      <c r="B25" s="100" t="s">
        <v>376</v>
      </c>
      <c r="C25" s="100" t="s">
        <v>377</v>
      </c>
      <c r="D25" s="379">
        <f>'CO 95% 10 min'!M19</f>
        <v>30.083333333333332</v>
      </c>
      <c r="E25" s="379">
        <f>'CO 95% 10 min'!N19</f>
        <v>9.9166666666666661</v>
      </c>
      <c r="F25" s="379">
        <f>'CO 95% 10 min'!M34</f>
        <v>17.916666666666668</v>
      </c>
      <c r="G25" s="379">
        <f>'CO 95% 10 min'!N34</f>
        <v>6.583333333333333</v>
      </c>
      <c r="H25" s="100"/>
      <c r="I25" s="100"/>
      <c r="J25" s="100"/>
      <c r="K25" s="100"/>
      <c r="L25" s="100"/>
      <c r="M25" s="100"/>
    </row>
    <row r="26" spans="1:13" s="12" customFormat="1" ht="23.25" customHeight="1">
      <c r="A26" s="381" t="s">
        <v>378</v>
      </c>
      <c r="B26" s="382" t="s">
        <v>363</v>
      </c>
      <c r="C26" s="382" t="s">
        <v>379</v>
      </c>
      <c r="D26" s="383">
        <f>'NH3'!O19</f>
        <v>21</v>
      </c>
      <c r="E26" s="383">
        <f>'NH3'!N19</f>
        <v>3.9104985922970825</v>
      </c>
      <c r="F26" s="383">
        <f>'NH3'!O34</f>
        <v>17</v>
      </c>
      <c r="G26" s="383">
        <f>'NH3'!N34</f>
        <v>3.8361571155879646</v>
      </c>
      <c r="H26" s="384"/>
      <c r="I26" s="384"/>
      <c r="J26" s="384"/>
      <c r="K26" s="384"/>
      <c r="L26" s="384"/>
      <c r="M26" s="384"/>
    </row>
    <row r="27" spans="1:13">
      <c r="A27" s="230" t="s">
        <v>380</v>
      </c>
      <c r="B27" s="231"/>
      <c r="C27" s="231"/>
      <c r="D27" s="231"/>
      <c r="E27" s="231"/>
      <c r="F27" s="231"/>
      <c r="G27" s="231"/>
      <c r="H27" s="231"/>
      <c r="I27" s="231"/>
      <c r="J27" s="231"/>
      <c r="K27" s="231"/>
      <c r="L27" s="231"/>
      <c r="M27" s="232"/>
    </row>
    <row r="28" spans="1:13">
      <c r="A28" s="83" t="s">
        <v>309</v>
      </c>
      <c r="B28" s="84"/>
      <c r="C28" s="84"/>
      <c r="D28" s="84"/>
      <c r="E28" s="84"/>
      <c r="F28" s="84"/>
      <c r="G28" s="84"/>
      <c r="H28" s="84"/>
      <c r="I28" s="84"/>
      <c r="J28" s="84"/>
      <c r="K28" s="84"/>
      <c r="L28" s="84"/>
      <c r="M28" s="85"/>
    </row>
    <row r="29" spans="1:13">
      <c r="A29" s="233"/>
      <c r="B29" s="233"/>
      <c r="C29" s="233"/>
      <c r="D29" s="233"/>
      <c r="E29" s="233"/>
      <c r="F29" s="233"/>
      <c r="G29" s="233"/>
      <c r="H29" s="233"/>
      <c r="I29" s="233"/>
      <c r="J29" s="233"/>
      <c r="K29" s="233"/>
      <c r="L29" s="233"/>
      <c r="M29" s="233"/>
    </row>
    <row r="30" spans="1:13">
      <c r="A30" s="229"/>
      <c r="B30" s="229"/>
      <c r="C30" s="229"/>
      <c r="D30" s="229"/>
      <c r="E30" s="229"/>
      <c r="F30" s="229"/>
      <c r="G30" s="229"/>
      <c r="H30" s="229"/>
      <c r="I30" s="229"/>
      <c r="J30" s="229"/>
      <c r="K30" s="229"/>
      <c r="L30" s="229"/>
      <c r="M30" s="229"/>
    </row>
    <row r="40" spans="3:9">
      <c r="C40" s="106"/>
      <c r="D40" s="106"/>
      <c r="E40" s="107"/>
      <c r="F40" s="96"/>
      <c r="G40" s="96"/>
      <c r="H40" s="96"/>
      <c r="I40" s="96"/>
    </row>
    <row r="67" spans="6:6">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4"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view="pageBreakPreview" zoomScale="60" zoomScaleNormal="100" workbookViewId="0">
      <selection activeCell="U21" sqref="U21"/>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Stoke Energy from Waste Facility</v>
      </c>
      <c r="F1" s="93"/>
      <c r="G1" s="93"/>
    </row>
    <row r="3" spans="1:19" ht="14.45">
      <c r="A3" s="60" t="s">
        <v>381</v>
      </c>
      <c r="D3" s="76" t="s">
        <v>382</v>
      </c>
      <c r="G3" s="80" t="s">
        <v>383</v>
      </c>
      <c r="J3" s="9" t="str">
        <f>+A3</f>
        <v>Monitoring of Hydrogen Chloride emissions</v>
      </c>
      <c r="L3" s="9"/>
      <c r="N3" s="9" t="s">
        <v>384</v>
      </c>
      <c r="Q3" s="79" t="s">
        <v>3</v>
      </c>
      <c r="R3" s="74"/>
      <c r="S3" s="74"/>
    </row>
    <row r="4" spans="1:19" ht="13.9" customHeight="1">
      <c r="Q4" s="215" t="s">
        <v>385</v>
      </c>
      <c r="R4" s="215"/>
      <c r="S4" s="215"/>
    </row>
    <row r="5" spans="1:19" ht="16.149999999999999">
      <c r="A5" s="68" t="s">
        <v>386</v>
      </c>
      <c r="B5" s="240" t="s">
        <v>387</v>
      </c>
      <c r="C5" s="240"/>
      <c r="D5" s="240"/>
      <c r="E5" s="240" t="s">
        <v>388</v>
      </c>
      <c r="F5" s="240"/>
      <c r="G5" s="240"/>
      <c r="J5" s="239"/>
      <c r="K5" s="239"/>
      <c r="L5" s="239"/>
      <c r="M5" s="239"/>
      <c r="N5" s="239"/>
      <c r="O5" s="239"/>
      <c r="Q5" s="215"/>
      <c r="R5" s="215"/>
      <c r="S5" s="215"/>
    </row>
    <row r="6" spans="1:19" s="58" customFormat="1" ht="37.5" customHeight="1">
      <c r="A6" s="65">
        <f>+'Cover Page'!C39</f>
        <v>2022</v>
      </c>
      <c r="B6" s="55" t="s">
        <v>389</v>
      </c>
      <c r="C6" s="55" t="s">
        <v>390</v>
      </c>
      <c r="D6" s="55" t="s">
        <v>391</v>
      </c>
      <c r="E6" s="55" t="s">
        <v>392</v>
      </c>
      <c r="F6" s="55" t="s">
        <v>393</v>
      </c>
      <c r="G6" s="55" t="s">
        <v>394</v>
      </c>
      <c r="H6" s="59"/>
      <c r="J6" s="61">
        <f>+A6</f>
        <v>2022</v>
      </c>
      <c r="K6" s="61" t="s">
        <v>395</v>
      </c>
      <c r="L6" s="67" t="s">
        <v>390</v>
      </c>
      <c r="M6" s="67" t="s">
        <v>396</v>
      </c>
      <c r="N6" s="67" t="s">
        <v>393</v>
      </c>
      <c r="O6" s="67" t="s">
        <v>397</v>
      </c>
      <c r="Q6" s="215"/>
      <c r="R6" s="215"/>
      <c r="S6" s="215"/>
    </row>
    <row r="7" spans="1:19" ht="13.9" customHeight="1">
      <c r="A7" s="66" t="s">
        <v>398</v>
      </c>
      <c r="B7" s="63">
        <v>60</v>
      </c>
      <c r="C7" s="103">
        <f>AVERAGE(L7,L22)</f>
        <v>5.5</v>
      </c>
      <c r="D7" s="103">
        <f>MAX(M7,M22)</f>
        <v>40</v>
      </c>
      <c r="E7" s="105">
        <v>10</v>
      </c>
      <c r="F7" s="103">
        <f>AVERAGE(N7,N22)</f>
        <v>7.4645161290322584</v>
      </c>
      <c r="G7" s="103">
        <f>MAX(O7,O22)</f>
        <v>10</v>
      </c>
      <c r="J7" s="238" t="s">
        <v>189</v>
      </c>
      <c r="K7" s="66" t="s">
        <v>398</v>
      </c>
      <c r="L7" s="64">
        <v>8</v>
      </c>
      <c r="M7" s="64">
        <v>27</v>
      </c>
      <c r="N7" s="101">
        <v>7.8</v>
      </c>
      <c r="O7" s="64">
        <v>9</v>
      </c>
      <c r="Q7" s="215"/>
      <c r="R7" s="215"/>
      <c r="S7" s="215"/>
    </row>
    <row r="8" spans="1:19">
      <c r="A8" s="66" t="s">
        <v>399</v>
      </c>
      <c r="B8" s="63">
        <v>60</v>
      </c>
      <c r="C8" s="103">
        <f t="shared" ref="C8:C18" si="0">AVERAGE(L8,L23)</f>
        <v>8</v>
      </c>
      <c r="D8" s="103">
        <f t="shared" ref="D8:D18" si="1">MAX(M8,M23)</f>
        <v>95</v>
      </c>
      <c r="E8" s="105">
        <v>10</v>
      </c>
      <c r="F8" s="103">
        <f t="shared" ref="F8:F18" si="2">AVERAGE(N8,N23)</f>
        <v>8.3630952380952372</v>
      </c>
      <c r="G8" s="103">
        <f t="shared" ref="G8:G18" si="3">MAX(O8,O23)</f>
        <v>13</v>
      </c>
      <c r="J8" s="238"/>
      <c r="K8" s="66" t="s">
        <v>399</v>
      </c>
      <c r="L8" s="64">
        <v>8</v>
      </c>
      <c r="M8" s="64">
        <v>84</v>
      </c>
      <c r="N8" s="101">
        <v>8.3928571428571423</v>
      </c>
      <c r="O8" s="64">
        <v>11</v>
      </c>
      <c r="Q8" s="215"/>
      <c r="R8" s="215"/>
      <c r="S8" s="215"/>
    </row>
    <row r="9" spans="1:19">
      <c r="A9" s="66" t="s">
        <v>400</v>
      </c>
      <c r="B9" s="63">
        <v>60</v>
      </c>
      <c r="C9" s="103">
        <f t="shared" si="0"/>
        <v>8</v>
      </c>
      <c r="D9" s="103">
        <f t="shared" si="1"/>
        <v>129</v>
      </c>
      <c r="E9" s="105">
        <v>10</v>
      </c>
      <c r="F9" s="103">
        <f t="shared" si="2"/>
        <v>7.8344086021505372</v>
      </c>
      <c r="G9" s="103">
        <f t="shared" si="3"/>
        <v>12</v>
      </c>
      <c r="J9" s="238"/>
      <c r="K9" s="66" t="s">
        <v>400</v>
      </c>
      <c r="L9" s="64">
        <v>8</v>
      </c>
      <c r="M9" s="64">
        <v>129</v>
      </c>
      <c r="N9" s="101">
        <v>7.7333333333333334</v>
      </c>
      <c r="O9" s="64">
        <v>12</v>
      </c>
      <c r="Q9" s="78" t="s">
        <v>401</v>
      </c>
    </row>
    <row r="10" spans="1:19" ht="13.9" customHeight="1">
      <c r="A10" s="66" t="s">
        <v>402</v>
      </c>
      <c r="B10" s="63">
        <v>60</v>
      </c>
      <c r="C10" s="103">
        <f t="shared" si="0"/>
        <v>8</v>
      </c>
      <c r="D10" s="103">
        <f t="shared" si="1"/>
        <v>84</v>
      </c>
      <c r="E10" s="105">
        <v>10</v>
      </c>
      <c r="F10" s="103">
        <f t="shared" si="2"/>
        <v>8.0155172413793103</v>
      </c>
      <c r="G10" s="103">
        <f t="shared" si="3"/>
        <v>11</v>
      </c>
      <c r="J10" s="238"/>
      <c r="K10" s="66" t="s">
        <v>402</v>
      </c>
      <c r="L10" s="64">
        <v>8</v>
      </c>
      <c r="M10" s="64">
        <v>42</v>
      </c>
      <c r="N10" s="101">
        <v>8.1</v>
      </c>
      <c r="O10" s="64">
        <v>9</v>
      </c>
      <c r="Q10" s="237" t="s">
        <v>403</v>
      </c>
      <c r="R10" s="237"/>
      <c r="S10" s="237"/>
    </row>
    <row r="11" spans="1:19">
      <c r="A11" s="66" t="s">
        <v>404</v>
      </c>
      <c r="B11" s="63">
        <v>60</v>
      </c>
      <c r="C11" s="103">
        <f t="shared" si="0"/>
        <v>8</v>
      </c>
      <c r="D11" s="103">
        <f t="shared" si="1"/>
        <v>54</v>
      </c>
      <c r="E11" s="105">
        <v>10</v>
      </c>
      <c r="F11" s="103">
        <f t="shared" si="2"/>
        <v>7.9838709677419359</v>
      </c>
      <c r="G11" s="103">
        <f t="shared" si="3"/>
        <v>10</v>
      </c>
      <c r="J11" s="238"/>
      <c r="K11" s="66" t="s">
        <v>404</v>
      </c>
      <c r="L11" s="64">
        <v>8</v>
      </c>
      <c r="M11" s="64">
        <v>25</v>
      </c>
      <c r="N11" s="101">
        <v>8.129032258064516</v>
      </c>
      <c r="O11" s="64">
        <v>10</v>
      </c>
      <c r="Q11" s="237"/>
      <c r="R11" s="237"/>
      <c r="S11" s="237"/>
    </row>
    <row r="12" spans="1:19">
      <c r="A12" s="66" t="s">
        <v>405</v>
      </c>
      <c r="B12" s="63">
        <v>60</v>
      </c>
      <c r="C12" s="103">
        <f t="shared" si="0"/>
        <v>8.5</v>
      </c>
      <c r="D12" s="103">
        <f t="shared" si="1"/>
        <v>86</v>
      </c>
      <c r="E12" s="105">
        <v>10</v>
      </c>
      <c r="F12" s="103">
        <f t="shared" si="2"/>
        <v>8.189473684210526</v>
      </c>
      <c r="G12" s="103">
        <f t="shared" si="3"/>
        <v>11</v>
      </c>
      <c r="J12" s="238"/>
      <c r="K12" s="66" t="s">
        <v>405</v>
      </c>
      <c r="L12" s="64">
        <v>9</v>
      </c>
      <c r="M12" s="64">
        <v>86</v>
      </c>
      <c r="N12" s="101">
        <v>8.5789473684210531</v>
      </c>
      <c r="O12" s="64">
        <v>11</v>
      </c>
      <c r="Q12" s="237"/>
      <c r="R12" s="237"/>
      <c r="S12" s="237"/>
    </row>
    <row r="13" spans="1:19" ht="13.9" customHeight="1">
      <c r="A13" s="66" t="s">
        <v>406</v>
      </c>
      <c r="B13" s="63">
        <v>60</v>
      </c>
      <c r="C13" s="103">
        <f t="shared" si="0"/>
        <v>7.5</v>
      </c>
      <c r="D13" s="103">
        <f t="shared" si="1"/>
        <v>44</v>
      </c>
      <c r="E13" s="105">
        <v>10</v>
      </c>
      <c r="F13" s="103">
        <f t="shared" si="2"/>
        <v>7.8000000000000007</v>
      </c>
      <c r="G13" s="103">
        <f t="shared" si="3"/>
        <v>11</v>
      </c>
      <c r="J13" s="238"/>
      <c r="K13" s="66" t="s">
        <v>406</v>
      </c>
      <c r="L13" s="64">
        <v>7</v>
      </c>
      <c r="M13" s="64">
        <v>44</v>
      </c>
      <c r="N13" s="101">
        <v>7.333333333333333</v>
      </c>
      <c r="O13" s="64">
        <v>9</v>
      </c>
      <c r="Q13" s="237" t="s">
        <v>407</v>
      </c>
      <c r="R13" s="237"/>
      <c r="S13" s="237"/>
    </row>
    <row r="14" spans="1:19">
      <c r="A14" s="66" t="s">
        <v>408</v>
      </c>
      <c r="B14" s="63">
        <v>60</v>
      </c>
      <c r="C14" s="103">
        <f t="shared" si="0"/>
        <v>8</v>
      </c>
      <c r="D14" s="103">
        <f t="shared" si="1"/>
        <v>47</v>
      </c>
      <c r="E14" s="105">
        <v>10</v>
      </c>
      <c r="F14" s="103">
        <f t="shared" si="2"/>
        <v>7.758064516129032</v>
      </c>
      <c r="G14" s="103">
        <f t="shared" si="3"/>
        <v>9</v>
      </c>
      <c r="J14" s="238"/>
      <c r="K14" s="66" t="s">
        <v>408</v>
      </c>
      <c r="L14" s="64">
        <v>8</v>
      </c>
      <c r="M14" s="64">
        <v>47</v>
      </c>
      <c r="N14" s="101">
        <v>7.774193548387097</v>
      </c>
      <c r="O14" s="64">
        <v>9</v>
      </c>
      <c r="Q14" s="237"/>
      <c r="R14" s="237"/>
      <c r="S14" s="237"/>
    </row>
    <row r="15" spans="1:19">
      <c r="A15" s="66" t="s">
        <v>409</v>
      </c>
      <c r="B15" s="63">
        <v>60</v>
      </c>
      <c r="C15" s="103">
        <f t="shared" si="0"/>
        <v>7.5</v>
      </c>
      <c r="D15" s="103">
        <f t="shared" si="1"/>
        <v>37</v>
      </c>
      <c r="E15" s="105">
        <v>10</v>
      </c>
      <c r="F15" s="103">
        <f t="shared" si="2"/>
        <v>7.0264367816091955</v>
      </c>
      <c r="G15" s="103">
        <f t="shared" si="3"/>
        <v>9</v>
      </c>
      <c r="J15" s="238"/>
      <c r="K15" s="66" t="s">
        <v>409</v>
      </c>
      <c r="L15" s="64">
        <v>7</v>
      </c>
      <c r="M15" s="64">
        <v>15</v>
      </c>
      <c r="N15" s="101">
        <v>6.5862068965517242</v>
      </c>
      <c r="O15" s="64">
        <v>8</v>
      </c>
      <c r="Q15" s="237"/>
      <c r="R15" s="237"/>
      <c r="S15" s="237"/>
    </row>
    <row r="16" spans="1:19">
      <c r="A16" s="66" t="s">
        <v>410</v>
      </c>
      <c r="B16" s="63">
        <v>60</v>
      </c>
      <c r="C16" s="103">
        <f t="shared" si="0"/>
        <v>7.5</v>
      </c>
      <c r="D16" s="103">
        <f t="shared" si="1"/>
        <v>26</v>
      </c>
      <c r="E16" s="105">
        <v>10</v>
      </c>
      <c r="F16" s="103">
        <f t="shared" si="2"/>
        <v>7.2892473118279568</v>
      </c>
      <c r="G16" s="103">
        <f t="shared" si="3"/>
        <v>9</v>
      </c>
      <c r="J16" s="238"/>
      <c r="K16" s="66" t="s">
        <v>410</v>
      </c>
      <c r="L16" s="64">
        <v>7</v>
      </c>
      <c r="M16" s="64">
        <v>26</v>
      </c>
      <c r="N16" s="101">
        <v>6.645161290322581</v>
      </c>
      <c r="O16" s="64">
        <v>8</v>
      </c>
      <c r="Q16" s="237"/>
      <c r="R16" s="237"/>
      <c r="S16" s="237"/>
    </row>
    <row r="17" spans="1:15">
      <c r="A17" s="66" t="s">
        <v>411</v>
      </c>
      <c r="B17" s="63">
        <v>60</v>
      </c>
      <c r="C17" s="103">
        <f t="shared" si="0"/>
        <v>7</v>
      </c>
      <c r="D17" s="103">
        <f t="shared" si="1"/>
        <v>57</v>
      </c>
      <c r="E17" s="105">
        <v>10</v>
      </c>
      <c r="F17" s="103">
        <f t="shared" si="2"/>
        <v>6.9499999999999993</v>
      </c>
      <c r="G17" s="103">
        <f t="shared" si="3"/>
        <v>9</v>
      </c>
      <c r="J17" s="238"/>
      <c r="K17" s="66" t="s">
        <v>411</v>
      </c>
      <c r="L17" s="64">
        <v>6</v>
      </c>
      <c r="M17" s="64">
        <v>57</v>
      </c>
      <c r="N17" s="101">
        <v>6.333333333333333</v>
      </c>
      <c r="O17" s="64">
        <v>8</v>
      </c>
    </row>
    <row r="18" spans="1:15">
      <c r="A18" s="66" t="s">
        <v>412</v>
      </c>
      <c r="B18" s="63">
        <v>60</v>
      </c>
      <c r="C18" s="103">
        <f t="shared" si="0"/>
        <v>7.5</v>
      </c>
      <c r="D18" s="103">
        <f t="shared" si="1"/>
        <v>137</v>
      </c>
      <c r="E18" s="105">
        <v>10</v>
      </c>
      <c r="F18" s="103">
        <f t="shared" si="2"/>
        <v>7.5991636798088411</v>
      </c>
      <c r="G18" s="103">
        <f t="shared" si="3"/>
        <v>13</v>
      </c>
      <c r="J18" s="238"/>
      <c r="K18" s="66" t="s">
        <v>412</v>
      </c>
      <c r="L18" s="64">
        <v>7</v>
      </c>
      <c r="M18" s="64">
        <v>137</v>
      </c>
      <c r="N18" s="101">
        <v>7.161290322580645</v>
      </c>
      <c r="O18" s="64">
        <v>11</v>
      </c>
    </row>
    <row r="19" spans="1:15">
      <c r="J19" s="238"/>
      <c r="K19" s="62" t="s">
        <v>413</v>
      </c>
      <c r="L19" s="102">
        <f>AVERAGE(L7:L18)</f>
        <v>7.583333333333333</v>
      </c>
      <c r="M19" s="62">
        <f>MAX(M7:M18)</f>
        <v>137</v>
      </c>
      <c r="N19" s="102">
        <f>AVERAGE(N7:N18)</f>
        <v>7.5473074022653961</v>
      </c>
      <c r="O19" s="62">
        <f>MAX(O7:O18)</f>
        <v>12</v>
      </c>
    </row>
    <row r="21" spans="1:15" ht="41.45">
      <c r="J21" s="61">
        <f>+A6</f>
        <v>2022</v>
      </c>
      <c r="K21" s="61" t="s">
        <v>395</v>
      </c>
      <c r="L21" s="67" t="s">
        <v>390</v>
      </c>
      <c r="M21" s="67" t="s">
        <v>396</v>
      </c>
      <c r="N21" s="67" t="s">
        <v>393</v>
      </c>
      <c r="O21" s="67" t="s">
        <v>397</v>
      </c>
    </row>
    <row r="22" spans="1:15">
      <c r="J22" s="238" t="s">
        <v>190</v>
      </c>
      <c r="K22" s="66" t="s">
        <v>398</v>
      </c>
      <c r="L22" s="64">
        <v>3</v>
      </c>
      <c r="M22" s="64">
        <v>40</v>
      </c>
      <c r="N22" s="101">
        <v>7.129032258064516</v>
      </c>
      <c r="O22" s="64">
        <v>10</v>
      </c>
    </row>
    <row r="23" spans="1:15">
      <c r="J23" s="238"/>
      <c r="K23" s="66" t="s">
        <v>399</v>
      </c>
      <c r="L23" s="64">
        <v>8</v>
      </c>
      <c r="M23" s="64">
        <v>95</v>
      </c>
      <c r="N23" s="101">
        <v>8.3333333333333339</v>
      </c>
      <c r="O23" s="64">
        <v>13</v>
      </c>
    </row>
    <row r="24" spans="1:15">
      <c r="J24" s="238"/>
      <c r="K24" s="66" t="s">
        <v>400</v>
      </c>
      <c r="L24" s="64">
        <v>8</v>
      </c>
      <c r="M24" s="64">
        <v>111</v>
      </c>
      <c r="N24" s="101">
        <v>7.935483870967742</v>
      </c>
      <c r="O24" s="64">
        <v>10</v>
      </c>
    </row>
    <row r="25" spans="1:15">
      <c r="J25" s="238"/>
      <c r="K25" s="66" t="s">
        <v>402</v>
      </c>
      <c r="L25" s="64">
        <v>8</v>
      </c>
      <c r="M25" s="64">
        <v>84</v>
      </c>
      <c r="N25" s="101">
        <v>7.931034482758621</v>
      </c>
      <c r="O25" s="64">
        <v>11</v>
      </c>
    </row>
    <row r="26" spans="1:15">
      <c r="J26" s="238"/>
      <c r="K26" s="66" t="s">
        <v>404</v>
      </c>
      <c r="L26" s="64">
        <v>8</v>
      </c>
      <c r="M26" s="64">
        <v>54</v>
      </c>
      <c r="N26" s="101">
        <v>7.838709677419355</v>
      </c>
      <c r="O26" s="64">
        <v>9</v>
      </c>
    </row>
    <row r="27" spans="1:15">
      <c r="J27" s="238"/>
      <c r="K27" s="66" t="s">
        <v>405</v>
      </c>
      <c r="L27" s="64">
        <v>8</v>
      </c>
      <c r="M27" s="64">
        <v>38</v>
      </c>
      <c r="N27" s="101">
        <v>7.8</v>
      </c>
      <c r="O27" s="64">
        <v>10</v>
      </c>
    </row>
    <row r="28" spans="1:15">
      <c r="J28" s="238"/>
      <c r="K28" s="66" t="s">
        <v>406</v>
      </c>
      <c r="L28" s="64">
        <v>8</v>
      </c>
      <c r="M28" s="64">
        <v>24</v>
      </c>
      <c r="N28" s="101">
        <v>8.2666666666666675</v>
      </c>
      <c r="O28" s="64">
        <v>11</v>
      </c>
    </row>
    <row r="29" spans="1:15">
      <c r="J29" s="238"/>
      <c r="K29" s="66" t="s">
        <v>408</v>
      </c>
      <c r="L29" s="64">
        <v>8</v>
      </c>
      <c r="M29" s="64">
        <v>42</v>
      </c>
      <c r="N29" s="101">
        <v>7.741935483870968</v>
      </c>
      <c r="O29" s="64">
        <v>9</v>
      </c>
    </row>
    <row r="30" spans="1:15">
      <c r="J30" s="238"/>
      <c r="K30" s="66" t="s">
        <v>409</v>
      </c>
      <c r="L30" s="64">
        <v>8</v>
      </c>
      <c r="M30" s="64">
        <v>37</v>
      </c>
      <c r="N30" s="101">
        <v>7.4666666666666668</v>
      </c>
      <c r="O30" s="64">
        <v>9</v>
      </c>
    </row>
    <row r="31" spans="1:15">
      <c r="J31" s="238"/>
      <c r="K31" s="66" t="s">
        <v>410</v>
      </c>
      <c r="L31" s="64">
        <v>8</v>
      </c>
      <c r="M31" s="64">
        <v>26</v>
      </c>
      <c r="N31" s="101">
        <v>7.9333333333333336</v>
      </c>
      <c r="O31" s="64">
        <v>9</v>
      </c>
    </row>
    <row r="32" spans="1:15">
      <c r="J32" s="238"/>
      <c r="K32" s="66" t="s">
        <v>411</v>
      </c>
      <c r="L32" s="64">
        <v>8</v>
      </c>
      <c r="M32" s="64">
        <v>46</v>
      </c>
      <c r="N32" s="101">
        <v>7.5666666666666664</v>
      </c>
      <c r="O32" s="64">
        <v>9</v>
      </c>
    </row>
    <row r="33" spans="1:15">
      <c r="J33" s="238"/>
      <c r="K33" s="66" t="s">
        <v>412</v>
      </c>
      <c r="L33" s="64">
        <v>8</v>
      </c>
      <c r="M33" s="64">
        <v>31</v>
      </c>
      <c r="N33" s="101">
        <v>8.0370370370370363</v>
      </c>
      <c r="O33" s="64">
        <v>13</v>
      </c>
    </row>
    <row r="34" spans="1:15">
      <c r="J34" s="238"/>
      <c r="K34" s="62" t="s">
        <v>413</v>
      </c>
      <c r="L34" s="102">
        <f>AVERAGE(L22:L33)</f>
        <v>7.583333333333333</v>
      </c>
      <c r="M34" s="62">
        <f>MAX(M22:M33)</f>
        <v>111</v>
      </c>
      <c r="N34" s="102">
        <f>AVERAGE(N22:N33)</f>
        <v>7.8316582897320748</v>
      </c>
      <c r="O34" s="62">
        <f>MAX(O22:O33)</f>
        <v>13</v>
      </c>
    </row>
    <row r="36" spans="1:15">
      <c r="J36" s="61"/>
      <c r="K36" s="61"/>
      <c r="L36" s="67"/>
      <c r="M36" s="67"/>
      <c r="N36" s="67"/>
      <c r="O36" s="67"/>
    </row>
    <row r="37" spans="1:15">
      <c r="J37" s="238"/>
      <c r="K37" s="66"/>
      <c r="L37" s="64"/>
      <c r="M37" s="64"/>
      <c r="N37" s="64"/>
      <c r="O37" s="64"/>
    </row>
    <row r="38" spans="1:15">
      <c r="J38" s="238"/>
      <c r="K38" s="66"/>
      <c r="L38" s="64"/>
      <c r="M38" s="64"/>
      <c r="N38" s="64"/>
      <c r="O38" s="64"/>
    </row>
    <row r="39" spans="1:15">
      <c r="J39" s="238"/>
      <c r="K39" s="66"/>
      <c r="L39" s="64"/>
      <c r="M39" s="64"/>
      <c r="N39" s="64"/>
      <c r="O39" s="64"/>
    </row>
    <row r="40" spans="1:15">
      <c r="J40" s="238"/>
      <c r="K40" s="66"/>
      <c r="L40" s="64"/>
      <c r="M40" s="64"/>
      <c r="N40" s="64"/>
      <c r="O40" s="64"/>
    </row>
    <row r="41" spans="1:15">
      <c r="J41" s="238"/>
      <c r="K41" s="66"/>
      <c r="L41" s="64"/>
      <c r="M41" s="64"/>
      <c r="N41" s="64"/>
      <c r="O41" s="64"/>
    </row>
    <row r="42" spans="1:15">
      <c r="J42" s="238"/>
      <c r="K42" s="66"/>
      <c r="L42" s="64"/>
      <c r="M42" s="64"/>
      <c r="N42" s="64"/>
      <c r="O42" s="64"/>
    </row>
    <row r="43" spans="1:15">
      <c r="C43" s="35" t="s">
        <v>12</v>
      </c>
      <c r="J43" s="238"/>
      <c r="K43" s="66"/>
      <c r="L43" s="64"/>
      <c r="M43" s="64"/>
      <c r="N43" s="64"/>
      <c r="O43" s="64"/>
    </row>
    <row r="44" spans="1:15">
      <c r="J44" s="238"/>
      <c r="K44" s="66"/>
      <c r="L44" s="64"/>
      <c r="M44" s="64"/>
      <c r="N44" s="64"/>
      <c r="O44" s="64"/>
    </row>
    <row r="45" spans="1:15">
      <c r="C45" s="35" t="s">
        <v>14</v>
      </c>
      <c r="J45" s="238"/>
      <c r="K45" s="66"/>
      <c r="L45" s="64"/>
      <c r="M45" s="64"/>
      <c r="N45" s="64"/>
      <c r="O45" s="64"/>
    </row>
    <row r="46" spans="1:15">
      <c r="J46" s="238"/>
      <c r="K46" s="66"/>
      <c r="L46" s="64"/>
      <c r="M46" s="64"/>
      <c r="N46" s="64"/>
      <c r="O46" s="64"/>
    </row>
    <row r="47" spans="1:15">
      <c r="J47" s="238"/>
      <c r="K47" s="66"/>
      <c r="L47" s="64"/>
      <c r="M47" s="64"/>
      <c r="N47" s="64"/>
      <c r="O47" s="64"/>
    </row>
    <row r="48" spans="1:15">
      <c r="A48" s="250" t="s">
        <v>309</v>
      </c>
      <c r="B48" s="251"/>
      <c r="C48" s="251"/>
      <c r="D48" s="251"/>
      <c r="E48" s="251"/>
      <c r="F48" s="251"/>
      <c r="G48" s="252"/>
      <c r="J48" s="238"/>
      <c r="K48" s="66"/>
      <c r="L48" s="64"/>
      <c r="M48" s="64"/>
      <c r="N48" s="64"/>
      <c r="O48" s="64"/>
    </row>
    <row r="49" spans="1:15">
      <c r="A49" s="241"/>
      <c r="B49" s="242"/>
      <c r="C49" s="242"/>
      <c r="D49" s="242"/>
      <c r="E49" s="242"/>
      <c r="F49" s="242"/>
      <c r="G49" s="243"/>
      <c r="J49" s="238"/>
      <c r="K49" s="62"/>
      <c r="L49" s="62"/>
      <c r="M49" s="62"/>
      <c r="N49" s="62"/>
      <c r="O49" s="62"/>
    </row>
    <row r="50" spans="1:15">
      <c r="A50" s="244"/>
      <c r="B50" s="245"/>
      <c r="C50" s="245"/>
      <c r="D50" s="245"/>
      <c r="E50" s="245"/>
      <c r="F50" s="245"/>
      <c r="G50" s="246"/>
    </row>
    <row r="51" spans="1:15">
      <c r="A51" s="244"/>
      <c r="B51" s="245"/>
      <c r="C51" s="245"/>
      <c r="D51" s="245"/>
      <c r="E51" s="245"/>
      <c r="F51" s="245"/>
      <c r="G51" s="246"/>
      <c r="J51" s="61"/>
      <c r="K51" s="61"/>
      <c r="L51" s="67"/>
      <c r="M51" s="67"/>
      <c r="N51" s="67"/>
      <c r="O51" s="67"/>
    </row>
    <row r="52" spans="1:15">
      <c r="A52" s="247"/>
      <c r="B52" s="248"/>
      <c r="C52" s="248"/>
      <c r="D52" s="248"/>
      <c r="E52" s="248"/>
      <c r="F52" s="248"/>
      <c r="G52" s="249"/>
      <c r="J52" s="238"/>
      <c r="K52" s="66"/>
      <c r="L52" s="64"/>
      <c r="M52" s="64"/>
      <c r="N52" s="64"/>
      <c r="O52" s="64"/>
    </row>
    <row r="53" spans="1:15">
      <c r="J53" s="238"/>
      <c r="K53" s="66"/>
      <c r="L53" s="64"/>
      <c r="M53" s="64"/>
      <c r="N53" s="64"/>
      <c r="O53" s="64"/>
    </row>
    <row r="54" spans="1:15">
      <c r="J54" s="238"/>
      <c r="K54" s="66"/>
      <c r="L54" s="64"/>
      <c r="M54" s="64"/>
      <c r="N54" s="64"/>
      <c r="O54" s="64"/>
    </row>
    <row r="55" spans="1:15">
      <c r="J55" s="238"/>
      <c r="K55" s="66"/>
      <c r="L55" s="64"/>
      <c r="M55" s="64"/>
      <c r="N55" s="64"/>
      <c r="O55" s="64"/>
    </row>
    <row r="56" spans="1:15">
      <c r="J56" s="238"/>
      <c r="K56" s="66"/>
      <c r="L56" s="64"/>
      <c r="M56" s="64"/>
      <c r="N56" s="64"/>
      <c r="O56" s="64"/>
    </row>
    <row r="57" spans="1:15">
      <c r="J57" s="238"/>
      <c r="K57" s="66"/>
      <c r="L57" s="64"/>
      <c r="M57" s="64"/>
      <c r="N57" s="64"/>
      <c r="O57" s="64"/>
    </row>
    <row r="58" spans="1:15">
      <c r="J58" s="238"/>
      <c r="K58" s="66"/>
      <c r="L58" s="64"/>
      <c r="M58" s="64"/>
      <c r="N58" s="64"/>
      <c r="O58" s="64"/>
    </row>
    <row r="59" spans="1:15">
      <c r="J59" s="238"/>
      <c r="K59" s="66"/>
      <c r="L59" s="64"/>
      <c r="M59" s="64"/>
      <c r="N59" s="64"/>
      <c r="O59" s="64"/>
    </row>
    <row r="60" spans="1:15">
      <c r="J60" s="238"/>
      <c r="K60" s="66"/>
      <c r="L60" s="64"/>
      <c r="M60" s="64"/>
      <c r="N60" s="64"/>
      <c r="O60" s="64"/>
    </row>
    <row r="61" spans="1:15">
      <c r="J61" s="238"/>
      <c r="K61" s="66"/>
      <c r="L61" s="64"/>
      <c r="M61" s="64"/>
      <c r="N61" s="64"/>
      <c r="O61" s="64"/>
    </row>
    <row r="62" spans="1:15">
      <c r="J62" s="238"/>
      <c r="K62" s="66"/>
      <c r="L62" s="64"/>
      <c r="M62" s="64"/>
      <c r="N62" s="64"/>
      <c r="O62" s="64"/>
    </row>
    <row r="63" spans="1:15">
      <c r="J63" s="238"/>
      <c r="K63" s="66"/>
      <c r="L63" s="64"/>
      <c r="M63" s="64"/>
      <c r="N63" s="64"/>
      <c r="O63" s="64"/>
    </row>
    <row r="64" spans="1:15">
      <c r="J64" s="238"/>
      <c r="K64" s="62"/>
      <c r="L64" s="62"/>
      <c r="M64" s="62"/>
      <c r="N64" s="62"/>
      <c r="O64" s="62"/>
    </row>
    <row r="66" spans="10:15">
      <c r="J66" s="61"/>
      <c r="K66" s="61"/>
      <c r="L66" s="67"/>
      <c r="M66" s="67"/>
      <c r="N66" s="67"/>
      <c r="O66" s="67"/>
    </row>
    <row r="67" spans="10:15">
      <c r="J67" s="238"/>
      <c r="K67" s="66"/>
      <c r="L67" s="64"/>
      <c r="M67" s="64"/>
      <c r="N67" s="64"/>
      <c r="O67" s="64"/>
    </row>
    <row r="68" spans="10:15">
      <c r="J68" s="238"/>
      <c r="K68" s="66"/>
      <c r="L68" s="64"/>
      <c r="M68" s="64"/>
      <c r="N68" s="64"/>
      <c r="O68" s="64"/>
    </row>
    <row r="69" spans="10:15">
      <c r="J69" s="238"/>
      <c r="K69" s="66"/>
      <c r="L69" s="64"/>
      <c r="M69" s="64"/>
      <c r="N69" s="64"/>
      <c r="O69" s="64"/>
    </row>
    <row r="70" spans="10:15">
      <c r="J70" s="238"/>
      <c r="K70" s="66"/>
      <c r="L70" s="64"/>
      <c r="M70" s="64"/>
      <c r="N70" s="64"/>
      <c r="O70" s="64"/>
    </row>
    <row r="71" spans="10:15">
      <c r="J71" s="238"/>
      <c r="K71" s="66"/>
      <c r="L71" s="64"/>
      <c r="M71" s="64"/>
      <c r="N71" s="64"/>
      <c r="O71" s="64"/>
    </row>
    <row r="72" spans="10:15">
      <c r="J72" s="238"/>
      <c r="K72" s="66"/>
      <c r="L72" s="64"/>
      <c r="M72" s="64"/>
      <c r="N72" s="64"/>
      <c r="O72" s="64"/>
    </row>
    <row r="73" spans="10:15">
      <c r="J73" s="238"/>
      <c r="K73" s="66"/>
      <c r="L73" s="64"/>
      <c r="M73" s="64"/>
      <c r="N73" s="64"/>
      <c r="O73" s="64"/>
    </row>
    <row r="74" spans="10:15">
      <c r="J74" s="238"/>
      <c r="K74" s="66"/>
      <c r="L74" s="64"/>
      <c r="M74" s="64"/>
      <c r="N74" s="64"/>
      <c r="O74" s="64"/>
    </row>
    <row r="75" spans="10:15">
      <c r="J75" s="238"/>
      <c r="K75" s="66"/>
      <c r="L75" s="64"/>
      <c r="M75" s="64"/>
      <c r="N75" s="64"/>
      <c r="O75" s="64"/>
    </row>
    <row r="76" spans="10:15">
      <c r="J76" s="238"/>
      <c r="K76" s="66"/>
      <c r="L76" s="64"/>
      <c r="M76" s="64"/>
      <c r="N76" s="64"/>
      <c r="O76" s="64"/>
    </row>
    <row r="77" spans="10:15">
      <c r="J77" s="238"/>
      <c r="K77" s="66"/>
      <c r="L77" s="64"/>
      <c r="M77" s="64"/>
      <c r="N77" s="64"/>
      <c r="O77" s="64"/>
    </row>
    <row r="78" spans="10:15">
      <c r="J78" s="238"/>
      <c r="K78" s="66"/>
      <c r="L78" s="64"/>
      <c r="M78" s="64"/>
      <c r="N78" s="64"/>
      <c r="O78" s="64"/>
    </row>
    <row r="79" spans="10:15">
      <c r="J79" s="238"/>
      <c r="K79" s="62"/>
      <c r="L79" s="62"/>
      <c r="M79" s="62"/>
      <c r="N79" s="62"/>
      <c r="O79" s="62"/>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view="pageBreakPreview" zoomScale="60" zoomScaleNormal="100" workbookViewId="0">
      <selection activeCell="U21" sqref="U2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Stoke Energy from Waste Facility</v>
      </c>
      <c r="F1" s="93"/>
      <c r="G1" s="93"/>
    </row>
    <row r="3" spans="1:19" ht="14.45">
      <c r="A3" s="60" t="s">
        <v>414</v>
      </c>
      <c r="D3" s="76" t="s">
        <v>382</v>
      </c>
      <c r="G3" s="80" t="s">
        <v>383</v>
      </c>
      <c r="J3" s="9" t="str">
        <f>+A3</f>
        <v>Monitoring of Sulphur dioxide emissions</v>
      </c>
      <c r="L3" s="9"/>
      <c r="N3" s="9" t="s">
        <v>384</v>
      </c>
      <c r="Q3" s="79" t="s">
        <v>3</v>
      </c>
      <c r="R3" s="74"/>
      <c r="S3" s="74"/>
    </row>
    <row r="4" spans="1:19" ht="13.9" customHeight="1">
      <c r="Q4" s="215" t="s">
        <v>385</v>
      </c>
      <c r="R4" s="215"/>
      <c r="S4" s="215"/>
    </row>
    <row r="5" spans="1:19" ht="16.149999999999999">
      <c r="A5" s="68" t="s">
        <v>386</v>
      </c>
      <c r="B5" s="240" t="s">
        <v>387</v>
      </c>
      <c r="C5" s="240"/>
      <c r="D5" s="240"/>
      <c r="E5" s="240" t="s">
        <v>388</v>
      </c>
      <c r="F5" s="240"/>
      <c r="G5" s="240"/>
      <c r="J5" s="239"/>
      <c r="K5" s="239"/>
      <c r="L5" s="239"/>
      <c r="M5" s="239"/>
      <c r="N5" s="239"/>
      <c r="O5" s="239"/>
      <c r="Q5" s="215"/>
      <c r="R5" s="215"/>
      <c r="S5" s="215"/>
    </row>
    <row r="6" spans="1:19" s="58" customFormat="1" ht="37.5" customHeight="1">
      <c r="A6" s="65">
        <f>+'Cover Page'!C39</f>
        <v>2022</v>
      </c>
      <c r="B6" s="55" t="s">
        <v>415</v>
      </c>
      <c r="C6" s="55" t="s">
        <v>390</v>
      </c>
      <c r="D6" s="55" t="s">
        <v>391</v>
      </c>
      <c r="E6" s="55" t="s">
        <v>416</v>
      </c>
      <c r="F6" s="55" t="s">
        <v>393</v>
      </c>
      <c r="G6" s="55" t="s">
        <v>394</v>
      </c>
      <c r="H6" s="59"/>
      <c r="J6" s="61">
        <f>+A6</f>
        <v>2022</v>
      </c>
      <c r="K6" s="61" t="s">
        <v>395</v>
      </c>
      <c r="L6" s="67" t="s">
        <v>390</v>
      </c>
      <c r="M6" s="67" t="s">
        <v>396</v>
      </c>
      <c r="N6" s="67" t="s">
        <v>393</v>
      </c>
      <c r="O6" s="67" t="s">
        <v>397</v>
      </c>
      <c r="Q6" s="215"/>
      <c r="R6" s="215"/>
      <c r="S6" s="215"/>
    </row>
    <row r="7" spans="1:19">
      <c r="A7" s="66" t="s">
        <v>398</v>
      </c>
      <c r="B7" s="63">
        <v>200</v>
      </c>
      <c r="C7" s="103">
        <f>AVERAGE(L7,L22)</f>
        <v>22</v>
      </c>
      <c r="D7" s="103">
        <f>MAX(M7,M22)</f>
        <v>151</v>
      </c>
      <c r="E7" s="105">
        <v>50</v>
      </c>
      <c r="F7" s="103">
        <f>AVERAGE(N7,N22)</f>
        <v>21.637634408602153</v>
      </c>
      <c r="G7" s="103">
        <f>MAX(O7,O22)</f>
        <v>38</v>
      </c>
      <c r="J7" s="238" t="s">
        <v>189</v>
      </c>
      <c r="K7" s="66" t="s">
        <v>398</v>
      </c>
      <c r="L7" s="64">
        <v>24</v>
      </c>
      <c r="M7" s="64">
        <v>151</v>
      </c>
      <c r="N7" s="101">
        <v>23.533333333333335</v>
      </c>
      <c r="O7" s="64">
        <v>38</v>
      </c>
      <c r="Q7" s="215"/>
      <c r="R7" s="215"/>
      <c r="S7" s="215"/>
    </row>
    <row r="8" spans="1:19">
      <c r="A8" s="66" t="s">
        <v>399</v>
      </c>
      <c r="B8" s="63">
        <v>200</v>
      </c>
      <c r="C8" s="103">
        <f t="shared" ref="C8:C18" si="0">AVERAGE(L8,L23)</f>
        <v>26</v>
      </c>
      <c r="D8" s="103">
        <f t="shared" ref="D8:D18" si="1">MAX(M8,M23)</f>
        <v>192</v>
      </c>
      <c r="E8" s="105">
        <v>50</v>
      </c>
      <c r="F8" s="103">
        <f t="shared" ref="F8:F18" si="2">AVERAGE(N8,N23)</f>
        <v>25.987433862433861</v>
      </c>
      <c r="G8" s="103">
        <f t="shared" ref="G8:G18" si="3">MAX(O8,O23)</f>
        <v>39</v>
      </c>
      <c r="J8" s="238"/>
      <c r="K8" s="66" t="s">
        <v>399</v>
      </c>
      <c r="L8" s="64">
        <v>29</v>
      </c>
      <c r="M8" s="64">
        <v>192</v>
      </c>
      <c r="N8" s="101">
        <v>28.678571428571427</v>
      </c>
      <c r="O8" s="64">
        <v>39</v>
      </c>
      <c r="Q8" s="215"/>
      <c r="R8" s="215"/>
      <c r="S8" s="215"/>
    </row>
    <row r="9" spans="1:19">
      <c r="A9" s="66" t="s">
        <v>400</v>
      </c>
      <c r="B9" s="63">
        <v>200</v>
      </c>
      <c r="C9" s="103">
        <f t="shared" si="0"/>
        <v>23.5</v>
      </c>
      <c r="D9" s="103">
        <f t="shared" si="1"/>
        <v>121</v>
      </c>
      <c r="E9" s="105">
        <v>50</v>
      </c>
      <c r="F9" s="103">
        <f t="shared" si="2"/>
        <v>23.138709677419357</v>
      </c>
      <c r="G9" s="103">
        <f t="shared" si="3"/>
        <v>31</v>
      </c>
      <c r="J9" s="238"/>
      <c r="K9" s="66" t="s">
        <v>400</v>
      </c>
      <c r="L9" s="64">
        <v>24</v>
      </c>
      <c r="M9" s="64">
        <v>121</v>
      </c>
      <c r="N9" s="101">
        <v>23.6</v>
      </c>
      <c r="O9" s="64">
        <v>31</v>
      </c>
      <c r="Q9" s="78" t="s">
        <v>401</v>
      </c>
    </row>
    <row r="10" spans="1:19" ht="14.25" customHeight="1">
      <c r="A10" s="66" t="s">
        <v>402</v>
      </c>
      <c r="B10" s="63">
        <v>200</v>
      </c>
      <c r="C10" s="103">
        <f t="shared" si="0"/>
        <v>22.5</v>
      </c>
      <c r="D10" s="103">
        <f t="shared" si="1"/>
        <v>99</v>
      </c>
      <c r="E10" s="105">
        <v>50</v>
      </c>
      <c r="F10" s="103">
        <f t="shared" si="2"/>
        <v>22.521264367816091</v>
      </c>
      <c r="G10" s="103">
        <f t="shared" si="3"/>
        <v>37</v>
      </c>
      <c r="J10" s="238"/>
      <c r="K10" s="66" t="s">
        <v>402</v>
      </c>
      <c r="L10" s="64">
        <v>25</v>
      </c>
      <c r="M10" s="64">
        <v>99</v>
      </c>
      <c r="N10" s="101">
        <v>24.766666666666666</v>
      </c>
      <c r="O10" s="64">
        <v>37</v>
      </c>
      <c r="Q10" s="237" t="s">
        <v>403</v>
      </c>
      <c r="R10" s="237"/>
      <c r="S10" s="237"/>
    </row>
    <row r="11" spans="1:19">
      <c r="A11" s="66" t="s">
        <v>404</v>
      </c>
      <c r="B11" s="63">
        <v>200</v>
      </c>
      <c r="C11" s="103">
        <f t="shared" si="0"/>
        <v>20.5</v>
      </c>
      <c r="D11" s="103">
        <f t="shared" si="1"/>
        <v>107</v>
      </c>
      <c r="E11" s="105">
        <v>50</v>
      </c>
      <c r="F11" s="103">
        <f t="shared" si="2"/>
        <v>20.451612903225808</v>
      </c>
      <c r="G11" s="103">
        <f t="shared" si="3"/>
        <v>30</v>
      </c>
      <c r="J11" s="238"/>
      <c r="K11" s="66" t="s">
        <v>404</v>
      </c>
      <c r="L11" s="64">
        <v>22</v>
      </c>
      <c r="M11" s="64">
        <v>107</v>
      </c>
      <c r="N11" s="101">
        <v>21.483870967741936</v>
      </c>
      <c r="O11" s="64">
        <v>30</v>
      </c>
      <c r="Q11" s="237"/>
      <c r="R11" s="237"/>
      <c r="S11" s="237"/>
    </row>
    <row r="12" spans="1:19">
      <c r="A12" s="66" t="s">
        <v>405</v>
      </c>
      <c r="B12" s="63">
        <v>200</v>
      </c>
      <c r="C12" s="103">
        <f t="shared" si="0"/>
        <v>17</v>
      </c>
      <c r="D12" s="103">
        <f t="shared" si="1"/>
        <v>79</v>
      </c>
      <c r="E12" s="105">
        <v>50</v>
      </c>
      <c r="F12" s="103">
        <f t="shared" si="2"/>
        <v>16.839473684210525</v>
      </c>
      <c r="G12" s="103">
        <f t="shared" si="3"/>
        <v>23</v>
      </c>
      <c r="J12" s="238"/>
      <c r="K12" s="66" t="s">
        <v>405</v>
      </c>
      <c r="L12" s="64">
        <v>17</v>
      </c>
      <c r="M12" s="64">
        <v>79</v>
      </c>
      <c r="N12" s="101">
        <v>16.578947368421051</v>
      </c>
      <c r="O12" s="64">
        <v>22</v>
      </c>
      <c r="Q12" s="237"/>
      <c r="R12" s="237"/>
      <c r="S12" s="237"/>
    </row>
    <row r="13" spans="1:19" ht="14.25" customHeight="1">
      <c r="A13" s="66" t="s">
        <v>406</v>
      </c>
      <c r="B13" s="63">
        <v>200</v>
      </c>
      <c r="C13" s="103">
        <f t="shared" si="0"/>
        <v>27</v>
      </c>
      <c r="D13" s="103">
        <f t="shared" si="1"/>
        <v>164</v>
      </c>
      <c r="E13" s="105">
        <v>50</v>
      </c>
      <c r="F13" s="103">
        <f t="shared" si="2"/>
        <v>26.927777777777777</v>
      </c>
      <c r="G13" s="103">
        <f t="shared" si="3"/>
        <v>39</v>
      </c>
      <c r="J13" s="238"/>
      <c r="K13" s="66" t="s">
        <v>406</v>
      </c>
      <c r="L13" s="64">
        <v>28</v>
      </c>
      <c r="M13" s="64">
        <v>164</v>
      </c>
      <c r="N13" s="101">
        <v>28.055555555555557</v>
      </c>
      <c r="O13" s="64">
        <v>39</v>
      </c>
      <c r="Q13" s="237" t="s">
        <v>407</v>
      </c>
      <c r="R13" s="237"/>
      <c r="S13" s="237"/>
    </row>
    <row r="14" spans="1:19">
      <c r="A14" s="66" t="s">
        <v>408</v>
      </c>
      <c r="B14" s="63">
        <v>200</v>
      </c>
      <c r="C14" s="103">
        <f t="shared" si="0"/>
        <v>23</v>
      </c>
      <c r="D14" s="103">
        <f t="shared" si="1"/>
        <v>84</v>
      </c>
      <c r="E14" s="105">
        <v>50</v>
      </c>
      <c r="F14" s="103">
        <f t="shared" si="2"/>
        <v>22.935483870967744</v>
      </c>
      <c r="G14" s="103">
        <f t="shared" si="3"/>
        <v>32</v>
      </c>
      <c r="J14" s="238"/>
      <c r="K14" s="66" t="s">
        <v>408</v>
      </c>
      <c r="L14" s="64">
        <v>24</v>
      </c>
      <c r="M14" s="64">
        <v>84</v>
      </c>
      <c r="N14" s="101">
        <v>23.903225806451612</v>
      </c>
      <c r="O14" s="64">
        <v>32</v>
      </c>
      <c r="Q14" s="237"/>
      <c r="R14" s="237"/>
      <c r="S14" s="237"/>
    </row>
    <row r="15" spans="1:19">
      <c r="A15" s="66" t="s">
        <v>409</v>
      </c>
      <c r="B15" s="63">
        <v>200</v>
      </c>
      <c r="C15" s="103">
        <f t="shared" si="0"/>
        <v>24</v>
      </c>
      <c r="D15" s="103">
        <f t="shared" si="1"/>
        <v>117</v>
      </c>
      <c r="E15" s="105">
        <v>50</v>
      </c>
      <c r="F15" s="103">
        <f t="shared" si="2"/>
        <v>23.978735632183909</v>
      </c>
      <c r="G15" s="103">
        <f t="shared" si="3"/>
        <v>32</v>
      </c>
      <c r="J15" s="238"/>
      <c r="K15" s="66" t="s">
        <v>409</v>
      </c>
      <c r="L15" s="64">
        <v>28</v>
      </c>
      <c r="M15" s="64">
        <v>76</v>
      </c>
      <c r="N15" s="101">
        <v>27.724137931034484</v>
      </c>
      <c r="O15" s="64">
        <v>32</v>
      </c>
      <c r="Q15" s="237"/>
      <c r="R15" s="237"/>
      <c r="S15" s="237"/>
    </row>
    <row r="16" spans="1:19">
      <c r="A16" s="66" t="s">
        <v>410</v>
      </c>
      <c r="B16" s="63">
        <v>200</v>
      </c>
      <c r="C16" s="103">
        <f t="shared" si="0"/>
        <v>26</v>
      </c>
      <c r="D16" s="103">
        <f t="shared" si="1"/>
        <v>150</v>
      </c>
      <c r="E16" s="105">
        <v>50</v>
      </c>
      <c r="F16" s="103">
        <f t="shared" si="2"/>
        <v>26.45752688172043</v>
      </c>
      <c r="G16" s="103">
        <f t="shared" si="3"/>
        <v>38</v>
      </c>
      <c r="J16" s="238"/>
      <c r="K16" s="66" t="s">
        <v>410</v>
      </c>
      <c r="L16" s="64">
        <v>30</v>
      </c>
      <c r="M16" s="64">
        <v>150</v>
      </c>
      <c r="N16" s="101">
        <v>30.548387096774192</v>
      </c>
      <c r="O16" s="64">
        <v>38</v>
      </c>
      <c r="Q16" s="237"/>
      <c r="R16" s="237"/>
      <c r="S16" s="237"/>
    </row>
    <row r="17" spans="1:15">
      <c r="A17" s="66" t="s">
        <v>411</v>
      </c>
      <c r="B17" s="63">
        <v>200</v>
      </c>
      <c r="C17" s="103">
        <f t="shared" si="0"/>
        <v>26.5</v>
      </c>
      <c r="D17" s="103">
        <f t="shared" si="1"/>
        <v>125</v>
      </c>
      <c r="E17" s="105">
        <v>50</v>
      </c>
      <c r="F17" s="103">
        <f t="shared" si="2"/>
        <v>26.116666666666667</v>
      </c>
      <c r="G17" s="103">
        <f t="shared" si="3"/>
        <v>35</v>
      </c>
      <c r="J17" s="238"/>
      <c r="K17" s="66" t="s">
        <v>411</v>
      </c>
      <c r="L17" s="64">
        <v>30</v>
      </c>
      <c r="M17" s="64">
        <v>125</v>
      </c>
      <c r="N17" s="101">
        <v>29.666666666666668</v>
      </c>
      <c r="O17" s="64">
        <v>35</v>
      </c>
    </row>
    <row r="18" spans="1:15">
      <c r="A18" s="66" t="s">
        <v>412</v>
      </c>
      <c r="B18" s="63">
        <v>200</v>
      </c>
      <c r="C18" s="103">
        <f t="shared" si="0"/>
        <v>28</v>
      </c>
      <c r="D18" s="103">
        <f t="shared" si="1"/>
        <v>90</v>
      </c>
      <c r="E18" s="105">
        <v>50</v>
      </c>
      <c r="F18" s="103">
        <f t="shared" si="2"/>
        <v>27.891278375149341</v>
      </c>
      <c r="G18" s="103">
        <f t="shared" si="3"/>
        <v>36</v>
      </c>
      <c r="J18" s="238"/>
      <c r="K18" s="66" t="s">
        <v>412</v>
      </c>
      <c r="L18" s="64">
        <v>32</v>
      </c>
      <c r="M18" s="64">
        <v>90</v>
      </c>
      <c r="N18" s="101">
        <v>31.967741935483872</v>
      </c>
      <c r="O18" s="64">
        <v>34</v>
      </c>
    </row>
    <row r="19" spans="1:15">
      <c r="J19" s="238"/>
      <c r="K19" s="62" t="s">
        <v>413</v>
      </c>
      <c r="L19" s="102">
        <f>AVERAGE(L7:L18)</f>
        <v>26.083333333333332</v>
      </c>
      <c r="M19" s="62">
        <f>MAX(M7:M18)</f>
        <v>192</v>
      </c>
      <c r="N19" s="102">
        <f>AVERAGE(N7:N18)</f>
        <v>25.875592063058395</v>
      </c>
      <c r="O19" s="62">
        <f>MAX(O7:O18)</f>
        <v>39</v>
      </c>
    </row>
    <row r="21" spans="1:15" ht="41.45">
      <c r="J21" s="61">
        <f>+A6</f>
        <v>2022</v>
      </c>
      <c r="K21" s="61" t="s">
        <v>395</v>
      </c>
      <c r="L21" s="67" t="s">
        <v>390</v>
      </c>
      <c r="M21" s="67" t="s">
        <v>396</v>
      </c>
      <c r="N21" s="67" t="s">
        <v>393</v>
      </c>
      <c r="O21" s="67" t="s">
        <v>397</v>
      </c>
    </row>
    <row r="22" spans="1:15">
      <c r="J22" s="238" t="s">
        <v>190</v>
      </c>
      <c r="K22" s="66" t="s">
        <v>398</v>
      </c>
      <c r="L22" s="64">
        <v>20</v>
      </c>
      <c r="M22" s="64">
        <v>55</v>
      </c>
      <c r="N22" s="101">
        <v>19.741935483870968</v>
      </c>
      <c r="O22" s="64">
        <v>27</v>
      </c>
    </row>
    <row r="23" spans="1:15">
      <c r="J23" s="238"/>
      <c r="K23" s="66" t="s">
        <v>399</v>
      </c>
      <c r="L23" s="64">
        <v>23</v>
      </c>
      <c r="M23" s="64">
        <v>147</v>
      </c>
      <c r="N23" s="101">
        <v>23.296296296296298</v>
      </c>
      <c r="O23" s="64">
        <v>32</v>
      </c>
    </row>
    <row r="24" spans="1:15">
      <c r="J24" s="238"/>
      <c r="K24" s="66" t="s">
        <v>400</v>
      </c>
      <c r="L24" s="64">
        <v>23</v>
      </c>
      <c r="M24" s="64">
        <v>80</v>
      </c>
      <c r="N24" s="101">
        <v>22.677419354838708</v>
      </c>
      <c r="O24" s="64">
        <v>30</v>
      </c>
    </row>
    <row r="25" spans="1:15">
      <c r="J25" s="238"/>
      <c r="K25" s="66" t="s">
        <v>402</v>
      </c>
      <c r="L25" s="64">
        <v>20</v>
      </c>
      <c r="M25" s="64">
        <v>75</v>
      </c>
      <c r="N25" s="101">
        <v>20.275862068965516</v>
      </c>
      <c r="O25" s="64">
        <v>30</v>
      </c>
    </row>
    <row r="26" spans="1:15">
      <c r="J26" s="238"/>
      <c r="K26" s="66" t="s">
        <v>404</v>
      </c>
      <c r="L26" s="64">
        <v>19</v>
      </c>
      <c r="M26" s="64">
        <v>92</v>
      </c>
      <c r="N26" s="101">
        <v>19.419354838709676</v>
      </c>
      <c r="O26" s="64">
        <v>24</v>
      </c>
    </row>
    <row r="27" spans="1:15">
      <c r="J27" s="238"/>
      <c r="K27" s="66" t="s">
        <v>405</v>
      </c>
      <c r="L27" s="64">
        <v>17</v>
      </c>
      <c r="M27" s="64">
        <v>72</v>
      </c>
      <c r="N27" s="101">
        <v>17.100000000000001</v>
      </c>
      <c r="O27" s="64">
        <v>23</v>
      </c>
    </row>
    <row r="28" spans="1:15">
      <c r="J28" s="238"/>
      <c r="K28" s="66" t="s">
        <v>406</v>
      </c>
      <c r="L28" s="64">
        <v>26</v>
      </c>
      <c r="M28" s="64">
        <v>70</v>
      </c>
      <c r="N28" s="101">
        <v>25.8</v>
      </c>
      <c r="O28" s="64">
        <v>35</v>
      </c>
    </row>
    <row r="29" spans="1:15">
      <c r="J29" s="238"/>
      <c r="K29" s="66" t="s">
        <v>408</v>
      </c>
      <c r="L29" s="64">
        <v>22</v>
      </c>
      <c r="M29" s="64">
        <v>84</v>
      </c>
      <c r="N29" s="101">
        <v>21.967741935483872</v>
      </c>
      <c r="O29" s="64">
        <v>30</v>
      </c>
    </row>
    <row r="30" spans="1:15">
      <c r="J30" s="238"/>
      <c r="K30" s="66" t="s">
        <v>409</v>
      </c>
      <c r="L30" s="64">
        <v>20</v>
      </c>
      <c r="M30" s="64">
        <v>117</v>
      </c>
      <c r="N30" s="101">
        <v>20.233333333333334</v>
      </c>
      <c r="O30" s="64">
        <v>24</v>
      </c>
    </row>
    <row r="31" spans="1:15">
      <c r="J31" s="238"/>
      <c r="K31" s="66" t="s">
        <v>410</v>
      </c>
      <c r="L31" s="64">
        <v>22</v>
      </c>
      <c r="M31" s="64">
        <v>87</v>
      </c>
      <c r="N31" s="101">
        <v>22.366666666666667</v>
      </c>
      <c r="O31" s="64">
        <v>30</v>
      </c>
    </row>
    <row r="32" spans="1:15">
      <c r="J32" s="238"/>
      <c r="K32" s="66" t="s">
        <v>411</v>
      </c>
      <c r="L32" s="64">
        <v>23</v>
      </c>
      <c r="M32" s="64">
        <v>83</v>
      </c>
      <c r="N32" s="101">
        <v>22.566666666666666</v>
      </c>
      <c r="O32" s="64">
        <v>31</v>
      </c>
    </row>
    <row r="33" spans="1:15">
      <c r="J33" s="238"/>
      <c r="K33" s="66" t="s">
        <v>412</v>
      </c>
      <c r="L33" s="64">
        <v>24</v>
      </c>
      <c r="M33" s="64">
        <v>64</v>
      </c>
      <c r="N33" s="101">
        <v>23.814814814814813</v>
      </c>
      <c r="O33" s="64">
        <v>36</v>
      </c>
    </row>
    <row r="34" spans="1:15">
      <c r="J34" s="238"/>
      <c r="K34" s="62" t="s">
        <v>413</v>
      </c>
      <c r="L34" s="102">
        <f>AVERAGE(L22:L33)</f>
        <v>21.583333333333332</v>
      </c>
      <c r="M34" s="62">
        <f>MAX(M22:M33)</f>
        <v>147</v>
      </c>
      <c r="N34" s="102">
        <f>AVERAGE(N22:N33)</f>
        <v>21.605007621637213</v>
      </c>
      <c r="O34" s="62">
        <f>MAX(O22:O33)</f>
        <v>36</v>
      </c>
    </row>
    <row r="36" spans="1:15">
      <c r="J36" s="61"/>
      <c r="K36" s="61"/>
      <c r="L36" s="67"/>
      <c r="M36" s="67"/>
      <c r="N36" s="67"/>
      <c r="O36" s="67"/>
    </row>
    <row r="37" spans="1:15">
      <c r="J37" s="238"/>
      <c r="K37" s="66"/>
      <c r="L37" s="64"/>
      <c r="M37" s="64"/>
      <c r="N37" s="64"/>
      <c r="O37" s="64"/>
    </row>
    <row r="38" spans="1:15">
      <c r="J38" s="238"/>
      <c r="K38" s="66"/>
      <c r="L38" s="64"/>
      <c r="M38" s="64"/>
      <c r="N38" s="64"/>
      <c r="O38" s="64"/>
    </row>
    <row r="39" spans="1:15">
      <c r="J39" s="238"/>
      <c r="K39" s="66"/>
      <c r="L39" s="64"/>
      <c r="M39" s="64"/>
      <c r="N39" s="64"/>
      <c r="O39" s="64"/>
    </row>
    <row r="40" spans="1:15">
      <c r="J40" s="238"/>
      <c r="K40" s="66"/>
      <c r="L40" s="64"/>
      <c r="M40" s="64"/>
      <c r="N40" s="64"/>
      <c r="O40" s="64"/>
    </row>
    <row r="41" spans="1:15">
      <c r="J41" s="238"/>
      <c r="K41" s="66"/>
      <c r="L41" s="64"/>
      <c r="M41" s="64"/>
      <c r="N41" s="64"/>
      <c r="O41" s="64"/>
    </row>
    <row r="42" spans="1:15">
      <c r="J42" s="238"/>
      <c r="K42" s="66"/>
      <c r="L42" s="64"/>
      <c r="M42" s="64"/>
      <c r="N42" s="64"/>
      <c r="O42" s="64"/>
    </row>
    <row r="43" spans="1:15">
      <c r="C43" s="35" t="s">
        <v>12</v>
      </c>
      <c r="J43" s="238"/>
      <c r="K43" s="66"/>
      <c r="L43" s="64"/>
      <c r="M43" s="64"/>
      <c r="N43" s="64"/>
      <c r="O43" s="64"/>
    </row>
    <row r="44" spans="1:15">
      <c r="J44" s="238"/>
      <c r="K44" s="66"/>
      <c r="L44" s="64"/>
      <c r="M44" s="64"/>
      <c r="N44" s="64"/>
      <c r="O44" s="64"/>
    </row>
    <row r="45" spans="1:15">
      <c r="C45" s="35" t="s">
        <v>14</v>
      </c>
      <c r="J45" s="238"/>
      <c r="K45" s="66"/>
      <c r="L45" s="64"/>
      <c r="M45" s="64"/>
      <c r="N45" s="64"/>
      <c r="O45" s="64"/>
    </row>
    <row r="46" spans="1:15">
      <c r="J46" s="238"/>
      <c r="K46" s="66"/>
      <c r="L46" s="64"/>
      <c r="M46" s="64"/>
      <c r="N46" s="64"/>
      <c r="O46" s="64"/>
    </row>
    <row r="47" spans="1:15">
      <c r="J47" s="238"/>
      <c r="K47" s="66"/>
      <c r="L47" s="64"/>
      <c r="M47" s="64"/>
      <c r="N47" s="64"/>
      <c r="O47" s="64"/>
    </row>
    <row r="48" spans="1:15">
      <c r="A48" s="250" t="s">
        <v>309</v>
      </c>
      <c r="B48" s="251"/>
      <c r="C48" s="251"/>
      <c r="D48" s="251"/>
      <c r="E48" s="251"/>
      <c r="F48" s="251"/>
      <c r="G48" s="252"/>
      <c r="J48" s="238"/>
      <c r="K48" s="66"/>
      <c r="L48" s="64"/>
      <c r="M48" s="64"/>
      <c r="N48" s="64"/>
      <c r="O48" s="64"/>
    </row>
    <row r="49" spans="1:15">
      <c r="A49" s="241"/>
      <c r="B49" s="242"/>
      <c r="C49" s="242"/>
      <c r="D49" s="242"/>
      <c r="E49" s="242"/>
      <c r="F49" s="242"/>
      <c r="G49" s="243"/>
      <c r="J49" s="238"/>
      <c r="K49" s="62"/>
      <c r="L49" s="62"/>
      <c r="M49" s="62"/>
      <c r="N49" s="62"/>
      <c r="O49" s="62"/>
    </row>
    <row r="50" spans="1:15">
      <c r="A50" s="244"/>
      <c r="B50" s="245"/>
      <c r="C50" s="245"/>
      <c r="D50" s="245"/>
      <c r="E50" s="245"/>
      <c r="F50" s="245"/>
      <c r="G50" s="246"/>
    </row>
    <row r="51" spans="1:15">
      <c r="A51" s="244"/>
      <c r="B51" s="245"/>
      <c r="C51" s="245"/>
      <c r="D51" s="245"/>
      <c r="E51" s="245"/>
      <c r="F51" s="245"/>
      <c r="G51" s="246"/>
      <c r="J51" s="61"/>
      <c r="K51" s="61"/>
      <c r="L51" s="67"/>
      <c r="M51" s="67"/>
      <c r="N51" s="67"/>
      <c r="O51" s="67"/>
    </row>
    <row r="52" spans="1:15">
      <c r="A52" s="247"/>
      <c r="B52" s="248"/>
      <c r="C52" s="248"/>
      <c r="D52" s="248"/>
      <c r="E52" s="248"/>
      <c r="F52" s="248"/>
      <c r="G52" s="249"/>
      <c r="J52" s="238"/>
      <c r="K52" s="66"/>
      <c r="L52" s="64"/>
      <c r="M52" s="64"/>
      <c r="N52" s="64"/>
      <c r="O52" s="64"/>
    </row>
    <row r="53" spans="1:15">
      <c r="J53" s="238"/>
      <c r="K53" s="66"/>
      <c r="L53" s="64"/>
      <c r="M53" s="64"/>
      <c r="N53" s="64"/>
      <c r="O53" s="64"/>
    </row>
    <row r="54" spans="1:15">
      <c r="J54" s="238"/>
      <c r="K54" s="66"/>
      <c r="L54" s="64"/>
      <c r="M54" s="64"/>
      <c r="N54" s="64"/>
      <c r="O54" s="64"/>
    </row>
    <row r="55" spans="1:15">
      <c r="J55" s="238"/>
      <c r="K55" s="66"/>
      <c r="L55" s="64"/>
      <c r="M55" s="64"/>
      <c r="N55" s="64"/>
      <c r="O55" s="64"/>
    </row>
    <row r="56" spans="1:15">
      <c r="J56" s="238"/>
      <c r="K56" s="66"/>
      <c r="L56" s="64"/>
      <c r="M56" s="64"/>
      <c r="N56" s="64"/>
      <c r="O56" s="64"/>
    </row>
    <row r="57" spans="1:15">
      <c r="J57" s="238"/>
      <c r="K57" s="66"/>
      <c r="L57" s="64"/>
      <c r="M57" s="64"/>
      <c r="N57" s="64"/>
      <c r="O57" s="64"/>
    </row>
    <row r="58" spans="1:15">
      <c r="J58" s="238"/>
      <c r="K58" s="66"/>
      <c r="L58" s="64"/>
      <c r="M58" s="64"/>
      <c r="N58" s="64"/>
      <c r="O58" s="64"/>
    </row>
    <row r="59" spans="1:15">
      <c r="J59" s="238"/>
      <c r="K59" s="66"/>
      <c r="L59" s="64"/>
      <c r="M59" s="64"/>
      <c r="N59" s="64"/>
      <c r="O59" s="64"/>
    </row>
    <row r="60" spans="1:15">
      <c r="J60" s="238"/>
      <c r="K60" s="66"/>
      <c r="L60" s="64"/>
      <c r="M60" s="64"/>
      <c r="N60" s="64"/>
      <c r="O60" s="64"/>
    </row>
    <row r="61" spans="1:15">
      <c r="J61" s="238"/>
      <c r="K61" s="66"/>
      <c r="L61" s="64"/>
      <c r="M61" s="64"/>
      <c r="N61" s="64"/>
      <c r="O61" s="64"/>
    </row>
    <row r="62" spans="1:15">
      <c r="J62" s="238"/>
      <c r="K62" s="66"/>
      <c r="L62" s="64"/>
      <c r="M62" s="64"/>
      <c r="N62" s="64"/>
      <c r="O62" s="64"/>
    </row>
    <row r="63" spans="1:15">
      <c r="J63" s="238"/>
      <c r="K63" s="66"/>
      <c r="L63" s="64"/>
      <c r="M63" s="64"/>
      <c r="N63" s="64"/>
      <c r="O63" s="64"/>
    </row>
    <row r="64" spans="1:15">
      <c r="J64" s="238"/>
      <c r="K64" s="62"/>
      <c r="L64" s="62"/>
      <c r="M64" s="62"/>
      <c r="N64" s="62"/>
      <c r="O64" s="62"/>
    </row>
    <row r="66" spans="10:15">
      <c r="J66" s="61"/>
      <c r="K66" s="61"/>
      <c r="L66" s="67"/>
      <c r="M66" s="67"/>
      <c r="N66" s="67"/>
      <c r="O66" s="67"/>
    </row>
    <row r="67" spans="10:15">
      <c r="J67" s="238"/>
      <c r="K67" s="66"/>
      <c r="L67" s="64"/>
      <c r="M67" s="64"/>
      <c r="N67" s="64"/>
      <c r="O67" s="64"/>
    </row>
    <row r="68" spans="10:15">
      <c r="J68" s="238"/>
      <c r="K68" s="66"/>
      <c r="L68" s="64"/>
      <c r="M68" s="64"/>
      <c r="N68" s="64"/>
      <c r="O68" s="64"/>
    </row>
    <row r="69" spans="10:15">
      <c r="J69" s="238"/>
      <c r="K69" s="66"/>
      <c r="L69" s="64"/>
      <c r="M69" s="64"/>
      <c r="N69" s="64"/>
      <c r="O69" s="64"/>
    </row>
    <row r="70" spans="10:15">
      <c r="J70" s="238"/>
      <c r="K70" s="66"/>
      <c r="L70" s="64"/>
      <c r="M70" s="64"/>
      <c r="N70" s="64"/>
      <c r="O70" s="64"/>
    </row>
    <row r="71" spans="10:15">
      <c r="J71" s="238"/>
      <c r="K71" s="66"/>
      <c r="L71" s="64"/>
      <c r="M71" s="64"/>
      <c r="N71" s="64"/>
      <c r="O71" s="64"/>
    </row>
    <row r="72" spans="10:15">
      <c r="J72" s="238"/>
      <c r="K72" s="66"/>
      <c r="L72" s="64"/>
      <c r="M72" s="64"/>
      <c r="N72" s="64"/>
      <c r="O72" s="64"/>
    </row>
    <row r="73" spans="10:15">
      <c r="J73" s="238"/>
      <c r="K73" s="66"/>
      <c r="L73" s="64"/>
      <c r="M73" s="64"/>
      <c r="N73" s="64"/>
      <c r="O73" s="64"/>
    </row>
    <row r="74" spans="10:15">
      <c r="J74" s="238"/>
      <c r="K74" s="66"/>
      <c r="L74" s="64"/>
      <c r="M74" s="64"/>
      <c r="N74" s="64"/>
      <c r="O74" s="64"/>
    </row>
    <row r="75" spans="10:15">
      <c r="J75" s="238"/>
      <c r="K75" s="66"/>
      <c r="L75" s="64"/>
      <c r="M75" s="64"/>
      <c r="N75" s="64"/>
      <c r="O75" s="64"/>
    </row>
    <row r="76" spans="10:15">
      <c r="J76" s="238"/>
      <c r="K76" s="66"/>
      <c r="L76" s="64"/>
      <c r="M76" s="64"/>
      <c r="N76" s="64"/>
      <c r="O76" s="64"/>
    </row>
    <row r="77" spans="10:15">
      <c r="J77" s="238"/>
      <c r="K77" s="66"/>
      <c r="L77" s="64"/>
      <c r="M77" s="64"/>
      <c r="N77" s="64"/>
      <c r="O77" s="64"/>
    </row>
    <row r="78" spans="10:15">
      <c r="J78" s="238"/>
      <c r="K78" s="66"/>
      <c r="L78" s="64"/>
      <c r="M78" s="64"/>
      <c r="N78" s="64"/>
      <c r="O78" s="64"/>
    </row>
    <row r="79" spans="10:15">
      <c r="J79" s="238"/>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view="pageBreakPreview" zoomScale="60" zoomScaleNormal="100" workbookViewId="0">
      <selection activeCell="U21" sqref="U2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Stoke Energy from Waste Facility</v>
      </c>
      <c r="F1" s="93"/>
    </row>
    <row r="3" spans="1:19" ht="14.45">
      <c r="A3" s="60" t="s">
        <v>417</v>
      </c>
      <c r="D3" s="76" t="s">
        <v>382</v>
      </c>
      <c r="G3" s="80" t="s">
        <v>383</v>
      </c>
      <c r="J3" s="9" t="str">
        <f>+A3</f>
        <v>Monitoring of Oxides of Nitrogen emissions</v>
      </c>
      <c r="L3" s="9"/>
      <c r="N3" s="9" t="s">
        <v>384</v>
      </c>
      <c r="Q3" s="79" t="s">
        <v>3</v>
      </c>
      <c r="R3" s="74"/>
      <c r="S3" s="74"/>
    </row>
    <row r="4" spans="1:19" ht="13.9" customHeight="1">
      <c r="Q4" s="215" t="s">
        <v>385</v>
      </c>
      <c r="R4" s="215"/>
      <c r="S4" s="215"/>
    </row>
    <row r="5" spans="1:19" ht="16.149999999999999">
      <c r="A5" s="68" t="s">
        <v>386</v>
      </c>
      <c r="B5" s="240" t="s">
        <v>387</v>
      </c>
      <c r="C5" s="240"/>
      <c r="D5" s="240"/>
      <c r="E5" s="240" t="s">
        <v>388</v>
      </c>
      <c r="F5" s="240"/>
      <c r="G5" s="240"/>
      <c r="J5" s="239"/>
      <c r="K5" s="239"/>
      <c r="L5" s="239"/>
      <c r="M5" s="239"/>
      <c r="N5" s="239"/>
      <c r="O5" s="239"/>
      <c r="Q5" s="215"/>
      <c r="R5" s="215"/>
      <c r="S5" s="215"/>
    </row>
    <row r="6" spans="1:19" s="58" customFormat="1" ht="37.5" customHeight="1">
      <c r="A6" s="65">
        <f>+'Cover Page'!C39</f>
        <v>2022</v>
      </c>
      <c r="B6" s="55" t="s">
        <v>418</v>
      </c>
      <c r="C6" s="55" t="s">
        <v>390</v>
      </c>
      <c r="D6" s="55" t="s">
        <v>391</v>
      </c>
      <c r="E6" s="55" t="s">
        <v>419</v>
      </c>
      <c r="F6" s="55" t="s">
        <v>393</v>
      </c>
      <c r="G6" s="55" t="s">
        <v>394</v>
      </c>
      <c r="H6" s="59"/>
      <c r="J6" s="61">
        <f>+A6</f>
        <v>2022</v>
      </c>
      <c r="K6" s="61" t="s">
        <v>395</v>
      </c>
      <c r="L6" s="67" t="s">
        <v>390</v>
      </c>
      <c r="M6" s="67" t="s">
        <v>396</v>
      </c>
      <c r="N6" s="67" t="s">
        <v>393</v>
      </c>
      <c r="O6" s="67" t="s">
        <v>397</v>
      </c>
      <c r="Q6" s="215"/>
      <c r="R6" s="215"/>
      <c r="S6" s="215"/>
    </row>
    <row r="7" spans="1:19">
      <c r="A7" s="66" t="s">
        <v>398</v>
      </c>
      <c r="B7" s="63">
        <v>400</v>
      </c>
      <c r="C7" s="103">
        <f>AVERAGE(L7,L22)</f>
        <v>177.5</v>
      </c>
      <c r="D7" s="103">
        <f>MAX(M7,M22)</f>
        <v>361</v>
      </c>
      <c r="E7" s="105">
        <v>200</v>
      </c>
      <c r="F7" s="103">
        <f>AVERAGE(N7,N22)</f>
        <v>177.42956989247313</v>
      </c>
      <c r="G7" s="103">
        <f>MAX(O7,O22)</f>
        <v>185</v>
      </c>
      <c r="J7" s="238" t="s">
        <v>189</v>
      </c>
      <c r="K7" s="66" t="s">
        <v>398</v>
      </c>
      <c r="L7" s="64">
        <v>180</v>
      </c>
      <c r="M7" s="64">
        <v>361</v>
      </c>
      <c r="N7" s="101">
        <v>179.63333333333333</v>
      </c>
      <c r="O7" s="64">
        <v>185</v>
      </c>
      <c r="Q7" s="215"/>
      <c r="R7" s="215"/>
      <c r="S7" s="215"/>
    </row>
    <row r="8" spans="1:19">
      <c r="A8" s="66" t="s">
        <v>399</v>
      </c>
      <c r="B8" s="63">
        <v>400</v>
      </c>
      <c r="C8" s="103">
        <f t="shared" ref="C8:C18" si="0">AVERAGE(L8,L23)</f>
        <v>176</v>
      </c>
      <c r="D8" s="103">
        <f t="shared" ref="D8:D18" si="1">MAX(M8,M23)</f>
        <v>247</v>
      </c>
      <c r="E8" s="105">
        <v>200</v>
      </c>
      <c r="F8" s="103">
        <f t="shared" ref="F8:F18" si="2">AVERAGE(N8,N23)</f>
        <v>175.7962962962963</v>
      </c>
      <c r="G8" s="103">
        <f t="shared" ref="G8:G18" si="3">MAX(O8,O23)</f>
        <v>180</v>
      </c>
      <c r="J8" s="238"/>
      <c r="K8" s="66" t="s">
        <v>399</v>
      </c>
      <c r="L8" s="64">
        <v>178</v>
      </c>
      <c r="M8" s="64">
        <v>247</v>
      </c>
      <c r="N8" s="101">
        <v>178</v>
      </c>
      <c r="O8" s="64">
        <v>180</v>
      </c>
      <c r="Q8" s="215"/>
      <c r="R8" s="215"/>
      <c r="S8" s="215"/>
    </row>
    <row r="9" spans="1:19">
      <c r="A9" s="66" t="s">
        <v>400</v>
      </c>
      <c r="B9" s="63">
        <v>400</v>
      </c>
      <c r="C9" s="103">
        <f t="shared" si="0"/>
        <v>175</v>
      </c>
      <c r="D9" s="103">
        <f t="shared" si="1"/>
        <v>283</v>
      </c>
      <c r="E9" s="105">
        <v>200</v>
      </c>
      <c r="F9" s="103">
        <f t="shared" si="2"/>
        <v>175.23602150537636</v>
      </c>
      <c r="G9" s="103">
        <f t="shared" si="3"/>
        <v>180</v>
      </c>
      <c r="J9" s="238"/>
      <c r="K9" s="66" t="s">
        <v>400</v>
      </c>
      <c r="L9" s="64">
        <v>177</v>
      </c>
      <c r="M9" s="64">
        <v>239</v>
      </c>
      <c r="N9" s="101">
        <v>177.63333333333333</v>
      </c>
      <c r="O9" s="64">
        <v>180</v>
      </c>
      <c r="Q9" s="78" t="s">
        <v>401</v>
      </c>
    </row>
    <row r="10" spans="1:19" ht="14.25" customHeight="1">
      <c r="A10" s="66" t="s">
        <v>402</v>
      </c>
      <c r="B10" s="63">
        <v>400</v>
      </c>
      <c r="C10" s="103">
        <f t="shared" si="0"/>
        <v>169</v>
      </c>
      <c r="D10" s="103">
        <f t="shared" si="1"/>
        <v>235</v>
      </c>
      <c r="E10" s="105">
        <v>200</v>
      </c>
      <c r="F10" s="103">
        <f t="shared" si="2"/>
        <v>169.01149425287355</v>
      </c>
      <c r="G10" s="103">
        <f t="shared" si="3"/>
        <v>185</v>
      </c>
      <c r="J10" s="238"/>
      <c r="K10" s="66" t="s">
        <v>402</v>
      </c>
      <c r="L10" s="64">
        <v>178</v>
      </c>
      <c r="M10" s="64">
        <v>220</v>
      </c>
      <c r="N10" s="101">
        <v>178.33333333333334</v>
      </c>
      <c r="O10" s="64">
        <v>185</v>
      </c>
      <c r="Q10" s="237" t="s">
        <v>403</v>
      </c>
      <c r="R10" s="237"/>
      <c r="S10" s="237"/>
    </row>
    <row r="11" spans="1:19">
      <c r="A11" s="66" t="s">
        <v>404</v>
      </c>
      <c r="B11" s="63">
        <v>400</v>
      </c>
      <c r="C11" s="103">
        <f t="shared" si="0"/>
        <v>180</v>
      </c>
      <c r="D11" s="103">
        <f t="shared" si="1"/>
        <v>311</v>
      </c>
      <c r="E11" s="105">
        <v>200</v>
      </c>
      <c r="F11" s="103">
        <f t="shared" si="2"/>
        <v>169.95161290322579</v>
      </c>
      <c r="G11" s="103">
        <f t="shared" si="3"/>
        <v>192</v>
      </c>
      <c r="J11" s="238"/>
      <c r="K11" s="66" t="s">
        <v>404</v>
      </c>
      <c r="L11" s="64">
        <v>180</v>
      </c>
      <c r="M11" s="64">
        <v>311</v>
      </c>
      <c r="N11" s="101">
        <v>180.19354838709677</v>
      </c>
      <c r="O11" s="64">
        <v>192</v>
      </c>
      <c r="Q11" s="237"/>
      <c r="R11" s="237"/>
      <c r="S11" s="237"/>
    </row>
    <row r="12" spans="1:19">
      <c r="A12" s="66" t="s">
        <v>405</v>
      </c>
      <c r="B12" s="63">
        <v>400</v>
      </c>
      <c r="C12" s="103">
        <f t="shared" si="0"/>
        <v>169</v>
      </c>
      <c r="D12" s="103">
        <f t="shared" si="1"/>
        <v>290</v>
      </c>
      <c r="E12" s="105">
        <v>200</v>
      </c>
      <c r="F12" s="103">
        <f t="shared" si="2"/>
        <v>169.02192982456143</v>
      </c>
      <c r="G12" s="103">
        <f t="shared" si="3"/>
        <v>179</v>
      </c>
      <c r="J12" s="238"/>
      <c r="K12" s="66" t="s">
        <v>405</v>
      </c>
      <c r="L12" s="64">
        <v>178</v>
      </c>
      <c r="M12" s="64">
        <v>270</v>
      </c>
      <c r="N12" s="101">
        <v>178.21052631578948</v>
      </c>
      <c r="O12" s="64">
        <v>179</v>
      </c>
      <c r="Q12" s="237"/>
      <c r="R12" s="237"/>
      <c r="S12" s="237"/>
    </row>
    <row r="13" spans="1:19" ht="14.25" customHeight="1">
      <c r="A13" s="66" t="s">
        <v>406</v>
      </c>
      <c r="B13" s="63">
        <v>400</v>
      </c>
      <c r="C13" s="103">
        <f t="shared" si="0"/>
        <v>165.5</v>
      </c>
      <c r="D13" s="103">
        <f t="shared" si="1"/>
        <v>206</v>
      </c>
      <c r="E13" s="105">
        <v>200</v>
      </c>
      <c r="F13" s="103">
        <f t="shared" si="2"/>
        <v>165.28333333333333</v>
      </c>
      <c r="G13" s="103">
        <f t="shared" si="3"/>
        <v>178</v>
      </c>
      <c r="J13" s="238"/>
      <c r="K13" s="66" t="s">
        <v>406</v>
      </c>
      <c r="L13" s="64">
        <v>178</v>
      </c>
      <c r="M13" s="64">
        <v>188</v>
      </c>
      <c r="N13" s="101">
        <v>177.83333333333334</v>
      </c>
      <c r="O13" s="64">
        <v>178</v>
      </c>
      <c r="Q13" s="237" t="s">
        <v>407</v>
      </c>
      <c r="R13" s="237"/>
      <c r="S13" s="237"/>
    </row>
    <row r="14" spans="1:19">
      <c r="A14" s="66" t="s">
        <v>408</v>
      </c>
      <c r="B14" s="63">
        <v>400</v>
      </c>
      <c r="C14" s="103">
        <f t="shared" si="0"/>
        <v>168.5</v>
      </c>
      <c r="D14" s="103">
        <f t="shared" si="1"/>
        <v>225</v>
      </c>
      <c r="E14" s="105">
        <v>200</v>
      </c>
      <c r="F14" s="103">
        <f t="shared" si="2"/>
        <v>168.62903225806451</v>
      </c>
      <c r="G14" s="103">
        <f t="shared" si="3"/>
        <v>181</v>
      </c>
      <c r="J14" s="238"/>
      <c r="K14" s="66" t="s">
        <v>408</v>
      </c>
      <c r="L14" s="64">
        <v>178</v>
      </c>
      <c r="M14" s="64">
        <v>225</v>
      </c>
      <c r="N14" s="101">
        <v>177.87096774193549</v>
      </c>
      <c r="O14" s="64">
        <v>181</v>
      </c>
      <c r="Q14" s="237"/>
      <c r="R14" s="237"/>
      <c r="S14" s="237"/>
    </row>
    <row r="15" spans="1:19">
      <c r="A15" s="66" t="s">
        <v>409</v>
      </c>
      <c r="B15" s="63">
        <v>400</v>
      </c>
      <c r="C15" s="103">
        <f t="shared" si="0"/>
        <v>169</v>
      </c>
      <c r="D15" s="103">
        <f t="shared" si="1"/>
        <v>213</v>
      </c>
      <c r="E15" s="105">
        <v>200</v>
      </c>
      <c r="F15" s="103">
        <f t="shared" si="2"/>
        <v>168.91839080459769</v>
      </c>
      <c r="G15" s="103">
        <f t="shared" si="3"/>
        <v>183</v>
      </c>
      <c r="J15" s="238"/>
      <c r="K15" s="66" t="s">
        <v>409</v>
      </c>
      <c r="L15" s="64">
        <v>178</v>
      </c>
      <c r="M15" s="64">
        <v>213</v>
      </c>
      <c r="N15" s="101">
        <v>178.10344827586206</v>
      </c>
      <c r="O15" s="64">
        <v>183</v>
      </c>
      <c r="Q15" s="237"/>
      <c r="R15" s="237"/>
      <c r="S15" s="237"/>
    </row>
    <row r="16" spans="1:19">
      <c r="A16" s="66" t="s">
        <v>410</v>
      </c>
      <c r="B16" s="63">
        <v>400</v>
      </c>
      <c r="C16" s="103">
        <f t="shared" si="0"/>
        <v>169</v>
      </c>
      <c r="D16" s="103">
        <f t="shared" si="1"/>
        <v>323</v>
      </c>
      <c r="E16" s="105">
        <v>200</v>
      </c>
      <c r="F16" s="103">
        <f t="shared" si="2"/>
        <v>168.76612903225805</v>
      </c>
      <c r="G16" s="103">
        <f t="shared" si="3"/>
        <v>185</v>
      </c>
      <c r="J16" s="238"/>
      <c r="K16" s="66" t="s">
        <v>410</v>
      </c>
      <c r="L16" s="64">
        <v>178</v>
      </c>
      <c r="M16" s="64">
        <v>268</v>
      </c>
      <c r="N16" s="101">
        <v>178.03225806451613</v>
      </c>
      <c r="O16" s="64">
        <v>185</v>
      </c>
      <c r="Q16" s="237"/>
      <c r="R16" s="237"/>
      <c r="S16" s="237"/>
    </row>
    <row r="17" spans="1:15">
      <c r="A17" s="66" t="s">
        <v>411</v>
      </c>
      <c r="B17" s="63">
        <v>400</v>
      </c>
      <c r="C17" s="103">
        <f t="shared" si="0"/>
        <v>167.5</v>
      </c>
      <c r="D17" s="103">
        <f t="shared" si="1"/>
        <v>327</v>
      </c>
      <c r="E17" s="105">
        <v>200</v>
      </c>
      <c r="F17" s="103">
        <f t="shared" si="2"/>
        <v>167.56666666666666</v>
      </c>
      <c r="G17" s="103">
        <f t="shared" si="3"/>
        <v>179</v>
      </c>
      <c r="J17" s="238"/>
      <c r="K17" s="66" t="s">
        <v>411</v>
      </c>
      <c r="L17" s="64">
        <v>178</v>
      </c>
      <c r="M17" s="64">
        <v>254</v>
      </c>
      <c r="N17" s="101">
        <v>177.93333333333334</v>
      </c>
      <c r="O17" s="64">
        <v>179</v>
      </c>
    </row>
    <row r="18" spans="1:15">
      <c r="A18" s="66" t="s">
        <v>412</v>
      </c>
      <c r="B18" s="63">
        <v>400</v>
      </c>
      <c r="C18" s="103">
        <f t="shared" si="0"/>
        <v>167.5</v>
      </c>
      <c r="D18" s="103">
        <f t="shared" si="1"/>
        <v>306</v>
      </c>
      <c r="E18" s="105">
        <v>200</v>
      </c>
      <c r="F18" s="103">
        <f t="shared" si="2"/>
        <v>167.76344086021504</v>
      </c>
      <c r="G18" s="103">
        <f t="shared" si="3"/>
        <v>183</v>
      </c>
      <c r="J18" s="238"/>
      <c r="K18" s="66" t="s">
        <v>412</v>
      </c>
      <c r="L18" s="64">
        <v>178</v>
      </c>
      <c r="M18" s="64">
        <v>300</v>
      </c>
      <c r="N18" s="101">
        <v>178.19354838709677</v>
      </c>
      <c r="O18" s="64">
        <v>183</v>
      </c>
    </row>
    <row r="19" spans="1:15">
      <c r="J19" s="238"/>
      <c r="K19" s="62" t="s">
        <v>413</v>
      </c>
      <c r="L19" s="62">
        <f>AVERAGE(L7:L18)</f>
        <v>178.25</v>
      </c>
      <c r="M19" s="62">
        <f>MAX(M7:M18)</f>
        <v>361</v>
      </c>
      <c r="N19" s="102">
        <f>AVERAGE(N7:N18)</f>
        <v>178.33091365324694</v>
      </c>
      <c r="O19" s="62">
        <f>MAX(O7:O18)</f>
        <v>192</v>
      </c>
    </row>
    <row r="21" spans="1:15" ht="41.45">
      <c r="J21" s="61">
        <f>+A6</f>
        <v>2022</v>
      </c>
      <c r="K21" s="61" t="s">
        <v>395</v>
      </c>
      <c r="L21" s="67" t="s">
        <v>390</v>
      </c>
      <c r="M21" s="67" t="s">
        <v>396</v>
      </c>
      <c r="N21" s="67" t="s">
        <v>393</v>
      </c>
      <c r="O21" s="67" t="s">
        <v>397</v>
      </c>
    </row>
    <row r="22" spans="1:15">
      <c r="J22" s="238" t="s">
        <v>190</v>
      </c>
      <c r="K22" s="66" t="s">
        <v>398</v>
      </c>
      <c r="L22" s="64">
        <v>175</v>
      </c>
      <c r="M22" s="64">
        <v>304</v>
      </c>
      <c r="N22" s="101">
        <v>175.2258064516129</v>
      </c>
      <c r="O22" s="64">
        <v>184</v>
      </c>
    </row>
    <row r="23" spans="1:15">
      <c r="J23" s="238"/>
      <c r="K23" s="66" t="s">
        <v>399</v>
      </c>
      <c r="L23" s="64">
        <v>174</v>
      </c>
      <c r="M23" s="64">
        <v>243</v>
      </c>
      <c r="N23" s="101">
        <v>173.59259259259258</v>
      </c>
      <c r="O23" s="64">
        <v>175</v>
      </c>
    </row>
    <row r="24" spans="1:15">
      <c r="J24" s="238"/>
      <c r="K24" s="66" t="s">
        <v>400</v>
      </c>
      <c r="L24" s="64">
        <v>173</v>
      </c>
      <c r="M24" s="64">
        <v>283</v>
      </c>
      <c r="N24" s="101">
        <v>172.83870967741936</v>
      </c>
      <c r="O24" s="64">
        <v>176</v>
      </c>
    </row>
    <row r="25" spans="1:15">
      <c r="J25" s="238"/>
      <c r="K25" s="66" t="s">
        <v>402</v>
      </c>
      <c r="L25" s="64">
        <v>160</v>
      </c>
      <c r="M25" s="64">
        <v>235</v>
      </c>
      <c r="N25" s="101">
        <v>159.68965517241378</v>
      </c>
      <c r="O25" s="64">
        <v>175</v>
      </c>
    </row>
    <row r="26" spans="1:15">
      <c r="J26" s="238"/>
      <c r="K26" s="66" t="s">
        <v>404</v>
      </c>
      <c r="L26" s="64">
        <v>180</v>
      </c>
      <c r="M26" s="64">
        <v>255</v>
      </c>
      <c r="N26" s="101">
        <v>159.70967741935485</v>
      </c>
      <c r="O26" s="64">
        <v>164</v>
      </c>
    </row>
    <row r="27" spans="1:15">
      <c r="J27" s="238"/>
      <c r="K27" s="66" t="s">
        <v>405</v>
      </c>
      <c r="L27" s="64">
        <v>160</v>
      </c>
      <c r="M27" s="64">
        <v>290</v>
      </c>
      <c r="N27" s="101">
        <v>159.83333333333334</v>
      </c>
      <c r="O27" s="64">
        <v>177</v>
      </c>
    </row>
    <row r="28" spans="1:15">
      <c r="J28" s="238"/>
      <c r="K28" s="66" t="s">
        <v>406</v>
      </c>
      <c r="L28" s="64">
        <v>153</v>
      </c>
      <c r="M28" s="64">
        <v>206</v>
      </c>
      <c r="N28" s="101">
        <v>152.73333333333332</v>
      </c>
      <c r="O28" s="64">
        <v>163</v>
      </c>
    </row>
    <row r="29" spans="1:15">
      <c r="J29" s="238"/>
      <c r="K29" s="66" t="s">
        <v>408</v>
      </c>
      <c r="L29" s="64">
        <v>159</v>
      </c>
      <c r="M29" s="64">
        <v>213</v>
      </c>
      <c r="N29" s="101">
        <v>159.38709677419354</v>
      </c>
      <c r="O29" s="64">
        <v>161</v>
      </c>
    </row>
    <row r="30" spans="1:15">
      <c r="J30" s="238"/>
      <c r="K30" s="66" t="s">
        <v>409</v>
      </c>
      <c r="L30" s="64">
        <v>160</v>
      </c>
      <c r="M30" s="64">
        <v>196</v>
      </c>
      <c r="N30" s="101">
        <v>159.73333333333332</v>
      </c>
      <c r="O30" s="64">
        <v>160</v>
      </c>
    </row>
    <row r="31" spans="1:15">
      <c r="J31" s="238"/>
      <c r="K31" s="66" t="s">
        <v>410</v>
      </c>
      <c r="L31" s="64">
        <v>160</v>
      </c>
      <c r="M31" s="64">
        <v>323</v>
      </c>
      <c r="N31" s="101">
        <v>159.5</v>
      </c>
      <c r="O31" s="64">
        <v>163</v>
      </c>
    </row>
    <row r="32" spans="1:15">
      <c r="J32" s="238"/>
      <c r="K32" s="66" t="s">
        <v>411</v>
      </c>
      <c r="L32" s="64">
        <v>157</v>
      </c>
      <c r="M32" s="64">
        <v>327</v>
      </c>
      <c r="N32" s="101">
        <v>157.19999999999999</v>
      </c>
      <c r="O32" s="64">
        <v>170</v>
      </c>
    </row>
    <row r="33" spans="1:15">
      <c r="J33" s="238"/>
      <c r="K33" s="66" t="s">
        <v>412</v>
      </c>
      <c r="L33" s="64">
        <v>157</v>
      </c>
      <c r="M33" s="64">
        <v>306</v>
      </c>
      <c r="N33" s="101">
        <v>157.33333333333334</v>
      </c>
      <c r="O33" s="64">
        <v>165</v>
      </c>
    </row>
    <row r="34" spans="1:15">
      <c r="J34" s="238"/>
      <c r="K34" s="62" t="s">
        <v>413</v>
      </c>
      <c r="L34" s="62">
        <f>AVERAGE(L22:L33)</f>
        <v>164</v>
      </c>
      <c r="M34" s="62">
        <f>MAX(M22:M33)</f>
        <v>327</v>
      </c>
      <c r="N34" s="102">
        <f>AVERAGE(N22:N33)</f>
        <v>162.23140595174337</v>
      </c>
      <c r="O34" s="62">
        <f>MAX(O22:O33)</f>
        <v>184</v>
      </c>
    </row>
    <row r="36" spans="1:15">
      <c r="J36" s="61"/>
      <c r="K36" s="61"/>
      <c r="L36" s="67"/>
      <c r="M36" s="67"/>
      <c r="N36" s="67"/>
      <c r="O36" s="67"/>
    </row>
    <row r="37" spans="1:15">
      <c r="J37" s="238"/>
      <c r="K37" s="66"/>
      <c r="L37" s="64"/>
      <c r="M37" s="64"/>
      <c r="N37" s="64"/>
      <c r="O37" s="64"/>
    </row>
    <row r="38" spans="1:15">
      <c r="J38" s="238"/>
      <c r="K38" s="66"/>
      <c r="L38" s="64"/>
      <c r="M38" s="64"/>
      <c r="N38" s="64"/>
      <c r="O38" s="64"/>
    </row>
    <row r="39" spans="1:15">
      <c r="J39" s="238"/>
      <c r="K39" s="66"/>
      <c r="L39" s="64"/>
      <c r="M39" s="64"/>
      <c r="N39" s="64"/>
      <c r="O39" s="64"/>
    </row>
    <row r="40" spans="1:15">
      <c r="J40" s="238"/>
      <c r="K40" s="66"/>
      <c r="L40" s="64"/>
      <c r="M40" s="64"/>
      <c r="N40" s="64"/>
      <c r="O40" s="64"/>
    </row>
    <row r="41" spans="1:15">
      <c r="J41" s="238"/>
      <c r="K41" s="66"/>
      <c r="L41" s="64"/>
      <c r="M41" s="64"/>
      <c r="N41" s="64"/>
      <c r="O41" s="64"/>
    </row>
    <row r="42" spans="1:15">
      <c r="J42" s="238"/>
      <c r="K42" s="66"/>
      <c r="L42" s="64"/>
      <c r="M42" s="64"/>
      <c r="N42" s="64"/>
      <c r="O42" s="64"/>
    </row>
    <row r="43" spans="1:15">
      <c r="C43" s="35" t="s">
        <v>12</v>
      </c>
      <c r="J43" s="238"/>
      <c r="K43" s="66"/>
      <c r="L43" s="64"/>
      <c r="M43" s="64"/>
      <c r="N43" s="64"/>
      <c r="O43" s="64"/>
    </row>
    <row r="44" spans="1:15">
      <c r="J44" s="238"/>
      <c r="K44" s="66"/>
      <c r="L44" s="64"/>
      <c r="M44" s="64"/>
      <c r="N44" s="64"/>
      <c r="O44" s="64"/>
    </row>
    <row r="45" spans="1:15">
      <c r="C45" s="35" t="s">
        <v>14</v>
      </c>
      <c r="J45" s="238"/>
      <c r="K45" s="66"/>
      <c r="L45" s="64"/>
      <c r="M45" s="64"/>
      <c r="N45" s="64"/>
      <c r="O45" s="64"/>
    </row>
    <row r="46" spans="1:15">
      <c r="J46" s="238"/>
      <c r="K46" s="66"/>
      <c r="L46" s="64"/>
      <c r="M46" s="64"/>
      <c r="N46" s="64"/>
      <c r="O46" s="64"/>
    </row>
    <row r="47" spans="1:15">
      <c r="J47" s="238"/>
      <c r="K47" s="66"/>
      <c r="L47" s="64"/>
      <c r="M47" s="64"/>
      <c r="N47" s="64"/>
      <c r="O47" s="64"/>
    </row>
    <row r="48" spans="1:15">
      <c r="A48" s="250" t="s">
        <v>309</v>
      </c>
      <c r="B48" s="251"/>
      <c r="C48" s="251"/>
      <c r="D48" s="251"/>
      <c r="E48" s="251"/>
      <c r="F48" s="251"/>
      <c r="G48" s="252"/>
      <c r="J48" s="238"/>
      <c r="K48" s="66"/>
      <c r="L48" s="64"/>
      <c r="M48" s="64"/>
      <c r="N48" s="64"/>
      <c r="O48" s="64"/>
    </row>
    <row r="49" spans="1:15">
      <c r="A49" s="241"/>
      <c r="B49" s="242"/>
      <c r="C49" s="242"/>
      <c r="D49" s="242"/>
      <c r="E49" s="242"/>
      <c r="F49" s="242"/>
      <c r="G49" s="243"/>
      <c r="J49" s="238"/>
      <c r="K49" s="62"/>
      <c r="L49" s="62"/>
      <c r="M49" s="62"/>
      <c r="N49" s="62"/>
      <c r="O49" s="62"/>
    </row>
    <row r="50" spans="1:15">
      <c r="A50" s="244"/>
      <c r="B50" s="245"/>
      <c r="C50" s="245"/>
      <c r="D50" s="245"/>
      <c r="E50" s="245"/>
      <c r="F50" s="245"/>
      <c r="G50" s="246"/>
    </row>
    <row r="51" spans="1:15">
      <c r="A51" s="244"/>
      <c r="B51" s="245"/>
      <c r="C51" s="245"/>
      <c r="D51" s="245"/>
      <c r="E51" s="245"/>
      <c r="F51" s="245"/>
      <c r="G51" s="246"/>
      <c r="J51" s="61"/>
      <c r="K51" s="61"/>
      <c r="L51" s="67"/>
      <c r="M51" s="67"/>
      <c r="N51" s="67"/>
      <c r="O51" s="67"/>
    </row>
    <row r="52" spans="1:15">
      <c r="A52" s="247"/>
      <c r="B52" s="248"/>
      <c r="C52" s="248"/>
      <c r="D52" s="248"/>
      <c r="E52" s="248"/>
      <c r="F52" s="248"/>
      <c r="G52" s="249"/>
      <c r="J52" s="238"/>
      <c r="K52" s="66"/>
      <c r="L52" s="64"/>
      <c r="M52" s="64"/>
      <c r="N52" s="64"/>
      <c r="O52" s="64"/>
    </row>
    <row r="53" spans="1:15">
      <c r="J53" s="238"/>
      <c r="K53" s="66"/>
      <c r="L53" s="64"/>
      <c r="M53" s="64"/>
      <c r="N53" s="64"/>
      <c r="O53" s="64"/>
    </row>
    <row r="54" spans="1:15">
      <c r="J54" s="238"/>
      <c r="K54" s="66"/>
      <c r="L54" s="64"/>
      <c r="M54" s="64"/>
      <c r="N54" s="64"/>
      <c r="O54" s="64"/>
    </row>
    <row r="55" spans="1:15">
      <c r="J55" s="238"/>
      <c r="K55" s="66"/>
      <c r="L55" s="64"/>
      <c r="M55" s="64"/>
      <c r="N55" s="64"/>
      <c r="O55" s="64"/>
    </row>
    <row r="56" spans="1:15">
      <c r="J56" s="238"/>
      <c r="K56" s="66"/>
      <c r="L56" s="64"/>
      <c r="M56" s="64"/>
      <c r="N56" s="64"/>
      <c r="O56" s="64"/>
    </row>
    <row r="57" spans="1:15">
      <c r="J57" s="238"/>
      <c r="K57" s="66"/>
      <c r="L57" s="64"/>
      <c r="M57" s="64"/>
      <c r="N57" s="64"/>
      <c r="O57" s="64"/>
    </row>
    <row r="58" spans="1:15">
      <c r="J58" s="238"/>
      <c r="K58" s="66"/>
      <c r="L58" s="64"/>
      <c r="M58" s="64"/>
      <c r="N58" s="64"/>
      <c r="O58" s="64"/>
    </row>
    <row r="59" spans="1:15">
      <c r="J59" s="238"/>
      <c r="K59" s="66"/>
      <c r="L59" s="64"/>
      <c r="M59" s="64"/>
      <c r="N59" s="64"/>
      <c r="O59" s="64"/>
    </row>
    <row r="60" spans="1:15">
      <c r="J60" s="238"/>
      <c r="K60" s="66"/>
      <c r="L60" s="64"/>
      <c r="M60" s="64"/>
      <c r="N60" s="64"/>
      <c r="O60" s="64"/>
    </row>
    <row r="61" spans="1:15">
      <c r="J61" s="238"/>
      <c r="K61" s="66"/>
      <c r="L61" s="64"/>
      <c r="M61" s="64"/>
      <c r="N61" s="64"/>
      <c r="O61" s="64"/>
    </row>
    <row r="62" spans="1:15">
      <c r="J62" s="238"/>
      <c r="K62" s="66"/>
      <c r="L62" s="64"/>
      <c r="M62" s="64"/>
      <c r="N62" s="64"/>
      <c r="O62" s="64"/>
    </row>
    <row r="63" spans="1:15">
      <c r="J63" s="238"/>
      <c r="K63" s="66"/>
      <c r="L63" s="64"/>
      <c r="M63" s="64"/>
      <c r="N63" s="64"/>
      <c r="O63" s="64"/>
    </row>
    <row r="64" spans="1:15">
      <c r="J64" s="238"/>
      <c r="K64" s="62"/>
      <c r="L64" s="62"/>
      <c r="M64" s="62"/>
      <c r="N64" s="62"/>
      <c r="O64" s="62"/>
    </row>
    <row r="66" spans="10:15">
      <c r="J66" s="61"/>
      <c r="K66" s="61"/>
      <c r="L66" s="67"/>
      <c r="M66" s="67"/>
      <c r="N66" s="67"/>
      <c r="O66" s="67"/>
    </row>
    <row r="67" spans="10:15">
      <c r="J67" s="238"/>
      <c r="K67" s="66"/>
      <c r="L67" s="64"/>
      <c r="M67" s="64"/>
      <c r="N67" s="64"/>
      <c r="O67" s="64"/>
    </row>
    <row r="68" spans="10:15">
      <c r="J68" s="238"/>
      <c r="K68" s="66"/>
      <c r="L68" s="64"/>
      <c r="M68" s="64"/>
      <c r="N68" s="64"/>
      <c r="O68" s="64"/>
    </row>
    <row r="69" spans="10:15">
      <c r="J69" s="238"/>
      <c r="K69" s="66"/>
      <c r="L69" s="64"/>
      <c r="M69" s="64"/>
      <c r="N69" s="64"/>
      <c r="O69" s="64"/>
    </row>
    <row r="70" spans="10:15">
      <c r="J70" s="238"/>
      <c r="K70" s="66"/>
      <c r="L70" s="64"/>
      <c r="M70" s="64"/>
      <c r="N70" s="64"/>
      <c r="O70" s="64"/>
    </row>
    <row r="71" spans="10:15">
      <c r="J71" s="238"/>
      <c r="K71" s="66"/>
      <c r="L71" s="64"/>
      <c r="M71" s="64"/>
      <c r="N71" s="64"/>
      <c r="O71" s="64"/>
    </row>
    <row r="72" spans="10:15">
      <c r="J72" s="238"/>
      <c r="K72" s="66"/>
      <c r="L72" s="64"/>
      <c r="M72" s="64"/>
      <c r="N72" s="64"/>
      <c r="O72" s="64"/>
    </row>
    <row r="73" spans="10:15">
      <c r="J73" s="238"/>
      <c r="K73" s="66"/>
      <c r="L73" s="64"/>
      <c r="M73" s="64"/>
      <c r="N73" s="64"/>
      <c r="O73" s="64"/>
    </row>
    <row r="74" spans="10:15">
      <c r="J74" s="238"/>
      <c r="K74" s="66"/>
      <c r="L74" s="64"/>
      <c r="M74" s="64"/>
      <c r="N74" s="64"/>
      <c r="O74" s="64"/>
    </row>
    <row r="75" spans="10:15">
      <c r="J75" s="238"/>
      <c r="K75" s="66"/>
      <c r="L75" s="64"/>
      <c r="M75" s="64"/>
      <c r="N75" s="64"/>
      <c r="O75" s="64"/>
    </row>
    <row r="76" spans="10:15">
      <c r="J76" s="238"/>
      <c r="K76" s="66"/>
      <c r="L76" s="64"/>
      <c r="M76" s="64"/>
      <c r="N76" s="64"/>
      <c r="O76" s="64"/>
    </row>
    <row r="77" spans="10:15">
      <c r="J77" s="238"/>
      <c r="K77" s="66"/>
      <c r="L77" s="64"/>
      <c r="M77" s="64"/>
      <c r="N77" s="64"/>
      <c r="O77" s="64"/>
    </row>
    <row r="78" spans="10:15">
      <c r="J78" s="238"/>
      <c r="K78" s="66"/>
      <c r="L78" s="64"/>
      <c r="M78" s="64"/>
      <c r="N78" s="64"/>
      <c r="O78" s="64"/>
    </row>
    <row r="79" spans="10:15">
      <c r="J79" s="238"/>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view="pageBreakPreview" topLeftCell="A14" zoomScale="60" zoomScaleNormal="100" workbookViewId="0">
      <selection activeCell="U21" sqref="U2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Stoke Energy from Waste Facility</v>
      </c>
    </row>
    <row r="3" spans="1:19" ht="14.45">
      <c r="A3" s="60" t="s">
        <v>420</v>
      </c>
      <c r="D3" s="76" t="s">
        <v>382</v>
      </c>
      <c r="G3" s="80" t="s">
        <v>383</v>
      </c>
      <c r="J3" s="9" t="str">
        <f>+A3</f>
        <v>Monitoring of Total organic carbon emissions</v>
      </c>
      <c r="L3" s="9"/>
      <c r="N3" s="9" t="s">
        <v>384</v>
      </c>
      <c r="Q3" s="79" t="s">
        <v>3</v>
      </c>
      <c r="R3" s="74"/>
      <c r="S3" s="74"/>
    </row>
    <row r="4" spans="1:19" ht="13.9" customHeight="1">
      <c r="Q4" s="215" t="s">
        <v>385</v>
      </c>
      <c r="R4" s="215"/>
      <c r="S4" s="215"/>
    </row>
    <row r="5" spans="1:19" ht="16.149999999999999">
      <c r="A5" s="68" t="s">
        <v>386</v>
      </c>
      <c r="B5" s="240" t="s">
        <v>387</v>
      </c>
      <c r="C5" s="240"/>
      <c r="D5" s="240"/>
      <c r="E5" s="240" t="s">
        <v>388</v>
      </c>
      <c r="F5" s="240"/>
      <c r="G5" s="240"/>
      <c r="J5" s="239"/>
      <c r="K5" s="239"/>
      <c r="L5" s="239"/>
      <c r="M5" s="239"/>
      <c r="N5" s="239"/>
      <c r="O5" s="239"/>
      <c r="Q5" s="215"/>
      <c r="R5" s="215"/>
      <c r="S5" s="215"/>
    </row>
    <row r="6" spans="1:19" s="58" customFormat="1" ht="37.5" customHeight="1">
      <c r="A6" s="65">
        <f>+'Cover Page'!C39</f>
        <v>2022</v>
      </c>
      <c r="B6" s="55" t="s">
        <v>421</v>
      </c>
      <c r="C6" s="55" t="s">
        <v>390</v>
      </c>
      <c r="D6" s="55" t="s">
        <v>391</v>
      </c>
      <c r="E6" s="55" t="s">
        <v>422</v>
      </c>
      <c r="F6" s="55" t="s">
        <v>393</v>
      </c>
      <c r="G6" s="55" t="s">
        <v>394</v>
      </c>
      <c r="H6" s="59"/>
      <c r="J6" s="61">
        <f>+A6</f>
        <v>2022</v>
      </c>
      <c r="K6" s="61" t="s">
        <v>395</v>
      </c>
      <c r="L6" s="67" t="s">
        <v>390</v>
      </c>
      <c r="M6" s="67" t="s">
        <v>396</v>
      </c>
      <c r="N6" s="67" t="s">
        <v>393</v>
      </c>
      <c r="O6" s="67" t="s">
        <v>397</v>
      </c>
      <c r="Q6" s="215"/>
      <c r="R6" s="215"/>
      <c r="S6" s="215"/>
    </row>
    <row r="7" spans="1:19">
      <c r="A7" s="66" t="s">
        <v>398</v>
      </c>
      <c r="B7" s="63">
        <v>20</v>
      </c>
      <c r="C7" s="64">
        <f>AVERAGE(L7,L22)</f>
        <v>0.5</v>
      </c>
      <c r="D7" s="64">
        <f>MAX(M7,M22)</f>
        <v>4</v>
      </c>
      <c r="E7" s="63">
        <v>10</v>
      </c>
      <c r="F7" s="64">
        <f>AVERAGE(N7,N22)</f>
        <v>0.5</v>
      </c>
      <c r="G7" s="64">
        <f>MAX(O7,O22)</f>
        <v>1</v>
      </c>
      <c r="J7" s="238" t="s">
        <v>189</v>
      </c>
      <c r="K7" s="66" t="s">
        <v>398</v>
      </c>
      <c r="L7" s="64">
        <v>0</v>
      </c>
      <c r="M7" s="64">
        <v>4</v>
      </c>
      <c r="N7" s="64">
        <v>0</v>
      </c>
      <c r="O7" s="64">
        <v>1</v>
      </c>
      <c r="Q7" s="215"/>
      <c r="R7" s="215"/>
      <c r="S7" s="215"/>
    </row>
    <row r="8" spans="1:19">
      <c r="A8" s="66" t="s">
        <v>399</v>
      </c>
      <c r="B8" s="63">
        <v>20</v>
      </c>
      <c r="C8" s="64">
        <f t="shared" ref="C8:C18" si="0">AVERAGE(L8,L23)</f>
        <v>0.5</v>
      </c>
      <c r="D8" s="64">
        <f t="shared" ref="D8:D18" si="1">MAX(M8,M23)</f>
        <v>5</v>
      </c>
      <c r="E8" s="63">
        <v>10</v>
      </c>
      <c r="F8" s="64">
        <f t="shared" ref="F8:F18" si="2">AVERAGE(N8,N23)</f>
        <v>0</v>
      </c>
      <c r="G8" s="64">
        <f t="shared" ref="G8:G18" si="3">MAX(O8,O23)</f>
        <v>1</v>
      </c>
      <c r="J8" s="238"/>
      <c r="K8" s="66" t="s">
        <v>399</v>
      </c>
      <c r="L8" s="64">
        <v>0</v>
      </c>
      <c r="M8" s="64">
        <v>3</v>
      </c>
      <c r="N8" s="64">
        <v>0</v>
      </c>
      <c r="O8" s="64">
        <v>1</v>
      </c>
      <c r="Q8" s="215"/>
      <c r="R8" s="215"/>
      <c r="S8" s="215"/>
    </row>
    <row r="9" spans="1:19">
      <c r="A9" s="66" t="s">
        <v>400</v>
      </c>
      <c r="B9" s="63">
        <v>20</v>
      </c>
      <c r="C9" s="64">
        <f t="shared" si="0"/>
        <v>0</v>
      </c>
      <c r="D9" s="64">
        <f t="shared" si="1"/>
        <v>6</v>
      </c>
      <c r="E9" s="63">
        <v>10</v>
      </c>
      <c r="F9" s="64">
        <f t="shared" si="2"/>
        <v>0</v>
      </c>
      <c r="G9" s="64">
        <f t="shared" si="3"/>
        <v>1</v>
      </c>
      <c r="J9" s="238"/>
      <c r="K9" s="66" t="s">
        <v>400</v>
      </c>
      <c r="L9" s="64">
        <v>0</v>
      </c>
      <c r="M9" s="64">
        <v>6</v>
      </c>
      <c r="N9" s="64">
        <v>0</v>
      </c>
      <c r="O9" s="64">
        <v>0</v>
      </c>
      <c r="Q9" s="78" t="s">
        <v>401</v>
      </c>
    </row>
    <row r="10" spans="1:19" ht="14.25" customHeight="1">
      <c r="A10" s="66" t="s">
        <v>402</v>
      </c>
      <c r="B10" s="63">
        <v>20</v>
      </c>
      <c r="C10" s="64">
        <f t="shared" si="0"/>
        <v>0</v>
      </c>
      <c r="D10" s="64">
        <f t="shared" si="1"/>
        <v>11</v>
      </c>
      <c r="E10" s="63">
        <v>10</v>
      </c>
      <c r="F10" s="64">
        <f t="shared" si="2"/>
        <v>0</v>
      </c>
      <c r="G10" s="64">
        <f t="shared" si="3"/>
        <v>1</v>
      </c>
      <c r="J10" s="238"/>
      <c r="K10" s="66" t="s">
        <v>402</v>
      </c>
      <c r="L10" s="64">
        <v>0</v>
      </c>
      <c r="M10" s="64">
        <v>4</v>
      </c>
      <c r="N10" s="64">
        <v>0</v>
      </c>
      <c r="O10" s="64">
        <v>1</v>
      </c>
      <c r="Q10" s="237" t="s">
        <v>403</v>
      </c>
      <c r="R10" s="237"/>
      <c r="S10" s="237"/>
    </row>
    <row r="11" spans="1:19">
      <c r="A11" s="66" t="s">
        <v>404</v>
      </c>
      <c r="B11" s="63">
        <v>20</v>
      </c>
      <c r="C11" s="64">
        <f t="shared" si="0"/>
        <v>0.5</v>
      </c>
      <c r="D11" s="64">
        <f t="shared" si="1"/>
        <v>7</v>
      </c>
      <c r="E11" s="63">
        <v>10</v>
      </c>
      <c r="F11" s="64">
        <f t="shared" si="2"/>
        <v>0</v>
      </c>
      <c r="G11" s="64">
        <f t="shared" si="3"/>
        <v>1</v>
      </c>
      <c r="J11" s="238"/>
      <c r="K11" s="66" t="s">
        <v>404</v>
      </c>
      <c r="L11" s="64">
        <v>1</v>
      </c>
      <c r="M11" s="64">
        <v>7</v>
      </c>
      <c r="N11" s="64">
        <v>0</v>
      </c>
      <c r="O11" s="64">
        <v>1</v>
      </c>
      <c r="Q11" s="237"/>
      <c r="R11" s="237"/>
      <c r="S11" s="237"/>
    </row>
    <row r="12" spans="1:19">
      <c r="A12" s="66" t="s">
        <v>405</v>
      </c>
      <c r="B12" s="63">
        <v>20</v>
      </c>
      <c r="C12" s="64">
        <f t="shared" si="0"/>
        <v>0</v>
      </c>
      <c r="D12" s="64">
        <f t="shared" si="1"/>
        <v>15</v>
      </c>
      <c r="E12" s="63">
        <v>10</v>
      </c>
      <c r="F12" s="64">
        <f t="shared" si="2"/>
        <v>0</v>
      </c>
      <c r="G12" s="64">
        <f t="shared" si="3"/>
        <v>1</v>
      </c>
      <c r="J12" s="238"/>
      <c r="K12" s="66" t="s">
        <v>405</v>
      </c>
      <c r="L12" s="64">
        <v>0</v>
      </c>
      <c r="M12" s="64">
        <v>15</v>
      </c>
      <c r="N12" s="64">
        <v>0</v>
      </c>
      <c r="O12" s="64">
        <v>1</v>
      </c>
      <c r="Q12" s="237"/>
      <c r="R12" s="237"/>
      <c r="S12" s="237"/>
    </row>
    <row r="13" spans="1:19" ht="14.25" customHeight="1">
      <c r="A13" s="66" t="s">
        <v>406</v>
      </c>
      <c r="B13" s="63">
        <v>20</v>
      </c>
      <c r="C13" s="64">
        <f t="shared" si="0"/>
        <v>0</v>
      </c>
      <c r="D13" s="64">
        <f t="shared" si="1"/>
        <v>7</v>
      </c>
      <c r="E13" s="63">
        <v>10</v>
      </c>
      <c r="F13" s="64">
        <f t="shared" si="2"/>
        <v>0</v>
      </c>
      <c r="G13" s="64">
        <f t="shared" si="3"/>
        <v>0</v>
      </c>
      <c r="J13" s="238"/>
      <c r="K13" s="66" t="s">
        <v>406</v>
      </c>
      <c r="L13" s="64">
        <v>0</v>
      </c>
      <c r="M13" s="64">
        <v>7</v>
      </c>
      <c r="N13" s="64">
        <v>0</v>
      </c>
      <c r="O13" s="64">
        <v>0</v>
      </c>
      <c r="Q13" s="237" t="s">
        <v>407</v>
      </c>
      <c r="R13" s="237"/>
      <c r="S13" s="237"/>
    </row>
    <row r="14" spans="1:19">
      <c r="A14" s="66" t="s">
        <v>408</v>
      </c>
      <c r="B14" s="63">
        <v>20</v>
      </c>
      <c r="C14" s="64">
        <f t="shared" si="0"/>
        <v>0</v>
      </c>
      <c r="D14" s="64">
        <f t="shared" si="1"/>
        <v>5</v>
      </c>
      <c r="E14" s="63">
        <v>10</v>
      </c>
      <c r="F14" s="64">
        <f t="shared" si="2"/>
        <v>0</v>
      </c>
      <c r="G14" s="64">
        <f t="shared" si="3"/>
        <v>1</v>
      </c>
      <c r="J14" s="238"/>
      <c r="K14" s="66" t="s">
        <v>408</v>
      </c>
      <c r="L14" s="64">
        <v>0</v>
      </c>
      <c r="M14" s="64">
        <v>5</v>
      </c>
      <c r="N14" s="64">
        <v>0</v>
      </c>
      <c r="O14" s="64">
        <v>1</v>
      </c>
      <c r="Q14" s="237"/>
      <c r="R14" s="237"/>
      <c r="S14" s="237"/>
    </row>
    <row r="15" spans="1:19">
      <c r="A15" s="66" t="s">
        <v>409</v>
      </c>
      <c r="B15" s="63">
        <v>20</v>
      </c>
      <c r="C15" s="64">
        <f t="shared" si="0"/>
        <v>0</v>
      </c>
      <c r="D15" s="64">
        <f t="shared" si="1"/>
        <v>5</v>
      </c>
      <c r="E15" s="63">
        <v>10</v>
      </c>
      <c r="F15" s="64">
        <f t="shared" si="2"/>
        <v>0</v>
      </c>
      <c r="G15" s="64">
        <f t="shared" si="3"/>
        <v>1</v>
      </c>
      <c r="J15" s="238"/>
      <c r="K15" s="66" t="s">
        <v>409</v>
      </c>
      <c r="L15" s="64">
        <v>0</v>
      </c>
      <c r="M15" s="64">
        <v>5</v>
      </c>
      <c r="N15" s="64">
        <v>0</v>
      </c>
      <c r="O15" s="64">
        <v>1</v>
      </c>
      <c r="Q15" s="237"/>
      <c r="R15" s="237"/>
      <c r="S15" s="237"/>
    </row>
    <row r="16" spans="1:19">
      <c r="A16" s="66" t="s">
        <v>410</v>
      </c>
      <c r="B16" s="63">
        <v>20</v>
      </c>
      <c r="C16" s="64">
        <f t="shared" si="0"/>
        <v>0</v>
      </c>
      <c r="D16" s="64">
        <f t="shared" si="1"/>
        <v>8</v>
      </c>
      <c r="E16" s="63">
        <v>10</v>
      </c>
      <c r="F16" s="64">
        <f t="shared" si="2"/>
        <v>0</v>
      </c>
      <c r="G16" s="64">
        <f t="shared" si="3"/>
        <v>0</v>
      </c>
      <c r="J16" s="238"/>
      <c r="K16" s="66" t="s">
        <v>410</v>
      </c>
      <c r="L16" s="64">
        <v>0</v>
      </c>
      <c r="M16" s="64">
        <v>4</v>
      </c>
      <c r="N16" s="64">
        <v>0</v>
      </c>
      <c r="O16" s="64">
        <v>0</v>
      </c>
      <c r="Q16" s="237"/>
      <c r="R16" s="237"/>
      <c r="S16" s="237"/>
    </row>
    <row r="17" spans="1:15">
      <c r="A17" s="66" t="s">
        <v>411</v>
      </c>
      <c r="B17" s="63">
        <v>20</v>
      </c>
      <c r="C17" s="64">
        <f t="shared" si="0"/>
        <v>0</v>
      </c>
      <c r="D17" s="64">
        <f t="shared" si="1"/>
        <v>18</v>
      </c>
      <c r="E17" s="63">
        <v>10</v>
      </c>
      <c r="F17" s="64">
        <f t="shared" si="2"/>
        <v>0</v>
      </c>
      <c r="G17" s="64">
        <f t="shared" si="3"/>
        <v>1</v>
      </c>
      <c r="J17" s="238"/>
      <c r="K17" s="66" t="s">
        <v>411</v>
      </c>
      <c r="L17" s="64">
        <v>0</v>
      </c>
      <c r="M17" s="64">
        <v>18</v>
      </c>
      <c r="N17" s="64">
        <v>0</v>
      </c>
      <c r="O17" s="64">
        <v>1</v>
      </c>
    </row>
    <row r="18" spans="1:15">
      <c r="A18" s="66" t="s">
        <v>412</v>
      </c>
      <c r="B18" s="63">
        <v>20</v>
      </c>
      <c r="C18" s="64">
        <f t="shared" si="0"/>
        <v>0</v>
      </c>
      <c r="D18" s="64">
        <f t="shared" si="1"/>
        <v>10</v>
      </c>
      <c r="E18" s="63">
        <v>10</v>
      </c>
      <c r="F18" s="64">
        <f t="shared" si="2"/>
        <v>0</v>
      </c>
      <c r="G18" s="64">
        <f t="shared" si="3"/>
        <v>0</v>
      </c>
      <c r="J18" s="238"/>
      <c r="K18" s="66" t="s">
        <v>412</v>
      </c>
      <c r="L18" s="64">
        <v>0</v>
      </c>
      <c r="M18" s="64">
        <v>5</v>
      </c>
      <c r="N18" s="64">
        <v>0</v>
      </c>
      <c r="O18" s="64">
        <v>0</v>
      </c>
    </row>
    <row r="19" spans="1:15">
      <c r="J19" s="238"/>
      <c r="K19" s="62" t="s">
        <v>413</v>
      </c>
      <c r="L19" s="102">
        <f>AVERAGE(L7:L18)</f>
        <v>8.3333333333333329E-2</v>
      </c>
      <c r="M19" s="62">
        <f>MAX(M7:M18)</f>
        <v>18</v>
      </c>
      <c r="N19" s="62">
        <f>AVERAGE(N7:N18)</f>
        <v>0</v>
      </c>
      <c r="O19" s="62">
        <f>MAX(O7:O18)</f>
        <v>1</v>
      </c>
    </row>
    <row r="21" spans="1:15" ht="41.45">
      <c r="J21" s="61">
        <f>+A6</f>
        <v>2022</v>
      </c>
      <c r="K21" s="61" t="s">
        <v>395</v>
      </c>
      <c r="L21" s="67" t="s">
        <v>390</v>
      </c>
      <c r="M21" s="67" t="s">
        <v>396</v>
      </c>
      <c r="N21" s="67" t="s">
        <v>393</v>
      </c>
      <c r="O21" s="67" t="s">
        <v>397</v>
      </c>
    </row>
    <row r="22" spans="1:15">
      <c r="J22" s="238" t="s">
        <v>190</v>
      </c>
      <c r="K22" s="66" t="s">
        <v>398</v>
      </c>
      <c r="L22" s="64">
        <v>1</v>
      </c>
      <c r="M22" s="64">
        <v>3</v>
      </c>
      <c r="N22" s="64">
        <v>1</v>
      </c>
      <c r="O22" s="64">
        <v>1</v>
      </c>
    </row>
    <row r="23" spans="1:15">
      <c r="J23" s="238"/>
      <c r="K23" s="66" t="s">
        <v>399</v>
      </c>
      <c r="L23" s="64">
        <v>1</v>
      </c>
      <c r="M23" s="64">
        <v>5</v>
      </c>
      <c r="N23" s="64">
        <v>0</v>
      </c>
      <c r="O23" s="64">
        <v>1</v>
      </c>
    </row>
    <row r="24" spans="1:15">
      <c r="J24" s="238"/>
      <c r="K24" s="66" t="s">
        <v>400</v>
      </c>
      <c r="L24" s="64">
        <v>0</v>
      </c>
      <c r="M24" s="64">
        <v>3</v>
      </c>
      <c r="N24" s="64">
        <v>0</v>
      </c>
      <c r="O24" s="64">
        <v>1</v>
      </c>
    </row>
    <row r="25" spans="1:15">
      <c r="J25" s="238"/>
      <c r="K25" s="66" t="s">
        <v>402</v>
      </c>
      <c r="L25" s="64">
        <v>0</v>
      </c>
      <c r="M25" s="64">
        <v>11</v>
      </c>
      <c r="N25" s="64">
        <v>0</v>
      </c>
      <c r="O25" s="64">
        <v>0</v>
      </c>
    </row>
    <row r="26" spans="1:15">
      <c r="J26" s="238"/>
      <c r="K26" s="66" t="s">
        <v>404</v>
      </c>
      <c r="L26" s="64">
        <v>0</v>
      </c>
      <c r="M26" s="64">
        <v>2</v>
      </c>
      <c r="N26" s="64">
        <v>0</v>
      </c>
      <c r="O26" s="64">
        <v>1</v>
      </c>
    </row>
    <row r="27" spans="1:15">
      <c r="J27" s="238"/>
      <c r="K27" s="66" t="s">
        <v>405</v>
      </c>
      <c r="L27" s="64">
        <v>0</v>
      </c>
      <c r="M27" s="64">
        <v>4</v>
      </c>
      <c r="N27" s="64">
        <v>0</v>
      </c>
      <c r="O27" s="64">
        <v>0</v>
      </c>
    </row>
    <row r="28" spans="1:15">
      <c r="J28" s="238"/>
      <c r="K28" s="66" t="s">
        <v>406</v>
      </c>
      <c r="L28" s="64">
        <v>0</v>
      </c>
      <c r="M28" s="64">
        <v>4</v>
      </c>
      <c r="N28" s="64">
        <v>0</v>
      </c>
      <c r="O28" s="64">
        <v>0</v>
      </c>
    </row>
    <row r="29" spans="1:15">
      <c r="J29" s="238"/>
      <c r="K29" s="66" t="s">
        <v>408</v>
      </c>
      <c r="L29" s="64">
        <v>0</v>
      </c>
      <c r="M29" s="64">
        <v>4</v>
      </c>
      <c r="N29" s="64">
        <v>0</v>
      </c>
      <c r="O29" s="64">
        <v>0</v>
      </c>
    </row>
    <row r="30" spans="1:15">
      <c r="J30" s="238"/>
      <c r="K30" s="66" t="s">
        <v>409</v>
      </c>
      <c r="L30" s="64">
        <v>0</v>
      </c>
      <c r="M30" s="64">
        <v>5</v>
      </c>
      <c r="N30" s="64">
        <v>0</v>
      </c>
      <c r="O30" s="64">
        <v>0</v>
      </c>
    </row>
    <row r="31" spans="1:15">
      <c r="J31" s="238"/>
      <c r="K31" s="66" t="s">
        <v>410</v>
      </c>
      <c r="L31" s="64">
        <v>0</v>
      </c>
      <c r="M31" s="64">
        <v>8</v>
      </c>
      <c r="N31" s="64">
        <v>0</v>
      </c>
      <c r="O31" s="64">
        <v>0</v>
      </c>
    </row>
    <row r="32" spans="1:15">
      <c r="J32" s="238"/>
      <c r="K32" s="66" t="s">
        <v>411</v>
      </c>
      <c r="L32" s="64">
        <v>0</v>
      </c>
      <c r="M32" s="64">
        <v>8</v>
      </c>
      <c r="N32" s="64">
        <v>0</v>
      </c>
      <c r="O32" s="64">
        <v>0</v>
      </c>
    </row>
    <row r="33" spans="1:15">
      <c r="J33" s="238"/>
      <c r="K33" s="66" t="s">
        <v>412</v>
      </c>
      <c r="L33" s="64">
        <v>0</v>
      </c>
      <c r="M33" s="64">
        <v>10</v>
      </c>
      <c r="N33" s="64">
        <v>0</v>
      </c>
      <c r="O33" s="64">
        <v>0</v>
      </c>
    </row>
    <row r="34" spans="1:15">
      <c r="J34" s="238"/>
      <c r="K34" s="62" t="s">
        <v>413</v>
      </c>
      <c r="L34" s="102">
        <f>AVERAGE(L22:L33)</f>
        <v>0.16666666666666666</v>
      </c>
      <c r="M34" s="62">
        <f>MAX(M22:M33)</f>
        <v>11</v>
      </c>
      <c r="N34" s="102">
        <f>AVERAGE(N22:N33)</f>
        <v>8.3333333333333329E-2</v>
      </c>
      <c r="O34" s="62">
        <f>MAX(O22:O33)</f>
        <v>1</v>
      </c>
    </row>
    <row r="36" spans="1:15">
      <c r="J36" s="61"/>
      <c r="K36" s="61"/>
      <c r="L36" s="67"/>
      <c r="M36" s="67"/>
      <c r="N36" s="67"/>
      <c r="O36" s="67"/>
    </row>
    <row r="37" spans="1:15">
      <c r="J37" s="238"/>
      <c r="K37" s="66"/>
      <c r="L37" s="64"/>
      <c r="M37" s="64"/>
      <c r="N37" s="64"/>
      <c r="O37" s="64"/>
    </row>
    <row r="38" spans="1:15">
      <c r="J38" s="238"/>
      <c r="K38" s="66"/>
      <c r="L38" s="64"/>
      <c r="M38" s="64"/>
      <c r="N38" s="64"/>
      <c r="O38" s="64"/>
    </row>
    <row r="39" spans="1:15">
      <c r="J39" s="238"/>
      <c r="K39" s="66"/>
      <c r="L39" s="64"/>
      <c r="M39" s="64"/>
      <c r="N39" s="64"/>
      <c r="O39" s="64"/>
    </row>
    <row r="40" spans="1:15">
      <c r="J40" s="238"/>
      <c r="K40" s="66"/>
      <c r="L40" s="64"/>
      <c r="M40" s="64"/>
      <c r="N40" s="64"/>
      <c r="O40" s="64"/>
    </row>
    <row r="41" spans="1:15">
      <c r="J41" s="238"/>
      <c r="K41" s="66"/>
      <c r="L41" s="64"/>
      <c r="M41" s="64"/>
      <c r="N41" s="64"/>
      <c r="O41" s="64"/>
    </row>
    <row r="42" spans="1:15">
      <c r="J42" s="238"/>
      <c r="K42" s="66"/>
      <c r="L42" s="64"/>
      <c r="M42" s="64"/>
      <c r="N42" s="64"/>
      <c r="O42" s="64"/>
    </row>
    <row r="43" spans="1:15">
      <c r="C43" s="35" t="s">
        <v>12</v>
      </c>
      <c r="J43" s="238"/>
      <c r="K43" s="66"/>
      <c r="L43" s="64"/>
      <c r="M43" s="64"/>
      <c r="N43" s="64"/>
      <c r="O43" s="64"/>
    </row>
    <row r="44" spans="1:15">
      <c r="J44" s="238"/>
      <c r="K44" s="66"/>
      <c r="L44" s="64"/>
      <c r="M44" s="64"/>
      <c r="N44" s="64"/>
      <c r="O44" s="64"/>
    </row>
    <row r="45" spans="1:15">
      <c r="C45" s="35" t="s">
        <v>14</v>
      </c>
      <c r="J45" s="238"/>
      <c r="K45" s="66"/>
      <c r="L45" s="64"/>
      <c r="M45" s="64"/>
      <c r="N45" s="64"/>
      <c r="O45" s="64"/>
    </row>
    <row r="46" spans="1:15">
      <c r="J46" s="238"/>
      <c r="K46" s="66"/>
      <c r="L46" s="64"/>
      <c r="M46" s="64"/>
      <c r="N46" s="64"/>
      <c r="O46" s="64"/>
    </row>
    <row r="47" spans="1:15">
      <c r="J47" s="238"/>
      <c r="K47" s="66"/>
      <c r="L47" s="64"/>
      <c r="M47" s="64"/>
      <c r="N47" s="64"/>
      <c r="O47" s="64"/>
    </row>
    <row r="48" spans="1:15">
      <c r="A48" s="250" t="s">
        <v>309</v>
      </c>
      <c r="B48" s="251"/>
      <c r="C48" s="251"/>
      <c r="D48" s="251"/>
      <c r="E48" s="251"/>
      <c r="F48" s="251"/>
      <c r="G48" s="252"/>
      <c r="J48" s="238"/>
      <c r="K48" s="66"/>
      <c r="L48" s="64"/>
      <c r="M48" s="64"/>
      <c r="N48" s="64"/>
      <c r="O48" s="64"/>
    </row>
    <row r="49" spans="1:15">
      <c r="A49" s="241"/>
      <c r="B49" s="242"/>
      <c r="C49" s="242"/>
      <c r="D49" s="242"/>
      <c r="E49" s="242"/>
      <c r="F49" s="242"/>
      <c r="G49" s="243"/>
      <c r="J49" s="238"/>
      <c r="K49" s="62"/>
      <c r="L49" s="62"/>
      <c r="M49" s="62"/>
      <c r="N49" s="62"/>
      <c r="O49" s="62"/>
    </row>
    <row r="50" spans="1:15">
      <c r="A50" s="244"/>
      <c r="B50" s="245"/>
      <c r="C50" s="245"/>
      <c r="D50" s="245"/>
      <c r="E50" s="245"/>
      <c r="F50" s="245"/>
      <c r="G50" s="246"/>
    </row>
    <row r="51" spans="1:15">
      <c r="A51" s="244"/>
      <c r="B51" s="245"/>
      <c r="C51" s="245"/>
      <c r="D51" s="245"/>
      <c r="E51" s="245"/>
      <c r="F51" s="245"/>
      <c r="G51" s="246"/>
      <c r="J51" s="61"/>
      <c r="K51" s="61"/>
      <c r="L51" s="67"/>
      <c r="M51" s="67"/>
      <c r="N51" s="67"/>
      <c r="O51" s="67"/>
    </row>
    <row r="52" spans="1:15">
      <c r="A52" s="247"/>
      <c r="B52" s="248"/>
      <c r="C52" s="248"/>
      <c r="D52" s="248"/>
      <c r="E52" s="248"/>
      <c r="F52" s="248"/>
      <c r="G52" s="249"/>
      <c r="J52" s="238"/>
      <c r="K52" s="66"/>
      <c r="L52" s="64"/>
      <c r="M52" s="64"/>
      <c r="N52" s="64"/>
      <c r="O52" s="64"/>
    </row>
    <row r="53" spans="1:15">
      <c r="J53" s="238"/>
      <c r="K53" s="66"/>
      <c r="L53" s="64"/>
      <c r="M53" s="64"/>
      <c r="N53" s="64"/>
      <c r="O53" s="64"/>
    </row>
    <row r="54" spans="1:15">
      <c r="J54" s="238"/>
      <c r="K54" s="66"/>
      <c r="L54" s="64"/>
      <c r="M54" s="64"/>
      <c r="N54" s="64"/>
      <c r="O54" s="64"/>
    </row>
    <row r="55" spans="1:15">
      <c r="J55" s="238"/>
      <c r="K55" s="66"/>
      <c r="L55" s="64"/>
      <c r="M55" s="64"/>
      <c r="N55" s="64"/>
      <c r="O55" s="64"/>
    </row>
    <row r="56" spans="1:15">
      <c r="J56" s="238"/>
      <c r="K56" s="66"/>
      <c r="L56" s="64"/>
      <c r="M56" s="64"/>
      <c r="N56" s="64"/>
      <c r="O56" s="64"/>
    </row>
    <row r="57" spans="1:15">
      <c r="J57" s="238"/>
      <c r="K57" s="66"/>
      <c r="L57" s="64"/>
      <c r="M57" s="64"/>
      <c r="N57" s="64"/>
      <c r="O57" s="64"/>
    </row>
    <row r="58" spans="1:15">
      <c r="J58" s="238"/>
      <c r="K58" s="66"/>
      <c r="L58" s="64"/>
      <c r="M58" s="64"/>
      <c r="N58" s="64"/>
      <c r="O58" s="64"/>
    </row>
    <row r="59" spans="1:15">
      <c r="J59" s="238"/>
      <c r="K59" s="66"/>
      <c r="L59" s="64"/>
      <c r="M59" s="64"/>
      <c r="N59" s="64"/>
      <c r="O59" s="64"/>
    </row>
    <row r="60" spans="1:15">
      <c r="J60" s="238"/>
      <c r="K60" s="66"/>
      <c r="L60" s="64"/>
      <c r="M60" s="64"/>
      <c r="N60" s="64"/>
      <c r="O60" s="64"/>
    </row>
    <row r="61" spans="1:15">
      <c r="J61" s="238"/>
      <c r="K61" s="66"/>
      <c r="L61" s="64"/>
      <c r="M61" s="64"/>
      <c r="N61" s="64"/>
      <c r="O61" s="64"/>
    </row>
    <row r="62" spans="1:15">
      <c r="J62" s="238"/>
      <c r="K62" s="66"/>
      <c r="L62" s="64"/>
      <c r="M62" s="64"/>
      <c r="N62" s="64"/>
      <c r="O62" s="64"/>
    </row>
    <row r="63" spans="1:15">
      <c r="J63" s="238"/>
      <c r="K63" s="66"/>
      <c r="L63" s="64"/>
      <c r="M63" s="64"/>
      <c r="N63" s="64"/>
      <c r="O63" s="64"/>
    </row>
    <row r="64" spans="1:15">
      <c r="J64" s="238"/>
      <c r="K64" s="62"/>
      <c r="L64" s="62"/>
      <c r="M64" s="62"/>
      <c r="N64" s="62"/>
      <c r="O64" s="62"/>
    </row>
    <row r="66" spans="10:15">
      <c r="J66" s="61"/>
      <c r="K66" s="61"/>
      <c r="L66" s="67"/>
      <c r="M66" s="67"/>
      <c r="N66" s="67"/>
      <c r="O66" s="67"/>
    </row>
    <row r="67" spans="10:15">
      <c r="J67" s="238"/>
      <c r="K67" s="66"/>
      <c r="L67" s="64"/>
      <c r="M67" s="64"/>
      <c r="N67" s="64"/>
      <c r="O67" s="64"/>
    </row>
    <row r="68" spans="10:15">
      <c r="J68" s="238"/>
      <c r="K68" s="66"/>
      <c r="L68" s="64"/>
      <c r="M68" s="64"/>
      <c r="N68" s="64"/>
      <c r="O68" s="64"/>
    </row>
    <row r="69" spans="10:15">
      <c r="J69" s="238"/>
      <c r="K69" s="66"/>
      <c r="L69" s="64"/>
      <c r="M69" s="64"/>
      <c r="N69" s="64"/>
      <c r="O69" s="64"/>
    </row>
    <row r="70" spans="10:15">
      <c r="J70" s="238"/>
      <c r="K70" s="66"/>
      <c r="L70" s="64"/>
      <c r="M70" s="64"/>
      <c r="N70" s="64"/>
      <c r="O70" s="64"/>
    </row>
    <row r="71" spans="10:15">
      <c r="J71" s="238"/>
      <c r="K71" s="66"/>
      <c r="L71" s="64"/>
      <c r="M71" s="64"/>
      <c r="N71" s="64"/>
      <c r="O71" s="64"/>
    </row>
    <row r="72" spans="10:15">
      <c r="J72" s="238"/>
      <c r="K72" s="66"/>
      <c r="L72" s="64"/>
      <c r="M72" s="64"/>
      <c r="N72" s="64"/>
      <c r="O72" s="64"/>
    </row>
    <row r="73" spans="10:15">
      <c r="J73" s="238"/>
      <c r="K73" s="66"/>
      <c r="L73" s="64"/>
      <c r="M73" s="64"/>
      <c r="N73" s="64"/>
      <c r="O73" s="64"/>
    </row>
    <row r="74" spans="10:15">
      <c r="J74" s="238"/>
      <c r="K74" s="66"/>
      <c r="L74" s="64"/>
      <c r="M74" s="64"/>
      <c r="N74" s="64"/>
      <c r="O74" s="64"/>
    </row>
    <row r="75" spans="10:15">
      <c r="J75" s="238"/>
      <c r="K75" s="66"/>
      <c r="L75" s="64"/>
      <c r="M75" s="64"/>
      <c r="N75" s="64"/>
      <c r="O75" s="64"/>
    </row>
    <row r="76" spans="10:15">
      <c r="J76" s="238"/>
      <c r="K76" s="66"/>
      <c r="L76" s="64"/>
      <c r="M76" s="64"/>
      <c r="N76" s="64"/>
      <c r="O76" s="64"/>
    </row>
    <row r="77" spans="10:15">
      <c r="J77" s="238"/>
      <c r="K77" s="66"/>
      <c r="L77" s="64"/>
      <c r="M77" s="64"/>
      <c r="N77" s="64"/>
      <c r="O77" s="64"/>
    </row>
    <row r="78" spans="10:15">
      <c r="J78" s="238"/>
      <c r="K78" s="66"/>
      <c r="L78" s="64"/>
      <c r="M78" s="64"/>
      <c r="N78" s="64"/>
      <c r="O78" s="64"/>
    </row>
    <row r="79" spans="10:15">
      <c r="J79" s="238"/>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view="pageBreakPreview" topLeftCell="A11" zoomScale="60" zoomScaleNormal="100" workbookViewId="0">
      <selection activeCell="U21" sqref="U2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Stoke Energy from Waste Facility</v>
      </c>
    </row>
    <row r="3" spans="1:19" ht="14.45">
      <c r="A3" s="60" t="s">
        <v>423</v>
      </c>
      <c r="D3" s="76" t="s">
        <v>382</v>
      </c>
      <c r="G3" s="80" t="s">
        <v>383</v>
      </c>
      <c r="J3" s="9" t="str">
        <f>+A3</f>
        <v>Monitoring of Particulate matter emissions</v>
      </c>
      <c r="L3" s="9"/>
      <c r="N3" s="9" t="s">
        <v>384</v>
      </c>
      <c r="Q3" s="79" t="s">
        <v>3</v>
      </c>
      <c r="R3" s="74"/>
      <c r="S3" s="74"/>
    </row>
    <row r="4" spans="1:19" ht="13.9" customHeight="1">
      <c r="Q4" s="215" t="s">
        <v>385</v>
      </c>
      <c r="R4" s="215"/>
      <c r="S4" s="215"/>
    </row>
    <row r="5" spans="1:19" ht="16.149999999999999">
      <c r="A5" s="68" t="s">
        <v>386</v>
      </c>
      <c r="B5" s="240" t="s">
        <v>387</v>
      </c>
      <c r="C5" s="240"/>
      <c r="D5" s="240"/>
      <c r="E5" s="240" t="s">
        <v>388</v>
      </c>
      <c r="F5" s="240"/>
      <c r="G5" s="240"/>
      <c r="J5" s="239"/>
      <c r="K5" s="239"/>
      <c r="L5" s="239"/>
      <c r="M5" s="239"/>
      <c r="N5" s="239"/>
      <c r="O5" s="239"/>
      <c r="Q5" s="215"/>
      <c r="R5" s="215"/>
      <c r="S5" s="215"/>
    </row>
    <row r="6" spans="1:19" s="58" customFormat="1" ht="37.5" customHeight="1">
      <c r="A6" s="65">
        <f>+'Cover Page'!C39</f>
        <v>2022</v>
      </c>
      <c r="B6" s="55" t="s">
        <v>424</v>
      </c>
      <c r="C6" s="55" t="s">
        <v>390</v>
      </c>
      <c r="D6" s="55" t="s">
        <v>391</v>
      </c>
      <c r="E6" s="55" t="s">
        <v>425</v>
      </c>
      <c r="F6" s="55" t="s">
        <v>393</v>
      </c>
      <c r="G6" s="55" t="s">
        <v>394</v>
      </c>
      <c r="H6" s="59"/>
      <c r="J6" s="61">
        <f>+A6</f>
        <v>2022</v>
      </c>
      <c r="K6" s="61" t="s">
        <v>395</v>
      </c>
      <c r="L6" s="67" t="s">
        <v>390</v>
      </c>
      <c r="M6" s="67" t="s">
        <v>396</v>
      </c>
      <c r="N6" s="67" t="s">
        <v>393</v>
      </c>
      <c r="O6" s="67" t="s">
        <v>397</v>
      </c>
      <c r="Q6" s="215"/>
      <c r="R6" s="215"/>
      <c r="S6" s="215"/>
    </row>
    <row r="7" spans="1:19">
      <c r="A7" s="66" t="s">
        <v>398</v>
      </c>
      <c r="B7" s="63">
        <v>30</v>
      </c>
      <c r="C7" s="103">
        <f>AVERAGE(L7,L22)</f>
        <v>1.5</v>
      </c>
      <c r="D7" s="103">
        <f>MAX(M7,M22)</f>
        <v>11</v>
      </c>
      <c r="E7" s="105">
        <v>10</v>
      </c>
      <c r="F7" s="103">
        <f>AVERAGE(N7,N22)</f>
        <v>1.7</v>
      </c>
      <c r="G7" s="103">
        <f>MAX(O22)</f>
        <v>0</v>
      </c>
      <c r="J7" s="238" t="s">
        <v>189</v>
      </c>
      <c r="K7" s="66" t="s">
        <v>398</v>
      </c>
      <c r="L7" s="64">
        <v>3</v>
      </c>
      <c r="M7" s="64">
        <v>11</v>
      </c>
      <c r="N7" s="101">
        <v>3.4</v>
      </c>
      <c r="O7" s="64">
        <v>5</v>
      </c>
      <c r="Q7" s="215"/>
      <c r="R7" s="215"/>
      <c r="S7" s="215"/>
    </row>
    <row r="8" spans="1:19">
      <c r="A8" s="66" t="s">
        <v>399</v>
      </c>
      <c r="B8" s="63">
        <v>30</v>
      </c>
      <c r="C8" s="103">
        <f t="shared" ref="C8:C18" si="0">AVERAGE(L8,L23)</f>
        <v>1.5</v>
      </c>
      <c r="D8" s="103">
        <f t="shared" ref="D8:D18" si="1">MAX(M8,M23)</f>
        <v>9</v>
      </c>
      <c r="E8" s="105">
        <v>10</v>
      </c>
      <c r="F8" s="103">
        <f t="shared" ref="F8:F18" si="2">AVERAGE(N8,N23)</f>
        <v>1.3392857142857142</v>
      </c>
      <c r="G8" s="103">
        <f t="shared" ref="G8:G18" si="3">MAX(O23)</f>
        <v>1</v>
      </c>
      <c r="J8" s="238"/>
      <c r="K8" s="66" t="s">
        <v>399</v>
      </c>
      <c r="L8" s="64">
        <v>3</v>
      </c>
      <c r="M8" s="64">
        <v>9</v>
      </c>
      <c r="N8" s="101">
        <v>2.6785714285714284</v>
      </c>
      <c r="O8" s="64">
        <v>5</v>
      </c>
      <c r="Q8" s="215"/>
      <c r="R8" s="215"/>
      <c r="S8" s="215"/>
    </row>
    <row r="9" spans="1:19">
      <c r="A9" s="66" t="s">
        <v>400</v>
      </c>
      <c r="B9" s="63">
        <v>30</v>
      </c>
      <c r="C9" s="103">
        <f t="shared" si="0"/>
        <v>1</v>
      </c>
      <c r="D9" s="103">
        <f t="shared" si="1"/>
        <v>6</v>
      </c>
      <c r="E9" s="105">
        <v>10</v>
      </c>
      <c r="F9" s="103">
        <f t="shared" si="2"/>
        <v>1.0333333333333334</v>
      </c>
      <c r="G9" s="103">
        <f t="shared" si="3"/>
        <v>0</v>
      </c>
      <c r="J9" s="238"/>
      <c r="K9" s="66" t="s">
        <v>400</v>
      </c>
      <c r="L9" s="64">
        <v>2</v>
      </c>
      <c r="M9" s="64">
        <v>6</v>
      </c>
      <c r="N9" s="101">
        <v>2.0666666666666669</v>
      </c>
      <c r="O9" s="64">
        <v>3</v>
      </c>
      <c r="Q9" s="78" t="s">
        <v>401</v>
      </c>
    </row>
    <row r="10" spans="1:19" ht="14.25" customHeight="1">
      <c r="A10" s="66" t="s">
        <v>402</v>
      </c>
      <c r="B10" s="63">
        <v>30</v>
      </c>
      <c r="C10" s="103">
        <f t="shared" si="0"/>
        <v>2</v>
      </c>
      <c r="D10" s="103">
        <f t="shared" si="1"/>
        <v>15</v>
      </c>
      <c r="E10" s="105">
        <v>10</v>
      </c>
      <c r="F10" s="103">
        <f t="shared" si="2"/>
        <v>2.15</v>
      </c>
      <c r="G10" s="103">
        <f t="shared" si="3"/>
        <v>0</v>
      </c>
      <c r="J10" s="238"/>
      <c r="K10" s="66" t="s">
        <v>402</v>
      </c>
      <c r="L10" s="64">
        <v>4</v>
      </c>
      <c r="M10" s="64">
        <v>15</v>
      </c>
      <c r="N10" s="101">
        <v>4.3</v>
      </c>
      <c r="O10" s="64">
        <v>5</v>
      </c>
      <c r="Q10" s="237" t="s">
        <v>403</v>
      </c>
      <c r="R10" s="237"/>
      <c r="S10" s="237"/>
    </row>
    <row r="11" spans="1:19">
      <c r="A11" s="66" t="s">
        <v>404</v>
      </c>
      <c r="B11" s="63">
        <v>30</v>
      </c>
      <c r="C11" s="103">
        <f t="shared" si="0"/>
        <v>2.5</v>
      </c>
      <c r="D11" s="103">
        <f t="shared" si="1"/>
        <v>16</v>
      </c>
      <c r="E11" s="105">
        <v>10</v>
      </c>
      <c r="F11" s="103">
        <f t="shared" si="2"/>
        <v>2.7096774193548385</v>
      </c>
      <c r="G11" s="103">
        <f t="shared" si="3"/>
        <v>2</v>
      </c>
      <c r="J11" s="238"/>
      <c r="K11" s="66" t="s">
        <v>404</v>
      </c>
      <c r="L11" s="64">
        <v>4</v>
      </c>
      <c r="M11" s="64">
        <v>16</v>
      </c>
      <c r="N11" s="101">
        <v>4.419354838709677</v>
      </c>
      <c r="O11" s="64">
        <v>6</v>
      </c>
      <c r="Q11" s="237"/>
      <c r="R11" s="237"/>
      <c r="S11" s="237"/>
    </row>
    <row r="12" spans="1:19">
      <c r="A12" s="66" t="s">
        <v>405</v>
      </c>
      <c r="B12" s="63">
        <v>30</v>
      </c>
      <c r="C12" s="103">
        <f t="shared" si="0"/>
        <v>3.5</v>
      </c>
      <c r="D12" s="103">
        <f t="shared" si="1"/>
        <v>20</v>
      </c>
      <c r="E12" s="105">
        <v>10</v>
      </c>
      <c r="F12" s="103">
        <f t="shared" si="2"/>
        <v>3.5052631578947366</v>
      </c>
      <c r="G12" s="103">
        <f t="shared" si="3"/>
        <v>2</v>
      </c>
      <c r="J12" s="238"/>
      <c r="K12" s="66" t="s">
        <v>405</v>
      </c>
      <c r="L12" s="64">
        <v>5</v>
      </c>
      <c r="M12" s="64">
        <v>20</v>
      </c>
      <c r="N12" s="101">
        <v>5.2105263157894735</v>
      </c>
      <c r="O12" s="64">
        <v>7</v>
      </c>
      <c r="Q12" s="237"/>
      <c r="R12" s="237"/>
      <c r="S12" s="237"/>
    </row>
    <row r="13" spans="1:19" ht="14.25" customHeight="1">
      <c r="A13" s="66" t="s">
        <v>406</v>
      </c>
      <c r="B13" s="63">
        <v>30</v>
      </c>
      <c r="C13" s="103">
        <f t="shared" si="0"/>
        <v>2.5</v>
      </c>
      <c r="D13" s="103">
        <f t="shared" si="1"/>
        <v>25</v>
      </c>
      <c r="E13" s="105">
        <v>10</v>
      </c>
      <c r="F13" s="103">
        <f t="shared" si="2"/>
        <v>2.4666666666666663</v>
      </c>
      <c r="G13" s="103">
        <f t="shared" si="3"/>
        <v>2</v>
      </c>
      <c r="J13" s="238"/>
      <c r="K13" s="66" t="s">
        <v>406</v>
      </c>
      <c r="L13" s="64">
        <v>4</v>
      </c>
      <c r="M13" s="64">
        <v>25</v>
      </c>
      <c r="N13" s="101">
        <v>4.333333333333333</v>
      </c>
      <c r="O13" s="64">
        <v>10</v>
      </c>
      <c r="Q13" s="237" t="s">
        <v>407</v>
      </c>
      <c r="R13" s="237"/>
      <c r="S13" s="237"/>
    </row>
    <row r="14" spans="1:19">
      <c r="A14" s="66" t="s">
        <v>408</v>
      </c>
      <c r="B14" s="63">
        <v>30</v>
      </c>
      <c r="C14" s="103">
        <f t="shared" si="0"/>
        <v>2</v>
      </c>
      <c r="D14" s="103">
        <f t="shared" si="1"/>
        <v>28</v>
      </c>
      <c r="E14" s="105">
        <v>10</v>
      </c>
      <c r="F14" s="103">
        <f t="shared" si="2"/>
        <v>1.8709677419354838</v>
      </c>
      <c r="G14" s="103">
        <f t="shared" si="3"/>
        <v>1</v>
      </c>
      <c r="J14" s="238"/>
      <c r="K14" s="66" t="s">
        <v>408</v>
      </c>
      <c r="L14" s="64">
        <v>4</v>
      </c>
      <c r="M14" s="64">
        <v>28</v>
      </c>
      <c r="N14" s="101">
        <v>3.7419354838709675</v>
      </c>
      <c r="O14" s="64">
        <v>5</v>
      </c>
      <c r="Q14" s="237"/>
      <c r="R14" s="237"/>
      <c r="S14" s="237"/>
    </row>
    <row r="15" spans="1:19">
      <c r="A15" s="66" t="s">
        <v>409</v>
      </c>
      <c r="B15" s="63">
        <v>30</v>
      </c>
      <c r="C15" s="103">
        <f t="shared" si="0"/>
        <v>2</v>
      </c>
      <c r="D15" s="103">
        <f t="shared" si="1"/>
        <v>5</v>
      </c>
      <c r="E15" s="105">
        <v>10</v>
      </c>
      <c r="F15" s="103">
        <f t="shared" si="2"/>
        <v>1.9310344827586208</v>
      </c>
      <c r="G15" s="103">
        <f t="shared" si="3"/>
        <v>0</v>
      </c>
      <c r="J15" s="238"/>
      <c r="K15" s="66" t="s">
        <v>409</v>
      </c>
      <c r="L15" s="64">
        <v>4</v>
      </c>
      <c r="M15" s="64">
        <v>5</v>
      </c>
      <c r="N15" s="101">
        <v>3.8620689655172415</v>
      </c>
      <c r="O15" s="64">
        <v>4</v>
      </c>
      <c r="Q15" s="237"/>
      <c r="R15" s="237"/>
      <c r="S15" s="237"/>
    </row>
    <row r="16" spans="1:19">
      <c r="A16" s="66" t="s">
        <v>410</v>
      </c>
      <c r="B16" s="63">
        <v>30</v>
      </c>
      <c r="C16" s="103">
        <f t="shared" si="0"/>
        <v>2.5</v>
      </c>
      <c r="D16" s="103">
        <f t="shared" si="1"/>
        <v>8</v>
      </c>
      <c r="E16" s="105">
        <v>10</v>
      </c>
      <c r="F16" s="103">
        <f t="shared" si="2"/>
        <v>2.274193548387097</v>
      </c>
      <c r="G16" s="103">
        <f t="shared" si="3"/>
        <v>0</v>
      </c>
      <c r="J16" s="238"/>
      <c r="K16" s="66" t="s">
        <v>410</v>
      </c>
      <c r="L16" s="64">
        <v>5</v>
      </c>
      <c r="M16" s="64">
        <v>8</v>
      </c>
      <c r="N16" s="101">
        <v>4.5483870967741939</v>
      </c>
      <c r="O16" s="64">
        <v>6</v>
      </c>
      <c r="Q16" s="237"/>
      <c r="R16" s="237"/>
      <c r="S16" s="237"/>
    </row>
    <row r="17" spans="1:15">
      <c r="A17" s="66" t="s">
        <v>411</v>
      </c>
      <c r="B17" s="63">
        <v>30</v>
      </c>
      <c r="C17" s="103">
        <f t="shared" si="0"/>
        <v>2</v>
      </c>
      <c r="D17" s="103">
        <f t="shared" si="1"/>
        <v>11</v>
      </c>
      <c r="E17" s="105">
        <v>10</v>
      </c>
      <c r="F17" s="103">
        <f t="shared" si="2"/>
        <v>1.95</v>
      </c>
      <c r="G17" s="103">
        <f t="shared" si="3"/>
        <v>0</v>
      </c>
      <c r="J17" s="238"/>
      <c r="K17" s="66" t="s">
        <v>411</v>
      </c>
      <c r="L17" s="64">
        <v>4</v>
      </c>
      <c r="M17" s="64">
        <v>11</v>
      </c>
      <c r="N17" s="101">
        <v>3.9</v>
      </c>
      <c r="O17" s="64">
        <v>6</v>
      </c>
    </row>
    <row r="18" spans="1:15">
      <c r="A18" s="66" t="s">
        <v>412</v>
      </c>
      <c r="B18" s="63">
        <v>30</v>
      </c>
      <c r="C18" s="103">
        <f t="shared" si="0"/>
        <v>2</v>
      </c>
      <c r="D18" s="103">
        <f t="shared" si="1"/>
        <v>7</v>
      </c>
      <c r="E18" s="105">
        <v>10</v>
      </c>
      <c r="F18" s="103">
        <f t="shared" si="2"/>
        <v>1.8709677419354838</v>
      </c>
      <c r="G18" s="103">
        <f t="shared" si="3"/>
        <v>0</v>
      </c>
      <c r="J18" s="238"/>
      <c r="K18" s="66" t="s">
        <v>412</v>
      </c>
      <c r="L18" s="64">
        <v>4</v>
      </c>
      <c r="M18" s="64">
        <v>7</v>
      </c>
      <c r="N18" s="101">
        <v>3.7419354838709675</v>
      </c>
      <c r="O18" s="64">
        <v>4</v>
      </c>
    </row>
    <row r="19" spans="1:15">
      <c r="J19" s="238"/>
      <c r="K19" s="62" t="s">
        <v>413</v>
      </c>
      <c r="L19" s="102">
        <f>AVERAGE(L7:L18)</f>
        <v>3.8333333333333335</v>
      </c>
      <c r="M19" s="62">
        <f>MAX(M7:M18)</f>
        <v>28</v>
      </c>
      <c r="N19" s="102">
        <f>AVERAGE(N7:N18)</f>
        <v>3.8502316344253287</v>
      </c>
      <c r="O19" s="62">
        <f>MAX(O7:O18)</f>
        <v>10</v>
      </c>
    </row>
    <row r="21" spans="1:15" ht="41.45">
      <c r="J21" s="61">
        <f>+A6</f>
        <v>2022</v>
      </c>
      <c r="K21" s="61" t="s">
        <v>395</v>
      </c>
      <c r="L21" s="67" t="s">
        <v>390</v>
      </c>
      <c r="M21" s="67" t="s">
        <v>396</v>
      </c>
      <c r="N21" s="67" t="s">
        <v>393</v>
      </c>
      <c r="O21" s="67" t="s">
        <v>397</v>
      </c>
    </row>
    <row r="22" spans="1:15">
      <c r="J22" s="238" t="s">
        <v>190</v>
      </c>
      <c r="K22" s="66" t="s">
        <v>398</v>
      </c>
      <c r="L22" s="64">
        <v>0</v>
      </c>
      <c r="M22" s="64">
        <v>0</v>
      </c>
      <c r="N22" s="64">
        <v>0</v>
      </c>
      <c r="O22" s="64">
        <v>0</v>
      </c>
    </row>
    <row r="23" spans="1:15">
      <c r="J23" s="238"/>
      <c r="K23" s="66" t="s">
        <v>399</v>
      </c>
      <c r="L23" s="64">
        <v>0</v>
      </c>
      <c r="M23" s="64">
        <v>1</v>
      </c>
      <c r="N23" s="64">
        <v>0</v>
      </c>
      <c r="O23" s="64">
        <v>1</v>
      </c>
    </row>
    <row r="24" spans="1:15">
      <c r="J24" s="238"/>
      <c r="K24" s="66" t="s">
        <v>400</v>
      </c>
      <c r="L24" s="64">
        <v>0</v>
      </c>
      <c r="M24" s="64">
        <v>1</v>
      </c>
      <c r="N24" s="64">
        <v>0</v>
      </c>
      <c r="O24" s="64">
        <v>0</v>
      </c>
    </row>
    <row r="25" spans="1:15">
      <c r="J25" s="238"/>
      <c r="K25" s="66" t="s">
        <v>402</v>
      </c>
      <c r="L25" s="64">
        <v>0</v>
      </c>
      <c r="M25" s="64">
        <v>1</v>
      </c>
      <c r="N25" s="64">
        <v>0</v>
      </c>
      <c r="O25" s="64">
        <v>0</v>
      </c>
    </row>
    <row r="26" spans="1:15">
      <c r="J26" s="238"/>
      <c r="K26" s="66" t="s">
        <v>404</v>
      </c>
      <c r="L26" s="64">
        <v>1</v>
      </c>
      <c r="M26" s="64">
        <v>6</v>
      </c>
      <c r="N26" s="64">
        <v>1</v>
      </c>
      <c r="O26" s="64">
        <v>2</v>
      </c>
    </row>
    <row r="27" spans="1:15">
      <c r="J27" s="238"/>
      <c r="K27" s="66" t="s">
        <v>405</v>
      </c>
      <c r="L27" s="64">
        <v>2</v>
      </c>
      <c r="M27" s="64">
        <v>4</v>
      </c>
      <c r="N27" s="64">
        <v>1.8</v>
      </c>
      <c r="O27" s="64">
        <v>2</v>
      </c>
    </row>
    <row r="28" spans="1:15">
      <c r="J28" s="238"/>
      <c r="K28" s="66" t="s">
        <v>406</v>
      </c>
      <c r="L28" s="64">
        <v>1</v>
      </c>
      <c r="M28" s="64">
        <v>10</v>
      </c>
      <c r="N28" s="64">
        <v>0.6</v>
      </c>
      <c r="O28" s="64">
        <v>2</v>
      </c>
    </row>
    <row r="29" spans="1:15">
      <c r="J29" s="238"/>
      <c r="K29" s="66" t="s">
        <v>408</v>
      </c>
      <c r="L29" s="64">
        <v>0</v>
      </c>
      <c r="M29" s="64">
        <v>25</v>
      </c>
      <c r="N29" s="64">
        <v>0</v>
      </c>
      <c r="O29" s="64">
        <v>1</v>
      </c>
    </row>
    <row r="30" spans="1:15">
      <c r="J30" s="238"/>
      <c r="K30" s="66" t="s">
        <v>409</v>
      </c>
      <c r="L30" s="64">
        <v>0</v>
      </c>
      <c r="M30" s="64">
        <v>0</v>
      </c>
      <c r="N30" s="64">
        <v>0</v>
      </c>
      <c r="O30" s="64">
        <v>0</v>
      </c>
    </row>
    <row r="31" spans="1:15">
      <c r="J31" s="238"/>
      <c r="K31" s="66" t="s">
        <v>410</v>
      </c>
      <c r="L31" s="64">
        <v>0</v>
      </c>
      <c r="M31" s="64">
        <v>1</v>
      </c>
      <c r="N31" s="64">
        <v>0</v>
      </c>
      <c r="O31" s="64">
        <v>0</v>
      </c>
    </row>
    <row r="32" spans="1:15">
      <c r="J32" s="238"/>
      <c r="K32" s="66" t="s">
        <v>411</v>
      </c>
      <c r="L32" s="64">
        <v>0</v>
      </c>
      <c r="M32" s="64">
        <v>0</v>
      </c>
      <c r="N32" s="64">
        <v>0</v>
      </c>
      <c r="O32" s="64">
        <v>0</v>
      </c>
    </row>
    <row r="33" spans="1:15">
      <c r="J33" s="238"/>
      <c r="K33" s="66" t="s">
        <v>412</v>
      </c>
      <c r="L33" s="64">
        <v>0</v>
      </c>
      <c r="M33" s="64">
        <v>0</v>
      </c>
      <c r="N33" s="64">
        <v>0</v>
      </c>
      <c r="O33" s="64">
        <v>0</v>
      </c>
    </row>
    <row r="34" spans="1:15">
      <c r="J34" s="238"/>
      <c r="K34" s="62" t="s">
        <v>413</v>
      </c>
      <c r="L34" s="102">
        <f>AVERAGE(L22:L33)</f>
        <v>0.33333333333333331</v>
      </c>
      <c r="M34" s="62">
        <f>MAX(M22:M33)</f>
        <v>25</v>
      </c>
      <c r="N34" s="102">
        <f>AVERAGE(N22:N33)</f>
        <v>0.28333333333333333</v>
      </c>
      <c r="O34" s="62">
        <f>MAX(O22:O33)</f>
        <v>2</v>
      </c>
    </row>
    <row r="36" spans="1:15">
      <c r="J36" s="61"/>
      <c r="K36" s="61"/>
      <c r="L36" s="67"/>
      <c r="M36" s="67"/>
      <c r="N36" s="67"/>
      <c r="O36" s="67"/>
    </row>
    <row r="37" spans="1:15">
      <c r="J37" s="238"/>
      <c r="K37" s="66"/>
      <c r="L37" s="64"/>
      <c r="M37" s="64"/>
      <c r="N37" s="64"/>
      <c r="O37" s="64"/>
    </row>
    <row r="38" spans="1:15">
      <c r="J38" s="238"/>
      <c r="K38" s="66"/>
      <c r="L38" s="64"/>
      <c r="M38" s="64"/>
      <c r="N38" s="64"/>
      <c r="O38" s="64"/>
    </row>
    <row r="39" spans="1:15">
      <c r="J39" s="238"/>
      <c r="K39" s="66"/>
      <c r="L39" s="64"/>
      <c r="M39" s="64"/>
      <c r="N39" s="64"/>
      <c r="O39" s="64"/>
    </row>
    <row r="40" spans="1:15">
      <c r="J40" s="238"/>
      <c r="K40" s="66"/>
      <c r="L40" s="64"/>
      <c r="M40" s="64"/>
      <c r="N40" s="64"/>
      <c r="O40" s="64"/>
    </row>
    <row r="41" spans="1:15">
      <c r="J41" s="238"/>
      <c r="K41" s="66"/>
      <c r="L41" s="64"/>
      <c r="M41" s="64"/>
      <c r="N41" s="64"/>
      <c r="O41" s="64"/>
    </row>
    <row r="42" spans="1:15">
      <c r="J42" s="238"/>
      <c r="K42" s="66"/>
      <c r="L42" s="64"/>
      <c r="M42" s="64"/>
      <c r="N42" s="64"/>
      <c r="O42" s="64"/>
    </row>
    <row r="43" spans="1:15">
      <c r="C43" s="35" t="s">
        <v>12</v>
      </c>
      <c r="J43" s="238"/>
      <c r="K43" s="66"/>
      <c r="L43" s="64"/>
      <c r="M43" s="64"/>
      <c r="N43" s="64"/>
      <c r="O43" s="64"/>
    </row>
    <row r="44" spans="1:15">
      <c r="J44" s="238"/>
      <c r="K44" s="66"/>
      <c r="L44" s="64"/>
      <c r="M44" s="64"/>
      <c r="N44" s="64"/>
      <c r="O44" s="64"/>
    </row>
    <row r="45" spans="1:15">
      <c r="C45" s="35" t="s">
        <v>14</v>
      </c>
      <c r="J45" s="238"/>
      <c r="K45" s="66"/>
      <c r="L45" s="64"/>
      <c r="M45" s="64"/>
      <c r="N45" s="64"/>
      <c r="O45" s="64"/>
    </row>
    <row r="46" spans="1:15">
      <c r="J46" s="238"/>
      <c r="K46" s="66"/>
      <c r="L46" s="64"/>
      <c r="M46" s="64"/>
      <c r="N46" s="64"/>
      <c r="O46" s="64"/>
    </row>
    <row r="47" spans="1:15">
      <c r="J47" s="238"/>
      <c r="K47" s="66"/>
      <c r="L47" s="64"/>
      <c r="M47" s="64"/>
      <c r="N47" s="64"/>
      <c r="O47" s="64"/>
    </row>
    <row r="48" spans="1:15">
      <c r="A48" s="250" t="s">
        <v>309</v>
      </c>
      <c r="B48" s="251"/>
      <c r="C48" s="251"/>
      <c r="D48" s="251"/>
      <c r="E48" s="251"/>
      <c r="F48" s="251"/>
      <c r="G48" s="252"/>
      <c r="J48" s="238"/>
      <c r="K48" s="66"/>
      <c r="L48" s="64"/>
      <c r="M48" s="64"/>
      <c r="N48" s="64"/>
      <c r="O48" s="64"/>
    </row>
    <row r="49" spans="1:15">
      <c r="A49" s="241"/>
      <c r="B49" s="242"/>
      <c r="C49" s="242"/>
      <c r="D49" s="242"/>
      <c r="E49" s="242"/>
      <c r="F49" s="242"/>
      <c r="G49" s="243"/>
      <c r="J49" s="238"/>
      <c r="K49" s="62"/>
      <c r="L49" s="62"/>
      <c r="M49" s="62"/>
      <c r="N49" s="62"/>
      <c r="O49" s="62"/>
    </row>
    <row r="50" spans="1:15">
      <c r="A50" s="244"/>
      <c r="B50" s="245"/>
      <c r="C50" s="245"/>
      <c r="D50" s="245"/>
      <c r="E50" s="245"/>
      <c r="F50" s="245"/>
      <c r="G50" s="246"/>
    </row>
    <row r="51" spans="1:15">
      <c r="A51" s="244"/>
      <c r="B51" s="245"/>
      <c r="C51" s="245"/>
      <c r="D51" s="245"/>
      <c r="E51" s="245"/>
      <c r="F51" s="245"/>
      <c r="G51" s="246"/>
      <c r="J51" s="61"/>
      <c r="K51" s="61"/>
      <c r="L51" s="67"/>
      <c r="M51" s="67"/>
      <c r="N51" s="67"/>
      <c r="O51" s="67"/>
    </row>
    <row r="52" spans="1:15">
      <c r="A52" s="247"/>
      <c r="B52" s="248"/>
      <c r="C52" s="248"/>
      <c r="D52" s="248"/>
      <c r="E52" s="248"/>
      <c r="F52" s="248"/>
      <c r="G52" s="249"/>
      <c r="J52" s="238"/>
      <c r="K52" s="66"/>
      <c r="L52" s="64"/>
      <c r="M52" s="64"/>
      <c r="N52" s="64"/>
      <c r="O52" s="64"/>
    </row>
    <row r="53" spans="1:15">
      <c r="J53" s="238"/>
      <c r="K53" s="66"/>
      <c r="L53" s="64"/>
      <c r="M53" s="64"/>
      <c r="N53" s="64"/>
      <c r="O53" s="64"/>
    </row>
    <row r="54" spans="1:15">
      <c r="J54" s="238"/>
      <c r="K54" s="66"/>
      <c r="L54" s="64"/>
      <c r="M54" s="64"/>
      <c r="N54" s="64"/>
      <c r="O54" s="64"/>
    </row>
    <row r="55" spans="1:15">
      <c r="J55" s="238"/>
      <c r="K55" s="66"/>
      <c r="L55" s="64"/>
      <c r="M55" s="64"/>
      <c r="N55" s="64"/>
      <c r="O55" s="64"/>
    </row>
    <row r="56" spans="1:15">
      <c r="J56" s="238"/>
      <c r="K56" s="66"/>
      <c r="L56" s="64"/>
      <c r="M56" s="64"/>
      <c r="N56" s="64"/>
      <c r="O56" s="64"/>
    </row>
    <row r="57" spans="1:15">
      <c r="J57" s="238"/>
      <c r="K57" s="66"/>
      <c r="L57" s="64"/>
      <c r="M57" s="64"/>
      <c r="N57" s="64"/>
      <c r="O57" s="64"/>
    </row>
    <row r="58" spans="1:15">
      <c r="J58" s="238"/>
      <c r="K58" s="66"/>
      <c r="L58" s="64"/>
      <c r="M58" s="64"/>
      <c r="N58" s="64"/>
      <c r="O58" s="64"/>
    </row>
    <row r="59" spans="1:15">
      <c r="J59" s="238"/>
      <c r="K59" s="66"/>
      <c r="L59" s="64"/>
      <c r="M59" s="64"/>
      <c r="N59" s="64"/>
      <c r="O59" s="64"/>
    </row>
    <row r="60" spans="1:15">
      <c r="J60" s="238"/>
      <c r="K60" s="66"/>
      <c r="L60" s="64"/>
      <c r="M60" s="64"/>
      <c r="N60" s="64"/>
      <c r="O60" s="64"/>
    </row>
    <row r="61" spans="1:15">
      <c r="J61" s="238"/>
      <c r="K61" s="66"/>
      <c r="L61" s="64"/>
      <c r="M61" s="64"/>
      <c r="N61" s="64"/>
      <c r="O61" s="64"/>
    </row>
    <row r="62" spans="1:15">
      <c r="J62" s="238"/>
      <c r="K62" s="66"/>
      <c r="L62" s="64"/>
      <c r="M62" s="64"/>
      <c r="N62" s="64"/>
      <c r="O62" s="64"/>
    </row>
    <row r="63" spans="1:15">
      <c r="J63" s="238"/>
      <c r="K63" s="66"/>
      <c r="L63" s="64"/>
      <c r="M63" s="64"/>
      <c r="N63" s="64"/>
      <c r="O63" s="64"/>
    </row>
    <row r="64" spans="1:15">
      <c r="J64" s="238"/>
      <c r="K64" s="62"/>
      <c r="L64" s="62"/>
      <c r="M64" s="62"/>
      <c r="N64" s="62"/>
      <c r="O64" s="62"/>
    </row>
    <row r="66" spans="10:15">
      <c r="J66" s="61"/>
      <c r="K66" s="61"/>
      <c r="L66" s="67"/>
      <c r="M66" s="67"/>
      <c r="N66" s="67"/>
      <c r="O66" s="67"/>
    </row>
    <row r="67" spans="10:15">
      <c r="J67" s="238"/>
      <c r="K67" s="66"/>
      <c r="L67" s="64"/>
      <c r="M67" s="64"/>
      <c r="N67" s="64"/>
      <c r="O67" s="64"/>
    </row>
    <row r="68" spans="10:15">
      <c r="J68" s="238"/>
      <c r="K68" s="66"/>
      <c r="L68" s="64"/>
      <c r="M68" s="64"/>
      <c r="N68" s="64"/>
      <c r="O68" s="64"/>
    </row>
    <row r="69" spans="10:15">
      <c r="J69" s="238"/>
      <c r="K69" s="66"/>
      <c r="L69" s="64"/>
      <c r="M69" s="64"/>
      <c r="N69" s="64"/>
      <c r="O69" s="64"/>
    </row>
    <row r="70" spans="10:15">
      <c r="J70" s="238"/>
      <c r="K70" s="66"/>
      <c r="L70" s="64"/>
      <c r="M70" s="64"/>
      <c r="N70" s="64"/>
      <c r="O70" s="64"/>
    </row>
    <row r="71" spans="10:15">
      <c r="J71" s="238"/>
      <c r="K71" s="66"/>
      <c r="L71" s="64"/>
      <c r="M71" s="64"/>
      <c r="N71" s="64"/>
      <c r="O71" s="64"/>
    </row>
    <row r="72" spans="10:15">
      <c r="J72" s="238"/>
      <c r="K72" s="66"/>
      <c r="L72" s="64"/>
      <c r="M72" s="64"/>
      <c r="N72" s="64"/>
      <c r="O72" s="64"/>
    </row>
    <row r="73" spans="10:15">
      <c r="J73" s="238"/>
      <c r="K73" s="66"/>
      <c r="L73" s="64"/>
      <c r="M73" s="64"/>
      <c r="N73" s="64"/>
      <c r="O73" s="64"/>
    </row>
    <row r="74" spans="10:15">
      <c r="J74" s="238"/>
      <c r="K74" s="66"/>
      <c r="L74" s="64"/>
      <c r="M74" s="64"/>
      <c r="N74" s="64"/>
      <c r="O74" s="64"/>
    </row>
    <row r="75" spans="10:15">
      <c r="J75" s="238"/>
      <c r="K75" s="66"/>
      <c r="L75" s="64"/>
      <c r="M75" s="64"/>
      <c r="N75" s="64"/>
      <c r="O75" s="64"/>
    </row>
    <row r="76" spans="10:15">
      <c r="J76" s="238"/>
      <c r="K76" s="66"/>
      <c r="L76" s="64"/>
      <c r="M76" s="64"/>
      <c r="N76" s="64"/>
      <c r="O76" s="64"/>
    </row>
    <row r="77" spans="10:15">
      <c r="J77" s="238"/>
      <c r="K77" s="66"/>
      <c r="L77" s="64"/>
      <c r="M77" s="64"/>
      <c r="N77" s="64"/>
      <c r="O77" s="64"/>
    </row>
    <row r="78" spans="10:15">
      <c r="J78" s="238"/>
      <c r="K78" s="66"/>
      <c r="L78" s="64"/>
      <c r="M78" s="64"/>
      <c r="N78" s="64"/>
      <c r="O78" s="64"/>
    </row>
    <row r="79" spans="10:15">
      <c r="J79" s="238"/>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view="pageBreakPreview" zoomScale="60" zoomScaleNormal="100" workbookViewId="0">
      <selection activeCell="U21" sqref="U21"/>
    </sheetView>
  </sheetViews>
  <sheetFormatPr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3" t="str">
        <f>+'Cover Page'!$B$29</f>
        <v>Annual Performance Report 2022</v>
      </c>
      <c r="B1" s="93"/>
      <c r="C1" s="93"/>
      <c r="D1" s="93"/>
      <c r="E1" s="93" t="str">
        <f>+'Cover Page'!$B$33</f>
        <v>Stoke Energy from Waste Facility</v>
      </c>
    </row>
    <row r="3" spans="1:21" ht="14.45">
      <c r="A3" s="60" t="s">
        <v>426</v>
      </c>
      <c r="E3" s="76" t="s">
        <v>382</v>
      </c>
      <c r="H3" s="80" t="s">
        <v>427</v>
      </c>
      <c r="J3" s="9" t="str">
        <f>+A3</f>
        <v>Monitoring of Carbon Monoxide (10-minute avg)</v>
      </c>
      <c r="L3" s="9"/>
      <c r="O3" s="9" t="s">
        <v>384</v>
      </c>
      <c r="Q3" s="77" t="s">
        <v>3</v>
      </c>
      <c r="S3" s="79" t="s">
        <v>3</v>
      </c>
      <c r="T3" s="74"/>
      <c r="U3" s="74"/>
    </row>
    <row r="4" spans="1:21" ht="13.9" customHeight="1">
      <c r="S4" s="215" t="s">
        <v>428</v>
      </c>
      <c r="T4" s="215"/>
      <c r="U4" s="215"/>
    </row>
    <row r="5" spans="1:21" ht="16.149999999999999">
      <c r="A5" s="68" t="s">
        <v>386</v>
      </c>
      <c r="B5" s="240" t="s">
        <v>429</v>
      </c>
      <c r="C5" s="240"/>
      <c r="D5" s="240"/>
      <c r="E5" s="240"/>
      <c r="F5" s="240" t="s">
        <v>388</v>
      </c>
      <c r="G5" s="240"/>
      <c r="H5" s="240"/>
      <c r="K5" s="239"/>
      <c r="L5" s="239"/>
      <c r="M5" s="239"/>
      <c r="N5" s="239"/>
      <c r="O5" s="239"/>
      <c r="P5" s="239"/>
      <c r="Q5" s="239"/>
      <c r="S5" s="215"/>
      <c r="T5" s="215"/>
      <c r="U5" s="215"/>
    </row>
    <row r="6" spans="1:21" s="58" customFormat="1" ht="37.5" customHeight="1">
      <c r="A6" s="65">
        <f>+'Cover Page'!C39</f>
        <v>2022</v>
      </c>
      <c r="B6" s="55" t="s">
        <v>430</v>
      </c>
      <c r="C6" s="55" t="s">
        <v>431</v>
      </c>
      <c r="D6" s="55" t="s">
        <v>432</v>
      </c>
      <c r="E6" s="55" t="s">
        <v>433</v>
      </c>
      <c r="F6" s="55" t="s">
        <v>434</v>
      </c>
      <c r="G6" s="55" t="s">
        <v>393</v>
      </c>
      <c r="H6" s="55" t="s">
        <v>394</v>
      </c>
      <c r="I6" s="59"/>
      <c r="K6" s="61">
        <f>+A6</f>
        <v>2022</v>
      </c>
      <c r="L6" s="61" t="s">
        <v>395</v>
      </c>
      <c r="M6" s="55" t="s">
        <v>431</v>
      </c>
      <c r="N6" s="55" t="s">
        <v>432</v>
      </c>
      <c r="O6" s="55" t="s">
        <v>433</v>
      </c>
      <c r="P6" s="67" t="s">
        <v>393</v>
      </c>
      <c r="Q6" s="67" t="s">
        <v>397</v>
      </c>
      <c r="S6" s="215"/>
      <c r="T6" s="215"/>
      <c r="U6" s="215"/>
    </row>
    <row r="7" spans="1:21">
      <c r="A7" s="66" t="s">
        <v>398</v>
      </c>
      <c r="B7" s="69">
        <v>150</v>
      </c>
      <c r="C7" s="64">
        <f>MAX(M7,M22)</f>
        <v>29</v>
      </c>
      <c r="D7" s="103">
        <f>AVERAGE(N7,N22)</f>
        <v>14</v>
      </c>
      <c r="E7" s="103">
        <f>MAX(O7,O22)</f>
        <v>571</v>
      </c>
      <c r="F7" s="104">
        <v>50</v>
      </c>
      <c r="G7" s="103">
        <f>AVERAGE(P7,P22)</f>
        <v>14.028494623655915</v>
      </c>
      <c r="H7" s="103">
        <f>MAX(Q7,Q22)</f>
        <v>21</v>
      </c>
      <c r="K7" s="238" t="s">
        <v>189</v>
      </c>
      <c r="L7" s="66" t="s">
        <v>398</v>
      </c>
      <c r="M7" s="64">
        <v>29</v>
      </c>
      <c r="N7" s="64">
        <v>15</v>
      </c>
      <c r="O7" s="64">
        <v>571</v>
      </c>
      <c r="P7" s="101">
        <v>14.766666666666667</v>
      </c>
      <c r="Q7" s="64">
        <v>21</v>
      </c>
      <c r="S7" s="215"/>
      <c r="T7" s="215"/>
      <c r="U7" s="215"/>
    </row>
    <row r="8" spans="1:21">
      <c r="A8" s="66" t="s">
        <v>399</v>
      </c>
      <c r="B8" s="63">
        <f>+B7</f>
        <v>150</v>
      </c>
      <c r="C8" s="64">
        <f t="shared" ref="C8:C18" si="0">MAX(M8,M23)</f>
        <v>31</v>
      </c>
      <c r="D8" s="103">
        <f t="shared" ref="D8:D18" si="1">AVERAGE(N8,N23)</f>
        <v>13</v>
      </c>
      <c r="E8" s="103">
        <f t="shared" ref="E8:E18" si="2">MAX(O8,O23)</f>
        <v>287</v>
      </c>
      <c r="F8" s="105">
        <f>+F7</f>
        <v>50</v>
      </c>
      <c r="G8" s="103">
        <f t="shared" ref="G8:G18" si="3">AVERAGE(P8,P23)</f>
        <v>13.270502645502646</v>
      </c>
      <c r="H8" s="103">
        <f t="shared" ref="H8:H18" si="4">MAX(Q8,Q23)</f>
        <v>22</v>
      </c>
      <c r="K8" s="238"/>
      <c r="L8" s="66" t="s">
        <v>399</v>
      </c>
      <c r="M8" s="64">
        <v>25</v>
      </c>
      <c r="N8" s="64">
        <v>13</v>
      </c>
      <c r="O8" s="64">
        <v>287</v>
      </c>
      <c r="P8" s="101">
        <v>13.392857142857142</v>
      </c>
      <c r="Q8" s="64">
        <v>22</v>
      </c>
      <c r="S8" s="215"/>
      <c r="T8" s="215"/>
      <c r="U8" s="215"/>
    </row>
    <row r="9" spans="1:21">
      <c r="A9" s="66" t="s">
        <v>400</v>
      </c>
      <c r="B9" s="63">
        <f t="shared" ref="B9:B18" si="5">+B8</f>
        <v>150</v>
      </c>
      <c r="C9" s="64">
        <f t="shared" si="0"/>
        <v>21</v>
      </c>
      <c r="D9" s="103">
        <f t="shared" si="1"/>
        <v>11.5</v>
      </c>
      <c r="E9" s="103">
        <f t="shared" si="2"/>
        <v>379</v>
      </c>
      <c r="F9" s="105">
        <f t="shared" ref="F9:F18" si="6">+F8</f>
        <v>50</v>
      </c>
      <c r="G9" s="103">
        <f t="shared" si="3"/>
        <v>11.628494623655914</v>
      </c>
      <c r="H9" s="103">
        <f t="shared" si="4"/>
        <v>22</v>
      </c>
      <c r="K9" s="238"/>
      <c r="L9" s="66" t="s">
        <v>400</v>
      </c>
      <c r="M9" s="64">
        <v>21</v>
      </c>
      <c r="N9" s="64">
        <v>11</v>
      </c>
      <c r="O9" s="64">
        <v>379</v>
      </c>
      <c r="P9" s="101">
        <v>10.966666666666667</v>
      </c>
      <c r="Q9" s="64">
        <v>22</v>
      </c>
      <c r="S9" s="78" t="s">
        <v>435</v>
      </c>
    </row>
    <row r="10" spans="1:21">
      <c r="A10" s="66" t="s">
        <v>402</v>
      </c>
      <c r="B10" s="63">
        <f t="shared" si="5"/>
        <v>150</v>
      </c>
      <c r="C10" s="64">
        <f t="shared" si="0"/>
        <v>20</v>
      </c>
      <c r="D10" s="103">
        <f t="shared" si="1"/>
        <v>10.5</v>
      </c>
      <c r="E10" s="103">
        <f t="shared" si="2"/>
        <v>342</v>
      </c>
      <c r="F10" s="105">
        <f t="shared" si="6"/>
        <v>50</v>
      </c>
      <c r="G10" s="103">
        <f t="shared" si="3"/>
        <v>10.162068965517241</v>
      </c>
      <c r="H10" s="103">
        <f t="shared" si="4"/>
        <v>14</v>
      </c>
      <c r="K10" s="238"/>
      <c r="L10" s="66" t="s">
        <v>402</v>
      </c>
      <c r="M10" s="64">
        <v>19</v>
      </c>
      <c r="N10" s="64">
        <v>9</v>
      </c>
      <c r="O10" s="64">
        <v>75</v>
      </c>
      <c r="P10" s="101">
        <v>8.6</v>
      </c>
      <c r="Q10" s="64">
        <v>11</v>
      </c>
      <c r="S10" s="237" t="s">
        <v>436</v>
      </c>
      <c r="T10" s="237"/>
      <c r="U10" s="237"/>
    </row>
    <row r="11" spans="1:21">
      <c r="A11" s="66" t="s">
        <v>404</v>
      </c>
      <c r="B11" s="63">
        <f t="shared" si="5"/>
        <v>150</v>
      </c>
      <c r="C11" s="64">
        <f t="shared" si="0"/>
        <v>45</v>
      </c>
      <c r="D11" s="103">
        <f t="shared" si="1"/>
        <v>10.5</v>
      </c>
      <c r="E11" s="103">
        <f t="shared" si="2"/>
        <v>370</v>
      </c>
      <c r="F11" s="105">
        <f t="shared" si="6"/>
        <v>50</v>
      </c>
      <c r="G11" s="103">
        <f t="shared" si="3"/>
        <v>10.35483870967742</v>
      </c>
      <c r="H11" s="103">
        <f t="shared" si="4"/>
        <v>20</v>
      </c>
      <c r="K11" s="238"/>
      <c r="L11" s="66" t="s">
        <v>404</v>
      </c>
      <c r="M11" s="64">
        <v>45</v>
      </c>
      <c r="N11" s="64">
        <v>10</v>
      </c>
      <c r="O11" s="64">
        <v>370</v>
      </c>
      <c r="P11" s="101">
        <v>9.8387096774193541</v>
      </c>
      <c r="Q11" s="64">
        <v>20</v>
      </c>
      <c r="S11" s="237"/>
      <c r="T11" s="237"/>
      <c r="U11" s="237"/>
    </row>
    <row r="12" spans="1:21">
      <c r="A12" s="66" t="s">
        <v>405</v>
      </c>
      <c r="B12" s="63">
        <f t="shared" si="5"/>
        <v>150</v>
      </c>
      <c r="C12" s="64">
        <f t="shared" si="0"/>
        <v>40</v>
      </c>
      <c r="D12" s="103">
        <f t="shared" si="1"/>
        <v>8.5</v>
      </c>
      <c r="E12" s="103">
        <f t="shared" si="2"/>
        <v>565</v>
      </c>
      <c r="F12" s="105">
        <f t="shared" si="6"/>
        <v>50</v>
      </c>
      <c r="G12" s="103">
        <f t="shared" si="3"/>
        <v>8.1035087719298247</v>
      </c>
      <c r="H12" s="103">
        <f t="shared" si="4"/>
        <v>20</v>
      </c>
      <c r="K12" s="238"/>
      <c r="L12" s="66" t="s">
        <v>405</v>
      </c>
      <c r="M12" s="64">
        <v>40</v>
      </c>
      <c r="N12" s="64">
        <v>9</v>
      </c>
      <c r="O12" s="64">
        <v>565</v>
      </c>
      <c r="P12" s="101">
        <v>8.473684210526315</v>
      </c>
      <c r="Q12" s="64">
        <v>20</v>
      </c>
      <c r="S12" s="237"/>
      <c r="T12" s="237"/>
      <c r="U12" s="237"/>
    </row>
    <row r="13" spans="1:21">
      <c r="A13" s="66" t="s">
        <v>406</v>
      </c>
      <c r="B13" s="63">
        <f t="shared" si="5"/>
        <v>150</v>
      </c>
      <c r="C13" s="64">
        <f t="shared" si="0"/>
        <v>19</v>
      </c>
      <c r="D13" s="103">
        <f t="shared" si="1"/>
        <v>4</v>
      </c>
      <c r="E13" s="103">
        <f t="shared" si="2"/>
        <v>411</v>
      </c>
      <c r="F13" s="105">
        <f t="shared" si="6"/>
        <v>50</v>
      </c>
      <c r="G13" s="103">
        <f t="shared" si="3"/>
        <v>4.2850000000000001</v>
      </c>
      <c r="H13" s="103">
        <f t="shared" si="4"/>
        <v>12</v>
      </c>
      <c r="K13" s="238"/>
      <c r="L13" s="66" t="s">
        <v>406</v>
      </c>
      <c r="M13" s="64">
        <v>19</v>
      </c>
      <c r="N13" s="64">
        <v>6</v>
      </c>
      <c r="O13" s="64">
        <v>411</v>
      </c>
      <c r="P13" s="101">
        <v>5.77</v>
      </c>
      <c r="Q13" s="64">
        <v>12</v>
      </c>
      <c r="S13" s="237" t="s">
        <v>437</v>
      </c>
      <c r="T13" s="237"/>
      <c r="U13" s="237"/>
    </row>
    <row r="14" spans="1:21">
      <c r="A14" s="66" t="s">
        <v>408</v>
      </c>
      <c r="B14" s="63">
        <f t="shared" si="5"/>
        <v>150</v>
      </c>
      <c r="C14" s="64">
        <f t="shared" si="0"/>
        <v>17</v>
      </c>
      <c r="D14" s="103">
        <f t="shared" si="1"/>
        <v>3</v>
      </c>
      <c r="E14" s="103">
        <f t="shared" si="2"/>
        <v>425</v>
      </c>
      <c r="F14" s="105">
        <f t="shared" si="6"/>
        <v>50</v>
      </c>
      <c r="G14" s="103">
        <f t="shared" si="3"/>
        <v>2.59</v>
      </c>
      <c r="H14" s="103">
        <f t="shared" si="4"/>
        <v>8</v>
      </c>
      <c r="K14" s="238"/>
      <c r="L14" s="66" t="s">
        <v>408</v>
      </c>
      <c r="M14" s="64">
        <v>17</v>
      </c>
      <c r="N14" s="64">
        <v>5</v>
      </c>
      <c r="O14" s="64">
        <v>171</v>
      </c>
      <c r="P14" s="101">
        <v>4.67</v>
      </c>
      <c r="Q14" s="64">
        <v>8</v>
      </c>
      <c r="S14" s="237"/>
      <c r="T14" s="237"/>
      <c r="U14" s="237"/>
    </row>
    <row r="15" spans="1:21">
      <c r="A15" s="66" t="s">
        <v>409</v>
      </c>
      <c r="B15" s="63">
        <f t="shared" si="5"/>
        <v>150</v>
      </c>
      <c r="C15" s="64">
        <f t="shared" si="0"/>
        <v>35</v>
      </c>
      <c r="D15" s="103">
        <f t="shared" si="1"/>
        <v>4.5</v>
      </c>
      <c r="E15" s="103">
        <f t="shared" si="2"/>
        <v>702</v>
      </c>
      <c r="F15" s="105">
        <f t="shared" si="6"/>
        <v>50</v>
      </c>
      <c r="G15" s="103">
        <f t="shared" si="3"/>
        <v>4.2249999999999996</v>
      </c>
      <c r="H15" s="103">
        <f t="shared" si="4"/>
        <v>14</v>
      </c>
      <c r="K15" s="238"/>
      <c r="L15" s="66" t="s">
        <v>409</v>
      </c>
      <c r="M15" s="64">
        <v>35</v>
      </c>
      <c r="N15" s="64">
        <v>8</v>
      </c>
      <c r="O15" s="64">
        <v>702</v>
      </c>
      <c r="P15" s="101">
        <v>7.62</v>
      </c>
      <c r="Q15" s="64">
        <v>14</v>
      </c>
      <c r="S15" s="237"/>
      <c r="T15" s="237"/>
      <c r="U15" s="237"/>
    </row>
    <row r="16" spans="1:21">
      <c r="A16" s="66" t="s">
        <v>410</v>
      </c>
      <c r="B16" s="63">
        <f t="shared" si="5"/>
        <v>150</v>
      </c>
      <c r="C16" s="64">
        <f t="shared" si="0"/>
        <v>40</v>
      </c>
      <c r="D16" s="103">
        <f t="shared" si="1"/>
        <v>4.5</v>
      </c>
      <c r="E16" s="103">
        <f t="shared" si="2"/>
        <v>602</v>
      </c>
      <c r="F16" s="105">
        <f t="shared" si="6"/>
        <v>50</v>
      </c>
      <c r="G16" s="103">
        <f t="shared" si="3"/>
        <v>4.760752688172043</v>
      </c>
      <c r="H16" s="103">
        <f t="shared" si="4"/>
        <v>14</v>
      </c>
      <c r="K16" s="238"/>
      <c r="L16" s="66" t="s">
        <v>410</v>
      </c>
      <c r="M16" s="64">
        <v>40</v>
      </c>
      <c r="N16" s="64">
        <v>8</v>
      </c>
      <c r="O16" s="64">
        <v>400</v>
      </c>
      <c r="P16" s="101">
        <v>8.3548387096774199</v>
      </c>
      <c r="Q16" s="64">
        <v>14</v>
      </c>
      <c r="S16" s="237"/>
      <c r="T16" s="237"/>
      <c r="U16" s="237"/>
    </row>
    <row r="17" spans="1:17">
      <c r="A17" s="66" t="s">
        <v>411</v>
      </c>
      <c r="B17" s="63">
        <f t="shared" si="5"/>
        <v>150</v>
      </c>
      <c r="C17" s="64">
        <f t="shared" si="0"/>
        <v>45</v>
      </c>
      <c r="D17" s="103">
        <f t="shared" si="1"/>
        <v>8</v>
      </c>
      <c r="E17" s="103">
        <f t="shared" si="2"/>
        <v>331</v>
      </c>
      <c r="F17" s="105">
        <f t="shared" si="6"/>
        <v>50</v>
      </c>
      <c r="G17" s="103">
        <f t="shared" si="3"/>
        <v>7.9</v>
      </c>
      <c r="H17" s="103">
        <f t="shared" si="4"/>
        <v>20</v>
      </c>
      <c r="K17" s="238"/>
      <c r="L17" s="66" t="s">
        <v>411</v>
      </c>
      <c r="M17" s="64">
        <v>45</v>
      </c>
      <c r="N17" s="64">
        <v>13</v>
      </c>
      <c r="O17" s="64">
        <v>284</v>
      </c>
      <c r="P17" s="101">
        <v>12.766666666666667</v>
      </c>
      <c r="Q17" s="64">
        <v>20</v>
      </c>
    </row>
    <row r="18" spans="1:17">
      <c r="A18" s="66" t="s">
        <v>412</v>
      </c>
      <c r="B18" s="63">
        <f t="shared" si="5"/>
        <v>150</v>
      </c>
      <c r="C18" s="64">
        <f t="shared" si="0"/>
        <v>26</v>
      </c>
      <c r="D18" s="103">
        <f t="shared" si="1"/>
        <v>7</v>
      </c>
      <c r="E18" s="103">
        <f t="shared" si="2"/>
        <v>269</v>
      </c>
      <c r="F18" s="105">
        <f t="shared" si="6"/>
        <v>50</v>
      </c>
      <c r="G18" s="103">
        <f t="shared" si="3"/>
        <v>6.78</v>
      </c>
      <c r="H18" s="103">
        <f t="shared" si="4"/>
        <v>17</v>
      </c>
      <c r="K18" s="238"/>
      <c r="L18" s="66" t="s">
        <v>412</v>
      </c>
      <c r="M18" s="64">
        <v>26</v>
      </c>
      <c r="N18" s="64">
        <v>12</v>
      </c>
      <c r="O18" s="64">
        <v>196</v>
      </c>
      <c r="P18" s="101">
        <v>11.64</v>
      </c>
      <c r="Q18" s="64">
        <v>17</v>
      </c>
    </row>
    <row r="19" spans="1:17">
      <c r="K19" s="238"/>
      <c r="L19" s="62" t="s">
        <v>413</v>
      </c>
      <c r="M19" s="102">
        <f>AVERAGE(M7:M18)</f>
        <v>30.083333333333332</v>
      </c>
      <c r="N19" s="102">
        <f>AVERAGE(N7:N18)</f>
        <v>9.9166666666666661</v>
      </c>
      <c r="O19" s="62">
        <f>MAX(O7:O18)</f>
        <v>702</v>
      </c>
      <c r="P19" s="102">
        <f>AVERAGE(P7:P18)</f>
        <v>9.7383408117066868</v>
      </c>
      <c r="Q19" s="62">
        <f>MAX(Q7:Q18)</f>
        <v>22</v>
      </c>
    </row>
    <row r="21" spans="1:17" ht="27.6">
      <c r="K21" s="61">
        <f>+A6</f>
        <v>2022</v>
      </c>
      <c r="L21" s="61" t="s">
        <v>395</v>
      </c>
      <c r="M21" s="55" t="s">
        <v>431</v>
      </c>
      <c r="N21" s="55" t="s">
        <v>432</v>
      </c>
      <c r="O21" s="55" t="s">
        <v>433</v>
      </c>
      <c r="P21" s="67" t="s">
        <v>393</v>
      </c>
      <c r="Q21" s="67" t="s">
        <v>397</v>
      </c>
    </row>
    <row r="22" spans="1:17">
      <c r="K22" s="238" t="s">
        <v>190</v>
      </c>
      <c r="L22" s="66" t="s">
        <v>398</v>
      </c>
      <c r="M22" s="64">
        <v>28</v>
      </c>
      <c r="N22" s="64">
        <v>13</v>
      </c>
      <c r="O22" s="64">
        <v>226</v>
      </c>
      <c r="P22" s="101">
        <v>13.290322580645162</v>
      </c>
      <c r="Q22" s="64">
        <v>18</v>
      </c>
    </row>
    <row r="23" spans="1:17">
      <c r="K23" s="238"/>
      <c r="L23" s="66" t="s">
        <v>399</v>
      </c>
      <c r="M23" s="64">
        <v>31</v>
      </c>
      <c r="N23" s="64">
        <v>13</v>
      </c>
      <c r="O23" s="64">
        <v>115</v>
      </c>
      <c r="P23" s="101">
        <v>13.148148148148149</v>
      </c>
      <c r="Q23" s="64">
        <v>19</v>
      </c>
    </row>
    <row r="24" spans="1:17">
      <c r="K24" s="238"/>
      <c r="L24" s="66" t="s">
        <v>400</v>
      </c>
      <c r="M24" s="64">
        <v>20</v>
      </c>
      <c r="N24" s="64">
        <v>12</v>
      </c>
      <c r="O24" s="64">
        <v>94</v>
      </c>
      <c r="P24" s="101">
        <v>12.290322580645162</v>
      </c>
      <c r="Q24" s="64">
        <v>15</v>
      </c>
    </row>
    <row r="25" spans="1:17">
      <c r="K25" s="238"/>
      <c r="L25" s="66" t="s">
        <v>402</v>
      </c>
      <c r="M25" s="64">
        <v>20</v>
      </c>
      <c r="N25" s="64">
        <v>12</v>
      </c>
      <c r="O25" s="64">
        <v>342</v>
      </c>
      <c r="P25" s="101">
        <v>11.724137931034482</v>
      </c>
      <c r="Q25" s="64">
        <v>14</v>
      </c>
    </row>
    <row r="26" spans="1:17">
      <c r="K26" s="238"/>
      <c r="L26" s="66" t="s">
        <v>404</v>
      </c>
      <c r="M26" s="64">
        <v>34</v>
      </c>
      <c r="N26" s="64">
        <v>11</v>
      </c>
      <c r="O26" s="64">
        <v>181</v>
      </c>
      <c r="P26" s="101">
        <v>10.870967741935484</v>
      </c>
      <c r="Q26" s="64">
        <v>19</v>
      </c>
    </row>
    <row r="27" spans="1:17">
      <c r="K27" s="238"/>
      <c r="L27" s="66" t="s">
        <v>405</v>
      </c>
      <c r="M27" s="64">
        <v>25</v>
      </c>
      <c r="N27" s="64">
        <v>8</v>
      </c>
      <c r="O27" s="64">
        <v>315</v>
      </c>
      <c r="P27" s="101">
        <v>7.7333333333333334</v>
      </c>
      <c r="Q27" s="64">
        <v>12</v>
      </c>
    </row>
    <row r="28" spans="1:17">
      <c r="K28" s="238"/>
      <c r="L28" s="66" t="s">
        <v>406</v>
      </c>
      <c r="M28" s="64">
        <v>12</v>
      </c>
      <c r="N28" s="64">
        <v>2</v>
      </c>
      <c r="O28" s="64">
        <v>150</v>
      </c>
      <c r="P28" s="101">
        <v>2.8</v>
      </c>
      <c r="Q28" s="64">
        <v>11</v>
      </c>
    </row>
    <row r="29" spans="1:17">
      <c r="K29" s="238"/>
      <c r="L29" s="66" t="s">
        <v>408</v>
      </c>
      <c r="M29" s="64">
        <v>3</v>
      </c>
      <c r="N29" s="64">
        <v>1</v>
      </c>
      <c r="O29" s="64">
        <v>425</v>
      </c>
      <c r="P29" s="101">
        <v>0.51</v>
      </c>
      <c r="Q29" s="64">
        <v>5</v>
      </c>
    </row>
    <row r="30" spans="1:17">
      <c r="K30" s="238"/>
      <c r="L30" s="66" t="s">
        <v>409</v>
      </c>
      <c r="M30" s="64">
        <v>7</v>
      </c>
      <c r="N30" s="64">
        <v>1</v>
      </c>
      <c r="O30" s="64">
        <v>253</v>
      </c>
      <c r="P30" s="101">
        <v>0.83</v>
      </c>
      <c r="Q30" s="64">
        <v>4</v>
      </c>
    </row>
    <row r="31" spans="1:17">
      <c r="K31" s="238"/>
      <c r="L31" s="66" t="s">
        <v>410</v>
      </c>
      <c r="M31" s="64">
        <v>8</v>
      </c>
      <c r="N31" s="64">
        <v>1</v>
      </c>
      <c r="O31" s="64">
        <v>602</v>
      </c>
      <c r="P31" s="101">
        <v>1.1666666666666667</v>
      </c>
      <c r="Q31" s="64">
        <v>5</v>
      </c>
    </row>
    <row r="32" spans="1:17">
      <c r="K32" s="238"/>
      <c r="L32" s="66" t="s">
        <v>411</v>
      </c>
      <c r="M32" s="64">
        <v>12</v>
      </c>
      <c r="N32" s="64">
        <v>3</v>
      </c>
      <c r="O32" s="64">
        <v>331</v>
      </c>
      <c r="P32" s="101">
        <v>3.0333333333333332</v>
      </c>
      <c r="Q32" s="64">
        <v>9</v>
      </c>
    </row>
    <row r="33" spans="1:17">
      <c r="K33" s="238"/>
      <c r="L33" s="66" t="s">
        <v>412</v>
      </c>
      <c r="M33" s="64">
        <v>15</v>
      </c>
      <c r="N33" s="64">
        <v>2</v>
      </c>
      <c r="O33" s="64">
        <v>269</v>
      </c>
      <c r="P33" s="101">
        <v>1.92</v>
      </c>
      <c r="Q33" s="64">
        <v>6</v>
      </c>
    </row>
    <row r="34" spans="1:17">
      <c r="K34" s="238"/>
      <c r="L34" s="62" t="s">
        <v>413</v>
      </c>
      <c r="M34" s="102">
        <f>AVERAGE(M22:M33)</f>
        <v>17.916666666666668</v>
      </c>
      <c r="N34" s="102">
        <f>AVERAGE(N22:N33)</f>
        <v>6.583333333333333</v>
      </c>
      <c r="O34" s="62">
        <f>MAX(O22:O33)</f>
        <v>602</v>
      </c>
      <c r="P34" s="102">
        <f>AVERAGE(P22:P33)</f>
        <v>6.6097693596451483</v>
      </c>
      <c r="Q34" s="62">
        <f>MAX(Q22:Q33)</f>
        <v>19</v>
      </c>
    </row>
    <row r="36" spans="1:17">
      <c r="K36" s="61"/>
      <c r="L36" s="61"/>
      <c r="M36" s="55"/>
      <c r="N36" s="55"/>
      <c r="O36" s="55"/>
      <c r="P36" s="67"/>
      <c r="Q36" s="67"/>
    </row>
    <row r="37" spans="1:17">
      <c r="K37" s="238"/>
      <c r="L37" s="66"/>
      <c r="M37" s="64"/>
      <c r="N37" s="64"/>
      <c r="O37" s="64"/>
      <c r="P37" s="64"/>
      <c r="Q37" s="64"/>
    </row>
    <row r="38" spans="1:17">
      <c r="K38" s="238"/>
      <c r="L38" s="66"/>
      <c r="M38" s="64"/>
      <c r="N38" s="64"/>
      <c r="O38" s="64"/>
      <c r="P38" s="64"/>
      <c r="Q38" s="64"/>
    </row>
    <row r="39" spans="1:17">
      <c r="K39" s="238"/>
      <c r="L39" s="66"/>
      <c r="M39" s="64"/>
      <c r="N39" s="64"/>
      <c r="O39" s="64"/>
      <c r="P39" s="64"/>
      <c r="Q39" s="64"/>
    </row>
    <row r="40" spans="1:17">
      <c r="K40" s="238"/>
      <c r="L40" s="66"/>
      <c r="M40" s="64"/>
      <c r="N40" s="64"/>
      <c r="O40" s="64"/>
      <c r="P40" s="64"/>
      <c r="Q40" s="64"/>
    </row>
    <row r="41" spans="1:17">
      <c r="H41" s="3"/>
      <c r="K41" s="238"/>
      <c r="L41" s="66"/>
      <c r="M41" s="64"/>
      <c r="N41" s="64"/>
      <c r="O41" s="64"/>
      <c r="P41" s="64"/>
      <c r="Q41" s="64"/>
    </row>
    <row r="42" spans="1:17">
      <c r="K42" s="238"/>
      <c r="L42" s="66"/>
      <c r="M42" s="64"/>
      <c r="N42" s="64"/>
      <c r="O42" s="64"/>
      <c r="P42" s="64"/>
      <c r="Q42" s="64"/>
    </row>
    <row r="43" spans="1:17">
      <c r="C43" s="35" t="s">
        <v>12</v>
      </c>
      <c r="K43" s="238"/>
      <c r="L43" s="66"/>
      <c r="M43" s="64"/>
      <c r="N43" s="64"/>
      <c r="O43" s="64"/>
      <c r="P43" s="64"/>
      <c r="Q43" s="64"/>
    </row>
    <row r="44" spans="1:17">
      <c r="K44" s="238"/>
      <c r="L44" s="66"/>
      <c r="M44" s="64"/>
      <c r="N44" s="64"/>
      <c r="O44" s="64"/>
      <c r="P44" s="64"/>
      <c r="Q44" s="64"/>
    </row>
    <row r="45" spans="1:17">
      <c r="C45" s="35" t="s">
        <v>14</v>
      </c>
      <c r="K45" s="238"/>
      <c r="L45" s="66"/>
      <c r="M45" s="64"/>
      <c r="N45" s="64"/>
      <c r="O45" s="64"/>
      <c r="P45" s="64"/>
      <c r="Q45" s="64"/>
    </row>
    <row r="46" spans="1:17">
      <c r="K46" s="238"/>
      <c r="L46" s="66"/>
      <c r="M46" s="64"/>
      <c r="N46" s="64"/>
      <c r="O46" s="64"/>
      <c r="P46" s="64"/>
      <c r="Q46" s="64"/>
    </row>
    <row r="47" spans="1:17">
      <c r="K47" s="238"/>
      <c r="L47" s="66"/>
      <c r="M47" s="64"/>
      <c r="N47" s="64"/>
      <c r="O47" s="64"/>
      <c r="P47" s="64"/>
      <c r="Q47" s="64"/>
    </row>
    <row r="48" spans="1:17">
      <c r="A48" s="250" t="s">
        <v>309</v>
      </c>
      <c r="B48" s="251"/>
      <c r="C48" s="251"/>
      <c r="D48" s="251"/>
      <c r="E48" s="251"/>
      <c r="F48" s="251"/>
      <c r="G48" s="251"/>
      <c r="H48" s="252"/>
      <c r="K48" s="238"/>
      <c r="L48" s="66"/>
      <c r="M48" s="64"/>
      <c r="N48" s="64"/>
      <c r="O48" s="64"/>
      <c r="P48" s="64"/>
      <c r="Q48" s="64"/>
    </row>
    <row r="49" spans="1:17">
      <c r="A49" s="253" t="s">
        <v>438</v>
      </c>
      <c r="B49" s="254"/>
      <c r="C49" s="254"/>
      <c r="D49" s="254"/>
      <c r="E49" s="254"/>
      <c r="F49" s="254"/>
      <c r="G49" s="254"/>
      <c r="H49" s="255"/>
      <c r="K49" s="238"/>
      <c r="L49" s="62"/>
      <c r="M49" s="62"/>
      <c r="N49" s="62"/>
      <c r="O49" s="62"/>
      <c r="P49" s="62"/>
      <c r="Q49" s="62"/>
    </row>
    <row r="50" spans="1:17">
      <c r="A50" s="256"/>
      <c r="B50" s="257"/>
      <c r="C50" s="257"/>
      <c r="D50" s="257"/>
      <c r="E50" s="257"/>
      <c r="F50" s="257"/>
      <c r="G50" s="257"/>
      <c r="H50" s="258"/>
    </row>
    <row r="51" spans="1:17">
      <c r="A51" s="256"/>
      <c r="B51" s="257"/>
      <c r="C51" s="257"/>
      <c r="D51" s="257"/>
      <c r="E51" s="257"/>
      <c r="F51" s="257"/>
      <c r="G51" s="257"/>
      <c r="H51" s="258"/>
      <c r="K51" s="61"/>
      <c r="L51" s="61"/>
      <c r="M51" s="55"/>
      <c r="N51" s="55"/>
      <c r="O51" s="55"/>
      <c r="P51" s="67"/>
      <c r="Q51" s="67"/>
    </row>
    <row r="52" spans="1:17">
      <c r="A52" s="259"/>
      <c r="B52" s="260"/>
      <c r="C52" s="260"/>
      <c r="D52" s="260"/>
      <c r="E52" s="260"/>
      <c r="F52" s="260"/>
      <c r="G52" s="260"/>
      <c r="H52" s="261"/>
      <c r="K52" s="238"/>
      <c r="L52" s="66"/>
      <c r="M52" s="64"/>
      <c r="N52" s="64"/>
      <c r="O52" s="64"/>
      <c r="P52" s="64"/>
      <c r="Q52" s="64"/>
    </row>
    <row r="53" spans="1:17">
      <c r="K53" s="238"/>
      <c r="L53" s="66"/>
      <c r="M53" s="64"/>
      <c r="N53" s="64"/>
      <c r="O53" s="64"/>
      <c r="P53" s="64"/>
      <c r="Q53" s="64"/>
    </row>
    <row r="54" spans="1:17">
      <c r="K54" s="238"/>
      <c r="L54" s="66"/>
      <c r="M54" s="64"/>
      <c r="N54" s="64"/>
      <c r="O54" s="64"/>
      <c r="P54" s="64"/>
      <c r="Q54" s="64"/>
    </row>
    <row r="55" spans="1:17">
      <c r="K55" s="238"/>
      <c r="L55" s="66"/>
      <c r="M55" s="64"/>
      <c r="N55" s="64"/>
      <c r="O55" s="64"/>
      <c r="P55" s="64"/>
      <c r="Q55" s="64"/>
    </row>
    <row r="56" spans="1:17">
      <c r="K56" s="238"/>
      <c r="L56" s="66"/>
      <c r="M56" s="64"/>
      <c r="N56" s="64"/>
      <c r="O56" s="64"/>
      <c r="P56" s="64"/>
      <c r="Q56" s="64"/>
    </row>
    <row r="57" spans="1:17">
      <c r="K57" s="238"/>
      <c r="L57" s="66"/>
      <c r="M57" s="64"/>
      <c r="N57" s="64"/>
      <c r="O57" s="64"/>
      <c r="P57" s="64"/>
      <c r="Q57" s="64"/>
    </row>
    <row r="58" spans="1:17">
      <c r="K58" s="238"/>
      <c r="L58" s="66"/>
      <c r="M58" s="64"/>
      <c r="N58" s="64"/>
      <c r="O58" s="64"/>
      <c r="P58" s="64"/>
      <c r="Q58" s="64"/>
    </row>
    <row r="59" spans="1:17">
      <c r="K59" s="238"/>
      <c r="L59" s="66"/>
      <c r="M59" s="64"/>
      <c r="N59" s="64"/>
      <c r="O59" s="64"/>
      <c r="P59" s="64"/>
      <c r="Q59" s="64"/>
    </row>
    <row r="60" spans="1:17">
      <c r="K60" s="238"/>
      <c r="L60" s="66"/>
      <c r="M60" s="64"/>
      <c r="N60" s="64"/>
      <c r="O60" s="64"/>
      <c r="P60" s="64"/>
      <c r="Q60" s="64"/>
    </row>
    <row r="61" spans="1:17">
      <c r="K61" s="238"/>
      <c r="L61" s="66"/>
      <c r="M61" s="64"/>
      <c r="N61" s="64"/>
      <c r="O61" s="64"/>
      <c r="P61" s="64"/>
      <c r="Q61" s="64"/>
    </row>
    <row r="62" spans="1:17">
      <c r="K62" s="238"/>
      <c r="L62" s="66"/>
      <c r="M62" s="64"/>
      <c r="N62" s="64"/>
      <c r="O62" s="64"/>
      <c r="P62" s="64"/>
      <c r="Q62" s="64"/>
    </row>
    <row r="63" spans="1:17">
      <c r="K63" s="238"/>
      <c r="L63" s="66"/>
      <c r="M63" s="64"/>
      <c r="N63" s="64"/>
      <c r="O63" s="64"/>
      <c r="P63" s="64"/>
      <c r="Q63" s="64"/>
    </row>
    <row r="64" spans="1:17">
      <c r="K64" s="238"/>
      <c r="L64" s="62"/>
      <c r="M64" s="62"/>
      <c r="N64" s="62"/>
      <c r="O64" s="62"/>
      <c r="P64" s="62"/>
      <c r="Q64" s="62"/>
    </row>
    <row r="66" spans="11:17">
      <c r="K66" s="61"/>
      <c r="L66" s="61"/>
      <c r="M66" s="55"/>
      <c r="N66" s="55"/>
      <c r="O66" s="55"/>
      <c r="P66" s="67"/>
      <c r="Q66" s="67"/>
    </row>
    <row r="67" spans="11:17">
      <c r="K67" s="238"/>
      <c r="L67" s="66"/>
      <c r="M67" s="64"/>
      <c r="N67" s="64"/>
      <c r="O67" s="64"/>
      <c r="P67" s="64"/>
      <c r="Q67" s="64"/>
    </row>
    <row r="68" spans="11:17">
      <c r="K68" s="238"/>
      <c r="L68" s="66"/>
      <c r="M68" s="64"/>
      <c r="N68" s="64"/>
      <c r="O68" s="64"/>
      <c r="P68" s="64"/>
      <c r="Q68" s="64"/>
    </row>
    <row r="69" spans="11:17">
      <c r="K69" s="238"/>
      <c r="L69" s="66"/>
      <c r="M69" s="64"/>
      <c r="N69" s="64"/>
      <c r="O69" s="64"/>
      <c r="P69" s="64"/>
      <c r="Q69" s="64"/>
    </row>
    <row r="70" spans="11:17">
      <c r="K70" s="238"/>
      <c r="L70" s="66"/>
      <c r="M70" s="64"/>
      <c r="N70" s="64"/>
      <c r="O70" s="64"/>
      <c r="P70" s="64"/>
      <c r="Q70" s="64"/>
    </row>
    <row r="71" spans="11:17">
      <c r="K71" s="238"/>
      <c r="L71" s="66"/>
      <c r="M71" s="64"/>
      <c r="N71" s="64"/>
      <c r="O71" s="64"/>
      <c r="P71" s="64"/>
      <c r="Q71" s="64"/>
    </row>
    <row r="72" spans="11:17">
      <c r="K72" s="238"/>
      <c r="L72" s="66"/>
      <c r="M72" s="64"/>
      <c r="N72" s="64"/>
      <c r="O72" s="64"/>
      <c r="P72" s="64"/>
      <c r="Q72" s="64"/>
    </row>
    <row r="73" spans="11:17">
      <c r="K73" s="238"/>
      <c r="L73" s="66"/>
      <c r="M73" s="64"/>
      <c r="N73" s="64"/>
      <c r="O73" s="64"/>
      <c r="P73" s="64"/>
      <c r="Q73" s="64"/>
    </row>
    <row r="74" spans="11:17">
      <c r="K74" s="238"/>
      <c r="L74" s="66"/>
      <c r="M74" s="64"/>
      <c r="N74" s="64"/>
      <c r="O74" s="64"/>
      <c r="P74" s="64"/>
      <c r="Q74" s="64"/>
    </row>
    <row r="75" spans="11:17">
      <c r="K75" s="238"/>
      <c r="L75" s="66"/>
      <c r="M75" s="64"/>
      <c r="N75" s="64"/>
      <c r="O75" s="64"/>
      <c r="P75" s="64"/>
      <c r="Q75" s="64"/>
    </row>
    <row r="76" spans="11:17">
      <c r="K76" s="238"/>
      <c r="L76" s="66"/>
      <c r="M76" s="64"/>
      <c r="N76" s="64"/>
      <c r="O76" s="64"/>
      <c r="P76" s="64"/>
      <c r="Q76" s="64"/>
    </row>
    <row r="77" spans="11:17">
      <c r="K77" s="238"/>
      <c r="L77" s="66"/>
      <c r="M77" s="64"/>
      <c r="N77" s="64"/>
      <c r="O77" s="64"/>
      <c r="P77" s="64"/>
      <c r="Q77" s="64"/>
    </row>
    <row r="78" spans="11:17">
      <c r="K78" s="238"/>
      <c r="L78" s="66"/>
      <c r="M78" s="64"/>
      <c r="N78" s="64"/>
      <c r="O78" s="64"/>
      <c r="P78" s="64"/>
      <c r="Q78" s="64"/>
    </row>
    <row r="79" spans="11:17">
      <c r="K79" s="238"/>
      <c r="L79" s="62"/>
      <c r="M79" s="62"/>
      <c r="N79" s="62"/>
      <c r="O79" s="62"/>
      <c r="P79" s="62"/>
      <c r="Q79" s="62"/>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view="pageBreakPreview" zoomScale="60" zoomScaleNormal="100" workbookViewId="0">
      <selection activeCell="U21" sqref="U2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Stoke Energy from Waste Facility</v>
      </c>
    </row>
    <row r="3" spans="1:19" ht="14.45">
      <c r="A3" s="60" t="s">
        <v>439</v>
      </c>
      <c r="D3" s="76" t="s">
        <v>382</v>
      </c>
      <c r="G3" s="80" t="s">
        <v>383</v>
      </c>
      <c r="J3" s="9" t="str">
        <f>+A3</f>
        <v xml:space="preserve">Monitoring of Ammnonia emissions </v>
      </c>
      <c r="L3" s="9"/>
      <c r="N3" s="9" t="s">
        <v>384</v>
      </c>
      <c r="Q3" s="79" t="s">
        <v>3</v>
      </c>
      <c r="R3" s="74"/>
      <c r="S3" s="74"/>
    </row>
    <row r="4" spans="1:19" ht="13.9" customHeight="1">
      <c r="Q4" s="215" t="s">
        <v>385</v>
      </c>
      <c r="R4" s="215"/>
      <c r="S4" s="215"/>
    </row>
    <row r="5" spans="1:19" ht="16.149999999999999">
      <c r="A5" s="68" t="s">
        <v>386</v>
      </c>
      <c r="B5" s="240" t="s">
        <v>387</v>
      </c>
      <c r="C5" s="240"/>
      <c r="D5" s="240"/>
      <c r="E5" s="240" t="s">
        <v>388</v>
      </c>
      <c r="F5" s="240"/>
      <c r="G5" s="240"/>
      <c r="J5" s="239"/>
      <c r="K5" s="239"/>
      <c r="L5" s="239"/>
      <c r="M5" s="239"/>
      <c r="N5" s="239"/>
      <c r="O5" s="239"/>
      <c r="Q5" s="215"/>
      <c r="R5" s="215"/>
      <c r="S5" s="215"/>
    </row>
    <row r="6" spans="1:19" s="58" customFormat="1" ht="37.5" customHeight="1">
      <c r="A6" s="65">
        <f>+'Cover Page'!C39</f>
        <v>2022</v>
      </c>
      <c r="B6" s="55" t="s">
        <v>440</v>
      </c>
      <c r="C6" s="55" t="s">
        <v>390</v>
      </c>
      <c r="D6" s="55" t="s">
        <v>391</v>
      </c>
      <c r="E6" s="55" t="s">
        <v>441</v>
      </c>
      <c r="F6" s="55" t="s">
        <v>393</v>
      </c>
      <c r="G6" s="55" t="s">
        <v>394</v>
      </c>
      <c r="H6" s="59"/>
      <c r="J6" s="61">
        <f>+A6</f>
        <v>2022</v>
      </c>
      <c r="K6" s="61" t="s">
        <v>395</v>
      </c>
      <c r="L6" s="67" t="s">
        <v>390</v>
      </c>
      <c r="M6" s="67" t="s">
        <v>396</v>
      </c>
      <c r="N6" s="67" t="s">
        <v>393</v>
      </c>
      <c r="O6" s="67" t="s">
        <v>397</v>
      </c>
      <c r="Q6" s="215"/>
      <c r="R6" s="215"/>
      <c r="S6" s="215"/>
    </row>
    <row r="7" spans="1:19">
      <c r="A7" s="66" t="s">
        <v>398</v>
      </c>
      <c r="B7" s="69">
        <v>0</v>
      </c>
      <c r="C7" s="103">
        <f>AVERAGE(L7,L22)</f>
        <v>6</v>
      </c>
      <c r="D7" s="103">
        <f>MAX(M7,M22)</f>
        <v>82</v>
      </c>
      <c r="E7" s="104">
        <v>10</v>
      </c>
      <c r="F7" s="103">
        <f>AVERAGE(N7,N22)</f>
        <v>5.9564516129032263</v>
      </c>
      <c r="G7" s="103">
        <f>MAX(O7,O22)</f>
        <v>15</v>
      </c>
      <c r="J7" s="238" t="s">
        <v>189</v>
      </c>
      <c r="K7" s="66" t="s">
        <v>398</v>
      </c>
      <c r="L7" s="64">
        <v>8</v>
      </c>
      <c r="M7" s="64">
        <v>82</v>
      </c>
      <c r="N7" s="101">
        <v>8.3000000000000007</v>
      </c>
      <c r="O7" s="64">
        <v>15</v>
      </c>
      <c r="Q7" s="215"/>
      <c r="R7" s="215"/>
      <c r="S7" s="215"/>
    </row>
    <row r="8" spans="1:19">
      <c r="A8" s="66" t="s">
        <v>399</v>
      </c>
      <c r="B8" s="63">
        <f>+B7</f>
        <v>0</v>
      </c>
      <c r="C8" s="103">
        <f t="shared" ref="C8:C18" si="0">AVERAGE(L8,L23)</f>
        <v>3.5</v>
      </c>
      <c r="D8" s="103">
        <f t="shared" ref="D8:D18" si="1">MAX(M8,M23)</f>
        <v>21</v>
      </c>
      <c r="E8" s="105">
        <f>+E7</f>
        <v>10</v>
      </c>
      <c r="F8" s="103">
        <f t="shared" ref="F8:F18" si="2">AVERAGE(N8,N23)</f>
        <v>3.556878306878307</v>
      </c>
      <c r="G8" s="103">
        <f t="shared" ref="G8:G18" si="3">MAX(O8,O23)</f>
        <v>11</v>
      </c>
      <c r="J8" s="238"/>
      <c r="K8" s="66" t="s">
        <v>399</v>
      </c>
      <c r="L8" s="64">
        <v>5</v>
      </c>
      <c r="M8" s="64">
        <v>21</v>
      </c>
      <c r="N8" s="101">
        <v>4.9285714285714288</v>
      </c>
      <c r="O8" s="64">
        <v>11</v>
      </c>
      <c r="Q8" s="215"/>
      <c r="R8" s="215"/>
      <c r="S8" s="215"/>
    </row>
    <row r="9" spans="1:19">
      <c r="A9" s="66" t="s">
        <v>400</v>
      </c>
      <c r="B9" s="63">
        <f t="shared" ref="B9:B18" si="4">+B8</f>
        <v>0</v>
      </c>
      <c r="C9" s="103">
        <f t="shared" si="0"/>
        <v>3</v>
      </c>
      <c r="D9" s="103">
        <f t="shared" si="1"/>
        <v>40</v>
      </c>
      <c r="E9" s="105">
        <f t="shared" ref="E9:E18" si="5">+E8</f>
        <v>10</v>
      </c>
      <c r="F9" s="103">
        <f t="shared" si="2"/>
        <v>2.9844086021505376</v>
      </c>
      <c r="G9" s="103">
        <f t="shared" si="3"/>
        <v>21</v>
      </c>
      <c r="J9" s="238"/>
      <c r="K9" s="66" t="s">
        <v>400</v>
      </c>
      <c r="L9" s="64">
        <v>4</v>
      </c>
      <c r="M9" s="64">
        <v>40</v>
      </c>
      <c r="N9" s="101">
        <v>4.0333333333333332</v>
      </c>
      <c r="O9" s="64">
        <v>21</v>
      </c>
      <c r="Q9" s="78" t="s">
        <v>401</v>
      </c>
    </row>
    <row r="10" spans="1:19" ht="14.25" customHeight="1">
      <c r="A10" s="66" t="s">
        <v>402</v>
      </c>
      <c r="B10" s="63">
        <f t="shared" si="4"/>
        <v>0</v>
      </c>
      <c r="C10" s="103">
        <f t="shared" si="0"/>
        <v>2</v>
      </c>
      <c r="D10" s="103">
        <f t="shared" si="1"/>
        <v>21</v>
      </c>
      <c r="E10" s="105">
        <f t="shared" si="5"/>
        <v>10</v>
      </c>
      <c r="F10" s="103">
        <f t="shared" si="2"/>
        <v>1.9839080459770115</v>
      </c>
      <c r="G10" s="103">
        <f t="shared" si="3"/>
        <v>3</v>
      </c>
      <c r="J10" s="238"/>
      <c r="K10" s="66" t="s">
        <v>402</v>
      </c>
      <c r="L10" s="64">
        <v>2</v>
      </c>
      <c r="M10" s="64">
        <v>21</v>
      </c>
      <c r="N10" s="101">
        <v>1.9333333333333333</v>
      </c>
      <c r="O10" s="64">
        <v>3</v>
      </c>
      <c r="Q10" s="237" t="s">
        <v>403</v>
      </c>
      <c r="R10" s="237"/>
      <c r="S10" s="237"/>
    </row>
    <row r="11" spans="1:19">
      <c r="A11" s="66" t="s">
        <v>404</v>
      </c>
      <c r="B11" s="63">
        <f t="shared" si="4"/>
        <v>0</v>
      </c>
      <c r="C11" s="103">
        <f t="shared" si="0"/>
        <v>3.5</v>
      </c>
      <c r="D11" s="103">
        <f t="shared" si="1"/>
        <v>54</v>
      </c>
      <c r="E11" s="105">
        <f t="shared" si="5"/>
        <v>10</v>
      </c>
      <c r="F11" s="103">
        <f t="shared" si="2"/>
        <v>3.370967741935484</v>
      </c>
      <c r="G11" s="103">
        <f t="shared" si="3"/>
        <v>7</v>
      </c>
      <c r="J11" s="238"/>
      <c r="K11" s="66" t="s">
        <v>404</v>
      </c>
      <c r="L11" s="64">
        <v>4</v>
      </c>
      <c r="M11" s="64">
        <v>54</v>
      </c>
      <c r="N11" s="101">
        <v>3.838709677419355</v>
      </c>
      <c r="O11" s="64">
        <v>7</v>
      </c>
      <c r="Q11" s="237"/>
      <c r="R11" s="237"/>
      <c r="S11" s="237"/>
    </row>
    <row r="12" spans="1:19">
      <c r="A12" s="66" t="s">
        <v>405</v>
      </c>
      <c r="B12" s="63">
        <f t="shared" si="4"/>
        <v>0</v>
      </c>
      <c r="C12" s="103">
        <f t="shared" si="0"/>
        <v>2.5</v>
      </c>
      <c r="D12" s="103">
        <f t="shared" si="1"/>
        <v>88</v>
      </c>
      <c r="E12" s="105">
        <f t="shared" si="5"/>
        <v>10</v>
      </c>
      <c r="F12" s="103">
        <f t="shared" si="2"/>
        <v>2.2236842105263159</v>
      </c>
      <c r="G12" s="103">
        <f t="shared" si="3"/>
        <v>5</v>
      </c>
      <c r="J12" s="238"/>
      <c r="K12" s="66" t="s">
        <v>405</v>
      </c>
      <c r="L12" s="64">
        <v>3</v>
      </c>
      <c r="M12" s="64">
        <v>88</v>
      </c>
      <c r="N12" s="101">
        <v>2.9473684210526314</v>
      </c>
      <c r="O12" s="64">
        <v>5</v>
      </c>
      <c r="Q12" s="237"/>
      <c r="R12" s="237"/>
      <c r="S12" s="237"/>
    </row>
    <row r="13" spans="1:19" ht="14.25" customHeight="1">
      <c r="A13" s="66" t="s">
        <v>406</v>
      </c>
      <c r="B13" s="63">
        <f t="shared" si="4"/>
        <v>0</v>
      </c>
      <c r="C13" s="103">
        <f t="shared" si="0"/>
        <v>5.5</v>
      </c>
      <c r="D13" s="103">
        <f t="shared" si="1"/>
        <v>25</v>
      </c>
      <c r="E13" s="105">
        <f t="shared" si="5"/>
        <v>10</v>
      </c>
      <c r="F13" s="103">
        <f t="shared" si="2"/>
        <v>5.1055555555555552</v>
      </c>
      <c r="G13" s="103">
        <f t="shared" si="3"/>
        <v>17</v>
      </c>
      <c r="J13" s="238"/>
      <c r="K13" s="66" t="s">
        <v>406</v>
      </c>
      <c r="L13" s="64">
        <v>4</v>
      </c>
      <c r="M13" s="64">
        <v>18</v>
      </c>
      <c r="N13" s="101">
        <v>3.6111111111111112</v>
      </c>
      <c r="O13" s="64">
        <v>7</v>
      </c>
      <c r="Q13" s="237" t="s">
        <v>407</v>
      </c>
      <c r="R13" s="237"/>
      <c r="S13" s="237"/>
    </row>
    <row r="14" spans="1:19">
      <c r="A14" s="66" t="s">
        <v>408</v>
      </c>
      <c r="B14" s="63">
        <f t="shared" si="4"/>
        <v>0</v>
      </c>
      <c r="C14" s="103">
        <f t="shared" si="0"/>
        <v>4</v>
      </c>
      <c r="D14" s="103">
        <f t="shared" si="1"/>
        <v>24</v>
      </c>
      <c r="E14" s="105">
        <f t="shared" si="5"/>
        <v>10</v>
      </c>
      <c r="F14" s="103">
        <f t="shared" si="2"/>
        <v>3.7903225806451615</v>
      </c>
      <c r="G14" s="103">
        <f t="shared" si="3"/>
        <v>8</v>
      </c>
      <c r="J14" s="238"/>
      <c r="K14" s="66" t="s">
        <v>408</v>
      </c>
      <c r="L14" s="64">
        <v>3</v>
      </c>
      <c r="M14" s="64">
        <v>15</v>
      </c>
      <c r="N14" s="101">
        <v>2.903225806451613</v>
      </c>
      <c r="O14" s="64">
        <v>7</v>
      </c>
      <c r="Q14" s="237"/>
      <c r="R14" s="237"/>
      <c r="S14" s="237"/>
    </row>
    <row r="15" spans="1:19">
      <c r="A15" s="66" t="s">
        <v>409</v>
      </c>
      <c r="B15" s="63">
        <f t="shared" si="4"/>
        <v>0</v>
      </c>
      <c r="C15" s="103">
        <f t="shared" si="0"/>
        <v>3.5</v>
      </c>
      <c r="D15" s="103">
        <f t="shared" si="1"/>
        <v>53</v>
      </c>
      <c r="E15" s="105">
        <f t="shared" si="5"/>
        <v>10</v>
      </c>
      <c r="F15" s="103">
        <f t="shared" si="2"/>
        <v>3.518390804597701</v>
      </c>
      <c r="G15" s="103">
        <f t="shared" si="3"/>
        <v>7</v>
      </c>
      <c r="J15" s="238"/>
      <c r="K15" s="66" t="s">
        <v>409</v>
      </c>
      <c r="L15" s="64">
        <v>3</v>
      </c>
      <c r="M15" s="64">
        <v>25</v>
      </c>
      <c r="N15" s="101">
        <v>3.103448275862069</v>
      </c>
      <c r="O15" s="64">
        <v>6</v>
      </c>
      <c r="Q15" s="237"/>
      <c r="R15" s="237"/>
      <c r="S15" s="237"/>
    </row>
    <row r="16" spans="1:19">
      <c r="A16" s="66" t="s">
        <v>410</v>
      </c>
      <c r="B16" s="63">
        <f t="shared" si="4"/>
        <v>0</v>
      </c>
      <c r="C16" s="103">
        <f t="shared" si="0"/>
        <v>5</v>
      </c>
      <c r="D16" s="103">
        <f t="shared" si="1"/>
        <v>118</v>
      </c>
      <c r="E16" s="105">
        <f t="shared" si="5"/>
        <v>10</v>
      </c>
      <c r="F16" s="103">
        <f t="shared" si="2"/>
        <v>4.6709677419354838</v>
      </c>
      <c r="G16" s="103">
        <f t="shared" si="3"/>
        <v>12</v>
      </c>
      <c r="J16" s="238"/>
      <c r="K16" s="66" t="s">
        <v>410</v>
      </c>
      <c r="L16" s="64">
        <v>4</v>
      </c>
      <c r="M16" s="64">
        <v>14</v>
      </c>
      <c r="N16" s="101">
        <v>3.7419354838709675</v>
      </c>
      <c r="O16" s="64">
        <v>5</v>
      </c>
      <c r="Q16" s="237"/>
      <c r="R16" s="237"/>
      <c r="S16" s="237"/>
    </row>
    <row r="17" spans="1:15">
      <c r="A17" s="66" t="s">
        <v>411</v>
      </c>
      <c r="B17" s="63">
        <f t="shared" si="4"/>
        <v>0</v>
      </c>
      <c r="C17" s="103">
        <f t="shared" si="0"/>
        <v>5</v>
      </c>
      <c r="D17" s="103">
        <f t="shared" si="1"/>
        <v>120</v>
      </c>
      <c r="E17" s="105">
        <f t="shared" si="5"/>
        <v>10</v>
      </c>
      <c r="F17" s="103">
        <f t="shared" si="2"/>
        <v>4.8333333333333339</v>
      </c>
      <c r="G17" s="103">
        <f t="shared" si="3"/>
        <v>14</v>
      </c>
      <c r="J17" s="238"/>
      <c r="K17" s="66" t="s">
        <v>411</v>
      </c>
      <c r="L17" s="64">
        <v>4</v>
      </c>
      <c r="M17" s="64">
        <v>30</v>
      </c>
      <c r="N17" s="101">
        <v>4.1333333333333337</v>
      </c>
      <c r="O17" s="64">
        <v>5</v>
      </c>
    </row>
    <row r="18" spans="1:15">
      <c r="A18" s="66" t="s">
        <v>412</v>
      </c>
      <c r="B18" s="63">
        <f t="shared" si="4"/>
        <v>0</v>
      </c>
      <c r="C18" s="103">
        <f t="shared" si="0"/>
        <v>4.5</v>
      </c>
      <c r="D18" s="103">
        <f t="shared" si="1"/>
        <v>135</v>
      </c>
      <c r="E18" s="105">
        <f t="shared" si="5"/>
        <v>10</v>
      </c>
      <c r="F18" s="103">
        <f t="shared" si="2"/>
        <v>4.4850657108721625</v>
      </c>
      <c r="G18" s="103">
        <f t="shared" si="3"/>
        <v>14</v>
      </c>
      <c r="J18" s="238"/>
      <c r="K18" s="66" t="s">
        <v>412</v>
      </c>
      <c r="L18" s="64">
        <v>4</v>
      </c>
      <c r="M18" s="64">
        <v>13</v>
      </c>
      <c r="N18" s="101">
        <v>3.4516129032258065</v>
      </c>
      <c r="O18" s="64">
        <v>5</v>
      </c>
    </row>
    <row r="19" spans="1:15">
      <c r="J19" s="238"/>
      <c r="K19" s="62" t="s">
        <v>413</v>
      </c>
      <c r="L19" s="62">
        <f>AVERAGE(L7:L18)</f>
        <v>4</v>
      </c>
      <c r="M19" s="62">
        <f>MAX(M7:M18)</f>
        <v>88</v>
      </c>
      <c r="N19" s="102">
        <f>AVERAGE(N7:N18)</f>
        <v>3.9104985922970825</v>
      </c>
      <c r="O19" s="62">
        <f>MAX(O7:O18)</f>
        <v>21</v>
      </c>
    </row>
    <row r="21" spans="1:15" ht="41.45">
      <c r="J21" s="61">
        <f>+A6</f>
        <v>2022</v>
      </c>
      <c r="K21" s="61" t="s">
        <v>395</v>
      </c>
      <c r="L21" s="67" t="s">
        <v>390</v>
      </c>
      <c r="M21" s="67" t="s">
        <v>396</v>
      </c>
      <c r="N21" s="67" t="s">
        <v>393</v>
      </c>
      <c r="O21" s="67" t="s">
        <v>397</v>
      </c>
    </row>
    <row r="22" spans="1:15">
      <c r="J22" s="238" t="s">
        <v>190</v>
      </c>
      <c r="K22" s="66" t="s">
        <v>398</v>
      </c>
      <c r="L22" s="64">
        <v>4</v>
      </c>
      <c r="M22" s="64">
        <v>13</v>
      </c>
      <c r="N22" s="101">
        <v>3.6129032258064515</v>
      </c>
      <c r="O22" s="64">
        <v>7</v>
      </c>
    </row>
    <row r="23" spans="1:15">
      <c r="J23" s="238"/>
      <c r="K23" s="66" t="s">
        <v>399</v>
      </c>
      <c r="L23" s="64">
        <v>2</v>
      </c>
      <c r="M23" s="64">
        <v>11</v>
      </c>
      <c r="N23" s="101">
        <v>2.1851851851851851</v>
      </c>
      <c r="O23" s="64">
        <v>3</v>
      </c>
    </row>
    <row r="24" spans="1:15">
      <c r="J24" s="238"/>
      <c r="K24" s="66" t="s">
        <v>400</v>
      </c>
      <c r="L24" s="64">
        <v>2</v>
      </c>
      <c r="M24" s="64">
        <v>10</v>
      </c>
      <c r="N24" s="101">
        <v>1.935483870967742</v>
      </c>
      <c r="O24" s="64">
        <v>4</v>
      </c>
    </row>
    <row r="25" spans="1:15">
      <c r="J25" s="238"/>
      <c r="K25" s="66" t="s">
        <v>402</v>
      </c>
      <c r="L25" s="64">
        <v>2</v>
      </c>
      <c r="M25" s="64">
        <v>13</v>
      </c>
      <c r="N25" s="101">
        <v>2.0344827586206895</v>
      </c>
      <c r="O25" s="64">
        <v>3</v>
      </c>
    </row>
    <row r="26" spans="1:15">
      <c r="J26" s="238"/>
      <c r="K26" s="66" t="s">
        <v>404</v>
      </c>
      <c r="L26" s="64">
        <v>3</v>
      </c>
      <c r="M26" s="64">
        <v>16</v>
      </c>
      <c r="N26" s="101">
        <v>2.903225806451613</v>
      </c>
      <c r="O26" s="64">
        <v>5</v>
      </c>
    </row>
    <row r="27" spans="1:15">
      <c r="J27" s="238"/>
      <c r="K27" s="66" t="s">
        <v>405</v>
      </c>
      <c r="L27" s="64">
        <v>2</v>
      </c>
      <c r="M27" s="64">
        <v>21</v>
      </c>
      <c r="N27" s="101">
        <v>1.5</v>
      </c>
      <c r="O27" s="64">
        <v>3</v>
      </c>
    </row>
    <row r="28" spans="1:15">
      <c r="J28" s="238"/>
      <c r="K28" s="66" t="s">
        <v>406</v>
      </c>
      <c r="L28" s="64">
        <v>7</v>
      </c>
      <c r="M28" s="64">
        <v>25</v>
      </c>
      <c r="N28" s="101">
        <v>6.6</v>
      </c>
      <c r="O28" s="64">
        <v>17</v>
      </c>
    </row>
    <row r="29" spans="1:15">
      <c r="J29" s="238"/>
      <c r="K29" s="66" t="s">
        <v>408</v>
      </c>
      <c r="L29" s="64">
        <v>5</v>
      </c>
      <c r="M29" s="64">
        <v>24</v>
      </c>
      <c r="N29" s="101">
        <v>4.67741935483871</v>
      </c>
      <c r="O29" s="64">
        <v>8</v>
      </c>
    </row>
    <row r="30" spans="1:15">
      <c r="J30" s="238"/>
      <c r="K30" s="66" t="s">
        <v>409</v>
      </c>
      <c r="L30" s="64">
        <v>4</v>
      </c>
      <c r="M30" s="64">
        <v>53</v>
      </c>
      <c r="N30" s="101">
        <v>3.9333333333333331</v>
      </c>
      <c r="O30" s="64">
        <v>7</v>
      </c>
    </row>
    <row r="31" spans="1:15">
      <c r="J31" s="238"/>
      <c r="K31" s="66" t="s">
        <v>410</v>
      </c>
      <c r="L31" s="64">
        <v>6</v>
      </c>
      <c r="M31" s="64">
        <v>118</v>
      </c>
      <c r="N31" s="101">
        <v>5.6</v>
      </c>
      <c r="O31" s="64">
        <v>12</v>
      </c>
    </row>
    <row r="32" spans="1:15">
      <c r="J32" s="238"/>
      <c r="K32" s="66" t="s">
        <v>411</v>
      </c>
      <c r="L32" s="64">
        <v>6</v>
      </c>
      <c r="M32" s="64">
        <v>120</v>
      </c>
      <c r="N32" s="101">
        <v>5.5333333333333332</v>
      </c>
      <c r="O32" s="64">
        <v>14</v>
      </c>
    </row>
    <row r="33" spans="1:15">
      <c r="J33" s="238"/>
      <c r="K33" s="66" t="s">
        <v>412</v>
      </c>
      <c r="L33" s="64">
        <v>5</v>
      </c>
      <c r="M33" s="64">
        <v>135</v>
      </c>
      <c r="N33" s="101">
        <v>5.5185185185185182</v>
      </c>
      <c r="O33" s="64">
        <v>14</v>
      </c>
    </row>
    <row r="34" spans="1:15">
      <c r="J34" s="238"/>
      <c r="K34" s="62" t="s">
        <v>413</v>
      </c>
      <c r="L34" s="62">
        <f>AVERAGE(L22:L33)</f>
        <v>4</v>
      </c>
      <c r="M34" s="62">
        <f>MAX(M22:M33)</f>
        <v>135</v>
      </c>
      <c r="N34" s="102">
        <f>AVERAGE(N22:N33)</f>
        <v>3.8361571155879646</v>
      </c>
      <c r="O34" s="62">
        <f>MAX(O22:O33)</f>
        <v>17</v>
      </c>
    </row>
    <row r="36" spans="1:15">
      <c r="J36" s="61"/>
      <c r="K36" s="61"/>
      <c r="L36" s="67"/>
      <c r="M36" s="67"/>
      <c r="N36" s="67"/>
      <c r="O36" s="67"/>
    </row>
    <row r="37" spans="1:15">
      <c r="J37" s="238"/>
      <c r="K37" s="66"/>
      <c r="L37" s="64"/>
      <c r="M37" s="64"/>
      <c r="N37" s="64"/>
      <c r="O37" s="64"/>
    </row>
    <row r="38" spans="1:15">
      <c r="J38" s="238"/>
      <c r="K38" s="66"/>
      <c r="L38" s="64"/>
      <c r="M38" s="64"/>
      <c r="N38" s="64"/>
      <c r="O38" s="64"/>
    </row>
    <row r="39" spans="1:15">
      <c r="J39" s="238"/>
      <c r="K39" s="66"/>
      <c r="L39" s="64"/>
      <c r="M39" s="64"/>
      <c r="N39" s="64"/>
      <c r="O39" s="64"/>
    </row>
    <row r="40" spans="1:15">
      <c r="J40" s="238"/>
      <c r="K40" s="66"/>
      <c r="L40" s="64"/>
      <c r="M40" s="64"/>
      <c r="N40" s="64"/>
      <c r="O40" s="64"/>
    </row>
    <row r="41" spans="1:15">
      <c r="E41" s="3"/>
      <c r="F41" s="3"/>
      <c r="G41" s="58"/>
      <c r="H41" s="95"/>
      <c r="I41" s="35"/>
      <c r="J41" s="238"/>
      <c r="K41" s="66"/>
      <c r="L41" s="64"/>
      <c r="M41" s="64"/>
      <c r="N41" s="64"/>
      <c r="O41" s="64"/>
    </row>
    <row r="42" spans="1:15">
      <c r="J42" s="238"/>
      <c r="K42" s="66"/>
      <c r="L42" s="64"/>
      <c r="M42" s="64"/>
      <c r="N42" s="64"/>
      <c r="O42" s="64"/>
    </row>
    <row r="43" spans="1:15">
      <c r="C43" s="35" t="s">
        <v>12</v>
      </c>
      <c r="J43" s="238"/>
      <c r="K43" s="66"/>
      <c r="L43" s="64"/>
      <c r="M43" s="64"/>
      <c r="N43" s="64"/>
      <c r="O43" s="64"/>
    </row>
    <row r="44" spans="1:15">
      <c r="J44" s="238"/>
      <c r="K44" s="66"/>
      <c r="L44" s="64"/>
      <c r="M44" s="64"/>
      <c r="N44" s="64"/>
      <c r="O44" s="64"/>
    </row>
    <row r="45" spans="1:15">
      <c r="C45" s="35" t="s">
        <v>14</v>
      </c>
      <c r="J45" s="238"/>
      <c r="K45" s="66"/>
      <c r="L45" s="64"/>
      <c r="M45" s="64"/>
      <c r="N45" s="64"/>
      <c r="O45" s="64"/>
    </row>
    <row r="46" spans="1:15">
      <c r="J46" s="238"/>
      <c r="K46" s="66"/>
      <c r="L46" s="64"/>
      <c r="M46" s="64"/>
      <c r="N46" s="64"/>
      <c r="O46" s="64"/>
    </row>
    <row r="47" spans="1:15">
      <c r="J47" s="238"/>
      <c r="K47" s="66"/>
      <c r="L47" s="64"/>
      <c r="M47" s="64"/>
      <c r="N47" s="64"/>
      <c r="O47" s="64"/>
    </row>
    <row r="48" spans="1:15">
      <c r="A48" s="250" t="s">
        <v>309</v>
      </c>
      <c r="B48" s="251"/>
      <c r="C48" s="251"/>
      <c r="D48" s="251"/>
      <c r="E48" s="251"/>
      <c r="F48" s="251"/>
      <c r="G48" s="252"/>
      <c r="J48" s="238"/>
      <c r="K48" s="66"/>
      <c r="L48" s="64"/>
      <c r="M48" s="64"/>
      <c r="N48" s="64"/>
      <c r="O48" s="64"/>
    </row>
    <row r="49" spans="1:15">
      <c r="A49" s="241" t="s">
        <v>442</v>
      </c>
      <c r="B49" s="242"/>
      <c r="C49" s="242"/>
      <c r="D49" s="242"/>
      <c r="E49" s="242"/>
      <c r="F49" s="242"/>
      <c r="G49" s="243"/>
      <c r="J49" s="238"/>
      <c r="K49" s="62"/>
      <c r="L49" s="62"/>
      <c r="M49" s="62"/>
      <c r="N49" s="62"/>
      <c r="O49" s="62"/>
    </row>
    <row r="50" spans="1:15">
      <c r="A50" s="244"/>
      <c r="B50" s="245"/>
      <c r="C50" s="245"/>
      <c r="D50" s="245"/>
      <c r="E50" s="245"/>
      <c r="F50" s="245"/>
      <c r="G50" s="246"/>
    </row>
    <row r="51" spans="1:15">
      <c r="A51" s="244"/>
      <c r="B51" s="245"/>
      <c r="C51" s="245"/>
      <c r="D51" s="245"/>
      <c r="E51" s="245"/>
      <c r="F51" s="245"/>
      <c r="G51" s="246"/>
      <c r="J51" s="61"/>
      <c r="K51" s="61"/>
      <c r="L51" s="67"/>
      <c r="M51" s="67"/>
      <c r="N51" s="67"/>
      <c r="O51" s="67"/>
    </row>
    <row r="52" spans="1:15">
      <c r="A52" s="247"/>
      <c r="B52" s="248"/>
      <c r="C52" s="248"/>
      <c r="D52" s="248"/>
      <c r="E52" s="248"/>
      <c r="F52" s="248"/>
      <c r="G52" s="249"/>
      <c r="J52" s="238"/>
      <c r="K52" s="66"/>
      <c r="L52" s="64"/>
      <c r="M52" s="64"/>
      <c r="N52" s="64"/>
      <c r="O52" s="64"/>
    </row>
    <row r="53" spans="1:15">
      <c r="J53" s="238"/>
      <c r="K53" s="66"/>
      <c r="L53" s="64"/>
      <c r="M53" s="64"/>
      <c r="N53" s="64"/>
      <c r="O53" s="64"/>
    </row>
    <row r="54" spans="1:15">
      <c r="J54" s="238"/>
      <c r="K54" s="66"/>
      <c r="L54" s="64"/>
      <c r="M54" s="64"/>
      <c r="N54" s="64"/>
      <c r="O54" s="64"/>
    </row>
    <row r="55" spans="1:15">
      <c r="J55" s="238"/>
      <c r="K55" s="66"/>
      <c r="L55" s="64"/>
      <c r="M55" s="64"/>
      <c r="N55" s="64"/>
      <c r="O55" s="64"/>
    </row>
    <row r="56" spans="1:15">
      <c r="J56" s="238"/>
      <c r="K56" s="66"/>
      <c r="L56" s="64"/>
      <c r="M56" s="64"/>
      <c r="N56" s="64"/>
      <c r="O56" s="64"/>
    </row>
    <row r="57" spans="1:15">
      <c r="J57" s="238"/>
      <c r="K57" s="66"/>
      <c r="L57" s="64"/>
      <c r="M57" s="64"/>
      <c r="N57" s="64"/>
      <c r="O57" s="64"/>
    </row>
    <row r="58" spans="1:15">
      <c r="J58" s="238"/>
      <c r="K58" s="66"/>
      <c r="L58" s="64"/>
      <c r="M58" s="64"/>
      <c r="N58" s="64"/>
      <c r="O58" s="64"/>
    </row>
    <row r="59" spans="1:15">
      <c r="J59" s="238"/>
      <c r="K59" s="66"/>
      <c r="L59" s="64"/>
      <c r="M59" s="64"/>
      <c r="N59" s="64"/>
      <c r="O59" s="64"/>
    </row>
    <row r="60" spans="1:15">
      <c r="J60" s="238"/>
      <c r="K60" s="66"/>
      <c r="L60" s="64"/>
      <c r="M60" s="64"/>
      <c r="N60" s="64"/>
      <c r="O60" s="64"/>
    </row>
    <row r="61" spans="1:15">
      <c r="J61" s="238"/>
      <c r="K61" s="66"/>
      <c r="L61" s="64"/>
      <c r="M61" s="64"/>
      <c r="N61" s="64"/>
      <c r="O61" s="64"/>
    </row>
    <row r="62" spans="1:15">
      <c r="J62" s="238"/>
      <c r="K62" s="66"/>
      <c r="L62" s="64"/>
      <c r="M62" s="64"/>
      <c r="N62" s="64"/>
      <c r="O62" s="64"/>
    </row>
    <row r="63" spans="1:15">
      <c r="J63" s="238"/>
      <c r="K63" s="66"/>
      <c r="L63" s="64"/>
      <c r="M63" s="64"/>
      <c r="N63" s="64"/>
      <c r="O63" s="64"/>
    </row>
    <row r="64" spans="1:15">
      <c r="J64" s="238"/>
      <c r="K64" s="62"/>
      <c r="L64" s="62"/>
      <c r="M64" s="62"/>
      <c r="N64" s="62"/>
      <c r="O64" s="62"/>
    </row>
    <row r="66" spans="10:15">
      <c r="J66" s="61"/>
      <c r="K66" s="61"/>
      <c r="L66" s="67"/>
      <c r="M66" s="67"/>
      <c r="N66" s="67"/>
      <c r="O66" s="67"/>
    </row>
    <row r="67" spans="10:15">
      <c r="J67" s="238"/>
      <c r="K67" s="66"/>
      <c r="L67" s="64"/>
      <c r="M67" s="64"/>
      <c r="N67" s="64"/>
      <c r="O67" s="64"/>
    </row>
    <row r="68" spans="10:15">
      <c r="J68" s="238"/>
      <c r="K68" s="66"/>
      <c r="L68" s="64"/>
      <c r="M68" s="64"/>
      <c r="N68" s="64"/>
      <c r="O68" s="64"/>
    </row>
    <row r="69" spans="10:15">
      <c r="J69" s="238"/>
      <c r="K69" s="66"/>
      <c r="L69" s="64"/>
      <c r="M69" s="64"/>
      <c r="N69" s="64"/>
      <c r="O69" s="64"/>
    </row>
    <row r="70" spans="10:15">
      <c r="J70" s="238"/>
      <c r="K70" s="66"/>
      <c r="L70" s="64"/>
      <c r="M70" s="64"/>
      <c r="N70" s="64"/>
      <c r="O70" s="64"/>
    </row>
    <row r="71" spans="10:15">
      <c r="J71" s="238"/>
      <c r="K71" s="66"/>
      <c r="L71" s="64"/>
      <c r="M71" s="64"/>
      <c r="N71" s="64"/>
      <c r="O71" s="64"/>
    </row>
    <row r="72" spans="10:15">
      <c r="J72" s="238"/>
      <c r="K72" s="66"/>
      <c r="L72" s="64"/>
      <c r="M72" s="64"/>
      <c r="N72" s="64"/>
      <c r="O72" s="64"/>
    </row>
    <row r="73" spans="10:15">
      <c r="J73" s="238"/>
      <c r="K73" s="66"/>
      <c r="L73" s="64"/>
      <c r="M73" s="64"/>
      <c r="N73" s="64"/>
      <c r="O73" s="64"/>
    </row>
    <row r="74" spans="10:15">
      <c r="J74" s="238"/>
      <c r="K74" s="66"/>
      <c r="L74" s="64"/>
      <c r="M74" s="64"/>
      <c r="N74" s="64"/>
      <c r="O74" s="64"/>
    </row>
    <row r="75" spans="10:15">
      <c r="J75" s="238"/>
      <c r="K75" s="66"/>
      <c r="L75" s="64"/>
      <c r="M75" s="64"/>
      <c r="N75" s="64"/>
      <c r="O75" s="64"/>
    </row>
    <row r="76" spans="10:15">
      <c r="J76" s="238"/>
      <c r="K76" s="66"/>
      <c r="L76" s="64"/>
      <c r="M76" s="64"/>
      <c r="N76" s="64"/>
      <c r="O76" s="64"/>
    </row>
    <row r="77" spans="10:15">
      <c r="J77" s="238"/>
      <c r="K77" s="66"/>
      <c r="L77" s="64"/>
      <c r="M77" s="64"/>
      <c r="N77" s="64"/>
      <c r="O77" s="64"/>
    </row>
    <row r="78" spans="10:15">
      <c r="J78" s="238"/>
      <c r="K78" s="66"/>
      <c r="L78" s="64"/>
      <c r="M78" s="64"/>
      <c r="N78" s="64"/>
      <c r="O78" s="64"/>
    </row>
    <row r="79" spans="10:15">
      <c r="J79" s="238"/>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EE2F35AD-A7CC-4C25-A87A-605E36F85036}"/>
</file>

<file path=customXml/itemProps2.xml><?xml version="1.0" encoding="utf-8"?>
<ds:datastoreItem xmlns:ds="http://schemas.openxmlformats.org/officeDocument/2006/customXml" ds:itemID="{130E79B3-286C-4594-AC93-4243D3FE78E7}"/>
</file>

<file path=customXml/itemProps3.xml><?xml version="1.0" encoding="utf-8"?>
<ds:datastoreItem xmlns:ds="http://schemas.openxmlformats.org/officeDocument/2006/customXml" ds:itemID="{6BBCEA68-2DBA-496C-BFF0-FDEC1F75F9CB}"/>
</file>

<file path=customXml/itemProps4.xml><?xml version="1.0" encoding="utf-8"?>
<ds:datastoreItem xmlns:ds="http://schemas.openxmlformats.org/officeDocument/2006/customXml" ds:itemID="{03A65312-EDD8-4ED5-85CD-21EC9D2BFEF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2023-05-12T10:19:25Z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