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xml"/>
  <Override PartName="/xl/charts/chart4.xml" ContentType="application/vnd.openxmlformats-officedocument.drawingml.chart+xml"/>
  <Override PartName="/xl/drawings/drawing9.xml" ContentType="application/vnd.openxmlformats-officedocument.drawing+xml"/>
  <Override PartName="/xl/charts/chart5.xml" ContentType="application/vnd.openxmlformats-officedocument.drawingml.chart+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xml"/>
  <Override PartName="/xl/charts/chart7.xml" ContentType="application/vnd.openxmlformats-officedocument.drawingml.chart+xml"/>
  <Override PartName="/xl/drawings/drawing12.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07" codeName="{00000000-0000-0000-0000-000000000000}"/>
  <workbookPr codeName="ThisWorkbook" defaultThemeVersion="166925"/>
  <mc:AlternateContent xmlns:mc="http://schemas.openxmlformats.org/markup-compatibility/2006">
    <mc:Choice Requires="x15">
      <x15ac:absPath xmlns:x15ac="http://schemas.microsoft.com/office/spreadsheetml/2010/11/ac" url="\\GOL-DC\Shared Folders\Gol\ENVIROMENTAL\ENVIROMENTAL REPORTS\2022\Annual Report\"/>
    </mc:Choice>
  </mc:AlternateContent>
  <xr:revisionPtr revIDLastSave="0" documentId="13_ncr:1_{BBCD6540-5280-4529-B68C-AF251CE6724E}" xr6:coauthVersionLast="47" xr6:coauthVersionMax="47" xr10:uidLastSave="{00000000-0000-0000-0000-000000000000}"/>
  <bookViews>
    <workbookView xWindow="1725" yWindow="795" windowWidth="24075" windowHeight="14085"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0.5hourly" sheetId="29" r:id="rId21"/>
    <sheet name="CO 95% 10 min" sheetId="30" r:id="rId22"/>
    <sheet name="NH3" sheetId="31" r:id="rId23"/>
  </sheets>
  <definedNames>
    <definedName name="_xlnm.Print_Area" localSheetId="14">'Air (CEMS)'!$A$1:$M$31</definedName>
    <definedName name="_xlnm.Print_Area" localSheetId="13">'Air (periodic)'!$A$1:$J$41</definedName>
    <definedName name="_xlnm.Print_Area" localSheetId="20">'CO 0.5hourly'!$A$1:$G$52</definedName>
    <definedName name="_xlnm.Print_Area" localSheetId="21">'CO 95% 10 min'!$A$1:$H$52</definedName>
    <definedName name="_xlnm.Print_Area" localSheetId="10">'CO2 N2O'!$A$1:$C$24</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Improvements!$A$1:$I$48</definedName>
    <definedName name="_xlnm.Print_Area" localSheetId="22">'NH3'!$A$1:$G$52</definedName>
    <definedName name="_xlnm.Print_Area" localSheetId="17">NOx!$A$1:$G$52</definedName>
    <definedName name="_xlnm.Print_Area" localSheetId="3">'Operational Data'!$A$1:$H$65</definedName>
    <definedName name="_xlnm.Print_Area" localSheetId="4">'Operational Summary'!$A$1:$I$52</definedName>
    <definedName name="_xlnm.Print_Area" localSheetId="19">Particulates!$A$1:$G$52</definedName>
    <definedName name="_xlnm.Print_Area" localSheetId="5">'Perf. Form 1'!$A$1:$J$55</definedName>
    <definedName name="_xlnm.Print_Area" localSheetId="7">'Permit Compliance'!$A$1:$J$35</definedName>
    <definedName name="_xlnm.Print_Area" localSheetId="9">'Public Liasion'!$A$1:$I$29</definedName>
    <definedName name="_xlnm.Print_Area" localSheetId="11">'Residue Quality '!$A$1:$G$41</definedName>
    <definedName name="_xlnm.Print_Area" localSheetId="16">'SO2'!$A$1:$G$52</definedName>
    <definedName name="_xlnm.Print_Area" localSheetId="18">TOC!$A$1:$G$52</definedName>
    <definedName name="_xlnm.Print_Area" localSheetId="12">Water!$A$1:$I$30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 i="8" l="1"/>
  <c r="E34" i="7"/>
  <c r="E33" i="7"/>
  <c r="C1" i="32" l="1"/>
  <c r="A1" i="32"/>
  <c r="I20" i="7" l="1"/>
  <c r="I21" i="7"/>
  <c r="I22" i="7"/>
  <c r="I12" i="7"/>
  <c r="I13" i="7"/>
  <c r="I14" i="7"/>
  <c r="C18" i="6" l="1"/>
  <c r="C21" i="6" s="1"/>
  <c r="H61" i="6" l="1"/>
  <c r="G13" i="6" l="1"/>
  <c r="H13" i="6" s="1"/>
  <c r="G45" i="6"/>
  <c r="J3" i="31" l="1"/>
  <c r="J3" i="30"/>
  <c r="J3" i="29"/>
  <c r="J3" i="28"/>
  <c r="J3" i="27"/>
  <c r="J3" i="26"/>
  <c r="J3" i="25"/>
  <c r="J3" i="13"/>
  <c r="G19" i="6" l="1"/>
  <c r="G57" i="6" l="1"/>
  <c r="G59" i="6" l="1"/>
  <c r="G65" i="6"/>
  <c r="G64" i="6"/>
  <c r="H64" i="6" s="1"/>
  <c r="G63" i="6"/>
  <c r="G61" i="6"/>
  <c r="G53" i="6"/>
  <c r="G54" i="6"/>
  <c r="G55" i="6"/>
  <c r="G56" i="6"/>
  <c r="G60" i="6"/>
  <c r="G58" i="6" l="1"/>
  <c r="D18" i="6"/>
  <c r="D21" i="6" s="1"/>
  <c r="E18" i="6"/>
  <c r="E21" i="6" s="1"/>
  <c r="F18" i="6"/>
  <c r="F21" i="6" s="1"/>
  <c r="G21" i="6" l="1"/>
  <c r="E1" i="3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N19" i="29"/>
  <c r="M19" i="29"/>
  <c r="L19" i="29"/>
  <c r="A6" i="29"/>
  <c r="J66" i="29" s="1"/>
  <c r="O79" i="28"/>
  <c r="N79" i="28"/>
  <c r="M79" i="28"/>
  <c r="L79" i="28"/>
  <c r="O64" i="28"/>
  <c r="N64" i="28"/>
  <c r="M64" i="28"/>
  <c r="L64" i="28"/>
  <c r="O49" i="28"/>
  <c r="N49" i="28"/>
  <c r="M49" i="28"/>
  <c r="L49" i="28"/>
  <c r="O34" i="28"/>
  <c r="N34" i="28"/>
  <c r="M34" i="28"/>
  <c r="L34" i="28"/>
  <c r="O19" i="28"/>
  <c r="N19" i="28"/>
  <c r="M19" i="28"/>
  <c r="L19" i="28"/>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N49" i="26"/>
  <c r="M49" i="26"/>
  <c r="L49" i="26"/>
  <c r="O34" i="26"/>
  <c r="N34" i="26"/>
  <c r="M34" i="26"/>
  <c r="L34" i="26"/>
  <c r="O19" i="26"/>
  <c r="N19" i="26"/>
  <c r="M19" i="26"/>
  <c r="L19" i="26"/>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M49" i="13"/>
  <c r="L49" i="13"/>
  <c r="O34" i="13"/>
  <c r="N34" i="13"/>
  <c r="M34" i="13"/>
  <c r="L34" i="13"/>
  <c r="O19" i="13"/>
  <c r="N19" i="13"/>
  <c r="M19" i="13"/>
  <c r="L19" i="13"/>
  <c r="A6" i="13"/>
  <c r="J66" i="13" s="1"/>
  <c r="I19" i="7" l="1"/>
  <c r="I18" i="7"/>
  <c r="I11" i="7"/>
  <c r="H45" i="6"/>
  <c r="J36" i="27"/>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D28" i="6"/>
  <c r="E28" i="6"/>
  <c r="F28" i="6"/>
  <c r="C28" i="6"/>
  <c r="G7" i="8"/>
  <c r="D7" i="8"/>
  <c r="B5" i="8"/>
  <c r="A3" i="8"/>
  <c r="A1" i="8"/>
  <c r="G23" i="7"/>
  <c r="E23" i="7"/>
  <c r="G15" i="7"/>
  <c r="E15" i="7"/>
  <c r="I15" i="7" s="1"/>
  <c r="B4" i="7"/>
  <c r="A3" i="7"/>
  <c r="A1" i="7"/>
  <c r="A8" i="7" s="1"/>
  <c r="H65" i="6"/>
  <c r="H63" i="6"/>
  <c r="B53" i="6"/>
  <c r="G50" i="6"/>
  <c r="G49" i="6"/>
  <c r="G48" i="6"/>
  <c r="H48" i="6" s="1"/>
  <c r="G47" i="6"/>
  <c r="H47" i="6" s="1"/>
  <c r="G46" i="6"/>
  <c r="H46" i="6" s="1"/>
  <c r="G44" i="6"/>
  <c r="H44" i="6" s="1"/>
  <c r="G43" i="6"/>
  <c r="H43" i="6" s="1"/>
  <c r="G42" i="6"/>
  <c r="H42" i="6" s="1"/>
  <c r="G39" i="6"/>
  <c r="H39" i="6" s="1"/>
  <c r="G38" i="6"/>
  <c r="H38" i="6" s="1"/>
  <c r="G37" i="6"/>
  <c r="H37" i="6" s="1"/>
  <c r="G36" i="6"/>
  <c r="H36" i="6" s="1"/>
  <c r="G35" i="6"/>
  <c r="H35" i="6" s="1"/>
  <c r="G34" i="6"/>
  <c r="H34" i="6" s="1"/>
  <c r="G30" i="6"/>
  <c r="G29" i="6"/>
  <c r="H29" i="6" s="1"/>
  <c r="G27" i="6"/>
  <c r="G26" i="6"/>
  <c r="H26" i="6" s="1"/>
  <c r="G25" i="6"/>
  <c r="G24" i="6"/>
  <c r="H24" i="6" s="1"/>
  <c r="G20" i="6"/>
  <c r="H20" i="6" s="1"/>
  <c r="G15" i="6"/>
  <c r="G14" i="6"/>
  <c r="G12" i="6"/>
  <c r="H12" i="6" s="1"/>
  <c r="G11" i="6"/>
  <c r="G10" i="6"/>
  <c r="G9" i="6"/>
  <c r="G8" i="6"/>
  <c r="D11" i="8" l="1"/>
  <c r="H27" i="6"/>
  <c r="D14" i="8"/>
  <c r="H30" i="6"/>
  <c r="I23" i="7"/>
  <c r="D12" i="8"/>
  <c r="H25" i="6"/>
  <c r="H33" i="7"/>
  <c r="E35" i="7"/>
  <c r="H35" i="7" s="1"/>
  <c r="E37" i="7"/>
  <c r="H37" i="7" s="1"/>
  <c r="E36" i="7"/>
  <c r="H36" i="7" s="1"/>
  <c r="G24" i="7"/>
  <c r="G18" i="6"/>
  <c r="H21" i="6" s="1"/>
  <c r="G28" i="6"/>
  <c r="E24" i="7"/>
  <c r="I24" i="7" s="1"/>
  <c r="H34" i="7"/>
  <c r="D10" i="8"/>
  <c r="G10" i="8"/>
  <c r="A31" i="7"/>
  <c r="A43" i="7" s="1"/>
  <c r="H15" i="6" l="1"/>
  <c r="H8" i="6"/>
  <c r="H19" i="6"/>
  <c r="H10" i="6"/>
  <c r="G11" i="8"/>
  <c r="G12" i="8"/>
  <c r="H14" i="6"/>
  <c r="G14" i="8"/>
  <c r="H11" i="6"/>
  <c r="H9" i="6"/>
</calcChain>
</file>

<file path=xl/sharedStrings.xml><?xml version="1.0" encoding="utf-8"?>
<sst xmlns="http://schemas.openxmlformats.org/spreadsheetml/2006/main" count="1599" uniqueCount="443">
  <si>
    <t>Add company logo</t>
  </si>
  <si>
    <t>Version 22.3  30/11/22</t>
  </si>
  <si>
    <t>Add photo</t>
  </si>
  <si>
    <t>Notes:</t>
  </si>
  <si>
    <t>This template may require adjustments by individual operators to meet specific reporting requirements as defined in the site Permit(s)</t>
  </si>
  <si>
    <t>Annual Performance Report 2022</t>
  </si>
  <si>
    <t>.</t>
  </si>
  <si>
    <t>Permit EPR/BT4249IB</t>
  </si>
  <si>
    <t>Newlincs Development IWMF</t>
  </si>
  <si>
    <t>Grimsby Operations</t>
  </si>
  <si>
    <t>Year:</t>
  </si>
  <si>
    <t>Address:</t>
  </si>
  <si>
    <t>South Marsh Road, Stallingborough, NE Lincs, DN41 8BZ</t>
  </si>
  <si>
    <t xml:space="preserve">Tel: </t>
  </si>
  <si>
    <t>01469 552550</t>
  </si>
  <si>
    <t xml:space="preserve">Email: </t>
  </si>
  <si>
    <t>info@newlincs.com</t>
  </si>
  <si>
    <t>Prepared by:</t>
  </si>
  <si>
    <t>Darren Rea</t>
  </si>
  <si>
    <t>Position:</t>
  </si>
  <si>
    <t>Systems Engineer</t>
  </si>
  <si>
    <t>Approved by:</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</si>
  <si>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</si>
  <si>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</si>
  <si>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</si>
  <si>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</si>
  <si>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</si>
  <si>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</si>
  <si>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</si>
  <si>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</si>
  <si>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</si>
  <si>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</si>
  <si>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</si>
  <si>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</si>
  <si>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</si>
  <si>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</si>
  <si>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</si>
  <si>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</si>
  <si>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</si>
  <si>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</si>
  <si>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</si>
  <si>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</si>
  <si>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</si>
  <si>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</si>
  <si>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</si>
  <si>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</si>
  <si>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</si>
  <si>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</si>
  <si>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</si>
  <si>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</si>
  <si>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</si>
  <si>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</si>
  <si>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</si>
  <si>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</si>
  <si>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</si>
  <si>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</si>
  <si>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</si>
  <si>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</si>
  <si>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</si>
  <si>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The NEWLINCS energy from waste plant located at Stallingborough, near Grimsby, has been operating since 2003 providing MSW disposal services for North-East Lincolnshire Council. The waste process mainly originates from residents of the North-East Lincolnshire Council catchment area.
The main purpose of the energy from waste plant is to burn municipal waste and to recover energy. The plant comprises of waste reception, storage of waste-fuel, combustion kiln, combustion air supply systems, boiler, steam turbine generator, hot water production, flue gas treatment, flue gas stack, separation and storage of residues, industrial water storage, plant control systems and recording and monitoring devices.
The plant has a design capacity of 7 tonnes per hour, which equates to 56,000 tonnes per annum including an allowance for plant shutdown. There is one waste incineration stream. The heat produced is used to generate electricity for own use and export to the neighbouring chemical manufacturing plant or the national grid along with hot water which is also exported to the same adjacent plant. The process generates approximately 3MW of electricity and 3MW of heat.</t>
  </si>
  <si>
    <t xml:space="preserve">Include summary of plant design, design capacity, no. of combustion lines, electrical and heat capacity and any other general information that descibes the facility, its location and purpose </t>
  </si>
  <si>
    <t>Summary of Operational Processes and Procedures</t>
  </si>
  <si>
    <t>Waste is delivered to the plant in covered vehicles which are weighed before tipping. They then tip into a waste storage pit within a fully enclosed building. The building is maintained under slight negative pressure to stop odour from the waste escaping, there is no odour produced by the incineration process. A 1.5 tonne grab transfers waste to the feed hopper of the combustion plant. The grab is also used to homogenise the waste and to identify and remove any non-conforming waste. Incineration takes place inside a conical oscillating combustion cell this is a particularly effective solution for smaller scale EfW plants. The tapered cylindrical cell is inclined by several degrees from the horizontal and oscillates by one hundred and five degrees either side of the vertical. The twin wall combustion cell is a one-piece steel fabrication lined with cast refractory 200mm thick. Primary combustion air is fed in below the waste to promote good combustion. Secondary combustion air is injected above the waste where it provides for good mixing and combustion control.  
The combustion gases exit the combustion cell and pass into the post-combustion chamber and then to the heat recovery boiler. The geometry and mechanical layout ensures a high degree of turbulence both in the bed of burning material and in the combustion flue gas. 
The combustion control system regulates the waste feed, combustion cell speed and combustion fans to maintain efficient combustion. 
Urea is injected into the combustion chamber to react with the oxides of nitrogen, chemically reducing them to nitrogen and water. 
Auxiliary low NOx gas burners are fitted for start-up and to ensure that a temperature above 850C for 2 seconds can always be maintained. 
The steam raised in the boiler plant is fed to a steam turbine, which generates electricity, the steam is then condensed and recycled to the boiler.  
The water make-up is taken from the mains supply and is treated in a demineralisation plant prior to use in the boiler. 
Hot water is generated, and its energy content exported by means of a closed loop to the neighbouring chemical manufacturing factory. 
Flue gases pass from the boiler to flue gas treatment (FGT) plant; flue gas enters a reaction chamber where powdered lime and activated carbon are injected to neutralise acid gases and absorb dioxins/furans, dioxin like PCBs, volatile organic compounds (VOCs) and mercury. There is a continuous recirculation of lime and ash in the reaction chamber in order to improve the efficiency of the neutralisation reaction. Bag filters remove the fine ash, excess lime and carbon as the gases pass across the bag fabric. The residues (APCR) from the filter are collected and stored a silo. The cleaned gas then discharges to atmosphere via one 55-metre stack at an efflux velocity in excess of 15m/sec. Bottom ash (IBA), separated ferrous metals and APCR are sent for disposal or recovery off site by licensed contractors subject to waste licensing legislation. 
All process waste waters pass to the industrial water lagoon for closed loop recycling of waters used by the process. Clean run off water from roofs is discharge to local drainage. 
Regular analysis of the IBA and APC residues is carried out. Duty/standby Continuous Emission Monitoring (CEM) system monitor and record the stack flue gas emissions. All emissions monitoring is in accordance with site permit/EA guidance.  The site operates to ISO 9001 14001 &amp; 45001 procedures.</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</si>
  <si>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</si>
  <si>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</si>
  <si>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</si>
  <si>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</si>
  <si>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</si>
  <si>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</si>
  <si>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</si>
  <si>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</si>
  <si>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</si>
  <si>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</si>
  <si>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</si>
  <si>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</si>
  <si>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</si>
  <si>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</si>
  <si>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</si>
  <si>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</si>
  <si>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</si>
  <si>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</si>
  <si>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</si>
  <si>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</si>
  <si>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</si>
  <si>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</si>
  <si>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</si>
  <si>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</si>
  <si>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</si>
  <si>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</si>
  <si>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</si>
  <si>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</si>
  <si>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</si>
  <si>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</si>
  <si>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</si>
  <si>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</si>
  <si>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</si>
  <si>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</si>
  <si>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</si>
  <si>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</si>
  <si>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</si>
  <si>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</si>
  <si>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</si>
  <si>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</si>
  <si>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</si>
  <si>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</si>
  <si>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</si>
  <si>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</si>
  <si>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</si>
  <si>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</si>
  <si>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</si>
  <si>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</si>
  <si>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Other</t>
  </si>
  <si>
    <t>Raw Material Usage</t>
  </si>
  <si>
    <t>kg or Ltr /te</t>
  </si>
  <si>
    <t>Mains Water</t>
  </si>
  <si>
    <t>ltrs</t>
  </si>
  <si>
    <t>Other Water</t>
  </si>
  <si>
    <t>Ammonia</t>
  </si>
  <si>
    <t>kgs</t>
  </si>
  <si>
    <t xml:space="preserve"> </t>
  </si>
  <si>
    <t>Urea</t>
  </si>
  <si>
    <t>Activated Carbon</t>
  </si>
  <si>
    <t>Lime / hydrated lime</t>
  </si>
  <si>
    <t>Fuel oil</t>
  </si>
  <si>
    <t>Gas</t>
  </si>
  <si>
    <t>cf</t>
  </si>
  <si>
    <t xml:space="preserve">Summary </t>
  </si>
  <si>
    <t>Line/Unit</t>
  </si>
  <si>
    <t xml:space="preserve">Hrs in year </t>
  </si>
  <si>
    <t>Availability of waste combustion by line, hrs</t>
  </si>
  <si>
    <t xml:space="preserve"> x %</t>
  </si>
  <si>
    <t>x %</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</si>
  <si>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</si>
  <si>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</si>
  <si>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</si>
  <si>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</si>
  <si>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</si>
  <si>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</si>
  <si>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</si>
  <si>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</si>
  <si>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</si>
  <si>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</si>
  <si>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</si>
  <si>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</si>
  <si>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During 2022 the combustion plant operated for 7957 hours. 
Scheduled maintenance was undertaken in November main works included post combustion chamber refractory repairs, boiler expansion joints replaced, ID fan replaced with a direct drive unit, repairs to FGT casing, inconel weld overlay and high velocity thermal spray installed on boiler tubes.</t>
  </si>
  <si>
    <t xml:space="preserve">Include summary of key operational and/or mainteanance activity undertaken in the year, such as any major component upgrades and/or replacements </t>
  </si>
  <si>
    <t>Summary of Residue Handling for the reporting year</t>
  </si>
  <si>
    <t>Air Pollution Control residues (APCR) is disposed of at permitted treatment centre where the material is stabilised and disposed of in a hazardous landfill site.
Incinerator Bottom Ash (IBA) produced is recycled at a permitted treatment centre to produce Incinerator bottom ash aggregate (IBAA) which is used as a blend constituent in various aggregate mixtures.
The process involves screening the material, separating the ferrous and non-ferrous metals for recycling, re-screening, then further metal removal and then final product stockpiling.
Increased testing of IBA produced was carried out in October, November and December to confirm that the IBA produced remains non-hazardous.</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</si>
  <si>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</si>
  <si>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</si>
  <si>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</si>
  <si>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</si>
  <si>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</si>
  <si>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</si>
  <si>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</si>
  <si>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</si>
  <si>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</si>
  <si>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</si>
  <si>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</si>
  <si>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</si>
  <si>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</si>
  <si>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</si>
  <si>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</si>
  <si>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</si>
  <si>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D01</t>
  </si>
  <si>
    <t>IBA</t>
  </si>
  <si>
    <t>Total Hazardous Waste</t>
  </si>
  <si>
    <t>2) Non-Hazardous Wastes</t>
  </si>
  <si>
    <t>R5</t>
  </si>
  <si>
    <t>Ferrous Metal</t>
  </si>
  <si>
    <t>R4</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</si>
  <si>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</si>
  <si>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</si>
  <si>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</si>
  <si>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</si>
  <si>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</si>
  <si>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</si>
  <si>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</si>
  <si>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</si>
  <si>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</si>
  <si>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</si>
  <si>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</si>
  <si>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</si>
  <si>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</si>
  <si>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</si>
  <si>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</si>
  <si>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</si>
  <si>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</si>
  <si>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</si>
  <si>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</si>
  <si>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</si>
  <si>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</si>
  <si>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</si>
  <si>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</si>
  <si>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</si>
  <si>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</si>
  <si>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</si>
  <si>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</si>
  <si>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</si>
  <si>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</si>
  <si>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</si>
  <si>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</si>
  <si>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</si>
  <si>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</si>
  <si>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</si>
  <si>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</si>
  <si>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</si>
  <si>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</si>
  <si>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</si>
  <si>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Natural Gas</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</si>
  <si>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</si>
  <si>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</si>
  <si>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</si>
  <si>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</si>
  <si>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</si>
  <si>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</si>
  <si>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</si>
  <si>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</si>
  <si>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</si>
  <si>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</si>
  <si>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</si>
  <si>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</si>
  <si>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</si>
  <si>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</si>
  <si>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</si>
  <si>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</si>
  <si>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</si>
  <si>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</si>
  <si>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</si>
  <si>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</si>
  <si>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</si>
  <si>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</si>
  <si>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</si>
  <si>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</si>
  <si>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</si>
  <si>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</si>
  <si>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</si>
  <si>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 xml:space="preserve">ID Fan replaced with direct drive unit
FGT casing repairs
Inconel coating applied to boiler tubes
Boiler expansion joints replaced
</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</si>
  <si>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</si>
  <si>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</si>
  <si>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</si>
  <si>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</si>
  <si>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</si>
  <si>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</si>
  <si>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No residents panel meetings held during 2022</t>
  </si>
  <si>
    <t>List of events planned for next year</t>
  </si>
  <si>
    <t>No planned events. Visitors and questions are welcome, please contact the site.</t>
  </si>
  <si>
    <t>If you wish to be involved in the public liasion programme, please contact _________________</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</si>
  <si>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</si>
  <si>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</si>
  <si>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</si>
  <si>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x tonnes </t>
  </si>
  <si>
    <t>Annual mass of carbon dioxide released per tonne of waste burned</t>
  </si>
  <si>
    <t>Annual mass of carbon dioxide released per MWh of energy exported</t>
  </si>
  <si>
    <t>Description of how annual carbon dioxide mass emission has been calculated</t>
  </si>
  <si>
    <t>CEMs Measurement</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</si>
  <si>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</si>
  <si>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</si>
  <si>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</si>
  <si>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 xml:space="preserve">2.72
</t>
  </si>
  <si>
    <t>Description of how annual nitrous oxide mass emission has been calculated</t>
  </si>
  <si>
    <t xml:space="preserve">Calculated using periodic monitoring data:
Operational Hours = 7947
Q2 N2O = 364 g/hr = 0.000364 t/hr
Q4 N2O = 320 g/hr = 0.00032 t/hr
Average of Q2 &amp; Q4 = 0.000342 t/hr
Annual Mass Emission = (Ave Q2 &amp; Q4) * Operational Hours
</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</si>
  <si>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</si>
  <si>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</si>
  <si>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x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</si>
  <si>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</si>
  <si>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</si>
  <si>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</si>
  <si>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From WRAP National Household Waste Comparison 2017 - 
Composition of kerbside collected Household Residual Waste:
Section 4.3; Table 8
Food Waste 33.5%
Garden Waste 3.3% 
Other Organic 4.7% 
Paper 9.2%
Wood 1.4%
Card 3.8%
Total 55.9%</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</si>
  <si>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</si>
  <si>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</si>
  <si>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</si>
  <si>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r>
      <t xml:space="preserve">From Note 4:
</t>
    </r>
    <r>
      <rPr>
        <i/>
        <sz val="11"/>
        <rFont val="Arial"/>
        <family val="2"/>
      </rPr>
      <t>As an approximation the estimated biogenic fraction by net calorific value can be assumed to be the same as the biogenic CO2 fraction of the total CO2 emissions from the plant.</t>
    </r>
  </si>
  <si>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</si>
  <si>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</si>
  <si>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</si>
  <si>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</si>
  <si>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Incinerator Bottom Ash samples taken monthly and sent for LOI analysis
Further Hazardous IBA testing carried out in October, November and December</t>
  </si>
  <si>
    <t>Incinerator Bottom Ash and APC samples sent for Full Analysis quarterly</t>
  </si>
  <si>
    <t>Commentary on any specific events</t>
  </si>
  <si>
    <t>Date &amp; Event</t>
  </si>
  <si>
    <t>October 2022
Hazardous IBA Testing</t>
  </si>
  <si>
    <t>Sample classed as inert</t>
  </si>
  <si>
    <t>November 2022
Hazardous IBA Testing</t>
  </si>
  <si>
    <t>December 2022
Hazardous IBA Testing</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</si>
  <si>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</si>
  <si>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</si>
  <si>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</si>
  <si>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</si>
  <si>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</si>
  <si>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</si>
  <si>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</si>
  <si>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</si>
  <si>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</si>
  <si>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N/A</t>
  </si>
  <si>
    <t>No. of Assessments Undertaken</t>
  </si>
  <si>
    <t>---</t>
  </si>
  <si>
    <t>No. of Hazardous Results</t>
  </si>
  <si>
    <t>Comments :</t>
  </si>
  <si>
    <t>There are three swales onsite - W1, W2 and MRF. These receive and hold only clean surface water runnoff from roadways and buildings. All swales are checked weekly for pH and contamination.</t>
  </si>
  <si>
    <t>Water release from the swales is very infrequent but prior to any release occuring pH levels are checked to ensure they are within the prescribed limits. All releases are recorded, the last release being carried out in Novmber 2019</t>
  </si>
  <si>
    <t>Emissions to Water / Sewer</t>
  </si>
  <si>
    <t>Monitoring Frequency</t>
  </si>
  <si>
    <t>Target</t>
  </si>
  <si>
    <t>Max.</t>
  </si>
  <si>
    <t>Average</t>
  </si>
  <si>
    <t>Swale pH - W1</t>
  </si>
  <si>
    <t>Weekly</t>
  </si>
  <si>
    <t>6 - 9</t>
  </si>
  <si>
    <t>Swale pH - W2</t>
  </si>
  <si>
    <t>Swale pH - MRF</t>
  </si>
  <si>
    <t>Summary of monitoring undertaken, standards used and compliance</t>
  </si>
  <si>
    <t>Periodic Air Monitoring carried out quarterly to ISO15713, MID14385 and ISO11338 as appropriate.</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</si>
  <si>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</si>
  <si>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</si>
  <si>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</si>
  <si>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</si>
  <si>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</si>
  <si>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</si>
  <si>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</si>
  <si>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</si>
  <si>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</si>
  <si>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</si>
  <si>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</si>
  <si>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</si>
  <si>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</si>
  <si>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</si>
  <si>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</si>
  <si>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</si>
  <si>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</si>
  <si>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</si>
  <si>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</si>
  <si>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</si>
  <si>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</si>
  <si>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</si>
  <si>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</si>
  <si>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</si>
  <si>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</si>
  <si>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</si>
  <si>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</si>
  <si>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</si>
  <si>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</si>
  <si>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</si>
  <si>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</si>
  <si>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</si>
  <si>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</si>
  <si>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</si>
  <si>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</si>
  <si>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</si>
  <si>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</si>
  <si>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</si>
  <si>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</si>
  <si>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Reported data is the average of results from Q1, Q2, Q3 and Q4</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</si>
  <si>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</si>
  <si>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</si>
  <si>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</si>
  <si>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</si>
  <si>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</si>
  <si>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</si>
  <si>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</si>
  <si>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</si>
  <si>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</si>
  <si>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</si>
  <si>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</si>
  <si>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</si>
  <si>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</si>
  <si>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</si>
  <si>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</si>
  <si>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</si>
  <si>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</si>
  <si>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</si>
  <si>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</si>
  <si>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</si>
  <si>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</si>
  <si>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</si>
  <si>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</si>
  <si>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</si>
  <si>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</si>
  <si>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</si>
  <si>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</si>
  <si>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</si>
  <si>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</si>
  <si>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</si>
  <si>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</si>
  <si>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</si>
  <si>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</si>
  <si>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</si>
  <si>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</si>
  <si>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</si>
  <si>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</si>
  <si>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</si>
  <si>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</si>
  <si>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</si>
  <si>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</si>
  <si>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</si>
  <si>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</si>
  <si>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</si>
  <si>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</si>
  <si>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</si>
  <si>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</si>
  <si>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</si>
  <si>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</si>
  <si>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</si>
  <si>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</si>
  <si>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</si>
  <si>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</si>
  <si>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</si>
  <si>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</si>
  <si>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</si>
  <si>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</si>
  <si>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</si>
  <si>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</si>
  <si>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</si>
  <si>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</si>
  <si>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</si>
  <si>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</si>
  <si>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</si>
  <si>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</si>
  <si>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</si>
  <si>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</si>
  <si>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</si>
  <si>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</si>
  <si>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</si>
  <si>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</si>
  <si>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</si>
  <si>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1/2 hourly CO ELV</t>
  </si>
  <si>
    <t>Daily CO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</si>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</sst>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
  </numFmts>
  <fonts count="38">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u/>
      <sz val="11"/>
      <color theme="10"/>
      <name val="Calibri"/>
      <family val="2"/>
      <scheme val="minor"/>
    </font>
    <font>
      <sz val="11"/>
      <color indexed="8"/>
      <name val="Arial"/>
      <family val="2"/>
    </font>
    <font>
      <i/>
      <sz val="11"/>
      <name val="Arial"/>
      <family val="2"/>
    </font>
    <font>
      <sz val="11"/>
      <name val="Arial"/>
      <family val="2"/>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4" fillId="0" borderId="0" applyNumberFormat="0" applyFill="0" applyBorder="0" applyAlignment="0" applyProtection="0"/>
  </cellStyleXfs>
  <cellXfs count="419">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0" fontId="1" fillId="0" borderId="11" xfId="0" applyFont="1" applyBorder="1"/>
    <xf numFmtId="0" fontId="1" fillId="0" borderId="9" xfId="0" applyFont="1" applyBorder="1" applyAlignment="1">
      <alignment horizontal="left" vertical="top" wrapText="1"/>
    </xf>
    <xf numFmtId="0" fontId="1" fillId="5" borderId="2" xfId="0" applyFont="1" applyFill="1" applyBorder="1" applyAlignment="1">
      <alignment horizontal="center" vertical="center" wrapText="1"/>
    </xf>
    <xf numFmtId="164" fontId="1" fillId="2" borderId="0" xfId="1" applyNumberFormat="1" applyFont="1" applyFill="1" applyAlignment="1">
      <alignment horizontal="center"/>
    </xf>
    <xf numFmtId="0" fontId="1" fillId="2" borderId="2" xfId="0" applyFont="1" applyFill="1" applyBorder="1" applyAlignment="1">
      <alignment horizontal="right" vertical="center"/>
    </xf>
    <xf numFmtId="14" fontId="15" fillId="0" borderId="12" xfId="0" applyNumberFormat="1" applyFont="1" applyBorder="1"/>
    <xf numFmtId="4" fontId="1" fillId="0" borderId="2" xfId="0" applyNumberFormat="1" applyFont="1" applyBorder="1" applyAlignment="1">
      <alignment horizontal="center" vertical="center" wrapText="1"/>
    </xf>
    <xf numFmtId="0" fontId="1" fillId="0" borderId="9" xfId="0" applyFont="1" applyBorder="1" applyAlignment="1">
      <alignment horizontal="left" vertical="top"/>
    </xf>
    <xf numFmtId="0" fontId="35" fillId="5" borderId="2" xfId="0" applyFont="1" applyFill="1" applyBorder="1" applyAlignment="1">
      <alignment horizontal="center" vertical="center"/>
    </xf>
    <xf numFmtId="0" fontId="1" fillId="2" borderId="2" xfId="0" applyFont="1" applyFill="1" applyBorder="1" applyAlignment="1">
      <alignment horizontal="center" vertical="center" wrapText="1"/>
    </xf>
    <xf numFmtId="0" fontId="1" fillId="0" borderId="2" xfId="0" applyFont="1" applyBorder="1" applyAlignment="1">
      <alignment horizontal="left" vertical="center" wrapText="1"/>
    </xf>
    <xf numFmtId="3" fontId="2" fillId="5" borderId="2" xfId="0" applyNumberFormat="1" applyFont="1" applyFill="1" applyBorder="1" applyAlignment="1">
      <alignment vertical="top"/>
    </xf>
    <xf numFmtId="2" fontId="2" fillId="5" borderId="2" xfId="0" applyNumberFormat="1" applyFont="1" applyFill="1" applyBorder="1" applyAlignment="1">
      <alignment vertical="top"/>
    </xf>
    <xf numFmtId="4" fontId="2" fillId="5" borderId="2" xfId="0" applyNumberFormat="1" applyFont="1" applyFill="1" applyBorder="1" applyAlignment="1">
      <alignment vertical="top"/>
    </xf>
    <xf numFmtId="0" fontId="2" fillId="5" borderId="2" xfId="0" applyFont="1" applyFill="1" applyBorder="1" applyAlignment="1">
      <alignment horizontal="right" vertical="top" wrapText="1"/>
    </xf>
    <xf numFmtId="16" fontId="1" fillId="5" borderId="5" xfId="0" quotePrefix="1" applyNumberFormat="1" applyFont="1" applyFill="1" applyBorder="1" applyAlignment="1">
      <alignment horizontal="center" vertical="center" wrapText="1"/>
    </xf>
    <xf numFmtId="0" fontId="8" fillId="2" borderId="0" xfId="0" applyFont="1" applyFill="1" applyAlignment="1">
      <alignment horizontal="center"/>
    </xf>
    <xf numFmtId="0" fontId="2" fillId="2" borderId="0" xfId="0" applyFont="1" applyFill="1" applyAlignment="1">
      <alignment horizontal="center"/>
    </xf>
    <xf numFmtId="0" fontId="34" fillId="2" borderId="0" xfId="3" applyFill="1" applyAlignment="1">
      <alignment horizontal="center"/>
    </xf>
    <xf numFmtId="0" fontId="22" fillId="0" borderId="0" xfId="0" applyFont="1" applyAlignment="1">
      <alignment horizontal="left" wrapText="1"/>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0" fillId="0" borderId="2" xfId="0" applyFont="1" applyBorder="1" applyAlignment="1">
      <alignment horizontal="left" vertical="top"/>
    </xf>
    <xf numFmtId="0" fontId="6" fillId="3" borderId="2" xfId="0" applyFont="1" applyFill="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7" fillId="0" borderId="2" xfId="0" applyFont="1" applyBorder="1" applyAlignment="1">
      <alignment horizontal="left"/>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0" fillId="0" borderId="9" xfId="0" applyBorder="1" applyAlignment="1">
      <alignment wrapText="1"/>
    </xf>
    <xf numFmtId="0" fontId="0" fillId="0" borderId="0" xfId="0" applyAlignment="1">
      <alignment wrapText="1"/>
    </xf>
    <xf numFmtId="0" fontId="12" fillId="0" borderId="0" xfId="0" applyFont="1" applyAlignment="1">
      <alignment horizontal="left" wrapText="1"/>
    </xf>
    <xf numFmtId="0" fontId="12" fillId="0" borderId="0" xfId="0" applyFont="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0" fontId="1" fillId="2" borderId="2" xfId="0" applyFont="1" applyFill="1" applyBorder="1" applyAlignment="1">
      <alignment horizontal="center"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1" fillId="0" borderId="2" xfId="0" applyFont="1" applyBorder="1" applyAlignment="1">
      <alignment horizontal="left"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6" fillId="7" borderId="3" xfId="0" applyFont="1" applyFill="1" applyBorder="1" applyAlignment="1">
      <alignment horizontal="center"/>
    </xf>
    <xf numFmtId="0" fontId="6" fillId="7" borderId="5" xfId="0" applyFont="1" applyFill="1" applyBorder="1" applyAlignment="1">
      <alignment horizontal="center"/>
    </xf>
    <xf numFmtId="0" fontId="7" fillId="0" borderId="2" xfId="0" applyFont="1" applyBorder="1" applyAlignment="1">
      <alignment horizontal="left"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10" fillId="0" borderId="7" xfId="0" applyFont="1" applyBorder="1" applyAlignment="1">
      <alignment horizontal="center" wrapText="1"/>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1" fillId="2" borderId="6" xfId="0" applyFont="1" applyFill="1" applyBorder="1" applyAlignment="1">
      <alignment horizontal="left" vertical="top"/>
    </xf>
    <xf numFmtId="0" fontId="0" fillId="0" borderId="7" xfId="0" applyBorder="1" applyAlignment="1">
      <alignment horizontal="left" vertical="top"/>
    </xf>
    <xf numFmtId="0" fontId="0" fillId="0" borderId="11" xfId="0" applyBorder="1" applyAlignment="1">
      <alignment horizontal="left" vertical="top"/>
    </xf>
    <xf numFmtId="0" fontId="0" fillId="0" borderId="12" xfId="0" applyBorder="1" applyAlignment="1">
      <alignment horizontal="left" vertical="top"/>
    </xf>
    <xf numFmtId="0" fontId="4" fillId="0" borderId="2" xfId="0" applyFont="1" applyBorder="1" applyAlignment="1">
      <alignment vertical="top" wrapText="1"/>
    </xf>
    <xf numFmtId="0" fontId="0" fillId="0" borderId="2" xfId="0" applyBorder="1" applyAlignment="1">
      <alignment vertical="top"/>
    </xf>
    <xf numFmtId="0" fontId="37" fillId="0" borderId="3" xfId="0" applyFont="1" applyBorder="1" applyAlignment="1">
      <alignment vertical="top" wrapText="1"/>
    </xf>
    <xf numFmtId="0" fontId="0" fillId="0" borderId="5" xfId="0" applyBorder="1" applyAlignment="1">
      <alignment vertical="top" wrapText="1"/>
    </xf>
    <xf numFmtId="0" fontId="2" fillId="0" borderId="2" xfId="0" applyFont="1" applyBorder="1" applyAlignment="1">
      <alignment vertical="top" wrapText="1"/>
    </xf>
    <xf numFmtId="0" fontId="37" fillId="0" borderId="2" xfId="0" applyFont="1" applyBorder="1" applyAlignment="1">
      <alignment vertical="top" wrapText="1"/>
    </xf>
    <xf numFmtId="0" fontId="0" fillId="0" borderId="2" xfId="0" applyBorder="1" applyAlignment="1">
      <alignment vertical="top" wrapText="1"/>
    </xf>
    <xf numFmtId="0" fontId="2" fillId="0" borderId="0" xfId="0" applyFont="1" applyAlignment="1">
      <alignment horizontal="left" vertical="top" wrapText="1"/>
    </xf>
    <xf numFmtId="0" fontId="2" fillId="0" borderId="0" xfId="0" applyFont="1" applyAlignment="1">
      <alignment vertical="top" wrapText="1"/>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1" fillId="5" borderId="2" xfId="0" applyFont="1" applyFill="1" applyBorder="1" applyAlignment="1">
      <alignment horizontal="center" vertical="center" wrapText="1"/>
    </xf>
    <xf numFmtId="0" fontId="18" fillId="0" borderId="2" xfId="0" applyFont="1" applyBorder="1" applyAlignment="1">
      <alignment horizontal="left" vertical="center" wrapText="1"/>
    </xf>
    <xf numFmtId="0" fontId="1" fillId="2" borderId="6" xfId="0" applyFont="1" applyFill="1" applyBorder="1" applyAlignment="1">
      <alignment horizontal="left" vertical="center" wrapText="1"/>
    </xf>
    <xf numFmtId="0" fontId="1" fillId="2" borderId="6" xfId="0" applyFont="1" applyFill="1" applyBorder="1" applyAlignment="1">
      <alignment horizontal="left" vertical="center"/>
    </xf>
    <xf numFmtId="0" fontId="1" fillId="5" borderId="3" xfId="0" applyFont="1" applyFill="1" applyBorder="1" applyAlignment="1">
      <alignment horizontal="left" vertical="center" wrapText="1"/>
    </xf>
    <xf numFmtId="0" fontId="1" fillId="5" borderId="4" xfId="0" applyFont="1" applyFill="1" applyBorder="1" applyAlignment="1">
      <alignment horizontal="left" vertical="center" wrapText="1"/>
    </xf>
    <xf numFmtId="0" fontId="1" fillId="5" borderId="5" xfId="0" applyFont="1" applyFill="1" applyBorder="1" applyAlignment="1">
      <alignment horizontal="left" vertical="center" wrapText="1"/>
    </xf>
    <xf numFmtId="0" fontId="0" fillId="0" borderId="5" xfId="0"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0" fillId="0" borderId="7" xfId="0"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23" fillId="0" borderId="0" xfId="0" applyFont="1" applyAlignment="1">
      <alignment horizontal="left" vertical="top"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xf numFmtId="0" fontId="2" fillId="2" borderId="0" xfId="0" applyFont="1" applyFill="1" applyAlignment="1">
      <alignment horizontal="center" vertical="center"/>
    </xf>
    <xf numFmtId="17" fontId="2" fillId="0" borderId="0" xfId="0" applyNumberFormat="1" applyFont="1"/>
    <xf numFmtId="0" fontId="2" fillId="2" borderId="0" xfId="0" applyFont="1" applyFill="1"/>
    <xf numFmtId="0" fontId="2" fillId="0" borderId="0" xfId="0" applyFont="1" applyAlignment="1">
      <alignment horizontal="left"/>
    </xf>
    <xf numFmtId="14" fontId="2" fillId="2" borderId="0" xfId="0" applyNumberFormat="1" applyFont="1" applyFill="1" applyAlignment="1">
      <alignment horizontal="center"/>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left"/>
    </xf>
    <xf numFmtId="0" fontId="1" fillId="2" borderId="2" xfId="0" applyFont="1" applyFill="1" applyBorder="1" applyAlignment="1">
      <alignment horizontal="center" vertical="top"/>
    </xf>
    <xf numFmtId="0" fontId="1" fillId="2" borderId="2" xfId="0" applyFont="1" applyFill="1" applyBorder="1" applyAlignment="1">
      <alignment horizontal="left" vertical="top"/>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0" borderId="0" xfId="0" applyFont="1"/>
    <xf numFmtId="0" fontId="1" fillId="0" borderId="0" xfId="0" applyFont="1" applyAlignment="1">
      <alignment horizontal="center"/>
    </xf>
    <xf numFmtId="164" fontId="6" fillId="2" borderId="7" xfId="1" applyNumberFormat="1" applyFont="1" applyFill="1" applyBorder="1" applyAlignment="1"/>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0" fontId="1" fillId="0" borderId="7" xfId="0" applyFont="1" applyBorder="1" applyAlignment="1">
      <alignment horizontal="center" vertical="center" textRotation="90"/>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0" fontId="1" fillId="0" borderId="9" xfId="0" applyFont="1" applyBorder="1" applyAlignment="1">
      <alignment vertical="center"/>
    </xf>
    <xf numFmtId="0" fontId="1" fillId="0" borderId="0" xfId="0" applyFont="1" applyAlignment="1">
      <alignment horizontal="center" vertical="center" textRotation="90"/>
    </xf>
    <xf numFmtId="164" fontId="1" fillId="2" borderId="0" xfId="1" applyNumberFormat="1" applyFont="1" applyFill="1" applyBorder="1" applyAlignment="1">
      <alignment horizontal="center"/>
    </xf>
    <xf numFmtId="165" fontId="1" fillId="0" borderId="10" xfId="2" applyNumberFormat="1" applyFont="1" applyBorder="1" applyAlignment="1">
      <alignment horizontal="center"/>
    </xf>
    <xf numFmtId="0" fontId="1" fillId="7" borderId="9" xfId="0" applyFont="1" applyFill="1" applyBorder="1" applyAlignment="1">
      <alignment vertic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0" fontId="1" fillId="0" borderId="9" xfId="0" applyFont="1" applyBorder="1"/>
    <xf numFmtId="164" fontId="1" fillId="0" borderId="10" xfId="0" applyNumberFormat="1" applyFont="1" applyBorder="1" applyAlignment="1">
      <alignment horizontal="center"/>
    </xf>
    <xf numFmtId="0" fontId="1" fillId="0" borderId="0" xfId="0" applyFont="1" applyAlignment="1">
      <alignment horizontal="center" vertical="center"/>
    </xf>
    <xf numFmtId="165" fontId="1" fillId="0" borderId="0" xfId="2" applyNumberFormat="1" applyFont="1" applyAlignment="1">
      <alignment horizontal="center" vertical="center"/>
    </xf>
    <xf numFmtId="0" fontId="1" fillId="0" borderId="0" xfId="0" applyFont="1" applyAlignment="1">
      <alignment horizontal="center" textRotation="90"/>
    </xf>
    <xf numFmtId="0" fontId="1" fillId="0" borderId="12" xfId="0" applyFont="1" applyBorder="1"/>
    <xf numFmtId="166" fontId="1" fillId="2" borderId="12" xfId="0" applyNumberFormat="1" applyFont="1" applyFill="1" applyBorder="1"/>
    <xf numFmtId="166" fontId="1" fillId="0" borderId="12" xfId="0" applyNumberFormat="1" applyFont="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2" borderId="9" xfId="0" applyFont="1" applyFill="1" applyBorder="1"/>
    <xf numFmtId="0" fontId="1" fillId="2" borderId="11" xfId="0" applyFont="1" applyFill="1" applyBorder="1"/>
    <xf numFmtId="0" fontId="1" fillId="0" borderId="12" xfId="0" applyFont="1" applyBorder="1" applyAlignment="1">
      <alignment horizontal="center" vertical="center" textRotation="90"/>
    </xf>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1" fillId="2" borderId="2" xfId="0" applyFont="1" applyFill="1" applyBorder="1" applyAlignment="1">
      <alignment horizontal="left" vertical="center" wrapText="1"/>
    </xf>
    <xf numFmtId="0" fontId="1" fillId="0" borderId="1" xfId="0" applyFont="1" applyBorder="1" applyAlignment="1">
      <alignment vertical="center" wrapText="1"/>
    </xf>
    <xf numFmtId="168" fontId="1" fillId="0" borderId="1" xfId="0" applyNumberFormat="1" applyFont="1" applyBorder="1" applyAlignment="1">
      <alignment horizontal="center"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4" xfId="0" applyFont="1" applyBorder="1" applyAlignment="1">
      <alignment vertical="center" wrapText="1"/>
    </xf>
    <xf numFmtId="0" fontId="1" fillId="2" borderId="2" xfId="0" applyFont="1" applyFill="1" applyBorder="1" applyAlignment="1">
      <alignment vertical="center" wrapText="1"/>
    </xf>
    <xf numFmtId="0" fontId="1" fillId="0" borderId="2" xfId="0" applyFont="1" applyBorder="1" applyAlignment="1">
      <alignment vertical="center" wrapText="1"/>
    </xf>
    <xf numFmtId="165" fontId="1" fillId="0" borderId="2" xfId="2" applyNumberFormat="1" applyFont="1" applyBorder="1" applyAlignment="1">
      <alignment horizontal="center" vertical="center" wrapText="1"/>
    </xf>
    <xf numFmtId="0" fontId="1" fillId="0" borderId="0" xfId="0" applyFont="1" applyAlignment="1">
      <alignment vertical="center"/>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2" xfId="0" applyNumberFormat="1"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 fillId="2" borderId="2" xfId="0" applyFont="1" applyFill="1" applyBorder="1" applyAlignment="1">
      <alignment vertical="center" wrapText="1"/>
    </xf>
    <xf numFmtId="0" fontId="2" fillId="2" borderId="2" xfId="0" applyFont="1" applyFill="1" applyBorder="1"/>
    <xf numFmtId="3" fontId="1" fillId="0" borderId="2" xfId="0" applyNumberFormat="1" applyFont="1" applyBorder="1" applyAlignment="1">
      <alignment horizontal="center" vertical="center" wrapText="1"/>
    </xf>
    <xf numFmtId="0" fontId="1" fillId="0" borderId="2" xfId="0" applyFont="1" applyBorder="1" applyAlignment="1">
      <alignment horizontal="center" vertical="center" wrapText="1"/>
    </xf>
    <xf numFmtId="1" fontId="1" fillId="0" borderId="2" xfId="0" applyNumberFormat="1" applyFont="1" applyBorder="1" applyAlignment="1">
      <alignment horizontal="center" vertical="center"/>
    </xf>
    <xf numFmtId="0" fontId="1" fillId="0" borderId="2" xfId="0" applyFont="1" applyBorder="1" applyAlignment="1">
      <alignment horizontal="center" vertical="center" wrapText="1"/>
    </xf>
    <xf numFmtId="1" fontId="1" fillId="0" borderId="2" xfId="0" applyNumberFormat="1" applyFont="1" applyBorder="1" applyAlignment="1">
      <alignment horizontal="center" vertical="center" wrapText="1"/>
    </xf>
    <xf numFmtId="0" fontId="1" fillId="0" borderId="2" xfId="0" applyFont="1" applyBorder="1" applyAlignment="1">
      <alignment horizontal="left"/>
    </xf>
    <xf numFmtId="0" fontId="1" fillId="2" borderId="2" xfId="0" applyFont="1" applyFill="1" applyBorder="1" applyAlignment="1">
      <alignment horizontal="left" vertical="top" wrapText="1"/>
    </xf>
    <xf numFmtId="9" fontId="1" fillId="2" borderId="2" xfId="0" applyNumberFormat="1" applyFont="1" applyFill="1" applyBorder="1" applyAlignment="1">
      <alignment horizontal="center" vertical="center"/>
    </xf>
    <xf numFmtId="0" fontId="1" fillId="2" borderId="2" xfId="0" applyFont="1" applyFill="1" applyBorder="1" applyAlignment="1">
      <alignment horizontal="center" vertical="center"/>
    </xf>
    <xf numFmtId="14" fontId="1"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2"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1" fillId="2" borderId="8" xfId="0" applyFont="1" applyFill="1" applyBorder="1" applyAlignment="1">
      <alignment horizontal="left"/>
    </xf>
    <xf numFmtId="0" fontId="1" fillId="2" borderId="9" xfId="0" applyFont="1" applyFill="1" applyBorder="1" applyAlignment="1">
      <alignment horizontal="left"/>
    </xf>
    <xf numFmtId="0" fontId="1" fillId="2" borderId="0" xfId="0" applyFont="1" applyFill="1" applyAlignment="1">
      <alignment horizontal="left"/>
    </xf>
    <xf numFmtId="0" fontId="1" fillId="2" borderId="10" xfId="0" applyFont="1" applyFill="1" applyBorder="1" applyAlignment="1">
      <alignment horizontal="left"/>
    </xf>
    <xf numFmtId="0" fontId="1" fillId="2" borderId="11" xfId="0" applyFont="1" applyFill="1" applyBorder="1" applyAlignment="1">
      <alignment horizontal="left"/>
    </xf>
    <xf numFmtId="0" fontId="1" fillId="2" borderId="12" xfId="0" applyFont="1" applyFill="1" applyBorder="1" applyAlignment="1">
      <alignment horizontal="left"/>
    </xf>
    <xf numFmtId="0" fontId="1" fillId="2" borderId="13" xfId="0" applyFont="1" applyFill="1" applyBorder="1" applyAlignment="1">
      <alignment horizontal="left"/>
    </xf>
    <xf numFmtId="0" fontId="2" fillId="0" borderId="0" xfId="0" applyFont="1" applyAlignment="1">
      <alignment horizontal="left" vertical="center" wrapText="1"/>
    </xf>
    <xf numFmtId="0" fontId="1" fillId="2" borderId="8" xfId="0" applyFont="1" applyFill="1" applyBorder="1" applyAlignment="1">
      <alignment horizontal="left" vertical="center" wrapText="1"/>
    </xf>
    <xf numFmtId="0" fontId="1" fillId="2" borderId="7" xfId="0" applyFont="1" applyFill="1" applyBorder="1" applyAlignment="1">
      <alignment horizontal="left" vertical="center"/>
    </xf>
    <xf numFmtId="0" fontId="1" fillId="2" borderId="8" xfId="0" applyFont="1" applyFill="1" applyBorder="1" applyAlignment="1">
      <alignment horizontal="left" vertical="center"/>
    </xf>
    <xf numFmtId="0" fontId="1" fillId="2" borderId="11" xfId="0" applyFont="1" applyFill="1" applyBorder="1" applyAlignment="1">
      <alignment horizontal="left" vertical="center" wrapText="1"/>
    </xf>
    <xf numFmtId="0" fontId="1" fillId="2" borderId="13" xfId="0" applyFont="1" applyFill="1" applyBorder="1" applyAlignment="1">
      <alignment horizontal="left" vertical="center" wrapText="1"/>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 fillId="2" borderId="13" xfId="0" applyFont="1" applyFill="1" applyBorder="1" applyAlignment="1">
      <alignment horizontal="left" vertical="center"/>
    </xf>
    <xf numFmtId="9" fontId="1" fillId="0" borderId="2" xfId="0" applyNumberFormat="1" applyFont="1" applyBorder="1" applyAlignment="1">
      <alignment horizontal="center" vertical="center" wrapText="1"/>
    </xf>
    <xf numFmtId="169" fontId="1" fillId="5" borderId="2" xfId="0" applyNumberFormat="1" applyFont="1" applyFill="1" applyBorder="1" applyAlignment="1">
      <alignment horizontal="center"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2" fontId="1" fillId="5" borderId="2" xfId="0" applyNumberFormat="1" applyFont="1" applyFill="1" applyBorder="1" applyAlignment="1">
      <alignment horizontal="center" vertical="center" wrapText="1"/>
    </xf>
    <xf numFmtId="0" fontId="1" fillId="5" borderId="6"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16" fontId="2" fillId="0" borderId="0" xfId="0" applyNumberFormat="1" applyFont="1"/>
    <xf numFmtId="0" fontId="1" fillId="5" borderId="2" xfId="0" applyFont="1" applyFill="1" applyBorder="1" applyAlignment="1">
      <alignment horizontal="left" vertical="center" wrapText="1"/>
    </xf>
    <xf numFmtId="0" fontId="1" fillId="0" borderId="2" xfId="0" applyFont="1" applyBorder="1" applyAlignment="1">
      <alignment horizontal="center"/>
    </xf>
    <xf numFmtId="0" fontId="1" fillId="0" borderId="2" xfId="0" applyFont="1" applyBorder="1" applyAlignment="1">
      <alignment vertical="center" wrapText="1"/>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0" fontId="1" fillId="5" borderId="1" xfId="0" applyFont="1" applyFill="1" applyBorder="1" applyAlignment="1">
      <alignment horizontal="center" vertical="center"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1.19</c:v>
                </c:pt>
                <c:pt idx="1">
                  <c:v>1.64</c:v>
                </c:pt>
                <c:pt idx="2">
                  <c:v>2.2799999999999998</c:v>
                </c:pt>
                <c:pt idx="3">
                  <c:v>2.4300000000000002</c:v>
                </c:pt>
                <c:pt idx="4">
                  <c:v>2.4300000000000002</c:v>
                </c:pt>
                <c:pt idx="5">
                  <c:v>2.13</c:v>
                </c:pt>
                <c:pt idx="6">
                  <c:v>1.53</c:v>
                </c:pt>
                <c:pt idx="7">
                  <c:v>1.39</c:v>
                </c:pt>
                <c:pt idx="8">
                  <c:v>1.17</c:v>
                </c:pt>
                <c:pt idx="9">
                  <c:v>1.1299999999999999</c:v>
                </c:pt>
                <c:pt idx="10">
                  <c:v>1.34</c:v>
                </c:pt>
                <c:pt idx="11">
                  <c:v>1.27</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8.7799999999999994</c:v>
                </c:pt>
                <c:pt idx="1">
                  <c:v>6.51</c:v>
                </c:pt>
                <c:pt idx="2">
                  <c:v>15.21</c:v>
                </c:pt>
                <c:pt idx="3">
                  <c:v>10.35</c:v>
                </c:pt>
                <c:pt idx="4">
                  <c:v>8.66</c:v>
                </c:pt>
                <c:pt idx="5">
                  <c:v>14.12</c:v>
                </c:pt>
                <c:pt idx="6">
                  <c:v>12.83</c:v>
                </c:pt>
                <c:pt idx="7">
                  <c:v>8.3800000000000008</c:v>
                </c:pt>
                <c:pt idx="8">
                  <c:v>6.29</c:v>
                </c:pt>
                <c:pt idx="9">
                  <c:v>6.21</c:v>
                </c:pt>
                <c:pt idx="10">
                  <c:v>3.74</c:v>
                </c:pt>
                <c:pt idx="11">
                  <c:v>6.18</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1.19</c:v>
                </c:pt>
                <c:pt idx="1">
                  <c:v>1.64</c:v>
                </c:pt>
                <c:pt idx="2">
                  <c:v>2.2799999999999998</c:v>
                </c:pt>
                <c:pt idx="3">
                  <c:v>2.39</c:v>
                </c:pt>
                <c:pt idx="4">
                  <c:v>2.4300000000000002</c:v>
                </c:pt>
                <c:pt idx="5">
                  <c:v>2.13</c:v>
                </c:pt>
                <c:pt idx="6">
                  <c:v>1.53</c:v>
                </c:pt>
                <c:pt idx="7">
                  <c:v>1.39</c:v>
                </c:pt>
                <c:pt idx="8">
                  <c:v>1.17</c:v>
                </c:pt>
                <c:pt idx="9">
                  <c:v>1.1299999999999999</c:v>
                </c:pt>
                <c:pt idx="10">
                  <c:v>1.32</c:v>
                </c:pt>
                <c:pt idx="11">
                  <c:v>1.27</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3.31</c:v>
                </c:pt>
                <c:pt idx="1">
                  <c:v>2.4300000000000002</c:v>
                </c:pt>
                <c:pt idx="2">
                  <c:v>4.34</c:v>
                </c:pt>
                <c:pt idx="3">
                  <c:v>4.34</c:v>
                </c:pt>
                <c:pt idx="4">
                  <c:v>4.1399999999999997</c:v>
                </c:pt>
                <c:pt idx="5">
                  <c:v>5.5</c:v>
                </c:pt>
                <c:pt idx="6">
                  <c:v>3.19</c:v>
                </c:pt>
                <c:pt idx="7">
                  <c:v>3.21</c:v>
                </c:pt>
                <c:pt idx="8">
                  <c:v>2.75</c:v>
                </c:pt>
                <c:pt idx="9">
                  <c:v>2.4900000000000002</c:v>
                </c:pt>
                <c:pt idx="10">
                  <c:v>2.68</c:v>
                </c:pt>
                <c:pt idx="11">
                  <c:v>2.19</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0.98</c:v>
                </c:pt>
                <c:pt idx="1">
                  <c:v>1.9</c:v>
                </c:pt>
                <c:pt idx="2">
                  <c:v>3.05</c:v>
                </c:pt>
                <c:pt idx="3">
                  <c:v>4.29</c:v>
                </c:pt>
                <c:pt idx="4">
                  <c:v>3.07</c:v>
                </c:pt>
                <c:pt idx="5">
                  <c:v>3.34</c:v>
                </c:pt>
                <c:pt idx="6">
                  <c:v>3.45</c:v>
                </c:pt>
                <c:pt idx="7">
                  <c:v>2.89</c:v>
                </c:pt>
                <c:pt idx="8">
                  <c:v>3.23</c:v>
                </c:pt>
                <c:pt idx="9">
                  <c:v>2.96</c:v>
                </c:pt>
                <c:pt idx="10">
                  <c:v>22.09</c:v>
                </c:pt>
                <c:pt idx="11">
                  <c:v>8.23</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134.97999999999999</c:v>
                </c:pt>
                <c:pt idx="1">
                  <c:v>59.4</c:v>
                </c:pt>
                <c:pt idx="2">
                  <c:v>131.81</c:v>
                </c:pt>
                <c:pt idx="3">
                  <c:v>66.17</c:v>
                </c:pt>
                <c:pt idx="4">
                  <c:v>65.37</c:v>
                </c:pt>
                <c:pt idx="5">
                  <c:v>91.09</c:v>
                </c:pt>
                <c:pt idx="6">
                  <c:v>118.28</c:v>
                </c:pt>
                <c:pt idx="7">
                  <c:v>111.52</c:v>
                </c:pt>
                <c:pt idx="8">
                  <c:v>76.23</c:v>
                </c:pt>
                <c:pt idx="9">
                  <c:v>47.62</c:v>
                </c:pt>
                <c:pt idx="10">
                  <c:v>137.54</c:v>
                </c:pt>
                <c:pt idx="11">
                  <c:v>159.80000000000001</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0.98</c:v>
                </c:pt>
                <c:pt idx="1">
                  <c:v>1.86</c:v>
                </c:pt>
                <c:pt idx="2">
                  <c:v>3.06</c:v>
                </c:pt>
                <c:pt idx="3">
                  <c:v>4.2300000000000004</c:v>
                </c:pt>
                <c:pt idx="4">
                  <c:v>3.07</c:v>
                </c:pt>
                <c:pt idx="5">
                  <c:v>3.34</c:v>
                </c:pt>
                <c:pt idx="6">
                  <c:v>3.45</c:v>
                </c:pt>
                <c:pt idx="7">
                  <c:v>2.88</c:v>
                </c:pt>
                <c:pt idx="8">
                  <c:v>3.23</c:v>
                </c:pt>
                <c:pt idx="9">
                  <c:v>2.95</c:v>
                </c:pt>
                <c:pt idx="10">
                  <c:v>21.89</c:v>
                </c:pt>
                <c:pt idx="11">
                  <c:v>8.25</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4.57</c:v>
                </c:pt>
                <c:pt idx="1">
                  <c:v>7.03</c:v>
                </c:pt>
                <c:pt idx="2">
                  <c:v>13.76</c:v>
                </c:pt>
                <c:pt idx="3">
                  <c:v>11.26</c:v>
                </c:pt>
                <c:pt idx="4">
                  <c:v>9.02</c:v>
                </c:pt>
                <c:pt idx="5">
                  <c:v>14.29</c:v>
                </c:pt>
                <c:pt idx="6">
                  <c:v>6.77</c:v>
                </c:pt>
                <c:pt idx="7">
                  <c:v>8.3699999999999992</c:v>
                </c:pt>
                <c:pt idx="8">
                  <c:v>7.2</c:v>
                </c:pt>
                <c:pt idx="9">
                  <c:v>6.3</c:v>
                </c:pt>
                <c:pt idx="10">
                  <c:v>32.75</c:v>
                </c:pt>
                <c:pt idx="11">
                  <c:v>26.89</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185.49</c:v>
                </c:pt>
                <c:pt idx="1">
                  <c:v>190.8</c:v>
                </c:pt>
                <c:pt idx="2">
                  <c:v>189.92</c:v>
                </c:pt>
                <c:pt idx="3">
                  <c:v>189.98</c:v>
                </c:pt>
                <c:pt idx="4">
                  <c:v>189.69</c:v>
                </c:pt>
                <c:pt idx="5">
                  <c:v>190.35</c:v>
                </c:pt>
                <c:pt idx="6">
                  <c:v>190.48</c:v>
                </c:pt>
                <c:pt idx="7">
                  <c:v>189.45</c:v>
                </c:pt>
                <c:pt idx="8">
                  <c:v>190.26</c:v>
                </c:pt>
                <c:pt idx="9">
                  <c:v>190.46</c:v>
                </c:pt>
                <c:pt idx="10">
                  <c:v>190.23</c:v>
                </c:pt>
                <c:pt idx="11">
                  <c:v>190.3</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250.46</c:v>
                </c:pt>
                <c:pt idx="1">
                  <c:v>285.35000000000002</c:v>
                </c:pt>
                <c:pt idx="2">
                  <c:v>267.98</c:v>
                </c:pt>
                <c:pt idx="3">
                  <c:v>268.66000000000003</c:v>
                </c:pt>
                <c:pt idx="4">
                  <c:v>251.15</c:v>
                </c:pt>
                <c:pt idx="5">
                  <c:v>246.11</c:v>
                </c:pt>
                <c:pt idx="6">
                  <c:v>244.82</c:v>
                </c:pt>
                <c:pt idx="7">
                  <c:v>231.03</c:v>
                </c:pt>
                <c:pt idx="8">
                  <c:v>239.6</c:v>
                </c:pt>
                <c:pt idx="9">
                  <c:v>235.24</c:v>
                </c:pt>
                <c:pt idx="10">
                  <c:v>238.58</c:v>
                </c:pt>
                <c:pt idx="11">
                  <c:v>278.47000000000003</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185.49</c:v>
                </c:pt>
                <c:pt idx="1">
                  <c:v>190.79</c:v>
                </c:pt>
                <c:pt idx="2">
                  <c:v>189.92</c:v>
                </c:pt>
                <c:pt idx="3">
                  <c:v>189.85</c:v>
                </c:pt>
                <c:pt idx="4">
                  <c:v>189.69</c:v>
                </c:pt>
                <c:pt idx="5">
                  <c:v>190.35</c:v>
                </c:pt>
                <c:pt idx="6">
                  <c:v>190.48</c:v>
                </c:pt>
                <c:pt idx="7">
                  <c:v>189.46</c:v>
                </c:pt>
                <c:pt idx="8">
                  <c:v>190.26</c:v>
                </c:pt>
                <c:pt idx="9">
                  <c:v>190.48</c:v>
                </c:pt>
                <c:pt idx="10">
                  <c:v>189.83</c:v>
                </c:pt>
                <c:pt idx="11">
                  <c:v>190.3</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195.64</c:v>
                </c:pt>
                <c:pt idx="1">
                  <c:v>192.32</c:v>
                </c:pt>
                <c:pt idx="2">
                  <c:v>191.95</c:v>
                </c:pt>
                <c:pt idx="3">
                  <c:v>192.87</c:v>
                </c:pt>
                <c:pt idx="4">
                  <c:v>190.74</c:v>
                </c:pt>
                <c:pt idx="5">
                  <c:v>190.93</c:v>
                </c:pt>
                <c:pt idx="6">
                  <c:v>190.83</c:v>
                </c:pt>
                <c:pt idx="7">
                  <c:v>193.52</c:v>
                </c:pt>
                <c:pt idx="8">
                  <c:v>191.06</c:v>
                </c:pt>
                <c:pt idx="9">
                  <c:v>192.06</c:v>
                </c:pt>
                <c:pt idx="10">
                  <c:v>190.76</c:v>
                </c:pt>
                <c:pt idx="11">
                  <c:v>191.5</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0.93</c:v>
                </c:pt>
                <c:pt idx="1">
                  <c:v>0.87</c:v>
                </c:pt>
                <c:pt idx="2">
                  <c:v>1.03</c:v>
                </c:pt>
                <c:pt idx="3">
                  <c:v>0.76</c:v>
                </c:pt>
                <c:pt idx="4">
                  <c:v>0.53</c:v>
                </c:pt>
                <c:pt idx="5">
                  <c:v>0.45</c:v>
                </c:pt>
                <c:pt idx="6">
                  <c:v>0.28999999999999998</c:v>
                </c:pt>
                <c:pt idx="7">
                  <c:v>0.18</c:v>
                </c:pt>
                <c:pt idx="8">
                  <c:v>0.23</c:v>
                </c:pt>
                <c:pt idx="9">
                  <c:v>0.12</c:v>
                </c:pt>
                <c:pt idx="10">
                  <c:v>0.05</c:v>
                </c:pt>
                <c:pt idx="11">
                  <c:v>0.03</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6.22</c:v>
                </c:pt>
                <c:pt idx="1">
                  <c:v>1.59</c:v>
                </c:pt>
                <c:pt idx="2">
                  <c:v>7.8</c:v>
                </c:pt>
                <c:pt idx="3">
                  <c:v>6.48</c:v>
                </c:pt>
                <c:pt idx="4">
                  <c:v>3.4</c:v>
                </c:pt>
                <c:pt idx="5">
                  <c:v>3.76</c:v>
                </c:pt>
                <c:pt idx="6">
                  <c:v>5.08</c:v>
                </c:pt>
                <c:pt idx="7">
                  <c:v>6.09</c:v>
                </c:pt>
                <c:pt idx="8">
                  <c:v>4.67</c:v>
                </c:pt>
                <c:pt idx="9">
                  <c:v>3.67</c:v>
                </c:pt>
                <c:pt idx="10">
                  <c:v>1.45</c:v>
                </c:pt>
                <c:pt idx="11">
                  <c:v>2.76</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0.93</c:v>
                </c:pt>
                <c:pt idx="1">
                  <c:v>0.87</c:v>
                </c:pt>
                <c:pt idx="2">
                  <c:v>1.03</c:v>
                </c:pt>
                <c:pt idx="3">
                  <c:v>0.76</c:v>
                </c:pt>
                <c:pt idx="4">
                  <c:v>0.53</c:v>
                </c:pt>
                <c:pt idx="5">
                  <c:v>0.45</c:v>
                </c:pt>
                <c:pt idx="6">
                  <c:v>0.28999999999999998</c:v>
                </c:pt>
                <c:pt idx="7">
                  <c:v>0.18</c:v>
                </c:pt>
                <c:pt idx="8">
                  <c:v>0.23</c:v>
                </c:pt>
                <c:pt idx="9">
                  <c:v>0.12</c:v>
                </c:pt>
                <c:pt idx="10">
                  <c:v>0.06</c:v>
                </c:pt>
                <c:pt idx="11">
                  <c:v>0.03</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1.73</c:v>
                </c:pt>
                <c:pt idx="1">
                  <c:v>1.19</c:v>
                </c:pt>
                <c:pt idx="2">
                  <c:v>2.2400000000000002</c:v>
                </c:pt>
                <c:pt idx="3">
                  <c:v>1.89</c:v>
                </c:pt>
                <c:pt idx="4">
                  <c:v>0.91</c:v>
                </c:pt>
                <c:pt idx="5">
                  <c:v>0.91</c:v>
                </c:pt>
                <c:pt idx="6">
                  <c:v>1.44</c:v>
                </c:pt>
                <c:pt idx="7">
                  <c:v>0.41</c:v>
                </c:pt>
                <c:pt idx="8">
                  <c:v>1.29</c:v>
                </c:pt>
                <c:pt idx="9">
                  <c:v>0.66</c:v>
                </c:pt>
                <c:pt idx="10">
                  <c:v>0.33</c:v>
                </c:pt>
                <c:pt idx="11">
                  <c:v>0.33</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0.36</c:v>
                </c:pt>
                <c:pt idx="1">
                  <c:v>0.35</c:v>
                </c:pt>
                <c:pt idx="2">
                  <c:v>0.24</c:v>
                </c:pt>
                <c:pt idx="3">
                  <c:v>0.36</c:v>
                </c:pt>
                <c:pt idx="4">
                  <c:v>0.28999999999999998</c:v>
                </c:pt>
                <c:pt idx="5">
                  <c:v>0.26</c:v>
                </c:pt>
                <c:pt idx="6">
                  <c:v>0.3</c:v>
                </c:pt>
                <c:pt idx="7">
                  <c:v>0.41</c:v>
                </c:pt>
                <c:pt idx="8">
                  <c:v>0.49</c:v>
                </c:pt>
                <c:pt idx="9">
                  <c:v>0.53</c:v>
                </c:pt>
                <c:pt idx="10">
                  <c:v>0.21</c:v>
                </c:pt>
                <c:pt idx="11">
                  <c:v>0.04</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0.92</c:v>
                </c:pt>
                <c:pt idx="1">
                  <c:v>0.77</c:v>
                </c:pt>
                <c:pt idx="2">
                  <c:v>1.8</c:v>
                </c:pt>
                <c:pt idx="3">
                  <c:v>1.78</c:v>
                </c:pt>
                <c:pt idx="4">
                  <c:v>3.69</c:v>
                </c:pt>
                <c:pt idx="5">
                  <c:v>2.0699999999999998</c:v>
                </c:pt>
                <c:pt idx="6">
                  <c:v>0.7</c:v>
                </c:pt>
                <c:pt idx="7">
                  <c:v>2.5099999999999998</c:v>
                </c:pt>
                <c:pt idx="8">
                  <c:v>4.1900000000000004</c:v>
                </c:pt>
                <c:pt idx="9">
                  <c:v>4.57</c:v>
                </c:pt>
                <c:pt idx="10">
                  <c:v>2.02</c:v>
                </c:pt>
                <c:pt idx="11">
                  <c:v>4.87</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0.36</c:v>
                </c:pt>
                <c:pt idx="1">
                  <c:v>0.34</c:v>
                </c:pt>
                <c:pt idx="2">
                  <c:v>0.24</c:v>
                </c:pt>
                <c:pt idx="3">
                  <c:v>0.36</c:v>
                </c:pt>
                <c:pt idx="4">
                  <c:v>0.28999999999999998</c:v>
                </c:pt>
                <c:pt idx="5">
                  <c:v>0.26</c:v>
                </c:pt>
                <c:pt idx="6">
                  <c:v>0.3</c:v>
                </c:pt>
                <c:pt idx="7">
                  <c:v>0.41</c:v>
                </c:pt>
                <c:pt idx="8">
                  <c:v>0.49</c:v>
                </c:pt>
                <c:pt idx="9">
                  <c:v>0.53</c:v>
                </c:pt>
                <c:pt idx="10">
                  <c:v>0.21</c:v>
                </c:pt>
                <c:pt idx="11">
                  <c:v>0.04</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0.56999999999999995</c:v>
                </c:pt>
                <c:pt idx="1">
                  <c:v>0.46</c:v>
                </c:pt>
                <c:pt idx="2">
                  <c:v>0.42</c:v>
                </c:pt>
                <c:pt idx="3">
                  <c:v>0.49</c:v>
                </c:pt>
                <c:pt idx="4">
                  <c:v>0.38</c:v>
                </c:pt>
                <c:pt idx="5">
                  <c:v>0.4</c:v>
                </c:pt>
                <c:pt idx="6">
                  <c:v>0.6</c:v>
                </c:pt>
                <c:pt idx="7">
                  <c:v>0.62</c:v>
                </c:pt>
                <c:pt idx="8">
                  <c:v>0.64</c:v>
                </c:pt>
                <c:pt idx="9">
                  <c:v>0.77</c:v>
                </c:pt>
                <c:pt idx="10">
                  <c:v>0.39</c:v>
                </c:pt>
                <c:pt idx="11">
                  <c:v>0.14000000000000001</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pt idx="0">
                  <c:v>4.08</c:v>
                </c:pt>
                <c:pt idx="1">
                  <c:v>3.22</c:v>
                </c:pt>
                <c:pt idx="2">
                  <c:v>2.68</c:v>
                </c:pt>
                <c:pt idx="3">
                  <c:v>2.99</c:v>
                </c:pt>
                <c:pt idx="4">
                  <c:v>3.28</c:v>
                </c:pt>
                <c:pt idx="5">
                  <c:v>1.94</c:v>
                </c:pt>
                <c:pt idx="6">
                  <c:v>7.0000000000000007E-2</c:v>
                </c:pt>
                <c:pt idx="7">
                  <c:v>0.24</c:v>
                </c:pt>
                <c:pt idx="8">
                  <c:v>0.15</c:v>
                </c:pt>
                <c:pt idx="9">
                  <c:v>7.0000000000000007E-2</c:v>
                </c:pt>
                <c:pt idx="10">
                  <c:v>1.97</c:v>
                </c:pt>
                <c:pt idx="11">
                  <c:v>0.51</c:v>
                </c:pt>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pt idx="0">
                  <c:v>19.54</c:v>
                </c:pt>
                <c:pt idx="1">
                  <c:v>58.27</c:v>
                </c:pt>
                <c:pt idx="2">
                  <c:v>64.89</c:v>
                </c:pt>
                <c:pt idx="3">
                  <c:v>22.34</c:v>
                </c:pt>
                <c:pt idx="4">
                  <c:v>29.73</c:v>
                </c:pt>
                <c:pt idx="5">
                  <c:v>39.31</c:v>
                </c:pt>
                <c:pt idx="6">
                  <c:v>12.11</c:v>
                </c:pt>
                <c:pt idx="7">
                  <c:v>75.45</c:v>
                </c:pt>
                <c:pt idx="8">
                  <c:v>32.82</c:v>
                </c:pt>
                <c:pt idx="9">
                  <c:v>18.260000000000002</c:v>
                </c:pt>
                <c:pt idx="10">
                  <c:v>55.31</c:v>
                </c:pt>
                <c:pt idx="11">
                  <c:v>37.770000000000003</c:v>
                </c:pt>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pt idx="0">
                  <c:v>4.08</c:v>
                </c:pt>
                <c:pt idx="1">
                  <c:v>3.28</c:v>
                </c:pt>
                <c:pt idx="2">
                  <c:v>2.68</c:v>
                </c:pt>
                <c:pt idx="3">
                  <c:v>2.99</c:v>
                </c:pt>
                <c:pt idx="4">
                  <c:v>3.29</c:v>
                </c:pt>
                <c:pt idx="5">
                  <c:v>1.94</c:v>
                </c:pt>
                <c:pt idx="6">
                  <c:v>7.0000000000000007E-2</c:v>
                </c:pt>
                <c:pt idx="7">
                  <c:v>0.26</c:v>
                </c:pt>
                <c:pt idx="8">
                  <c:v>0.15</c:v>
                </c:pt>
                <c:pt idx="9">
                  <c:v>7.0000000000000007E-2</c:v>
                </c:pt>
                <c:pt idx="10">
                  <c:v>2.08</c:v>
                </c:pt>
                <c:pt idx="11">
                  <c:v>0.51</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pt idx="0">
                  <c:v>4.8499999999999996</c:v>
                </c:pt>
                <c:pt idx="1">
                  <c:v>4.76</c:v>
                </c:pt>
                <c:pt idx="2">
                  <c:v>4.3</c:v>
                </c:pt>
                <c:pt idx="3">
                  <c:v>4.32</c:v>
                </c:pt>
                <c:pt idx="4">
                  <c:v>4.09</c:v>
                </c:pt>
                <c:pt idx="5">
                  <c:v>4.1900000000000004</c:v>
                </c:pt>
                <c:pt idx="6">
                  <c:v>0.28999999999999998</c:v>
                </c:pt>
                <c:pt idx="7">
                  <c:v>2.2400000000000002</c:v>
                </c:pt>
                <c:pt idx="8">
                  <c:v>1.58</c:v>
                </c:pt>
                <c:pt idx="9">
                  <c:v>0.38</c:v>
                </c:pt>
                <c:pt idx="10">
                  <c:v>4.75</c:v>
                </c:pt>
                <c:pt idx="11">
                  <c:v>2.25</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1.33</c:v>
                </c:pt>
                <c:pt idx="1">
                  <c:v>1.97</c:v>
                </c:pt>
                <c:pt idx="2">
                  <c:v>2.41</c:v>
                </c:pt>
                <c:pt idx="3">
                  <c:v>2.7</c:v>
                </c:pt>
                <c:pt idx="4">
                  <c:v>2.91</c:v>
                </c:pt>
                <c:pt idx="5">
                  <c:v>2.11</c:v>
                </c:pt>
                <c:pt idx="6">
                  <c:v>1.36</c:v>
                </c:pt>
                <c:pt idx="7">
                  <c:v>1.69</c:v>
                </c:pt>
                <c:pt idx="8">
                  <c:v>1.57</c:v>
                </c:pt>
                <c:pt idx="9">
                  <c:v>1.19</c:v>
                </c:pt>
                <c:pt idx="10">
                  <c:v>1.75</c:v>
                </c:pt>
                <c:pt idx="11">
                  <c:v>1.64</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1.98</c:v>
                </c:pt>
                <c:pt idx="1">
                  <c:v>4.04</c:v>
                </c:pt>
                <c:pt idx="2">
                  <c:v>8.9</c:v>
                </c:pt>
                <c:pt idx="3">
                  <c:v>5.33</c:v>
                </c:pt>
                <c:pt idx="4">
                  <c:v>4.0999999999999996</c:v>
                </c:pt>
                <c:pt idx="5">
                  <c:v>3.59</c:v>
                </c:pt>
                <c:pt idx="6">
                  <c:v>2.88</c:v>
                </c:pt>
                <c:pt idx="7">
                  <c:v>7.38</c:v>
                </c:pt>
                <c:pt idx="8">
                  <c:v>2.94</c:v>
                </c:pt>
                <c:pt idx="9">
                  <c:v>3.32</c:v>
                </c:pt>
                <c:pt idx="10">
                  <c:v>5.5</c:v>
                </c:pt>
                <c:pt idx="11">
                  <c:v>16.329999999999998</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1.34</c:v>
                </c:pt>
                <c:pt idx="1">
                  <c:v>1.99</c:v>
                </c:pt>
                <c:pt idx="2">
                  <c:v>2.41</c:v>
                </c:pt>
                <c:pt idx="3">
                  <c:v>2.71</c:v>
                </c:pt>
                <c:pt idx="4">
                  <c:v>2.91</c:v>
                </c:pt>
                <c:pt idx="5">
                  <c:v>2.11</c:v>
                </c:pt>
                <c:pt idx="6">
                  <c:v>1.36</c:v>
                </c:pt>
                <c:pt idx="7">
                  <c:v>1.69</c:v>
                </c:pt>
                <c:pt idx="8">
                  <c:v>1.57</c:v>
                </c:pt>
                <c:pt idx="9">
                  <c:v>1.19</c:v>
                </c:pt>
                <c:pt idx="10">
                  <c:v>1.8</c:v>
                </c:pt>
                <c:pt idx="11">
                  <c:v>1.64</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1.62</c:v>
                </c:pt>
                <c:pt idx="1">
                  <c:v>2.58</c:v>
                </c:pt>
                <c:pt idx="2">
                  <c:v>4.12</c:v>
                </c:pt>
                <c:pt idx="3">
                  <c:v>3.45</c:v>
                </c:pt>
                <c:pt idx="4">
                  <c:v>3.2</c:v>
                </c:pt>
                <c:pt idx="5">
                  <c:v>3.15</c:v>
                </c:pt>
                <c:pt idx="6">
                  <c:v>1.98</c:v>
                </c:pt>
                <c:pt idx="7">
                  <c:v>3</c:v>
                </c:pt>
                <c:pt idx="8">
                  <c:v>1.94</c:v>
                </c:pt>
                <c:pt idx="9">
                  <c:v>2.09</c:v>
                </c:pt>
                <c:pt idx="10">
                  <c:v>2.88</c:v>
                </c:pt>
                <c:pt idx="11">
                  <c:v>2.96</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438150</xdr:colOff>
          <xdr:row>8</xdr:row>
          <xdr:rowOff>114300</xdr:rowOff>
        </xdr:from>
        <xdr:to>
          <xdr:col>15</xdr:col>
          <xdr:colOff>285750</xdr:colOff>
          <xdr:row>11</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5</xdr:row>
          <xdr:rowOff>104775</xdr:rowOff>
        </xdr:from>
        <xdr:to>
          <xdr:col>15</xdr:col>
          <xdr:colOff>295275</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2</xdr:col>
      <xdr:colOff>266700</xdr:colOff>
      <xdr:row>0</xdr:row>
      <xdr:rowOff>0</xdr:rowOff>
    </xdr:from>
    <xdr:to>
      <xdr:col>7</xdr:col>
      <xdr:colOff>325246</xdr:colOff>
      <xdr:row>6</xdr:row>
      <xdr:rowOff>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57375" y="0"/>
          <a:ext cx="3154171" cy="1143000"/>
        </a:xfrm>
        <a:prstGeom prst="rect">
          <a:avLst/>
        </a:prstGeom>
      </xdr:spPr>
    </xdr:pic>
    <xdr:clientData/>
  </xdr:twoCellAnchor>
  <xdr:twoCellAnchor editAs="oneCell">
    <xdr:from>
      <xdr:col>1</xdr:col>
      <xdr:colOff>0</xdr:colOff>
      <xdr:row>7</xdr:row>
      <xdr:rowOff>0</xdr:rowOff>
    </xdr:from>
    <xdr:to>
      <xdr:col>8</xdr:col>
      <xdr:colOff>609600</xdr:colOff>
      <xdr:row>25</xdr:row>
      <xdr:rowOff>92075</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9125" y="1333500"/>
          <a:ext cx="5295900" cy="35306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9525</xdr:colOff>
      <xdr:row>52</xdr:row>
      <xdr:rowOff>28580</xdr:rowOff>
    </xdr:from>
    <xdr:to>
      <xdr:col>2</xdr:col>
      <xdr:colOff>590550</xdr:colOff>
      <xdr:row>53</xdr:row>
      <xdr:rowOff>160927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1067301" y="9943604"/>
          <a:ext cx="322847" cy="12001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219075</xdr:colOff>
      <xdr:row>26</xdr:row>
      <xdr:rowOff>171451</xdr:rowOff>
    </xdr:from>
    <xdr:to>
      <xdr:col>3</xdr:col>
      <xdr:colOff>180975</xdr:colOff>
      <xdr:row>28</xdr:row>
      <xdr:rowOff>132348</xdr:rowOff>
    </xdr:to>
    <xdr:pic>
      <xdr:nvPicPr>
        <xdr:cNvPr id="2" name="Picture 1">
          <a:extLst>
            <a:ext uri="{FF2B5EF4-FFF2-40B4-BE49-F238E27FC236}">
              <a16:creationId xmlns:a16="http://schemas.microsoft.com/office/drawing/2014/main" id="{AE97A91B-FA69-4D85-BE7E-4613771D2F7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1286376" y="5866900"/>
          <a:ext cx="322847" cy="12001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1</xdr:row>
          <xdr:rowOff>38100</xdr:rowOff>
        </xdr:from>
        <xdr:to>
          <xdr:col>8</xdr:col>
          <xdr:colOff>361950</xdr:colOff>
          <xdr:row>7</xdr:row>
          <xdr:rowOff>323850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info@newlincs.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11.bin"/><Relationship Id="rId5" Type="http://schemas.openxmlformats.org/officeDocument/2006/relationships/image" Target="../media/image4.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workbookViewId="0">
      <selection activeCell="B55" sqref="B55"/>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4" width="9.28515625" style="2"/>
    <col min="15" max="15" width="9.28515625" style="2" customWidth="1"/>
    <col min="16" max="16384" width="9.28515625" style="2"/>
  </cols>
  <sheetData>
    <row r="1" spans="2:16">
      <c r="B1" s="93"/>
      <c r="C1" s="93"/>
      <c r="D1" s="270" t="s">
        <v>0</v>
      </c>
      <c r="E1" s="270"/>
      <c r="F1" s="270"/>
      <c r="G1" s="270"/>
      <c r="H1" s="93"/>
      <c r="I1" s="93"/>
      <c r="J1" s="93"/>
      <c r="K1" s="93"/>
      <c r="L1" s="93"/>
      <c r="M1" s="93"/>
      <c r="N1" s="93"/>
      <c r="O1" s="93"/>
      <c r="P1" s="93"/>
    </row>
    <row r="2" spans="2:16">
      <c r="B2" s="93"/>
      <c r="C2" s="93"/>
      <c r="D2" s="270"/>
      <c r="E2" s="270"/>
      <c r="F2" s="270"/>
      <c r="G2" s="270"/>
      <c r="H2" s="93"/>
      <c r="I2" s="93"/>
      <c r="J2" s="93"/>
      <c r="K2" s="93"/>
      <c r="L2" s="93"/>
      <c r="M2" s="93"/>
      <c r="N2" s="93" t="s">
        <v>1</v>
      </c>
      <c r="O2" s="93"/>
      <c r="P2" s="271"/>
    </row>
    <row r="3" spans="2:16">
      <c r="B3" s="93"/>
      <c r="C3" s="93"/>
      <c r="D3" s="270"/>
      <c r="E3" s="270"/>
      <c r="F3" s="270"/>
      <c r="G3" s="270"/>
      <c r="H3" s="93"/>
      <c r="I3" s="93"/>
      <c r="J3" s="93"/>
      <c r="K3" s="93"/>
      <c r="L3" s="93"/>
      <c r="M3" s="93"/>
      <c r="N3" s="271"/>
      <c r="O3" s="93"/>
      <c r="P3" s="93"/>
    </row>
    <row r="4" spans="2:16">
      <c r="B4" s="93"/>
      <c r="C4" s="93"/>
      <c r="D4" s="270"/>
      <c r="E4" s="270"/>
      <c r="F4" s="270"/>
      <c r="G4" s="270"/>
      <c r="H4" s="93"/>
      <c r="I4" s="93"/>
      <c r="J4" s="93"/>
      <c r="K4" s="93"/>
      <c r="L4" s="93"/>
      <c r="M4" s="93"/>
      <c r="N4" s="93"/>
      <c r="O4" s="93"/>
      <c r="P4" s="93"/>
    </row>
    <row r="5" spans="2:16">
      <c r="B5" s="93"/>
      <c r="C5" s="93"/>
      <c r="D5" s="270"/>
      <c r="E5" s="270"/>
      <c r="F5" s="270"/>
      <c r="G5" s="270"/>
      <c r="H5" s="93"/>
      <c r="I5" s="93"/>
      <c r="J5" s="93"/>
      <c r="K5" s="93"/>
      <c r="L5" s="93"/>
      <c r="M5" s="93"/>
      <c r="N5" s="93"/>
      <c r="O5" s="93"/>
      <c r="P5" s="93"/>
    </row>
    <row r="6" spans="2:16">
      <c r="B6" s="93"/>
      <c r="C6" s="93"/>
      <c r="D6" s="270"/>
      <c r="E6" s="270"/>
      <c r="F6" s="270"/>
      <c r="G6" s="270"/>
      <c r="H6" s="93"/>
      <c r="I6" s="93"/>
      <c r="J6" s="93"/>
      <c r="K6" s="93"/>
      <c r="L6" s="93"/>
      <c r="M6" s="93"/>
      <c r="N6" s="93"/>
      <c r="O6" s="93"/>
      <c r="P6" s="93"/>
    </row>
    <row r="8" spans="2:16" ht="15.75" customHeight="1">
      <c r="B8" s="270" t="s">
        <v>2</v>
      </c>
      <c r="C8" s="270"/>
      <c r="D8" s="270"/>
      <c r="E8" s="270"/>
      <c r="F8" s="270"/>
      <c r="G8" s="270"/>
      <c r="H8" s="270"/>
      <c r="I8" s="270"/>
      <c r="J8" s="93"/>
      <c r="K8" s="93"/>
      <c r="L8" s="93"/>
      <c r="M8" s="93"/>
      <c r="N8" s="71"/>
      <c r="O8" s="93"/>
      <c r="P8" s="93"/>
    </row>
    <row r="9" spans="2:16">
      <c r="B9" s="270"/>
      <c r="C9" s="270"/>
      <c r="D9" s="270"/>
      <c r="E9" s="270"/>
      <c r="F9" s="270"/>
      <c r="G9" s="270"/>
      <c r="H9" s="270"/>
      <c r="I9" s="270"/>
      <c r="J9" s="93"/>
      <c r="K9" s="93"/>
      <c r="L9" s="93"/>
      <c r="M9" s="93"/>
      <c r="N9" s="93"/>
      <c r="O9" s="93"/>
      <c r="P9" s="93"/>
    </row>
    <row r="10" spans="2:16">
      <c r="B10" s="270"/>
      <c r="C10" s="270"/>
      <c r="D10" s="270"/>
      <c r="E10" s="270"/>
      <c r="F10" s="270"/>
      <c r="G10" s="270"/>
      <c r="H10" s="270"/>
      <c r="I10" s="270"/>
      <c r="J10" s="93"/>
      <c r="K10" s="93"/>
      <c r="L10" s="93"/>
      <c r="M10" s="93"/>
      <c r="N10" s="93"/>
      <c r="O10" s="93"/>
      <c r="P10" s="93"/>
    </row>
    <row r="11" spans="2:16">
      <c r="B11" s="270"/>
      <c r="C11" s="270"/>
      <c r="D11" s="270"/>
      <c r="E11" s="270"/>
      <c r="F11" s="270"/>
      <c r="G11" s="270"/>
      <c r="H11" s="270"/>
      <c r="I11" s="270"/>
      <c r="J11" s="93"/>
      <c r="K11" s="93"/>
      <c r="L11" s="93"/>
      <c r="M11" s="93"/>
      <c r="N11" s="93"/>
      <c r="O11" s="93"/>
      <c r="P11" s="93"/>
    </row>
    <row r="12" spans="2:16">
      <c r="B12" s="270"/>
      <c r="C12" s="270"/>
      <c r="D12" s="270"/>
      <c r="E12" s="270"/>
      <c r="F12" s="270"/>
      <c r="G12" s="270"/>
      <c r="H12" s="270"/>
      <c r="I12" s="270"/>
      <c r="J12" s="93"/>
      <c r="K12" s="93"/>
      <c r="L12" s="93"/>
      <c r="M12" s="93"/>
      <c r="N12" s="93"/>
      <c r="O12" s="93"/>
      <c r="P12" s="93"/>
    </row>
    <row r="13" spans="2:16">
      <c r="B13" s="270"/>
      <c r="C13" s="270"/>
      <c r="D13" s="270"/>
      <c r="E13" s="270"/>
      <c r="F13" s="270"/>
      <c r="G13" s="270"/>
      <c r="H13" s="270"/>
      <c r="I13" s="270"/>
      <c r="J13" s="93"/>
      <c r="K13" s="93"/>
      <c r="L13" s="93"/>
      <c r="M13" s="93"/>
      <c r="N13" s="75" t="s">
        <v>3</v>
      </c>
      <c r="O13" s="73"/>
      <c r="P13" s="73"/>
    </row>
    <row r="14" spans="2:16" ht="15.6" customHeight="1">
      <c r="B14" s="270"/>
      <c r="C14" s="270"/>
      <c r="D14" s="270"/>
      <c r="E14" s="270"/>
      <c r="F14" s="270"/>
      <c r="G14" s="270"/>
      <c r="H14" s="270"/>
      <c r="I14" s="270"/>
      <c r="J14" s="93"/>
      <c r="K14" s="93"/>
      <c r="L14" s="93"/>
      <c r="M14" s="93"/>
      <c r="N14" s="119" t="s">
        <v>4</v>
      </c>
      <c r="O14" s="119"/>
      <c r="P14" s="119"/>
    </row>
    <row r="15" spans="2:16">
      <c r="B15" s="270"/>
      <c r="C15" s="270"/>
      <c r="D15" s="270"/>
      <c r="E15" s="270"/>
      <c r="F15" s="270"/>
      <c r="G15" s="270"/>
      <c r="H15" s="270"/>
      <c r="I15" s="270"/>
      <c r="J15" s="93"/>
      <c r="K15" s="93"/>
      <c r="L15" s="93"/>
      <c r="M15" s="93"/>
      <c r="N15" s="119"/>
      <c r="O15" s="119"/>
      <c r="P15" s="119"/>
    </row>
    <row r="16" spans="2:16">
      <c r="B16" s="270"/>
      <c r="C16" s="270"/>
      <c r="D16" s="270"/>
      <c r="E16" s="270"/>
      <c r="F16" s="270"/>
      <c r="G16" s="270"/>
      <c r="H16" s="270"/>
      <c r="I16" s="270"/>
      <c r="J16" s="93"/>
      <c r="K16" s="93"/>
      <c r="L16" s="93"/>
      <c r="M16" s="93"/>
      <c r="N16" s="119"/>
      <c r="O16" s="119"/>
      <c r="P16" s="119"/>
    </row>
    <row r="17" spans="2:16">
      <c r="B17" s="270"/>
      <c r="C17" s="270"/>
      <c r="D17" s="270"/>
      <c r="E17" s="270"/>
      <c r="F17" s="270"/>
      <c r="G17" s="270"/>
      <c r="H17" s="270"/>
      <c r="I17" s="270"/>
      <c r="J17" s="93"/>
      <c r="K17" s="93"/>
      <c r="L17" s="93"/>
      <c r="M17" s="93"/>
      <c r="N17" s="119"/>
      <c r="O17" s="119"/>
      <c r="P17" s="119"/>
    </row>
    <row r="18" spans="2:16">
      <c r="B18" s="270"/>
      <c r="C18" s="270"/>
      <c r="D18" s="270"/>
      <c r="E18" s="270"/>
      <c r="F18" s="270"/>
      <c r="G18" s="270"/>
      <c r="H18" s="270"/>
      <c r="I18" s="270"/>
      <c r="J18" s="93"/>
      <c r="K18" s="93"/>
      <c r="L18" s="93"/>
      <c r="M18" s="93"/>
      <c r="N18" s="119"/>
      <c r="O18" s="119"/>
      <c r="P18" s="119"/>
    </row>
    <row r="19" spans="2:16">
      <c r="B19" s="270"/>
      <c r="C19" s="270"/>
      <c r="D19" s="270"/>
      <c r="E19" s="270"/>
      <c r="F19" s="270"/>
      <c r="G19" s="270"/>
      <c r="H19" s="270"/>
      <c r="I19" s="270"/>
      <c r="J19" s="93"/>
      <c r="K19" s="93"/>
      <c r="L19" s="93"/>
      <c r="M19" s="93"/>
      <c r="N19" s="119"/>
      <c r="O19" s="119"/>
      <c r="P19" s="119"/>
    </row>
    <row r="20" spans="2:16">
      <c r="B20" s="270"/>
      <c r="C20" s="270"/>
      <c r="D20" s="270"/>
      <c r="E20" s="270"/>
      <c r="F20" s="270"/>
      <c r="G20" s="270"/>
      <c r="H20" s="270"/>
      <c r="I20" s="270"/>
      <c r="J20" s="93"/>
      <c r="K20" s="93"/>
      <c r="L20" s="93"/>
      <c r="M20" s="93"/>
      <c r="N20" s="93"/>
      <c r="O20" s="93"/>
      <c r="P20" s="93"/>
    </row>
    <row r="21" spans="2:16">
      <c r="B21" s="270"/>
      <c r="C21" s="270"/>
      <c r="D21" s="270"/>
      <c r="E21" s="270"/>
      <c r="F21" s="270"/>
      <c r="G21" s="270"/>
      <c r="H21" s="270"/>
      <c r="I21" s="270"/>
      <c r="J21" s="93"/>
      <c r="K21" s="93"/>
      <c r="L21" s="93"/>
      <c r="M21" s="93"/>
      <c r="N21" s="93"/>
      <c r="O21" s="93"/>
      <c r="P21" s="93"/>
    </row>
    <row r="22" spans="2:16">
      <c r="B22" s="270"/>
      <c r="C22" s="270"/>
      <c r="D22" s="270"/>
      <c r="E22" s="270"/>
      <c r="F22" s="270"/>
      <c r="G22" s="270"/>
      <c r="H22" s="270"/>
      <c r="I22" s="270"/>
      <c r="J22" s="93"/>
      <c r="K22" s="93"/>
      <c r="L22" s="93"/>
      <c r="M22" s="93"/>
      <c r="N22" s="93"/>
      <c r="O22" s="93"/>
      <c r="P22" s="93"/>
    </row>
    <row r="23" spans="2:16">
      <c r="B23" s="270"/>
      <c r="C23" s="270"/>
      <c r="D23" s="270"/>
      <c r="E23" s="270"/>
      <c r="F23" s="270"/>
      <c r="G23" s="270"/>
      <c r="H23" s="270"/>
      <c r="I23" s="270"/>
      <c r="J23" s="93"/>
      <c r="K23" s="93"/>
      <c r="L23" s="93"/>
      <c r="M23" s="93"/>
      <c r="N23" s="93"/>
      <c r="O23" s="93"/>
      <c r="P23" s="93"/>
    </row>
    <row r="24" spans="2:16">
      <c r="B24" s="270"/>
      <c r="C24" s="270"/>
      <c r="D24" s="270"/>
      <c r="E24" s="270"/>
      <c r="F24" s="270"/>
      <c r="G24" s="270"/>
      <c r="H24" s="270"/>
      <c r="I24" s="270"/>
      <c r="J24" s="93"/>
      <c r="K24" s="93"/>
      <c r="L24" s="93"/>
      <c r="M24" s="93"/>
      <c r="N24" s="93"/>
      <c r="O24" s="93"/>
      <c r="P24" s="93"/>
    </row>
    <row r="29" spans="2:16" ht="18">
      <c r="B29" s="116" t="s">
        <v>5</v>
      </c>
      <c r="C29" s="116"/>
      <c r="D29" s="116"/>
      <c r="E29" s="116"/>
      <c r="F29" s="116"/>
      <c r="G29" s="116"/>
      <c r="H29" s="116"/>
      <c r="I29" s="116"/>
      <c r="J29" s="93"/>
      <c r="K29" s="93"/>
      <c r="L29" s="93"/>
      <c r="M29" s="93"/>
      <c r="N29" s="93"/>
      <c r="O29" s="93"/>
      <c r="P29" s="93"/>
    </row>
    <row r="30" spans="2:16" ht="18">
      <c r="B30" s="93" t="s">
        <v>6</v>
      </c>
      <c r="C30" s="7"/>
      <c r="D30" s="8"/>
      <c r="E30" s="8"/>
      <c r="F30" s="8"/>
      <c r="G30" s="8"/>
      <c r="H30" s="8"/>
      <c r="I30" s="8"/>
      <c r="J30" s="93"/>
      <c r="K30" s="93"/>
      <c r="L30" s="93"/>
      <c r="M30" s="93"/>
      <c r="N30" s="93"/>
      <c r="O30" s="93"/>
      <c r="P30" s="93"/>
    </row>
    <row r="31" spans="2:16" ht="18">
      <c r="B31" s="116" t="s">
        <v>7</v>
      </c>
      <c r="C31" s="116"/>
      <c r="D31" s="116"/>
      <c r="E31" s="116"/>
      <c r="F31" s="116"/>
      <c r="G31" s="116"/>
      <c r="H31" s="116"/>
      <c r="I31" s="116"/>
      <c r="J31" s="93"/>
      <c r="K31" s="93"/>
      <c r="L31" s="93"/>
      <c r="M31" s="93"/>
      <c r="N31" s="93"/>
      <c r="O31" s="93"/>
      <c r="P31" s="93"/>
    </row>
    <row r="32" spans="2:16" ht="18">
      <c r="B32" s="93"/>
      <c r="C32" s="7"/>
      <c r="D32" s="8"/>
      <c r="E32" s="8"/>
      <c r="F32" s="8"/>
      <c r="G32" s="8"/>
      <c r="H32" s="8"/>
      <c r="I32" s="8"/>
      <c r="J32" s="93"/>
      <c r="K32" s="93"/>
      <c r="L32" s="93"/>
      <c r="M32" s="93"/>
      <c r="N32" s="93"/>
      <c r="O32" s="93"/>
      <c r="P32" s="93"/>
    </row>
    <row r="33" spans="2:9" ht="18">
      <c r="B33" s="116" t="s">
        <v>8</v>
      </c>
      <c r="C33" s="116"/>
      <c r="D33" s="116"/>
      <c r="E33" s="116"/>
      <c r="F33" s="116"/>
      <c r="G33" s="116"/>
      <c r="H33" s="116"/>
      <c r="I33" s="116"/>
    </row>
    <row r="34" spans="2:9" ht="18">
      <c r="B34" s="93"/>
      <c r="C34" s="7"/>
      <c r="D34" s="8"/>
      <c r="E34" s="8"/>
      <c r="F34" s="8"/>
      <c r="G34" s="8"/>
      <c r="H34" s="8"/>
      <c r="I34" s="8"/>
    </row>
    <row r="35" spans="2:9" ht="18">
      <c r="B35" s="116"/>
      <c r="C35" s="116"/>
      <c r="D35" s="116"/>
      <c r="E35" s="116"/>
      <c r="F35" s="116"/>
      <c r="G35" s="116"/>
      <c r="H35" s="116"/>
      <c r="I35" s="116"/>
    </row>
    <row r="37" spans="2:9" ht="18">
      <c r="B37" s="116" t="s">
        <v>9</v>
      </c>
      <c r="C37" s="116"/>
      <c r="D37" s="116"/>
      <c r="E37" s="116"/>
      <c r="F37" s="116"/>
      <c r="G37" s="116"/>
      <c r="H37" s="116"/>
      <c r="I37" s="116"/>
    </row>
    <row r="39" spans="2:9">
      <c r="B39" s="93" t="s">
        <v>10</v>
      </c>
      <c r="C39" s="272">
        <v>2022</v>
      </c>
      <c r="D39" s="93"/>
      <c r="E39" s="93"/>
      <c r="F39" s="93"/>
      <c r="G39" s="93"/>
      <c r="H39" s="93"/>
      <c r="I39" s="93"/>
    </row>
    <row r="40" spans="2:9" ht="14.25" customHeight="1">
      <c r="B40" s="93"/>
      <c r="C40" s="93"/>
      <c r="D40" s="93"/>
      <c r="E40" s="93"/>
      <c r="F40" s="93"/>
      <c r="G40" s="93"/>
      <c r="H40" s="93"/>
      <c r="I40" s="93"/>
    </row>
    <row r="41" spans="2:9">
      <c r="B41" s="273" t="s">
        <v>11</v>
      </c>
      <c r="C41" s="117" t="s">
        <v>12</v>
      </c>
      <c r="D41" s="117"/>
      <c r="E41" s="117"/>
      <c r="F41" s="117"/>
      <c r="G41" s="117"/>
      <c r="H41" s="117"/>
      <c r="I41" s="117"/>
    </row>
    <row r="42" spans="2:9">
      <c r="B42" s="273"/>
      <c r="C42" s="93"/>
      <c r="D42" s="93"/>
      <c r="E42" s="93"/>
      <c r="F42" s="93"/>
      <c r="G42" s="93"/>
      <c r="H42" s="93"/>
      <c r="I42" s="93"/>
    </row>
    <row r="43" spans="2:9">
      <c r="B43" s="273" t="s">
        <v>13</v>
      </c>
      <c r="C43" s="117" t="s">
        <v>14</v>
      </c>
      <c r="D43" s="117"/>
      <c r="E43" s="117"/>
      <c r="F43" s="93"/>
      <c r="G43" s="93"/>
      <c r="H43" s="93"/>
      <c r="I43" s="93"/>
    </row>
    <row r="44" spans="2:9">
      <c r="B44" s="273"/>
      <c r="C44" s="93"/>
      <c r="D44" s="93"/>
      <c r="E44" s="93"/>
      <c r="F44" s="93"/>
      <c r="G44" s="93"/>
      <c r="H44" s="93"/>
      <c r="I44" s="93"/>
    </row>
    <row r="45" spans="2:9" ht="15.75">
      <c r="B45" s="273" t="s">
        <v>15</v>
      </c>
      <c r="C45" s="118" t="s">
        <v>16</v>
      </c>
      <c r="D45" s="117"/>
      <c r="E45" s="117"/>
      <c r="F45" s="93"/>
      <c r="G45" s="93"/>
      <c r="H45" s="93"/>
      <c r="I45" s="93"/>
    </row>
    <row r="46" spans="2:9">
      <c r="B46" s="273"/>
      <c r="C46" s="93"/>
      <c r="D46" s="93"/>
      <c r="E46" s="93"/>
      <c r="F46" s="93"/>
      <c r="G46" s="93"/>
      <c r="H46" s="93"/>
      <c r="I46" s="93"/>
    </row>
    <row r="47" spans="2:9">
      <c r="B47" s="273" t="s">
        <v>17</v>
      </c>
      <c r="C47" s="117" t="s">
        <v>18</v>
      </c>
      <c r="D47" s="117"/>
      <c r="E47" s="93"/>
      <c r="F47" s="93" t="s">
        <v>19</v>
      </c>
      <c r="G47" s="117" t="s">
        <v>20</v>
      </c>
      <c r="H47" s="117"/>
      <c r="I47" s="117"/>
    </row>
    <row r="48" spans="2:9">
      <c r="B48" s="273"/>
      <c r="C48" s="93"/>
      <c r="D48" s="93"/>
      <c r="E48" s="93"/>
      <c r="F48" s="93"/>
      <c r="G48" s="93"/>
      <c r="H48" s="93"/>
      <c r="I48" s="93"/>
    </row>
    <row r="49" spans="2:9">
      <c r="B49" s="273" t="s">
        <v>21</v>
      </c>
      <c r="C49" s="117"/>
      <c r="D49" s="117"/>
      <c r="E49" s="93"/>
      <c r="F49" s="93" t="s">
        <v>19</v>
      </c>
      <c r="G49" s="117"/>
      <c r="H49" s="117"/>
      <c r="I49" s="117"/>
    </row>
    <row r="50" spans="2:9">
      <c r="B50" s="273"/>
      <c r="C50" s="93"/>
      <c r="D50" s="93"/>
      <c r="E50" s="93"/>
      <c r="F50" s="93"/>
      <c r="G50" s="93"/>
      <c r="H50" s="93"/>
      <c r="I50" s="93"/>
    </row>
    <row r="51" spans="2:9">
      <c r="B51" s="273" t="s">
        <v>22</v>
      </c>
      <c r="C51" s="272">
        <v>1</v>
      </c>
      <c r="D51" s="93"/>
      <c r="E51" s="93"/>
      <c r="F51" s="93"/>
      <c r="G51" s="93"/>
      <c r="H51" s="93"/>
      <c r="I51" s="93"/>
    </row>
    <row r="52" spans="2:9">
      <c r="B52" s="273"/>
      <c r="C52" s="93"/>
      <c r="D52" s="93"/>
      <c r="E52" s="93"/>
      <c r="F52" s="93"/>
      <c r="G52" s="93"/>
      <c r="H52" s="93"/>
      <c r="I52" s="93"/>
    </row>
    <row r="53" spans="2:9">
      <c r="B53" s="273" t="s">
        <v>23</v>
      </c>
      <c r="C53" s="274">
        <v>44949</v>
      </c>
      <c r="D53" s="117"/>
      <c r="E53" s="93"/>
      <c r="F53" s="93"/>
      <c r="G53" s="93"/>
      <c r="H53" s="93"/>
      <c r="I53" s="93"/>
    </row>
  </sheetData>
  <mergeCells count="16">
    <mergeCell ref="N14:P19"/>
    <mergeCell ref="B35:I35"/>
    <mergeCell ref="D1:G6"/>
    <mergeCell ref="B8:I24"/>
    <mergeCell ref="B29:I29"/>
    <mergeCell ref="B31:I31"/>
    <mergeCell ref="B33:I33"/>
    <mergeCell ref="C49:D49"/>
    <mergeCell ref="G49:I49"/>
    <mergeCell ref="C53:D53"/>
    <mergeCell ref="B37:I37"/>
    <mergeCell ref="C41:I41"/>
    <mergeCell ref="C43:E43"/>
    <mergeCell ref="C45:E45"/>
    <mergeCell ref="C47:D47"/>
    <mergeCell ref="G47:I47"/>
  </mergeCells>
  <hyperlinks>
    <hyperlink ref="C45" r:id="rId1" xr:uid="{326B56C7-EAAA-48AE-8B0F-338D9F2477E1}"/>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438150</xdr:colOff>
                    <xdr:row>8</xdr:row>
                    <xdr:rowOff>114300</xdr:rowOff>
                  </from>
                  <to>
                    <xdr:col>15</xdr:col>
                    <xdr:colOff>285750</xdr:colOff>
                    <xdr:row>11</xdr:row>
                    <xdr:rowOff>19050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447675</xdr:colOff>
                    <xdr:row>5</xdr:row>
                    <xdr:rowOff>104775</xdr:rowOff>
                  </from>
                  <to>
                    <xdr:col>15</xdr:col>
                    <xdr:colOff>295275</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workbookViewId="0">
      <selection activeCell="B55" sqref="B55"/>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5">
      <c r="A1" s="93" t="str">
        <f>+'Cover Page'!$B$29</f>
        <v>Annual Performance Report 2022</v>
      </c>
      <c r="B1" s="93"/>
      <c r="C1" s="93"/>
      <c r="D1" s="93"/>
      <c r="E1" s="93" t="str">
        <f>+'Cover Page'!$B$33</f>
        <v>Newlincs Development IWMF</v>
      </c>
      <c r="F1" s="93"/>
      <c r="G1" s="93"/>
      <c r="H1" s="93"/>
      <c r="I1" s="93"/>
      <c r="J1" s="93"/>
      <c r="K1" s="93"/>
      <c r="L1" s="93"/>
      <c r="M1" s="93"/>
      <c r="N1" s="93"/>
      <c r="O1" s="93"/>
    </row>
    <row r="3" spans="1:15" ht="15.75">
      <c r="A3" s="53" t="s">
        <v>24</v>
      </c>
      <c r="B3" s="275"/>
      <c r="C3" s="275"/>
      <c r="D3" s="275"/>
      <c r="E3" s="275"/>
      <c r="F3" s="275"/>
      <c r="G3" s="275"/>
      <c r="H3" s="276"/>
      <c r="I3" s="93"/>
      <c r="J3" s="93"/>
      <c r="K3" s="75" t="s">
        <v>3</v>
      </c>
      <c r="L3" s="93"/>
      <c r="M3" s="93"/>
      <c r="N3" s="93"/>
      <c r="O3" s="93"/>
    </row>
    <row r="4" spans="1:15" ht="15.75">
      <c r="A4" s="5" t="s">
        <v>25</v>
      </c>
      <c r="B4" s="130" t="s">
        <v>26</v>
      </c>
      <c r="C4" s="130"/>
      <c r="D4" s="130"/>
      <c r="E4" s="130"/>
      <c r="F4" s="130"/>
      <c r="G4" s="130"/>
      <c r="H4" s="6" t="s">
        <v>27</v>
      </c>
      <c r="I4" s="93"/>
      <c r="J4" s="93"/>
      <c r="K4" s="73" t="s">
        <v>28</v>
      </c>
      <c r="L4" s="93"/>
      <c r="M4" s="93"/>
      <c r="N4" s="93"/>
      <c r="O4" s="93"/>
    </row>
    <row r="5" spans="1:15" ht="15.6" customHeight="1">
      <c r="A5" s="4"/>
      <c r="B5" s="126" t="s">
        <v>29</v>
      </c>
      <c r="C5" s="126"/>
      <c r="D5" s="126"/>
      <c r="E5" s="126"/>
      <c r="F5" s="126"/>
      <c r="G5" s="126"/>
      <c r="H5" s="4"/>
      <c r="I5" s="93"/>
      <c r="J5" s="93"/>
      <c r="K5" s="119" t="s">
        <v>30</v>
      </c>
      <c r="L5" s="119"/>
      <c r="M5" s="119"/>
      <c r="N5" s="119"/>
      <c r="O5" s="119"/>
    </row>
    <row r="6" spans="1:15">
      <c r="A6" s="4"/>
      <c r="B6" s="126" t="s">
        <v>31</v>
      </c>
      <c r="C6" s="126"/>
      <c r="D6" s="126"/>
      <c r="E6" s="126"/>
      <c r="F6" s="126"/>
      <c r="G6" s="126"/>
      <c r="H6" s="4"/>
      <c r="I6" s="93"/>
      <c r="J6" s="93"/>
      <c r="K6" s="119"/>
      <c r="L6" s="119"/>
      <c r="M6" s="119"/>
      <c r="N6" s="119"/>
      <c r="O6" s="119"/>
    </row>
    <row r="7" spans="1:15" ht="15.75" customHeight="1">
      <c r="A7" s="4"/>
      <c r="B7" s="126" t="s">
        <v>32</v>
      </c>
      <c r="C7" s="126"/>
      <c r="D7" s="126"/>
      <c r="E7" s="126"/>
      <c r="F7" s="126"/>
      <c r="G7" s="126"/>
      <c r="H7" s="4"/>
      <c r="I7" s="93"/>
      <c r="J7" s="93"/>
      <c r="K7" s="119"/>
      <c r="L7" s="119"/>
      <c r="M7" s="119"/>
      <c r="N7" s="119"/>
      <c r="O7" s="119"/>
    </row>
    <row r="8" spans="1:15">
      <c r="A8" s="4"/>
      <c r="B8" s="126" t="s">
        <v>33</v>
      </c>
      <c r="C8" s="126"/>
      <c r="D8" s="126"/>
      <c r="E8" s="126"/>
      <c r="F8" s="126"/>
      <c r="G8" s="126"/>
      <c r="H8" s="4"/>
      <c r="I8" s="93"/>
      <c r="J8" s="93"/>
      <c r="K8" s="119"/>
      <c r="L8" s="119"/>
      <c r="M8" s="119"/>
      <c r="N8" s="119"/>
      <c r="O8" s="119"/>
    </row>
    <row r="9" spans="1:15">
      <c r="A9" s="4"/>
      <c r="B9" s="126" t="s">
        <v>34</v>
      </c>
      <c r="C9" s="126"/>
      <c r="D9" s="126"/>
      <c r="E9" s="126"/>
      <c r="F9" s="126"/>
      <c r="G9" s="126"/>
      <c r="H9" s="4"/>
      <c r="I9" s="93"/>
      <c r="J9" s="93"/>
      <c r="K9" s="93"/>
      <c r="L9" s="93"/>
      <c r="M9" s="93"/>
      <c r="N9" s="93"/>
      <c r="O9" s="93"/>
    </row>
    <row r="10" spans="1:15">
      <c r="A10" s="4"/>
      <c r="B10" s="126" t="s">
        <v>35</v>
      </c>
      <c r="C10" s="126"/>
      <c r="D10" s="126"/>
      <c r="E10" s="126"/>
      <c r="F10" s="126"/>
      <c r="G10" s="126"/>
      <c r="H10" s="4"/>
      <c r="I10" s="93"/>
      <c r="J10" s="93"/>
      <c r="K10" s="93"/>
      <c r="L10" s="93"/>
      <c r="M10" s="93"/>
      <c r="N10" s="93"/>
      <c r="O10" s="93"/>
    </row>
    <row r="11" spans="1:15">
      <c r="A11" s="4"/>
      <c r="B11" s="126" t="s">
        <v>36</v>
      </c>
      <c r="C11" s="126"/>
      <c r="D11" s="126"/>
      <c r="E11" s="126"/>
      <c r="F11" s="126"/>
      <c r="G11" s="126"/>
      <c r="H11" s="4"/>
      <c r="I11" s="93"/>
      <c r="J11" s="93"/>
      <c r="K11" s="93"/>
      <c r="L11" s="93"/>
      <c r="M11" s="93"/>
      <c r="N11" s="93"/>
      <c r="O11" s="93"/>
    </row>
    <row r="12" spans="1:15">
      <c r="A12" s="4"/>
      <c r="B12" s="126" t="s">
        <v>37</v>
      </c>
      <c r="C12" s="126"/>
      <c r="D12" s="126"/>
      <c r="E12" s="126"/>
      <c r="F12" s="126"/>
      <c r="G12" s="126"/>
      <c r="H12" s="4"/>
      <c r="I12" s="93"/>
      <c r="J12" s="93"/>
      <c r="K12" s="93"/>
      <c r="L12" s="93"/>
      <c r="M12" s="93"/>
      <c r="N12" s="93"/>
      <c r="O12" s="93"/>
    </row>
    <row r="13" spans="1:15" ht="15.75">
      <c r="A13" s="4"/>
      <c r="B13" s="127" t="s">
        <v>38</v>
      </c>
      <c r="C13" s="128"/>
      <c r="D13" s="128"/>
      <c r="E13" s="128"/>
      <c r="F13" s="128"/>
      <c r="G13" s="129"/>
      <c r="H13" s="4"/>
      <c r="I13" s="93"/>
      <c r="J13" s="93"/>
      <c r="K13" s="93"/>
      <c r="L13" s="93"/>
      <c r="M13" s="93"/>
      <c r="N13" s="93"/>
      <c r="O13" s="93"/>
    </row>
    <row r="14" spans="1:15">
      <c r="A14" s="4"/>
      <c r="B14" s="126" t="s">
        <v>39</v>
      </c>
      <c r="C14" s="126"/>
      <c r="D14" s="126"/>
      <c r="E14" s="126"/>
      <c r="F14" s="126"/>
      <c r="G14" s="126"/>
      <c r="H14" s="4"/>
      <c r="I14" s="93"/>
      <c r="J14" s="93"/>
      <c r="K14" s="93"/>
      <c r="L14" s="93"/>
      <c r="M14" s="93"/>
      <c r="N14" s="93"/>
      <c r="O14" s="93"/>
    </row>
    <row r="15" spans="1:15">
      <c r="A15" s="4"/>
      <c r="B15" s="126" t="s">
        <v>40</v>
      </c>
      <c r="C15" s="126"/>
      <c r="D15" s="126"/>
      <c r="E15" s="126"/>
      <c r="F15" s="126"/>
      <c r="G15" s="126"/>
      <c r="H15" s="4"/>
      <c r="I15" s="93"/>
      <c r="J15" s="93"/>
      <c r="K15" s="93"/>
      <c r="L15" s="93"/>
      <c r="M15" s="93"/>
      <c r="N15" s="93"/>
      <c r="O15" s="93"/>
    </row>
    <row r="16" spans="1:15">
      <c r="A16" s="4"/>
      <c r="B16" s="126" t="s">
        <v>41</v>
      </c>
      <c r="C16" s="126"/>
      <c r="D16" s="126"/>
      <c r="E16" s="126"/>
      <c r="F16" s="126"/>
      <c r="G16" s="126"/>
      <c r="H16" s="4"/>
      <c r="I16" s="93"/>
      <c r="J16" s="93"/>
      <c r="K16" s="93"/>
      <c r="L16" s="93"/>
      <c r="M16" s="93"/>
      <c r="N16" s="93"/>
      <c r="O16" s="93"/>
    </row>
    <row r="17" spans="1:8">
      <c r="A17" s="4"/>
      <c r="B17" s="126" t="s">
        <v>42</v>
      </c>
      <c r="C17" s="126"/>
      <c r="D17" s="126"/>
      <c r="E17" s="126"/>
      <c r="F17" s="126"/>
      <c r="G17" s="126"/>
      <c r="H17" s="4"/>
    </row>
    <row r="18" spans="1:8">
      <c r="A18" s="4"/>
      <c r="B18" s="126" t="s">
        <v>43</v>
      </c>
      <c r="C18" s="126"/>
      <c r="D18" s="126"/>
      <c r="E18" s="126"/>
      <c r="F18" s="126"/>
      <c r="G18" s="126"/>
      <c r="H18" s="4"/>
    </row>
    <row r="19" spans="1:8">
      <c r="A19" s="4"/>
      <c r="B19" s="126" t="s">
        <v>44</v>
      </c>
      <c r="C19" s="126"/>
      <c r="D19" s="126"/>
      <c r="E19" s="126"/>
      <c r="F19" s="126"/>
      <c r="G19" s="126"/>
      <c r="H19" s="4"/>
    </row>
    <row r="20" spans="1:8">
      <c r="A20" s="4"/>
      <c r="B20" s="126" t="s">
        <v>45</v>
      </c>
      <c r="C20" s="126"/>
      <c r="D20" s="126"/>
      <c r="E20" s="126"/>
      <c r="F20" s="126"/>
      <c r="G20" s="126"/>
      <c r="H20" s="4"/>
    </row>
    <row r="21" spans="1:8">
      <c r="A21" s="4"/>
      <c r="B21" s="126" t="s">
        <v>46</v>
      </c>
      <c r="C21" s="126"/>
      <c r="D21" s="126"/>
      <c r="E21" s="126"/>
      <c r="F21" s="126"/>
      <c r="G21" s="126"/>
      <c r="H21" s="4"/>
    </row>
    <row r="22" spans="1:8">
      <c r="A22" s="4"/>
      <c r="B22" s="126" t="s">
        <v>47</v>
      </c>
      <c r="C22" s="126"/>
      <c r="D22" s="126"/>
      <c r="E22" s="126"/>
      <c r="F22" s="126"/>
      <c r="G22" s="126"/>
      <c r="H22" s="4"/>
    </row>
    <row r="23" spans="1:8">
      <c r="A23" s="4"/>
      <c r="B23" s="120" t="s">
        <v>48</v>
      </c>
      <c r="C23" s="121"/>
      <c r="D23" s="121"/>
      <c r="E23" s="121"/>
      <c r="F23" s="121"/>
      <c r="G23" s="122"/>
      <c r="H23" s="4"/>
    </row>
    <row r="24" spans="1:8">
      <c r="A24" s="4"/>
      <c r="B24" s="120" t="s">
        <v>49</v>
      </c>
      <c r="C24" s="121"/>
      <c r="D24" s="121"/>
      <c r="E24" s="121"/>
      <c r="F24" s="121"/>
      <c r="G24" s="122"/>
      <c r="H24" s="4"/>
    </row>
    <row r="25" spans="1:8">
      <c r="A25" s="4"/>
      <c r="B25" s="123"/>
      <c r="C25" s="123"/>
      <c r="D25" s="123"/>
      <c r="E25" s="123"/>
      <c r="F25" s="123"/>
      <c r="G25" s="123"/>
      <c r="H25" s="4"/>
    </row>
    <row r="27" spans="1:8" ht="15.75">
      <c r="A27" s="52" t="s">
        <v>50</v>
      </c>
      <c r="B27" s="275"/>
      <c r="C27" s="275"/>
      <c r="D27" s="275"/>
      <c r="E27" s="275"/>
      <c r="F27" s="275"/>
      <c r="G27" s="275"/>
      <c r="H27" s="276"/>
    </row>
    <row r="28" spans="1:8">
      <c r="A28" s="10" t="s">
        <v>25</v>
      </c>
      <c r="B28" s="124" t="s">
        <v>51</v>
      </c>
      <c r="C28" s="124"/>
      <c r="D28" s="124"/>
      <c r="E28" s="124"/>
      <c r="F28" s="124"/>
      <c r="G28" s="124"/>
      <c r="H28" s="11" t="s">
        <v>52</v>
      </c>
    </row>
    <row r="29" spans="1:8">
      <c r="A29" s="277"/>
      <c r="B29" s="278"/>
      <c r="C29" s="278"/>
      <c r="D29" s="278"/>
      <c r="E29" s="278"/>
      <c r="F29" s="278"/>
      <c r="G29" s="278"/>
      <c r="H29" s="277"/>
    </row>
    <row r="30" spans="1:8">
      <c r="A30" s="277"/>
      <c r="B30" s="278"/>
      <c r="C30" s="278"/>
      <c r="D30" s="278"/>
      <c r="E30" s="278"/>
      <c r="F30" s="278"/>
      <c r="G30" s="278"/>
      <c r="H30" s="277"/>
    </row>
    <row r="31" spans="1:8">
      <c r="A31" s="277"/>
      <c r="B31" s="278"/>
      <c r="C31" s="278"/>
      <c r="D31" s="278"/>
      <c r="E31" s="278"/>
      <c r="F31" s="278"/>
      <c r="G31" s="278"/>
      <c r="H31" s="277"/>
    </row>
    <row r="32" spans="1:8">
      <c r="A32" s="277"/>
      <c r="B32" s="278"/>
      <c r="C32" s="278"/>
      <c r="D32" s="278"/>
      <c r="E32" s="278"/>
      <c r="F32" s="278"/>
      <c r="G32" s="278"/>
      <c r="H32" s="277"/>
    </row>
    <row r="33" spans="1:10">
      <c r="A33" s="277"/>
      <c r="B33" s="278"/>
      <c r="C33" s="278"/>
      <c r="D33" s="278"/>
      <c r="E33" s="278"/>
      <c r="F33" s="278"/>
      <c r="G33" s="278"/>
      <c r="H33" s="277"/>
      <c r="I33" s="93"/>
      <c r="J33" s="93"/>
    </row>
    <row r="35" spans="1:10" ht="14.25" customHeight="1">
      <c r="A35" s="52" t="s">
        <v>53</v>
      </c>
      <c r="B35" s="275"/>
      <c r="C35" s="275"/>
      <c r="D35" s="275"/>
      <c r="E35" s="275"/>
      <c r="F35" s="275"/>
      <c r="G35" s="275"/>
      <c r="H35" s="276"/>
      <c r="I35" s="93"/>
      <c r="J35" s="93"/>
    </row>
    <row r="36" spans="1:10">
      <c r="A36" s="13" t="s">
        <v>54</v>
      </c>
      <c r="B36" s="125" t="s">
        <v>55</v>
      </c>
      <c r="C36" s="125"/>
      <c r="D36" s="125"/>
      <c r="E36" s="125"/>
      <c r="F36" s="125"/>
      <c r="G36" s="125"/>
      <c r="H36" s="14" t="s">
        <v>56</v>
      </c>
      <c r="I36" s="93"/>
      <c r="J36" s="93"/>
    </row>
    <row r="37" spans="1:10">
      <c r="A37" s="279"/>
      <c r="B37" s="280"/>
      <c r="C37" s="280"/>
      <c r="D37" s="280"/>
      <c r="E37" s="280"/>
      <c r="F37" s="280"/>
      <c r="G37" s="280"/>
      <c r="H37" s="279"/>
      <c r="I37" s="93"/>
      <c r="J37" s="93"/>
    </row>
    <row r="38" spans="1:10">
      <c r="A38" s="279"/>
      <c r="B38" s="280"/>
      <c r="C38" s="280"/>
      <c r="D38" s="280"/>
      <c r="E38" s="280"/>
      <c r="F38" s="280"/>
      <c r="G38" s="280"/>
      <c r="H38" s="279"/>
      <c r="I38" s="93"/>
      <c r="J38" s="93"/>
    </row>
    <row r="39" spans="1:10">
      <c r="A39" s="279"/>
      <c r="B39" s="280"/>
      <c r="C39" s="280"/>
      <c r="D39" s="280"/>
      <c r="E39" s="280"/>
      <c r="F39" s="280"/>
      <c r="G39" s="280"/>
      <c r="H39" s="279"/>
      <c r="I39" s="93"/>
      <c r="J39" s="93"/>
    </row>
    <row r="40" spans="1:10">
      <c r="A40" s="279"/>
      <c r="B40" s="280"/>
      <c r="C40" s="280"/>
      <c r="D40" s="280"/>
      <c r="E40" s="280"/>
      <c r="F40" s="280"/>
      <c r="G40" s="280"/>
      <c r="H40" s="279"/>
      <c r="I40" s="93"/>
      <c r="J40" s="93"/>
    </row>
    <row r="41" spans="1:10">
      <c r="A41" s="279"/>
      <c r="B41" s="280"/>
      <c r="C41" s="280"/>
      <c r="D41" s="280"/>
      <c r="E41" s="280"/>
      <c r="F41" s="280"/>
      <c r="G41" s="280"/>
      <c r="H41" s="279"/>
      <c r="I41" s="93"/>
      <c r="J41" s="93"/>
    </row>
    <row r="42" spans="1:10">
      <c r="A42" s="279"/>
      <c r="B42" s="280"/>
      <c r="C42" s="280"/>
      <c r="D42" s="280"/>
      <c r="E42" s="280"/>
      <c r="F42" s="280"/>
      <c r="G42" s="280"/>
      <c r="H42" s="279"/>
      <c r="I42" s="93"/>
      <c r="J42" s="93"/>
    </row>
    <row r="43" spans="1:10">
      <c r="A43" s="279"/>
      <c r="B43" s="280"/>
      <c r="C43" s="280"/>
      <c r="D43" s="280"/>
      <c r="E43" s="280"/>
      <c r="F43" s="280"/>
      <c r="G43" s="280"/>
      <c r="H43" s="279"/>
      <c r="I43" s="93"/>
      <c r="J43" s="93"/>
    </row>
    <row r="45" spans="1:10">
      <c r="A45" s="281" t="s">
        <v>57</v>
      </c>
      <c r="B45" s="282"/>
      <c r="C45" s="282"/>
      <c r="D45" s="282"/>
      <c r="E45" s="282"/>
      <c r="F45" s="282"/>
      <c r="G45" s="282"/>
      <c r="H45" s="282"/>
      <c r="I45" s="282"/>
      <c r="J45" s="283"/>
    </row>
    <row r="46" spans="1:10">
      <c r="A46" s="284"/>
      <c r="B46" s="285"/>
      <c r="C46" s="285"/>
      <c r="D46" s="285"/>
      <c r="E46" s="285"/>
      <c r="F46" s="285"/>
      <c r="G46" s="285"/>
      <c r="H46" s="285"/>
      <c r="I46" s="285"/>
      <c r="J46" s="286"/>
    </row>
    <row r="47" spans="1:10">
      <c r="A47" s="284"/>
      <c r="B47" s="285"/>
      <c r="C47" s="285"/>
      <c r="D47" s="285"/>
      <c r="E47" s="285"/>
      <c r="F47" s="285"/>
      <c r="G47" s="285"/>
      <c r="H47" s="285"/>
      <c r="I47" s="285"/>
      <c r="J47" s="286"/>
    </row>
    <row r="48" spans="1:10">
      <c r="A48" s="287"/>
      <c r="B48" s="288"/>
      <c r="C48" s="288"/>
      <c r="D48" s="288"/>
      <c r="E48" s="288"/>
      <c r="F48" s="288"/>
      <c r="G48" s="288"/>
      <c r="H48" s="288"/>
      <c r="I48" s="288"/>
      <c r="J48" s="289"/>
    </row>
    <row r="66" spans="6:6">
      <c r="F66" s="3"/>
    </row>
  </sheetData>
  <mergeCells count="38">
    <mergeCell ref="K5:O8"/>
    <mergeCell ref="B9:G9"/>
    <mergeCell ref="B4:G4"/>
    <mergeCell ref="B5:G5"/>
    <mergeCell ref="B6:G6"/>
    <mergeCell ref="B7:G7"/>
    <mergeCell ref="B8:G8"/>
    <mergeCell ref="B22:G22"/>
    <mergeCell ref="B10:G10"/>
    <mergeCell ref="B11:G11"/>
    <mergeCell ref="B12:G12"/>
    <mergeCell ref="B14:G14"/>
    <mergeCell ref="B15:G15"/>
    <mergeCell ref="B16:G16"/>
    <mergeCell ref="B17:G17"/>
    <mergeCell ref="B18:G18"/>
    <mergeCell ref="B19:G19"/>
    <mergeCell ref="B20:G20"/>
    <mergeCell ref="B21:G21"/>
    <mergeCell ref="B13:G13"/>
    <mergeCell ref="B37:G37"/>
    <mergeCell ref="B23:G23"/>
    <mergeCell ref="B24:G24"/>
    <mergeCell ref="B25:G25"/>
    <mergeCell ref="B28:G28"/>
    <mergeCell ref="B29:G29"/>
    <mergeCell ref="B30:G30"/>
    <mergeCell ref="B31:G31"/>
    <mergeCell ref="B32:G32"/>
    <mergeCell ref="B33:G33"/>
    <mergeCell ref="B36:G36"/>
    <mergeCell ref="A45:J48"/>
    <mergeCell ref="B38:G38"/>
    <mergeCell ref="B39:G39"/>
    <mergeCell ref="B40:G40"/>
    <mergeCell ref="B41:G41"/>
    <mergeCell ref="B42:G42"/>
    <mergeCell ref="B43:G43"/>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workbookViewId="0">
      <selection activeCell="B55" sqref="B55"/>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3" t="str">
        <f>+'Cover Page'!$B$29</f>
        <v>Annual Performance Report 2022</v>
      </c>
      <c r="B1" s="93"/>
      <c r="C1" s="93"/>
      <c r="D1" s="93"/>
      <c r="E1" s="93" t="str">
        <f>+'Cover Page'!$B$33</f>
        <v>Newlincs Development IWMF</v>
      </c>
      <c r="F1" s="93"/>
      <c r="G1" s="93"/>
      <c r="H1" s="93"/>
      <c r="I1" s="93"/>
      <c r="J1" s="93"/>
      <c r="K1" s="93"/>
      <c r="L1" s="93"/>
      <c r="M1" s="93"/>
      <c r="N1" s="93"/>
    </row>
    <row r="3" spans="1:14" ht="15.75">
      <c r="A3" s="51" t="s">
        <v>58</v>
      </c>
      <c r="B3" s="290"/>
      <c r="C3" s="290"/>
      <c r="D3" s="290"/>
      <c r="E3" s="290"/>
      <c r="F3" s="290"/>
      <c r="G3" s="290"/>
      <c r="H3" s="290"/>
      <c r="I3" s="291"/>
      <c r="J3" s="93"/>
      <c r="K3" s="81" t="s">
        <v>3</v>
      </c>
      <c r="L3" s="93"/>
      <c r="M3" s="93"/>
      <c r="N3" s="93"/>
    </row>
    <row r="4" spans="1:14">
      <c r="A4" s="292"/>
      <c r="B4" s="293"/>
      <c r="C4" s="293"/>
      <c r="D4" s="293"/>
      <c r="E4" s="293"/>
      <c r="F4" s="293"/>
      <c r="G4" s="293"/>
      <c r="H4" s="293"/>
      <c r="I4" s="294"/>
      <c r="J4" s="93"/>
      <c r="K4" s="93"/>
      <c r="L4" s="93"/>
      <c r="M4" s="93"/>
      <c r="N4" s="93"/>
    </row>
    <row r="5" spans="1:14" ht="15.75" customHeight="1">
      <c r="A5" s="131" t="s">
        <v>59</v>
      </c>
      <c r="B5" s="132"/>
      <c r="C5" s="132"/>
      <c r="D5" s="132"/>
      <c r="E5" s="132"/>
      <c r="F5" s="132"/>
      <c r="G5" s="132"/>
      <c r="H5" s="132"/>
      <c r="I5" s="133"/>
      <c r="J5" s="93"/>
      <c r="K5" s="202" t="s">
        <v>60</v>
      </c>
      <c r="L5" s="202"/>
      <c r="M5" s="202"/>
      <c r="N5" s="202"/>
    </row>
    <row r="6" spans="1:14">
      <c r="A6" s="134"/>
      <c r="B6" s="135"/>
      <c r="C6" s="135"/>
      <c r="D6" s="135"/>
      <c r="E6" s="135"/>
      <c r="F6" s="135"/>
      <c r="G6" s="135"/>
      <c r="H6" s="135"/>
      <c r="I6" s="136"/>
      <c r="J6" s="93"/>
      <c r="K6" s="202"/>
      <c r="L6" s="202"/>
      <c r="M6" s="202"/>
      <c r="N6" s="202"/>
    </row>
    <row r="7" spans="1:14">
      <c r="A7" s="134"/>
      <c r="B7" s="135"/>
      <c r="C7" s="135"/>
      <c r="D7" s="135"/>
      <c r="E7" s="135"/>
      <c r="F7" s="135"/>
      <c r="G7" s="135"/>
      <c r="H7" s="135"/>
      <c r="I7" s="136"/>
      <c r="J7" s="93"/>
      <c r="K7" s="202"/>
      <c r="L7" s="202"/>
      <c r="M7" s="202"/>
      <c r="N7" s="202"/>
    </row>
    <row r="8" spans="1:14" ht="15.75" customHeight="1">
      <c r="A8" s="134"/>
      <c r="B8" s="135"/>
      <c r="C8" s="135"/>
      <c r="D8" s="135"/>
      <c r="E8" s="135"/>
      <c r="F8" s="135"/>
      <c r="G8" s="135"/>
      <c r="H8" s="135"/>
      <c r="I8" s="136"/>
      <c r="J8" s="93"/>
      <c r="K8" s="202"/>
      <c r="L8" s="202"/>
      <c r="M8" s="202"/>
      <c r="N8" s="202"/>
    </row>
    <row r="9" spans="1:14">
      <c r="A9" s="134"/>
      <c r="B9" s="135"/>
      <c r="C9" s="135"/>
      <c r="D9" s="135"/>
      <c r="E9" s="135"/>
      <c r="F9" s="135"/>
      <c r="G9" s="135"/>
      <c r="H9" s="135"/>
      <c r="I9" s="136"/>
      <c r="J9" s="93"/>
      <c r="K9" s="202"/>
      <c r="L9" s="202"/>
      <c r="M9" s="202"/>
      <c r="N9" s="202"/>
    </row>
    <row r="10" spans="1:14">
      <c r="A10" s="134"/>
      <c r="B10" s="135"/>
      <c r="C10" s="135"/>
      <c r="D10" s="135"/>
      <c r="E10" s="135"/>
      <c r="F10" s="135"/>
      <c r="G10" s="135"/>
      <c r="H10" s="135"/>
      <c r="I10" s="136"/>
      <c r="J10" s="93"/>
      <c r="K10" s="202"/>
      <c r="L10" s="202"/>
      <c r="M10" s="202"/>
      <c r="N10" s="202"/>
    </row>
    <row r="11" spans="1:14">
      <c r="A11" s="134"/>
      <c r="B11" s="135"/>
      <c r="C11" s="135"/>
      <c r="D11" s="135"/>
      <c r="E11" s="135"/>
      <c r="F11" s="135"/>
      <c r="G11" s="135"/>
      <c r="H11" s="135"/>
      <c r="I11" s="136"/>
      <c r="J11" s="93"/>
      <c r="K11" s="202"/>
      <c r="L11" s="202"/>
      <c r="M11" s="202"/>
      <c r="N11" s="202"/>
    </row>
    <row r="12" spans="1:14">
      <c r="A12" s="134"/>
      <c r="B12" s="135"/>
      <c r="C12" s="135"/>
      <c r="D12" s="135"/>
      <c r="E12" s="135"/>
      <c r="F12" s="135"/>
      <c r="G12" s="135"/>
      <c r="H12" s="135"/>
      <c r="I12" s="136"/>
      <c r="J12" s="93"/>
      <c r="K12" s="202"/>
      <c r="L12" s="202"/>
      <c r="M12" s="202"/>
      <c r="N12" s="202"/>
    </row>
    <row r="13" spans="1:14">
      <c r="A13" s="134"/>
      <c r="B13" s="135"/>
      <c r="C13" s="135"/>
      <c r="D13" s="135"/>
      <c r="E13" s="135"/>
      <c r="F13" s="135"/>
      <c r="G13" s="135"/>
      <c r="H13" s="135"/>
      <c r="I13" s="136"/>
      <c r="J13" s="93"/>
      <c r="K13" s="202"/>
      <c r="L13" s="202"/>
      <c r="M13" s="202"/>
      <c r="N13" s="202"/>
    </row>
    <row r="14" spans="1:14">
      <c r="A14" s="134"/>
      <c r="B14" s="135"/>
      <c r="C14" s="135"/>
      <c r="D14" s="135"/>
      <c r="E14" s="135"/>
      <c r="F14" s="135"/>
      <c r="G14" s="135"/>
      <c r="H14" s="135"/>
      <c r="I14" s="136"/>
      <c r="J14" s="93"/>
      <c r="K14" s="202"/>
      <c r="L14" s="202"/>
      <c r="M14" s="202"/>
      <c r="N14" s="202"/>
    </row>
    <row r="15" spans="1:14">
      <c r="A15" s="134"/>
      <c r="B15" s="135"/>
      <c r="C15" s="135"/>
      <c r="D15" s="135"/>
      <c r="E15" s="135"/>
      <c r="F15" s="135"/>
      <c r="G15" s="135"/>
      <c r="H15" s="135"/>
      <c r="I15" s="136"/>
      <c r="J15" s="93"/>
      <c r="K15" s="93"/>
      <c r="L15" s="93"/>
      <c r="M15" s="93"/>
      <c r="N15" s="93"/>
    </row>
    <row r="16" spans="1:14">
      <c r="A16" s="134"/>
      <c r="B16" s="135"/>
      <c r="C16" s="135"/>
      <c r="D16" s="135"/>
      <c r="E16" s="135"/>
      <c r="F16" s="135"/>
      <c r="G16" s="135"/>
      <c r="H16" s="135"/>
      <c r="I16" s="136"/>
      <c r="J16" s="93"/>
      <c r="K16" s="93"/>
      <c r="L16" s="93"/>
      <c r="M16" s="93"/>
      <c r="N16" s="93"/>
    </row>
    <row r="17" spans="1:14">
      <c r="A17" s="134"/>
      <c r="B17" s="135"/>
      <c r="C17" s="135"/>
      <c r="D17" s="135"/>
      <c r="E17" s="135"/>
      <c r="F17" s="135"/>
      <c r="G17" s="135"/>
      <c r="H17" s="135"/>
      <c r="I17" s="136"/>
      <c r="J17" s="93"/>
      <c r="K17" s="93"/>
      <c r="L17" s="93"/>
      <c r="M17" s="93"/>
      <c r="N17" s="93"/>
    </row>
    <row r="18" spans="1:14">
      <c r="A18" s="137"/>
      <c r="B18" s="138"/>
      <c r="C18" s="138"/>
      <c r="D18" s="138"/>
      <c r="E18" s="138"/>
      <c r="F18" s="138"/>
      <c r="G18" s="138"/>
      <c r="H18" s="138"/>
      <c r="I18" s="139"/>
      <c r="J18" s="93"/>
      <c r="K18" s="93"/>
      <c r="L18" s="93"/>
      <c r="M18" s="93"/>
      <c r="N18" s="93"/>
    </row>
    <row r="20" spans="1:14" ht="15.75">
      <c r="A20" s="51" t="s">
        <v>61</v>
      </c>
      <c r="B20" s="290"/>
      <c r="C20" s="290"/>
      <c r="D20" s="290"/>
      <c r="E20" s="290"/>
      <c r="F20" s="290"/>
      <c r="G20" s="290"/>
      <c r="H20" s="290"/>
      <c r="I20" s="291"/>
      <c r="J20" s="93"/>
      <c r="K20" s="93"/>
      <c r="L20" s="93"/>
      <c r="M20" s="93"/>
      <c r="N20" s="93"/>
    </row>
    <row r="21" spans="1:14">
      <c r="A21" s="292"/>
      <c r="B21" s="293"/>
      <c r="C21" s="293"/>
      <c r="D21" s="293"/>
      <c r="E21" s="293"/>
      <c r="F21" s="293"/>
      <c r="G21" s="293"/>
      <c r="H21" s="293"/>
      <c r="I21" s="294"/>
      <c r="J21" s="93"/>
      <c r="K21" s="93"/>
      <c r="L21" s="93"/>
      <c r="M21" s="93"/>
      <c r="N21" s="93"/>
    </row>
    <row r="22" spans="1:14" ht="15" customHeight="1">
      <c r="A22" s="131" t="s">
        <v>62</v>
      </c>
      <c r="B22" s="132"/>
      <c r="C22" s="132"/>
      <c r="D22" s="132"/>
      <c r="E22" s="132"/>
      <c r="F22" s="132"/>
      <c r="G22" s="132"/>
      <c r="H22" s="132"/>
      <c r="I22" s="132"/>
      <c r="J22" s="93"/>
      <c r="K22" s="202" t="s">
        <v>63</v>
      </c>
      <c r="L22" s="202"/>
      <c r="M22" s="202"/>
      <c r="N22" s="202"/>
    </row>
    <row r="23" spans="1:14">
      <c r="A23" s="134"/>
      <c r="B23" s="135"/>
      <c r="C23" s="135"/>
      <c r="D23" s="135"/>
      <c r="E23" s="135"/>
      <c r="F23" s="135"/>
      <c r="G23" s="135"/>
      <c r="H23" s="135"/>
      <c r="I23" s="135"/>
      <c r="J23" s="93"/>
      <c r="K23" s="202"/>
      <c r="L23" s="202"/>
      <c r="M23" s="202"/>
      <c r="N23" s="202"/>
    </row>
    <row r="24" spans="1:14">
      <c r="A24" s="134"/>
      <c r="B24" s="135"/>
      <c r="C24" s="135"/>
      <c r="D24" s="135"/>
      <c r="E24" s="135"/>
      <c r="F24" s="135"/>
      <c r="G24" s="135"/>
      <c r="H24" s="135"/>
      <c r="I24" s="135"/>
      <c r="J24" s="93"/>
      <c r="K24" s="202"/>
      <c r="L24" s="202"/>
      <c r="M24" s="202"/>
      <c r="N24" s="202"/>
    </row>
    <row r="25" spans="1:14">
      <c r="A25" s="134"/>
      <c r="B25" s="135"/>
      <c r="C25" s="135"/>
      <c r="D25" s="135"/>
      <c r="E25" s="135"/>
      <c r="F25" s="135"/>
      <c r="G25" s="135"/>
      <c r="H25" s="135"/>
      <c r="I25" s="135"/>
      <c r="J25" s="93"/>
      <c r="K25" s="202"/>
      <c r="L25" s="202"/>
      <c r="M25" s="202"/>
      <c r="N25" s="202"/>
    </row>
    <row r="26" spans="1:14">
      <c r="A26" s="134"/>
      <c r="B26" s="135"/>
      <c r="C26" s="135"/>
      <c r="D26" s="135"/>
      <c r="E26" s="135"/>
      <c r="F26" s="135"/>
      <c r="G26" s="135"/>
      <c r="H26" s="135"/>
      <c r="I26" s="135"/>
      <c r="J26" s="93"/>
      <c r="K26" s="202"/>
      <c r="L26" s="202"/>
      <c r="M26" s="202"/>
      <c r="N26" s="202"/>
    </row>
    <row r="27" spans="1:14">
      <c r="A27" s="134"/>
      <c r="B27" s="135"/>
      <c r="C27" s="135"/>
      <c r="D27" s="135"/>
      <c r="E27" s="135"/>
      <c r="F27" s="135"/>
      <c r="G27" s="135"/>
      <c r="H27" s="135"/>
      <c r="I27" s="135"/>
      <c r="J27" s="93"/>
      <c r="K27" s="202"/>
      <c r="L27" s="202"/>
      <c r="M27" s="202"/>
      <c r="N27" s="202"/>
    </row>
    <row r="28" spans="1:14">
      <c r="A28" s="134"/>
      <c r="B28" s="135"/>
      <c r="C28" s="135"/>
      <c r="D28" s="135"/>
      <c r="E28" s="135"/>
      <c r="F28" s="135"/>
      <c r="G28" s="135"/>
      <c r="H28" s="135"/>
      <c r="I28" s="135"/>
      <c r="J28" s="93"/>
      <c r="K28" s="202"/>
      <c r="L28" s="202"/>
      <c r="M28" s="202"/>
      <c r="N28" s="202"/>
    </row>
    <row r="29" spans="1:14">
      <c r="A29" s="134"/>
      <c r="B29" s="135"/>
      <c r="C29" s="135"/>
      <c r="D29" s="135"/>
      <c r="E29" s="135"/>
      <c r="F29" s="135"/>
      <c r="G29" s="135"/>
      <c r="H29" s="135"/>
      <c r="I29" s="135"/>
      <c r="J29" s="93"/>
      <c r="K29" s="202"/>
      <c r="L29" s="202"/>
      <c r="M29" s="202"/>
      <c r="N29" s="202"/>
    </row>
    <row r="30" spans="1:14">
      <c r="A30" s="134"/>
      <c r="B30" s="135"/>
      <c r="C30" s="135"/>
      <c r="D30" s="135"/>
      <c r="E30" s="135"/>
      <c r="F30" s="135"/>
      <c r="G30" s="135"/>
      <c r="H30" s="135"/>
      <c r="I30" s="135"/>
      <c r="J30" s="93"/>
      <c r="K30" s="202"/>
      <c r="L30" s="202"/>
      <c r="M30" s="202"/>
      <c r="N30" s="202"/>
    </row>
    <row r="31" spans="1:14">
      <c r="A31" s="134"/>
      <c r="B31" s="135"/>
      <c r="C31" s="135"/>
      <c r="D31" s="135"/>
      <c r="E31" s="135"/>
      <c r="F31" s="135"/>
      <c r="G31" s="135"/>
      <c r="H31" s="135"/>
      <c r="I31" s="135"/>
      <c r="J31" s="93"/>
      <c r="K31" s="202"/>
      <c r="L31" s="202"/>
      <c r="M31" s="202"/>
      <c r="N31" s="202"/>
    </row>
    <row r="32" spans="1:14">
      <c r="A32" s="134"/>
      <c r="B32" s="135"/>
      <c r="C32" s="135"/>
      <c r="D32" s="135"/>
      <c r="E32" s="135"/>
      <c r="F32" s="135"/>
      <c r="G32" s="135"/>
      <c r="H32" s="135"/>
      <c r="I32" s="135"/>
      <c r="J32" s="93"/>
      <c r="K32" s="93"/>
      <c r="L32" s="93"/>
      <c r="M32" s="93"/>
      <c r="N32" s="93"/>
    </row>
    <row r="33" spans="1:9">
      <c r="A33" s="134"/>
      <c r="B33" s="135"/>
      <c r="C33" s="135"/>
      <c r="D33" s="135"/>
      <c r="E33" s="135"/>
      <c r="F33" s="135"/>
      <c r="G33" s="135"/>
      <c r="H33" s="135"/>
      <c r="I33" s="135"/>
    </row>
    <row r="34" spans="1:9">
      <c r="A34" s="134"/>
      <c r="B34" s="135"/>
      <c r="C34" s="135"/>
      <c r="D34" s="135"/>
      <c r="E34" s="135"/>
      <c r="F34" s="135"/>
      <c r="G34" s="135"/>
      <c r="H34" s="135"/>
      <c r="I34" s="135"/>
    </row>
    <row r="35" spans="1:9">
      <c r="A35" s="134"/>
      <c r="B35" s="135"/>
      <c r="C35" s="135"/>
      <c r="D35" s="135"/>
      <c r="E35" s="135"/>
      <c r="F35" s="135"/>
      <c r="G35" s="135"/>
      <c r="H35" s="135"/>
      <c r="I35" s="135"/>
    </row>
    <row r="36" spans="1:9">
      <c r="A36" s="134"/>
      <c r="B36" s="135"/>
      <c r="C36" s="135"/>
      <c r="D36" s="135"/>
      <c r="E36" s="135"/>
      <c r="F36" s="135"/>
      <c r="G36" s="135"/>
      <c r="H36" s="135"/>
      <c r="I36" s="135"/>
    </row>
    <row r="37" spans="1:9">
      <c r="A37" s="134"/>
      <c r="B37" s="135"/>
      <c r="C37" s="135"/>
      <c r="D37" s="135"/>
      <c r="E37" s="135"/>
      <c r="F37" s="135"/>
      <c r="G37" s="135"/>
      <c r="H37" s="135"/>
      <c r="I37" s="135"/>
    </row>
    <row r="38" spans="1:9">
      <c r="A38" s="134"/>
      <c r="B38" s="135"/>
      <c r="C38" s="135"/>
      <c r="D38" s="135"/>
      <c r="E38" s="135"/>
      <c r="F38" s="135"/>
      <c r="G38" s="135"/>
      <c r="H38" s="135"/>
      <c r="I38" s="135"/>
    </row>
    <row r="39" spans="1:9">
      <c r="A39" s="134"/>
      <c r="B39" s="135"/>
      <c r="C39" s="135"/>
      <c r="D39" s="135"/>
      <c r="E39" s="135"/>
      <c r="F39" s="135"/>
      <c r="G39" s="135"/>
      <c r="H39" s="135"/>
      <c r="I39" s="135"/>
    </row>
    <row r="40" spans="1:9" ht="14.25" customHeight="1">
      <c r="A40" s="134"/>
      <c r="B40" s="135"/>
      <c r="C40" s="135"/>
      <c r="D40" s="135"/>
      <c r="E40" s="135"/>
      <c r="F40" s="135"/>
      <c r="G40" s="135"/>
      <c r="H40" s="135"/>
      <c r="I40" s="135"/>
    </row>
    <row r="41" spans="1:9">
      <c r="A41" s="134"/>
      <c r="B41" s="135"/>
      <c r="C41" s="135"/>
      <c r="D41" s="135"/>
      <c r="E41" s="135"/>
      <c r="F41" s="135"/>
      <c r="G41" s="135"/>
      <c r="H41" s="135"/>
      <c r="I41" s="135"/>
    </row>
    <row r="42" spans="1:9">
      <c r="A42" s="134"/>
      <c r="B42" s="135"/>
      <c r="C42" s="135"/>
      <c r="D42" s="135"/>
      <c r="E42" s="135"/>
      <c r="F42" s="135"/>
      <c r="G42" s="135"/>
      <c r="H42" s="135"/>
      <c r="I42" s="135"/>
    </row>
    <row r="43" spans="1:9">
      <c r="A43" s="134"/>
      <c r="B43" s="135"/>
      <c r="C43" s="135"/>
      <c r="D43" s="135"/>
      <c r="E43" s="135"/>
      <c r="F43" s="135"/>
      <c r="G43" s="135"/>
      <c r="H43" s="135"/>
      <c r="I43" s="135"/>
    </row>
    <row r="44" spans="1:9">
      <c r="A44" s="134"/>
      <c r="B44" s="135"/>
      <c r="C44" s="135"/>
      <c r="D44" s="135"/>
      <c r="E44" s="135"/>
      <c r="F44" s="135"/>
      <c r="G44" s="135"/>
      <c r="H44" s="135"/>
      <c r="I44" s="135"/>
    </row>
    <row r="45" spans="1:9">
      <c r="A45" s="134"/>
      <c r="B45" s="135"/>
      <c r="C45" s="135"/>
      <c r="D45" s="135"/>
      <c r="E45" s="135"/>
      <c r="F45" s="135"/>
      <c r="G45" s="135"/>
      <c r="H45" s="135"/>
      <c r="I45" s="135"/>
    </row>
    <row r="46" spans="1:9">
      <c r="A46" s="134"/>
      <c r="B46" s="135"/>
      <c r="C46" s="135"/>
      <c r="D46" s="135"/>
      <c r="E46" s="135"/>
      <c r="F46" s="135"/>
      <c r="G46" s="135"/>
      <c r="H46" s="135"/>
      <c r="I46" s="135"/>
    </row>
    <row r="47" spans="1:9">
      <c r="A47" s="134"/>
      <c r="B47" s="135"/>
      <c r="C47" s="135"/>
      <c r="D47" s="135"/>
      <c r="E47" s="135"/>
      <c r="F47" s="135"/>
      <c r="G47" s="135"/>
      <c r="H47" s="135"/>
      <c r="I47" s="135"/>
    </row>
    <row r="48" spans="1:9">
      <c r="A48" s="134"/>
      <c r="B48" s="135"/>
      <c r="C48" s="135"/>
      <c r="D48" s="135"/>
      <c r="E48" s="135"/>
      <c r="F48" s="135"/>
      <c r="G48" s="135"/>
      <c r="H48" s="135"/>
      <c r="I48" s="135"/>
    </row>
    <row r="49" spans="1:9">
      <c r="A49" s="134"/>
      <c r="B49" s="135"/>
      <c r="C49" s="135"/>
      <c r="D49" s="135"/>
      <c r="E49" s="135"/>
      <c r="F49" s="135"/>
      <c r="G49" s="135"/>
      <c r="H49" s="135"/>
      <c r="I49" s="135"/>
    </row>
    <row r="50" spans="1:9">
      <c r="A50" s="134"/>
      <c r="B50" s="135"/>
      <c r="C50" s="135"/>
      <c r="D50" s="135"/>
      <c r="E50" s="135"/>
      <c r="F50" s="135"/>
      <c r="G50" s="135"/>
      <c r="H50" s="135"/>
      <c r="I50" s="135"/>
    </row>
    <row r="51" spans="1:9">
      <c r="A51" s="134"/>
      <c r="B51" s="135"/>
      <c r="C51" s="135"/>
      <c r="D51" s="135"/>
      <c r="E51" s="135"/>
      <c r="F51" s="135"/>
      <c r="G51" s="135"/>
      <c r="H51" s="135"/>
      <c r="I51" s="135"/>
    </row>
    <row r="52" spans="1:9">
      <c r="A52" s="134"/>
      <c r="B52" s="135"/>
      <c r="C52" s="135"/>
      <c r="D52" s="135"/>
      <c r="E52" s="135"/>
      <c r="F52" s="135"/>
      <c r="G52" s="135"/>
      <c r="H52" s="135"/>
      <c r="I52" s="135"/>
    </row>
    <row r="53" spans="1:9">
      <c r="A53" s="134"/>
      <c r="B53" s="135"/>
      <c r="C53" s="135"/>
      <c r="D53" s="135"/>
      <c r="E53" s="135"/>
      <c r="F53" s="135"/>
      <c r="G53" s="135"/>
      <c r="H53" s="135"/>
      <c r="I53" s="135"/>
    </row>
    <row r="54" spans="1:9">
      <c r="A54" s="134"/>
      <c r="B54" s="135"/>
      <c r="C54" s="135"/>
      <c r="D54" s="135"/>
      <c r="E54" s="135"/>
      <c r="F54" s="135"/>
      <c r="G54" s="135"/>
      <c r="H54" s="135"/>
      <c r="I54" s="135"/>
    </row>
    <row r="55" spans="1:9">
      <c r="A55" s="140"/>
      <c r="B55" s="141"/>
      <c r="C55" s="141"/>
      <c r="D55" s="141"/>
      <c r="E55" s="141"/>
      <c r="F55" s="141"/>
      <c r="G55" s="141"/>
      <c r="H55" s="141"/>
      <c r="I55" s="141"/>
    </row>
    <row r="56" spans="1:9">
      <c r="A56" s="140"/>
      <c r="B56" s="141"/>
      <c r="C56" s="141"/>
      <c r="D56" s="141"/>
      <c r="E56" s="141"/>
      <c r="F56" s="141"/>
      <c r="G56" s="141"/>
      <c r="H56" s="141"/>
      <c r="I56" s="141"/>
    </row>
    <row r="57" spans="1:9">
      <c r="A57" s="140"/>
      <c r="B57" s="141"/>
      <c r="C57" s="141"/>
      <c r="D57" s="141"/>
      <c r="E57" s="141"/>
      <c r="F57" s="141"/>
      <c r="G57" s="141"/>
      <c r="H57" s="141"/>
      <c r="I57" s="141"/>
    </row>
    <row r="66" spans="6:6">
      <c r="F66" s="3"/>
    </row>
  </sheetData>
  <mergeCells count="4">
    <mergeCell ref="A5:I18"/>
    <mergeCell ref="K5:N14"/>
    <mergeCell ref="K22:N31"/>
    <mergeCell ref="A22:I57"/>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8"/>
  <sheetViews>
    <sheetView topLeftCell="A42" workbookViewId="0">
      <selection activeCell="B55" sqref="B55"/>
    </sheetView>
  </sheetViews>
  <sheetFormatPr defaultColWidth="9.28515625" defaultRowHeight="15"/>
  <cols>
    <col min="1" max="1" width="28.42578125" style="2" customWidth="1"/>
    <col min="2" max="2" width="8.28515625" style="12" customWidth="1"/>
    <col min="3" max="3" width="9.7109375" style="12" bestFit="1" customWidth="1"/>
    <col min="4" max="4" width="9.7109375" style="12" customWidth="1"/>
    <col min="5" max="5" width="10.140625" style="12" customWidth="1"/>
    <col min="6" max="6" width="10.5703125" style="12" customWidth="1"/>
    <col min="7" max="7" width="11.28515625" style="15" customWidth="1"/>
    <col min="8" max="8" width="11.5703125" style="16" customWidth="1"/>
    <col min="9" max="10" width="9.28515625" style="2"/>
    <col min="11" max="11" width="38.42578125" style="2" customWidth="1"/>
    <col min="12" max="16384" width="9.28515625" style="2"/>
  </cols>
  <sheetData>
    <row r="1" spans="1:11">
      <c r="A1" s="93" t="str">
        <f>+'Cover Page'!$B$29</f>
        <v>Annual Performance Report 2022</v>
      </c>
      <c r="B1" s="93"/>
      <c r="C1" s="93"/>
      <c r="D1" s="93"/>
      <c r="E1" s="93" t="str">
        <f>+'Cover Page'!$B$33</f>
        <v>Newlincs Development IWMF</v>
      </c>
      <c r="F1" s="93"/>
      <c r="G1" s="93"/>
      <c r="H1" s="93"/>
      <c r="I1" s="93"/>
      <c r="J1" s="93"/>
      <c r="K1" s="93"/>
    </row>
    <row r="3" spans="1:11" ht="15.75">
      <c r="A3" s="1" t="s">
        <v>31</v>
      </c>
      <c r="B3" s="295"/>
      <c r="C3" s="295"/>
      <c r="D3" s="295"/>
      <c r="E3" s="295"/>
      <c r="F3" s="295"/>
      <c r="H3" s="296"/>
      <c r="I3" s="93"/>
      <c r="J3" s="93"/>
      <c r="K3" s="81" t="s">
        <v>3</v>
      </c>
    </row>
    <row r="4" spans="1:11">
      <c r="A4" s="18" t="s">
        <v>64</v>
      </c>
      <c r="B4" s="297"/>
      <c r="C4" s="297"/>
      <c r="D4" s="20" t="s">
        <v>65</v>
      </c>
      <c r="E4" s="19"/>
      <c r="F4" s="20" t="s">
        <v>66</v>
      </c>
      <c r="G4" s="19"/>
      <c r="H4" s="70" t="s">
        <v>67</v>
      </c>
      <c r="I4" s="93"/>
      <c r="J4" s="93"/>
      <c r="K4" s="17" t="s">
        <v>68</v>
      </c>
    </row>
    <row r="5" spans="1:11" ht="15.75">
      <c r="A5" s="21" t="s">
        <v>69</v>
      </c>
      <c r="B5" s="22">
        <v>1</v>
      </c>
      <c r="C5" s="23"/>
      <c r="D5" s="23" t="s">
        <v>70</v>
      </c>
      <c r="E5" s="23"/>
      <c r="F5" s="24">
        <v>1</v>
      </c>
      <c r="G5" s="25"/>
      <c r="H5" s="26"/>
      <c r="I5" s="93"/>
      <c r="J5" s="93"/>
      <c r="K5" s="17" t="s">
        <v>71</v>
      </c>
    </row>
    <row r="6" spans="1:11">
      <c r="A6" s="3"/>
      <c r="B6" s="295"/>
      <c r="C6" s="295"/>
      <c r="D6" s="295"/>
      <c r="E6" s="295"/>
      <c r="F6" s="295"/>
      <c r="H6" s="296"/>
      <c r="I6" s="93"/>
      <c r="J6" s="93"/>
      <c r="K6" s="142" t="s">
        <v>72</v>
      </c>
    </row>
    <row r="7" spans="1:11" ht="15.75">
      <c r="A7" s="9" t="s">
        <v>73</v>
      </c>
      <c r="B7" s="298" t="s">
        <v>74</v>
      </c>
      <c r="C7" s="299" t="s">
        <v>75</v>
      </c>
      <c r="D7" s="299" t="s">
        <v>76</v>
      </c>
      <c r="E7" s="299" t="s">
        <v>77</v>
      </c>
      <c r="F7" s="299" t="s">
        <v>78</v>
      </c>
      <c r="G7" s="27" t="s">
        <v>79</v>
      </c>
      <c r="H7" s="300" t="s">
        <v>80</v>
      </c>
      <c r="I7" s="93"/>
      <c r="J7" s="93"/>
      <c r="K7" s="142"/>
    </row>
    <row r="8" spans="1:11" ht="15.75" customHeight="1">
      <c r="A8" s="301" t="s">
        <v>81</v>
      </c>
      <c r="B8" s="302" t="s">
        <v>82</v>
      </c>
      <c r="C8" s="303">
        <v>11837</v>
      </c>
      <c r="D8" s="303">
        <v>12913</v>
      </c>
      <c r="E8" s="303">
        <v>12958</v>
      </c>
      <c r="F8" s="303">
        <v>10160</v>
      </c>
      <c r="G8" s="28">
        <f>SUM(C8:F8)</f>
        <v>47868</v>
      </c>
      <c r="H8" s="304">
        <f t="shared" ref="H8:H15" si="0">IF(G8&gt;0,G8/$G$18,"-")</f>
        <v>0.93402798103377627</v>
      </c>
      <c r="I8" s="93"/>
      <c r="J8" s="93"/>
      <c r="K8" s="143" t="s">
        <v>83</v>
      </c>
    </row>
    <row r="9" spans="1:11">
      <c r="A9" s="305" t="s">
        <v>84</v>
      </c>
      <c r="B9" s="306"/>
      <c r="C9" s="307">
        <v>879</v>
      </c>
      <c r="D9" s="307">
        <v>637</v>
      </c>
      <c r="E9" s="307">
        <v>764</v>
      </c>
      <c r="F9" s="307">
        <v>1101</v>
      </c>
      <c r="G9" s="89">
        <f t="shared" ref="G9:G15" si="1">SUM(C9:F9)</f>
        <v>3381</v>
      </c>
      <c r="H9" s="308">
        <f t="shared" si="0"/>
        <v>6.5972018966223733E-2</v>
      </c>
      <c r="I9" s="93"/>
      <c r="J9" s="93"/>
      <c r="K9" s="143"/>
    </row>
    <row r="10" spans="1:11">
      <c r="A10" s="305" t="s">
        <v>85</v>
      </c>
      <c r="B10" s="306"/>
      <c r="C10" s="307"/>
      <c r="D10" s="307"/>
      <c r="E10" s="307"/>
      <c r="F10" s="307"/>
      <c r="G10" s="89">
        <f t="shared" si="1"/>
        <v>0</v>
      </c>
      <c r="H10" s="308" t="str">
        <f t="shared" si="0"/>
        <v>-</v>
      </c>
      <c r="I10" s="93"/>
      <c r="J10" s="93"/>
      <c r="K10" s="143"/>
    </row>
    <row r="11" spans="1:11">
      <c r="A11" s="305" t="s">
        <v>86</v>
      </c>
      <c r="B11" s="306"/>
      <c r="C11" s="307"/>
      <c r="D11" s="307"/>
      <c r="E11" s="307"/>
      <c r="F11" s="307"/>
      <c r="G11" s="89">
        <f t="shared" si="1"/>
        <v>0</v>
      </c>
      <c r="H11" s="308" t="str">
        <f t="shared" si="0"/>
        <v>-</v>
      </c>
      <c r="I11" s="93"/>
      <c r="J11" s="93"/>
      <c r="K11" s="143"/>
    </row>
    <row r="12" spans="1:11">
      <c r="A12" s="305" t="s">
        <v>87</v>
      </c>
      <c r="B12" s="306"/>
      <c r="C12" s="307"/>
      <c r="D12" s="307"/>
      <c r="E12" s="307"/>
      <c r="F12" s="307"/>
      <c r="G12" s="89">
        <f t="shared" si="1"/>
        <v>0</v>
      </c>
      <c r="H12" s="308" t="str">
        <f t="shared" si="0"/>
        <v>-</v>
      </c>
      <c r="I12" s="93"/>
      <c r="J12" s="93"/>
      <c r="K12" s="143"/>
    </row>
    <row r="13" spans="1:11">
      <c r="A13" s="305" t="s">
        <v>88</v>
      </c>
      <c r="B13" s="306"/>
      <c r="C13" s="307"/>
      <c r="D13" s="307"/>
      <c r="E13" s="307"/>
      <c r="F13" s="307"/>
      <c r="G13" s="89">
        <f t="shared" ref="G13" si="2">SUM(C13:F13)</f>
        <v>0</v>
      </c>
      <c r="H13" s="308" t="str">
        <f t="shared" si="0"/>
        <v>-</v>
      </c>
      <c r="I13" s="93"/>
      <c r="J13" s="93"/>
      <c r="K13" s="143"/>
    </row>
    <row r="14" spans="1:11">
      <c r="A14" s="305" t="s">
        <v>89</v>
      </c>
      <c r="B14" s="306"/>
      <c r="C14" s="307"/>
      <c r="D14" s="307"/>
      <c r="E14" s="307"/>
      <c r="F14" s="307"/>
      <c r="G14" s="89">
        <f t="shared" si="1"/>
        <v>0</v>
      </c>
      <c r="H14" s="308" t="str">
        <f t="shared" si="0"/>
        <v>-</v>
      </c>
      <c r="I14" s="93"/>
      <c r="J14" s="93"/>
      <c r="K14" s="143"/>
    </row>
    <row r="15" spans="1:11">
      <c r="A15" s="309" t="s">
        <v>90</v>
      </c>
      <c r="B15" s="306"/>
      <c r="C15" s="307"/>
      <c r="D15" s="307"/>
      <c r="E15" s="307"/>
      <c r="F15" s="307"/>
      <c r="G15" s="89">
        <f t="shared" si="1"/>
        <v>0</v>
      </c>
      <c r="H15" s="308" t="str">
        <f t="shared" si="0"/>
        <v>-</v>
      </c>
      <c r="I15" s="93"/>
      <c r="J15" s="93"/>
      <c r="K15" s="143"/>
    </row>
    <row r="16" spans="1:11">
      <c r="A16" s="309" t="s">
        <v>90</v>
      </c>
      <c r="B16" s="306"/>
      <c r="C16" s="307"/>
      <c r="D16" s="307"/>
      <c r="E16" s="307"/>
      <c r="F16" s="307"/>
      <c r="G16" s="89"/>
      <c r="H16" s="308"/>
      <c r="I16" s="93"/>
      <c r="J16" s="93"/>
      <c r="K16" s="143"/>
    </row>
    <row r="17" spans="1:12">
      <c r="A17" s="309" t="s">
        <v>90</v>
      </c>
      <c r="B17" s="306"/>
      <c r="C17" s="307"/>
      <c r="D17" s="307"/>
      <c r="E17" s="307"/>
      <c r="F17" s="307"/>
      <c r="G17" s="89"/>
      <c r="H17" s="308"/>
      <c r="I17" s="93"/>
      <c r="J17" s="93"/>
      <c r="K17" s="143"/>
      <c r="L17" s="93"/>
    </row>
    <row r="18" spans="1:12">
      <c r="A18" s="91" t="s">
        <v>91</v>
      </c>
      <c r="B18" s="306"/>
      <c r="C18" s="89">
        <f>SUM(C8:C17)</f>
        <v>12716</v>
      </c>
      <c r="D18" s="89">
        <f>SUM(D8:D17)</f>
        <v>13550</v>
      </c>
      <c r="E18" s="89">
        <f>SUM(E8:E17)</f>
        <v>13722</v>
      </c>
      <c r="F18" s="89">
        <f>SUM(F8:F17)</f>
        <v>11261</v>
      </c>
      <c r="G18" s="89">
        <f>SUM(G8:G17)</f>
        <v>51249</v>
      </c>
      <c r="H18" s="310">
        <v>1</v>
      </c>
      <c r="I18" s="93"/>
      <c r="J18" s="93"/>
      <c r="K18" s="143"/>
      <c r="L18" s="93"/>
    </row>
    <row r="19" spans="1:12">
      <c r="A19" s="305" t="s">
        <v>92</v>
      </c>
      <c r="B19" s="306"/>
      <c r="C19" s="307"/>
      <c r="D19" s="307"/>
      <c r="E19" s="307"/>
      <c r="F19" s="307"/>
      <c r="G19" s="89">
        <f t="shared" ref="G19" si="3">SUM(C19:F19)</f>
        <v>0</v>
      </c>
      <c r="H19" s="308" t="str">
        <f t="shared" ref="H19" si="4">IF(G19&gt;0,G19/$G$18,"-")</f>
        <v>-</v>
      </c>
      <c r="I19" s="93"/>
      <c r="J19" s="93"/>
      <c r="K19" s="143"/>
      <c r="L19" s="93"/>
    </row>
    <row r="20" spans="1:12">
      <c r="A20" s="305" t="s">
        <v>93</v>
      </c>
      <c r="B20" s="306"/>
      <c r="C20" s="307"/>
      <c r="D20" s="307"/>
      <c r="E20" s="307"/>
      <c r="F20" s="307"/>
      <c r="G20" s="89">
        <f t="shared" ref="G20" si="5">SUM(C20:F20)</f>
        <v>0</v>
      </c>
      <c r="H20" s="308" t="str">
        <f>IF(G20&gt;0,G20/$G$18,"-")</f>
        <v>-</v>
      </c>
      <c r="I20" s="93"/>
      <c r="J20" s="93"/>
      <c r="K20" s="93"/>
      <c r="L20" s="93"/>
    </row>
    <row r="21" spans="1:12">
      <c r="A21" s="92" t="s">
        <v>94</v>
      </c>
      <c r="B21" s="311"/>
      <c r="C21" s="90">
        <f>C18-SUM(C19:C20)</f>
        <v>12716</v>
      </c>
      <c r="D21" s="90">
        <f t="shared" ref="D21:F21" si="6">D18-SUM(D19:D20)</f>
        <v>13550</v>
      </c>
      <c r="E21" s="90">
        <f t="shared" si="6"/>
        <v>13722</v>
      </c>
      <c r="F21" s="90">
        <f t="shared" si="6"/>
        <v>11261</v>
      </c>
      <c r="G21" s="30">
        <f>SUM(C21:F21)</f>
        <v>51249</v>
      </c>
      <c r="H21" s="312">
        <f>IF(G21&gt;0,G21/$G$18,"-")</f>
        <v>1</v>
      </c>
      <c r="I21" s="93"/>
      <c r="J21" s="93"/>
      <c r="K21" s="93"/>
      <c r="L21" s="93"/>
    </row>
    <row r="22" spans="1:12">
      <c r="A22" s="3"/>
      <c r="B22" s="295"/>
      <c r="C22" s="296"/>
      <c r="D22" s="296"/>
      <c r="E22" s="296"/>
      <c r="F22" s="296"/>
      <c r="G22" s="31"/>
      <c r="H22" s="296"/>
      <c r="I22" s="93"/>
      <c r="J22" s="93"/>
      <c r="K22" s="93"/>
      <c r="L22" s="93"/>
    </row>
    <row r="23" spans="1:12" ht="15.75">
      <c r="A23" s="9" t="s">
        <v>95</v>
      </c>
      <c r="B23" s="298" t="s">
        <v>74</v>
      </c>
      <c r="C23" s="313" t="s">
        <v>75</v>
      </c>
      <c r="D23" s="313" t="s">
        <v>76</v>
      </c>
      <c r="E23" s="313" t="s">
        <v>77</v>
      </c>
      <c r="F23" s="313" t="s">
        <v>78</v>
      </c>
      <c r="G23" s="32" t="s">
        <v>79</v>
      </c>
      <c r="H23" s="314" t="s">
        <v>96</v>
      </c>
      <c r="I23" s="93"/>
      <c r="J23" s="93"/>
      <c r="K23" s="93"/>
      <c r="L23" s="93"/>
    </row>
    <row r="24" spans="1:12" ht="15" customHeight="1">
      <c r="A24" s="315" t="s">
        <v>97</v>
      </c>
      <c r="B24" s="302" t="s">
        <v>98</v>
      </c>
      <c r="C24" s="303">
        <v>6108</v>
      </c>
      <c r="D24" s="303">
        <v>6339</v>
      </c>
      <c r="E24" s="303">
        <v>6104</v>
      </c>
      <c r="F24" s="303">
        <v>5269</v>
      </c>
      <c r="G24" s="28">
        <f t="shared" ref="G24:G27" si="7">SUM(C24:F24)</f>
        <v>23820</v>
      </c>
      <c r="H24" s="316">
        <f>IF(G24&gt;0,G24*1000/$G$21,"-")</f>
        <v>464.7895568694023</v>
      </c>
      <c r="I24" s="93"/>
      <c r="J24" s="93"/>
      <c r="K24" s="93"/>
      <c r="L24" s="93"/>
    </row>
    <row r="25" spans="1:12">
      <c r="A25" s="317" t="s">
        <v>99</v>
      </c>
      <c r="B25" s="306"/>
      <c r="C25" s="103">
        <v>5045</v>
      </c>
      <c r="D25" s="103">
        <v>5243</v>
      </c>
      <c r="E25" s="103">
        <v>4984</v>
      </c>
      <c r="F25" s="103">
        <v>4421</v>
      </c>
      <c r="G25" s="29">
        <f>SUM(C25:F25)</f>
        <v>19693</v>
      </c>
      <c r="H25" s="318">
        <f>IF(G25&gt;0,G25*1000/$G$21,"-")</f>
        <v>384.26115631524516</v>
      </c>
      <c r="I25" s="93"/>
      <c r="J25" s="93"/>
      <c r="K25" s="93"/>
      <c r="L25" s="93"/>
    </row>
    <row r="26" spans="1:12">
      <c r="A26" s="317" t="s">
        <v>100</v>
      </c>
      <c r="B26" s="306"/>
      <c r="C26" s="103">
        <v>1099</v>
      </c>
      <c r="D26" s="103">
        <v>1120</v>
      </c>
      <c r="E26" s="103">
        <v>1122</v>
      </c>
      <c r="F26" s="103">
        <v>930</v>
      </c>
      <c r="G26" s="29">
        <f>SUM(C26:F26)</f>
        <v>4271</v>
      </c>
      <c r="H26" s="318">
        <f>IF(G26&gt;0,G26*1000/$G$21,"-")</f>
        <v>83.338211477297122</v>
      </c>
      <c r="I26" s="93"/>
      <c r="J26" s="93"/>
      <c r="K26" s="93"/>
      <c r="L26" s="93"/>
    </row>
    <row r="27" spans="1:12">
      <c r="A27" s="317" t="s">
        <v>101</v>
      </c>
      <c r="B27" s="306"/>
      <c r="C27" s="103">
        <v>36.1</v>
      </c>
      <c r="D27" s="103">
        <v>23.5</v>
      </c>
      <c r="E27" s="103">
        <v>1.9</v>
      </c>
      <c r="F27" s="103">
        <v>82.9</v>
      </c>
      <c r="G27" s="29">
        <f t="shared" si="7"/>
        <v>144.4</v>
      </c>
      <c r="H27" s="318">
        <f>IF(G27&gt;0,G27*1000/$G$21,"-")</f>
        <v>2.8176159534820191</v>
      </c>
      <c r="I27" s="93"/>
      <c r="J27" s="93"/>
      <c r="K27" s="93"/>
      <c r="L27" s="93"/>
    </row>
    <row r="28" spans="1:12">
      <c r="A28" s="317" t="s">
        <v>102</v>
      </c>
      <c r="B28" s="319" t="s">
        <v>80</v>
      </c>
      <c r="C28" s="320">
        <f>IF(C24&gt;0,1-C25/(C24+C27),"-")</f>
        <v>0.17888706238505236</v>
      </c>
      <c r="D28" s="320">
        <f>IF(D24&gt;0,1-D25/(D24+D27),"-")</f>
        <v>0.17595284872298622</v>
      </c>
      <c r="E28" s="320">
        <f>IF(E24&gt;0,1-E25/(E24+E27),"-")</f>
        <v>0.18374031674282243</v>
      </c>
      <c r="F28" s="320">
        <f>IF(F24&gt;0,1-F25/(F24+F27),"-")</f>
        <v>0.1739382275453577</v>
      </c>
      <c r="G28" s="320">
        <f>IF(G24&gt;0,1-G25/(G24+G27),"-")</f>
        <v>0.17823938842616549</v>
      </c>
      <c r="H28" s="318"/>
      <c r="I28" s="93"/>
      <c r="J28" s="93"/>
      <c r="K28" s="93"/>
      <c r="L28" s="93"/>
    </row>
    <row r="29" spans="1:12">
      <c r="A29" s="317" t="s">
        <v>103</v>
      </c>
      <c r="B29" s="321" t="s">
        <v>98</v>
      </c>
      <c r="C29" s="103">
        <v>3871</v>
      </c>
      <c r="D29" s="103">
        <v>4643</v>
      </c>
      <c r="E29" s="103">
        <v>4933</v>
      </c>
      <c r="F29" s="103">
        <v>3789</v>
      </c>
      <c r="G29" s="29">
        <f t="shared" ref="G29:G30" si="8">SUM(C29:F29)</f>
        <v>17236</v>
      </c>
      <c r="H29" s="318">
        <f>IF(G29&gt;0,G29*1000/$G$21,"-")</f>
        <v>336.31875743916953</v>
      </c>
      <c r="I29" s="93"/>
      <c r="J29" s="93"/>
      <c r="K29" s="93"/>
      <c r="L29" s="93"/>
    </row>
    <row r="30" spans="1:12">
      <c r="A30" s="317" t="s">
        <v>104</v>
      </c>
      <c r="B30" s="321"/>
      <c r="C30" s="103">
        <v>927</v>
      </c>
      <c r="D30" s="103">
        <v>980</v>
      </c>
      <c r="E30" s="103">
        <v>838</v>
      </c>
      <c r="F30" s="103">
        <v>790</v>
      </c>
      <c r="G30" s="29">
        <f t="shared" si="8"/>
        <v>3535</v>
      </c>
      <c r="H30" s="318">
        <f>IF(G30&gt;0,G30*1000/$G$21,"-")</f>
        <v>68.976955647915076</v>
      </c>
      <c r="I30" s="93"/>
      <c r="J30" s="93"/>
      <c r="K30" s="17"/>
      <c r="L30" s="17"/>
    </row>
    <row r="31" spans="1:12">
      <c r="A31" s="100" t="s">
        <v>105</v>
      </c>
      <c r="B31" s="322"/>
      <c r="C31" s="323"/>
      <c r="D31" s="323"/>
      <c r="E31" s="323"/>
      <c r="F31" s="323"/>
      <c r="G31" s="324"/>
      <c r="H31" s="323"/>
      <c r="I31" s="93"/>
      <c r="J31" s="93"/>
      <c r="K31" s="93"/>
      <c r="L31" s="17"/>
    </row>
    <row r="32" spans="1:12">
      <c r="A32" s="3"/>
      <c r="B32" s="295"/>
      <c r="C32" s="296"/>
      <c r="D32" s="296"/>
      <c r="E32" s="296"/>
      <c r="F32" s="296"/>
      <c r="G32" s="31"/>
      <c r="H32" s="296"/>
      <c r="I32" s="93"/>
      <c r="J32" s="93"/>
      <c r="K32" s="93"/>
      <c r="L32" s="17"/>
    </row>
    <row r="33" spans="1:12" ht="15.75">
      <c r="A33" s="9" t="s">
        <v>106</v>
      </c>
      <c r="B33" s="325" t="s">
        <v>74</v>
      </c>
      <c r="C33" s="313" t="s">
        <v>75</v>
      </c>
      <c r="D33" s="313" t="s">
        <v>76</v>
      </c>
      <c r="E33" s="313" t="s">
        <v>77</v>
      </c>
      <c r="F33" s="313" t="s">
        <v>78</v>
      </c>
      <c r="G33" s="32" t="s">
        <v>79</v>
      </c>
      <c r="H33" s="326" t="s">
        <v>107</v>
      </c>
      <c r="I33" s="93"/>
      <c r="J33" s="93"/>
      <c r="K33" s="93"/>
      <c r="L33" s="17"/>
    </row>
    <row r="34" spans="1:12" ht="15" customHeight="1">
      <c r="A34" s="315" t="s">
        <v>108</v>
      </c>
      <c r="B34" s="302" t="s">
        <v>82</v>
      </c>
      <c r="C34" s="303">
        <v>491</v>
      </c>
      <c r="D34" s="303">
        <v>519</v>
      </c>
      <c r="E34" s="303">
        <v>487</v>
      </c>
      <c r="F34" s="303">
        <v>273</v>
      </c>
      <c r="G34" s="28">
        <f t="shared" ref="G34:G35" si="9">SUM(C34:F34)</f>
        <v>1770</v>
      </c>
      <c r="H34" s="304">
        <f>IF(G34&gt;0,G34/$G$21,"-")</f>
        <v>3.4537259263595389E-2</v>
      </c>
      <c r="I34" s="93"/>
      <c r="J34" s="93"/>
      <c r="K34" s="17"/>
      <c r="L34" s="17"/>
    </row>
    <row r="35" spans="1:12" ht="15" customHeight="1">
      <c r="A35" s="317" t="s">
        <v>109</v>
      </c>
      <c r="B35" s="306"/>
      <c r="C35" s="103">
        <v>1617</v>
      </c>
      <c r="D35" s="103">
        <v>1940</v>
      </c>
      <c r="E35" s="103">
        <v>2396</v>
      </c>
      <c r="F35" s="103">
        <v>1807</v>
      </c>
      <c r="G35" s="29">
        <f t="shared" si="9"/>
        <v>7760</v>
      </c>
      <c r="H35" s="308">
        <f t="shared" ref="H35:H39" si="10">IF(G35&gt;0,G35/$G$21,"-")</f>
        <v>0.15141758863587582</v>
      </c>
      <c r="I35" s="93"/>
      <c r="J35" s="93"/>
      <c r="K35" s="17"/>
      <c r="L35" s="17"/>
    </row>
    <row r="36" spans="1:12" ht="15" customHeight="1">
      <c r="A36" s="317" t="s">
        <v>110</v>
      </c>
      <c r="B36" s="306"/>
      <c r="C36" s="103">
        <v>214</v>
      </c>
      <c r="D36" s="103">
        <v>186</v>
      </c>
      <c r="E36" s="103">
        <v>226</v>
      </c>
      <c r="F36" s="103">
        <v>169</v>
      </c>
      <c r="G36" s="29">
        <f t="shared" ref="G36:G39" si="11">SUM(C36:F36)</f>
        <v>795</v>
      </c>
      <c r="H36" s="308">
        <f t="shared" si="10"/>
        <v>1.5512497804835216E-2</v>
      </c>
      <c r="I36" s="93"/>
      <c r="J36" s="93"/>
      <c r="K36" s="93"/>
      <c r="L36" s="93"/>
    </row>
    <row r="37" spans="1:12">
      <c r="A37" s="327" t="s">
        <v>111</v>
      </c>
      <c r="B37" s="306"/>
      <c r="C37" s="103">
        <v>0</v>
      </c>
      <c r="D37" s="103">
        <v>0</v>
      </c>
      <c r="E37" s="103">
        <v>0</v>
      </c>
      <c r="F37" s="103">
        <v>0</v>
      </c>
      <c r="G37" s="29">
        <f t="shared" ref="G37" si="12">SUM(C37:F37)</f>
        <v>0</v>
      </c>
      <c r="H37" s="308" t="str">
        <f t="shared" si="10"/>
        <v>-</v>
      </c>
      <c r="I37" s="93"/>
      <c r="J37" s="93"/>
      <c r="K37" s="93"/>
      <c r="L37" s="93"/>
    </row>
    <row r="38" spans="1:12">
      <c r="A38" s="327" t="s">
        <v>111</v>
      </c>
      <c r="B38" s="306"/>
      <c r="C38" s="103">
        <v>0</v>
      </c>
      <c r="D38" s="103">
        <v>0</v>
      </c>
      <c r="E38" s="103">
        <v>0</v>
      </c>
      <c r="F38" s="103">
        <v>0</v>
      </c>
      <c r="G38" s="29">
        <f t="shared" si="11"/>
        <v>0</v>
      </c>
      <c r="H38" s="308" t="str">
        <f t="shared" si="10"/>
        <v>-</v>
      </c>
      <c r="I38" s="93"/>
      <c r="J38" s="93"/>
      <c r="K38" s="93"/>
      <c r="L38" s="93"/>
    </row>
    <row r="39" spans="1:12">
      <c r="A39" s="328" t="s">
        <v>111</v>
      </c>
      <c r="B39" s="329"/>
      <c r="C39" s="330">
        <v>0</v>
      </c>
      <c r="D39" s="330">
        <v>0</v>
      </c>
      <c r="E39" s="330">
        <v>0</v>
      </c>
      <c r="F39" s="330">
        <v>0</v>
      </c>
      <c r="G39" s="30">
        <f t="shared" si="11"/>
        <v>0</v>
      </c>
      <c r="H39" s="312" t="str">
        <f t="shared" si="10"/>
        <v>-</v>
      </c>
      <c r="I39" s="93"/>
      <c r="J39" s="93"/>
      <c r="K39" s="93"/>
      <c r="L39" s="93"/>
    </row>
    <row r="40" spans="1:12">
      <c r="A40" s="295"/>
      <c r="B40" s="295"/>
      <c r="C40" s="296"/>
      <c r="D40" s="296"/>
      <c r="E40" s="296"/>
      <c r="F40" s="296"/>
      <c r="G40" s="31"/>
      <c r="H40" s="296"/>
      <c r="I40" s="93"/>
      <c r="J40" s="93"/>
      <c r="K40" s="93"/>
      <c r="L40" s="93"/>
    </row>
    <row r="41" spans="1:12" ht="15.75">
      <c r="A41" s="9" t="s">
        <v>112</v>
      </c>
      <c r="B41" s="331" t="s">
        <v>74</v>
      </c>
      <c r="C41" s="299" t="s">
        <v>75</v>
      </c>
      <c r="D41" s="299" t="s">
        <v>76</v>
      </c>
      <c r="E41" s="299" t="s">
        <v>77</v>
      </c>
      <c r="F41" s="299" t="s">
        <v>78</v>
      </c>
      <c r="G41" s="27" t="s">
        <v>79</v>
      </c>
      <c r="H41" s="300" t="s">
        <v>113</v>
      </c>
      <c r="I41" s="93"/>
      <c r="J41" s="93"/>
      <c r="K41" s="93"/>
      <c r="L41" s="93"/>
    </row>
    <row r="42" spans="1:12" ht="15.6" customHeight="1">
      <c r="A42" s="315" t="s">
        <v>114</v>
      </c>
      <c r="B42" s="319" t="s">
        <v>115</v>
      </c>
      <c r="C42" s="303">
        <v>800000</v>
      </c>
      <c r="D42" s="303">
        <v>841000</v>
      </c>
      <c r="E42" s="303">
        <v>1199000</v>
      </c>
      <c r="F42" s="303">
        <v>1111000</v>
      </c>
      <c r="G42" s="28">
        <f t="shared" ref="G42:G50" si="13">SUM(C42:F42)</f>
        <v>3951000</v>
      </c>
      <c r="H42" s="332">
        <f>IF(G42&gt;0,G42/$G$21,"-")</f>
        <v>77.094187203652751</v>
      </c>
      <c r="I42" s="93"/>
      <c r="J42" s="93"/>
      <c r="K42" s="93"/>
      <c r="L42" s="93"/>
    </row>
    <row r="43" spans="1:12">
      <c r="A43" s="317" t="s">
        <v>116</v>
      </c>
      <c r="B43" s="319" t="s">
        <v>115</v>
      </c>
      <c r="C43" s="103"/>
      <c r="D43" s="103"/>
      <c r="E43" s="103"/>
      <c r="F43" s="103"/>
      <c r="G43" s="29">
        <f t="shared" si="13"/>
        <v>0</v>
      </c>
      <c r="H43" s="332" t="str">
        <f t="shared" ref="H43:H48" si="14">IF(G43&gt;0,G43/$G$21,"-")</f>
        <v>-</v>
      </c>
      <c r="I43" s="93"/>
      <c r="J43" s="93"/>
      <c r="K43" s="93"/>
      <c r="L43" s="93"/>
    </row>
    <row r="44" spans="1:12" ht="15.6" customHeight="1">
      <c r="A44" s="317" t="s">
        <v>117</v>
      </c>
      <c r="B44" s="319" t="s">
        <v>118</v>
      </c>
      <c r="C44" s="103" t="s">
        <v>119</v>
      </c>
      <c r="D44" s="103" t="s">
        <v>119</v>
      </c>
      <c r="E44" s="103" t="s">
        <v>119</v>
      </c>
      <c r="F44" s="103" t="s">
        <v>119</v>
      </c>
      <c r="G44" s="29">
        <f t="shared" si="13"/>
        <v>0</v>
      </c>
      <c r="H44" s="332" t="str">
        <f t="shared" si="14"/>
        <v>-</v>
      </c>
      <c r="I44" s="93"/>
      <c r="J44" s="93"/>
      <c r="K44" s="93"/>
      <c r="L44" s="93"/>
    </row>
    <row r="45" spans="1:12" ht="15.6" customHeight="1">
      <c r="A45" s="317" t="s">
        <v>120</v>
      </c>
      <c r="B45" s="319" t="s">
        <v>118</v>
      </c>
      <c r="C45" s="103">
        <v>8190</v>
      </c>
      <c r="D45" s="103">
        <v>10450</v>
      </c>
      <c r="E45" s="103">
        <v>10976</v>
      </c>
      <c r="F45" s="103">
        <v>6397</v>
      </c>
      <c r="G45" s="29">
        <f t="shared" ref="G45" si="15">SUM(C45:F45)</f>
        <v>36013</v>
      </c>
      <c r="H45" s="332">
        <f t="shared" si="14"/>
        <v>0.7027063942711077</v>
      </c>
      <c r="I45" s="93"/>
      <c r="J45" s="93"/>
      <c r="K45" s="93"/>
      <c r="L45" s="93"/>
    </row>
    <row r="46" spans="1:12">
      <c r="A46" s="317" t="s">
        <v>121</v>
      </c>
      <c r="B46" s="319" t="s">
        <v>118</v>
      </c>
      <c r="C46" s="103">
        <v>4685</v>
      </c>
      <c r="D46" s="103">
        <v>5014</v>
      </c>
      <c r="E46" s="103">
        <v>5272</v>
      </c>
      <c r="F46" s="103">
        <v>4126</v>
      </c>
      <c r="G46" s="29">
        <f t="shared" si="13"/>
        <v>19097</v>
      </c>
      <c r="H46" s="332">
        <f t="shared" si="14"/>
        <v>0.37263166110558255</v>
      </c>
      <c r="I46" s="93"/>
      <c r="J46" s="93"/>
      <c r="K46" s="93"/>
      <c r="L46" s="93"/>
    </row>
    <row r="47" spans="1:12">
      <c r="A47" s="317" t="s">
        <v>122</v>
      </c>
      <c r="B47" s="319" t="s">
        <v>118</v>
      </c>
      <c r="C47" s="103">
        <v>85149</v>
      </c>
      <c r="D47" s="103">
        <v>91190</v>
      </c>
      <c r="E47" s="103">
        <v>92260</v>
      </c>
      <c r="F47" s="103">
        <v>80520</v>
      </c>
      <c r="G47" s="29">
        <f t="shared" si="13"/>
        <v>349119</v>
      </c>
      <c r="H47" s="332">
        <f t="shared" si="14"/>
        <v>6.8122109699701454</v>
      </c>
      <c r="I47" s="93"/>
      <c r="J47" s="93"/>
      <c r="K47" s="93"/>
      <c r="L47" s="93"/>
    </row>
    <row r="48" spans="1:12">
      <c r="A48" s="317" t="s">
        <v>123</v>
      </c>
      <c r="B48" s="319" t="s">
        <v>115</v>
      </c>
      <c r="C48" s="103"/>
      <c r="D48" s="103"/>
      <c r="E48" s="103"/>
      <c r="F48" s="103"/>
      <c r="G48" s="29">
        <f t="shared" si="13"/>
        <v>0</v>
      </c>
      <c r="H48" s="332" t="str">
        <f t="shared" si="14"/>
        <v>-</v>
      </c>
      <c r="I48" s="93"/>
      <c r="J48" s="93"/>
      <c r="K48" s="93"/>
      <c r="L48" s="93"/>
    </row>
    <row r="49" spans="1:10">
      <c r="A49" s="317" t="s">
        <v>124</v>
      </c>
      <c r="B49" s="319" t="s">
        <v>125</v>
      </c>
      <c r="C49" s="103">
        <v>405059</v>
      </c>
      <c r="D49" s="103">
        <v>493240</v>
      </c>
      <c r="E49" s="103">
        <v>332029</v>
      </c>
      <c r="F49" s="103">
        <v>867540</v>
      </c>
      <c r="G49" s="29">
        <f t="shared" si="13"/>
        <v>2097868</v>
      </c>
      <c r="H49" s="333"/>
      <c r="I49" s="93"/>
      <c r="J49" s="93"/>
    </row>
    <row r="50" spans="1:10">
      <c r="A50" s="100" t="s">
        <v>111</v>
      </c>
      <c r="B50" s="334"/>
      <c r="C50" s="330">
        <v>0</v>
      </c>
      <c r="D50" s="330">
        <v>0</v>
      </c>
      <c r="E50" s="330">
        <v>0</v>
      </c>
      <c r="F50" s="330">
        <v>0</v>
      </c>
      <c r="G50" s="30">
        <f t="shared" si="13"/>
        <v>0</v>
      </c>
      <c r="H50" s="335"/>
      <c r="I50" s="93"/>
      <c r="J50" s="93"/>
    </row>
    <row r="51" spans="1:10">
      <c r="A51" s="295"/>
      <c r="B51" s="295"/>
      <c r="C51" s="296"/>
      <c r="D51" s="296"/>
      <c r="E51" s="296"/>
      <c r="F51" s="296"/>
      <c r="G51" s="31"/>
      <c r="H51" s="296"/>
      <c r="I51" s="93"/>
      <c r="J51" s="93"/>
    </row>
    <row r="52" spans="1:10" ht="15.75">
      <c r="A52" s="9" t="s">
        <v>126</v>
      </c>
      <c r="B52" s="336" t="s">
        <v>127</v>
      </c>
      <c r="C52" s="313" t="s">
        <v>75</v>
      </c>
      <c r="D52" s="313" t="s">
        <v>76</v>
      </c>
      <c r="E52" s="313" t="s">
        <v>77</v>
      </c>
      <c r="F52" s="313" t="s">
        <v>78</v>
      </c>
      <c r="G52" s="32" t="s">
        <v>79</v>
      </c>
      <c r="H52" s="314"/>
      <c r="I52" s="93"/>
      <c r="J52" s="86" t="s">
        <v>128</v>
      </c>
    </row>
    <row r="53" spans="1:10" ht="14.25" customHeight="1">
      <c r="A53" s="337" t="s">
        <v>129</v>
      </c>
      <c r="B53" s="313">
        <f>+B5</f>
        <v>1</v>
      </c>
      <c r="C53" s="303">
        <v>1952</v>
      </c>
      <c r="D53" s="303">
        <v>2089</v>
      </c>
      <c r="E53" s="303">
        <v>2197</v>
      </c>
      <c r="F53" s="303">
        <v>1719</v>
      </c>
      <c r="G53" s="28">
        <f t="shared" ref="G53:G65" si="16">SUM(C53:F53)</f>
        <v>7957</v>
      </c>
      <c r="H53" s="304" t="s">
        <v>130</v>
      </c>
      <c r="I53" s="93"/>
      <c r="J53" s="88">
        <v>8760</v>
      </c>
    </row>
    <row r="54" spans="1:10" ht="14.25" customHeight="1">
      <c r="A54" s="338"/>
      <c r="B54" s="296">
        <v>2</v>
      </c>
      <c r="C54" s="307"/>
      <c r="D54" s="307"/>
      <c r="E54" s="307"/>
      <c r="F54" s="307"/>
      <c r="G54" s="29">
        <f t="shared" si="16"/>
        <v>0</v>
      </c>
      <c r="H54" s="308" t="s">
        <v>131</v>
      </c>
      <c r="I54" s="93"/>
      <c r="J54" s="93"/>
    </row>
    <row r="55" spans="1:10" ht="14.25" customHeight="1">
      <c r="A55" s="338"/>
      <c r="B55" s="296">
        <v>3</v>
      </c>
      <c r="C55" s="307"/>
      <c r="D55" s="307"/>
      <c r="E55" s="307"/>
      <c r="F55" s="307"/>
      <c r="G55" s="29">
        <f t="shared" si="16"/>
        <v>0</v>
      </c>
      <c r="H55" s="308" t="s">
        <v>131</v>
      </c>
      <c r="I55" s="93"/>
      <c r="J55" s="93"/>
    </row>
    <row r="56" spans="1:10" ht="14.25" customHeight="1">
      <c r="A56" s="338"/>
      <c r="B56" s="296">
        <v>4</v>
      </c>
      <c r="C56" s="307"/>
      <c r="D56" s="307"/>
      <c r="E56" s="307"/>
      <c r="F56" s="307"/>
      <c r="G56" s="29">
        <f t="shared" si="16"/>
        <v>0</v>
      </c>
      <c r="H56" s="308" t="s">
        <v>131</v>
      </c>
      <c r="I56" s="93"/>
      <c r="J56" s="93"/>
    </row>
    <row r="57" spans="1:10" ht="14.25" customHeight="1">
      <c r="A57" s="338"/>
      <c r="B57" s="296">
        <v>5</v>
      </c>
      <c r="C57" s="307"/>
      <c r="D57" s="307"/>
      <c r="E57" s="307"/>
      <c r="F57" s="307"/>
      <c r="G57" s="29">
        <f t="shared" ref="G57" si="17">SUM(C57:F57)</f>
        <v>0</v>
      </c>
      <c r="H57" s="308" t="s">
        <v>131</v>
      </c>
      <c r="I57" s="93"/>
      <c r="J57" s="93"/>
    </row>
    <row r="58" spans="1:10" ht="14.25" customHeight="1">
      <c r="A58" s="317" t="s">
        <v>132</v>
      </c>
      <c r="B58" s="296"/>
      <c r="C58" s="307"/>
      <c r="D58" s="307"/>
      <c r="E58" s="307"/>
      <c r="F58" s="307"/>
      <c r="G58" s="29">
        <f>AVERAGE(G53:G57)</f>
        <v>1591.4</v>
      </c>
      <c r="H58" s="87" t="s">
        <v>131</v>
      </c>
      <c r="I58" s="93"/>
      <c r="J58" s="93"/>
    </row>
    <row r="59" spans="1:10" ht="14.25" customHeight="1">
      <c r="A59" s="317" t="s">
        <v>133</v>
      </c>
      <c r="B59" s="296">
        <v>1</v>
      </c>
      <c r="C59" s="307">
        <v>1947</v>
      </c>
      <c r="D59" s="307">
        <v>2085</v>
      </c>
      <c r="E59" s="307">
        <v>2201</v>
      </c>
      <c r="F59" s="307">
        <v>1711</v>
      </c>
      <c r="G59" s="29">
        <f t="shared" si="16"/>
        <v>7944</v>
      </c>
      <c r="H59" s="308" t="s">
        <v>131</v>
      </c>
      <c r="I59" s="93"/>
      <c r="J59" s="93"/>
    </row>
    <row r="60" spans="1:10">
      <c r="A60" s="317" t="s">
        <v>133</v>
      </c>
      <c r="B60" s="296">
        <v>2</v>
      </c>
      <c r="C60" s="103"/>
      <c r="D60" s="103"/>
      <c r="E60" s="103"/>
      <c r="F60" s="103"/>
      <c r="G60" s="29">
        <f t="shared" si="16"/>
        <v>0</v>
      </c>
      <c r="H60" s="308" t="s">
        <v>131</v>
      </c>
      <c r="I60" s="93"/>
      <c r="J60" s="93"/>
    </row>
    <row r="61" spans="1:10">
      <c r="A61" s="317" t="s">
        <v>134</v>
      </c>
      <c r="B61" s="296"/>
      <c r="C61" s="103"/>
      <c r="D61" s="103"/>
      <c r="E61" s="103"/>
      <c r="F61" s="103"/>
      <c r="G61" s="29">
        <f t="shared" si="16"/>
        <v>0</v>
      </c>
      <c r="H61" s="308" t="str">
        <f>IF(B61&gt;0,G60/J53,"n/a")</f>
        <v>n/a</v>
      </c>
      <c r="I61" s="93"/>
      <c r="J61" s="93"/>
    </row>
    <row r="62" spans="1:10">
      <c r="A62" s="317" t="s">
        <v>135</v>
      </c>
      <c r="B62" s="296" t="s">
        <v>136</v>
      </c>
      <c r="C62" s="103"/>
      <c r="D62" s="103"/>
      <c r="E62" s="103"/>
      <c r="F62" s="103"/>
      <c r="G62" s="29"/>
      <c r="H62" s="339" t="s">
        <v>137</v>
      </c>
      <c r="I62" s="93"/>
      <c r="J62" s="93"/>
    </row>
    <row r="63" spans="1:10">
      <c r="A63" s="317" t="s">
        <v>138</v>
      </c>
      <c r="B63" s="296" t="s">
        <v>139</v>
      </c>
      <c r="C63" s="103"/>
      <c r="D63" s="103"/>
      <c r="E63" s="103"/>
      <c r="F63" s="103"/>
      <c r="G63" s="29">
        <f t="shared" si="16"/>
        <v>0</v>
      </c>
      <c r="H63" s="318" t="str">
        <f>IF(G63&gt;0,"yes","no")</f>
        <v>no</v>
      </c>
      <c r="I63" s="93"/>
      <c r="J63" s="93"/>
    </row>
    <row r="64" spans="1:10">
      <c r="A64" s="317" t="s">
        <v>140</v>
      </c>
      <c r="B64" s="296" t="s">
        <v>141</v>
      </c>
      <c r="C64" s="103"/>
      <c r="D64" s="103"/>
      <c r="E64" s="103"/>
      <c r="F64" s="103"/>
      <c r="G64" s="29">
        <f t="shared" si="16"/>
        <v>0</v>
      </c>
      <c r="H64" s="340">
        <f>+(G64)/J53</f>
        <v>0</v>
      </c>
      <c r="I64" s="93"/>
      <c r="J64" s="93"/>
    </row>
    <row r="65" spans="1:8">
      <c r="A65" s="100" t="s">
        <v>142</v>
      </c>
      <c r="B65" s="341" t="s">
        <v>139</v>
      </c>
      <c r="C65" s="330"/>
      <c r="D65" s="330"/>
      <c r="E65" s="330"/>
      <c r="F65" s="330"/>
      <c r="G65" s="30">
        <f t="shared" si="16"/>
        <v>0</v>
      </c>
      <c r="H65" s="342" t="str">
        <f>IF(G65&gt;0,"yes","no")</f>
        <v>no</v>
      </c>
    </row>
    <row r="78" spans="1:8">
      <c r="A78" s="93"/>
      <c r="B78" s="295"/>
      <c r="C78" s="295"/>
      <c r="D78" s="295"/>
      <c r="E78" s="295"/>
      <c r="F78" s="3"/>
      <c r="H78" s="296"/>
    </row>
  </sheetData>
  <mergeCells count="8">
    <mergeCell ref="A53:A57"/>
    <mergeCell ref="K6:K7"/>
    <mergeCell ref="K8:K19"/>
    <mergeCell ref="B34:B39"/>
    <mergeCell ref="B4:C4"/>
    <mergeCell ref="B8:B20"/>
    <mergeCell ref="B24:B27"/>
    <mergeCell ref="B29:B30"/>
  </mergeCells>
  <phoneticPr fontId="25" type="noConversion"/>
  <pageMargins left="0.7" right="0.7" top="0.75" bottom="0.75" header="0.3" footer="0.3"/>
  <pageSetup paperSize="9" scale="87" orientation="portrait" r:id="rId1"/>
  <headerFooter scaleWithDoc="0">
    <oddFooter>&amp;C&amp;"Arial,Regular"Page &amp;P</oddFooter>
  </headerFooter>
  <rowBreaks count="1" manualBreakCount="1">
    <brk id="50" max="16383" man="1"/>
  </rowBreaks>
  <ignoredErrors>
    <ignoredError sqref="G59:G60 G54:G5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workbookViewId="0">
      <selection activeCell="B55" sqref="B55"/>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3" t="str">
        <f>+'Cover Page'!$B$29</f>
        <v>Annual Performance Report 2022</v>
      </c>
      <c r="B1" s="93"/>
      <c r="C1" s="93"/>
      <c r="D1" s="93"/>
      <c r="E1" s="93" t="str">
        <f>+'Cover Page'!$B$33</f>
        <v>Newlincs Development IWMF</v>
      </c>
      <c r="F1" s="93"/>
      <c r="G1" s="93"/>
      <c r="H1" s="93"/>
      <c r="I1" s="93"/>
      <c r="J1" s="93"/>
      <c r="K1" s="93"/>
      <c r="L1" s="93"/>
      <c r="M1" s="93"/>
      <c r="N1" s="93"/>
    </row>
    <row r="3" spans="1:14" ht="15.75">
      <c r="A3" s="51" t="s">
        <v>143</v>
      </c>
      <c r="B3" s="290"/>
      <c r="C3" s="290"/>
      <c r="D3" s="290"/>
      <c r="E3" s="290"/>
      <c r="F3" s="290"/>
      <c r="G3" s="290"/>
      <c r="H3" s="290"/>
      <c r="I3" s="291"/>
      <c r="J3" s="93"/>
      <c r="K3" s="81" t="s">
        <v>3</v>
      </c>
      <c r="L3" s="93"/>
      <c r="M3" s="93"/>
      <c r="N3" s="93"/>
    </row>
    <row r="4" spans="1:14">
      <c r="A4" s="292"/>
      <c r="B4" s="293"/>
      <c r="C4" s="293"/>
      <c r="D4" s="293"/>
      <c r="E4" s="293"/>
      <c r="F4" s="293"/>
      <c r="G4" s="293"/>
      <c r="H4" s="293"/>
      <c r="I4" s="294"/>
      <c r="J4" s="93"/>
      <c r="K4" s="93"/>
      <c r="L4" s="93"/>
      <c r="M4" s="93"/>
      <c r="N4" s="93"/>
    </row>
    <row r="5" spans="1:14" ht="15.75" customHeight="1">
      <c r="A5" s="131" t="s">
        <v>144</v>
      </c>
      <c r="B5" s="132"/>
      <c r="C5" s="132"/>
      <c r="D5" s="132"/>
      <c r="E5" s="132"/>
      <c r="F5" s="132"/>
      <c r="G5" s="132"/>
      <c r="H5" s="132"/>
      <c r="I5" s="133"/>
      <c r="J5" s="93"/>
      <c r="K5" s="202" t="s">
        <v>145</v>
      </c>
      <c r="L5" s="202"/>
      <c r="M5" s="202"/>
      <c r="N5" s="202"/>
    </row>
    <row r="6" spans="1:14">
      <c r="A6" s="134"/>
      <c r="B6" s="135"/>
      <c r="C6" s="135"/>
      <c r="D6" s="135"/>
      <c r="E6" s="135"/>
      <c r="F6" s="135"/>
      <c r="G6" s="135"/>
      <c r="H6" s="135"/>
      <c r="I6" s="136"/>
      <c r="J6" s="93"/>
      <c r="K6" s="202"/>
      <c r="L6" s="202"/>
      <c r="M6" s="202"/>
      <c r="N6" s="202"/>
    </row>
    <row r="7" spans="1:14">
      <c r="A7" s="134"/>
      <c r="B7" s="135"/>
      <c r="C7" s="135"/>
      <c r="D7" s="135"/>
      <c r="E7" s="135"/>
      <c r="F7" s="135"/>
      <c r="G7" s="135"/>
      <c r="H7" s="135"/>
      <c r="I7" s="136"/>
      <c r="J7" s="93"/>
      <c r="K7" s="202"/>
      <c r="L7" s="202"/>
      <c r="M7" s="202"/>
      <c r="N7" s="202"/>
    </row>
    <row r="8" spans="1:14" ht="15.75" customHeight="1">
      <c r="A8" s="134"/>
      <c r="B8" s="135"/>
      <c r="C8" s="135"/>
      <c r="D8" s="135"/>
      <c r="E8" s="135"/>
      <c r="F8" s="135"/>
      <c r="G8" s="135"/>
      <c r="H8" s="135"/>
      <c r="I8" s="136"/>
      <c r="J8" s="93"/>
      <c r="K8" s="202"/>
      <c r="L8" s="202"/>
      <c r="M8" s="202"/>
      <c r="N8" s="202"/>
    </row>
    <row r="9" spans="1:14" ht="15.75" customHeight="1">
      <c r="A9" s="134"/>
      <c r="B9" s="135"/>
      <c r="C9" s="135"/>
      <c r="D9" s="135"/>
      <c r="E9" s="135"/>
      <c r="F9" s="135"/>
      <c r="G9" s="135"/>
      <c r="H9" s="135"/>
      <c r="I9" s="136"/>
      <c r="J9" s="93"/>
      <c r="K9" s="202"/>
      <c r="L9" s="202"/>
      <c r="M9" s="202"/>
      <c r="N9" s="202"/>
    </row>
    <row r="10" spans="1:14" ht="15.75" customHeight="1">
      <c r="A10" s="134"/>
      <c r="B10" s="135"/>
      <c r="C10" s="135"/>
      <c r="D10" s="135"/>
      <c r="E10" s="135"/>
      <c r="F10" s="135"/>
      <c r="G10" s="135"/>
      <c r="H10" s="135"/>
      <c r="I10" s="136"/>
      <c r="J10" s="93"/>
      <c r="K10" s="202"/>
      <c r="L10" s="202"/>
      <c r="M10" s="202"/>
      <c r="N10" s="202"/>
    </row>
    <row r="11" spans="1:14" ht="15.75" customHeight="1">
      <c r="A11" s="134"/>
      <c r="B11" s="135"/>
      <c r="C11" s="135"/>
      <c r="D11" s="135"/>
      <c r="E11" s="135"/>
      <c r="F11" s="135"/>
      <c r="G11" s="135"/>
      <c r="H11" s="135"/>
      <c r="I11" s="136"/>
      <c r="J11" s="93"/>
      <c r="K11" s="202"/>
      <c r="L11" s="202"/>
      <c r="M11" s="202"/>
      <c r="N11" s="202"/>
    </row>
    <row r="12" spans="1:14" ht="15.75" customHeight="1">
      <c r="A12" s="134"/>
      <c r="B12" s="135"/>
      <c r="C12" s="135"/>
      <c r="D12" s="135"/>
      <c r="E12" s="135"/>
      <c r="F12" s="135"/>
      <c r="G12" s="135"/>
      <c r="H12" s="135"/>
      <c r="I12" s="136"/>
      <c r="J12" s="93"/>
      <c r="K12" s="202"/>
      <c r="L12" s="202"/>
      <c r="M12" s="202"/>
      <c r="N12" s="202"/>
    </row>
    <row r="13" spans="1:14" ht="15.75" customHeight="1">
      <c r="A13" s="134"/>
      <c r="B13" s="135"/>
      <c r="C13" s="135"/>
      <c r="D13" s="135"/>
      <c r="E13" s="135"/>
      <c r="F13" s="135"/>
      <c r="G13" s="135"/>
      <c r="H13" s="135"/>
      <c r="I13" s="136"/>
      <c r="J13" s="93"/>
      <c r="K13" s="202"/>
      <c r="L13" s="202"/>
      <c r="M13" s="202"/>
      <c r="N13" s="202"/>
    </row>
    <row r="14" spans="1:14" ht="15.75" customHeight="1">
      <c r="A14" s="134"/>
      <c r="B14" s="135"/>
      <c r="C14" s="135"/>
      <c r="D14" s="135"/>
      <c r="E14" s="135"/>
      <c r="F14" s="135"/>
      <c r="G14" s="135"/>
      <c r="H14" s="135"/>
      <c r="I14" s="136"/>
      <c r="J14" s="93"/>
      <c r="K14" s="202"/>
      <c r="L14" s="202"/>
      <c r="M14" s="202"/>
      <c r="N14" s="202"/>
    </row>
    <row r="15" spans="1:14" ht="15.75" customHeight="1">
      <c r="A15" s="134"/>
      <c r="B15" s="135"/>
      <c r="C15" s="135"/>
      <c r="D15" s="135"/>
      <c r="E15" s="135"/>
      <c r="F15" s="135"/>
      <c r="G15" s="135"/>
      <c r="H15" s="135"/>
      <c r="I15" s="136"/>
      <c r="J15" s="93"/>
      <c r="K15" s="93"/>
      <c r="L15" s="93"/>
      <c r="M15" s="93"/>
      <c r="N15" s="93"/>
    </row>
    <row r="16" spans="1:14" ht="15.75" customHeight="1">
      <c r="A16" s="134"/>
      <c r="B16" s="135"/>
      <c r="C16" s="135"/>
      <c r="D16" s="135"/>
      <c r="E16" s="135"/>
      <c r="F16" s="135"/>
      <c r="G16" s="135"/>
      <c r="H16" s="135"/>
      <c r="I16" s="136"/>
      <c r="J16" s="93"/>
      <c r="K16" s="93"/>
      <c r="L16" s="93"/>
      <c r="M16" s="93"/>
      <c r="N16" s="93"/>
    </row>
    <row r="17" spans="1:14" ht="15.75" customHeight="1">
      <c r="A17" s="134"/>
      <c r="B17" s="135"/>
      <c r="C17" s="135"/>
      <c r="D17" s="135"/>
      <c r="E17" s="135"/>
      <c r="F17" s="135"/>
      <c r="G17" s="135"/>
      <c r="H17" s="135"/>
      <c r="I17" s="136"/>
      <c r="J17" s="93"/>
      <c r="K17" s="93"/>
      <c r="L17" s="93"/>
      <c r="M17" s="93"/>
      <c r="N17" s="93"/>
    </row>
    <row r="18" spans="1:14">
      <c r="A18" s="134"/>
      <c r="B18" s="135"/>
      <c r="C18" s="135"/>
      <c r="D18" s="135"/>
      <c r="E18" s="135"/>
      <c r="F18" s="135"/>
      <c r="G18" s="135"/>
      <c r="H18" s="135"/>
      <c r="I18" s="136"/>
      <c r="J18" s="93"/>
      <c r="K18" s="93"/>
      <c r="L18" s="93"/>
      <c r="M18" s="93"/>
      <c r="N18" s="93"/>
    </row>
    <row r="19" spans="1:14">
      <c r="A19" s="134"/>
      <c r="B19" s="135"/>
      <c r="C19" s="135"/>
      <c r="D19" s="135"/>
      <c r="E19" s="135"/>
      <c r="F19" s="135"/>
      <c r="G19" s="135"/>
      <c r="H19" s="135"/>
      <c r="I19" s="136"/>
      <c r="J19" s="93"/>
      <c r="K19" s="93"/>
      <c r="L19" s="93"/>
      <c r="M19" s="93"/>
      <c r="N19" s="93"/>
    </row>
    <row r="20" spans="1:14">
      <c r="A20" s="134"/>
      <c r="B20" s="135"/>
      <c r="C20" s="135"/>
      <c r="D20" s="135"/>
      <c r="E20" s="135"/>
      <c r="F20" s="135"/>
      <c r="G20" s="135"/>
      <c r="H20" s="135"/>
      <c r="I20" s="136"/>
      <c r="J20" s="93"/>
      <c r="K20" s="93"/>
      <c r="L20" s="93"/>
      <c r="M20" s="93"/>
      <c r="N20" s="93"/>
    </row>
    <row r="21" spans="1:14">
      <c r="A21" s="134"/>
      <c r="B21" s="135"/>
      <c r="C21" s="135"/>
      <c r="D21" s="135"/>
      <c r="E21" s="135"/>
      <c r="F21" s="135"/>
      <c r="G21" s="135"/>
      <c r="H21" s="135"/>
      <c r="I21" s="136"/>
      <c r="J21" s="93"/>
      <c r="K21" s="93"/>
      <c r="L21" s="93"/>
      <c r="M21" s="93"/>
      <c r="N21" s="93"/>
    </row>
    <row r="22" spans="1:14" ht="15.4" customHeight="1">
      <c r="A22" s="134"/>
      <c r="B22" s="135"/>
      <c r="C22" s="135"/>
      <c r="D22" s="135"/>
      <c r="E22" s="135"/>
      <c r="F22" s="135"/>
      <c r="G22" s="135"/>
      <c r="H22" s="135"/>
      <c r="I22" s="136"/>
      <c r="J22" s="93"/>
      <c r="K22" s="95"/>
      <c r="L22" s="95"/>
      <c r="M22" s="95"/>
      <c r="N22" s="95"/>
    </row>
    <row r="23" spans="1:14">
      <c r="A23" s="134"/>
      <c r="B23" s="135"/>
      <c r="C23" s="135"/>
      <c r="D23" s="135"/>
      <c r="E23" s="135"/>
      <c r="F23" s="135"/>
      <c r="G23" s="135"/>
      <c r="H23" s="135"/>
      <c r="I23" s="136"/>
      <c r="J23" s="93"/>
      <c r="K23" s="95"/>
      <c r="L23" s="95"/>
      <c r="M23" s="95"/>
      <c r="N23" s="95"/>
    </row>
    <row r="24" spans="1:14">
      <c r="A24" s="134"/>
      <c r="B24" s="135"/>
      <c r="C24" s="135"/>
      <c r="D24" s="135"/>
      <c r="E24" s="135"/>
      <c r="F24" s="135"/>
      <c r="G24" s="135"/>
      <c r="H24" s="135"/>
      <c r="I24" s="136"/>
      <c r="J24" s="93"/>
      <c r="K24" s="95"/>
      <c r="L24" s="95"/>
      <c r="M24" s="95"/>
      <c r="N24" s="95"/>
    </row>
    <row r="25" spans="1:14">
      <c r="A25" s="134"/>
      <c r="B25" s="135"/>
      <c r="C25" s="135"/>
      <c r="D25" s="135"/>
      <c r="E25" s="135"/>
      <c r="F25" s="135"/>
      <c r="G25" s="135"/>
      <c r="H25" s="135"/>
      <c r="I25" s="136"/>
      <c r="J25" s="93"/>
      <c r="K25" s="95"/>
      <c r="L25" s="95"/>
      <c r="M25" s="95"/>
      <c r="N25" s="95"/>
    </row>
    <row r="26" spans="1:14">
      <c r="A26" s="134"/>
      <c r="B26" s="135"/>
      <c r="C26" s="135"/>
      <c r="D26" s="135"/>
      <c r="E26" s="135"/>
      <c r="F26" s="135"/>
      <c r="G26" s="135"/>
      <c r="H26" s="135"/>
      <c r="I26" s="136"/>
      <c r="J26" s="93"/>
      <c r="K26" s="95"/>
      <c r="L26" s="95"/>
      <c r="M26" s="95"/>
      <c r="N26" s="95"/>
    </row>
    <row r="27" spans="1:14">
      <c r="A27" s="137"/>
      <c r="B27" s="138"/>
      <c r="C27" s="138"/>
      <c r="D27" s="138"/>
      <c r="E27" s="138"/>
      <c r="F27" s="138"/>
      <c r="G27" s="138"/>
      <c r="H27" s="138"/>
      <c r="I27" s="139"/>
      <c r="J27" s="93"/>
      <c r="K27" s="95"/>
      <c r="L27" s="95"/>
      <c r="M27" s="95"/>
      <c r="N27" s="95"/>
    </row>
    <row r="28" spans="1:14">
      <c r="A28" s="93"/>
      <c r="B28" s="93"/>
      <c r="C28" s="93"/>
      <c r="D28" s="93"/>
      <c r="E28" s="93"/>
      <c r="F28" s="93"/>
      <c r="G28" s="93"/>
      <c r="H28" s="93"/>
      <c r="I28" s="93"/>
      <c r="J28" s="93"/>
      <c r="K28" s="95"/>
      <c r="L28" s="95"/>
      <c r="M28" s="95"/>
      <c r="N28" s="95"/>
    </row>
    <row r="29" spans="1:14" ht="15.75">
      <c r="A29" s="51" t="s">
        <v>146</v>
      </c>
      <c r="B29" s="290"/>
      <c r="C29" s="290"/>
      <c r="D29" s="290"/>
      <c r="E29" s="290"/>
      <c r="F29" s="290"/>
      <c r="G29" s="290"/>
      <c r="H29" s="290"/>
      <c r="I29" s="291"/>
      <c r="J29" s="93"/>
      <c r="K29" s="95"/>
      <c r="L29" s="95"/>
      <c r="M29" s="95"/>
      <c r="N29" s="95"/>
    </row>
    <row r="30" spans="1:14">
      <c r="A30" s="292"/>
      <c r="B30" s="293"/>
      <c r="C30" s="293"/>
      <c r="D30" s="293"/>
      <c r="E30" s="293"/>
      <c r="F30" s="293"/>
      <c r="G30" s="293"/>
      <c r="H30" s="293"/>
      <c r="I30" s="294"/>
      <c r="J30" s="93"/>
      <c r="K30" s="95"/>
      <c r="L30" s="95"/>
      <c r="M30" s="95"/>
      <c r="N30" s="95"/>
    </row>
    <row r="31" spans="1:14" ht="15" customHeight="1">
      <c r="A31" s="131" t="s">
        <v>147</v>
      </c>
      <c r="B31" s="144"/>
      <c r="C31" s="144"/>
      <c r="D31" s="144"/>
      <c r="E31" s="144"/>
      <c r="F31" s="144"/>
      <c r="G31" s="144"/>
      <c r="H31" s="144"/>
      <c r="I31" s="145"/>
      <c r="J31" s="93"/>
      <c r="K31" s="202" t="s">
        <v>148</v>
      </c>
      <c r="L31" s="202"/>
      <c r="M31" s="202"/>
      <c r="N31" s="202"/>
    </row>
    <row r="32" spans="1:14">
      <c r="A32" s="146"/>
      <c r="B32" s="147"/>
      <c r="C32" s="147"/>
      <c r="D32" s="147"/>
      <c r="E32" s="147"/>
      <c r="F32" s="147"/>
      <c r="G32" s="147"/>
      <c r="H32" s="147"/>
      <c r="I32" s="148"/>
      <c r="J32" s="93"/>
      <c r="K32" s="202"/>
      <c r="L32" s="202"/>
      <c r="M32" s="202"/>
      <c r="N32" s="202"/>
    </row>
    <row r="33" spans="1:14">
      <c r="A33" s="146"/>
      <c r="B33" s="147"/>
      <c r="C33" s="147"/>
      <c r="D33" s="147"/>
      <c r="E33" s="147"/>
      <c r="F33" s="147"/>
      <c r="G33" s="147"/>
      <c r="H33" s="147"/>
      <c r="I33" s="148"/>
      <c r="J33" s="93"/>
      <c r="K33" s="202"/>
      <c r="L33" s="202"/>
      <c r="M33" s="202"/>
      <c r="N33" s="202"/>
    </row>
    <row r="34" spans="1:14">
      <c r="A34" s="146"/>
      <c r="B34" s="147"/>
      <c r="C34" s="147"/>
      <c r="D34" s="147"/>
      <c r="E34" s="147"/>
      <c r="F34" s="147"/>
      <c r="G34" s="147"/>
      <c r="H34" s="147"/>
      <c r="I34" s="148"/>
      <c r="J34" s="93"/>
      <c r="K34" s="202"/>
      <c r="L34" s="202"/>
      <c r="M34" s="202"/>
      <c r="N34" s="202"/>
    </row>
    <row r="35" spans="1:14">
      <c r="A35" s="146"/>
      <c r="B35" s="147"/>
      <c r="C35" s="147"/>
      <c r="D35" s="147"/>
      <c r="E35" s="147"/>
      <c r="F35" s="147"/>
      <c r="G35" s="147"/>
      <c r="H35" s="147"/>
      <c r="I35" s="148"/>
      <c r="J35" s="93"/>
      <c r="K35" s="202"/>
      <c r="L35" s="202"/>
      <c r="M35" s="202"/>
      <c r="N35" s="202"/>
    </row>
    <row r="36" spans="1:14">
      <c r="A36" s="146"/>
      <c r="B36" s="147"/>
      <c r="C36" s="147"/>
      <c r="D36" s="147"/>
      <c r="E36" s="147"/>
      <c r="F36" s="147"/>
      <c r="G36" s="147"/>
      <c r="H36" s="147"/>
      <c r="I36" s="148"/>
      <c r="J36" s="93"/>
      <c r="K36" s="202"/>
      <c r="L36" s="202"/>
      <c r="M36" s="202"/>
      <c r="N36" s="202"/>
    </row>
    <row r="37" spans="1:14">
      <c r="A37" s="146"/>
      <c r="B37" s="147"/>
      <c r="C37" s="147"/>
      <c r="D37" s="147"/>
      <c r="E37" s="147"/>
      <c r="F37" s="147"/>
      <c r="G37" s="147"/>
      <c r="H37" s="147"/>
      <c r="I37" s="148"/>
      <c r="J37" s="93"/>
      <c r="K37" s="202"/>
      <c r="L37" s="202"/>
      <c r="M37" s="202"/>
      <c r="N37" s="202"/>
    </row>
    <row r="38" spans="1:14" ht="14.25" customHeight="1">
      <c r="A38" s="146"/>
      <c r="B38" s="147"/>
      <c r="C38" s="147"/>
      <c r="D38" s="147"/>
      <c r="E38" s="147"/>
      <c r="F38" s="147"/>
      <c r="G38" s="147"/>
      <c r="H38" s="147"/>
      <c r="I38" s="148"/>
      <c r="J38" s="93"/>
      <c r="K38" s="202"/>
      <c r="L38" s="202"/>
      <c r="M38" s="202"/>
      <c r="N38" s="202"/>
    </row>
    <row r="39" spans="1:14">
      <c r="A39" s="146"/>
      <c r="B39" s="147"/>
      <c r="C39" s="147"/>
      <c r="D39" s="147"/>
      <c r="E39" s="147"/>
      <c r="F39" s="147"/>
      <c r="G39" s="147"/>
      <c r="H39" s="147"/>
      <c r="I39" s="148"/>
      <c r="J39" s="93"/>
      <c r="K39" s="202"/>
      <c r="L39" s="202"/>
      <c r="M39" s="202"/>
      <c r="N39" s="202"/>
    </row>
    <row r="40" spans="1:14">
      <c r="A40" s="146"/>
      <c r="B40" s="147"/>
      <c r="C40" s="147"/>
      <c r="D40" s="147"/>
      <c r="E40" s="147"/>
      <c r="F40" s="147"/>
      <c r="G40" s="147"/>
      <c r="H40" s="147"/>
      <c r="I40" s="148"/>
      <c r="J40" s="93"/>
      <c r="K40" s="202"/>
      <c r="L40" s="202"/>
      <c r="M40" s="202"/>
      <c r="N40" s="202"/>
    </row>
    <row r="41" spans="1:14">
      <c r="A41" s="146"/>
      <c r="B41" s="147"/>
      <c r="C41" s="147"/>
      <c r="D41" s="147"/>
      <c r="E41" s="147"/>
      <c r="F41" s="147"/>
      <c r="G41" s="147"/>
      <c r="H41" s="147"/>
      <c r="I41" s="148"/>
      <c r="J41" s="93"/>
      <c r="K41" s="93"/>
      <c r="L41" s="93"/>
      <c r="M41" s="93"/>
      <c r="N41" s="93"/>
    </row>
    <row r="42" spans="1:14">
      <c r="A42" s="146"/>
      <c r="B42" s="147"/>
      <c r="C42" s="147"/>
      <c r="D42" s="147"/>
      <c r="E42" s="147"/>
      <c r="F42" s="147"/>
      <c r="G42" s="147"/>
      <c r="H42" s="147"/>
      <c r="I42" s="148"/>
      <c r="J42" s="93"/>
      <c r="K42" s="93"/>
      <c r="L42" s="93"/>
      <c r="M42" s="93"/>
      <c r="N42" s="93"/>
    </row>
    <row r="43" spans="1:14">
      <c r="A43" s="146"/>
      <c r="B43" s="147"/>
      <c r="C43" s="147"/>
      <c r="D43" s="147"/>
      <c r="E43" s="147"/>
      <c r="F43" s="147"/>
      <c r="G43" s="147"/>
      <c r="H43" s="147"/>
      <c r="I43" s="148"/>
      <c r="J43" s="93"/>
      <c r="K43" s="93"/>
      <c r="L43" s="93"/>
      <c r="M43" s="93"/>
      <c r="N43" s="93"/>
    </row>
    <row r="44" spans="1:14">
      <c r="A44" s="146"/>
      <c r="B44" s="147"/>
      <c r="C44" s="147"/>
      <c r="D44" s="147"/>
      <c r="E44" s="147"/>
      <c r="F44" s="147"/>
      <c r="G44" s="147"/>
      <c r="H44" s="147"/>
      <c r="I44" s="148"/>
      <c r="J44" s="93"/>
      <c r="K44" s="93"/>
      <c r="L44" s="93"/>
      <c r="M44" s="93"/>
      <c r="N44" s="93"/>
    </row>
    <row r="45" spans="1:14">
      <c r="A45" s="146"/>
      <c r="B45" s="147"/>
      <c r="C45" s="147"/>
      <c r="D45" s="147"/>
      <c r="E45" s="147"/>
      <c r="F45" s="147"/>
      <c r="G45" s="147"/>
      <c r="H45" s="147"/>
      <c r="I45" s="148"/>
      <c r="J45" s="93"/>
      <c r="K45" s="93"/>
      <c r="L45" s="93"/>
      <c r="M45" s="93"/>
      <c r="N45" s="93"/>
    </row>
    <row r="46" spans="1:14">
      <c r="A46" s="146"/>
      <c r="B46" s="147"/>
      <c r="C46" s="147"/>
      <c r="D46" s="147"/>
      <c r="E46" s="147"/>
      <c r="F46" s="147"/>
      <c r="G46" s="147"/>
      <c r="H46" s="147"/>
      <c r="I46" s="148"/>
      <c r="J46" s="93"/>
      <c r="K46" s="93"/>
      <c r="L46" s="93"/>
      <c r="M46" s="93"/>
      <c r="N46" s="93"/>
    </row>
    <row r="47" spans="1:14">
      <c r="A47" s="146"/>
      <c r="B47" s="147"/>
      <c r="C47" s="147"/>
      <c r="D47" s="147"/>
      <c r="E47" s="147"/>
      <c r="F47" s="147"/>
      <c r="G47" s="147"/>
      <c r="H47" s="147"/>
      <c r="I47" s="148"/>
      <c r="J47" s="93"/>
      <c r="K47" s="93"/>
      <c r="L47" s="93"/>
      <c r="M47" s="93"/>
      <c r="N47" s="93"/>
    </row>
    <row r="48" spans="1:14">
      <c r="A48" s="146"/>
      <c r="B48" s="147"/>
      <c r="C48" s="147"/>
      <c r="D48" s="147"/>
      <c r="E48" s="147"/>
      <c r="F48" s="147"/>
      <c r="G48" s="147"/>
      <c r="H48" s="147"/>
      <c r="I48" s="148"/>
      <c r="J48" s="93"/>
      <c r="K48" s="93"/>
      <c r="L48" s="93"/>
      <c r="M48" s="93"/>
      <c r="N48" s="93"/>
    </row>
    <row r="49" spans="1:9">
      <c r="A49" s="146"/>
      <c r="B49" s="147"/>
      <c r="C49" s="147"/>
      <c r="D49" s="147"/>
      <c r="E49" s="147"/>
      <c r="F49" s="147"/>
      <c r="G49" s="147"/>
      <c r="H49" s="147"/>
      <c r="I49" s="148"/>
    </row>
    <row r="50" spans="1:9">
      <c r="A50" s="146"/>
      <c r="B50" s="147"/>
      <c r="C50" s="147"/>
      <c r="D50" s="147"/>
      <c r="E50" s="147"/>
      <c r="F50" s="147"/>
      <c r="G50" s="147"/>
      <c r="H50" s="147"/>
      <c r="I50" s="148"/>
    </row>
    <row r="51" spans="1:9">
      <c r="A51" s="146"/>
      <c r="B51" s="147"/>
      <c r="C51" s="147"/>
      <c r="D51" s="147"/>
      <c r="E51" s="147"/>
      <c r="F51" s="147"/>
      <c r="G51" s="147"/>
      <c r="H51" s="147"/>
      <c r="I51" s="148"/>
    </row>
    <row r="52" spans="1:9">
      <c r="A52" s="149"/>
      <c r="B52" s="150"/>
      <c r="C52" s="150"/>
      <c r="D52" s="150"/>
      <c r="E52" s="150"/>
      <c r="F52" s="150"/>
      <c r="G52" s="150"/>
      <c r="H52" s="150"/>
      <c r="I52" s="151"/>
    </row>
    <row r="66" spans="6:6">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workbookViewId="0">
      <selection activeCell="B55" sqref="B55"/>
    </sheetView>
  </sheetViews>
  <sheetFormatPr defaultColWidth="9.28515625" defaultRowHeight="15"/>
  <cols>
    <col min="1" max="7" width="9.28515625" style="2"/>
    <col min="8" max="8" width="11.28515625" style="2" bestFit="1" customWidth="1"/>
    <col min="9" max="16384" width="9.28515625" style="2"/>
  </cols>
  <sheetData>
    <row r="1" spans="1:10" ht="15.75">
      <c r="A1" s="33">
        <f>+'Cover Page'!C39</f>
        <v>2022</v>
      </c>
      <c r="B1" s="34" t="s">
        <v>149</v>
      </c>
      <c r="C1" s="34"/>
      <c r="D1" s="34"/>
      <c r="E1" s="34"/>
      <c r="F1" s="34"/>
      <c r="G1" s="34"/>
      <c r="H1" s="34"/>
      <c r="I1" s="34"/>
      <c r="J1" s="34"/>
    </row>
    <row r="2" spans="1:10" ht="8.25" customHeight="1">
      <c r="A2" s="93"/>
      <c r="B2" s="93"/>
      <c r="C2" s="93"/>
      <c r="D2" s="93"/>
      <c r="E2" s="93"/>
      <c r="F2" s="93"/>
      <c r="G2" s="93"/>
      <c r="H2" s="93"/>
      <c r="I2" s="93"/>
      <c r="J2" s="93"/>
    </row>
    <row r="3" spans="1:10" s="3" customFormat="1" ht="14.25">
      <c r="A3" s="163" t="str">
        <f>+'Cover Page'!B31</f>
        <v>Permit EPR/BT4249IB</v>
      </c>
      <c r="B3" s="163"/>
      <c r="C3" s="163"/>
      <c r="D3" s="163"/>
      <c r="E3" s="163"/>
      <c r="F3" s="3" t="s">
        <v>150</v>
      </c>
      <c r="G3" s="164" t="s">
        <v>9</v>
      </c>
      <c r="H3" s="164"/>
      <c r="I3" s="164"/>
    </row>
    <row r="4" spans="1:10" s="3" customFormat="1" ht="14.25">
      <c r="A4" s="3" t="s">
        <v>151</v>
      </c>
      <c r="B4" s="163" t="str">
        <f>+'Cover Page'!B33:I33</f>
        <v>Newlincs Development IWMF</v>
      </c>
      <c r="C4" s="163"/>
      <c r="D4" s="163"/>
      <c r="E4" s="163"/>
      <c r="F4" s="3" t="s">
        <v>152</v>
      </c>
      <c r="G4" s="3" t="s">
        <v>153</v>
      </c>
    </row>
    <row r="5" spans="1:10" s="3" customFormat="1" ht="6.75" customHeight="1"/>
    <row r="6" spans="1:10" s="3" customFormat="1" ht="15.75" customHeight="1">
      <c r="A6" s="3" t="s">
        <v>154</v>
      </c>
      <c r="D6" s="165">
        <v>44562</v>
      </c>
      <c r="E6" s="165"/>
      <c r="F6" s="35" t="s">
        <v>155</v>
      </c>
      <c r="G6" s="165">
        <v>44926</v>
      </c>
      <c r="H6" s="165"/>
    </row>
    <row r="7" spans="1:10" s="3" customFormat="1" ht="7.5" customHeight="1"/>
    <row r="8" spans="1:10" s="3" customFormat="1" ht="15.75">
      <c r="A8" s="9">
        <f>+A1</f>
        <v>2022</v>
      </c>
      <c r="B8" s="34" t="s">
        <v>156</v>
      </c>
      <c r="C8"/>
      <c r="D8"/>
      <c r="E8"/>
      <c r="F8"/>
      <c r="G8"/>
    </row>
    <row r="9" spans="1:10" s="3" customFormat="1" ht="28.5" customHeight="1">
      <c r="A9" s="166" t="s">
        <v>157</v>
      </c>
      <c r="B9" s="166"/>
      <c r="C9" s="166" t="s">
        <v>158</v>
      </c>
      <c r="D9" s="166"/>
      <c r="E9" s="166" t="s">
        <v>159</v>
      </c>
      <c r="F9" s="166"/>
      <c r="G9" s="166" t="s">
        <v>160</v>
      </c>
      <c r="H9" s="166"/>
      <c r="I9" s="166" t="s">
        <v>161</v>
      </c>
      <c r="J9" s="166"/>
    </row>
    <row r="10" spans="1:10" s="3" customFormat="1" ht="14.25" customHeight="1">
      <c r="A10" s="167" t="s">
        <v>162</v>
      </c>
      <c r="B10" s="167"/>
      <c r="C10" s="167"/>
      <c r="D10" s="167"/>
      <c r="E10" s="167"/>
      <c r="F10" s="167"/>
      <c r="G10" s="167"/>
      <c r="H10" s="167"/>
      <c r="I10" s="167"/>
      <c r="J10" s="167"/>
    </row>
    <row r="11" spans="1:10" s="3" customFormat="1" ht="14.25" customHeight="1">
      <c r="A11" s="167" t="s">
        <v>163</v>
      </c>
      <c r="B11" s="167"/>
      <c r="C11" s="162" t="s">
        <v>164</v>
      </c>
      <c r="D11" s="162"/>
      <c r="E11" s="343">
        <v>1770</v>
      </c>
      <c r="F11" s="343"/>
      <c r="G11" s="343"/>
      <c r="H11" s="343"/>
      <c r="I11" s="344">
        <f>IF((E11+G11)&gt;0,(E11+G11)/'Operational Data'!$G$21, "-")</f>
        <v>3.4537259263595389E-2</v>
      </c>
      <c r="J11" s="344"/>
    </row>
    <row r="12" spans="1:10" s="3" customFormat="1" ht="14.25" customHeight="1">
      <c r="A12" s="167" t="s">
        <v>165</v>
      </c>
      <c r="B12" s="167"/>
      <c r="C12" s="162"/>
      <c r="D12" s="162"/>
      <c r="E12" s="343"/>
      <c r="F12" s="343"/>
      <c r="G12" s="343"/>
      <c r="H12" s="343"/>
      <c r="I12" s="344" t="str">
        <f>IF((E12+G12)&gt;0,(E12+G12)/'Operational Data'!$G$21, "-")</f>
        <v>-</v>
      </c>
      <c r="J12" s="344"/>
    </row>
    <row r="13" spans="1:10" s="3" customFormat="1" ht="14.25" customHeight="1">
      <c r="A13" s="345"/>
      <c r="B13" s="345"/>
      <c r="C13" s="162"/>
      <c r="D13" s="162"/>
      <c r="E13" s="343"/>
      <c r="F13" s="343"/>
      <c r="G13" s="343"/>
      <c r="H13" s="343"/>
      <c r="I13" s="344" t="str">
        <f>IF((E13+G13)&gt;0,(E13+G13)/'Operational Data'!$G$21, "-")</f>
        <v>-</v>
      </c>
      <c r="J13" s="344"/>
    </row>
    <row r="14" spans="1:10" s="3" customFormat="1" ht="14.25" customHeight="1">
      <c r="A14" s="345"/>
      <c r="B14" s="345"/>
      <c r="C14" s="162"/>
      <c r="D14" s="162"/>
      <c r="E14" s="343"/>
      <c r="F14" s="343"/>
      <c r="G14" s="343"/>
      <c r="H14" s="343"/>
      <c r="I14" s="344" t="str">
        <f>IF((E14+G14)&gt;0,(E14+G14)/'Operational Data'!$G$21, "-")</f>
        <v>-</v>
      </c>
      <c r="J14" s="344"/>
    </row>
    <row r="15" spans="1:10" s="3" customFormat="1" ht="14.25" customHeight="1">
      <c r="A15" s="346" t="s">
        <v>166</v>
      </c>
      <c r="B15" s="346"/>
      <c r="C15" s="346"/>
      <c r="D15" s="346"/>
      <c r="E15" s="347">
        <f>SUM(E11:F14)</f>
        <v>1770</v>
      </c>
      <c r="F15" s="347"/>
      <c r="G15" s="347">
        <f>SUM(G11:H14)</f>
        <v>0</v>
      </c>
      <c r="H15" s="347"/>
      <c r="I15" s="344">
        <f>IF((E15+G15)&gt;0,(E15+G15)/'Operational Data'!$G$21, "-")</f>
        <v>3.4537259263595389E-2</v>
      </c>
      <c r="J15" s="344"/>
    </row>
    <row r="16" spans="1:10" s="3" customFormat="1" ht="14.25" customHeight="1">
      <c r="A16" s="348"/>
      <c r="B16" s="349"/>
      <c r="C16" s="349"/>
      <c r="D16" s="349"/>
      <c r="E16" s="350"/>
      <c r="F16" s="350"/>
      <c r="G16" s="350"/>
      <c r="H16" s="350"/>
      <c r="I16" s="351"/>
      <c r="J16" s="352"/>
    </row>
    <row r="17" spans="1:10" s="3" customFormat="1" ht="14.25" customHeight="1">
      <c r="A17" s="353" t="s">
        <v>167</v>
      </c>
      <c r="B17" s="353"/>
      <c r="C17" s="353"/>
      <c r="D17" s="353"/>
      <c r="E17" s="353"/>
      <c r="F17" s="353"/>
      <c r="G17" s="353"/>
      <c r="H17" s="353"/>
      <c r="I17" s="353"/>
      <c r="J17" s="353"/>
    </row>
    <row r="18" spans="1:10" ht="14.25" customHeight="1">
      <c r="A18" s="167" t="s">
        <v>165</v>
      </c>
      <c r="B18" s="167"/>
      <c r="C18" s="162" t="s">
        <v>168</v>
      </c>
      <c r="D18" s="162"/>
      <c r="E18" s="343">
        <v>7760</v>
      </c>
      <c r="F18" s="343"/>
      <c r="G18" s="343"/>
      <c r="H18" s="343"/>
      <c r="I18" s="344">
        <f>IF((E18+G18)&gt;0,(E18+G18)/'Operational Data'!$G$21, "-")</f>
        <v>0.15141758863587582</v>
      </c>
      <c r="J18" s="344"/>
    </row>
    <row r="19" spans="1:10" s="3" customFormat="1" ht="14.25" customHeight="1">
      <c r="A19" s="167" t="s">
        <v>169</v>
      </c>
      <c r="B19" s="167"/>
      <c r="C19" s="162" t="s">
        <v>170</v>
      </c>
      <c r="D19" s="162"/>
      <c r="E19" s="343">
        <v>795</v>
      </c>
      <c r="F19" s="343"/>
      <c r="G19" s="343"/>
      <c r="H19" s="343"/>
      <c r="I19" s="344">
        <f>IF((E19+G19)&gt;0,(E19+G19)/'Operational Data'!$G$21, "-")</f>
        <v>1.5512497804835216E-2</v>
      </c>
      <c r="J19" s="344"/>
    </row>
    <row r="20" spans="1:10" s="3" customFormat="1" ht="14.25" customHeight="1">
      <c r="A20" s="167" t="s">
        <v>171</v>
      </c>
      <c r="B20" s="167"/>
      <c r="C20" s="162"/>
      <c r="D20" s="162"/>
      <c r="E20" s="343"/>
      <c r="F20" s="343"/>
      <c r="G20" s="343"/>
      <c r="H20" s="343"/>
      <c r="I20" s="344" t="str">
        <f>IF((E20+G20)&gt;0,(E20+G20)/'Operational Data'!$G$21, "-")</f>
        <v>-</v>
      </c>
      <c r="J20" s="344"/>
    </row>
    <row r="21" spans="1:10" s="3" customFormat="1" ht="14.25" customHeight="1">
      <c r="A21" s="354"/>
      <c r="B21" s="354"/>
      <c r="C21" s="162"/>
      <c r="D21" s="162"/>
      <c r="E21" s="343"/>
      <c r="F21" s="343"/>
      <c r="G21" s="343"/>
      <c r="H21" s="343"/>
      <c r="I21" s="344" t="str">
        <f>IF((E21+G21)&gt;0,(E21+G21)/'Operational Data'!$G$21, "-")</f>
        <v>-</v>
      </c>
      <c r="J21" s="344"/>
    </row>
    <row r="22" spans="1:10" s="3" customFormat="1" ht="14.25" customHeight="1">
      <c r="A22" s="354"/>
      <c r="B22" s="354"/>
      <c r="C22" s="162"/>
      <c r="D22" s="162"/>
      <c r="E22" s="343"/>
      <c r="F22" s="343"/>
      <c r="G22" s="343"/>
      <c r="H22" s="343"/>
      <c r="I22" s="344" t="str">
        <f>IF((E22+G22)&gt;0,(E22+G22)/'Operational Data'!$G$21, "-")</f>
        <v>-</v>
      </c>
      <c r="J22" s="344"/>
    </row>
    <row r="23" spans="1:10" s="3" customFormat="1" ht="14.25" customHeight="1">
      <c r="A23" s="355" t="s">
        <v>172</v>
      </c>
      <c r="B23" s="355"/>
      <c r="C23" s="355"/>
      <c r="D23" s="355"/>
      <c r="E23" s="347">
        <f>SUM(E18:F22)</f>
        <v>8555</v>
      </c>
      <c r="F23" s="347"/>
      <c r="G23" s="347">
        <f>SUM(G18:H22)</f>
        <v>0</v>
      </c>
      <c r="H23" s="347"/>
      <c r="I23" s="344">
        <f>IF((E23+G23)&gt;0,(E23+G23)/'Operational Data'!$G$21, "-")</f>
        <v>0.16693008644071103</v>
      </c>
      <c r="J23" s="344"/>
    </row>
    <row r="24" spans="1:10" s="3" customFormat="1" ht="14.25" customHeight="1">
      <c r="A24" s="160" t="s">
        <v>173</v>
      </c>
      <c r="B24" s="160"/>
      <c r="C24" s="160"/>
      <c r="D24" s="160"/>
      <c r="E24" s="161">
        <f>+E23+E15</f>
        <v>10325</v>
      </c>
      <c r="F24" s="161"/>
      <c r="G24" s="161">
        <f>+G23+G15</f>
        <v>0</v>
      </c>
      <c r="H24" s="161"/>
      <c r="I24" s="356">
        <f>IF((E24+G24)&gt;0,(E24+G24)/'Operational Data'!$G$21, "-")</f>
        <v>0.20146734570430644</v>
      </c>
      <c r="J24" s="356"/>
    </row>
    <row r="25" spans="1:10" s="3" customFormat="1" ht="8.25" customHeight="1">
      <c r="A25" s="357"/>
      <c r="B25"/>
      <c r="C25"/>
      <c r="D25"/>
      <c r="E25"/>
      <c r="F25"/>
      <c r="G25"/>
    </row>
    <row r="26" spans="1:10" s="3" customFormat="1" ht="14.25" customHeight="1">
      <c r="A26" s="152" t="s">
        <v>174</v>
      </c>
      <c r="B26" s="152"/>
      <c r="C26" s="152"/>
      <c r="D26" s="152"/>
      <c r="E26" s="152"/>
      <c r="F26" s="152"/>
      <c r="G26" s="152"/>
      <c r="H26" s="152"/>
      <c r="I26" s="152"/>
      <c r="J26" s="152"/>
    </row>
    <row r="27" spans="1:10" s="3" customFormat="1" ht="14.25" customHeight="1">
      <c r="A27" s="153"/>
      <c r="B27" s="153"/>
      <c r="C27" s="153"/>
      <c r="D27" s="153"/>
      <c r="E27" s="153"/>
      <c r="F27" s="153"/>
      <c r="G27" s="153"/>
      <c r="H27" s="153"/>
      <c r="I27" s="153"/>
      <c r="J27" s="153"/>
    </row>
    <row r="28" spans="1:10" s="3" customFormat="1" ht="14.25" customHeight="1">
      <c r="A28" s="153"/>
      <c r="B28" s="153"/>
      <c r="C28" s="153"/>
      <c r="D28" s="153"/>
      <c r="E28" s="153"/>
      <c r="F28" s="153"/>
      <c r="G28" s="153"/>
      <c r="H28" s="153"/>
      <c r="I28" s="153"/>
      <c r="J28" s="153"/>
    </row>
    <row r="29" spans="1:10" s="3" customFormat="1" ht="14.25" customHeight="1">
      <c r="A29" s="153"/>
      <c r="B29" s="153"/>
      <c r="C29" s="153"/>
      <c r="D29" s="153"/>
      <c r="E29" s="153"/>
      <c r="F29" s="153"/>
      <c r="G29" s="153"/>
      <c r="H29" s="153"/>
      <c r="I29" s="153"/>
      <c r="J29" s="153"/>
    </row>
    <row r="30" spans="1:10" s="3" customFormat="1" ht="14.25" customHeight="1">
      <c r="A30" s="357"/>
      <c r="B30"/>
      <c r="C30"/>
      <c r="D30"/>
      <c r="E30"/>
      <c r="F30"/>
      <c r="G30"/>
    </row>
    <row r="31" spans="1:10" s="3" customFormat="1" ht="14.25" customHeight="1">
      <c r="A31" s="1">
        <f>+A1</f>
        <v>2022</v>
      </c>
      <c r="B31" s="34" t="s">
        <v>175</v>
      </c>
      <c r="C31" s="34"/>
      <c r="D31" s="34"/>
      <c r="E31" s="34"/>
      <c r="F31" s="34"/>
    </row>
    <row r="32" spans="1:10" s="3" customFormat="1" ht="24.75" customHeight="1">
      <c r="A32" s="155" t="s">
        <v>176</v>
      </c>
      <c r="B32" s="156"/>
      <c r="C32" s="156"/>
      <c r="D32" s="157"/>
      <c r="E32" s="38" t="s">
        <v>177</v>
      </c>
      <c r="F32" s="39"/>
      <c r="G32" s="40" t="s">
        <v>74</v>
      </c>
      <c r="H32" s="158" t="s">
        <v>178</v>
      </c>
      <c r="I32" s="159"/>
      <c r="J32" s="41" t="s">
        <v>74</v>
      </c>
    </row>
    <row r="33" spans="1:10" s="3" customFormat="1" ht="14.25" customHeight="1">
      <c r="A33" s="348" t="s">
        <v>114</v>
      </c>
      <c r="B33" s="349"/>
      <c r="C33" s="349"/>
      <c r="D33" s="358"/>
      <c r="E33" s="359">
        <f>+'Operational Data'!G42/1000</f>
        <v>3951</v>
      </c>
      <c r="F33" s="352"/>
      <c r="G33" s="106" t="s">
        <v>179</v>
      </c>
      <c r="H33" s="360">
        <f>IF(E33&gt;0,E33/'Operational Data'!$G$21,"-")</f>
        <v>7.7094187203652756E-2</v>
      </c>
      <c r="I33" s="361"/>
      <c r="J33" s="106" t="s">
        <v>180</v>
      </c>
    </row>
    <row r="34" spans="1:10" s="3" customFormat="1" ht="14.25" customHeight="1">
      <c r="A34" s="348" t="s">
        <v>181</v>
      </c>
      <c r="B34" s="349"/>
      <c r="C34" s="349"/>
      <c r="D34" s="358"/>
      <c r="E34" s="359">
        <f>+'Operational Data'!G43+'Operational Data'!G42/1000</f>
        <v>3951</v>
      </c>
      <c r="F34" s="352"/>
      <c r="G34" s="106" t="s">
        <v>179</v>
      </c>
      <c r="H34" s="360">
        <f>IF(E34&gt;0,E34/'Operational Data'!$G$21,"-")</f>
        <v>7.7094187203652756E-2</v>
      </c>
      <c r="I34" s="361"/>
      <c r="J34" s="106" t="s">
        <v>180</v>
      </c>
    </row>
    <row r="35" spans="1:10" s="3" customFormat="1" ht="14.25" customHeight="1">
      <c r="A35" s="348" t="s">
        <v>182</v>
      </c>
      <c r="B35" s="349"/>
      <c r="C35" s="349"/>
      <c r="D35" s="358"/>
      <c r="E35" s="359">
        <f>+'Operational Data'!G44</f>
        <v>0</v>
      </c>
      <c r="F35" s="352"/>
      <c r="G35" s="106" t="s">
        <v>183</v>
      </c>
      <c r="H35" s="360" t="str">
        <f>IF(E35&gt;0,E35/'Operational Data'!$G$21,"-")</f>
        <v>-</v>
      </c>
      <c r="I35" s="361"/>
      <c r="J35" s="106" t="s">
        <v>184</v>
      </c>
    </row>
    <row r="36" spans="1:10" s="3" customFormat="1" ht="14.25" customHeight="1">
      <c r="A36" s="348" t="s">
        <v>121</v>
      </c>
      <c r="B36" s="349"/>
      <c r="C36" s="349"/>
      <c r="D36" s="358"/>
      <c r="E36" s="359">
        <f>+'Operational Data'!G46</f>
        <v>19097</v>
      </c>
      <c r="F36" s="352"/>
      <c r="G36" s="106" t="s">
        <v>183</v>
      </c>
      <c r="H36" s="360">
        <f>IF(E36&gt;0,E36/'Operational Data'!$G$21,"-")</f>
        <v>0.37263166110558255</v>
      </c>
      <c r="I36" s="361"/>
      <c r="J36" s="106" t="s">
        <v>184</v>
      </c>
    </row>
    <row r="37" spans="1:10" s="3" customFormat="1" ht="14.25" customHeight="1">
      <c r="A37" s="348" t="s">
        <v>185</v>
      </c>
      <c r="B37" s="349"/>
      <c r="C37" s="349"/>
      <c r="D37" s="358"/>
      <c r="E37" s="359">
        <f>+'Operational Data'!G47</f>
        <v>349119</v>
      </c>
      <c r="F37" s="352"/>
      <c r="G37" s="106" t="s">
        <v>183</v>
      </c>
      <c r="H37" s="360">
        <f>IF(E37&gt;0,E37/'Operational Data'!$G$21,"-")</f>
        <v>6.8122109699701454</v>
      </c>
      <c r="I37" s="361"/>
      <c r="J37" s="106" t="s">
        <v>184</v>
      </c>
    </row>
    <row r="38" spans="1:10" s="3" customFormat="1" ht="14.25" customHeight="1">
      <c r="A38" s="362"/>
      <c r="B38" s="363"/>
      <c r="C38" s="363"/>
      <c r="D38" s="364"/>
      <c r="E38" s="365"/>
      <c r="F38" s="366"/>
      <c r="G38" s="367"/>
      <c r="H38" s="368"/>
      <c r="I38" s="369"/>
      <c r="J38" s="367"/>
    </row>
    <row r="39" spans="1:10" s="3" customFormat="1" ht="14.25" customHeight="1">
      <c r="A39" s="152" t="s">
        <v>174</v>
      </c>
      <c r="B39" s="152"/>
      <c r="C39" s="152"/>
      <c r="D39" s="152"/>
      <c r="E39" s="152"/>
      <c r="F39" s="152"/>
      <c r="G39" s="152"/>
      <c r="H39" s="152"/>
      <c r="I39" s="152"/>
      <c r="J39" s="152"/>
    </row>
    <row r="40" spans="1:10" s="3" customFormat="1" ht="14.25" customHeight="1">
      <c r="A40" s="153"/>
      <c r="B40" s="153"/>
      <c r="C40" s="153"/>
      <c r="D40" s="153"/>
      <c r="E40" s="153"/>
      <c r="F40" s="153"/>
      <c r="G40" s="153"/>
      <c r="H40" s="153"/>
      <c r="I40" s="153"/>
      <c r="J40" s="153"/>
    </row>
    <row r="41" spans="1:10" s="3" customFormat="1" ht="14.25" customHeight="1">
      <c r="A41" s="153"/>
      <c r="B41" s="153"/>
      <c r="C41" s="153"/>
      <c r="D41" s="153"/>
      <c r="E41" s="153"/>
      <c r="F41" s="153"/>
      <c r="G41" s="153"/>
      <c r="H41" s="153"/>
      <c r="I41" s="153"/>
      <c r="J41" s="153"/>
    </row>
    <row r="42" spans="1:10" s="3" customFormat="1" ht="14.25" customHeight="1">
      <c r="A42" s="42"/>
      <c r="B42" s="42"/>
      <c r="C42" s="42"/>
      <c r="D42" s="42"/>
      <c r="E42" s="42"/>
      <c r="F42" s="42"/>
      <c r="G42" s="42"/>
      <c r="H42" s="42"/>
      <c r="I42" s="42"/>
      <c r="J42" s="42"/>
    </row>
    <row r="43" spans="1:10" s="3" customFormat="1" ht="14.25" customHeight="1">
      <c r="A43" s="34">
        <f>+A31</f>
        <v>2022</v>
      </c>
      <c r="B43" s="34" t="s">
        <v>186</v>
      </c>
      <c r="C43" s="34"/>
      <c r="D43" s="34"/>
      <c r="E43" s="34"/>
      <c r="F43" s="34"/>
      <c r="G43" s="93"/>
    </row>
    <row r="44" spans="1:10" ht="14.25" customHeight="1">
      <c r="A44" s="154" t="s">
        <v>187</v>
      </c>
      <c r="B44" s="154"/>
      <c r="C44" s="154" t="s">
        <v>188</v>
      </c>
      <c r="D44" s="154"/>
      <c r="E44" s="154"/>
      <c r="F44" s="154"/>
      <c r="G44" s="154"/>
      <c r="H44" s="154"/>
      <c r="I44" s="154"/>
      <c r="J44" s="154"/>
    </row>
    <row r="45" spans="1:10" ht="14.25" customHeight="1">
      <c r="A45" s="43"/>
      <c r="B45" s="43"/>
      <c r="C45" s="36" t="s">
        <v>189</v>
      </c>
      <c r="D45" s="36" t="s">
        <v>190</v>
      </c>
      <c r="E45" s="36" t="s">
        <v>191</v>
      </c>
      <c r="F45" s="36" t="s">
        <v>192</v>
      </c>
      <c r="G45" s="36" t="s">
        <v>193</v>
      </c>
      <c r="H45" s="36"/>
      <c r="I45" s="36" t="s">
        <v>194</v>
      </c>
      <c r="J45" s="36" t="s">
        <v>195</v>
      </c>
    </row>
    <row r="46" spans="1:10" ht="31.5" customHeight="1">
      <c r="A46" s="167" t="s">
        <v>196</v>
      </c>
      <c r="B46" s="167"/>
      <c r="C46" s="370">
        <v>7947</v>
      </c>
      <c r="D46" s="370"/>
      <c r="E46" s="370"/>
      <c r="F46" s="371"/>
      <c r="G46" s="371"/>
      <c r="H46" s="371"/>
      <c r="I46" s="104">
        <v>7943</v>
      </c>
      <c r="J46" s="371"/>
    </row>
    <row r="47" spans="1:10" ht="43.5" customHeight="1">
      <c r="A47" s="167" t="s">
        <v>197</v>
      </c>
      <c r="B47" s="167"/>
      <c r="C47" s="370">
        <v>0</v>
      </c>
      <c r="D47" s="370"/>
      <c r="E47" s="370"/>
      <c r="F47" s="371"/>
      <c r="G47" s="371"/>
      <c r="H47" s="371"/>
      <c r="I47" s="371"/>
      <c r="J47" s="371"/>
    </row>
    <row r="48" spans="1:10" ht="42.75" customHeight="1">
      <c r="A48" s="167" t="s">
        <v>198</v>
      </c>
      <c r="B48" s="167"/>
      <c r="C48" s="370">
        <v>0</v>
      </c>
      <c r="D48" s="370"/>
      <c r="E48" s="370"/>
      <c r="F48" s="371"/>
      <c r="G48" s="371"/>
      <c r="H48" s="371"/>
      <c r="I48" s="371"/>
      <c r="J48" s="371"/>
    </row>
    <row r="49" spans="1:10" ht="8.25" customHeight="1">
      <c r="A49" s="93"/>
      <c r="B49" s="93"/>
      <c r="C49" s="93"/>
      <c r="D49" s="93"/>
      <c r="E49" s="93"/>
      <c r="F49" s="93"/>
      <c r="G49" s="93"/>
      <c r="H49" s="93"/>
      <c r="I49" s="93"/>
      <c r="J49" s="93"/>
    </row>
    <row r="50" spans="1:10">
      <c r="A50" s="152" t="s">
        <v>174</v>
      </c>
      <c r="B50" s="152"/>
      <c r="C50" s="152"/>
      <c r="D50" s="152"/>
      <c r="E50" s="152"/>
      <c r="F50" s="152"/>
      <c r="G50" s="152"/>
      <c r="H50" s="152"/>
      <c r="I50" s="152"/>
      <c r="J50" s="152"/>
    </row>
    <row r="51" spans="1:10">
      <c r="A51" s="153"/>
      <c r="B51" s="153"/>
      <c r="C51" s="153"/>
      <c r="D51" s="153"/>
      <c r="E51" s="153"/>
      <c r="F51" s="153"/>
      <c r="G51" s="153"/>
      <c r="H51" s="153"/>
      <c r="I51" s="153"/>
      <c r="J51" s="153"/>
    </row>
    <row r="52" spans="1:10">
      <c r="A52" s="153"/>
      <c r="B52" s="153"/>
      <c r="C52" s="153"/>
      <c r="D52" s="153"/>
      <c r="E52" s="153"/>
      <c r="F52" s="153"/>
      <c r="G52" s="153"/>
      <c r="H52" s="153"/>
      <c r="I52" s="153"/>
      <c r="J52" s="153"/>
    </row>
    <row r="54" spans="1:10">
      <c r="A54" s="3" t="s">
        <v>199</v>
      </c>
      <c r="B54" s="44"/>
      <c r="C54" s="44"/>
      <c r="D54" s="44"/>
      <c r="E54" s="44"/>
      <c r="F54" s="3"/>
      <c r="G54" s="3" t="s">
        <v>200</v>
      </c>
      <c r="H54" s="105">
        <v>44942</v>
      </c>
      <c r="I54" s="44"/>
      <c r="J54" s="93"/>
    </row>
    <row r="62" spans="1:10">
      <c r="A62" s="93"/>
      <c r="B62" s="93"/>
      <c r="C62" s="93"/>
      <c r="D62" s="93"/>
      <c r="E62" s="93"/>
      <c r="F62" s="3"/>
      <c r="G62" s="93"/>
      <c r="H62" s="93"/>
      <c r="I62" s="93"/>
      <c r="J62" s="93"/>
    </row>
  </sheetData>
  <mergeCells count="10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25" right="0.25" top="0.75" bottom="0.75" header="0.3" footer="0.3"/>
  <pageSetup paperSize="9" scale="87" orientation="portrait" r:id="rId1"/>
  <headerFooter scaleWithDoc="0">
    <oddFooter>&amp;C&amp;"Arial,Regular"Page &amp;P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workbookViewId="0">
      <selection activeCell="B55" sqref="B55"/>
    </sheetView>
  </sheetViews>
  <sheetFormatPr defaultColWidth="9.28515625" defaultRowHeight="15"/>
  <cols>
    <col min="1" max="1" width="9.42578125" style="2" bestFit="1" customWidth="1"/>
    <col min="2" max="7" width="9.28515625" style="2"/>
    <col min="8" max="8" width="11.28515625" style="2" bestFit="1" customWidth="1"/>
    <col min="9" max="16384" width="9.28515625" style="2"/>
  </cols>
  <sheetData>
    <row r="1" spans="1:10" ht="15.75">
      <c r="A1" s="33">
        <f>+'Cover Page'!C39</f>
        <v>2022</v>
      </c>
      <c r="B1" s="34" t="s">
        <v>201</v>
      </c>
      <c r="C1" s="34"/>
      <c r="D1" s="34"/>
      <c r="E1" s="34"/>
      <c r="F1" s="34"/>
      <c r="G1" s="34"/>
      <c r="H1" s="34"/>
      <c r="I1" s="34"/>
      <c r="J1" s="34"/>
    </row>
    <row r="3" spans="1:10" s="3" customFormat="1" ht="15" customHeight="1">
      <c r="A3" s="3" t="str">
        <f>+'Cover Page'!B31</f>
        <v>Permit EPR/BT4249IB</v>
      </c>
      <c r="F3" s="3" t="s">
        <v>150</v>
      </c>
      <c r="G3" s="168" t="s">
        <v>9</v>
      </c>
      <c r="H3" s="168"/>
      <c r="I3" s="168"/>
    </row>
    <row r="4" spans="1:10" s="3" customFormat="1" ht="14.25"/>
    <row r="5" spans="1:10" s="3" customFormat="1" ht="14.25">
      <c r="A5" s="3" t="s">
        <v>151</v>
      </c>
      <c r="B5" s="163" t="str">
        <f>+'Cover Page'!B33:I33</f>
        <v>Newlincs Development IWMF</v>
      </c>
      <c r="C5" s="163"/>
      <c r="D5" s="163"/>
      <c r="E5" s="163"/>
      <c r="F5" s="3" t="s">
        <v>152</v>
      </c>
      <c r="G5" s="3" t="s">
        <v>202</v>
      </c>
    </row>
    <row r="6" spans="1:10" s="3" customFormat="1" ht="14.25"/>
    <row r="7" spans="1:10" s="3" customFormat="1" ht="15.75" customHeight="1">
      <c r="A7" s="3" t="s">
        <v>154</v>
      </c>
      <c r="D7" s="169">
        <f>+'Perf. Form 1'!D6:E6</f>
        <v>44562</v>
      </c>
      <c r="E7" s="169"/>
      <c r="F7" s="35" t="s">
        <v>155</v>
      </c>
      <c r="G7" s="169">
        <f>+'Perf. Form 1'!G6:H6</f>
        <v>44926</v>
      </c>
      <c r="H7" s="169"/>
    </row>
    <row r="8" spans="1:10" s="3" customFormat="1">
      <c r="B8"/>
      <c r="C8"/>
      <c r="D8"/>
    </row>
    <row r="9" spans="1:10" s="3" customFormat="1" ht="37.5" customHeight="1">
      <c r="A9" s="154" t="s">
        <v>203</v>
      </c>
      <c r="B9" s="154"/>
      <c r="C9" s="154"/>
      <c r="D9" s="166" t="s">
        <v>204</v>
      </c>
      <c r="E9" s="166"/>
      <c r="F9" s="36" t="s">
        <v>74</v>
      </c>
      <c r="G9" s="154" t="s">
        <v>205</v>
      </c>
      <c r="H9" s="154"/>
      <c r="I9" s="154"/>
    </row>
    <row r="10" spans="1:10" s="3" customFormat="1" ht="24.75" customHeight="1">
      <c r="A10" s="167" t="s">
        <v>206</v>
      </c>
      <c r="B10" s="167"/>
      <c r="C10" s="167"/>
      <c r="D10" s="372">
        <f>+'Operational Data'!G24</f>
        <v>23820</v>
      </c>
      <c r="E10" s="372"/>
      <c r="F10" s="373" t="s">
        <v>98</v>
      </c>
      <c r="G10" s="374">
        <f>+'Operational Data'!H24</f>
        <v>464.7895568694023</v>
      </c>
      <c r="H10" s="374"/>
      <c r="I10" s="374"/>
    </row>
    <row r="11" spans="1:10" s="3" customFormat="1" ht="24.75" customHeight="1">
      <c r="A11" s="167" t="s">
        <v>207</v>
      </c>
      <c r="B11" s="167"/>
      <c r="C11" s="167"/>
      <c r="D11" s="375">
        <f>+'Operational Data'!G27</f>
        <v>144.4</v>
      </c>
      <c r="E11" s="375"/>
      <c r="F11" s="373" t="s">
        <v>98</v>
      </c>
      <c r="G11" s="374">
        <f>+'Operational Data'!H27</f>
        <v>2.8176159534820191</v>
      </c>
      <c r="H11" s="374"/>
      <c r="I11" s="374"/>
    </row>
    <row r="12" spans="1:10" s="3" customFormat="1" ht="24.75" customHeight="1">
      <c r="A12" s="167" t="s">
        <v>208</v>
      </c>
      <c r="B12" s="167"/>
      <c r="C12" s="167"/>
      <c r="D12" s="372">
        <f>+'Operational Data'!G25</f>
        <v>19693</v>
      </c>
      <c r="E12" s="372"/>
      <c r="F12" s="373" t="s">
        <v>98</v>
      </c>
      <c r="G12" s="374">
        <f>+'Operational Data'!H25</f>
        <v>384.26115631524516</v>
      </c>
      <c r="H12" s="374"/>
      <c r="I12" s="374"/>
    </row>
    <row r="13" spans="1:10" s="3" customFormat="1" ht="24.75" customHeight="1">
      <c r="A13" s="167" t="s">
        <v>209</v>
      </c>
      <c r="B13" s="167"/>
      <c r="C13" s="167"/>
      <c r="D13" s="376">
        <f>'Operational Data'!G49/35.3146667</f>
        <v>59405.006362413158</v>
      </c>
      <c r="E13" s="376"/>
      <c r="F13" s="106" t="s">
        <v>179</v>
      </c>
      <c r="G13" s="377"/>
      <c r="H13" s="377"/>
      <c r="I13" s="377"/>
    </row>
    <row r="14" spans="1:10" s="3" customFormat="1" ht="24.75" customHeight="1">
      <c r="A14" s="167" t="s">
        <v>210</v>
      </c>
      <c r="B14" s="167"/>
      <c r="C14" s="167"/>
      <c r="D14" s="372">
        <f>+'Operational Data'!G30</f>
        <v>3535</v>
      </c>
      <c r="E14" s="372"/>
      <c r="F14" s="373" t="s">
        <v>211</v>
      </c>
      <c r="G14" s="374">
        <f>+'Operational Data'!H30</f>
        <v>68.976955647915076</v>
      </c>
      <c r="H14" s="374"/>
      <c r="I14" s="374"/>
    </row>
    <row r="15" spans="1:10" s="3" customFormat="1" ht="24.75" customHeight="1">
      <c r="A15" s="345"/>
      <c r="B15" s="345"/>
      <c r="C15" s="345"/>
      <c r="D15" s="345"/>
      <c r="E15" s="345"/>
      <c r="F15" s="109"/>
      <c r="G15" s="278"/>
      <c r="H15" s="278"/>
      <c r="I15" s="278"/>
    </row>
    <row r="16" spans="1:10" s="3" customFormat="1" ht="24.75" customHeight="1">
      <c r="A16" s="345"/>
      <c r="B16" s="345"/>
      <c r="C16" s="345"/>
      <c r="D16" s="345"/>
      <c r="E16" s="345"/>
      <c r="F16" s="109"/>
      <c r="G16" s="278"/>
      <c r="H16" s="278"/>
      <c r="I16" s="278"/>
    </row>
    <row r="17" spans="1:9" s="3" customFormat="1">
      <c r="A17" s="45"/>
      <c r="B17"/>
      <c r="C17"/>
      <c r="D17"/>
    </row>
    <row r="18" spans="1:9" s="3" customFormat="1" ht="24" customHeight="1">
      <c r="A18" s="152" t="s">
        <v>174</v>
      </c>
      <c r="B18" s="152"/>
      <c r="C18" s="152"/>
      <c r="D18" s="152"/>
      <c r="E18" s="152"/>
      <c r="F18" s="152"/>
      <c r="G18" s="152"/>
      <c r="H18" s="152"/>
      <c r="I18" s="152"/>
    </row>
    <row r="19" spans="1:9" s="3" customFormat="1" ht="14.25">
      <c r="A19" s="378"/>
      <c r="B19" s="378"/>
      <c r="C19" s="378"/>
      <c r="D19" s="378"/>
      <c r="E19" s="378"/>
      <c r="F19" s="378"/>
      <c r="G19" s="378"/>
      <c r="H19" s="378"/>
      <c r="I19" s="378"/>
    </row>
    <row r="20" spans="1:9" s="3" customFormat="1" ht="14.25">
      <c r="A20" s="378"/>
      <c r="B20" s="378"/>
      <c r="C20" s="378"/>
      <c r="D20" s="378"/>
      <c r="E20" s="378"/>
      <c r="F20" s="378"/>
      <c r="G20" s="378"/>
      <c r="H20" s="378"/>
      <c r="I20" s="378"/>
    </row>
    <row r="21" spans="1:9" s="3" customFormat="1" ht="14.25">
      <c r="A21" s="378"/>
      <c r="B21" s="378"/>
      <c r="C21" s="378"/>
      <c r="D21" s="378"/>
      <c r="E21" s="378"/>
      <c r="F21" s="378"/>
      <c r="G21" s="378"/>
      <c r="H21" s="378"/>
      <c r="I21" s="378"/>
    </row>
    <row r="22" spans="1:9" s="3" customFormat="1" ht="14.25">
      <c r="A22" s="378"/>
      <c r="B22" s="378"/>
      <c r="C22" s="378"/>
      <c r="D22" s="378"/>
      <c r="E22" s="378"/>
      <c r="F22" s="378"/>
      <c r="G22" s="378"/>
      <c r="H22" s="378"/>
      <c r="I22" s="378"/>
    </row>
    <row r="23" spans="1:9" s="3" customFormat="1" ht="14.25">
      <c r="A23" s="378"/>
      <c r="B23" s="378"/>
      <c r="C23" s="378"/>
      <c r="D23" s="378"/>
      <c r="E23" s="378"/>
      <c r="F23" s="378"/>
      <c r="G23" s="378"/>
      <c r="H23" s="378"/>
      <c r="I23" s="378"/>
    </row>
    <row r="24" spans="1:9" s="3" customFormat="1" ht="14.25">
      <c r="A24" s="378"/>
      <c r="B24" s="378"/>
      <c r="C24" s="378"/>
      <c r="D24" s="378"/>
      <c r="E24" s="378"/>
      <c r="F24" s="378"/>
      <c r="G24" s="378"/>
      <c r="H24" s="378"/>
      <c r="I24" s="378"/>
    </row>
    <row r="25" spans="1:9" s="3" customFormat="1" ht="14.25">
      <c r="A25" s="378"/>
      <c r="B25" s="378"/>
      <c r="C25" s="378"/>
      <c r="D25" s="378"/>
      <c r="E25" s="378"/>
      <c r="F25" s="378"/>
      <c r="G25" s="378"/>
      <c r="H25" s="378"/>
      <c r="I25" s="378"/>
    </row>
    <row r="26" spans="1:9" s="3" customFormat="1" ht="14.25">
      <c r="A26" s="42"/>
      <c r="B26" s="42"/>
      <c r="C26" s="42"/>
      <c r="D26" s="42"/>
      <c r="E26" s="42"/>
      <c r="F26" s="42"/>
      <c r="G26" s="42"/>
      <c r="H26" s="42"/>
      <c r="I26" s="42"/>
    </row>
    <row r="27" spans="1:9" s="3" customFormat="1" ht="14.25"/>
    <row r="28" spans="1:9" s="3" customFormat="1" ht="14.25"/>
    <row r="29" spans="1:9" s="3" customFormat="1" ht="14.25">
      <c r="A29" s="3" t="s">
        <v>199</v>
      </c>
      <c r="B29" s="44"/>
      <c r="C29" s="44"/>
      <c r="D29" s="44"/>
      <c r="E29" s="44"/>
      <c r="G29" s="3" t="s">
        <v>200</v>
      </c>
      <c r="H29" s="105">
        <v>44944</v>
      </c>
      <c r="I29" s="44"/>
    </row>
    <row r="30" spans="1:9" s="3" customFormat="1" ht="14.25"/>
    <row r="31" spans="1:9" ht="14.25" customHeight="1">
      <c r="A31" s="3"/>
      <c r="B31" s="3"/>
      <c r="C31" s="3"/>
      <c r="D31" s="3"/>
      <c r="E31" s="3"/>
      <c r="F31" s="3"/>
      <c r="G31" s="3"/>
      <c r="H31" s="3"/>
      <c r="I31" s="3"/>
    </row>
    <row r="32" spans="1:9" s="3" customFormat="1" ht="14.25"/>
    <row r="33" spans="1:9" s="3" customFormat="1" ht="14.25"/>
    <row r="34" spans="1:9" s="3" customFormat="1">
      <c r="A34" s="93"/>
      <c r="B34" s="93"/>
      <c r="C34" s="93"/>
      <c r="D34" s="93"/>
      <c r="E34" s="93"/>
      <c r="F34" s="93"/>
      <c r="G34" s="93"/>
      <c r="H34" s="93"/>
      <c r="I34" s="93"/>
    </row>
    <row r="35" spans="1:9" s="3" customFormat="1" ht="14.25"/>
    <row r="36" spans="1:9" s="3" customFormat="1" ht="14.25"/>
    <row r="37" spans="1:9" s="3" customFormat="1" ht="14.25"/>
    <row r="38" spans="1:9" s="3" customFormat="1" ht="14.25"/>
    <row r="39" spans="1:9" s="3" customFormat="1" ht="14.25"/>
    <row r="40" spans="1:9" s="3" customFormat="1" ht="14.25"/>
    <row r="41" spans="1:9" s="3" customFormat="1" ht="14.25"/>
    <row r="42" spans="1:9" s="3" customFormat="1" ht="14.25"/>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7"/>
  <sheetViews>
    <sheetView workbookViewId="0">
      <selection activeCell="B55" sqref="B55"/>
    </sheetView>
  </sheetViews>
  <sheetFormatPr defaultColWidth="9.28515625" defaultRowHeight="15"/>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2" width="31.7109375" style="2" customWidth="1"/>
    <col min="13" max="16384" width="9.28515625" style="2"/>
  </cols>
  <sheetData>
    <row r="1" spans="1:15">
      <c r="A1" s="93" t="str">
        <f>+'Cover Page'!$B$29</f>
        <v>Annual Performance Report 2022</v>
      </c>
      <c r="B1" s="93"/>
      <c r="C1" s="93"/>
      <c r="D1" s="93"/>
      <c r="E1" s="93" t="str">
        <f>+'Cover Page'!$B$33</f>
        <v>Newlincs Development IWMF</v>
      </c>
      <c r="F1" s="93"/>
      <c r="G1" s="93"/>
      <c r="H1" s="93"/>
      <c r="I1" s="93"/>
      <c r="J1" s="93"/>
      <c r="K1" s="93"/>
      <c r="L1" s="93"/>
      <c r="M1" s="93"/>
      <c r="N1" s="93"/>
      <c r="O1" s="93"/>
    </row>
    <row r="3" spans="1:15" ht="15.75">
      <c r="A3" s="1" t="s">
        <v>212</v>
      </c>
      <c r="B3" s="93"/>
      <c r="C3" s="93"/>
      <c r="D3" s="93"/>
      <c r="E3" s="93"/>
      <c r="F3" s="93"/>
      <c r="G3" s="93"/>
      <c r="H3" s="93"/>
      <c r="I3" s="93"/>
      <c r="J3" s="93"/>
      <c r="K3" s="93"/>
      <c r="L3" s="93"/>
      <c r="M3" s="93"/>
      <c r="N3" s="93"/>
      <c r="O3" s="93"/>
    </row>
    <row r="4" spans="1:15" ht="15.75">
      <c r="A4" s="1"/>
      <c r="B4" s="93"/>
      <c r="C4" s="93"/>
      <c r="D4" s="93"/>
      <c r="E4" s="93"/>
      <c r="F4" s="93"/>
      <c r="G4" s="93"/>
      <c r="H4" s="93"/>
      <c r="I4" s="93"/>
      <c r="J4" s="93"/>
      <c r="K4" s="93"/>
      <c r="L4" s="93"/>
      <c r="M4" s="93"/>
      <c r="N4" s="93"/>
      <c r="O4" s="93"/>
    </row>
    <row r="5" spans="1:15" ht="15.75">
      <c r="A5" s="9" t="s">
        <v>213</v>
      </c>
      <c r="B5" s="93"/>
      <c r="C5" s="93"/>
      <c r="D5" s="93"/>
      <c r="E5" s="93"/>
      <c r="F5" s="93"/>
      <c r="G5" s="93"/>
      <c r="H5" s="93"/>
      <c r="I5" s="93"/>
      <c r="J5" s="93"/>
      <c r="K5" s="93"/>
      <c r="L5" s="93"/>
      <c r="M5" s="93"/>
      <c r="N5" s="93"/>
      <c r="O5" s="93"/>
    </row>
    <row r="6" spans="1:15" ht="15.75">
      <c r="A6" s="9"/>
      <c r="B6" s="93"/>
      <c r="C6" s="93"/>
      <c r="D6" s="93"/>
      <c r="E6" s="93"/>
      <c r="F6" s="93"/>
      <c r="G6" s="93"/>
      <c r="H6" s="93"/>
      <c r="I6" s="93"/>
      <c r="J6" s="93"/>
      <c r="K6" s="93"/>
      <c r="L6" s="93"/>
      <c r="M6" s="93"/>
      <c r="N6" s="93"/>
      <c r="O6" s="93"/>
    </row>
    <row r="7" spans="1:15">
      <c r="A7" s="295" t="s">
        <v>214</v>
      </c>
      <c r="B7" s="93"/>
      <c r="C7" s="93"/>
      <c r="D7" s="93"/>
      <c r="E7" s="93"/>
      <c r="F7" s="93"/>
      <c r="G7" s="93"/>
      <c r="H7" s="93"/>
      <c r="I7" s="93"/>
      <c r="J7" s="93"/>
      <c r="K7" s="93"/>
      <c r="L7" s="93"/>
      <c r="M7" s="93"/>
      <c r="N7" s="93"/>
      <c r="O7" s="93"/>
    </row>
    <row r="8" spans="1:15" s="3" customFormat="1" ht="25.5" customHeight="1">
      <c r="A8" s="178" t="s">
        <v>215</v>
      </c>
      <c r="B8" s="179"/>
      <c r="C8" s="178" t="s">
        <v>216</v>
      </c>
      <c r="D8" s="180"/>
      <c r="E8" s="180"/>
      <c r="F8" s="180"/>
      <c r="G8" s="180"/>
      <c r="H8" s="180"/>
      <c r="I8" s="179"/>
      <c r="L8" s="81" t="s">
        <v>3</v>
      </c>
    </row>
    <row r="9" spans="1:15" s="3" customFormat="1" ht="22.5" customHeight="1">
      <c r="A9" s="181"/>
      <c r="B9" s="182"/>
      <c r="C9" s="183" t="s">
        <v>217</v>
      </c>
      <c r="D9" s="183"/>
      <c r="E9" s="183"/>
      <c r="F9" s="183" t="s">
        <v>218</v>
      </c>
      <c r="G9" s="183"/>
      <c r="H9" s="183"/>
      <c r="I9" s="183"/>
      <c r="L9" s="202" t="s">
        <v>219</v>
      </c>
      <c r="M9" s="202"/>
      <c r="N9" s="202"/>
      <c r="O9" s="202"/>
    </row>
    <row r="10" spans="1:15" s="3" customFormat="1" ht="22.5" customHeight="1">
      <c r="A10" s="177" t="s">
        <v>220</v>
      </c>
      <c r="B10" s="177"/>
      <c r="C10" s="379">
        <v>1</v>
      </c>
      <c r="D10" s="380"/>
      <c r="E10" s="380"/>
      <c r="F10" s="379">
        <v>1</v>
      </c>
      <c r="G10" s="380"/>
      <c r="H10" s="380"/>
      <c r="I10" s="380"/>
      <c r="L10" s="202"/>
      <c r="M10" s="202"/>
      <c r="N10" s="202"/>
      <c r="O10" s="202"/>
    </row>
    <row r="11" spans="1:15" s="3" customFormat="1" ht="22.5" customHeight="1">
      <c r="A11" s="177" t="s">
        <v>221</v>
      </c>
      <c r="B11" s="177"/>
      <c r="C11" s="379">
        <v>1</v>
      </c>
      <c r="D11" s="380"/>
      <c r="E11" s="380"/>
      <c r="F11" s="379">
        <v>1</v>
      </c>
      <c r="G11" s="380"/>
      <c r="H11" s="380"/>
      <c r="I11" s="380"/>
      <c r="L11" s="202"/>
      <c r="M11" s="202"/>
      <c r="N11" s="202"/>
      <c r="O11" s="202"/>
    </row>
    <row r="12" spans="1:15" s="3" customFormat="1" ht="22.5" customHeight="1">
      <c r="A12" s="177" t="s">
        <v>222</v>
      </c>
      <c r="B12" s="177"/>
      <c r="C12" s="379">
        <v>1</v>
      </c>
      <c r="D12" s="380"/>
      <c r="E12" s="380"/>
      <c r="F12" s="379">
        <v>1</v>
      </c>
      <c r="G12" s="380"/>
      <c r="H12" s="380"/>
      <c r="I12" s="380"/>
      <c r="L12" s="202"/>
      <c r="M12" s="202"/>
      <c r="N12" s="202"/>
      <c r="O12" s="202"/>
    </row>
    <row r="13" spans="1:15" s="3" customFormat="1" ht="22.5" customHeight="1">
      <c r="A13" s="177" t="s">
        <v>223</v>
      </c>
      <c r="B13" s="177"/>
      <c r="C13" s="379">
        <v>1</v>
      </c>
      <c r="D13" s="380"/>
      <c r="E13" s="380"/>
      <c r="F13" s="379">
        <v>1</v>
      </c>
      <c r="G13" s="380"/>
      <c r="H13" s="380"/>
      <c r="I13" s="380"/>
      <c r="L13" s="202"/>
      <c r="M13" s="202"/>
      <c r="N13" s="202"/>
      <c r="O13" s="202"/>
    </row>
    <row r="14" spans="1:15" s="3" customFormat="1" ht="22.5" customHeight="1">
      <c r="A14" s="177" t="s">
        <v>224</v>
      </c>
      <c r="B14" s="177"/>
      <c r="C14" s="379">
        <v>1</v>
      </c>
      <c r="D14" s="380"/>
      <c r="E14" s="380"/>
      <c r="F14" s="379">
        <v>1</v>
      </c>
      <c r="G14" s="380"/>
      <c r="H14" s="380"/>
      <c r="I14" s="380"/>
      <c r="L14" s="202"/>
      <c r="M14" s="202"/>
      <c r="N14" s="202"/>
      <c r="O14" s="202"/>
    </row>
    <row r="15" spans="1:15" s="3" customFormat="1" ht="22.5" customHeight="1">
      <c r="A15" s="177" t="s">
        <v>225</v>
      </c>
      <c r="B15" s="177"/>
      <c r="C15" s="379">
        <v>1</v>
      </c>
      <c r="D15" s="380"/>
      <c r="E15" s="380"/>
      <c r="F15" s="379">
        <v>1</v>
      </c>
      <c r="G15" s="380"/>
      <c r="H15" s="380"/>
      <c r="I15" s="380"/>
      <c r="L15" s="202"/>
      <c r="M15" s="202"/>
      <c r="N15" s="202"/>
      <c r="O15" s="202"/>
    </row>
    <row r="16" spans="1:15" s="3" customFormat="1" ht="22.5" customHeight="1">
      <c r="A16" s="177" t="s">
        <v>226</v>
      </c>
      <c r="B16" s="177"/>
      <c r="C16" s="379">
        <v>1</v>
      </c>
      <c r="D16" s="380"/>
      <c r="E16" s="380"/>
      <c r="F16" s="379">
        <v>1</v>
      </c>
      <c r="G16" s="380"/>
      <c r="H16" s="380"/>
      <c r="I16" s="380"/>
      <c r="L16" s="202"/>
      <c r="M16" s="202"/>
      <c r="N16" s="202"/>
      <c r="O16" s="202"/>
    </row>
    <row r="17" spans="1:15" s="3" customFormat="1" ht="22.5" customHeight="1">
      <c r="A17" s="175"/>
      <c r="B17" s="176"/>
      <c r="C17" s="379">
        <v>1</v>
      </c>
      <c r="D17" s="380"/>
      <c r="E17" s="380"/>
      <c r="F17" s="379">
        <v>1</v>
      </c>
      <c r="G17" s="380"/>
      <c r="H17" s="380"/>
      <c r="I17" s="380"/>
      <c r="L17" s="202"/>
      <c r="M17" s="202"/>
      <c r="N17" s="202"/>
      <c r="O17" s="202"/>
    </row>
    <row r="18" spans="1:15" s="3" customFormat="1" ht="14.25">
      <c r="L18" s="202"/>
      <c r="M18" s="202"/>
      <c r="N18" s="202"/>
      <c r="O18" s="202"/>
    </row>
    <row r="19" spans="1:15" s="45" customFormat="1" ht="21.75" customHeight="1">
      <c r="A19" s="170" t="s">
        <v>227</v>
      </c>
      <c r="B19" s="171"/>
      <c r="C19" s="171"/>
      <c r="D19" s="171"/>
      <c r="E19" s="171"/>
      <c r="F19" s="171"/>
      <c r="G19" s="171"/>
      <c r="H19" s="171"/>
      <c r="I19" s="171"/>
      <c r="J19" s="171"/>
      <c r="K19" s="172"/>
    </row>
    <row r="20" spans="1:15" s="3" customFormat="1" ht="38.25" customHeight="1">
      <c r="A20" s="46" t="s">
        <v>52</v>
      </c>
      <c r="B20" s="173" t="s">
        <v>228</v>
      </c>
      <c r="C20" s="173"/>
      <c r="D20" s="173"/>
      <c r="E20" s="173" t="s">
        <v>229</v>
      </c>
      <c r="F20" s="173"/>
      <c r="G20" s="173"/>
      <c r="H20" s="173" t="s">
        <v>230</v>
      </c>
      <c r="I20" s="173"/>
      <c r="J20" s="174"/>
      <c r="K20" s="72"/>
    </row>
    <row r="21" spans="1:15" s="3" customFormat="1" ht="14.25">
      <c r="A21" s="381"/>
      <c r="B21" s="278"/>
      <c r="C21" s="278"/>
      <c r="D21" s="278"/>
      <c r="E21" s="278"/>
      <c r="F21" s="278"/>
      <c r="G21" s="278"/>
      <c r="H21" s="278"/>
      <c r="I21" s="278"/>
      <c r="J21" s="382"/>
      <c r="K21" s="72"/>
    </row>
    <row r="22" spans="1:15" s="3" customFormat="1" ht="14.25">
      <c r="A22" s="383"/>
      <c r="B22" s="278"/>
      <c r="C22" s="278"/>
      <c r="D22" s="278"/>
      <c r="E22" s="278"/>
      <c r="F22" s="278"/>
      <c r="G22" s="278"/>
      <c r="H22" s="278"/>
      <c r="I22" s="278"/>
      <c r="J22" s="382"/>
      <c r="K22" s="72"/>
    </row>
    <row r="23" spans="1:15" s="3" customFormat="1" ht="14.25">
      <c r="A23" s="383"/>
      <c r="B23" s="278"/>
      <c r="C23" s="278"/>
      <c r="D23" s="278"/>
      <c r="E23" s="278"/>
      <c r="F23" s="278"/>
      <c r="G23" s="278"/>
      <c r="H23" s="278"/>
      <c r="I23" s="278"/>
      <c r="J23" s="382"/>
      <c r="K23" s="72"/>
    </row>
    <row r="24" spans="1:15" s="3" customFormat="1" ht="14.25">
      <c r="A24" s="383"/>
      <c r="B24" s="278"/>
      <c r="C24" s="278"/>
      <c r="D24" s="278"/>
      <c r="E24" s="278"/>
      <c r="F24" s="278"/>
      <c r="G24" s="278"/>
      <c r="H24" s="278"/>
      <c r="I24" s="278"/>
      <c r="J24" s="382"/>
      <c r="K24" s="72"/>
    </row>
    <row r="25" spans="1:15" s="3" customFormat="1" ht="14.25">
      <c r="A25" s="383"/>
      <c r="B25" s="278"/>
      <c r="C25" s="278"/>
      <c r="D25" s="278"/>
      <c r="E25" s="278"/>
      <c r="F25" s="278"/>
      <c r="G25" s="278"/>
      <c r="H25" s="278"/>
      <c r="I25" s="278"/>
      <c r="J25" s="382"/>
      <c r="K25" s="72"/>
    </row>
    <row r="26" spans="1:15" s="3" customFormat="1" ht="14.25"/>
    <row r="27" spans="1:15" s="45" customFormat="1" ht="22.5" customHeight="1">
      <c r="A27" s="170" t="s">
        <v>231</v>
      </c>
      <c r="B27" s="171"/>
      <c r="C27" s="171"/>
      <c r="D27" s="171"/>
      <c r="E27" s="171"/>
      <c r="F27" s="171"/>
      <c r="G27" s="171"/>
      <c r="H27" s="171"/>
      <c r="I27" s="171"/>
      <c r="J27" s="171"/>
      <c r="K27" s="172"/>
    </row>
    <row r="28" spans="1:15" s="3" customFormat="1" ht="39" customHeight="1">
      <c r="A28" s="46" t="s">
        <v>52</v>
      </c>
      <c r="B28" s="173" t="s">
        <v>232</v>
      </c>
      <c r="C28" s="173"/>
      <c r="D28" s="173"/>
      <c r="E28" s="173" t="s">
        <v>233</v>
      </c>
      <c r="F28" s="173"/>
      <c r="G28" s="173"/>
      <c r="H28" s="173" t="s">
        <v>230</v>
      </c>
      <c r="I28" s="173"/>
      <c r="J28" s="174"/>
      <c r="K28" s="72"/>
    </row>
    <row r="29" spans="1:15" s="3" customFormat="1" ht="14.25">
      <c r="A29" s="383"/>
      <c r="B29" s="278"/>
      <c r="C29" s="278"/>
      <c r="D29" s="278"/>
      <c r="E29" s="278"/>
      <c r="F29" s="278"/>
      <c r="G29" s="278"/>
      <c r="H29" s="278"/>
      <c r="I29" s="278"/>
      <c r="J29" s="382"/>
      <c r="K29" s="72"/>
    </row>
    <row r="30" spans="1:15" s="3" customFormat="1" ht="14.25">
      <c r="A30" s="383"/>
      <c r="B30" s="278"/>
      <c r="C30" s="278"/>
      <c r="D30" s="278"/>
      <c r="E30" s="278"/>
      <c r="F30" s="278"/>
      <c r="G30" s="278"/>
      <c r="H30" s="278"/>
      <c r="I30" s="278"/>
      <c r="J30" s="382"/>
      <c r="K30" s="72"/>
    </row>
    <row r="31" spans="1:15" ht="14.25" customHeight="1">
      <c r="A31" s="383"/>
      <c r="B31" s="278"/>
      <c r="C31" s="278"/>
      <c r="D31" s="278"/>
      <c r="E31" s="278"/>
      <c r="F31" s="278"/>
      <c r="G31" s="278"/>
      <c r="H31" s="278"/>
      <c r="I31" s="278"/>
      <c r="J31" s="382"/>
      <c r="K31" s="72"/>
      <c r="L31" s="93"/>
      <c r="M31" s="93"/>
      <c r="N31" s="93"/>
      <c r="O31" s="93"/>
    </row>
    <row r="32" spans="1:15" s="3" customFormat="1" ht="14.25">
      <c r="A32" s="383"/>
      <c r="B32" s="278"/>
      <c r="C32" s="278"/>
      <c r="D32" s="278"/>
      <c r="E32" s="278"/>
      <c r="F32" s="278"/>
      <c r="G32" s="278"/>
      <c r="H32" s="278"/>
      <c r="I32" s="278"/>
      <c r="J32" s="382"/>
      <c r="K32" s="72"/>
    </row>
    <row r="33" spans="1:11" s="3" customFormat="1" ht="14.25">
      <c r="A33" s="383"/>
      <c r="B33" s="278"/>
      <c r="C33" s="278"/>
      <c r="D33" s="278"/>
      <c r="E33" s="278"/>
      <c r="F33" s="278"/>
      <c r="G33" s="278"/>
      <c r="H33" s="278"/>
      <c r="I33" s="278"/>
      <c r="J33" s="382"/>
      <c r="K33" s="72"/>
    </row>
    <row r="34" spans="1:11" s="3" customFormat="1" ht="29.25" customHeight="1">
      <c r="A34" s="295"/>
      <c r="E34" s="184" t="s">
        <v>234</v>
      </c>
      <c r="F34" s="184"/>
      <c r="G34" s="184"/>
      <c r="H34" s="184"/>
      <c r="I34" s="184"/>
      <c r="J34" s="295"/>
    </row>
    <row r="67" spans="6:6">
      <c r="F67" s="3"/>
    </row>
  </sheetData>
  <mergeCells count="69">
    <mergeCell ref="L9:O18"/>
    <mergeCell ref="E34:I34"/>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F14:I14"/>
    <mergeCell ref="A15:B15"/>
    <mergeCell ref="C15:E15"/>
    <mergeCell ref="F15:I15"/>
    <mergeCell ref="A16:B16"/>
    <mergeCell ref="C17:E17"/>
    <mergeCell ref="F17:I17"/>
    <mergeCell ref="C16:E16"/>
    <mergeCell ref="F16:I16"/>
    <mergeCell ref="A17:B17"/>
    <mergeCell ref="B20:D20"/>
    <mergeCell ref="E20:G20"/>
    <mergeCell ref="H20:J20"/>
    <mergeCell ref="B21:D21"/>
    <mergeCell ref="E21:G21"/>
    <mergeCell ref="H21:J21"/>
    <mergeCell ref="H25:J25"/>
    <mergeCell ref="B22:D22"/>
    <mergeCell ref="E22:G22"/>
    <mergeCell ref="H22:J22"/>
    <mergeCell ref="B23:D23"/>
    <mergeCell ref="E23:G23"/>
    <mergeCell ref="H23:J23"/>
    <mergeCell ref="B33:D33"/>
    <mergeCell ref="E33:G33"/>
    <mergeCell ref="H33:J33"/>
    <mergeCell ref="B30:D30"/>
    <mergeCell ref="E30:G30"/>
    <mergeCell ref="H30:J30"/>
    <mergeCell ref="B31:D31"/>
    <mergeCell ref="E31:G31"/>
    <mergeCell ref="H31:J31"/>
    <mergeCell ref="A27:K27"/>
    <mergeCell ref="A19:K19"/>
    <mergeCell ref="B32:D32"/>
    <mergeCell ref="E32:G32"/>
    <mergeCell ref="H32:J32"/>
    <mergeCell ref="B28:D28"/>
    <mergeCell ref="E28:G28"/>
    <mergeCell ref="H28:J28"/>
    <mergeCell ref="B29:D29"/>
    <mergeCell ref="E29:G29"/>
    <mergeCell ref="H29:J29"/>
    <mergeCell ref="B24:D24"/>
    <mergeCell ref="E24:G24"/>
    <mergeCell ref="H24:J24"/>
    <mergeCell ref="B25:D25"/>
    <mergeCell ref="E25:G25"/>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workbookViewId="0">
      <selection activeCell="B55" sqref="B55"/>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3" t="str">
        <f>+'Cover Page'!$B$29</f>
        <v>Annual Performance Report 2022</v>
      </c>
      <c r="B1" s="93"/>
      <c r="C1" s="93"/>
      <c r="D1" s="93"/>
      <c r="E1" s="93" t="str">
        <f>+'Cover Page'!$B$33</f>
        <v>Newlincs Development IWMF</v>
      </c>
      <c r="F1" s="93"/>
      <c r="G1" s="93"/>
      <c r="H1" s="93"/>
      <c r="I1" s="93"/>
    </row>
    <row r="3" spans="1:9" ht="15.75">
      <c r="A3" s="1" t="s">
        <v>235</v>
      </c>
      <c r="B3" s="93"/>
      <c r="C3" s="93"/>
      <c r="D3" s="93"/>
      <c r="E3" s="93"/>
      <c r="F3" s="93"/>
      <c r="G3" s="93"/>
      <c r="H3" s="93"/>
      <c r="I3" s="93"/>
    </row>
    <row r="4" spans="1:9" ht="15.75">
      <c r="A4" s="1"/>
      <c r="B4" s="93"/>
      <c r="C4" s="93"/>
      <c r="D4" s="93"/>
      <c r="E4" s="93"/>
      <c r="F4" s="93"/>
      <c r="G4" s="93"/>
      <c r="H4" s="93"/>
      <c r="I4" s="93"/>
    </row>
    <row r="5" spans="1:9" s="3" customFormat="1">
      <c r="A5" s="188" t="s">
        <v>236</v>
      </c>
      <c r="B5" s="189"/>
      <c r="C5" s="189"/>
      <c r="D5" s="189"/>
      <c r="E5" s="189"/>
      <c r="F5" s="189"/>
      <c r="G5" s="189"/>
      <c r="H5" s="189"/>
      <c r="I5" s="190"/>
    </row>
    <row r="6" spans="1:9" s="3" customFormat="1" ht="15.75" customHeight="1">
      <c r="A6" s="131" t="s">
        <v>237</v>
      </c>
      <c r="B6" s="144"/>
      <c r="C6" s="144"/>
      <c r="D6" s="144"/>
      <c r="E6" s="144"/>
      <c r="F6" s="144"/>
      <c r="G6" s="144"/>
      <c r="H6" s="144"/>
      <c r="I6" s="145"/>
    </row>
    <row r="7" spans="1:9" s="3" customFormat="1" ht="15.75" customHeight="1">
      <c r="A7" s="146"/>
      <c r="B7" s="147"/>
      <c r="C7" s="147"/>
      <c r="D7" s="147"/>
      <c r="E7" s="147"/>
      <c r="F7" s="147"/>
      <c r="G7" s="147"/>
      <c r="H7" s="147"/>
      <c r="I7" s="148"/>
    </row>
    <row r="8" spans="1:9" s="3" customFormat="1" ht="15.75" customHeight="1">
      <c r="A8" s="146"/>
      <c r="B8" s="147"/>
      <c r="C8" s="147"/>
      <c r="D8" s="147"/>
      <c r="E8" s="147"/>
      <c r="F8" s="147"/>
      <c r="G8" s="147"/>
      <c r="H8" s="147"/>
      <c r="I8" s="148"/>
    </row>
    <row r="9" spans="1:9" s="3" customFormat="1" ht="15.75" customHeight="1">
      <c r="A9" s="146"/>
      <c r="B9" s="147"/>
      <c r="C9" s="147"/>
      <c r="D9" s="147"/>
      <c r="E9" s="147"/>
      <c r="F9" s="147"/>
      <c r="G9" s="147"/>
      <c r="H9" s="147"/>
      <c r="I9" s="148"/>
    </row>
    <row r="10" spans="1:9" s="3" customFormat="1" ht="15.75" customHeight="1">
      <c r="A10" s="146"/>
      <c r="B10" s="147"/>
      <c r="C10" s="147"/>
      <c r="D10" s="147"/>
      <c r="E10" s="147"/>
      <c r="F10" s="147"/>
      <c r="G10" s="147"/>
      <c r="H10" s="147"/>
      <c r="I10" s="148"/>
    </row>
    <row r="11" spans="1:9" s="3" customFormat="1" ht="15.75" customHeight="1">
      <c r="A11" s="146"/>
      <c r="B11" s="147"/>
      <c r="C11" s="147"/>
      <c r="D11" s="147"/>
      <c r="E11" s="147"/>
      <c r="F11" s="147"/>
      <c r="G11" s="147"/>
      <c r="H11" s="147"/>
      <c r="I11" s="148"/>
    </row>
    <row r="12" spans="1:9" s="3" customFormat="1" ht="15.75" customHeight="1">
      <c r="A12" s="146"/>
      <c r="B12" s="147"/>
      <c r="C12" s="147"/>
      <c r="D12" s="147"/>
      <c r="E12" s="147"/>
      <c r="F12" s="147"/>
      <c r="G12" s="147"/>
      <c r="H12" s="147"/>
      <c r="I12" s="148"/>
    </row>
    <row r="13" spans="1:9" s="3" customFormat="1" ht="15.75" customHeight="1">
      <c r="A13" s="146"/>
      <c r="B13" s="147"/>
      <c r="C13" s="147"/>
      <c r="D13" s="147"/>
      <c r="E13" s="147"/>
      <c r="F13" s="147"/>
      <c r="G13" s="147"/>
      <c r="H13" s="147"/>
      <c r="I13" s="148"/>
    </row>
    <row r="14" spans="1:9" s="3" customFormat="1" ht="15.75" customHeight="1">
      <c r="A14" s="149"/>
      <c r="B14" s="150"/>
      <c r="C14" s="150"/>
      <c r="D14" s="150"/>
      <c r="E14" s="150"/>
      <c r="F14" s="150"/>
      <c r="G14" s="150"/>
      <c r="H14" s="150"/>
      <c r="I14" s="151"/>
    </row>
    <row r="15" spans="1:9" s="3" customFormat="1" ht="14.25"/>
    <row r="16" spans="1:9" s="47" customFormat="1" ht="33.75" customHeight="1">
      <c r="A16" s="185" t="s">
        <v>238</v>
      </c>
      <c r="B16" s="186"/>
      <c r="C16" s="186"/>
      <c r="D16" s="186"/>
      <c r="E16" s="186"/>
      <c r="F16" s="186"/>
      <c r="G16" s="186"/>
      <c r="H16" s="186"/>
      <c r="I16" s="187"/>
    </row>
    <row r="17" spans="1:9" ht="15.75" customHeight="1">
      <c r="A17" s="191"/>
      <c r="B17" s="144"/>
      <c r="C17" s="144"/>
      <c r="D17" s="144"/>
      <c r="E17" s="144"/>
      <c r="F17" s="144"/>
      <c r="G17" s="144"/>
      <c r="H17" s="144"/>
      <c r="I17" s="145"/>
    </row>
    <row r="18" spans="1:9" ht="15.75" customHeight="1">
      <c r="A18" s="146"/>
      <c r="B18" s="147"/>
      <c r="C18" s="147"/>
      <c r="D18" s="147"/>
      <c r="E18" s="147"/>
      <c r="F18" s="147"/>
      <c r="G18" s="147"/>
      <c r="H18" s="147"/>
      <c r="I18" s="148"/>
    </row>
    <row r="19" spans="1:9" ht="15.75" customHeight="1">
      <c r="A19" s="146"/>
      <c r="B19" s="147"/>
      <c r="C19" s="147"/>
      <c r="D19" s="147"/>
      <c r="E19" s="147"/>
      <c r="F19" s="147"/>
      <c r="G19" s="147"/>
      <c r="H19" s="147"/>
      <c r="I19" s="148"/>
    </row>
    <row r="20" spans="1:9" ht="15.75" customHeight="1">
      <c r="A20" s="146"/>
      <c r="B20" s="147"/>
      <c r="C20" s="147"/>
      <c r="D20" s="147"/>
      <c r="E20" s="147"/>
      <c r="F20" s="147"/>
      <c r="G20" s="147"/>
      <c r="H20" s="147"/>
      <c r="I20" s="148"/>
    </row>
    <row r="21" spans="1:9" ht="15.75" customHeight="1">
      <c r="A21" s="146"/>
      <c r="B21" s="147"/>
      <c r="C21" s="147"/>
      <c r="D21" s="147"/>
      <c r="E21" s="147"/>
      <c r="F21" s="147"/>
      <c r="G21" s="147"/>
      <c r="H21" s="147"/>
      <c r="I21" s="148"/>
    </row>
    <row r="22" spans="1:9" ht="15.75" customHeight="1">
      <c r="A22" s="146"/>
      <c r="B22" s="147"/>
      <c r="C22" s="147"/>
      <c r="D22" s="147"/>
      <c r="E22" s="147"/>
      <c r="F22" s="147"/>
      <c r="G22" s="147"/>
      <c r="H22" s="147"/>
      <c r="I22" s="148"/>
    </row>
    <row r="23" spans="1:9" ht="15.75" customHeight="1">
      <c r="A23" s="146"/>
      <c r="B23" s="147"/>
      <c r="C23" s="147"/>
      <c r="D23" s="147"/>
      <c r="E23" s="147"/>
      <c r="F23" s="147"/>
      <c r="G23" s="147"/>
      <c r="H23" s="147"/>
      <c r="I23" s="148"/>
    </row>
    <row r="24" spans="1:9" ht="15.75" customHeight="1">
      <c r="A24" s="146"/>
      <c r="B24" s="147"/>
      <c r="C24" s="147"/>
      <c r="D24" s="147"/>
      <c r="E24" s="147"/>
      <c r="F24" s="147"/>
      <c r="G24" s="147"/>
      <c r="H24" s="147"/>
      <c r="I24" s="148"/>
    </row>
    <row r="25" spans="1:9" ht="15.75" customHeight="1">
      <c r="A25" s="149"/>
      <c r="B25" s="150"/>
      <c r="C25" s="150"/>
      <c r="D25" s="150"/>
      <c r="E25" s="150"/>
      <c r="F25" s="150"/>
      <c r="G25" s="150"/>
      <c r="H25" s="150"/>
      <c r="I25" s="151"/>
    </row>
    <row r="26" spans="1:9" ht="15.75">
      <c r="A26" s="1"/>
      <c r="B26" s="93"/>
      <c r="C26" s="93"/>
      <c r="D26" s="93"/>
      <c r="E26" s="93"/>
      <c r="F26" s="93"/>
      <c r="G26" s="93"/>
      <c r="H26" s="93"/>
      <c r="I26" s="93"/>
    </row>
    <row r="27" spans="1:9" ht="36.75" customHeight="1">
      <c r="A27" s="185" t="s">
        <v>239</v>
      </c>
      <c r="B27" s="186"/>
      <c r="C27" s="186"/>
      <c r="D27" s="186"/>
      <c r="E27" s="186"/>
      <c r="F27" s="186"/>
      <c r="G27" s="186"/>
      <c r="H27" s="186"/>
      <c r="I27" s="187"/>
    </row>
    <row r="28" spans="1:9" ht="15.75" customHeight="1">
      <c r="A28" s="191"/>
      <c r="B28" s="144"/>
      <c r="C28" s="144"/>
      <c r="D28" s="144"/>
      <c r="E28" s="144"/>
      <c r="F28" s="144"/>
      <c r="G28" s="144"/>
      <c r="H28" s="144"/>
      <c r="I28" s="145"/>
    </row>
    <row r="29" spans="1:9" ht="15.75" customHeight="1">
      <c r="A29" s="146"/>
      <c r="B29" s="147"/>
      <c r="C29" s="147"/>
      <c r="D29" s="147"/>
      <c r="E29" s="147"/>
      <c r="F29" s="147"/>
      <c r="G29" s="147"/>
      <c r="H29" s="147"/>
      <c r="I29" s="148"/>
    </row>
    <row r="30" spans="1:9" ht="15.75" customHeight="1">
      <c r="A30" s="146"/>
      <c r="B30" s="147"/>
      <c r="C30" s="147"/>
      <c r="D30" s="147"/>
      <c r="E30" s="147"/>
      <c r="F30" s="147"/>
      <c r="G30" s="147"/>
      <c r="H30" s="147"/>
      <c r="I30" s="148"/>
    </row>
    <row r="31" spans="1:9" ht="15.75" customHeight="1">
      <c r="A31" s="146"/>
      <c r="B31" s="147"/>
      <c r="C31" s="147"/>
      <c r="D31" s="147"/>
      <c r="E31" s="147"/>
      <c r="F31" s="147"/>
      <c r="G31" s="147"/>
      <c r="H31" s="147"/>
      <c r="I31" s="148"/>
    </row>
    <row r="32" spans="1:9" ht="15.75" customHeight="1">
      <c r="A32" s="146"/>
      <c r="B32" s="147"/>
      <c r="C32" s="147"/>
      <c r="D32" s="147"/>
      <c r="E32" s="147"/>
      <c r="F32" s="147"/>
      <c r="G32" s="147"/>
      <c r="H32" s="147"/>
      <c r="I32" s="148"/>
    </row>
    <row r="33" spans="1:9" ht="15.75" customHeight="1">
      <c r="A33" s="146"/>
      <c r="B33" s="147"/>
      <c r="C33" s="147"/>
      <c r="D33" s="147"/>
      <c r="E33" s="147"/>
      <c r="F33" s="147"/>
      <c r="G33" s="147"/>
      <c r="H33" s="147"/>
      <c r="I33" s="148"/>
    </row>
    <row r="34" spans="1:9" ht="15.75" customHeight="1">
      <c r="A34" s="146"/>
      <c r="B34" s="147"/>
      <c r="C34" s="147"/>
      <c r="D34" s="147"/>
      <c r="E34" s="147"/>
      <c r="F34" s="147"/>
      <c r="G34" s="147"/>
      <c r="H34" s="147"/>
      <c r="I34" s="148"/>
    </row>
    <row r="35" spans="1:9" ht="15.75" customHeight="1">
      <c r="A35" s="146"/>
      <c r="B35" s="147"/>
      <c r="C35" s="147"/>
      <c r="D35" s="147"/>
      <c r="E35" s="147"/>
      <c r="F35" s="147"/>
      <c r="G35" s="147"/>
      <c r="H35" s="147"/>
      <c r="I35" s="148"/>
    </row>
    <row r="36" spans="1:9" ht="15.75" customHeight="1">
      <c r="A36" s="149"/>
      <c r="B36" s="150"/>
      <c r="C36" s="150"/>
      <c r="D36" s="150"/>
      <c r="E36" s="150"/>
      <c r="F36" s="150"/>
      <c r="G36" s="150"/>
      <c r="H36" s="150"/>
      <c r="I36" s="151"/>
    </row>
    <row r="38" spans="1:9" ht="33" customHeight="1">
      <c r="A38" s="185" t="s">
        <v>240</v>
      </c>
      <c r="B38" s="186"/>
      <c r="C38" s="186"/>
      <c r="D38" s="186"/>
      <c r="E38" s="186"/>
      <c r="F38" s="186"/>
      <c r="G38" s="186"/>
      <c r="H38" s="186"/>
      <c r="I38" s="187"/>
    </row>
    <row r="39" spans="1:9" ht="15.75" customHeight="1">
      <c r="A39" s="384"/>
      <c r="B39" s="385"/>
      <c r="C39" s="385"/>
      <c r="D39" s="385"/>
      <c r="E39" s="385"/>
      <c r="F39" s="385"/>
      <c r="G39" s="385"/>
      <c r="H39" s="385"/>
      <c r="I39" s="386"/>
    </row>
    <row r="40" spans="1:9" ht="15.75" customHeight="1">
      <c r="A40" s="387"/>
      <c r="B40" s="388"/>
      <c r="C40" s="388"/>
      <c r="D40" s="388"/>
      <c r="E40" s="388"/>
      <c r="F40" s="388"/>
      <c r="G40" s="388"/>
      <c r="H40" s="388"/>
      <c r="I40" s="389"/>
    </row>
    <row r="41" spans="1:9" ht="15.75" customHeight="1">
      <c r="A41" s="387"/>
      <c r="B41" s="388"/>
      <c r="C41" s="388"/>
      <c r="D41" s="388"/>
      <c r="E41" s="388"/>
      <c r="F41" s="388"/>
      <c r="G41" s="388"/>
      <c r="H41" s="388"/>
      <c r="I41" s="389"/>
    </row>
    <row r="42" spans="1:9" ht="15.75" customHeight="1">
      <c r="A42" s="387"/>
      <c r="B42" s="388"/>
      <c r="C42" s="388"/>
      <c r="D42" s="388"/>
      <c r="E42" s="388"/>
      <c r="F42" s="388"/>
      <c r="G42" s="388"/>
      <c r="H42" s="388"/>
      <c r="I42" s="389"/>
    </row>
    <row r="43" spans="1:9" ht="15.75" customHeight="1">
      <c r="A43" s="387"/>
      <c r="B43" s="388"/>
      <c r="C43" s="388"/>
      <c r="D43" s="388"/>
      <c r="E43" s="388"/>
      <c r="F43" s="388"/>
      <c r="G43" s="388"/>
      <c r="H43" s="388"/>
      <c r="I43" s="389"/>
    </row>
    <row r="44" spans="1:9" ht="15.75" customHeight="1">
      <c r="A44" s="387"/>
      <c r="B44" s="388"/>
      <c r="C44" s="388"/>
      <c r="D44" s="388"/>
      <c r="E44" s="388"/>
      <c r="F44" s="388"/>
      <c r="G44" s="388"/>
      <c r="H44" s="388"/>
      <c r="I44" s="389"/>
    </row>
    <row r="45" spans="1:9" ht="15.75" customHeight="1">
      <c r="A45" s="387"/>
      <c r="B45" s="388"/>
      <c r="C45" s="388"/>
      <c r="D45" s="388"/>
      <c r="E45" s="388"/>
      <c r="F45" s="388"/>
      <c r="G45" s="388"/>
      <c r="H45" s="388"/>
      <c r="I45" s="389"/>
    </row>
    <row r="46" spans="1:9" ht="15.75" customHeight="1">
      <c r="A46" s="387"/>
      <c r="B46" s="388"/>
      <c r="C46" s="388"/>
      <c r="D46" s="388"/>
      <c r="E46" s="388"/>
      <c r="F46" s="388"/>
      <c r="G46" s="388"/>
      <c r="H46" s="388"/>
      <c r="I46" s="389"/>
    </row>
    <row r="47" spans="1:9" ht="15.75" customHeight="1">
      <c r="A47" s="387"/>
      <c r="B47" s="388"/>
      <c r="C47" s="388"/>
      <c r="D47" s="388"/>
      <c r="E47" s="388"/>
      <c r="F47" s="388"/>
      <c r="G47" s="388"/>
      <c r="H47" s="388"/>
      <c r="I47" s="389"/>
    </row>
    <row r="48" spans="1:9" ht="15.75" customHeight="1">
      <c r="A48" s="390"/>
      <c r="B48" s="391"/>
      <c r="C48" s="391"/>
      <c r="D48" s="391"/>
      <c r="E48" s="391"/>
      <c r="F48" s="391"/>
      <c r="G48" s="391"/>
      <c r="H48" s="391"/>
      <c r="I48" s="392"/>
    </row>
    <row r="66" spans="6:6">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66"/>
  <sheetViews>
    <sheetView workbookViewId="0">
      <selection activeCell="B55" sqref="B55"/>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10">
      <c r="A1" s="93" t="str">
        <f>+'Cover Page'!$B$29</f>
        <v>Annual Performance Report 2022</v>
      </c>
      <c r="B1" s="93"/>
      <c r="C1" s="93"/>
      <c r="D1" s="93"/>
      <c r="E1" s="93" t="str">
        <f>+'Cover Page'!$B$33</f>
        <v>Newlincs Development IWMF</v>
      </c>
      <c r="F1" s="93"/>
      <c r="G1" s="93"/>
      <c r="H1" s="93"/>
      <c r="I1" s="93"/>
      <c r="J1" s="93"/>
    </row>
    <row r="3" spans="1:10" ht="15.75">
      <c r="A3" s="1" t="s">
        <v>241</v>
      </c>
      <c r="B3" s="93"/>
      <c r="C3" s="93"/>
      <c r="D3" s="93"/>
      <c r="E3" s="93"/>
      <c r="F3" s="93"/>
      <c r="G3" s="93"/>
      <c r="H3" s="93"/>
      <c r="I3" s="93"/>
      <c r="J3" s="93"/>
    </row>
    <row r="4" spans="1:10" ht="15.75">
      <c r="A4" s="1"/>
      <c r="B4" s="93"/>
      <c r="C4" s="93"/>
      <c r="D4" s="93"/>
      <c r="E4" s="93"/>
      <c r="F4" s="93"/>
      <c r="G4" s="93"/>
      <c r="H4" s="93"/>
      <c r="I4" s="93"/>
      <c r="J4" s="93"/>
    </row>
    <row r="5" spans="1:10" s="3" customFormat="1" ht="28.5" customHeight="1">
      <c r="A5" s="48" t="s">
        <v>242</v>
      </c>
      <c r="B5" s="49"/>
      <c r="C5" s="49"/>
      <c r="D5" s="49"/>
      <c r="E5" s="49"/>
      <c r="F5" s="49"/>
      <c r="G5" s="49"/>
      <c r="H5" s="49"/>
      <c r="I5" s="50"/>
    </row>
    <row r="6" spans="1:10" s="3" customFormat="1" ht="15.75" customHeight="1">
      <c r="A6" s="188" t="s">
        <v>52</v>
      </c>
      <c r="B6" s="190"/>
      <c r="C6" s="188" t="s">
        <v>243</v>
      </c>
      <c r="D6" s="189"/>
      <c r="E6" s="189"/>
      <c r="F6" s="189"/>
      <c r="G6" s="189"/>
      <c r="H6" s="189"/>
      <c r="I6" s="190"/>
    </row>
    <row r="7" spans="1:10" s="3" customFormat="1" ht="15.75" customHeight="1">
      <c r="A7" s="191"/>
      <c r="B7" s="145"/>
      <c r="C7" s="191" t="s">
        <v>244</v>
      </c>
      <c r="D7" s="192"/>
      <c r="E7" s="192"/>
      <c r="F7" s="192"/>
      <c r="G7" s="192"/>
      <c r="H7" s="192"/>
      <c r="I7" s="192"/>
      <c r="J7" s="107"/>
    </row>
    <row r="8" spans="1:10" s="3" customFormat="1" ht="15.75" customHeight="1">
      <c r="A8" s="149"/>
      <c r="B8" s="151"/>
      <c r="C8" s="193"/>
      <c r="D8" s="194"/>
      <c r="E8" s="194"/>
      <c r="F8" s="194"/>
      <c r="G8" s="194"/>
      <c r="H8" s="194"/>
      <c r="I8" s="194"/>
      <c r="J8" s="107"/>
    </row>
    <row r="9" spans="1:10" s="3" customFormat="1" ht="15.75" customHeight="1">
      <c r="A9" s="191"/>
      <c r="B9" s="145"/>
      <c r="C9" s="191"/>
      <c r="D9" s="144"/>
      <c r="E9" s="144"/>
      <c r="F9" s="144"/>
      <c r="G9" s="144"/>
      <c r="H9" s="144"/>
      <c r="I9" s="145"/>
    </row>
    <row r="10" spans="1:10" s="3" customFormat="1" ht="15.75" customHeight="1">
      <c r="A10" s="149"/>
      <c r="B10" s="151"/>
      <c r="C10" s="149"/>
      <c r="D10" s="150"/>
      <c r="E10" s="150"/>
      <c r="F10" s="150"/>
      <c r="G10" s="150"/>
      <c r="H10" s="150"/>
      <c r="I10" s="151"/>
    </row>
    <row r="11" spans="1:10" s="3" customFormat="1" ht="15.75" customHeight="1">
      <c r="A11" s="191"/>
      <c r="B11" s="145"/>
      <c r="C11" s="191"/>
      <c r="D11" s="144"/>
      <c r="E11" s="144"/>
      <c r="F11" s="144"/>
      <c r="G11" s="144"/>
      <c r="H11" s="144"/>
      <c r="I11" s="145"/>
    </row>
    <row r="12" spans="1:10" s="3" customFormat="1" ht="15.75" customHeight="1">
      <c r="A12" s="149"/>
      <c r="B12" s="151"/>
      <c r="C12" s="149"/>
      <c r="D12" s="150"/>
      <c r="E12" s="150"/>
      <c r="F12" s="150"/>
      <c r="G12" s="150"/>
      <c r="H12" s="150"/>
      <c r="I12" s="151"/>
    </row>
    <row r="13" spans="1:10" s="3" customFormat="1" ht="15.75" customHeight="1">
      <c r="A13" s="191"/>
      <c r="B13" s="145"/>
      <c r="C13" s="191"/>
      <c r="D13" s="144"/>
      <c r="E13" s="144"/>
      <c r="F13" s="144"/>
      <c r="G13" s="144"/>
      <c r="H13" s="144"/>
      <c r="I13" s="145"/>
    </row>
    <row r="14" spans="1:10" s="3" customFormat="1" ht="15.75" customHeight="1">
      <c r="A14" s="149"/>
      <c r="B14" s="151"/>
      <c r="C14" s="149"/>
      <c r="D14" s="150"/>
      <c r="E14" s="150"/>
      <c r="F14" s="150"/>
      <c r="G14" s="150"/>
      <c r="H14" s="150"/>
      <c r="I14" s="151"/>
    </row>
    <row r="15" spans="1:10" s="3" customFormat="1" ht="14.25"/>
    <row r="16" spans="1:10" s="47" customFormat="1" ht="33.75" customHeight="1">
      <c r="A16" s="185" t="s">
        <v>245</v>
      </c>
      <c r="B16" s="186"/>
      <c r="C16" s="186"/>
      <c r="D16" s="186"/>
      <c r="E16" s="186"/>
      <c r="F16" s="186"/>
      <c r="G16" s="186"/>
      <c r="H16" s="186"/>
      <c r="I16" s="187"/>
      <c r="J16" s="393"/>
    </row>
    <row r="17" spans="1:10" ht="15.75" customHeight="1">
      <c r="A17" s="188" t="s">
        <v>52</v>
      </c>
      <c r="B17" s="190"/>
      <c r="C17" s="188" t="s">
        <v>243</v>
      </c>
      <c r="D17" s="189"/>
      <c r="E17" s="189"/>
      <c r="F17" s="189"/>
      <c r="G17" s="189"/>
      <c r="H17" s="189"/>
      <c r="I17" s="189"/>
      <c r="J17" s="93"/>
    </row>
    <row r="18" spans="1:10" ht="15.75" customHeight="1">
      <c r="A18" s="191"/>
      <c r="B18" s="145"/>
      <c r="C18" s="191" t="s">
        <v>246</v>
      </c>
      <c r="D18" s="192"/>
      <c r="E18" s="192"/>
      <c r="F18" s="192"/>
      <c r="G18" s="192"/>
      <c r="H18" s="192"/>
      <c r="I18" s="192"/>
      <c r="J18" s="107"/>
    </row>
    <row r="19" spans="1:10" ht="15.75" customHeight="1">
      <c r="A19" s="149"/>
      <c r="B19" s="151"/>
      <c r="C19" s="193"/>
      <c r="D19" s="194"/>
      <c r="E19" s="194"/>
      <c r="F19" s="194"/>
      <c r="G19" s="194"/>
      <c r="H19" s="194"/>
      <c r="I19" s="194"/>
      <c r="J19" s="107"/>
    </row>
    <row r="20" spans="1:10" ht="15.75" customHeight="1">
      <c r="A20" s="191"/>
      <c r="B20" s="145"/>
      <c r="C20" s="191"/>
      <c r="D20" s="144"/>
      <c r="E20" s="144"/>
      <c r="F20" s="144"/>
      <c r="G20" s="144"/>
      <c r="H20" s="144"/>
      <c r="I20" s="145"/>
      <c r="J20" s="93"/>
    </row>
    <row r="21" spans="1:10" ht="15.75" customHeight="1">
      <c r="A21" s="149"/>
      <c r="B21" s="151"/>
      <c r="C21" s="149"/>
      <c r="D21" s="150"/>
      <c r="E21" s="150"/>
      <c r="F21" s="150"/>
      <c r="G21" s="150"/>
      <c r="H21" s="150"/>
      <c r="I21" s="151"/>
      <c r="J21" s="93"/>
    </row>
    <row r="22" spans="1:10" ht="15.75" customHeight="1">
      <c r="A22" s="191"/>
      <c r="B22" s="145"/>
      <c r="C22" s="191"/>
      <c r="D22" s="144"/>
      <c r="E22" s="144"/>
      <c r="F22" s="144"/>
      <c r="G22" s="144"/>
      <c r="H22" s="144"/>
      <c r="I22" s="145"/>
      <c r="J22" s="93"/>
    </row>
    <row r="23" spans="1:10" ht="15.75" customHeight="1">
      <c r="A23" s="149"/>
      <c r="B23" s="151"/>
      <c r="C23" s="149"/>
      <c r="D23" s="150"/>
      <c r="E23" s="150"/>
      <c r="F23" s="150"/>
      <c r="G23" s="150"/>
      <c r="H23" s="150"/>
      <c r="I23" s="151"/>
      <c r="J23" s="93"/>
    </row>
    <row r="24" spans="1:10" ht="15.75" customHeight="1">
      <c r="A24" s="191"/>
      <c r="B24" s="145"/>
      <c r="C24" s="191"/>
      <c r="D24" s="144"/>
      <c r="E24" s="144"/>
      <c r="F24" s="144"/>
      <c r="G24" s="144"/>
      <c r="H24" s="144"/>
      <c r="I24" s="145"/>
      <c r="J24" s="93"/>
    </row>
    <row r="25" spans="1:10" ht="15.75" customHeight="1">
      <c r="A25" s="149"/>
      <c r="B25" s="151"/>
      <c r="C25" s="149"/>
      <c r="D25" s="150"/>
      <c r="E25" s="150"/>
      <c r="F25" s="150"/>
      <c r="G25" s="150"/>
      <c r="H25" s="150"/>
      <c r="I25" s="151"/>
      <c r="J25" s="93"/>
    </row>
    <row r="26" spans="1:10" ht="15.75" customHeight="1">
      <c r="A26" s="191"/>
      <c r="B26" s="145"/>
      <c r="C26" s="191"/>
      <c r="D26" s="144"/>
      <c r="E26" s="144"/>
      <c r="F26" s="144"/>
      <c r="G26" s="144"/>
      <c r="H26" s="144"/>
      <c r="I26" s="145"/>
      <c r="J26" s="93"/>
    </row>
    <row r="27" spans="1:10" ht="15.75" customHeight="1">
      <c r="A27" s="149"/>
      <c r="B27" s="151"/>
      <c r="C27" s="149"/>
      <c r="D27" s="150"/>
      <c r="E27" s="150"/>
      <c r="F27" s="150"/>
      <c r="G27" s="150"/>
      <c r="H27" s="150"/>
      <c r="I27" s="151"/>
      <c r="J27" s="93"/>
    </row>
    <row r="28" spans="1:10" ht="15.75">
      <c r="A28" s="1"/>
      <c r="B28" s="93"/>
      <c r="C28" s="93"/>
      <c r="D28" s="93"/>
      <c r="E28" s="93"/>
      <c r="F28" s="93"/>
      <c r="G28" s="93"/>
      <c r="H28" s="93"/>
      <c r="I28" s="93"/>
      <c r="J28" s="93"/>
    </row>
    <row r="29" spans="1:10" ht="36.75" customHeight="1">
      <c r="A29" s="185" t="s">
        <v>247</v>
      </c>
      <c r="B29" s="186"/>
      <c r="C29" s="186"/>
      <c r="D29" s="186"/>
      <c r="E29" s="186"/>
      <c r="F29" s="186"/>
      <c r="G29" s="186"/>
      <c r="H29" s="186"/>
      <c r="I29" s="187"/>
      <c r="J29" s="93"/>
    </row>
    <row r="66" spans="6:6">
      <c r="F66" s="3"/>
    </row>
  </sheetData>
  <mergeCells count="24">
    <mergeCell ref="A17:B17"/>
    <mergeCell ref="C17:I17"/>
    <mergeCell ref="A6:B6"/>
    <mergeCell ref="C6:I6"/>
    <mergeCell ref="A7:B8"/>
    <mergeCell ref="C7:I8"/>
    <mergeCell ref="A9:B10"/>
    <mergeCell ref="C9:I10"/>
    <mergeCell ref="A11:B12"/>
    <mergeCell ref="C11:I12"/>
    <mergeCell ref="A13:B14"/>
    <mergeCell ref="C13:I14"/>
    <mergeCell ref="A16:I16"/>
    <mergeCell ref="A18:B19"/>
    <mergeCell ref="C18:I19"/>
    <mergeCell ref="A20:B21"/>
    <mergeCell ref="C20:I21"/>
    <mergeCell ref="A22:B23"/>
    <mergeCell ref="C22:I23"/>
    <mergeCell ref="A24:B25"/>
    <mergeCell ref="C24:I25"/>
    <mergeCell ref="A26:B27"/>
    <mergeCell ref="C26:I27"/>
    <mergeCell ref="A29:I29"/>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O24"/>
  <sheetViews>
    <sheetView workbookViewId="0">
      <selection activeCell="B55" sqref="B55"/>
    </sheetView>
  </sheetViews>
  <sheetFormatPr defaultColWidth="8.85546875" defaultRowHeight="15"/>
  <cols>
    <col min="1" max="1" width="36.7109375" style="93" customWidth="1"/>
    <col min="2" max="2" width="17.7109375" style="93" customWidth="1"/>
    <col min="3" max="3" width="41.42578125" style="93" customWidth="1"/>
    <col min="4" max="14" width="8.85546875" style="93"/>
    <col min="15" max="15" width="9" style="93" customWidth="1"/>
    <col min="16" max="16384" width="8.85546875" style="93"/>
  </cols>
  <sheetData>
    <row r="1" spans="1:15">
      <c r="A1" s="93" t="str">
        <f>+'Cover Page'!$B$29</f>
        <v>Annual Performance Report 2022</v>
      </c>
      <c r="C1" s="93" t="str">
        <f>+'Cover Page'!$B$33</f>
        <v>Newlincs Development IWMF</v>
      </c>
    </row>
    <row r="2" spans="1:15" ht="10.15" customHeight="1"/>
    <row r="3" spans="1:15" ht="15.75">
      <c r="A3" s="1" t="s">
        <v>248</v>
      </c>
      <c r="E3" s="81" t="s">
        <v>3</v>
      </c>
    </row>
    <row r="4" spans="1:15" ht="9.4" customHeight="1"/>
    <row r="5" spans="1:15">
      <c r="A5" s="195" t="s">
        <v>249</v>
      </c>
      <c r="B5" s="196"/>
      <c r="C5" s="196"/>
    </row>
    <row r="6" spans="1:15" ht="30">
      <c r="A6" s="94" t="s">
        <v>250</v>
      </c>
      <c r="B6" s="98" t="s">
        <v>251</v>
      </c>
      <c r="C6" s="111">
        <v>46032.5</v>
      </c>
    </row>
    <row r="7" spans="1:15" ht="45">
      <c r="A7" s="94" t="s">
        <v>252</v>
      </c>
      <c r="B7" s="98" t="s">
        <v>251</v>
      </c>
      <c r="C7" s="97">
        <v>0.89800000000000002</v>
      </c>
    </row>
    <row r="8" spans="1:15" ht="45">
      <c r="A8" s="94" t="s">
        <v>253</v>
      </c>
      <c r="B8" s="98" t="s">
        <v>251</v>
      </c>
      <c r="C8" s="112">
        <v>2.34</v>
      </c>
    </row>
    <row r="9" spans="1:15" ht="89.45" customHeight="1">
      <c r="A9" s="94" t="s">
        <v>254</v>
      </c>
      <c r="B9" s="197" t="s">
        <v>255</v>
      </c>
      <c r="C9" s="198"/>
      <c r="E9" s="203" t="s">
        <v>256</v>
      </c>
      <c r="F9" s="141"/>
      <c r="G9" s="141"/>
      <c r="H9" s="141"/>
      <c r="I9" s="141"/>
      <c r="J9" s="141"/>
      <c r="K9" s="141"/>
      <c r="L9" s="141"/>
      <c r="M9" s="141"/>
      <c r="N9" s="141"/>
      <c r="O9" s="141"/>
    </row>
    <row r="10" spans="1:15" ht="8.65" customHeight="1">
      <c r="A10" s="95"/>
      <c r="B10" s="96"/>
      <c r="C10" s="96"/>
    </row>
    <row r="11" spans="1:15">
      <c r="A11" s="199" t="s">
        <v>257</v>
      </c>
      <c r="B11" s="196"/>
      <c r="C11" s="196"/>
    </row>
    <row r="12" spans="1:15" ht="33.4" customHeight="1">
      <c r="A12" s="94" t="s">
        <v>258</v>
      </c>
      <c r="B12" s="98" t="s">
        <v>251</v>
      </c>
      <c r="C12" s="114" t="s">
        <v>259</v>
      </c>
    </row>
    <row r="13" spans="1:15" ht="101.45" customHeight="1">
      <c r="A13" s="94" t="s">
        <v>260</v>
      </c>
      <c r="B13" s="200" t="s">
        <v>261</v>
      </c>
      <c r="C13" s="201"/>
      <c r="E13" s="202" t="s">
        <v>262</v>
      </c>
      <c r="F13" s="141"/>
      <c r="G13" s="141"/>
      <c r="H13" s="141"/>
      <c r="I13" s="141"/>
      <c r="J13" s="141"/>
      <c r="K13" s="141"/>
      <c r="L13" s="141"/>
      <c r="M13" s="141"/>
      <c r="N13" s="141"/>
      <c r="O13" s="141"/>
    </row>
    <row r="14" spans="1:15" ht="58.9" customHeight="1">
      <c r="A14" s="94" t="s">
        <v>263</v>
      </c>
      <c r="B14" s="99" t="s">
        <v>264</v>
      </c>
      <c r="C14" s="113">
        <v>46843.56</v>
      </c>
    </row>
    <row r="15" spans="1:15" ht="6.4" customHeight="1">
      <c r="A15" s="95"/>
      <c r="B15" s="96"/>
      <c r="C15" s="96"/>
    </row>
    <row r="16" spans="1:15" ht="39" customHeight="1">
      <c r="A16" s="195" t="s">
        <v>265</v>
      </c>
      <c r="B16" s="196"/>
      <c r="C16" s="196"/>
    </row>
    <row r="17" spans="1:15" ht="49.15" customHeight="1">
      <c r="A17" s="94" t="s">
        <v>266</v>
      </c>
      <c r="B17" s="98" t="s">
        <v>131</v>
      </c>
      <c r="C17" s="97">
        <v>55.9</v>
      </c>
    </row>
    <row r="18" spans="1:15" ht="147.75" customHeight="1">
      <c r="A18" s="94" t="s">
        <v>267</v>
      </c>
      <c r="B18" s="200" t="s">
        <v>268</v>
      </c>
      <c r="C18" s="201"/>
      <c r="E18" s="202" t="s">
        <v>269</v>
      </c>
      <c r="F18" s="141"/>
      <c r="G18" s="141"/>
      <c r="H18" s="141"/>
      <c r="I18" s="141"/>
      <c r="J18" s="141"/>
      <c r="K18" s="141"/>
      <c r="L18" s="141"/>
      <c r="M18" s="141"/>
      <c r="N18" s="141"/>
      <c r="O18" s="141"/>
    </row>
    <row r="19" spans="1:15" ht="34.15" customHeight="1">
      <c r="A19" s="94" t="s">
        <v>270</v>
      </c>
      <c r="B19" s="98" t="s">
        <v>131</v>
      </c>
      <c r="C19" s="97">
        <v>55.9</v>
      </c>
    </row>
    <row r="20" spans="1:15" ht="92.45" customHeight="1">
      <c r="A20" s="94" t="s">
        <v>271</v>
      </c>
      <c r="B20" s="200" t="s">
        <v>272</v>
      </c>
      <c r="C20" s="201"/>
      <c r="E20" s="202" t="s">
        <v>273</v>
      </c>
      <c r="F20" s="141"/>
      <c r="G20" s="141"/>
      <c r="H20" s="141"/>
      <c r="I20" s="141"/>
      <c r="J20" s="141"/>
      <c r="K20" s="141"/>
      <c r="L20" s="141"/>
      <c r="M20" s="141"/>
      <c r="N20" s="141"/>
      <c r="O20" s="141"/>
    </row>
    <row r="21" spans="1:15" ht="10.15" customHeight="1"/>
    <row r="22" spans="1:15">
      <c r="A22" s="93" t="s">
        <v>274</v>
      </c>
    </row>
    <row r="23" spans="1:15">
      <c r="A23" s="378"/>
      <c r="B23" s="378"/>
      <c r="C23" s="378"/>
    </row>
    <row r="24" spans="1:15" ht="64.900000000000006" customHeight="1">
      <c r="A24" s="378"/>
      <c r="B24" s="378"/>
      <c r="C24" s="378"/>
    </row>
  </sheetData>
  <mergeCells count="12">
    <mergeCell ref="E20:O20"/>
    <mergeCell ref="E18:O18"/>
    <mergeCell ref="E13:O13"/>
    <mergeCell ref="E9:O9"/>
    <mergeCell ref="B20:C20"/>
    <mergeCell ref="A23:C24"/>
    <mergeCell ref="A5:C5"/>
    <mergeCell ref="B9:C9"/>
    <mergeCell ref="A11:C11"/>
    <mergeCell ref="B13:C13"/>
    <mergeCell ref="A16:C16"/>
    <mergeCell ref="B18:C18"/>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57150</xdr:colOff>
                <xdr:row>1</xdr:row>
                <xdr:rowOff>38100</xdr:rowOff>
              </from>
              <to>
                <xdr:col>8</xdr:col>
                <xdr:colOff>361950</xdr:colOff>
                <xdr:row>7</xdr:row>
                <xdr:rowOff>323850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workbookViewId="0">
      <selection activeCell="B55" sqref="B55"/>
    </sheetView>
  </sheetViews>
  <sheetFormatPr defaultColWidth="9.28515625" defaultRowHeight="15"/>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93" t="str">
        <f>+'Cover Page'!$B$29</f>
        <v>Annual Performance Report 2022</v>
      </c>
      <c r="B1" s="93"/>
      <c r="C1" s="93"/>
      <c r="D1" s="93"/>
      <c r="E1" s="93" t="str">
        <f>+'Cover Page'!$B$33</f>
        <v>Newlincs Development IWMF</v>
      </c>
      <c r="F1" s="93"/>
      <c r="G1" s="93"/>
    </row>
    <row r="3" spans="1:7" ht="15.75">
      <c r="A3" s="1" t="s">
        <v>275</v>
      </c>
      <c r="B3" s="93"/>
      <c r="C3" s="93"/>
      <c r="D3" s="93"/>
      <c r="E3" s="93"/>
      <c r="F3" s="93"/>
      <c r="G3" s="93"/>
    </row>
    <row r="4" spans="1:7" ht="15.75">
      <c r="A4" s="1"/>
      <c r="B4" s="93"/>
      <c r="C4" s="93"/>
      <c r="D4" s="93"/>
      <c r="E4" s="93"/>
      <c r="F4" s="93"/>
      <c r="G4" s="93"/>
    </row>
    <row r="5" spans="1:7" s="3" customFormat="1" ht="21.75" customHeight="1">
      <c r="A5" s="48" t="s">
        <v>276</v>
      </c>
      <c r="B5" s="49"/>
      <c r="C5" s="49"/>
      <c r="D5" s="49"/>
      <c r="E5" s="49"/>
      <c r="F5" s="49"/>
      <c r="G5" s="50"/>
    </row>
    <row r="6" spans="1:7" s="3" customFormat="1" ht="15.75" customHeight="1">
      <c r="A6" s="131" t="s">
        <v>277</v>
      </c>
      <c r="B6" s="144"/>
      <c r="C6" s="144"/>
      <c r="D6" s="144"/>
      <c r="E6" s="144"/>
      <c r="F6" s="144"/>
      <c r="G6" s="145"/>
    </row>
    <row r="7" spans="1:7" s="3" customFormat="1" ht="15.75" customHeight="1">
      <c r="A7" s="149"/>
      <c r="B7" s="150"/>
      <c r="C7" s="150"/>
      <c r="D7" s="150"/>
      <c r="E7" s="150"/>
      <c r="F7" s="150"/>
      <c r="G7" s="151"/>
    </row>
    <row r="8" spans="1:7" s="3" customFormat="1" ht="15.75" customHeight="1">
      <c r="A8" s="131" t="s">
        <v>278</v>
      </c>
      <c r="B8" s="132"/>
      <c r="C8" s="132"/>
      <c r="D8" s="132"/>
      <c r="E8" s="132"/>
      <c r="F8" s="132"/>
      <c r="G8" s="133"/>
    </row>
    <row r="9" spans="1:7" s="3" customFormat="1" ht="15.75" customHeight="1">
      <c r="A9" s="137"/>
      <c r="B9" s="138"/>
      <c r="C9" s="138"/>
      <c r="D9" s="138"/>
      <c r="E9" s="138"/>
      <c r="F9" s="138"/>
      <c r="G9" s="139"/>
    </row>
    <row r="10" spans="1:7" s="3" customFormat="1" ht="15.75" customHeight="1">
      <c r="A10" s="131"/>
      <c r="B10" s="132"/>
      <c r="C10" s="132"/>
      <c r="D10" s="132"/>
      <c r="E10" s="132"/>
      <c r="F10" s="132"/>
      <c r="G10" s="133"/>
    </row>
    <row r="11" spans="1:7" s="3" customFormat="1" ht="15.75" customHeight="1">
      <c r="A11" s="137"/>
      <c r="B11" s="138"/>
      <c r="C11" s="138"/>
      <c r="D11" s="138"/>
      <c r="E11" s="138"/>
      <c r="F11" s="138"/>
      <c r="G11" s="139"/>
    </row>
    <row r="12" spans="1:7" s="3" customFormat="1" ht="14.25"/>
    <row r="13" spans="1:7" s="47" customFormat="1" ht="33.75" customHeight="1">
      <c r="A13" s="185" t="s">
        <v>279</v>
      </c>
      <c r="B13" s="186"/>
      <c r="C13" s="186"/>
      <c r="D13" s="186"/>
      <c r="E13" s="186"/>
      <c r="F13" s="186"/>
      <c r="G13" s="187"/>
    </row>
    <row r="14" spans="1:7" ht="15.75" customHeight="1">
      <c r="A14" s="188" t="s">
        <v>280</v>
      </c>
      <c r="B14" s="190"/>
      <c r="C14" s="188" t="s">
        <v>243</v>
      </c>
      <c r="D14" s="189"/>
      <c r="E14" s="189"/>
      <c r="F14" s="189"/>
      <c r="G14" s="189"/>
    </row>
    <row r="15" spans="1:7" ht="15.75" customHeight="1">
      <c r="A15" s="208" t="s">
        <v>281</v>
      </c>
      <c r="B15" s="394"/>
      <c r="C15" s="209" t="s">
        <v>282</v>
      </c>
      <c r="D15" s="395"/>
      <c r="E15" s="395"/>
      <c r="F15" s="395"/>
      <c r="G15" s="396"/>
    </row>
    <row r="16" spans="1:7" ht="15.75" customHeight="1">
      <c r="A16" s="397"/>
      <c r="B16" s="398"/>
      <c r="C16" s="399"/>
      <c r="D16" s="400"/>
      <c r="E16" s="400"/>
      <c r="F16" s="400"/>
      <c r="G16" s="401"/>
    </row>
    <row r="17" spans="1:11" ht="15.75" customHeight="1">
      <c r="A17" s="208" t="s">
        <v>283</v>
      </c>
      <c r="B17" s="394"/>
      <c r="C17" s="209" t="s">
        <v>282</v>
      </c>
      <c r="D17" s="395"/>
      <c r="E17" s="395"/>
      <c r="F17" s="395"/>
      <c r="G17" s="396"/>
      <c r="H17" s="93"/>
      <c r="I17" s="93"/>
      <c r="J17" s="93"/>
      <c r="K17" s="93"/>
    </row>
    <row r="18" spans="1:11" ht="15.75" customHeight="1">
      <c r="A18" s="397"/>
      <c r="B18" s="398"/>
      <c r="C18" s="399"/>
      <c r="D18" s="400"/>
      <c r="E18" s="400"/>
      <c r="F18" s="400"/>
      <c r="G18" s="401"/>
      <c r="H18" s="93"/>
      <c r="I18" s="93"/>
      <c r="J18" s="93"/>
      <c r="K18" s="93"/>
    </row>
    <row r="19" spans="1:11" ht="15.75" customHeight="1">
      <c r="A19" s="208" t="s">
        <v>284</v>
      </c>
      <c r="B19" s="394"/>
      <c r="C19" s="209" t="s">
        <v>282</v>
      </c>
      <c r="D19" s="395"/>
      <c r="E19" s="395"/>
      <c r="F19" s="395"/>
      <c r="G19" s="396"/>
      <c r="H19" s="93"/>
      <c r="I19" s="93"/>
      <c r="J19" s="93"/>
      <c r="K19" s="93"/>
    </row>
    <row r="20" spans="1:11" ht="15.75" customHeight="1">
      <c r="A20" s="397"/>
      <c r="B20" s="398"/>
      <c r="C20" s="399"/>
      <c r="D20" s="400"/>
      <c r="E20" s="400"/>
      <c r="F20" s="400"/>
      <c r="G20" s="401"/>
      <c r="H20" s="93"/>
      <c r="I20" s="93"/>
      <c r="J20" s="93"/>
      <c r="K20" s="93"/>
    </row>
    <row r="21" spans="1:11" ht="15.75" customHeight="1">
      <c r="A21" s="191"/>
      <c r="B21" s="145"/>
      <c r="C21" s="191"/>
      <c r="D21" s="144"/>
      <c r="E21" s="144"/>
      <c r="F21" s="144"/>
      <c r="G21" s="145"/>
      <c r="H21" s="93"/>
      <c r="I21" s="93"/>
      <c r="J21" s="93"/>
      <c r="K21" s="93"/>
    </row>
    <row r="22" spans="1:11" ht="15.75" customHeight="1">
      <c r="A22" s="149"/>
      <c r="B22" s="151"/>
      <c r="C22" s="149"/>
      <c r="D22" s="150"/>
      <c r="E22" s="150"/>
      <c r="F22" s="150"/>
      <c r="G22" s="151"/>
      <c r="H22" s="93"/>
      <c r="I22" s="93"/>
      <c r="J22" s="93"/>
      <c r="K22" s="93"/>
    </row>
    <row r="23" spans="1:11" ht="15.75" customHeight="1">
      <c r="A23" s="191"/>
      <c r="B23" s="145"/>
      <c r="C23" s="191"/>
      <c r="D23" s="144"/>
      <c r="E23" s="144"/>
      <c r="F23" s="144"/>
      <c r="G23" s="145"/>
      <c r="H23" s="93"/>
      <c r="I23" s="93"/>
      <c r="J23" s="93"/>
      <c r="K23" s="93"/>
    </row>
    <row r="24" spans="1:11" ht="15.75" customHeight="1">
      <c r="A24" s="149"/>
      <c r="B24" s="151"/>
      <c r="C24" s="149"/>
      <c r="D24" s="150"/>
      <c r="E24" s="150"/>
      <c r="F24" s="150"/>
      <c r="G24" s="151"/>
      <c r="H24" s="93"/>
      <c r="I24" s="93"/>
      <c r="J24" s="93"/>
      <c r="K24" s="93"/>
    </row>
    <row r="26" spans="1:11">
      <c r="A26" s="295"/>
      <c r="B26" s="295"/>
      <c r="C26" s="295"/>
      <c r="D26" s="295"/>
      <c r="E26" s="295"/>
      <c r="F26" s="295"/>
      <c r="G26" s="295"/>
      <c r="H26" s="93"/>
      <c r="I26" s="93"/>
      <c r="J26" s="93"/>
      <c r="K26" s="93"/>
    </row>
    <row r="27" spans="1:11" s="56" customFormat="1" ht="16.5" customHeight="1">
      <c r="A27" s="207" t="s">
        <v>285</v>
      </c>
      <c r="B27" s="207"/>
      <c r="C27" s="207"/>
      <c r="D27" s="207"/>
      <c r="E27" s="207"/>
      <c r="F27" s="207"/>
      <c r="G27" s="207"/>
    </row>
    <row r="28" spans="1:11" s="12" customFormat="1" ht="17.25" customHeight="1">
      <c r="A28" s="205" t="s">
        <v>286</v>
      </c>
      <c r="B28" s="205"/>
      <c r="C28" s="173" t="s">
        <v>287</v>
      </c>
      <c r="D28" s="173" t="s">
        <v>288</v>
      </c>
      <c r="E28" s="173"/>
      <c r="F28" s="173"/>
      <c r="G28" s="173"/>
      <c r="H28" s="295"/>
      <c r="I28" s="295"/>
      <c r="J28" s="295"/>
      <c r="K28" s="295"/>
    </row>
    <row r="29" spans="1:11" s="12" customFormat="1" ht="17.25" customHeight="1">
      <c r="A29" s="205"/>
      <c r="B29" s="205"/>
      <c r="C29" s="173"/>
      <c r="D29" s="173" t="s">
        <v>289</v>
      </c>
      <c r="E29" s="173"/>
      <c r="F29" s="173" t="s">
        <v>163</v>
      </c>
      <c r="G29" s="173"/>
      <c r="H29" s="295"/>
      <c r="I29" s="295"/>
      <c r="J29" s="295"/>
      <c r="K29" s="295"/>
    </row>
    <row r="30" spans="1:11" s="37" customFormat="1" ht="38.1" customHeight="1">
      <c r="A30" s="167" t="s">
        <v>290</v>
      </c>
      <c r="B30" s="167"/>
      <c r="C30" s="402" t="s">
        <v>291</v>
      </c>
      <c r="D30" s="403">
        <v>3</v>
      </c>
      <c r="E30" s="403"/>
      <c r="F30" s="404"/>
      <c r="G30" s="405"/>
      <c r="H30" s="357"/>
      <c r="I30" s="357"/>
      <c r="J30" s="295"/>
      <c r="K30" s="295"/>
    </row>
    <row r="31" spans="1:11" s="37" customFormat="1" ht="38.1" customHeight="1">
      <c r="A31" s="167" t="s">
        <v>292</v>
      </c>
      <c r="B31" s="167"/>
      <c r="C31" s="373" t="s">
        <v>293</v>
      </c>
      <c r="D31" s="206" t="s">
        <v>294</v>
      </c>
      <c r="E31" s="206"/>
      <c r="F31" s="404"/>
      <c r="G31" s="405"/>
      <c r="H31" s="357"/>
      <c r="I31" s="357"/>
      <c r="J31" s="295"/>
      <c r="K31" s="295"/>
    </row>
    <row r="32" spans="1:11" s="37" customFormat="1" ht="38.1" customHeight="1">
      <c r="A32" s="167" t="s">
        <v>295</v>
      </c>
      <c r="B32" s="167"/>
      <c r="C32" s="373" t="s">
        <v>296</v>
      </c>
      <c r="D32" s="206">
        <v>12</v>
      </c>
      <c r="E32" s="206"/>
      <c r="F32" s="406">
        <v>4</v>
      </c>
      <c r="G32" s="407"/>
      <c r="H32" s="357"/>
      <c r="I32" s="357"/>
      <c r="J32" s="295"/>
      <c r="K32" s="295"/>
    </row>
    <row r="33" spans="1:7" s="37" customFormat="1" ht="38.1" customHeight="1">
      <c r="A33" s="167" t="s">
        <v>297</v>
      </c>
      <c r="B33" s="167"/>
      <c r="C33" s="373" t="s">
        <v>296</v>
      </c>
      <c r="D33" s="206">
        <v>3</v>
      </c>
      <c r="E33" s="206"/>
      <c r="F33" s="404"/>
      <c r="G33" s="405"/>
    </row>
    <row r="35" spans="1:7">
      <c r="A35" s="152" t="s">
        <v>298</v>
      </c>
      <c r="B35" s="152"/>
      <c r="C35" s="152"/>
      <c r="D35" s="152"/>
      <c r="E35" s="152"/>
      <c r="F35" s="152"/>
      <c r="G35" s="152"/>
    </row>
    <row r="36" spans="1:7">
      <c r="A36" s="204"/>
      <c r="B36" s="204"/>
      <c r="C36" s="204"/>
      <c r="D36" s="204"/>
      <c r="E36" s="204"/>
      <c r="F36" s="204"/>
      <c r="G36" s="204"/>
    </row>
    <row r="37" spans="1:7">
      <c r="A37" s="204"/>
      <c r="B37" s="204"/>
      <c r="C37" s="204"/>
      <c r="D37" s="204"/>
      <c r="E37" s="204"/>
      <c r="F37" s="204"/>
      <c r="G37" s="204"/>
    </row>
    <row r="38" spans="1:7">
      <c r="A38" s="204"/>
      <c r="B38" s="204"/>
      <c r="C38" s="204"/>
      <c r="D38" s="204"/>
      <c r="E38" s="204"/>
      <c r="F38" s="204"/>
      <c r="G38" s="204"/>
    </row>
    <row r="39" spans="1:7">
      <c r="A39" s="204"/>
      <c r="B39" s="204"/>
      <c r="C39" s="204"/>
      <c r="D39" s="204"/>
      <c r="E39" s="204"/>
      <c r="F39" s="204"/>
      <c r="G39" s="204"/>
    </row>
    <row r="40" spans="1:7">
      <c r="A40" s="204"/>
      <c r="B40" s="204"/>
      <c r="C40" s="204"/>
      <c r="D40" s="204"/>
      <c r="E40" s="204"/>
      <c r="F40" s="204"/>
      <c r="G40" s="204"/>
    </row>
    <row r="41" spans="1:7">
      <c r="A41" s="204"/>
      <c r="B41" s="204"/>
      <c r="C41" s="204"/>
      <c r="D41" s="204"/>
      <c r="E41" s="204"/>
      <c r="F41" s="204"/>
      <c r="G41" s="204"/>
    </row>
    <row r="56" spans="6:6">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L66"/>
  <sheetViews>
    <sheetView workbookViewId="0">
      <selection activeCell="B55" sqref="B55"/>
    </sheetView>
  </sheetViews>
  <sheetFormatPr defaultColWidth="9.28515625" defaultRowHeight="15"/>
  <cols>
    <col min="1" max="1" width="9.28515625" style="2" customWidth="1"/>
    <col min="2" max="2" width="14.5703125" style="2" bestFit="1" customWidth="1"/>
    <col min="3" max="4" width="9.28515625" style="2"/>
    <col min="5" max="5" width="12.5703125" style="2" customWidth="1"/>
    <col min="6" max="8" width="9.28515625" style="2"/>
    <col min="9" max="9" width="11.5703125" style="2" customWidth="1"/>
    <col min="10" max="16384" width="9.28515625" style="2"/>
  </cols>
  <sheetData>
    <row r="1" spans="1:10">
      <c r="A1" s="93" t="str">
        <f>+'Cover Page'!$B$29</f>
        <v>Annual Performance Report 2022</v>
      </c>
      <c r="B1" s="93"/>
      <c r="C1" s="93"/>
      <c r="D1" s="93"/>
      <c r="E1" s="93" t="str">
        <f>+'Cover Page'!$B$33</f>
        <v>Newlincs Development IWMF</v>
      </c>
      <c r="F1" s="93"/>
      <c r="G1" s="93"/>
      <c r="H1" s="93"/>
      <c r="I1" s="93"/>
      <c r="J1" s="93"/>
    </row>
    <row r="3" spans="1:10" ht="15.75">
      <c r="A3" s="1" t="s">
        <v>40</v>
      </c>
      <c r="B3" s="93"/>
      <c r="C3" s="93"/>
      <c r="D3" s="93"/>
      <c r="E3" s="93"/>
      <c r="F3" s="93"/>
      <c r="G3" s="93"/>
      <c r="H3" s="93"/>
      <c r="I3" s="93"/>
      <c r="J3" s="93"/>
    </row>
    <row r="4" spans="1:10" ht="15.75">
      <c r="A4" s="1"/>
      <c r="B4" s="93"/>
      <c r="C4" s="93"/>
      <c r="D4" s="93"/>
      <c r="E4" s="93"/>
      <c r="F4" s="93"/>
      <c r="G4" s="93"/>
      <c r="H4" s="93"/>
      <c r="I4" s="93"/>
      <c r="J4" s="93"/>
    </row>
    <row r="5" spans="1:10" s="3" customFormat="1" ht="21.75" customHeight="1">
      <c r="A5" s="48" t="s">
        <v>276</v>
      </c>
      <c r="B5" s="49"/>
      <c r="C5" s="49"/>
      <c r="D5" s="49"/>
      <c r="E5" s="49"/>
      <c r="F5" s="49"/>
      <c r="G5" s="49"/>
      <c r="H5" s="49"/>
      <c r="I5" s="50"/>
    </row>
    <row r="6" spans="1:10" s="3" customFormat="1" ht="15.75" customHeight="1">
      <c r="A6" s="131" t="s">
        <v>299</v>
      </c>
      <c r="B6" s="221"/>
      <c r="C6" s="221"/>
      <c r="D6" s="221"/>
      <c r="E6" s="221"/>
      <c r="F6" s="221"/>
      <c r="G6" s="221"/>
      <c r="H6" s="221"/>
      <c r="I6" s="221"/>
      <c r="J6" s="101"/>
    </row>
    <row r="7" spans="1:10" s="3" customFormat="1" ht="15.75" customHeight="1">
      <c r="A7" s="222"/>
      <c r="B7" s="223"/>
      <c r="C7" s="223"/>
      <c r="D7" s="223"/>
      <c r="E7" s="223"/>
      <c r="F7" s="223"/>
      <c r="G7" s="223"/>
      <c r="H7" s="223"/>
      <c r="I7" s="223"/>
      <c r="J7" s="101"/>
    </row>
    <row r="8" spans="1:10" s="3" customFormat="1" ht="15.75" customHeight="1">
      <c r="A8" s="131" t="s">
        <v>300</v>
      </c>
      <c r="B8" s="221"/>
      <c r="C8" s="221"/>
      <c r="D8" s="221"/>
      <c r="E8" s="221"/>
      <c r="F8" s="221"/>
      <c r="G8" s="221"/>
      <c r="H8" s="221"/>
      <c r="I8" s="221"/>
      <c r="J8" s="101"/>
    </row>
    <row r="9" spans="1:10" s="3" customFormat="1" ht="15.75" customHeight="1">
      <c r="A9" s="222"/>
      <c r="B9" s="223"/>
      <c r="C9" s="223"/>
      <c r="D9" s="223"/>
      <c r="E9" s="223"/>
      <c r="F9" s="223"/>
      <c r="G9" s="223"/>
      <c r="H9" s="223"/>
      <c r="I9" s="223"/>
      <c r="J9" s="101"/>
    </row>
    <row r="10" spans="1:10" s="3" customFormat="1" ht="15.75" customHeight="1">
      <c r="A10" s="131"/>
      <c r="B10" s="132"/>
      <c r="C10" s="132"/>
      <c r="D10" s="132"/>
      <c r="E10" s="132"/>
      <c r="F10" s="132"/>
      <c r="G10" s="132"/>
      <c r="H10" s="132"/>
      <c r="I10" s="133"/>
    </row>
    <row r="11" spans="1:10" s="3" customFormat="1" ht="15.75" customHeight="1">
      <c r="A11" s="137"/>
      <c r="B11" s="138"/>
      <c r="C11" s="138"/>
      <c r="D11" s="138"/>
      <c r="E11" s="138"/>
      <c r="F11" s="138"/>
      <c r="G11" s="138"/>
      <c r="H11" s="138"/>
      <c r="I11" s="139"/>
    </row>
    <row r="12" spans="1:10" s="3" customFormat="1" ht="14.25"/>
    <row r="13" spans="1:10" s="47" customFormat="1" ht="33.75" customHeight="1">
      <c r="A13" s="185" t="s">
        <v>279</v>
      </c>
      <c r="B13" s="186"/>
      <c r="C13" s="186"/>
      <c r="D13" s="186"/>
      <c r="E13" s="186"/>
      <c r="F13" s="186"/>
      <c r="G13" s="186"/>
      <c r="H13" s="186"/>
      <c r="I13" s="187"/>
      <c r="J13" s="393"/>
    </row>
    <row r="14" spans="1:10" ht="15.75" customHeight="1">
      <c r="A14" s="188" t="s">
        <v>280</v>
      </c>
      <c r="B14" s="190"/>
      <c r="C14" s="188" t="s">
        <v>243</v>
      </c>
      <c r="D14" s="189"/>
      <c r="E14" s="189"/>
      <c r="F14" s="189"/>
      <c r="G14" s="189"/>
      <c r="H14" s="189"/>
      <c r="I14" s="189"/>
      <c r="J14" s="93"/>
    </row>
    <row r="15" spans="1:10" ht="15.75" customHeight="1">
      <c r="A15" s="131"/>
      <c r="B15" s="133"/>
      <c r="C15" s="191"/>
      <c r="D15" s="144"/>
      <c r="E15" s="144"/>
      <c r="F15" s="144"/>
      <c r="G15" s="144"/>
      <c r="H15" s="144"/>
      <c r="I15" s="145"/>
      <c r="J15" s="93"/>
    </row>
    <row r="16" spans="1:10" ht="15.75" customHeight="1">
      <c r="A16" s="137"/>
      <c r="B16" s="139"/>
      <c r="C16" s="149"/>
      <c r="D16" s="150"/>
      <c r="E16" s="150"/>
      <c r="F16" s="150"/>
      <c r="G16" s="150"/>
      <c r="H16" s="150"/>
      <c r="I16" s="151"/>
      <c r="J16" s="93"/>
    </row>
    <row r="17" spans="1:12" ht="15.75" customHeight="1">
      <c r="A17" s="191"/>
      <c r="B17" s="145"/>
      <c r="C17" s="191"/>
      <c r="D17" s="144"/>
      <c r="E17" s="144"/>
      <c r="F17" s="144"/>
      <c r="G17" s="144"/>
      <c r="H17" s="144"/>
      <c r="I17" s="145"/>
      <c r="J17" s="93"/>
      <c r="K17" s="93"/>
      <c r="L17" s="93"/>
    </row>
    <row r="18" spans="1:12" ht="15.75" customHeight="1">
      <c r="A18" s="149"/>
      <c r="B18" s="151"/>
      <c r="C18" s="149"/>
      <c r="D18" s="150"/>
      <c r="E18" s="150"/>
      <c r="F18" s="150"/>
      <c r="G18" s="150"/>
      <c r="H18" s="150"/>
      <c r="I18" s="151"/>
      <c r="J18" s="93"/>
      <c r="K18" s="93"/>
      <c r="L18" s="93"/>
    </row>
    <row r="19" spans="1:12" ht="15.75" customHeight="1">
      <c r="A19" s="191"/>
      <c r="B19" s="145"/>
      <c r="C19" s="191"/>
      <c r="D19" s="144"/>
      <c r="E19" s="144"/>
      <c r="F19" s="144"/>
      <c r="G19" s="144"/>
      <c r="H19" s="144"/>
      <c r="I19" s="145"/>
      <c r="J19" s="93"/>
      <c r="K19" s="93"/>
      <c r="L19" s="93"/>
    </row>
    <row r="20" spans="1:12" ht="15.75" customHeight="1">
      <c r="A20" s="149"/>
      <c r="B20" s="151"/>
      <c r="C20" s="149"/>
      <c r="D20" s="150"/>
      <c r="E20" s="150"/>
      <c r="F20" s="150"/>
      <c r="G20" s="150"/>
      <c r="H20" s="150"/>
      <c r="I20" s="151"/>
      <c r="J20" s="93"/>
      <c r="K20" s="93"/>
      <c r="L20" s="93"/>
    </row>
    <row r="22" spans="1:12" ht="22.5" customHeight="1">
      <c r="A22" s="214" t="s">
        <v>301</v>
      </c>
      <c r="B22" s="215"/>
      <c r="C22" s="215"/>
      <c r="D22" s="215"/>
      <c r="E22" s="215"/>
      <c r="F22" s="215"/>
      <c r="G22" s="215"/>
      <c r="H22" s="215"/>
      <c r="I22" s="215"/>
      <c r="J22" s="93"/>
      <c r="K22" s="93"/>
      <c r="L22" s="93"/>
    </row>
    <row r="23" spans="1:12" ht="19.5" customHeight="1">
      <c r="A23" s="216" t="s">
        <v>187</v>
      </c>
      <c r="B23" s="217"/>
      <c r="C23" s="218"/>
      <c r="D23" s="219" t="s">
        <v>302</v>
      </c>
      <c r="E23" s="220"/>
      <c r="F23" s="54" t="s">
        <v>287</v>
      </c>
      <c r="G23" s="54" t="s">
        <v>303</v>
      </c>
      <c r="H23" s="54" t="s">
        <v>304</v>
      </c>
      <c r="I23" s="54" t="s">
        <v>305</v>
      </c>
      <c r="J23" s="93"/>
      <c r="K23" s="93"/>
      <c r="L23" s="93"/>
    </row>
    <row r="24" spans="1:12" ht="15" customHeight="1">
      <c r="A24" s="210" t="s">
        <v>306</v>
      </c>
      <c r="B24" s="211"/>
      <c r="C24" s="212"/>
      <c r="D24" s="210" t="s">
        <v>307</v>
      </c>
      <c r="E24" s="213"/>
      <c r="F24" s="115" t="s">
        <v>308</v>
      </c>
      <c r="G24" s="102"/>
      <c r="H24" s="408">
        <v>9</v>
      </c>
      <c r="I24" s="408">
        <v>7.39</v>
      </c>
      <c r="J24" s="93"/>
      <c r="K24" s="93"/>
      <c r="L24" s="93"/>
    </row>
    <row r="25" spans="1:12" ht="15" customHeight="1">
      <c r="A25" s="210" t="s">
        <v>309</v>
      </c>
      <c r="B25" s="211"/>
      <c r="C25" s="212"/>
      <c r="D25" s="210" t="s">
        <v>307</v>
      </c>
      <c r="E25" s="213"/>
      <c r="F25" s="115" t="s">
        <v>308</v>
      </c>
      <c r="G25" s="102"/>
      <c r="H25" s="408">
        <v>8.9</v>
      </c>
      <c r="I25" s="408">
        <v>7.4</v>
      </c>
      <c r="J25" s="93"/>
      <c r="K25" s="93"/>
      <c r="L25" s="93"/>
    </row>
    <row r="26" spans="1:12" ht="15" customHeight="1">
      <c r="A26" s="210" t="s">
        <v>310</v>
      </c>
      <c r="B26" s="211"/>
      <c r="C26" s="212"/>
      <c r="D26" s="210" t="s">
        <v>307</v>
      </c>
      <c r="E26" s="213"/>
      <c r="F26" s="115" t="s">
        <v>308</v>
      </c>
      <c r="G26" s="102"/>
      <c r="H26" s="408">
        <v>8.9</v>
      </c>
      <c r="I26" s="408">
        <v>8.01</v>
      </c>
      <c r="J26" s="93"/>
      <c r="K26" s="93"/>
      <c r="L26" s="93"/>
    </row>
    <row r="27" spans="1:12">
      <c r="A27" s="409"/>
      <c r="B27" s="410"/>
      <c r="C27" s="411"/>
      <c r="D27" s="210"/>
      <c r="E27" s="212"/>
      <c r="F27" s="102"/>
      <c r="G27" s="102"/>
      <c r="H27" s="102"/>
      <c r="I27" s="102"/>
      <c r="J27" s="93"/>
      <c r="K27" s="93"/>
      <c r="L27" s="93"/>
    </row>
    <row r="28" spans="1:12">
      <c r="A28" s="409"/>
      <c r="B28" s="410"/>
      <c r="C28" s="411"/>
      <c r="D28" s="210"/>
      <c r="E28" s="212"/>
      <c r="F28" s="102"/>
      <c r="G28" s="102"/>
      <c r="H28" s="102"/>
      <c r="I28" s="102"/>
      <c r="J28" s="93"/>
      <c r="K28" s="93"/>
      <c r="L28" s="412"/>
    </row>
    <row r="29" spans="1:12">
      <c r="A29" s="409"/>
      <c r="B29" s="410"/>
      <c r="C29" s="411"/>
      <c r="D29" s="210"/>
      <c r="E29" s="212"/>
      <c r="F29" s="102"/>
      <c r="G29" s="102"/>
      <c r="H29" s="102"/>
      <c r="I29" s="102"/>
      <c r="J29" s="93"/>
      <c r="K29" s="93"/>
      <c r="L29" s="93"/>
    </row>
    <row r="30" spans="1:12">
      <c r="A30" s="413"/>
      <c r="B30" s="413"/>
      <c r="C30" s="413"/>
      <c r="D30" s="210"/>
      <c r="E30" s="212"/>
      <c r="F30" s="102"/>
      <c r="G30" s="102"/>
      <c r="H30" s="102"/>
      <c r="I30" s="102"/>
      <c r="J30" s="93"/>
      <c r="K30" s="93"/>
      <c r="L30" s="93"/>
    </row>
    <row r="31" spans="1:12">
      <c r="A31" s="295"/>
      <c r="B31" s="295"/>
      <c r="C31" s="295"/>
      <c r="D31" s="295"/>
      <c r="E31" s="295"/>
      <c r="F31" s="295"/>
      <c r="G31" s="295"/>
      <c r="H31" s="295"/>
      <c r="I31" s="295"/>
      <c r="J31" s="93"/>
      <c r="K31" s="93"/>
      <c r="L31" s="93"/>
    </row>
    <row r="32" spans="1:12">
      <c r="A32" s="295"/>
      <c r="B32" s="295"/>
      <c r="C32" s="295"/>
      <c r="D32" s="295"/>
      <c r="E32" s="295"/>
      <c r="F32" s="295"/>
      <c r="G32" s="295"/>
      <c r="H32" s="295"/>
      <c r="I32" s="295"/>
      <c r="J32" s="93"/>
      <c r="K32" s="93"/>
      <c r="L32" s="93"/>
    </row>
    <row r="33" spans="1:9">
      <c r="A33" s="295"/>
      <c r="B33" s="295"/>
      <c r="C33" s="295"/>
      <c r="D33" s="295"/>
      <c r="E33" s="295"/>
      <c r="F33" s="295"/>
      <c r="G33" s="295"/>
      <c r="H33" s="295"/>
      <c r="I33" s="295"/>
    </row>
    <row r="66" spans="5:5">
      <c r="E66" s="3"/>
    </row>
  </sheetData>
  <mergeCells count="29">
    <mergeCell ref="A6:I7"/>
    <mergeCell ref="A8:I9"/>
    <mergeCell ref="A10:I11"/>
    <mergeCell ref="A13:I13"/>
    <mergeCell ref="A14:B14"/>
    <mergeCell ref="C14:I14"/>
    <mergeCell ref="A22:I22"/>
    <mergeCell ref="A23:C23"/>
    <mergeCell ref="D23:E23"/>
    <mergeCell ref="A15:B16"/>
    <mergeCell ref="C15:I16"/>
    <mergeCell ref="A17:B18"/>
    <mergeCell ref="C17:I18"/>
    <mergeCell ref="A19:B20"/>
    <mergeCell ref="C19:I20"/>
    <mergeCell ref="A24:C24"/>
    <mergeCell ref="D24:E24"/>
    <mergeCell ref="A25:C25"/>
    <mergeCell ref="D25:E25"/>
    <mergeCell ref="A26:C26"/>
    <mergeCell ref="D26:E26"/>
    <mergeCell ref="A30:C30"/>
    <mergeCell ref="D30:E30"/>
    <mergeCell ref="A27:C27"/>
    <mergeCell ref="D27:E27"/>
    <mergeCell ref="A28:C28"/>
    <mergeCell ref="D28:E28"/>
    <mergeCell ref="A29:C29"/>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workbookViewId="0">
      <selection activeCell="B55" sqref="B55"/>
    </sheetView>
  </sheetViews>
  <sheetFormatPr defaultColWidth="9.28515625" defaultRowHeight="15"/>
  <cols>
    <col min="1" max="1" width="9.28515625" style="2" customWidth="1"/>
    <col min="2" max="2" width="14.5703125" style="2" bestFit="1" customWidth="1"/>
    <col min="3" max="9" width="9.28515625" style="2"/>
    <col min="10" max="10" width="10.42578125" style="2" customWidth="1"/>
    <col min="11" max="16384" width="9.28515625" style="2"/>
  </cols>
  <sheetData>
    <row r="1" spans="1:16">
      <c r="A1" s="93" t="str">
        <f>+'Cover Page'!$B$29</f>
        <v>Annual Performance Report 2022</v>
      </c>
      <c r="B1" s="93"/>
      <c r="C1" s="93"/>
      <c r="D1" s="93"/>
      <c r="E1" s="93" t="str">
        <f>+'Cover Page'!$B$33</f>
        <v>Newlincs Development IWMF</v>
      </c>
      <c r="F1" s="93"/>
      <c r="G1" s="93"/>
      <c r="H1" s="93"/>
      <c r="I1" s="93"/>
      <c r="J1" s="93"/>
      <c r="K1" s="93"/>
      <c r="L1" s="93"/>
      <c r="M1" s="93"/>
      <c r="N1" s="93"/>
      <c r="O1" s="93"/>
      <c r="P1" s="93"/>
    </row>
    <row r="2" spans="1:16" ht="7.5" customHeight="1">
      <c r="A2" s="93"/>
      <c r="B2" s="93"/>
      <c r="C2" s="93"/>
      <c r="D2" s="93"/>
      <c r="E2" s="93"/>
      <c r="F2" s="93"/>
      <c r="G2" s="93"/>
      <c r="H2" s="93"/>
      <c r="I2" s="93"/>
      <c r="J2" s="93"/>
      <c r="K2" s="93"/>
      <c r="L2" s="93"/>
      <c r="M2" s="93"/>
      <c r="N2" s="93"/>
      <c r="O2" s="93"/>
      <c r="P2" s="93"/>
    </row>
    <row r="3" spans="1:16" ht="15.75">
      <c r="A3" s="1" t="s">
        <v>41</v>
      </c>
      <c r="B3" s="93"/>
      <c r="C3" s="93"/>
      <c r="D3" s="93"/>
      <c r="E3" s="93"/>
      <c r="F3" s="93"/>
      <c r="G3" s="93"/>
      <c r="H3" s="93"/>
      <c r="I3" s="93"/>
      <c r="J3" s="93"/>
      <c r="K3" s="93"/>
      <c r="L3" s="93"/>
      <c r="M3" s="93"/>
      <c r="N3" s="93"/>
      <c r="O3" s="93"/>
      <c r="P3" s="93"/>
    </row>
    <row r="4" spans="1:16" ht="9.75" customHeight="1">
      <c r="A4" s="1"/>
      <c r="B4" s="93"/>
      <c r="C4" s="93"/>
      <c r="D4" s="93"/>
      <c r="E4" s="93"/>
      <c r="F4" s="93"/>
      <c r="G4" s="93"/>
      <c r="H4" s="93"/>
      <c r="I4" s="93"/>
      <c r="J4" s="93"/>
      <c r="K4" s="93"/>
      <c r="L4" s="93"/>
      <c r="M4" s="93"/>
      <c r="N4" s="93"/>
      <c r="O4" s="93"/>
      <c r="P4" s="93"/>
    </row>
    <row r="5" spans="1:16" s="3" customFormat="1" ht="21.75" customHeight="1">
      <c r="A5" s="48" t="s">
        <v>311</v>
      </c>
      <c r="B5" s="49"/>
      <c r="C5" s="49"/>
      <c r="D5" s="49"/>
      <c r="E5" s="49"/>
      <c r="F5" s="49"/>
      <c r="G5" s="49"/>
      <c r="H5" s="49"/>
      <c r="I5" s="49"/>
      <c r="J5" s="50"/>
      <c r="M5" s="82" t="s">
        <v>3</v>
      </c>
    </row>
    <row r="6" spans="1:16" s="3" customFormat="1" ht="15.75" customHeight="1">
      <c r="A6" s="191" t="s">
        <v>312</v>
      </c>
      <c r="B6" s="144"/>
      <c r="C6" s="144"/>
      <c r="D6" s="144"/>
      <c r="E6" s="144"/>
      <c r="F6" s="144"/>
      <c r="G6" s="144"/>
      <c r="H6" s="144"/>
      <c r="I6" s="144"/>
      <c r="J6" s="145"/>
      <c r="M6" s="243" t="s">
        <v>313</v>
      </c>
      <c r="N6" s="243"/>
      <c r="O6" s="243"/>
      <c r="P6" s="243"/>
    </row>
    <row r="7" spans="1:16" s="3" customFormat="1" ht="15.75" customHeight="1">
      <c r="A7" s="149"/>
      <c r="B7" s="150"/>
      <c r="C7" s="150"/>
      <c r="D7" s="150"/>
      <c r="E7" s="150"/>
      <c r="F7" s="150"/>
      <c r="G7" s="150"/>
      <c r="H7" s="150"/>
      <c r="I7" s="150"/>
      <c r="J7" s="151"/>
      <c r="M7" s="243"/>
      <c r="N7" s="243"/>
      <c r="O7" s="243"/>
      <c r="P7" s="243"/>
    </row>
    <row r="8" spans="1:16" s="3" customFormat="1" ht="14.25">
      <c r="M8" s="243"/>
      <c r="N8" s="243"/>
      <c r="O8" s="243"/>
      <c r="P8" s="243"/>
    </row>
    <row r="9" spans="1:16" s="56" customFormat="1" ht="16.5" customHeight="1">
      <c r="A9" s="207" t="s">
        <v>314</v>
      </c>
      <c r="B9" s="207"/>
      <c r="C9" s="207"/>
      <c r="D9" s="207"/>
      <c r="E9" s="207"/>
      <c r="F9" s="207"/>
      <c r="G9" s="207"/>
      <c r="H9" s="207"/>
      <c r="I9" s="207"/>
      <c r="J9" s="207"/>
      <c r="M9" s="243"/>
      <c r="N9" s="243"/>
      <c r="O9" s="243"/>
      <c r="P9" s="243"/>
    </row>
    <row r="10" spans="1:16" s="56" customFormat="1" ht="16.5" customHeight="1">
      <c r="A10" s="230" t="s">
        <v>215</v>
      </c>
      <c r="B10" s="231"/>
      <c r="C10" s="241" t="s">
        <v>315</v>
      </c>
      <c r="D10" s="237" t="s">
        <v>316</v>
      </c>
      <c r="E10" s="238"/>
      <c r="F10" s="234" t="s">
        <v>305</v>
      </c>
      <c r="G10" s="235"/>
      <c r="H10" s="235"/>
      <c r="I10" s="235"/>
      <c r="J10" s="236"/>
      <c r="M10" s="243" t="s">
        <v>317</v>
      </c>
      <c r="N10" s="243"/>
      <c r="O10" s="243"/>
      <c r="P10" s="243"/>
    </row>
    <row r="11" spans="1:16" s="12" customFormat="1" ht="17.25" customHeight="1">
      <c r="A11" s="232"/>
      <c r="B11" s="233"/>
      <c r="C11" s="242"/>
      <c r="D11" s="239"/>
      <c r="E11" s="240"/>
      <c r="F11" s="46" t="s">
        <v>189</v>
      </c>
      <c r="G11" s="46" t="s">
        <v>190</v>
      </c>
      <c r="H11" s="46" t="s">
        <v>191</v>
      </c>
      <c r="I11" s="46" t="s">
        <v>192</v>
      </c>
      <c r="J11" s="46" t="s">
        <v>193</v>
      </c>
      <c r="K11" s="295"/>
      <c r="L11" s="295"/>
      <c r="M11" s="243"/>
      <c r="N11" s="243"/>
      <c r="O11" s="243"/>
      <c r="P11" s="243"/>
    </row>
    <row r="12" spans="1:16" s="12" customFormat="1" ht="23.25" customHeight="1">
      <c r="A12" s="167" t="s">
        <v>226</v>
      </c>
      <c r="B12" s="167"/>
      <c r="C12" s="414" t="s">
        <v>318</v>
      </c>
      <c r="D12" s="375" t="s">
        <v>319</v>
      </c>
      <c r="E12" s="375"/>
      <c r="F12" s="102">
        <v>6.25E-2</v>
      </c>
      <c r="G12" s="102"/>
      <c r="H12" s="102"/>
      <c r="I12" s="102"/>
      <c r="J12" s="102"/>
      <c r="K12" s="295"/>
      <c r="L12" s="295"/>
      <c r="M12" s="243"/>
      <c r="N12" s="243"/>
      <c r="O12" s="243"/>
      <c r="P12" s="243"/>
    </row>
    <row r="13" spans="1:16" s="12" customFormat="1" ht="23.25" customHeight="1">
      <c r="A13" s="167" t="s">
        <v>320</v>
      </c>
      <c r="B13" s="167"/>
      <c r="C13" s="414" t="s">
        <v>321</v>
      </c>
      <c r="D13" s="375" t="s">
        <v>322</v>
      </c>
      <c r="E13" s="375"/>
      <c r="F13" s="102">
        <v>1.73E-3</v>
      </c>
      <c r="G13" s="102"/>
      <c r="H13" s="102"/>
      <c r="I13" s="102"/>
      <c r="J13" s="102"/>
      <c r="K13" s="295"/>
      <c r="L13" s="295"/>
      <c r="M13" s="295"/>
      <c r="N13" s="295"/>
      <c r="O13" s="295"/>
      <c r="P13" s="295"/>
    </row>
    <row r="14" spans="1:16" s="12" customFormat="1" ht="23.25" customHeight="1">
      <c r="A14" s="167" t="s">
        <v>323</v>
      </c>
      <c r="B14" s="167"/>
      <c r="C14" s="414" t="s">
        <v>321</v>
      </c>
      <c r="D14" s="375" t="s">
        <v>322</v>
      </c>
      <c r="E14" s="375"/>
      <c r="F14" s="102">
        <v>8.9999999999999998E-4</v>
      </c>
      <c r="G14" s="102"/>
      <c r="H14" s="102"/>
      <c r="I14" s="102"/>
      <c r="J14" s="102"/>
      <c r="K14" s="295"/>
      <c r="L14" s="295"/>
      <c r="M14" s="295"/>
      <c r="N14" s="295"/>
      <c r="O14" s="295"/>
      <c r="P14" s="295"/>
    </row>
    <row r="15" spans="1:16" s="12" customFormat="1" ht="23.25" customHeight="1">
      <c r="A15" s="167" t="s">
        <v>324</v>
      </c>
      <c r="B15" s="167"/>
      <c r="C15" s="414" t="s">
        <v>321</v>
      </c>
      <c r="D15" s="375" t="s">
        <v>325</v>
      </c>
      <c r="E15" s="375"/>
      <c r="F15" s="102">
        <v>0.26974999999999999</v>
      </c>
      <c r="G15" s="102"/>
      <c r="H15" s="102"/>
      <c r="I15" s="102"/>
      <c r="J15" s="102"/>
      <c r="K15" s="295"/>
      <c r="L15" s="295"/>
      <c r="M15" s="295"/>
      <c r="N15" s="295"/>
      <c r="O15" s="295"/>
      <c r="P15" s="295"/>
    </row>
    <row r="16" spans="1:16" s="12" customFormat="1" ht="23.25" customHeight="1">
      <c r="A16" s="167" t="s">
        <v>326</v>
      </c>
      <c r="B16" s="167"/>
      <c r="C16" s="414" t="s">
        <v>321</v>
      </c>
      <c r="D16" s="375" t="s">
        <v>327</v>
      </c>
      <c r="E16" s="375"/>
      <c r="F16" s="102">
        <v>1.8599999999999998E-2</v>
      </c>
      <c r="G16" s="102"/>
      <c r="H16" s="102"/>
      <c r="I16" s="102"/>
      <c r="J16" s="102"/>
      <c r="K16" s="295"/>
      <c r="L16" s="295"/>
      <c r="M16" s="295"/>
      <c r="N16" s="295"/>
      <c r="O16" s="295"/>
      <c r="P16" s="295"/>
    </row>
    <row r="17" spans="1:10" s="12" customFormat="1" ht="23.25" customHeight="1">
      <c r="A17" s="167" t="s">
        <v>328</v>
      </c>
      <c r="B17" s="167"/>
      <c r="C17" s="414" t="s">
        <v>321</v>
      </c>
      <c r="D17" s="375" t="s">
        <v>329</v>
      </c>
      <c r="E17" s="375"/>
      <c r="F17" s="102">
        <v>1.1299999999999999E-3</v>
      </c>
      <c r="G17" s="102"/>
      <c r="H17" s="102"/>
      <c r="I17" s="102"/>
      <c r="J17" s="102"/>
    </row>
    <row r="18" spans="1:10" s="12" customFormat="1" ht="23.25" customHeight="1">
      <c r="A18" s="167" t="s">
        <v>330</v>
      </c>
      <c r="B18" s="167"/>
      <c r="C18" s="414" t="s">
        <v>321</v>
      </c>
      <c r="D18" s="375" t="s">
        <v>329</v>
      </c>
      <c r="E18" s="375"/>
      <c r="F18" s="102">
        <v>5.0000000000000002E-5</v>
      </c>
      <c r="G18" s="102"/>
      <c r="H18" s="102"/>
      <c r="I18" s="102"/>
      <c r="J18" s="102"/>
    </row>
    <row r="19" spans="1:10" s="12" customFormat="1" ht="23.25" customHeight="1">
      <c r="A19" s="167" t="s">
        <v>331</v>
      </c>
      <c r="B19" s="167"/>
      <c r="C19" s="414" t="s">
        <v>321</v>
      </c>
      <c r="D19" s="375" t="s">
        <v>329</v>
      </c>
      <c r="E19" s="375"/>
      <c r="F19" s="102">
        <v>2.0699999999999998E-3</v>
      </c>
      <c r="G19" s="102"/>
      <c r="H19" s="102"/>
      <c r="I19" s="102"/>
      <c r="J19" s="102"/>
    </row>
    <row r="20" spans="1:10" s="12" customFormat="1" ht="23.25" customHeight="1">
      <c r="A20" s="167" t="s">
        <v>332</v>
      </c>
      <c r="B20" s="167"/>
      <c r="C20" s="414" t="s">
        <v>321</v>
      </c>
      <c r="D20" s="375" t="s">
        <v>329</v>
      </c>
      <c r="E20" s="375"/>
      <c r="F20" s="102">
        <v>1.8249999999999999E-2</v>
      </c>
      <c r="G20" s="102"/>
      <c r="H20" s="102"/>
      <c r="I20" s="102"/>
      <c r="J20" s="102"/>
    </row>
    <row r="21" spans="1:10" s="12" customFormat="1" ht="23.25" customHeight="1">
      <c r="A21" s="167" t="s">
        <v>333</v>
      </c>
      <c r="B21" s="167"/>
      <c r="C21" s="414" t="s">
        <v>321</v>
      </c>
      <c r="D21" s="375" t="s">
        <v>329</v>
      </c>
      <c r="E21" s="375"/>
      <c r="F21" s="102">
        <v>1.9550000000000001E-2</v>
      </c>
      <c r="G21" s="102"/>
      <c r="H21" s="102"/>
      <c r="I21" s="102"/>
      <c r="J21" s="102"/>
    </row>
    <row r="22" spans="1:10" s="12" customFormat="1" ht="23.25" customHeight="1">
      <c r="A22" s="167" t="s">
        <v>334</v>
      </c>
      <c r="B22" s="167"/>
      <c r="C22" s="414" t="s">
        <v>321</v>
      </c>
      <c r="D22" s="375" t="s">
        <v>329</v>
      </c>
      <c r="E22" s="375"/>
      <c r="F22" s="102">
        <v>2.845E-2</v>
      </c>
      <c r="G22" s="102"/>
      <c r="H22" s="102"/>
      <c r="I22" s="102"/>
      <c r="J22" s="102"/>
    </row>
    <row r="23" spans="1:10" s="12" customFormat="1" ht="23.25" customHeight="1">
      <c r="A23" s="167" t="s">
        <v>335</v>
      </c>
      <c r="B23" s="167"/>
      <c r="C23" s="414" t="s">
        <v>321</v>
      </c>
      <c r="D23" s="375" t="s">
        <v>336</v>
      </c>
      <c r="E23" s="375"/>
      <c r="F23" s="102">
        <v>2E-3</v>
      </c>
      <c r="G23" s="102"/>
      <c r="H23" s="102"/>
      <c r="I23" s="102"/>
      <c r="J23" s="102"/>
    </row>
    <row r="24" spans="1:10" s="12" customFormat="1" ht="23.25" customHeight="1">
      <c r="A24" s="167" t="s">
        <v>337</v>
      </c>
      <c r="B24" s="167"/>
      <c r="C24" s="414" t="s">
        <v>321</v>
      </c>
      <c r="D24" s="375" t="s">
        <v>336</v>
      </c>
      <c r="E24" s="375"/>
      <c r="F24" s="102">
        <v>2.18E-2</v>
      </c>
      <c r="G24" s="102"/>
      <c r="H24" s="102"/>
      <c r="I24" s="102"/>
      <c r="J24" s="102"/>
    </row>
    <row r="25" spans="1:10" s="12" customFormat="1" ht="23.25" customHeight="1">
      <c r="A25" s="167" t="s">
        <v>338</v>
      </c>
      <c r="B25" s="167"/>
      <c r="C25" s="414" t="s">
        <v>321</v>
      </c>
      <c r="D25" s="375" t="s">
        <v>336</v>
      </c>
      <c r="E25" s="375"/>
      <c r="F25" s="102">
        <v>4.1999999999999997E-3</v>
      </c>
      <c r="G25" s="102"/>
      <c r="H25" s="102"/>
      <c r="I25" s="102"/>
      <c r="J25" s="102"/>
    </row>
    <row r="26" spans="1:10" s="12" customFormat="1" ht="23.25" customHeight="1">
      <c r="A26" s="167" t="s">
        <v>339</v>
      </c>
      <c r="B26" s="167"/>
      <c r="C26" s="414" t="s">
        <v>321</v>
      </c>
      <c r="D26" s="375" t="s">
        <v>336</v>
      </c>
      <c r="E26" s="375"/>
      <c r="F26" s="102">
        <v>3.0099999999999998E-2</v>
      </c>
      <c r="G26" s="102"/>
      <c r="H26" s="102"/>
      <c r="I26" s="102"/>
      <c r="J26" s="102"/>
    </row>
    <row r="27" spans="1:10" s="12" customFormat="1" ht="23.25" customHeight="1">
      <c r="A27" s="167" t="s">
        <v>340</v>
      </c>
      <c r="B27" s="167"/>
      <c r="C27" s="414" t="s">
        <v>321</v>
      </c>
      <c r="D27" s="375" t="s">
        <v>336</v>
      </c>
      <c r="E27" s="375"/>
      <c r="F27" s="102">
        <v>9.5999999999999992E-3</v>
      </c>
      <c r="G27" s="102"/>
      <c r="H27" s="102"/>
      <c r="I27" s="102"/>
      <c r="J27" s="102"/>
    </row>
    <row r="28" spans="1:10" s="12" customFormat="1" ht="23.25" customHeight="1">
      <c r="A28" s="167" t="s">
        <v>341</v>
      </c>
      <c r="B28" s="167"/>
      <c r="C28" s="414" t="s">
        <v>321</v>
      </c>
      <c r="D28" s="375" t="s">
        <v>336</v>
      </c>
      <c r="E28" s="375"/>
      <c r="F28" s="102">
        <v>6.8500000000000002E-3</v>
      </c>
      <c r="G28" s="102"/>
      <c r="H28" s="102"/>
      <c r="I28" s="102"/>
      <c r="J28" s="102"/>
    </row>
    <row r="29" spans="1:10" s="12" customFormat="1" ht="23.25" customHeight="1">
      <c r="A29" s="167" t="s">
        <v>342</v>
      </c>
      <c r="B29" s="167"/>
      <c r="C29" s="414" t="s">
        <v>321</v>
      </c>
      <c r="D29" s="375" t="s">
        <v>336</v>
      </c>
      <c r="E29" s="375"/>
      <c r="F29" s="102">
        <v>1.755E-2</v>
      </c>
      <c r="G29" s="102"/>
      <c r="H29" s="102"/>
      <c r="I29" s="102"/>
      <c r="J29" s="102"/>
    </row>
    <row r="30" spans="1:10" s="12" customFormat="1" ht="23.25" customHeight="1">
      <c r="A30" s="167" t="s">
        <v>343</v>
      </c>
      <c r="B30" s="167"/>
      <c r="C30" s="414" t="s">
        <v>321</v>
      </c>
      <c r="D30" s="375" t="s">
        <v>336</v>
      </c>
      <c r="E30" s="375"/>
      <c r="F30" s="102">
        <v>9.1500000000000001E-3</v>
      </c>
      <c r="G30" s="102"/>
      <c r="H30" s="102"/>
      <c r="I30" s="102"/>
      <c r="J30" s="102"/>
    </row>
    <row r="31" spans="1:10" s="12" customFormat="1" ht="23.25" customHeight="1">
      <c r="A31" s="167" t="s">
        <v>344</v>
      </c>
      <c r="B31" s="167"/>
      <c r="C31" s="414" t="s">
        <v>321</v>
      </c>
      <c r="D31" s="375" t="s">
        <v>336</v>
      </c>
      <c r="E31" s="375"/>
      <c r="F31" s="102">
        <v>2E-3</v>
      </c>
      <c r="G31" s="102"/>
      <c r="H31" s="102"/>
      <c r="I31" s="102"/>
      <c r="J31" s="102"/>
    </row>
    <row r="32" spans="1:10" s="12" customFormat="1" ht="23.25" customHeight="1">
      <c r="A32" s="167" t="s">
        <v>345</v>
      </c>
      <c r="B32" s="167"/>
      <c r="C32" s="414" t="s">
        <v>321</v>
      </c>
      <c r="D32" s="375" t="s">
        <v>336</v>
      </c>
      <c r="E32" s="375"/>
      <c r="F32" s="102">
        <v>4.4600000000000001E-2</v>
      </c>
      <c r="G32" s="102"/>
      <c r="H32" s="102"/>
      <c r="I32" s="102"/>
      <c r="J32" s="102"/>
    </row>
    <row r="33" spans="1:10" s="12" customFormat="1" ht="23.25" customHeight="1">
      <c r="A33" s="167" t="s">
        <v>346</v>
      </c>
      <c r="B33" s="167"/>
      <c r="C33" s="414" t="s">
        <v>321</v>
      </c>
      <c r="D33" s="375" t="s">
        <v>336</v>
      </c>
      <c r="E33" s="375"/>
      <c r="F33" s="102">
        <v>2.8999999999999998E-3</v>
      </c>
      <c r="G33" s="102"/>
      <c r="H33" s="102"/>
      <c r="I33" s="102"/>
      <c r="J33" s="102"/>
    </row>
    <row r="34" spans="1:10" s="12" customFormat="1" ht="23.25" customHeight="1">
      <c r="A34" s="167" t="s">
        <v>347</v>
      </c>
      <c r="B34" s="167"/>
      <c r="C34" s="414" t="s">
        <v>321</v>
      </c>
      <c r="D34" s="375" t="s">
        <v>336</v>
      </c>
      <c r="E34" s="375"/>
      <c r="F34" s="102">
        <v>2E-3</v>
      </c>
      <c r="G34" s="102"/>
      <c r="H34" s="102"/>
      <c r="I34" s="102"/>
      <c r="J34" s="102"/>
    </row>
    <row r="35" spans="1:10" s="12" customFormat="1" ht="23.25" customHeight="1">
      <c r="A35" s="167" t="s">
        <v>348</v>
      </c>
      <c r="B35" s="167"/>
      <c r="C35" s="414" t="s">
        <v>321</v>
      </c>
      <c r="D35" s="375" t="s">
        <v>336</v>
      </c>
      <c r="E35" s="375"/>
      <c r="F35" s="102">
        <v>2E-3</v>
      </c>
      <c r="G35" s="102"/>
      <c r="H35" s="102"/>
      <c r="I35" s="102"/>
      <c r="J35" s="102"/>
    </row>
    <row r="36" spans="1:10" s="12" customFormat="1" ht="23.25" customHeight="1">
      <c r="A36" s="167" t="s">
        <v>349</v>
      </c>
      <c r="B36" s="167"/>
      <c r="C36" s="414" t="s">
        <v>321</v>
      </c>
      <c r="D36" s="375" t="s">
        <v>336</v>
      </c>
      <c r="E36" s="375"/>
      <c r="F36" s="102">
        <v>0.62670000000000003</v>
      </c>
      <c r="G36" s="102"/>
      <c r="H36" s="102"/>
      <c r="I36" s="102"/>
      <c r="J36" s="102"/>
    </row>
    <row r="37" spans="1:10" s="12" customFormat="1" ht="23.25" customHeight="1">
      <c r="A37" s="167" t="s">
        <v>350</v>
      </c>
      <c r="B37" s="167"/>
      <c r="C37" s="414" t="s">
        <v>321</v>
      </c>
      <c r="D37" s="375" t="s">
        <v>336</v>
      </c>
      <c r="E37" s="375"/>
      <c r="F37" s="102">
        <v>9.7000000000000003E-3</v>
      </c>
      <c r="G37" s="102"/>
      <c r="H37" s="102"/>
      <c r="I37" s="102"/>
      <c r="J37" s="102"/>
    </row>
    <row r="38" spans="1:10" s="12" customFormat="1" ht="23.25" customHeight="1">
      <c r="A38" s="167" t="s">
        <v>351</v>
      </c>
      <c r="B38" s="167"/>
      <c r="C38" s="414" t="s">
        <v>321</v>
      </c>
      <c r="D38" s="375" t="s">
        <v>336</v>
      </c>
      <c r="E38" s="375"/>
      <c r="F38" s="102">
        <v>0.21515000000000001</v>
      </c>
      <c r="G38" s="102"/>
      <c r="H38" s="102"/>
      <c r="I38" s="102"/>
      <c r="J38" s="102"/>
    </row>
    <row r="39" spans="1:10">
      <c r="A39" s="152" t="s">
        <v>298</v>
      </c>
      <c r="B39" s="152"/>
      <c r="C39" s="152"/>
      <c r="D39" s="152"/>
      <c r="E39" s="152"/>
      <c r="F39" s="152"/>
      <c r="G39" s="152"/>
      <c r="H39" s="152"/>
      <c r="I39" s="152"/>
      <c r="J39" s="152"/>
    </row>
    <row r="40" spans="1:10">
      <c r="A40" s="224" t="s">
        <v>352</v>
      </c>
      <c r="B40" s="225"/>
      <c r="C40" s="225"/>
      <c r="D40" s="225"/>
      <c r="E40" s="225"/>
      <c r="F40" s="225"/>
      <c r="G40" s="225"/>
      <c r="H40" s="225"/>
      <c r="I40" s="225"/>
      <c r="J40" s="226"/>
    </row>
    <row r="41" spans="1:10">
      <c r="A41" s="227"/>
      <c r="B41" s="228"/>
      <c r="C41" s="228"/>
      <c r="D41" s="228"/>
      <c r="E41" s="228"/>
      <c r="F41" s="228"/>
      <c r="G41" s="228"/>
      <c r="H41" s="228"/>
      <c r="I41" s="228"/>
      <c r="J41" s="229"/>
    </row>
    <row r="64" spans="6:6">
      <c r="F64" s="3"/>
    </row>
  </sheetData>
  <mergeCells count="64">
    <mergeCell ref="M6:P9"/>
    <mergeCell ref="M10:P12"/>
    <mergeCell ref="A9:J9"/>
    <mergeCell ref="A6:J7"/>
    <mergeCell ref="A12:B12"/>
    <mergeCell ref="A13:B13"/>
    <mergeCell ref="D12:E12"/>
    <mergeCell ref="D13:E13"/>
    <mergeCell ref="A10:B11"/>
    <mergeCell ref="F10:J10"/>
    <mergeCell ref="D10:E11"/>
    <mergeCell ref="C10:C11"/>
    <mergeCell ref="A17:B17"/>
    <mergeCell ref="A18:B18"/>
    <mergeCell ref="A19:B19"/>
    <mergeCell ref="A14:B14"/>
    <mergeCell ref="A15:B15"/>
    <mergeCell ref="A16:B16"/>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J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workbookViewId="0">
      <selection activeCell="B55" sqref="B55"/>
    </sheetView>
  </sheetViews>
  <sheetFormatPr defaultColWidth="9.28515625" defaultRowHeight="15"/>
  <cols>
    <col min="1" max="1" width="21.28515625" style="2" customWidth="1"/>
    <col min="2" max="2" width="13.7109375" style="2" customWidth="1"/>
    <col min="3" max="3" width="16.28515625" style="2" customWidth="1"/>
    <col min="4" max="12" width="9.28515625" style="2"/>
    <col min="13" max="13" width="10.42578125" style="2" customWidth="1"/>
    <col min="14" max="16384" width="9.28515625" style="2"/>
  </cols>
  <sheetData>
    <row r="1" spans="1:16">
      <c r="A1" s="93" t="str">
        <f>+'Cover Page'!$B$29</f>
        <v>Annual Performance Report 2022</v>
      </c>
      <c r="B1" s="93"/>
      <c r="C1" s="93"/>
      <c r="D1" s="93"/>
      <c r="E1" s="93"/>
      <c r="F1" s="93"/>
      <c r="G1" s="93"/>
      <c r="H1" s="93"/>
      <c r="I1" s="93" t="str">
        <f>+'Cover Page'!$B$33</f>
        <v>Newlincs Development IWMF</v>
      </c>
      <c r="J1" s="93"/>
      <c r="K1" s="93"/>
      <c r="L1" s="93"/>
      <c r="M1" s="93"/>
      <c r="N1" s="93"/>
      <c r="O1" s="93"/>
      <c r="P1" s="93"/>
    </row>
    <row r="3" spans="1:16" ht="15.75">
      <c r="A3" s="1" t="s">
        <v>353</v>
      </c>
      <c r="B3" s="93"/>
      <c r="C3" s="93"/>
      <c r="D3" s="93"/>
      <c r="E3" s="93"/>
      <c r="F3" s="93"/>
      <c r="G3" s="93"/>
      <c r="H3" s="93"/>
      <c r="I3" s="93"/>
      <c r="J3" s="93"/>
      <c r="K3" s="93"/>
      <c r="L3" s="93"/>
      <c r="M3" s="93"/>
      <c r="N3" s="93"/>
      <c r="O3" s="93"/>
      <c r="P3" s="93"/>
    </row>
    <row r="4" spans="1:16" ht="15.75">
      <c r="A4" s="1"/>
      <c r="B4" s="93"/>
      <c r="C4" s="93"/>
      <c r="D4" s="93"/>
      <c r="E4" s="93"/>
      <c r="F4" s="93"/>
      <c r="G4" s="93"/>
      <c r="H4" s="93"/>
      <c r="I4" s="93"/>
      <c r="J4" s="93"/>
      <c r="K4" s="93"/>
      <c r="L4" s="93"/>
      <c r="M4" s="93"/>
      <c r="N4" s="93"/>
      <c r="O4" s="93"/>
      <c r="P4" s="73" t="s">
        <v>3</v>
      </c>
    </row>
    <row r="5" spans="1:16" s="3" customFormat="1" ht="21.75" customHeight="1">
      <c r="A5" s="48" t="s">
        <v>311</v>
      </c>
      <c r="B5" s="49"/>
      <c r="C5" s="49"/>
      <c r="D5" s="49"/>
      <c r="E5" s="49"/>
      <c r="F5" s="49"/>
      <c r="G5" s="49"/>
      <c r="H5" s="49"/>
      <c r="I5" s="49"/>
      <c r="J5" s="49"/>
      <c r="K5" s="49"/>
      <c r="L5" s="49"/>
      <c r="M5" s="50"/>
      <c r="P5" s="74" t="s">
        <v>354</v>
      </c>
    </row>
    <row r="6" spans="1:16" s="3" customFormat="1" ht="15.75" customHeight="1">
      <c r="A6" s="191"/>
      <c r="B6" s="144"/>
      <c r="C6" s="144"/>
      <c r="D6" s="144"/>
      <c r="E6" s="144"/>
      <c r="F6" s="144"/>
      <c r="G6" s="144"/>
      <c r="H6" s="144"/>
      <c r="I6" s="144"/>
      <c r="J6" s="144"/>
      <c r="K6" s="144"/>
      <c r="L6" s="144"/>
      <c r="M6" s="145"/>
      <c r="P6" s="3" t="s">
        <v>355</v>
      </c>
    </row>
    <row r="7" spans="1:16" s="3" customFormat="1" ht="15.75" customHeight="1">
      <c r="A7" s="149"/>
      <c r="B7" s="150"/>
      <c r="C7" s="150"/>
      <c r="D7" s="150"/>
      <c r="E7" s="150"/>
      <c r="F7" s="150"/>
      <c r="G7" s="150"/>
      <c r="H7" s="150"/>
      <c r="I7" s="150"/>
      <c r="J7" s="150"/>
      <c r="K7" s="150"/>
      <c r="L7" s="150"/>
      <c r="M7" s="151"/>
    </row>
    <row r="8" spans="1:16" s="3" customFormat="1" ht="15.75" customHeight="1">
      <c r="A8" s="131"/>
      <c r="B8" s="132"/>
      <c r="C8" s="132"/>
      <c r="D8" s="132"/>
      <c r="E8" s="132"/>
      <c r="F8" s="132"/>
      <c r="G8" s="132"/>
      <c r="H8" s="132"/>
      <c r="I8" s="132"/>
      <c r="J8" s="132"/>
      <c r="K8" s="132"/>
      <c r="L8" s="132"/>
      <c r="M8" s="133"/>
    </row>
    <row r="9" spans="1:16" s="3" customFormat="1" ht="15.75" customHeight="1">
      <c r="A9" s="137"/>
      <c r="B9" s="138"/>
      <c r="C9" s="138"/>
      <c r="D9" s="138"/>
      <c r="E9" s="138"/>
      <c r="F9" s="138"/>
      <c r="G9" s="138"/>
      <c r="H9" s="138"/>
      <c r="I9" s="138"/>
      <c r="J9" s="138"/>
      <c r="K9" s="138"/>
      <c r="L9" s="138"/>
      <c r="M9" s="139"/>
    </row>
    <row r="10" spans="1:16" s="3" customFormat="1" ht="14.25"/>
    <row r="11" spans="1:16" s="56" customFormat="1" ht="16.5" customHeight="1">
      <c r="A11" s="207" t="s">
        <v>356</v>
      </c>
      <c r="B11" s="207"/>
      <c r="C11" s="207"/>
      <c r="D11" s="207"/>
      <c r="E11" s="207"/>
      <c r="F11" s="207"/>
      <c r="G11" s="207"/>
      <c r="H11" s="207"/>
      <c r="I11" s="207"/>
      <c r="J11" s="207"/>
      <c r="K11" s="207"/>
      <c r="L11" s="207"/>
      <c r="M11" s="207"/>
    </row>
    <row r="12" spans="1:16" s="56" customFormat="1" ht="16.5" customHeight="1">
      <c r="A12" s="248" t="s">
        <v>215</v>
      </c>
      <c r="B12" s="241" t="s">
        <v>357</v>
      </c>
      <c r="C12" s="173" t="s">
        <v>316</v>
      </c>
      <c r="D12" s="174" t="s">
        <v>189</v>
      </c>
      <c r="E12" s="250"/>
      <c r="F12" s="174" t="s">
        <v>190</v>
      </c>
      <c r="G12" s="250"/>
      <c r="H12" s="174" t="s">
        <v>191</v>
      </c>
      <c r="I12" s="250"/>
      <c r="J12" s="174" t="s">
        <v>192</v>
      </c>
      <c r="K12" s="250"/>
      <c r="L12" s="174" t="s">
        <v>193</v>
      </c>
      <c r="M12" s="250"/>
    </row>
    <row r="13" spans="1:16" s="12" customFormat="1" ht="17.25" customHeight="1">
      <c r="A13" s="248"/>
      <c r="B13" s="249"/>
      <c r="C13" s="173"/>
      <c r="D13" s="46" t="s">
        <v>304</v>
      </c>
      <c r="E13" s="57" t="s">
        <v>358</v>
      </c>
      <c r="F13" s="46" t="s">
        <v>304</v>
      </c>
      <c r="G13" s="57" t="s">
        <v>358</v>
      </c>
      <c r="H13" s="46" t="s">
        <v>304</v>
      </c>
      <c r="I13" s="57" t="s">
        <v>358</v>
      </c>
      <c r="J13" s="46" t="s">
        <v>304</v>
      </c>
      <c r="K13" s="57" t="s">
        <v>358</v>
      </c>
      <c r="L13" s="46" t="s">
        <v>304</v>
      </c>
      <c r="M13" s="57" t="s">
        <v>358</v>
      </c>
      <c r="N13" s="295"/>
      <c r="O13" s="295"/>
      <c r="P13" s="295"/>
    </row>
    <row r="14" spans="1:16" s="12" customFormat="1" ht="23.25" customHeight="1">
      <c r="A14" s="167" t="s">
        <v>221</v>
      </c>
      <c r="B14" s="373" t="s">
        <v>359</v>
      </c>
      <c r="C14" s="373" t="s">
        <v>360</v>
      </c>
      <c r="D14" s="102">
        <v>192.02</v>
      </c>
      <c r="E14" s="102">
        <v>189.74</v>
      </c>
      <c r="F14" s="102"/>
      <c r="G14" s="102"/>
      <c r="H14" s="102"/>
      <c r="I14" s="102"/>
      <c r="J14" s="102"/>
      <c r="K14" s="102"/>
      <c r="L14" s="102"/>
      <c r="M14" s="102"/>
      <c r="N14" s="295"/>
      <c r="O14" s="295"/>
      <c r="P14" s="295"/>
    </row>
    <row r="15" spans="1:16" s="12" customFormat="1" ht="23.25" customHeight="1">
      <c r="A15" s="167"/>
      <c r="B15" s="373" t="s">
        <v>361</v>
      </c>
      <c r="C15" s="373" t="s">
        <v>362</v>
      </c>
      <c r="D15" s="102">
        <v>250.87</v>
      </c>
      <c r="E15" s="102">
        <v>189.78</v>
      </c>
      <c r="F15" s="102"/>
      <c r="G15" s="102"/>
      <c r="H15" s="102"/>
      <c r="I15" s="102"/>
      <c r="J15" s="102"/>
      <c r="K15" s="102"/>
      <c r="L15" s="102"/>
      <c r="M15" s="102"/>
      <c r="N15" s="295"/>
      <c r="O15" s="295"/>
      <c r="P15" s="295"/>
    </row>
    <row r="16" spans="1:16" s="12" customFormat="1" ht="23.25" customHeight="1">
      <c r="A16" s="110" t="s">
        <v>220</v>
      </c>
      <c r="B16" s="415" t="s">
        <v>359</v>
      </c>
      <c r="C16" s="373" t="s">
        <v>363</v>
      </c>
      <c r="D16" s="102">
        <v>0.49</v>
      </c>
      <c r="E16" s="102">
        <v>0.32</v>
      </c>
      <c r="F16" s="102"/>
      <c r="G16" s="102"/>
      <c r="H16" s="102"/>
      <c r="I16" s="102"/>
      <c r="J16" s="102"/>
      <c r="K16" s="102"/>
      <c r="L16" s="102"/>
      <c r="M16" s="102"/>
      <c r="N16" s="295"/>
      <c r="O16" s="295"/>
      <c r="P16" s="295"/>
    </row>
    <row r="17" spans="1:13" s="12" customFormat="1" ht="23.25" customHeight="1">
      <c r="A17" s="110"/>
      <c r="B17" s="373" t="s">
        <v>361</v>
      </c>
      <c r="C17" s="373" t="s">
        <v>364</v>
      </c>
      <c r="D17" s="102">
        <v>2.4900000000000002</v>
      </c>
      <c r="E17" s="102">
        <v>0.32</v>
      </c>
      <c r="F17" s="102"/>
      <c r="G17" s="102"/>
      <c r="H17" s="102"/>
      <c r="I17" s="102"/>
      <c r="J17" s="102"/>
      <c r="K17" s="102"/>
      <c r="L17" s="102"/>
      <c r="M17" s="102"/>
    </row>
    <row r="18" spans="1:13" s="12" customFormat="1" ht="23.25" customHeight="1">
      <c r="A18" s="110" t="s">
        <v>365</v>
      </c>
      <c r="B18" s="373" t="s">
        <v>359</v>
      </c>
      <c r="C18" s="373" t="s">
        <v>366</v>
      </c>
      <c r="D18" s="102">
        <v>1.1100000000000001</v>
      </c>
      <c r="E18" s="102">
        <v>0.46</v>
      </c>
      <c r="F18" s="102"/>
      <c r="G18" s="102"/>
      <c r="H18" s="102"/>
      <c r="I18" s="102"/>
      <c r="J18" s="102"/>
      <c r="K18" s="102"/>
      <c r="L18" s="102"/>
      <c r="M18" s="102"/>
    </row>
    <row r="19" spans="1:13" s="12" customFormat="1" ht="23.25" customHeight="1">
      <c r="A19" s="110"/>
      <c r="B19" s="373" t="s">
        <v>361</v>
      </c>
      <c r="C19" s="373" t="s">
        <v>367</v>
      </c>
      <c r="D19" s="102">
        <v>4.41</v>
      </c>
      <c r="E19" s="102">
        <v>0.46</v>
      </c>
      <c r="F19" s="102"/>
      <c r="G19" s="102"/>
      <c r="H19" s="102"/>
      <c r="I19" s="102"/>
      <c r="J19" s="102"/>
      <c r="K19" s="102"/>
      <c r="L19" s="102"/>
      <c r="M19" s="102"/>
    </row>
    <row r="20" spans="1:13" s="12" customFormat="1" ht="23.25" customHeight="1">
      <c r="A20" s="110" t="s">
        <v>368</v>
      </c>
      <c r="B20" s="373" t="s">
        <v>359</v>
      </c>
      <c r="C20" s="373" t="s">
        <v>366</v>
      </c>
      <c r="D20" s="102">
        <v>3.38</v>
      </c>
      <c r="E20" s="102">
        <v>1.66</v>
      </c>
      <c r="F20" s="102"/>
      <c r="G20" s="102"/>
      <c r="H20" s="102"/>
      <c r="I20" s="102"/>
      <c r="J20" s="102"/>
      <c r="K20" s="102"/>
      <c r="L20" s="102"/>
      <c r="M20" s="102"/>
    </row>
    <row r="21" spans="1:13" s="12" customFormat="1" ht="23.25" customHeight="1">
      <c r="A21" s="110"/>
      <c r="B21" s="373" t="s">
        <v>361</v>
      </c>
      <c r="C21" s="373" t="s">
        <v>369</v>
      </c>
      <c r="D21" s="102">
        <v>8.94</v>
      </c>
      <c r="E21" s="102">
        <v>1.66</v>
      </c>
      <c r="F21" s="102"/>
      <c r="G21" s="102"/>
      <c r="H21" s="102"/>
      <c r="I21" s="102"/>
      <c r="J21" s="102"/>
      <c r="K21" s="102"/>
      <c r="L21" s="102"/>
      <c r="M21" s="102"/>
    </row>
    <row r="22" spans="1:13" s="12" customFormat="1" ht="23.25" customHeight="1">
      <c r="A22" s="110" t="s">
        <v>222</v>
      </c>
      <c r="B22" s="373" t="s">
        <v>359</v>
      </c>
      <c r="C22" s="373" t="s">
        <v>370</v>
      </c>
      <c r="D22" s="102">
        <v>12.36</v>
      </c>
      <c r="E22" s="102">
        <v>4.93</v>
      </c>
      <c r="F22" s="102"/>
      <c r="G22" s="102"/>
      <c r="H22" s="102"/>
      <c r="I22" s="102"/>
      <c r="J22" s="102"/>
      <c r="K22" s="102"/>
      <c r="L22" s="102"/>
      <c r="M22" s="102"/>
    </row>
    <row r="23" spans="1:13" s="12" customFormat="1" ht="23.25" customHeight="1">
      <c r="A23" s="110"/>
      <c r="B23" s="373" t="s">
        <v>361</v>
      </c>
      <c r="C23" s="373" t="s">
        <v>360</v>
      </c>
      <c r="D23" s="102">
        <v>99.98</v>
      </c>
      <c r="E23" s="102">
        <v>4.96</v>
      </c>
      <c r="F23" s="102"/>
      <c r="G23" s="102"/>
      <c r="H23" s="102"/>
      <c r="I23" s="102"/>
      <c r="J23" s="102"/>
      <c r="K23" s="102"/>
      <c r="L23" s="102"/>
      <c r="M23" s="102"/>
    </row>
    <row r="24" spans="1:13" s="12" customFormat="1" ht="23.25" customHeight="1">
      <c r="A24" s="110" t="s">
        <v>371</v>
      </c>
      <c r="B24" s="373" t="s">
        <v>359</v>
      </c>
      <c r="C24" s="373" t="s">
        <v>370</v>
      </c>
      <c r="D24" s="102">
        <v>3.17</v>
      </c>
      <c r="E24" s="102">
        <v>1.78</v>
      </c>
      <c r="F24" s="102"/>
      <c r="G24" s="102"/>
      <c r="H24" s="102"/>
      <c r="I24" s="102"/>
      <c r="J24" s="102"/>
      <c r="K24" s="102"/>
      <c r="L24" s="102"/>
      <c r="M24" s="102"/>
    </row>
    <row r="25" spans="1:13" s="12" customFormat="1" ht="23.25" customHeight="1">
      <c r="A25" s="110"/>
      <c r="B25" s="102" t="s">
        <v>372</v>
      </c>
      <c r="C25" s="102" t="s">
        <v>373</v>
      </c>
      <c r="D25" s="102">
        <v>38.82</v>
      </c>
      <c r="E25" s="102">
        <v>1.77</v>
      </c>
      <c r="F25" s="102"/>
      <c r="G25" s="102"/>
      <c r="H25" s="102"/>
      <c r="I25" s="102"/>
      <c r="J25" s="102"/>
      <c r="K25" s="102"/>
      <c r="L25" s="102"/>
      <c r="M25" s="102"/>
    </row>
    <row r="26" spans="1:13" s="12" customFormat="1" ht="23.25" customHeight="1">
      <c r="A26" s="110"/>
      <c r="B26" s="102" t="s">
        <v>374</v>
      </c>
      <c r="C26" s="102" t="s">
        <v>375</v>
      </c>
      <c r="D26" s="102"/>
      <c r="E26" s="102"/>
      <c r="F26" s="102"/>
      <c r="G26" s="102"/>
      <c r="H26" s="102"/>
      <c r="I26" s="102"/>
      <c r="J26" s="102"/>
      <c r="K26" s="102"/>
      <c r="L26" s="102"/>
      <c r="M26" s="102"/>
    </row>
    <row r="27" spans="1:13" s="12" customFormat="1" ht="23.25" customHeight="1">
      <c r="A27" s="416" t="s">
        <v>376</v>
      </c>
      <c r="B27" s="417" t="s">
        <v>359</v>
      </c>
      <c r="C27" s="417" t="s">
        <v>377</v>
      </c>
      <c r="D27" s="102">
        <v>2.75</v>
      </c>
      <c r="E27" s="418">
        <v>1.89</v>
      </c>
      <c r="F27" s="418"/>
      <c r="G27" s="418"/>
      <c r="H27" s="418"/>
      <c r="I27" s="418"/>
      <c r="J27" s="418"/>
      <c r="K27" s="418"/>
      <c r="L27" s="418"/>
      <c r="M27" s="418"/>
    </row>
    <row r="28" spans="1:13">
      <c r="A28" s="244" t="s">
        <v>378</v>
      </c>
      <c r="B28" s="245"/>
      <c r="C28" s="245"/>
      <c r="D28" s="245"/>
      <c r="E28" s="245"/>
      <c r="F28" s="245"/>
      <c r="G28" s="245"/>
      <c r="H28" s="245"/>
      <c r="I28" s="245"/>
      <c r="J28" s="245"/>
      <c r="K28" s="245"/>
      <c r="L28" s="245"/>
      <c r="M28" s="246"/>
    </row>
    <row r="29" spans="1:13">
      <c r="A29" s="83" t="s">
        <v>298</v>
      </c>
      <c r="B29" s="84"/>
      <c r="C29" s="84"/>
      <c r="D29" s="84"/>
      <c r="E29" s="84"/>
      <c r="F29" s="84"/>
      <c r="G29" s="84"/>
      <c r="H29" s="84"/>
      <c r="I29" s="84"/>
      <c r="J29" s="84"/>
      <c r="K29" s="84"/>
      <c r="L29" s="84"/>
      <c r="M29" s="85"/>
    </row>
    <row r="30" spans="1:13">
      <c r="A30" s="247"/>
      <c r="B30" s="247"/>
      <c r="C30" s="247"/>
      <c r="D30" s="247"/>
      <c r="E30" s="247"/>
      <c r="F30" s="247"/>
      <c r="G30" s="247"/>
      <c r="H30" s="247"/>
      <c r="I30" s="247"/>
      <c r="J30" s="247"/>
      <c r="K30" s="247"/>
      <c r="L30" s="247"/>
      <c r="M30" s="247"/>
    </row>
    <row r="31" spans="1:13">
      <c r="A31" s="204"/>
      <c r="B31" s="204"/>
      <c r="C31" s="204"/>
      <c r="D31" s="204"/>
      <c r="E31" s="204"/>
      <c r="F31" s="204"/>
      <c r="G31" s="204"/>
      <c r="H31" s="204"/>
      <c r="I31" s="204"/>
      <c r="J31" s="204"/>
      <c r="K31" s="204"/>
      <c r="L31" s="204"/>
      <c r="M31" s="204"/>
    </row>
    <row r="68" spans="6:6">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workbookViewId="0">
      <selection activeCell="B55" sqref="B55"/>
    </sheetView>
  </sheetViews>
  <sheetFormatPr defaultRowHeight="14.25"/>
  <cols>
    <col min="1" max="1" width="14" style="3" customWidth="1"/>
    <col min="2"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Newlincs Development IWMF</v>
      </c>
      <c r="F1" s="93"/>
      <c r="G1" s="93"/>
    </row>
    <row r="3" spans="1:19" ht="15">
      <c r="A3" s="60" t="s">
        <v>379</v>
      </c>
      <c r="D3" s="76" t="s">
        <v>380</v>
      </c>
      <c r="G3" s="80" t="s">
        <v>381</v>
      </c>
      <c r="J3" s="9" t="str">
        <f>+A3</f>
        <v>Monitoring of Hydrogen Chloride emissions</v>
      </c>
      <c r="L3" s="9"/>
      <c r="N3" s="9" t="s">
        <v>382</v>
      </c>
      <c r="Q3" s="79" t="s">
        <v>3</v>
      </c>
      <c r="R3" s="74"/>
      <c r="S3" s="74"/>
    </row>
    <row r="4" spans="1:19" ht="13.9" customHeight="1">
      <c r="Q4" s="243" t="s">
        <v>383</v>
      </c>
      <c r="R4" s="243"/>
      <c r="S4" s="243"/>
    </row>
    <row r="5" spans="1:19" ht="17.25">
      <c r="A5" s="68" t="s">
        <v>384</v>
      </c>
      <c r="B5" s="254" t="s">
        <v>385</v>
      </c>
      <c r="C5" s="254"/>
      <c r="D5" s="254"/>
      <c r="E5" s="254" t="s">
        <v>386</v>
      </c>
      <c r="F5" s="254"/>
      <c r="G5" s="254"/>
      <c r="J5" s="253"/>
      <c r="K5" s="253"/>
      <c r="L5" s="253"/>
      <c r="M5" s="253"/>
      <c r="N5" s="253"/>
      <c r="O5" s="253"/>
      <c r="Q5" s="243"/>
      <c r="R5" s="243"/>
      <c r="S5" s="243"/>
    </row>
    <row r="6" spans="1:19" s="58" customFormat="1" ht="37.5" customHeight="1">
      <c r="A6" s="65">
        <f>+'Cover Page'!C39</f>
        <v>2022</v>
      </c>
      <c r="B6" s="55" t="s">
        <v>387</v>
      </c>
      <c r="C6" s="55" t="s">
        <v>388</v>
      </c>
      <c r="D6" s="55" t="s">
        <v>389</v>
      </c>
      <c r="E6" s="55" t="s">
        <v>390</v>
      </c>
      <c r="F6" s="55" t="s">
        <v>391</v>
      </c>
      <c r="G6" s="55" t="s">
        <v>392</v>
      </c>
      <c r="H6" s="59"/>
      <c r="J6" s="61">
        <f>+A6</f>
        <v>2022</v>
      </c>
      <c r="K6" s="61" t="s">
        <v>393</v>
      </c>
      <c r="L6" s="67" t="s">
        <v>388</v>
      </c>
      <c r="M6" s="67" t="s">
        <v>394</v>
      </c>
      <c r="N6" s="67" t="s">
        <v>391</v>
      </c>
      <c r="O6" s="67" t="s">
        <v>395</v>
      </c>
      <c r="Q6" s="243"/>
      <c r="R6" s="243"/>
      <c r="S6" s="243"/>
    </row>
    <row r="7" spans="1:19" ht="13.9" customHeight="1">
      <c r="A7" s="66" t="s">
        <v>396</v>
      </c>
      <c r="B7" s="63">
        <v>60</v>
      </c>
      <c r="C7" s="64">
        <v>1.19</v>
      </c>
      <c r="D7" s="64">
        <v>8.7799999999999994</v>
      </c>
      <c r="E7" s="63">
        <v>10</v>
      </c>
      <c r="F7" s="64">
        <v>1.19</v>
      </c>
      <c r="G7" s="64">
        <v>3.31</v>
      </c>
      <c r="J7" s="252" t="s">
        <v>189</v>
      </c>
      <c r="K7" s="66" t="s">
        <v>396</v>
      </c>
      <c r="L7" s="64">
        <v>1.19</v>
      </c>
      <c r="M7" s="64">
        <v>8.7799999999999994</v>
      </c>
      <c r="N7" s="64">
        <v>1.19</v>
      </c>
      <c r="O7" s="64">
        <v>3.31</v>
      </c>
      <c r="Q7" s="243"/>
      <c r="R7" s="243"/>
      <c r="S7" s="243"/>
    </row>
    <row r="8" spans="1:19">
      <c r="A8" s="66" t="s">
        <v>397</v>
      </c>
      <c r="B8" s="63">
        <v>60</v>
      </c>
      <c r="C8" s="64">
        <v>1.64</v>
      </c>
      <c r="D8" s="64">
        <v>6.51</v>
      </c>
      <c r="E8" s="63">
        <v>10</v>
      </c>
      <c r="F8" s="64">
        <v>1.64</v>
      </c>
      <c r="G8" s="64">
        <v>2.4300000000000002</v>
      </c>
      <c r="J8" s="252"/>
      <c r="K8" s="66" t="s">
        <v>397</v>
      </c>
      <c r="L8" s="64">
        <v>1.64</v>
      </c>
      <c r="M8" s="64">
        <v>6.51</v>
      </c>
      <c r="N8" s="64">
        <v>1.64</v>
      </c>
      <c r="O8" s="64">
        <v>2.4300000000000002</v>
      </c>
      <c r="Q8" s="243"/>
      <c r="R8" s="243"/>
      <c r="S8" s="243"/>
    </row>
    <row r="9" spans="1:19" ht="15">
      <c r="A9" s="66" t="s">
        <v>398</v>
      </c>
      <c r="B9" s="63">
        <v>60</v>
      </c>
      <c r="C9" s="64">
        <v>2.2799999999999998</v>
      </c>
      <c r="D9" s="64">
        <v>15.21</v>
      </c>
      <c r="E9" s="63">
        <v>10</v>
      </c>
      <c r="F9" s="64">
        <v>2.2799999999999998</v>
      </c>
      <c r="G9" s="64">
        <v>4.34</v>
      </c>
      <c r="J9" s="252"/>
      <c r="K9" s="66" t="s">
        <v>398</v>
      </c>
      <c r="L9" s="64">
        <v>2.2799999999999998</v>
      </c>
      <c r="M9" s="64">
        <v>15.21</v>
      </c>
      <c r="N9" s="64">
        <v>2.2799999999999998</v>
      </c>
      <c r="O9" s="64">
        <v>4.34</v>
      </c>
      <c r="Q9" s="78" t="s">
        <v>399</v>
      </c>
    </row>
    <row r="10" spans="1:19" ht="13.9" customHeight="1">
      <c r="A10" s="66" t="s">
        <v>400</v>
      </c>
      <c r="B10" s="63">
        <v>60</v>
      </c>
      <c r="C10" s="64">
        <v>2.4300000000000002</v>
      </c>
      <c r="D10" s="64">
        <v>10.35</v>
      </c>
      <c r="E10" s="63">
        <v>10</v>
      </c>
      <c r="F10" s="64">
        <v>2.39</v>
      </c>
      <c r="G10" s="64">
        <v>4.34</v>
      </c>
      <c r="J10" s="252"/>
      <c r="K10" s="66" t="s">
        <v>400</v>
      </c>
      <c r="L10" s="64">
        <v>2.4300000000000002</v>
      </c>
      <c r="M10" s="64">
        <v>10.35</v>
      </c>
      <c r="N10" s="64">
        <v>2.39</v>
      </c>
      <c r="O10" s="64">
        <v>4.34</v>
      </c>
      <c r="Q10" s="251" t="s">
        <v>401</v>
      </c>
      <c r="R10" s="251"/>
      <c r="S10" s="251"/>
    </row>
    <row r="11" spans="1:19">
      <c r="A11" s="66" t="s">
        <v>402</v>
      </c>
      <c r="B11" s="63">
        <v>60</v>
      </c>
      <c r="C11" s="64">
        <v>2.4300000000000002</v>
      </c>
      <c r="D11" s="64">
        <v>8.66</v>
      </c>
      <c r="E11" s="63">
        <v>10</v>
      </c>
      <c r="F11" s="64">
        <v>2.4300000000000002</v>
      </c>
      <c r="G11" s="64">
        <v>4.1399999999999997</v>
      </c>
      <c r="J11" s="252"/>
      <c r="K11" s="66" t="s">
        <v>402</v>
      </c>
      <c r="L11" s="64">
        <v>2.4300000000000002</v>
      </c>
      <c r="M11" s="64">
        <v>8.66</v>
      </c>
      <c r="N11" s="64">
        <v>2.4300000000000002</v>
      </c>
      <c r="O11" s="64">
        <v>4.1399999999999997</v>
      </c>
      <c r="Q11" s="251"/>
      <c r="R11" s="251"/>
      <c r="S11" s="251"/>
    </row>
    <row r="12" spans="1:19">
      <c r="A12" s="66" t="s">
        <v>403</v>
      </c>
      <c r="B12" s="63">
        <v>60</v>
      </c>
      <c r="C12" s="64">
        <v>2.13</v>
      </c>
      <c r="D12" s="64">
        <v>14.12</v>
      </c>
      <c r="E12" s="63">
        <v>10</v>
      </c>
      <c r="F12" s="64">
        <v>2.13</v>
      </c>
      <c r="G12" s="64">
        <v>5.5</v>
      </c>
      <c r="J12" s="252"/>
      <c r="K12" s="66" t="s">
        <v>403</v>
      </c>
      <c r="L12" s="64">
        <v>2.13</v>
      </c>
      <c r="M12" s="64">
        <v>14.12</v>
      </c>
      <c r="N12" s="64">
        <v>2.13</v>
      </c>
      <c r="O12" s="64">
        <v>5.5</v>
      </c>
      <c r="Q12" s="251"/>
      <c r="R12" s="251"/>
      <c r="S12" s="251"/>
    </row>
    <row r="13" spans="1:19" ht="13.9" customHeight="1">
      <c r="A13" s="66" t="s">
        <v>404</v>
      </c>
      <c r="B13" s="63">
        <v>60</v>
      </c>
      <c r="C13" s="64">
        <v>1.53</v>
      </c>
      <c r="D13" s="64">
        <v>12.83</v>
      </c>
      <c r="E13" s="63">
        <v>10</v>
      </c>
      <c r="F13" s="64">
        <v>1.53</v>
      </c>
      <c r="G13" s="64">
        <v>3.19</v>
      </c>
      <c r="J13" s="252"/>
      <c r="K13" s="66" t="s">
        <v>404</v>
      </c>
      <c r="L13" s="64">
        <v>1.53</v>
      </c>
      <c r="M13" s="64">
        <v>12.83</v>
      </c>
      <c r="N13" s="64">
        <v>1.53</v>
      </c>
      <c r="O13" s="64">
        <v>3.19</v>
      </c>
      <c r="Q13" s="251" t="s">
        <v>405</v>
      </c>
      <c r="R13" s="251"/>
      <c r="S13" s="251"/>
    </row>
    <row r="14" spans="1:19">
      <c r="A14" s="66" t="s">
        <v>406</v>
      </c>
      <c r="B14" s="63">
        <v>60</v>
      </c>
      <c r="C14" s="64">
        <v>1.39</v>
      </c>
      <c r="D14" s="64">
        <v>8.3800000000000008</v>
      </c>
      <c r="E14" s="63">
        <v>10</v>
      </c>
      <c r="F14" s="64">
        <v>1.39</v>
      </c>
      <c r="G14" s="64">
        <v>3.21</v>
      </c>
      <c r="J14" s="252"/>
      <c r="K14" s="66" t="s">
        <v>406</v>
      </c>
      <c r="L14" s="64">
        <v>1.39</v>
      </c>
      <c r="M14" s="64">
        <v>8.3800000000000008</v>
      </c>
      <c r="N14" s="64">
        <v>1.39</v>
      </c>
      <c r="O14" s="64">
        <v>3.21</v>
      </c>
      <c r="Q14" s="251"/>
      <c r="R14" s="251"/>
      <c r="S14" s="251"/>
    </row>
    <row r="15" spans="1:19">
      <c r="A15" s="66" t="s">
        <v>407</v>
      </c>
      <c r="B15" s="63">
        <v>60</v>
      </c>
      <c r="C15" s="64">
        <v>1.17</v>
      </c>
      <c r="D15" s="64">
        <v>6.29</v>
      </c>
      <c r="E15" s="63">
        <v>10</v>
      </c>
      <c r="F15" s="64">
        <v>1.17</v>
      </c>
      <c r="G15" s="64">
        <v>2.75</v>
      </c>
      <c r="J15" s="252"/>
      <c r="K15" s="66" t="s">
        <v>407</v>
      </c>
      <c r="L15" s="64">
        <v>1.17</v>
      </c>
      <c r="M15" s="64">
        <v>6.29</v>
      </c>
      <c r="N15" s="64">
        <v>1.17</v>
      </c>
      <c r="O15" s="64">
        <v>2.75</v>
      </c>
      <c r="Q15" s="251"/>
      <c r="R15" s="251"/>
      <c r="S15" s="251"/>
    </row>
    <row r="16" spans="1:19">
      <c r="A16" s="66" t="s">
        <v>408</v>
      </c>
      <c r="B16" s="63">
        <v>60</v>
      </c>
      <c r="C16" s="64">
        <v>1.1299999999999999</v>
      </c>
      <c r="D16" s="64">
        <v>6.21</v>
      </c>
      <c r="E16" s="63">
        <v>10</v>
      </c>
      <c r="F16" s="64">
        <v>1.1299999999999999</v>
      </c>
      <c r="G16" s="64">
        <v>2.4900000000000002</v>
      </c>
      <c r="J16" s="252"/>
      <c r="K16" s="66" t="s">
        <v>408</v>
      </c>
      <c r="L16" s="64">
        <v>1.1299999999999999</v>
      </c>
      <c r="M16" s="64">
        <v>6.21</v>
      </c>
      <c r="N16" s="64">
        <v>1.1299999999999999</v>
      </c>
      <c r="O16" s="64">
        <v>2.4900000000000002</v>
      </c>
      <c r="Q16" s="251"/>
      <c r="R16" s="251"/>
      <c r="S16" s="251"/>
    </row>
    <row r="17" spans="1:15">
      <c r="A17" s="66" t="s">
        <v>409</v>
      </c>
      <c r="B17" s="63">
        <v>60</v>
      </c>
      <c r="C17" s="64">
        <v>1.34</v>
      </c>
      <c r="D17" s="64">
        <v>3.74</v>
      </c>
      <c r="E17" s="63">
        <v>10</v>
      </c>
      <c r="F17" s="64">
        <v>1.32</v>
      </c>
      <c r="G17" s="64">
        <v>2.68</v>
      </c>
      <c r="J17" s="252"/>
      <c r="K17" s="66" t="s">
        <v>409</v>
      </c>
      <c r="L17" s="64">
        <v>1.34</v>
      </c>
      <c r="M17" s="64">
        <v>3.74</v>
      </c>
      <c r="N17" s="64">
        <v>1.32</v>
      </c>
      <c r="O17" s="64">
        <v>2.68</v>
      </c>
    </row>
    <row r="18" spans="1:15">
      <c r="A18" s="66" t="s">
        <v>410</v>
      </c>
      <c r="B18" s="63">
        <v>60</v>
      </c>
      <c r="C18" s="64">
        <v>1.27</v>
      </c>
      <c r="D18" s="64">
        <v>6.18</v>
      </c>
      <c r="E18" s="63">
        <v>10</v>
      </c>
      <c r="F18" s="64">
        <v>1.27</v>
      </c>
      <c r="G18" s="64">
        <v>2.19</v>
      </c>
      <c r="J18" s="252"/>
      <c r="K18" s="66" t="s">
        <v>410</v>
      </c>
      <c r="L18" s="64">
        <v>1.27</v>
      </c>
      <c r="M18" s="64">
        <v>6.18</v>
      </c>
      <c r="N18" s="64">
        <v>1.27</v>
      </c>
      <c r="O18" s="64">
        <v>2.19</v>
      </c>
    </row>
    <row r="19" spans="1:15">
      <c r="J19" s="252"/>
      <c r="K19" s="62" t="s">
        <v>411</v>
      </c>
      <c r="L19" s="62">
        <f>AVERAGE(L7:L18)</f>
        <v>1.6608333333333329</v>
      </c>
      <c r="M19" s="62">
        <f>MAX(M7:M18)</f>
        <v>15.21</v>
      </c>
      <c r="N19" s="62">
        <f>AVERAGE(N7:N18)</f>
        <v>1.655833333333333</v>
      </c>
      <c r="O19" s="62">
        <f>MAX(O7:O18)</f>
        <v>5.5</v>
      </c>
    </row>
    <row r="21" spans="1:15" ht="30">
      <c r="J21" s="61">
        <f>+A6</f>
        <v>2022</v>
      </c>
      <c r="K21" s="61" t="s">
        <v>393</v>
      </c>
      <c r="L21" s="67" t="s">
        <v>388</v>
      </c>
      <c r="M21" s="67" t="s">
        <v>394</v>
      </c>
      <c r="N21" s="67" t="s">
        <v>391</v>
      </c>
      <c r="O21" s="67" t="s">
        <v>395</v>
      </c>
    </row>
    <row r="22" spans="1:15">
      <c r="J22" s="252" t="s">
        <v>190</v>
      </c>
      <c r="K22" s="66" t="s">
        <v>396</v>
      </c>
      <c r="L22" s="64"/>
      <c r="M22" s="64"/>
      <c r="N22" s="64"/>
      <c r="O22" s="64"/>
    </row>
    <row r="23" spans="1:15">
      <c r="J23" s="252"/>
      <c r="K23" s="66" t="s">
        <v>397</v>
      </c>
      <c r="L23" s="64"/>
      <c r="M23" s="64"/>
      <c r="N23" s="64"/>
      <c r="O23" s="64"/>
    </row>
    <row r="24" spans="1:15">
      <c r="J24" s="252"/>
      <c r="K24" s="66" t="s">
        <v>398</v>
      </c>
      <c r="L24" s="64"/>
      <c r="M24" s="64"/>
      <c r="N24" s="64"/>
      <c r="O24" s="64"/>
    </row>
    <row r="25" spans="1:15">
      <c r="J25" s="252"/>
      <c r="K25" s="66" t="s">
        <v>400</v>
      </c>
      <c r="L25" s="64"/>
      <c r="M25" s="64"/>
      <c r="N25" s="64"/>
      <c r="O25" s="64"/>
    </row>
    <row r="26" spans="1:15">
      <c r="J26" s="252"/>
      <c r="K26" s="66" t="s">
        <v>402</v>
      </c>
      <c r="L26" s="64"/>
      <c r="M26" s="64"/>
      <c r="N26" s="64"/>
      <c r="O26" s="64"/>
    </row>
    <row r="27" spans="1:15">
      <c r="J27" s="252"/>
      <c r="K27" s="66" t="s">
        <v>403</v>
      </c>
      <c r="L27" s="64"/>
      <c r="M27" s="64"/>
      <c r="N27" s="64"/>
      <c r="O27" s="64"/>
    </row>
    <row r="28" spans="1:15">
      <c r="J28" s="252"/>
      <c r="K28" s="66" t="s">
        <v>404</v>
      </c>
      <c r="L28" s="64"/>
      <c r="M28" s="64"/>
      <c r="N28" s="64"/>
      <c r="O28" s="64"/>
    </row>
    <row r="29" spans="1:15">
      <c r="J29" s="252"/>
      <c r="K29" s="66" t="s">
        <v>406</v>
      </c>
      <c r="L29" s="64"/>
      <c r="M29" s="64"/>
      <c r="N29" s="64"/>
      <c r="O29" s="64"/>
    </row>
    <row r="30" spans="1:15">
      <c r="J30" s="252"/>
      <c r="K30" s="66" t="s">
        <v>407</v>
      </c>
      <c r="L30" s="64"/>
      <c r="M30" s="64"/>
      <c r="N30" s="64"/>
      <c r="O30" s="64"/>
    </row>
    <row r="31" spans="1:15">
      <c r="J31" s="252"/>
      <c r="K31" s="66" t="s">
        <v>408</v>
      </c>
      <c r="L31" s="64"/>
      <c r="M31" s="64"/>
      <c r="N31" s="64"/>
      <c r="O31" s="64"/>
    </row>
    <row r="32" spans="1:15">
      <c r="J32" s="252"/>
      <c r="K32" s="66" t="s">
        <v>409</v>
      </c>
      <c r="L32" s="64"/>
      <c r="M32" s="64"/>
      <c r="N32" s="64"/>
      <c r="O32" s="64"/>
    </row>
    <row r="33" spans="1:15">
      <c r="J33" s="252"/>
      <c r="K33" s="66" t="s">
        <v>410</v>
      </c>
      <c r="L33" s="64"/>
      <c r="M33" s="64"/>
      <c r="N33" s="64"/>
      <c r="O33" s="64"/>
    </row>
    <row r="34" spans="1:15">
      <c r="J34" s="252"/>
      <c r="K34" s="62" t="s">
        <v>411</v>
      </c>
      <c r="L34" s="62" t="e">
        <f>AVERAGE(L22:L33)</f>
        <v>#DIV/0!</v>
      </c>
      <c r="M34" s="62">
        <f>MAX(M22:M33)</f>
        <v>0</v>
      </c>
      <c r="N34" s="62" t="e">
        <f>AVERAGE(N22:N33)</f>
        <v>#DIV/0!</v>
      </c>
      <c r="O34" s="62">
        <f>MAX(O22:O33)</f>
        <v>0</v>
      </c>
    </row>
    <row r="36" spans="1:15" ht="30">
      <c r="J36" s="61">
        <f>+A6</f>
        <v>2022</v>
      </c>
      <c r="K36" s="61" t="s">
        <v>393</v>
      </c>
      <c r="L36" s="67" t="s">
        <v>388</v>
      </c>
      <c r="M36" s="67" t="s">
        <v>394</v>
      </c>
      <c r="N36" s="67" t="s">
        <v>391</v>
      </c>
      <c r="O36" s="67" t="s">
        <v>395</v>
      </c>
    </row>
    <row r="37" spans="1:15">
      <c r="J37" s="252" t="s">
        <v>191</v>
      </c>
      <c r="K37" s="66" t="s">
        <v>396</v>
      </c>
      <c r="L37" s="64"/>
      <c r="M37" s="64"/>
      <c r="N37" s="64"/>
      <c r="O37" s="64"/>
    </row>
    <row r="38" spans="1:15">
      <c r="J38" s="252"/>
      <c r="K38" s="66" t="s">
        <v>397</v>
      </c>
      <c r="L38" s="64"/>
      <c r="M38" s="64"/>
      <c r="N38" s="64"/>
      <c r="O38" s="64"/>
    </row>
    <row r="39" spans="1:15">
      <c r="J39" s="252"/>
      <c r="K39" s="66" t="s">
        <v>398</v>
      </c>
      <c r="L39" s="64"/>
      <c r="M39" s="64"/>
      <c r="N39" s="64"/>
      <c r="O39" s="64"/>
    </row>
    <row r="40" spans="1:15">
      <c r="J40" s="252"/>
      <c r="K40" s="66" t="s">
        <v>400</v>
      </c>
      <c r="L40" s="64"/>
      <c r="M40" s="64"/>
      <c r="N40" s="64"/>
      <c r="O40" s="64"/>
    </row>
    <row r="41" spans="1:15">
      <c r="J41" s="252"/>
      <c r="K41" s="66" t="s">
        <v>402</v>
      </c>
      <c r="L41" s="64"/>
      <c r="M41" s="64"/>
      <c r="N41" s="64"/>
      <c r="O41" s="64"/>
    </row>
    <row r="42" spans="1:15">
      <c r="J42" s="252"/>
      <c r="K42" s="66" t="s">
        <v>403</v>
      </c>
      <c r="L42" s="64"/>
      <c r="M42" s="64"/>
      <c r="N42" s="64"/>
      <c r="O42" s="64"/>
    </row>
    <row r="43" spans="1:15">
      <c r="J43" s="252"/>
      <c r="K43" s="66" t="s">
        <v>404</v>
      </c>
      <c r="L43" s="64"/>
      <c r="M43" s="64"/>
      <c r="N43" s="64"/>
      <c r="O43" s="64"/>
    </row>
    <row r="44" spans="1:15">
      <c r="J44" s="252"/>
      <c r="K44" s="66" t="s">
        <v>406</v>
      </c>
      <c r="L44" s="64"/>
      <c r="M44" s="64"/>
      <c r="N44" s="64"/>
      <c r="O44" s="64"/>
    </row>
    <row r="45" spans="1:15">
      <c r="J45" s="252"/>
      <c r="K45" s="66" t="s">
        <v>407</v>
      </c>
      <c r="L45" s="64"/>
      <c r="M45" s="64"/>
      <c r="N45" s="64"/>
      <c r="O45" s="64"/>
    </row>
    <row r="46" spans="1:15">
      <c r="J46" s="252"/>
      <c r="K46" s="66" t="s">
        <v>408</v>
      </c>
      <c r="L46" s="64"/>
      <c r="M46" s="64"/>
      <c r="N46" s="64"/>
      <c r="O46" s="64"/>
    </row>
    <row r="47" spans="1:15">
      <c r="J47" s="252"/>
      <c r="K47" s="66" t="s">
        <v>409</v>
      </c>
      <c r="L47" s="64"/>
      <c r="M47" s="64"/>
      <c r="N47" s="64"/>
      <c r="O47" s="64"/>
    </row>
    <row r="48" spans="1:15" ht="15">
      <c r="A48" s="258" t="s">
        <v>298</v>
      </c>
      <c r="B48" s="259"/>
      <c r="C48" s="259"/>
      <c r="D48" s="259"/>
      <c r="E48" s="259"/>
      <c r="F48" s="259"/>
      <c r="G48" s="260"/>
      <c r="J48" s="252"/>
      <c r="K48" s="66" t="s">
        <v>410</v>
      </c>
      <c r="L48" s="64"/>
      <c r="M48" s="64"/>
      <c r="N48" s="64"/>
      <c r="O48" s="64"/>
    </row>
    <row r="49" spans="1:15">
      <c r="A49" s="224"/>
      <c r="B49" s="225"/>
      <c r="C49" s="225"/>
      <c r="D49" s="225"/>
      <c r="E49" s="225"/>
      <c r="F49" s="225"/>
      <c r="G49" s="226"/>
      <c r="J49" s="252"/>
      <c r="K49" s="62" t="s">
        <v>411</v>
      </c>
      <c r="L49" s="62" t="e">
        <f>AVERAGE(L37:L48)</f>
        <v>#DIV/0!</v>
      </c>
      <c r="M49" s="62">
        <f>MAX(M37:M48)</f>
        <v>0</v>
      </c>
      <c r="N49" s="62" t="e">
        <f>AVERAGE(N37:N48)</f>
        <v>#DIV/0!</v>
      </c>
      <c r="O49" s="62">
        <f>MAX(O37:O48)</f>
        <v>0</v>
      </c>
    </row>
    <row r="50" spans="1:15">
      <c r="A50" s="255"/>
      <c r="B50" s="256"/>
      <c r="C50" s="256"/>
      <c r="D50" s="256"/>
      <c r="E50" s="256"/>
      <c r="F50" s="256"/>
      <c r="G50" s="257"/>
    </row>
    <row r="51" spans="1:15" ht="30">
      <c r="A51" s="255"/>
      <c r="B51" s="256"/>
      <c r="C51" s="256"/>
      <c r="D51" s="256"/>
      <c r="E51" s="256"/>
      <c r="F51" s="256"/>
      <c r="G51" s="257"/>
      <c r="J51" s="61">
        <f>+A6</f>
        <v>2022</v>
      </c>
      <c r="K51" s="61" t="s">
        <v>393</v>
      </c>
      <c r="L51" s="67" t="s">
        <v>388</v>
      </c>
      <c r="M51" s="67" t="s">
        <v>394</v>
      </c>
      <c r="N51" s="67" t="s">
        <v>391</v>
      </c>
      <c r="O51" s="67" t="s">
        <v>395</v>
      </c>
    </row>
    <row r="52" spans="1:15">
      <c r="A52" s="227"/>
      <c r="B52" s="228"/>
      <c r="C52" s="228"/>
      <c r="D52" s="228"/>
      <c r="E52" s="228"/>
      <c r="F52" s="228"/>
      <c r="G52" s="229"/>
      <c r="J52" s="252" t="s">
        <v>192</v>
      </c>
      <c r="K52" s="66" t="s">
        <v>396</v>
      </c>
      <c r="L52" s="64"/>
      <c r="M52" s="64"/>
      <c r="N52" s="64"/>
      <c r="O52" s="64"/>
    </row>
    <row r="53" spans="1:15">
      <c r="J53" s="252"/>
      <c r="K53" s="66" t="s">
        <v>397</v>
      </c>
      <c r="L53" s="64"/>
      <c r="M53" s="64"/>
      <c r="N53" s="64"/>
      <c r="O53" s="64"/>
    </row>
    <row r="54" spans="1:15">
      <c r="J54" s="252"/>
      <c r="K54" s="66" t="s">
        <v>398</v>
      </c>
      <c r="L54" s="64"/>
      <c r="M54" s="64"/>
      <c r="N54" s="64"/>
      <c r="O54" s="64"/>
    </row>
    <row r="55" spans="1:15">
      <c r="J55" s="252"/>
      <c r="K55" s="66" t="s">
        <v>400</v>
      </c>
      <c r="L55" s="64"/>
      <c r="M55" s="64"/>
      <c r="N55" s="64"/>
      <c r="O55" s="64"/>
    </row>
    <row r="56" spans="1:15">
      <c r="J56" s="252"/>
      <c r="K56" s="66" t="s">
        <v>402</v>
      </c>
      <c r="L56" s="64"/>
      <c r="M56" s="64"/>
      <c r="N56" s="64"/>
      <c r="O56" s="64"/>
    </row>
    <row r="57" spans="1:15">
      <c r="J57" s="252"/>
      <c r="K57" s="66" t="s">
        <v>403</v>
      </c>
      <c r="L57" s="64"/>
      <c r="M57" s="64"/>
      <c r="N57" s="64"/>
      <c r="O57" s="64"/>
    </row>
    <row r="58" spans="1:15">
      <c r="J58" s="252"/>
      <c r="K58" s="66" t="s">
        <v>404</v>
      </c>
      <c r="L58" s="64"/>
      <c r="M58" s="64"/>
      <c r="N58" s="64"/>
      <c r="O58" s="64"/>
    </row>
    <row r="59" spans="1:15">
      <c r="J59" s="252"/>
      <c r="K59" s="66" t="s">
        <v>406</v>
      </c>
      <c r="L59" s="64"/>
      <c r="M59" s="64"/>
      <c r="N59" s="64"/>
      <c r="O59" s="64"/>
    </row>
    <row r="60" spans="1:15">
      <c r="J60" s="252"/>
      <c r="K60" s="66" t="s">
        <v>407</v>
      </c>
      <c r="L60" s="64"/>
      <c r="M60" s="64"/>
      <c r="N60" s="64"/>
      <c r="O60" s="64"/>
    </row>
    <row r="61" spans="1:15">
      <c r="J61" s="252"/>
      <c r="K61" s="66" t="s">
        <v>408</v>
      </c>
      <c r="L61" s="64"/>
      <c r="M61" s="64"/>
      <c r="N61" s="64"/>
      <c r="O61" s="64"/>
    </row>
    <row r="62" spans="1:15">
      <c r="J62" s="252"/>
      <c r="K62" s="66" t="s">
        <v>409</v>
      </c>
      <c r="L62" s="64"/>
      <c r="M62" s="64"/>
      <c r="N62" s="64"/>
      <c r="O62" s="64"/>
    </row>
    <row r="63" spans="1:15">
      <c r="J63" s="252"/>
      <c r="K63" s="66" t="s">
        <v>410</v>
      </c>
      <c r="L63" s="64"/>
      <c r="M63" s="64"/>
      <c r="N63" s="64"/>
      <c r="O63" s="64"/>
    </row>
    <row r="64" spans="1:15">
      <c r="J64" s="252"/>
      <c r="K64" s="62" t="s">
        <v>411</v>
      </c>
      <c r="L64" s="62" t="e">
        <f>AVERAGE(L52:L63)</f>
        <v>#DIV/0!</v>
      </c>
      <c r="M64" s="62">
        <f>MAX(M52:M63)</f>
        <v>0</v>
      </c>
      <c r="N64" s="62" t="e">
        <f>AVERAGE(N52:N63)</f>
        <v>#DIV/0!</v>
      </c>
      <c r="O64" s="62">
        <f>MAX(O52:O63)</f>
        <v>0</v>
      </c>
    </row>
    <row r="66" spans="10:15" ht="30">
      <c r="J66" s="61">
        <f>+A6</f>
        <v>2022</v>
      </c>
      <c r="K66" s="61" t="s">
        <v>393</v>
      </c>
      <c r="L66" s="67" t="s">
        <v>388</v>
      </c>
      <c r="M66" s="67" t="s">
        <v>394</v>
      </c>
      <c r="N66" s="67" t="s">
        <v>391</v>
      </c>
      <c r="O66" s="67" t="s">
        <v>395</v>
      </c>
    </row>
    <row r="67" spans="10:15">
      <c r="J67" s="252" t="s">
        <v>193</v>
      </c>
      <c r="K67" s="66" t="s">
        <v>396</v>
      </c>
      <c r="L67" s="64"/>
      <c r="M67" s="64"/>
      <c r="N67" s="64"/>
      <c r="O67" s="64"/>
    </row>
    <row r="68" spans="10:15">
      <c r="J68" s="252"/>
      <c r="K68" s="66" t="s">
        <v>397</v>
      </c>
      <c r="L68" s="64"/>
      <c r="M68" s="64"/>
      <c r="N68" s="64"/>
      <c r="O68" s="64"/>
    </row>
    <row r="69" spans="10:15">
      <c r="J69" s="252"/>
      <c r="K69" s="66" t="s">
        <v>398</v>
      </c>
      <c r="L69" s="64"/>
      <c r="M69" s="64"/>
      <c r="N69" s="64"/>
      <c r="O69" s="64"/>
    </row>
    <row r="70" spans="10:15">
      <c r="J70" s="252"/>
      <c r="K70" s="66" t="s">
        <v>400</v>
      </c>
      <c r="L70" s="64"/>
      <c r="M70" s="64"/>
      <c r="N70" s="64"/>
      <c r="O70" s="64"/>
    </row>
    <row r="71" spans="10:15">
      <c r="J71" s="252"/>
      <c r="K71" s="66" t="s">
        <v>402</v>
      </c>
      <c r="L71" s="64"/>
      <c r="M71" s="64"/>
      <c r="N71" s="64"/>
      <c r="O71" s="64"/>
    </row>
    <row r="72" spans="10:15">
      <c r="J72" s="252"/>
      <c r="K72" s="66" t="s">
        <v>403</v>
      </c>
      <c r="L72" s="64"/>
      <c r="M72" s="64"/>
      <c r="N72" s="64"/>
      <c r="O72" s="64"/>
    </row>
    <row r="73" spans="10:15">
      <c r="J73" s="252"/>
      <c r="K73" s="66" t="s">
        <v>404</v>
      </c>
      <c r="L73" s="64"/>
      <c r="M73" s="64"/>
      <c r="N73" s="64"/>
      <c r="O73" s="64"/>
    </row>
    <row r="74" spans="10:15">
      <c r="J74" s="252"/>
      <c r="K74" s="66" t="s">
        <v>406</v>
      </c>
      <c r="L74" s="64"/>
      <c r="M74" s="64"/>
      <c r="N74" s="64"/>
      <c r="O74" s="64"/>
    </row>
    <row r="75" spans="10:15">
      <c r="J75" s="252"/>
      <c r="K75" s="66" t="s">
        <v>407</v>
      </c>
      <c r="L75" s="64"/>
      <c r="M75" s="64"/>
      <c r="N75" s="64"/>
      <c r="O75" s="64"/>
    </row>
    <row r="76" spans="10:15">
      <c r="J76" s="252"/>
      <c r="K76" s="66" t="s">
        <v>408</v>
      </c>
      <c r="L76" s="64"/>
      <c r="M76" s="64"/>
      <c r="N76" s="64"/>
      <c r="O76" s="64"/>
    </row>
    <row r="77" spans="10:15">
      <c r="J77" s="252"/>
      <c r="K77" s="66" t="s">
        <v>409</v>
      </c>
      <c r="L77" s="64"/>
      <c r="M77" s="64"/>
      <c r="N77" s="64"/>
      <c r="O77" s="64"/>
    </row>
    <row r="78" spans="10:15">
      <c r="J78" s="252"/>
      <c r="K78" s="66" t="s">
        <v>410</v>
      </c>
      <c r="L78" s="64"/>
      <c r="M78" s="64"/>
      <c r="N78" s="64"/>
      <c r="O78" s="64"/>
    </row>
    <row r="79" spans="10:15">
      <c r="J79" s="252"/>
      <c r="K79" s="62" t="s">
        <v>411</v>
      </c>
      <c r="L79" s="62" t="e">
        <f>AVERAGE(L67:L78)</f>
        <v>#DIV/0!</v>
      </c>
      <c r="M79" s="62">
        <f>MAX(M67:M78)</f>
        <v>0</v>
      </c>
      <c r="N79" s="62" t="e">
        <f>AVERAGE(N67:N78)</f>
        <v>#DIV/0!</v>
      </c>
      <c r="O79" s="62">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topLeftCell="A8" workbookViewId="0">
      <selection activeCell="B55" sqref="B55"/>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Newlincs Development IWMF</v>
      </c>
      <c r="F1" s="93"/>
      <c r="G1" s="93"/>
    </row>
    <row r="3" spans="1:19" ht="15">
      <c r="A3" s="60" t="s">
        <v>412</v>
      </c>
      <c r="D3" s="76" t="s">
        <v>380</v>
      </c>
      <c r="G3" s="80" t="s">
        <v>381</v>
      </c>
      <c r="J3" s="9" t="str">
        <f>+A3</f>
        <v>Monitoring of Sulphur dioxide emissions</v>
      </c>
      <c r="L3" s="9"/>
      <c r="N3" s="9" t="s">
        <v>382</v>
      </c>
      <c r="Q3" s="79" t="s">
        <v>3</v>
      </c>
      <c r="R3" s="74"/>
      <c r="S3" s="74"/>
    </row>
    <row r="4" spans="1:19" ht="13.9" customHeight="1">
      <c r="Q4" s="243" t="s">
        <v>383</v>
      </c>
      <c r="R4" s="243"/>
      <c r="S4" s="243"/>
    </row>
    <row r="5" spans="1:19" ht="17.25">
      <c r="A5" s="68" t="s">
        <v>384</v>
      </c>
      <c r="B5" s="254" t="s">
        <v>385</v>
      </c>
      <c r="C5" s="254"/>
      <c r="D5" s="254"/>
      <c r="E5" s="254" t="s">
        <v>386</v>
      </c>
      <c r="F5" s="254"/>
      <c r="G5" s="254"/>
      <c r="J5" s="253"/>
      <c r="K5" s="253"/>
      <c r="L5" s="253"/>
      <c r="M5" s="253"/>
      <c r="N5" s="253"/>
      <c r="O5" s="253"/>
      <c r="Q5" s="243"/>
      <c r="R5" s="243"/>
      <c r="S5" s="243"/>
    </row>
    <row r="6" spans="1:19" s="58" customFormat="1" ht="37.5" customHeight="1">
      <c r="A6" s="65">
        <f>+'Cover Page'!C39</f>
        <v>2022</v>
      </c>
      <c r="B6" s="55" t="s">
        <v>413</v>
      </c>
      <c r="C6" s="55" t="s">
        <v>388</v>
      </c>
      <c r="D6" s="55" t="s">
        <v>389</v>
      </c>
      <c r="E6" s="55" t="s">
        <v>414</v>
      </c>
      <c r="F6" s="55" t="s">
        <v>391</v>
      </c>
      <c r="G6" s="55" t="s">
        <v>392</v>
      </c>
      <c r="H6" s="59"/>
      <c r="J6" s="61">
        <f>+A6</f>
        <v>2022</v>
      </c>
      <c r="K6" s="61" t="s">
        <v>393</v>
      </c>
      <c r="L6" s="67" t="s">
        <v>388</v>
      </c>
      <c r="M6" s="67" t="s">
        <v>394</v>
      </c>
      <c r="N6" s="67" t="s">
        <v>391</v>
      </c>
      <c r="O6" s="67" t="s">
        <v>395</v>
      </c>
      <c r="Q6" s="243"/>
      <c r="R6" s="243"/>
      <c r="S6" s="243"/>
    </row>
    <row r="7" spans="1:19">
      <c r="A7" s="66" t="s">
        <v>396</v>
      </c>
      <c r="B7" s="63">
        <v>200</v>
      </c>
      <c r="C7" s="64">
        <v>0.98</v>
      </c>
      <c r="D7" s="64">
        <v>134.97999999999999</v>
      </c>
      <c r="E7" s="63">
        <v>50</v>
      </c>
      <c r="F7" s="64">
        <v>0.98</v>
      </c>
      <c r="G7" s="64">
        <v>4.57</v>
      </c>
      <c r="J7" s="252" t="s">
        <v>189</v>
      </c>
      <c r="K7" s="66" t="s">
        <v>396</v>
      </c>
      <c r="L7" s="64">
        <v>0.98</v>
      </c>
      <c r="M7" s="64">
        <v>134.97999999999999</v>
      </c>
      <c r="N7" s="64">
        <v>0.98</v>
      </c>
      <c r="O7" s="64">
        <v>4.57</v>
      </c>
      <c r="Q7" s="243"/>
      <c r="R7" s="243"/>
      <c r="S7" s="243"/>
    </row>
    <row r="8" spans="1:19">
      <c r="A8" s="66" t="s">
        <v>397</v>
      </c>
      <c r="B8" s="63">
        <v>200</v>
      </c>
      <c r="C8" s="64">
        <v>1.9</v>
      </c>
      <c r="D8" s="64">
        <v>59.4</v>
      </c>
      <c r="E8" s="63">
        <v>50</v>
      </c>
      <c r="F8" s="64">
        <v>1.86</v>
      </c>
      <c r="G8" s="64">
        <v>7.03</v>
      </c>
      <c r="J8" s="252"/>
      <c r="K8" s="66" t="s">
        <v>397</v>
      </c>
      <c r="L8" s="64">
        <v>1.9</v>
      </c>
      <c r="M8" s="64">
        <v>59.4</v>
      </c>
      <c r="N8" s="64">
        <v>1.86</v>
      </c>
      <c r="O8" s="64">
        <v>7.03</v>
      </c>
      <c r="Q8" s="243"/>
      <c r="R8" s="243"/>
      <c r="S8" s="243"/>
    </row>
    <row r="9" spans="1:19" ht="15">
      <c r="A9" s="66" t="s">
        <v>398</v>
      </c>
      <c r="B9" s="63">
        <v>200</v>
      </c>
      <c r="C9" s="64">
        <v>3.05</v>
      </c>
      <c r="D9" s="64">
        <v>131.81</v>
      </c>
      <c r="E9" s="63">
        <v>50</v>
      </c>
      <c r="F9" s="64">
        <v>3.06</v>
      </c>
      <c r="G9" s="64">
        <v>13.76</v>
      </c>
      <c r="J9" s="252"/>
      <c r="K9" s="66" t="s">
        <v>398</v>
      </c>
      <c r="L9" s="64">
        <v>3.05</v>
      </c>
      <c r="M9" s="64">
        <v>131.81</v>
      </c>
      <c r="N9" s="64">
        <v>3.06</v>
      </c>
      <c r="O9" s="64">
        <v>13.76</v>
      </c>
      <c r="Q9" s="78" t="s">
        <v>399</v>
      </c>
    </row>
    <row r="10" spans="1:19" ht="14.25" customHeight="1">
      <c r="A10" s="66" t="s">
        <v>400</v>
      </c>
      <c r="B10" s="63">
        <v>200</v>
      </c>
      <c r="C10" s="64">
        <v>4.29</v>
      </c>
      <c r="D10" s="64">
        <v>66.17</v>
      </c>
      <c r="E10" s="63">
        <v>50</v>
      </c>
      <c r="F10" s="64">
        <v>4.2300000000000004</v>
      </c>
      <c r="G10" s="64">
        <v>11.26</v>
      </c>
      <c r="J10" s="252"/>
      <c r="K10" s="66" t="s">
        <v>400</v>
      </c>
      <c r="L10" s="64">
        <v>4.29</v>
      </c>
      <c r="M10" s="64">
        <v>66.17</v>
      </c>
      <c r="N10" s="64">
        <v>4.2300000000000004</v>
      </c>
      <c r="O10" s="64">
        <v>11.26</v>
      </c>
      <c r="Q10" s="251" t="s">
        <v>401</v>
      </c>
      <c r="R10" s="251"/>
      <c r="S10" s="251"/>
    </row>
    <row r="11" spans="1:19">
      <c r="A11" s="66" t="s">
        <v>402</v>
      </c>
      <c r="B11" s="63">
        <v>200</v>
      </c>
      <c r="C11" s="64">
        <v>3.07</v>
      </c>
      <c r="D11" s="64">
        <v>65.37</v>
      </c>
      <c r="E11" s="63">
        <v>50</v>
      </c>
      <c r="F11" s="64">
        <v>3.07</v>
      </c>
      <c r="G11" s="64">
        <v>9.02</v>
      </c>
      <c r="J11" s="252"/>
      <c r="K11" s="66" t="s">
        <v>402</v>
      </c>
      <c r="L11" s="64">
        <v>3.07</v>
      </c>
      <c r="M11" s="64">
        <v>65.37</v>
      </c>
      <c r="N11" s="64">
        <v>3.07</v>
      </c>
      <c r="O11" s="64">
        <v>9.02</v>
      </c>
      <c r="Q11" s="251"/>
      <c r="R11" s="251"/>
      <c r="S11" s="251"/>
    </row>
    <row r="12" spans="1:19">
      <c r="A12" s="66" t="s">
        <v>403</v>
      </c>
      <c r="B12" s="63">
        <v>200</v>
      </c>
      <c r="C12" s="64">
        <v>3.34</v>
      </c>
      <c r="D12" s="64">
        <v>91.09</v>
      </c>
      <c r="E12" s="63">
        <v>50</v>
      </c>
      <c r="F12" s="64">
        <v>3.34</v>
      </c>
      <c r="G12" s="64">
        <v>14.29</v>
      </c>
      <c r="J12" s="252"/>
      <c r="K12" s="66" t="s">
        <v>403</v>
      </c>
      <c r="L12" s="64">
        <v>3.34</v>
      </c>
      <c r="M12" s="64">
        <v>91.09</v>
      </c>
      <c r="N12" s="64">
        <v>3.34</v>
      </c>
      <c r="O12" s="64">
        <v>14.29</v>
      </c>
      <c r="Q12" s="251"/>
      <c r="R12" s="251"/>
      <c r="S12" s="251"/>
    </row>
    <row r="13" spans="1:19" ht="14.25" customHeight="1">
      <c r="A13" s="66" t="s">
        <v>404</v>
      </c>
      <c r="B13" s="63">
        <v>200</v>
      </c>
      <c r="C13" s="64">
        <v>3.45</v>
      </c>
      <c r="D13" s="64">
        <v>118.28</v>
      </c>
      <c r="E13" s="63">
        <v>50</v>
      </c>
      <c r="F13" s="64">
        <v>3.45</v>
      </c>
      <c r="G13" s="64">
        <v>6.77</v>
      </c>
      <c r="J13" s="252"/>
      <c r="K13" s="66" t="s">
        <v>404</v>
      </c>
      <c r="L13" s="64">
        <v>3.45</v>
      </c>
      <c r="M13" s="64">
        <v>118.28</v>
      </c>
      <c r="N13" s="64">
        <v>3.45</v>
      </c>
      <c r="O13" s="64">
        <v>6.77</v>
      </c>
      <c r="Q13" s="251" t="s">
        <v>405</v>
      </c>
      <c r="R13" s="251"/>
      <c r="S13" s="251"/>
    </row>
    <row r="14" spans="1:19">
      <c r="A14" s="66" t="s">
        <v>406</v>
      </c>
      <c r="B14" s="63">
        <v>200</v>
      </c>
      <c r="C14" s="64">
        <v>2.89</v>
      </c>
      <c r="D14" s="64">
        <v>111.52</v>
      </c>
      <c r="E14" s="63">
        <v>50</v>
      </c>
      <c r="F14" s="64">
        <v>2.88</v>
      </c>
      <c r="G14" s="64">
        <v>8.3699999999999992</v>
      </c>
      <c r="J14" s="252"/>
      <c r="K14" s="66" t="s">
        <v>406</v>
      </c>
      <c r="L14" s="64">
        <v>2.89</v>
      </c>
      <c r="M14" s="64">
        <v>111.52</v>
      </c>
      <c r="N14" s="64">
        <v>2.88</v>
      </c>
      <c r="O14" s="64">
        <v>8.3699999999999992</v>
      </c>
      <c r="Q14" s="251"/>
      <c r="R14" s="251"/>
      <c r="S14" s="251"/>
    </row>
    <row r="15" spans="1:19">
      <c r="A15" s="66" t="s">
        <v>407</v>
      </c>
      <c r="B15" s="63">
        <v>200</v>
      </c>
      <c r="C15" s="64">
        <v>3.23</v>
      </c>
      <c r="D15" s="64">
        <v>76.23</v>
      </c>
      <c r="E15" s="63">
        <v>50</v>
      </c>
      <c r="F15" s="64">
        <v>3.23</v>
      </c>
      <c r="G15" s="64">
        <v>7.2</v>
      </c>
      <c r="J15" s="252"/>
      <c r="K15" s="66" t="s">
        <v>407</v>
      </c>
      <c r="L15" s="64">
        <v>3.23</v>
      </c>
      <c r="M15" s="64">
        <v>76.23</v>
      </c>
      <c r="N15" s="64">
        <v>3.23</v>
      </c>
      <c r="O15" s="64">
        <v>7.2</v>
      </c>
      <c r="Q15" s="251"/>
      <c r="R15" s="251"/>
      <c r="S15" s="251"/>
    </row>
    <row r="16" spans="1:19">
      <c r="A16" s="66" t="s">
        <v>408</v>
      </c>
      <c r="B16" s="63">
        <v>200</v>
      </c>
      <c r="C16" s="64">
        <v>2.96</v>
      </c>
      <c r="D16" s="64">
        <v>47.62</v>
      </c>
      <c r="E16" s="63">
        <v>50</v>
      </c>
      <c r="F16" s="64">
        <v>2.95</v>
      </c>
      <c r="G16" s="64">
        <v>6.3</v>
      </c>
      <c r="J16" s="252"/>
      <c r="K16" s="66" t="s">
        <v>408</v>
      </c>
      <c r="L16" s="64">
        <v>2.96</v>
      </c>
      <c r="M16" s="64">
        <v>47.62</v>
      </c>
      <c r="N16" s="64">
        <v>2.95</v>
      </c>
      <c r="O16" s="64">
        <v>6.3</v>
      </c>
      <c r="Q16" s="251"/>
      <c r="R16" s="251"/>
      <c r="S16" s="251"/>
    </row>
    <row r="17" spans="1:15">
      <c r="A17" s="66" t="s">
        <v>409</v>
      </c>
      <c r="B17" s="63">
        <v>200</v>
      </c>
      <c r="C17" s="64">
        <v>22.09</v>
      </c>
      <c r="D17" s="64">
        <v>137.54</v>
      </c>
      <c r="E17" s="63">
        <v>50</v>
      </c>
      <c r="F17" s="64">
        <v>21.89</v>
      </c>
      <c r="G17" s="64">
        <v>32.75</v>
      </c>
      <c r="J17" s="252"/>
      <c r="K17" s="66" t="s">
        <v>409</v>
      </c>
      <c r="L17" s="64">
        <v>22.09</v>
      </c>
      <c r="M17" s="64">
        <v>137.54</v>
      </c>
      <c r="N17" s="64">
        <v>21.89</v>
      </c>
      <c r="O17" s="64">
        <v>32.75</v>
      </c>
    </row>
    <row r="18" spans="1:15">
      <c r="A18" s="66" t="s">
        <v>410</v>
      </c>
      <c r="B18" s="63">
        <v>200</v>
      </c>
      <c r="C18" s="64">
        <v>8.23</v>
      </c>
      <c r="D18" s="64">
        <v>159.80000000000001</v>
      </c>
      <c r="E18" s="63">
        <v>50</v>
      </c>
      <c r="F18" s="64">
        <v>8.25</v>
      </c>
      <c r="G18" s="64">
        <v>26.89</v>
      </c>
      <c r="J18" s="252"/>
      <c r="K18" s="66" t="s">
        <v>410</v>
      </c>
      <c r="L18" s="64">
        <v>8.23</v>
      </c>
      <c r="M18" s="64">
        <v>159.80000000000001</v>
      </c>
      <c r="N18" s="64">
        <v>8.25</v>
      </c>
      <c r="O18" s="64">
        <v>26.89</v>
      </c>
    </row>
    <row r="19" spans="1:15">
      <c r="J19" s="252"/>
      <c r="K19" s="62" t="s">
        <v>411</v>
      </c>
      <c r="L19" s="62">
        <f>AVERAGE(L7:L18)</f>
        <v>4.956666666666667</v>
      </c>
      <c r="M19" s="62">
        <f>MAX(M7:M18)</f>
        <v>159.80000000000001</v>
      </c>
      <c r="N19" s="62">
        <f>AVERAGE(N7:N18)</f>
        <v>4.9325000000000001</v>
      </c>
      <c r="O19" s="62">
        <f>MAX(O7:O18)</f>
        <v>32.75</v>
      </c>
    </row>
    <row r="21" spans="1:15" ht="30">
      <c r="J21" s="61">
        <f>+A6</f>
        <v>2022</v>
      </c>
      <c r="K21" s="61" t="s">
        <v>393</v>
      </c>
      <c r="L21" s="67" t="s">
        <v>388</v>
      </c>
      <c r="M21" s="67" t="s">
        <v>394</v>
      </c>
      <c r="N21" s="67" t="s">
        <v>391</v>
      </c>
      <c r="O21" s="67" t="s">
        <v>395</v>
      </c>
    </row>
    <row r="22" spans="1:15">
      <c r="J22" s="252" t="s">
        <v>190</v>
      </c>
      <c r="K22" s="66" t="s">
        <v>396</v>
      </c>
      <c r="L22" s="64"/>
      <c r="M22" s="64"/>
      <c r="N22" s="64"/>
      <c r="O22" s="64"/>
    </row>
    <row r="23" spans="1:15">
      <c r="J23" s="252"/>
      <c r="K23" s="66" t="s">
        <v>397</v>
      </c>
      <c r="L23" s="64"/>
      <c r="M23" s="64"/>
      <c r="N23" s="64"/>
      <c r="O23" s="64"/>
    </row>
    <row r="24" spans="1:15">
      <c r="J24" s="252"/>
      <c r="K24" s="66" t="s">
        <v>398</v>
      </c>
      <c r="L24" s="64"/>
      <c r="M24" s="64"/>
      <c r="N24" s="64"/>
      <c r="O24" s="64"/>
    </row>
    <row r="25" spans="1:15">
      <c r="J25" s="252"/>
      <c r="K25" s="66" t="s">
        <v>400</v>
      </c>
      <c r="L25" s="64"/>
      <c r="M25" s="64"/>
      <c r="N25" s="64"/>
      <c r="O25" s="64"/>
    </row>
    <row r="26" spans="1:15">
      <c r="J26" s="252"/>
      <c r="K26" s="66" t="s">
        <v>402</v>
      </c>
      <c r="L26" s="64"/>
      <c r="M26" s="64"/>
      <c r="N26" s="64"/>
      <c r="O26" s="64"/>
    </row>
    <row r="27" spans="1:15">
      <c r="J27" s="252"/>
      <c r="K27" s="66" t="s">
        <v>403</v>
      </c>
      <c r="L27" s="64"/>
      <c r="M27" s="64"/>
      <c r="N27" s="64"/>
      <c r="O27" s="64"/>
    </row>
    <row r="28" spans="1:15">
      <c r="J28" s="252"/>
      <c r="K28" s="66" t="s">
        <v>404</v>
      </c>
      <c r="L28" s="64"/>
      <c r="M28" s="64"/>
      <c r="N28" s="64"/>
      <c r="O28" s="64"/>
    </row>
    <row r="29" spans="1:15">
      <c r="J29" s="252"/>
      <c r="K29" s="66" t="s">
        <v>406</v>
      </c>
      <c r="L29" s="64"/>
      <c r="M29" s="64"/>
      <c r="N29" s="64"/>
      <c r="O29" s="64"/>
    </row>
    <row r="30" spans="1:15">
      <c r="J30" s="252"/>
      <c r="K30" s="66" t="s">
        <v>407</v>
      </c>
      <c r="L30" s="64"/>
      <c r="M30" s="64"/>
      <c r="N30" s="64"/>
      <c r="O30" s="64"/>
    </row>
    <row r="31" spans="1:15">
      <c r="J31" s="252"/>
      <c r="K31" s="66" t="s">
        <v>408</v>
      </c>
      <c r="L31" s="64"/>
      <c r="M31" s="64"/>
      <c r="N31" s="64"/>
      <c r="O31" s="64"/>
    </row>
    <row r="32" spans="1:15">
      <c r="J32" s="252"/>
      <c r="K32" s="66" t="s">
        <v>409</v>
      </c>
      <c r="L32" s="64"/>
      <c r="M32" s="64"/>
      <c r="N32" s="64"/>
      <c r="O32" s="64"/>
    </row>
    <row r="33" spans="1:15">
      <c r="J33" s="252"/>
      <c r="K33" s="66" t="s">
        <v>410</v>
      </c>
      <c r="L33" s="64"/>
      <c r="M33" s="64"/>
      <c r="N33" s="64"/>
      <c r="O33" s="64"/>
    </row>
    <row r="34" spans="1:15">
      <c r="J34" s="252"/>
      <c r="K34" s="62" t="s">
        <v>411</v>
      </c>
      <c r="L34" s="62" t="e">
        <f>AVERAGE(L22:L33)</f>
        <v>#DIV/0!</v>
      </c>
      <c r="M34" s="62">
        <f>MAX(M22:M33)</f>
        <v>0</v>
      </c>
      <c r="N34" s="62" t="e">
        <f>AVERAGE(N22:N33)</f>
        <v>#DIV/0!</v>
      </c>
      <c r="O34" s="62">
        <f>MAX(O22:O33)</f>
        <v>0</v>
      </c>
    </row>
    <row r="36" spans="1:15" ht="30">
      <c r="J36" s="61">
        <f>+A6</f>
        <v>2022</v>
      </c>
      <c r="K36" s="61" t="s">
        <v>393</v>
      </c>
      <c r="L36" s="67" t="s">
        <v>388</v>
      </c>
      <c r="M36" s="67" t="s">
        <v>394</v>
      </c>
      <c r="N36" s="67" t="s">
        <v>391</v>
      </c>
      <c r="O36" s="67" t="s">
        <v>395</v>
      </c>
    </row>
    <row r="37" spans="1:15">
      <c r="J37" s="252" t="s">
        <v>191</v>
      </c>
      <c r="K37" s="66" t="s">
        <v>396</v>
      </c>
      <c r="L37" s="64"/>
      <c r="M37" s="64"/>
      <c r="N37" s="64"/>
      <c r="O37" s="64"/>
    </row>
    <row r="38" spans="1:15">
      <c r="J38" s="252"/>
      <c r="K38" s="66" t="s">
        <v>397</v>
      </c>
      <c r="L38" s="64"/>
      <c r="M38" s="64"/>
      <c r="N38" s="64"/>
      <c r="O38" s="64"/>
    </row>
    <row r="39" spans="1:15">
      <c r="J39" s="252"/>
      <c r="K39" s="66" t="s">
        <v>398</v>
      </c>
      <c r="L39" s="64"/>
      <c r="M39" s="64"/>
      <c r="N39" s="64"/>
      <c r="O39" s="64"/>
    </row>
    <row r="40" spans="1:15">
      <c r="J40" s="252"/>
      <c r="K40" s="66" t="s">
        <v>400</v>
      </c>
      <c r="L40" s="64"/>
      <c r="M40" s="64"/>
      <c r="N40" s="64"/>
      <c r="O40" s="64"/>
    </row>
    <row r="41" spans="1:15">
      <c r="J41" s="252"/>
      <c r="K41" s="66" t="s">
        <v>402</v>
      </c>
      <c r="L41" s="64"/>
      <c r="M41" s="64"/>
      <c r="N41" s="64"/>
      <c r="O41" s="64"/>
    </row>
    <row r="42" spans="1:15">
      <c r="J42" s="252"/>
      <c r="K42" s="66" t="s">
        <v>403</v>
      </c>
      <c r="L42" s="64"/>
      <c r="M42" s="64"/>
      <c r="N42" s="64"/>
      <c r="O42" s="64"/>
    </row>
    <row r="43" spans="1:15">
      <c r="J43" s="252"/>
      <c r="K43" s="66" t="s">
        <v>404</v>
      </c>
      <c r="L43" s="64"/>
      <c r="M43" s="64"/>
      <c r="N43" s="64"/>
      <c r="O43" s="64"/>
    </row>
    <row r="44" spans="1:15">
      <c r="J44" s="252"/>
      <c r="K44" s="66" t="s">
        <v>406</v>
      </c>
      <c r="L44" s="64"/>
      <c r="M44" s="64"/>
      <c r="N44" s="64"/>
      <c r="O44" s="64"/>
    </row>
    <row r="45" spans="1:15">
      <c r="J45" s="252"/>
      <c r="K45" s="66" t="s">
        <v>407</v>
      </c>
      <c r="L45" s="64"/>
      <c r="M45" s="64"/>
      <c r="N45" s="64"/>
      <c r="O45" s="64"/>
    </row>
    <row r="46" spans="1:15">
      <c r="J46" s="252"/>
      <c r="K46" s="66" t="s">
        <v>408</v>
      </c>
      <c r="L46" s="64"/>
      <c r="M46" s="64"/>
      <c r="N46" s="64"/>
      <c r="O46" s="64"/>
    </row>
    <row r="47" spans="1:15">
      <c r="J47" s="252"/>
      <c r="K47" s="66" t="s">
        <v>409</v>
      </c>
      <c r="L47" s="64"/>
      <c r="M47" s="64"/>
      <c r="N47" s="64"/>
      <c r="O47" s="64"/>
    </row>
    <row r="48" spans="1:15" ht="15">
      <c r="A48" s="258" t="s">
        <v>298</v>
      </c>
      <c r="B48" s="259"/>
      <c r="C48" s="259"/>
      <c r="D48" s="259"/>
      <c r="E48" s="259"/>
      <c r="F48" s="259"/>
      <c r="G48" s="260"/>
      <c r="J48" s="252"/>
      <c r="K48" s="66" t="s">
        <v>410</v>
      </c>
      <c r="L48" s="64"/>
      <c r="M48" s="64"/>
      <c r="N48" s="64"/>
      <c r="O48" s="64"/>
    </row>
    <row r="49" spans="1:15">
      <c r="A49" s="224"/>
      <c r="B49" s="225"/>
      <c r="C49" s="225"/>
      <c r="D49" s="225"/>
      <c r="E49" s="225"/>
      <c r="F49" s="225"/>
      <c r="G49" s="226"/>
      <c r="J49" s="252"/>
      <c r="K49" s="62" t="s">
        <v>411</v>
      </c>
      <c r="L49" s="62" t="e">
        <f>AVERAGE(L37:L48)</f>
        <v>#DIV/0!</v>
      </c>
      <c r="M49" s="62">
        <f>MAX(M37:M48)</f>
        <v>0</v>
      </c>
      <c r="N49" s="62" t="e">
        <f>AVERAGE(N37:N48)</f>
        <v>#DIV/0!</v>
      </c>
      <c r="O49" s="62">
        <f>MAX(O37:O48)</f>
        <v>0</v>
      </c>
    </row>
    <row r="50" spans="1:15">
      <c r="A50" s="255"/>
      <c r="B50" s="256"/>
      <c r="C50" s="256"/>
      <c r="D50" s="256"/>
      <c r="E50" s="256"/>
      <c r="F50" s="256"/>
      <c r="G50" s="257"/>
    </row>
    <row r="51" spans="1:15" ht="30">
      <c r="A51" s="255"/>
      <c r="B51" s="256"/>
      <c r="C51" s="256"/>
      <c r="D51" s="256"/>
      <c r="E51" s="256"/>
      <c r="F51" s="256"/>
      <c r="G51" s="257"/>
      <c r="J51" s="61">
        <f>+A6</f>
        <v>2022</v>
      </c>
      <c r="K51" s="61" t="s">
        <v>393</v>
      </c>
      <c r="L51" s="67" t="s">
        <v>388</v>
      </c>
      <c r="M51" s="67" t="s">
        <v>394</v>
      </c>
      <c r="N51" s="67" t="s">
        <v>391</v>
      </c>
      <c r="O51" s="67" t="s">
        <v>395</v>
      </c>
    </row>
    <row r="52" spans="1:15">
      <c r="A52" s="227"/>
      <c r="B52" s="228"/>
      <c r="C52" s="228"/>
      <c r="D52" s="228"/>
      <c r="E52" s="228"/>
      <c r="F52" s="228"/>
      <c r="G52" s="229"/>
      <c r="J52" s="252" t="s">
        <v>192</v>
      </c>
      <c r="K52" s="66" t="s">
        <v>396</v>
      </c>
      <c r="L52" s="64"/>
      <c r="M52" s="64"/>
      <c r="N52" s="64"/>
      <c r="O52" s="64"/>
    </row>
    <row r="53" spans="1:15">
      <c r="J53" s="252"/>
      <c r="K53" s="66" t="s">
        <v>397</v>
      </c>
      <c r="L53" s="64"/>
      <c r="M53" s="64"/>
      <c r="N53" s="64"/>
      <c r="O53" s="64"/>
    </row>
    <row r="54" spans="1:15">
      <c r="J54" s="252"/>
      <c r="K54" s="66" t="s">
        <v>398</v>
      </c>
      <c r="L54" s="64"/>
      <c r="M54" s="64"/>
      <c r="N54" s="64"/>
      <c r="O54" s="64"/>
    </row>
    <row r="55" spans="1:15">
      <c r="J55" s="252"/>
      <c r="K55" s="66" t="s">
        <v>400</v>
      </c>
      <c r="L55" s="64"/>
      <c r="M55" s="64"/>
      <c r="N55" s="64"/>
      <c r="O55" s="64"/>
    </row>
    <row r="56" spans="1:15">
      <c r="J56" s="252"/>
      <c r="K56" s="66" t="s">
        <v>402</v>
      </c>
      <c r="L56" s="64"/>
      <c r="M56" s="64"/>
      <c r="N56" s="64"/>
      <c r="O56" s="64"/>
    </row>
    <row r="57" spans="1:15">
      <c r="J57" s="252"/>
      <c r="K57" s="66" t="s">
        <v>403</v>
      </c>
      <c r="L57" s="64"/>
      <c r="M57" s="64"/>
      <c r="N57" s="64"/>
      <c r="O57" s="64"/>
    </row>
    <row r="58" spans="1:15">
      <c r="J58" s="252"/>
      <c r="K58" s="66" t="s">
        <v>404</v>
      </c>
      <c r="L58" s="64"/>
      <c r="M58" s="64"/>
      <c r="N58" s="64"/>
      <c r="O58" s="64"/>
    </row>
    <row r="59" spans="1:15">
      <c r="J59" s="252"/>
      <c r="K59" s="66" t="s">
        <v>406</v>
      </c>
      <c r="L59" s="64"/>
      <c r="M59" s="64"/>
      <c r="N59" s="64"/>
      <c r="O59" s="64"/>
    </row>
    <row r="60" spans="1:15">
      <c r="J60" s="252"/>
      <c r="K60" s="66" t="s">
        <v>407</v>
      </c>
      <c r="L60" s="64"/>
      <c r="M60" s="64"/>
      <c r="N60" s="64"/>
      <c r="O60" s="64"/>
    </row>
    <row r="61" spans="1:15">
      <c r="J61" s="252"/>
      <c r="K61" s="66" t="s">
        <v>408</v>
      </c>
      <c r="L61" s="64"/>
      <c r="M61" s="64"/>
      <c r="N61" s="64"/>
      <c r="O61" s="64"/>
    </row>
    <row r="62" spans="1:15">
      <c r="J62" s="252"/>
      <c r="K62" s="66" t="s">
        <v>409</v>
      </c>
      <c r="L62" s="64"/>
      <c r="M62" s="64"/>
      <c r="N62" s="64"/>
      <c r="O62" s="64"/>
    </row>
    <row r="63" spans="1:15">
      <c r="J63" s="252"/>
      <c r="K63" s="66" t="s">
        <v>410</v>
      </c>
      <c r="L63" s="64"/>
      <c r="M63" s="64"/>
      <c r="N63" s="64"/>
      <c r="O63" s="64"/>
    </row>
    <row r="64" spans="1:15">
      <c r="J64" s="252"/>
      <c r="K64" s="62" t="s">
        <v>411</v>
      </c>
      <c r="L64" s="62" t="e">
        <f>AVERAGE(L52:L63)</f>
        <v>#DIV/0!</v>
      </c>
      <c r="M64" s="62">
        <f>MAX(M52:M63)</f>
        <v>0</v>
      </c>
      <c r="N64" s="62" t="e">
        <f>AVERAGE(N52:N63)</f>
        <v>#DIV/0!</v>
      </c>
      <c r="O64" s="62">
        <f>MAX(O52:O63)</f>
        <v>0</v>
      </c>
    </row>
    <row r="66" spans="10:15" ht="30">
      <c r="J66" s="61">
        <f>+A6</f>
        <v>2022</v>
      </c>
      <c r="K66" s="61" t="s">
        <v>393</v>
      </c>
      <c r="L66" s="67" t="s">
        <v>388</v>
      </c>
      <c r="M66" s="67" t="s">
        <v>394</v>
      </c>
      <c r="N66" s="67" t="s">
        <v>391</v>
      </c>
      <c r="O66" s="67" t="s">
        <v>395</v>
      </c>
    </row>
    <row r="67" spans="10:15">
      <c r="J67" s="252" t="s">
        <v>193</v>
      </c>
      <c r="K67" s="66" t="s">
        <v>396</v>
      </c>
      <c r="L67" s="64"/>
      <c r="M67" s="64"/>
      <c r="N67" s="64"/>
      <c r="O67" s="64"/>
    </row>
    <row r="68" spans="10:15">
      <c r="J68" s="252"/>
      <c r="K68" s="66" t="s">
        <v>397</v>
      </c>
      <c r="L68" s="64"/>
      <c r="M68" s="64"/>
      <c r="N68" s="64"/>
      <c r="O68" s="64"/>
    </row>
    <row r="69" spans="10:15">
      <c r="J69" s="252"/>
      <c r="K69" s="66" t="s">
        <v>398</v>
      </c>
      <c r="L69" s="64"/>
      <c r="M69" s="64"/>
      <c r="N69" s="64"/>
      <c r="O69" s="64"/>
    </row>
    <row r="70" spans="10:15">
      <c r="J70" s="252"/>
      <c r="K70" s="66" t="s">
        <v>400</v>
      </c>
      <c r="L70" s="64"/>
      <c r="M70" s="64"/>
      <c r="N70" s="64"/>
      <c r="O70" s="64"/>
    </row>
    <row r="71" spans="10:15">
      <c r="J71" s="252"/>
      <c r="K71" s="66" t="s">
        <v>402</v>
      </c>
      <c r="L71" s="64"/>
      <c r="M71" s="64"/>
      <c r="N71" s="64"/>
      <c r="O71" s="64"/>
    </row>
    <row r="72" spans="10:15">
      <c r="J72" s="252"/>
      <c r="K72" s="66" t="s">
        <v>403</v>
      </c>
      <c r="L72" s="64"/>
      <c r="M72" s="64"/>
      <c r="N72" s="64"/>
      <c r="O72" s="64"/>
    </row>
    <row r="73" spans="10:15">
      <c r="J73" s="252"/>
      <c r="K73" s="66" t="s">
        <v>404</v>
      </c>
      <c r="L73" s="64"/>
      <c r="M73" s="64"/>
      <c r="N73" s="64"/>
      <c r="O73" s="64"/>
    </row>
    <row r="74" spans="10:15">
      <c r="J74" s="252"/>
      <c r="K74" s="66" t="s">
        <v>406</v>
      </c>
      <c r="L74" s="64"/>
      <c r="M74" s="64"/>
      <c r="N74" s="64"/>
      <c r="O74" s="64"/>
    </row>
    <row r="75" spans="10:15">
      <c r="J75" s="252"/>
      <c r="K75" s="66" t="s">
        <v>407</v>
      </c>
      <c r="L75" s="64"/>
      <c r="M75" s="64"/>
      <c r="N75" s="64"/>
      <c r="O75" s="64"/>
    </row>
    <row r="76" spans="10:15">
      <c r="J76" s="252"/>
      <c r="K76" s="66" t="s">
        <v>408</v>
      </c>
      <c r="L76" s="64"/>
      <c r="M76" s="64"/>
      <c r="N76" s="64"/>
      <c r="O76" s="64"/>
    </row>
    <row r="77" spans="10:15">
      <c r="J77" s="252"/>
      <c r="K77" s="66" t="s">
        <v>409</v>
      </c>
      <c r="L77" s="64"/>
      <c r="M77" s="64"/>
      <c r="N77" s="64"/>
      <c r="O77" s="64"/>
    </row>
    <row r="78" spans="10:15">
      <c r="J78" s="252"/>
      <c r="K78" s="66" t="s">
        <v>410</v>
      </c>
      <c r="L78" s="64"/>
      <c r="M78" s="64"/>
      <c r="N78" s="64"/>
      <c r="O78" s="64"/>
    </row>
    <row r="79" spans="10:15">
      <c r="J79" s="252"/>
      <c r="K79" s="62" t="s">
        <v>411</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workbookViewId="0">
      <selection activeCell="B55" sqref="B55"/>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Newlincs Development IWMF</v>
      </c>
      <c r="F1" s="93"/>
    </row>
    <row r="3" spans="1:19" ht="15">
      <c r="A3" s="60" t="s">
        <v>415</v>
      </c>
      <c r="D3" s="76" t="s">
        <v>380</v>
      </c>
      <c r="G3" s="80" t="s">
        <v>381</v>
      </c>
      <c r="J3" s="9" t="str">
        <f>+A3</f>
        <v>Monitoring of Oxides of Nitrogen emissions</v>
      </c>
      <c r="L3" s="9"/>
      <c r="N3" s="9" t="s">
        <v>382</v>
      </c>
      <c r="Q3" s="79" t="s">
        <v>3</v>
      </c>
      <c r="R3" s="74"/>
      <c r="S3" s="74"/>
    </row>
    <row r="4" spans="1:19" ht="13.9" customHeight="1">
      <c r="Q4" s="243" t="s">
        <v>383</v>
      </c>
      <c r="R4" s="243"/>
      <c r="S4" s="243"/>
    </row>
    <row r="5" spans="1:19" ht="17.25">
      <c r="A5" s="68" t="s">
        <v>384</v>
      </c>
      <c r="B5" s="254" t="s">
        <v>385</v>
      </c>
      <c r="C5" s="254"/>
      <c r="D5" s="254"/>
      <c r="E5" s="254" t="s">
        <v>386</v>
      </c>
      <c r="F5" s="254"/>
      <c r="G5" s="254"/>
      <c r="J5" s="253"/>
      <c r="K5" s="253"/>
      <c r="L5" s="253"/>
      <c r="M5" s="253"/>
      <c r="N5" s="253"/>
      <c r="O5" s="253"/>
      <c r="Q5" s="243"/>
      <c r="R5" s="243"/>
      <c r="S5" s="243"/>
    </row>
    <row r="6" spans="1:19" s="58" customFormat="1" ht="37.5" customHeight="1">
      <c r="A6" s="65">
        <f>+'Cover Page'!C39</f>
        <v>2022</v>
      </c>
      <c r="B6" s="55" t="s">
        <v>416</v>
      </c>
      <c r="C6" s="55" t="s">
        <v>388</v>
      </c>
      <c r="D6" s="55" t="s">
        <v>389</v>
      </c>
      <c r="E6" s="55" t="s">
        <v>417</v>
      </c>
      <c r="F6" s="55" t="s">
        <v>391</v>
      </c>
      <c r="G6" s="55" t="s">
        <v>392</v>
      </c>
      <c r="H6" s="59"/>
      <c r="J6" s="61">
        <f>+A6</f>
        <v>2022</v>
      </c>
      <c r="K6" s="61" t="s">
        <v>393</v>
      </c>
      <c r="L6" s="67" t="s">
        <v>388</v>
      </c>
      <c r="M6" s="67" t="s">
        <v>394</v>
      </c>
      <c r="N6" s="67" t="s">
        <v>391</v>
      </c>
      <c r="O6" s="67" t="s">
        <v>395</v>
      </c>
      <c r="Q6" s="243"/>
      <c r="R6" s="243"/>
      <c r="S6" s="243"/>
    </row>
    <row r="7" spans="1:19">
      <c r="A7" s="66" t="s">
        <v>396</v>
      </c>
      <c r="B7" s="63">
        <v>400</v>
      </c>
      <c r="C7" s="108">
        <v>185.49</v>
      </c>
      <c r="D7" s="108">
        <v>250.46</v>
      </c>
      <c r="E7" s="63">
        <v>200</v>
      </c>
      <c r="F7" s="108">
        <v>185.49</v>
      </c>
      <c r="G7" s="108">
        <v>195.64</v>
      </c>
      <c r="J7" s="252" t="s">
        <v>189</v>
      </c>
      <c r="K7" s="66" t="s">
        <v>396</v>
      </c>
      <c r="L7" s="108">
        <v>185.49</v>
      </c>
      <c r="M7" s="108">
        <v>250.46</v>
      </c>
      <c r="N7" s="108">
        <v>185.49</v>
      </c>
      <c r="O7" s="108">
        <v>195.64</v>
      </c>
      <c r="Q7" s="243"/>
      <c r="R7" s="243"/>
      <c r="S7" s="243"/>
    </row>
    <row r="8" spans="1:19">
      <c r="A8" s="66" t="s">
        <v>397</v>
      </c>
      <c r="B8" s="63">
        <v>400</v>
      </c>
      <c r="C8" s="64">
        <v>190.8</v>
      </c>
      <c r="D8" s="64">
        <v>285.35000000000002</v>
      </c>
      <c r="E8" s="63">
        <v>200</v>
      </c>
      <c r="F8" s="64">
        <v>190.79</v>
      </c>
      <c r="G8" s="64">
        <v>192.32</v>
      </c>
      <c r="J8" s="252"/>
      <c r="K8" s="66" t="s">
        <v>397</v>
      </c>
      <c r="L8" s="64">
        <v>190.8</v>
      </c>
      <c r="M8" s="64">
        <v>285.35000000000002</v>
      </c>
      <c r="N8" s="64">
        <v>190.79</v>
      </c>
      <c r="O8" s="64">
        <v>192.32</v>
      </c>
      <c r="Q8" s="243"/>
      <c r="R8" s="243"/>
      <c r="S8" s="243"/>
    </row>
    <row r="9" spans="1:19" ht="15">
      <c r="A9" s="66" t="s">
        <v>398</v>
      </c>
      <c r="B9" s="63">
        <v>400</v>
      </c>
      <c r="C9" s="64">
        <v>189.92</v>
      </c>
      <c r="D9" s="64">
        <v>267.98</v>
      </c>
      <c r="E9" s="63">
        <v>200</v>
      </c>
      <c r="F9" s="64">
        <v>189.92</v>
      </c>
      <c r="G9" s="64">
        <v>191.95</v>
      </c>
      <c r="J9" s="252"/>
      <c r="K9" s="66" t="s">
        <v>398</v>
      </c>
      <c r="L9" s="64">
        <v>189.92</v>
      </c>
      <c r="M9" s="64">
        <v>267.98</v>
      </c>
      <c r="N9" s="64">
        <v>189.92</v>
      </c>
      <c r="O9" s="64">
        <v>191.95</v>
      </c>
      <c r="Q9" s="78" t="s">
        <v>399</v>
      </c>
    </row>
    <row r="10" spans="1:19" ht="14.25" customHeight="1">
      <c r="A10" s="66" t="s">
        <v>400</v>
      </c>
      <c r="B10" s="63">
        <v>400</v>
      </c>
      <c r="C10" s="64">
        <v>189.98</v>
      </c>
      <c r="D10" s="64">
        <v>268.66000000000003</v>
      </c>
      <c r="E10" s="63">
        <v>200</v>
      </c>
      <c r="F10" s="64">
        <v>189.85</v>
      </c>
      <c r="G10" s="64">
        <v>192.87</v>
      </c>
      <c r="J10" s="252"/>
      <c r="K10" s="66" t="s">
        <v>400</v>
      </c>
      <c r="L10" s="64">
        <v>189.98</v>
      </c>
      <c r="M10" s="64">
        <v>268.66000000000003</v>
      </c>
      <c r="N10" s="64">
        <v>189.85</v>
      </c>
      <c r="O10" s="64">
        <v>192.87</v>
      </c>
      <c r="Q10" s="251" t="s">
        <v>401</v>
      </c>
      <c r="R10" s="251"/>
      <c r="S10" s="251"/>
    </row>
    <row r="11" spans="1:19">
      <c r="A11" s="66" t="s">
        <v>402</v>
      </c>
      <c r="B11" s="63">
        <v>400</v>
      </c>
      <c r="C11" s="64">
        <v>189.69</v>
      </c>
      <c r="D11" s="64">
        <v>251.15</v>
      </c>
      <c r="E11" s="63">
        <v>200</v>
      </c>
      <c r="F11" s="64">
        <v>189.69</v>
      </c>
      <c r="G11" s="64">
        <v>190.74</v>
      </c>
      <c r="J11" s="252"/>
      <c r="K11" s="66" t="s">
        <v>402</v>
      </c>
      <c r="L11" s="64">
        <v>189.69</v>
      </c>
      <c r="M11" s="64">
        <v>251.15</v>
      </c>
      <c r="N11" s="64">
        <v>189.69</v>
      </c>
      <c r="O11" s="64">
        <v>190.74</v>
      </c>
      <c r="Q11" s="251"/>
      <c r="R11" s="251"/>
      <c r="S11" s="251"/>
    </row>
    <row r="12" spans="1:19">
      <c r="A12" s="66" t="s">
        <v>403</v>
      </c>
      <c r="B12" s="63">
        <v>400</v>
      </c>
      <c r="C12" s="64">
        <v>190.35</v>
      </c>
      <c r="D12" s="64">
        <v>246.11</v>
      </c>
      <c r="E12" s="63">
        <v>200</v>
      </c>
      <c r="F12" s="64">
        <v>190.35</v>
      </c>
      <c r="G12" s="64">
        <v>190.93</v>
      </c>
      <c r="J12" s="252"/>
      <c r="K12" s="66" t="s">
        <v>403</v>
      </c>
      <c r="L12" s="64">
        <v>190.35</v>
      </c>
      <c r="M12" s="64">
        <v>246.11</v>
      </c>
      <c r="N12" s="64">
        <v>190.35</v>
      </c>
      <c r="O12" s="64">
        <v>190.93</v>
      </c>
      <c r="Q12" s="251"/>
      <c r="R12" s="251"/>
      <c r="S12" s="251"/>
    </row>
    <row r="13" spans="1:19" ht="14.25" customHeight="1">
      <c r="A13" s="66" t="s">
        <v>404</v>
      </c>
      <c r="B13" s="63">
        <v>400</v>
      </c>
      <c r="C13" s="64">
        <v>190.48</v>
      </c>
      <c r="D13" s="64">
        <v>244.82</v>
      </c>
      <c r="E13" s="63">
        <v>200</v>
      </c>
      <c r="F13" s="64">
        <v>190.48</v>
      </c>
      <c r="G13" s="64">
        <v>190.83</v>
      </c>
      <c r="J13" s="252"/>
      <c r="K13" s="66" t="s">
        <v>404</v>
      </c>
      <c r="L13" s="64">
        <v>190.48</v>
      </c>
      <c r="M13" s="64">
        <v>244.82</v>
      </c>
      <c r="N13" s="64">
        <v>190.48</v>
      </c>
      <c r="O13" s="64">
        <v>190.83</v>
      </c>
      <c r="Q13" s="251" t="s">
        <v>405</v>
      </c>
      <c r="R13" s="251"/>
      <c r="S13" s="251"/>
    </row>
    <row r="14" spans="1:19">
      <c r="A14" s="66" t="s">
        <v>406</v>
      </c>
      <c r="B14" s="63">
        <v>400</v>
      </c>
      <c r="C14" s="64">
        <v>189.45</v>
      </c>
      <c r="D14" s="64">
        <v>231.03</v>
      </c>
      <c r="E14" s="63">
        <v>200</v>
      </c>
      <c r="F14" s="64">
        <v>189.46</v>
      </c>
      <c r="G14" s="64">
        <v>193.52</v>
      </c>
      <c r="J14" s="252"/>
      <c r="K14" s="66" t="s">
        <v>406</v>
      </c>
      <c r="L14" s="64">
        <v>189.45</v>
      </c>
      <c r="M14" s="64">
        <v>231.03</v>
      </c>
      <c r="N14" s="64">
        <v>189.46</v>
      </c>
      <c r="O14" s="64">
        <v>193.52</v>
      </c>
      <c r="Q14" s="251"/>
      <c r="R14" s="251"/>
      <c r="S14" s="251"/>
    </row>
    <row r="15" spans="1:19">
      <c r="A15" s="66" t="s">
        <v>407</v>
      </c>
      <c r="B15" s="63">
        <v>400</v>
      </c>
      <c r="C15" s="64">
        <v>190.26</v>
      </c>
      <c r="D15" s="64">
        <v>239.6</v>
      </c>
      <c r="E15" s="63">
        <v>200</v>
      </c>
      <c r="F15" s="64">
        <v>190.26</v>
      </c>
      <c r="G15" s="64">
        <v>191.06</v>
      </c>
      <c r="J15" s="252"/>
      <c r="K15" s="66" t="s">
        <v>407</v>
      </c>
      <c r="L15" s="64">
        <v>190.26</v>
      </c>
      <c r="M15" s="64">
        <v>239.6</v>
      </c>
      <c r="N15" s="64">
        <v>190.26</v>
      </c>
      <c r="O15" s="64">
        <v>191.06</v>
      </c>
      <c r="Q15" s="251"/>
      <c r="R15" s="251"/>
      <c r="S15" s="251"/>
    </row>
    <row r="16" spans="1:19">
      <c r="A16" s="66" t="s">
        <v>408</v>
      </c>
      <c r="B16" s="63">
        <v>400</v>
      </c>
      <c r="C16" s="64">
        <v>190.46</v>
      </c>
      <c r="D16" s="64">
        <v>235.24</v>
      </c>
      <c r="E16" s="63">
        <v>200</v>
      </c>
      <c r="F16" s="64">
        <v>190.48</v>
      </c>
      <c r="G16" s="64">
        <v>192.06</v>
      </c>
      <c r="J16" s="252"/>
      <c r="K16" s="66" t="s">
        <v>408</v>
      </c>
      <c r="L16" s="64">
        <v>190.46</v>
      </c>
      <c r="M16" s="64">
        <v>235.24</v>
      </c>
      <c r="N16" s="64">
        <v>190.48</v>
      </c>
      <c r="O16" s="64">
        <v>192.06</v>
      </c>
      <c r="Q16" s="251"/>
      <c r="R16" s="251"/>
      <c r="S16" s="251"/>
    </row>
    <row r="17" spans="1:15">
      <c r="A17" s="66" t="s">
        <v>409</v>
      </c>
      <c r="B17" s="63">
        <v>400</v>
      </c>
      <c r="C17" s="64">
        <v>190.23</v>
      </c>
      <c r="D17" s="64">
        <v>238.58</v>
      </c>
      <c r="E17" s="63">
        <v>200</v>
      </c>
      <c r="F17" s="64">
        <v>189.83</v>
      </c>
      <c r="G17" s="64">
        <v>190.76</v>
      </c>
      <c r="J17" s="252"/>
      <c r="K17" s="66" t="s">
        <v>409</v>
      </c>
      <c r="L17" s="64">
        <v>190.23</v>
      </c>
      <c r="M17" s="64">
        <v>238.58</v>
      </c>
      <c r="N17" s="64">
        <v>189.83</v>
      </c>
      <c r="O17" s="64">
        <v>190.76</v>
      </c>
    </row>
    <row r="18" spans="1:15">
      <c r="A18" s="66" t="s">
        <v>410</v>
      </c>
      <c r="B18" s="63">
        <v>400</v>
      </c>
      <c r="C18" s="64">
        <v>190.3</v>
      </c>
      <c r="D18" s="64">
        <v>278.47000000000003</v>
      </c>
      <c r="E18" s="63">
        <v>200</v>
      </c>
      <c r="F18" s="64">
        <v>190.3</v>
      </c>
      <c r="G18" s="64">
        <v>191.5</v>
      </c>
      <c r="J18" s="252"/>
      <c r="K18" s="66" t="s">
        <v>410</v>
      </c>
      <c r="L18" s="64">
        <v>190.3</v>
      </c>
      <c r="M18" s="64">
        <v>278.47000000000003</v>
      </c>
      <c r="N18" s="64">
        <v>190.3</v>
      </c>
      <c r="O18" s="64">
        <v>191.5</v>
      </c>
    </row>
    <row r="19" spans="1:15">
      <c r="J19" s="252"/>
      <c r="K19" s="62" t="s">
        <v>411</v>
      </c>
      <c r="L19" s="62">
        <f>AVERAGE(L7:L18)</f>
        <v>189.78416666666669</v>
      </c>
      <c r="M19" s="62">
        <f>MAX(M7:M18)</f>
        <v>285.35000000000002</v>
      </c>
      <c r="N19" s="62">
        <f>AVERAGE(N7:N18)</f>
        <v>189.74166666666667</v>
      </c>
      <c r="O19" s="62">
        <f>MAX(O7:O18)</f>
        <v>195.64</v>
      </c>
    </row>
    <row r="21" spans="1:15" ht="30">
      <c r="J21" s="61">
        <f>+A6</f>
        <v>2022</v>
      </c>
      <c r="K21" s="61" t="s">
        <v>393</v>
      </c>
      <c r="L21" s="67" t="s">
        <v>388</v>
      </c>
      <c r="M21" s="67" t="s">
        <v>394</v>
      </c>
      <c r="N21" s="67" t="s">
        <v>391</v>
      </c>
      <c r="O21" s="67" t="s">
        <v>395</v>
      </c>
    </row>
    <row r="22" spans="1:15">
      <c r="J22" s="252" t="s">
        <v>190</v>
      </c>
      <c r="K22" s="66" t="s">
        <v>396</v>
      </c>
      <c r="L22" s="64"/>
      <c r="M22" s="64"/>
      <c r="N22" s="64"/>
      <c r="O22" s="64"/>
    </row>
    <row r="23" spans="1:15">
      <c r="J23" s="252"/>
      <c r="K23" s="66" t="s">
        <v>397</v>
      </c>
      <c r="L23" s="64"/>
      <c r="M23" s="64"/>
      <c r="N23" s="64"/>
      <c r="O23" s="64"/>
    </row>
    <row r="24" spans="1:15">
      <c r="J24" s="252"/>
      <c r="K24" s="66" t="s">
        <v>398</v>
      </c>
      <c r="L24" s="64"/>
      <c r="M24" s="64"/>
      <c r="N24" s="64"/>
      <c r="O24" s="64"/>
    </row>
    <row r="25" spans="1:15">
      <c r="J25" s="252"/>
      <c r="K25" s="66" t="s">
        <v>400</v>
      </c>
      <c r="L25" s="64"/>
      <c r="M25" s="64"/>
      <c r="N25" s="64"/>
      <c r="O25" s="64"/>
    </row>
    <row r="26" spans="1:15">
      <c r="J26" s="252"/>
      <c r="K26" s="66" t="s">
        <v>402</v>
      </c>
      <c r="L26" s="64"/>
      <c r="M26" s="64"/>
      <c r="N26" s="64"/>
      <c r="O26" s="64"/>
    </row>
    <row r="27" spans="1:15">
      <c r="J27" s="252"/>
      <c r="K27" s="66" t="s">
        <v>403</v>
      </c>
      <c r="L27" s="64"/>
      <c r="M27" s="64"/>
      <c r="N27" s="64"/>
      <c r="O27" s="64"/>
    </row>
    <row r="28" spans="1:15">
      <c r="J28" s="252"/>
      <c r="K28" s="66" t="s">
        <v>404</v>
      </c>
      <c r="L28" s="64"/>
      <c r="M28" s="64"/>
      <c r="N28" s="64"/>
      <c r="O28" s="64"/>
    </row>
    <row r="29" spans="1:15">
      <c r="J29" s="252"/>
      <c r="K29" s="66" t="s">
        <v>406</v>
      </c>
      <c r="L29" s="64"/>
      <c r="M29" s="64"/>
      <c r="N29" s="64"/>
      <c r="O29" s="64"/>
    </row>
    <row r="30" spans="1:15">
      <c r="J30" s="252"/>
      <c r="K30" s="66" t="s">
        <v>407</v>
      </c>
      <c r="L30" s="64"/>
      <c r="M30" s="64"/>
      <c r="N30" s="64"/>
      <c r="O30" s="64"/>
    </row>
    <row r="31" spans="1:15">
      <c r="J31" s="252"/>
      <c r="K31" s="66" t="s">
        <v>408</v>
      </c>
      <c r="L31" s="64"/>
      <c r="M31" s="64"/>
      <c r="N31" s="64"/>
      <c r="O31" s="64"/>
    </row>
    <row r="32" spans="1:15">
      <c r="J32" s="252"/>
      <c r="K32" s="66" t="s">
        <v>409</v>
      </c>
      <c r="L32" s="64"/>
      <c r="M32" s="64"/>
      <c r="N32" s="64"/>
      <c r="O32" s="64"/>
    </row>
    <row r="33" spans="1:15">
      <c r="J33" s="252"/>
      <c r="K33" s="66" t="s">
        <v>410</v>
      </c>
      <c r="L33" s="64"/>
      <c r="M33" s="64"/>
      <c r="N33" s="64"/>
      <c r="O33" s="64"/>
    </row>
    <row r="34" spans="1:15">
      <c r="J34" s="252"/>
      <c r="K34" s="62" t="s">
        <v>411</v>
      </c>
      <c r="L34" s="62" t="e">
        <f>AVERAGE(L22:L33)</f>
        <v>#DIV/0!</v>
      </c>
      <c r="M34" s="62">
        <f>MAX(M22:M33)</f>
        <v>0</v>
      </c>
      <c r="N34" s="62" t="e">
        <f>AVERAGE(N22:N33)</f>
        <v>#DIV/0!</v>
      </c>
      <c r="O34" s="62">
        <f>MAX(O22:O33)</f>
        <v>0</v>
      </c>
    </row>
    <row r="36" spans="1:15" ht="30">
      <c r="J36" s="61">
        <f>+A6</f>
        <v>2022</v>
      </c>
      <c r="K36" s="61" t="s">
        <v>393</v>
      </c>
      <c r="L36" s="67" t="s">
        <v>388</v>
      </c>
      <c r="M36" s="67" t="s">
        <v>394</v>
      </c>
      <c r="N36" s="67" t="s">
        <v>391</v>
      </c>
      <c r="O36" s="67" t="s">
        <v>395</v>
      </c>
    </row>
    <row r="37" spans="1:15">
      <c r="J37" s="252" t="s">
        <v>191</v>
      </c>
      <c r="K37" s="66" t="s">
        <v>396</v>
      </c>
      <c r="L37" s="64"/>
      <c r="M37" s="64"/>
      <c r="N37" s="64"/>
      <c r="O37" s="64"/>
    </row>
    <row r="38" spans="1:15">
      <c r="J38" s="252"/>
      <c r="K38" s="66" t="s">
        <v>397</v>
      </c>
      <c r="L38" s="64"/>
      <c r="M38" s="64"/>
      <c r="N38" s="64"/>
      <c r="O38" s="64"/>
    </row>
    <row r="39" spans="1:15">
      <c r="J39" s="252"/>
      <c r="K39" s="66" t="s">
        <v>398</v>
      </c>
      <c r="L39" s="64"/>
      <c r="M39" s="64"/>
      <c r="N39" s="64"/>
      <c r="O39" s="64"/>
    </row>
    <row r="40" spans="1:15">
      <c r="J40" s="252"/>
      <c r="K40" s="66" t="s">
        <v>400</v>
      </c>
      <c r="L40" s="64"/>
      <c r="M40" s="64"/>
      <c r="N40" s="64"/>
      <c r="O40" s="64"/>
    </row>
    <row r="41" spans="1:15">
      <c r="J41" s="252"/>
      <c r="K41" s="66" t="s">
        <v>402</v>
      </c>
      <c r="L41" s="64"/>
      <c r="M41" s="64"/>
      <c r="N41" s="64"/>
      <c r="O41" s="64"/>
    </row>
    <row r="42" spans="1:15">
      <c r="J42" s="252"/>
      <c r="K42" s="66" t="s">
        <v>403</v>
      </c>
      <c r="L42" s="64"/>
      <c r="M42" s="64"/>
      <c r="N42" s="64"/>
      <c r="O42" s="64"/>
    </row>
    <row r="43" spans="1:15">
      <c r="J43" s="252"/>
      <c r="K43" s="66" t="s">
        <v>404</v>
      </c>
      <c r="L43" s="64"/>
      <c r="M43" s="64"/>
      <c r="N43" s="64"/>
      <c r="O43" s="64"/>
    </row>
    <row r="44" spans="1:15">
      <c r="J44" s="252"/>
      <c r="K44" s="66" t="s">
        <v>406</v>
      </c>
      <c r="L44" s="64"/>
      <c r="M44" s="64"/>
      <c r="N44" s="64"/>
      <c r="O44" s="64"/>
    </row>
    <row r="45" spans="1:15">
      <c r="J45" s="252"/>
      <c r="K45" s="66" t="s">
        <v>407</v>
      </c>
      <c r="L45" s="64"/>
      <c r="M45" s="64"/>
      <c r="N45" s="64"/>
      <c r="O45" s="64"/>
    </row>
    <row r="46" spans="1:15">
      <c r="J46" s="252"/>
      <c r="K46" s="66" t="s">
        <v>408</v>
      </c>
      <c r="L46" s="64"/>
      <c r="M46" s="64"/>
      <c r="N46" s="64"/>
      <c r="O46" s="64"/>
    </row>
    <row r="47" spans="1:15">
      <c r="J47" s="252"/>
      <c r="K47" s="66" t="s">
        <v>409</v>
      </c>
      <c r="L47" s="64"/>
      <c r="M47" s="64"/>
      <c r="N47" s="64"/>
      <c r="O47" s="64"/>
    </row>
    <row r="48" spans="1:15" ht="15">
      <c r="A48" s="258" t="s">
        <v>298</v>
      </c>
      <c r="B48" s="259"/>
      <c r="C48" s="259"/>
      <c r="D48" s="259"/>
      <c r="E48" s="259"/>
      <c r="F48" s="259"/>
      <c r="G48" s="260"/>
      <c r="J48" s="252"/>
      <c r="K48" s="66" t="s">
        <v>410</v>
      </c>
      <c r="L48" s="64"/>
      <c r="M48" s="64"/>
      <c r="N48" s="64"/>
      <c r="O48" s="64"/>
    </row>
    <row r="49" spans="1:15">
      <c r="A49" s="224"/>
      <c r="B49" s="225"/>
      <c r="C49" s="225"/>
      <c r="D49" s="225"/>
      <c r="E49" s="225"/>
      <c r="F49" s="225"/>
      <c r="G49" s="226"/>
      <c r="J49" s="252"/>
      <c r="K49" s="62" t="s">
        <v>411</v>
      </c>
      <c r="L49" s="62" t="e">
        <f>AVERAGE(L37:L48)</f>
        <v>#DIV/0!</v>
      </c>
      <c r="M49" s="62">
        <f>MAX(M37:M48)</f>
        <v>0</v>
      </c>
      <c r="N49" s="62" t="e">
        <f>AVERAGE(N37:N48)</f>
        <v>#DIV/0!</v>
      </c>
      <c r="O49" s="62">
        <f>MAX(O37:O48)</f>
        <v>0</v>
      </c>
    </row>
    <row r="50" spans="1:15">
      <c r="A50" s="255"/>
      <c r="B50" s="256"/>
      <c r="C50" s="256"/>
      <c r="D50" s="256"/>
      <c r="E50" s="256"/>
      <c r="F50" s="256"/>
      <c r="G50" s="257"/>
    </row>
    <row r="51" spans="1:15" ht="30">
      <c r="A51" s="255"/>
      <c r="B51" s="256"/>
      <c r="C51" s="256"/>
      <c r="D51" s="256"/>
      <c r="E51" s="256"/>
      <c r="F51" s="256"/>
      <c r="G51" s="257"/>
      <c r="J51" s="61">
        <f>+A6</f>
        <v>2022</v>
      </c>
      <c r="K51" s="61" t="s">
        <v>393</v>
      </c>
      <c r="L51" s="67" t="s">
        <v>388</v>
      </c>
      <c r="M51" s="67" t="s">
        <v>394</v>
      </c>
      <c r="N51" s="67" t="s">
        <v>391</v>
      </c>
      <c r="O51" s="67" t="s">
        <v>395</v>
      </c>
    </row>
    <row r="52" spans="1:15">
      <c r="A52" s="227"/>
      <c r="B52" s="228"/>
      <c r="C52" s="228"/>
      <c r="D52" s="228"/>
      <c r="E52" s="228"/>
      <c r="F52" s="228"/>
      <c r="G52" s="229"/>
      <c r="J52" s="252" t="s">
        <v>192</v>
      </c>
      <c r="K52" s="66" t="s">
        <v>396</v>
      </c>
      <c r="L52" s="64"/>
      <c r="M52" s="64"/>
      <c r="N52" s="64"/>
      <c r="O52" s="64"/>
    </row>
    <row r="53" spans="1:15">
      <c r="J53" s="252"/>
      <c r="K53" s="66" t="s">
        <v>397</v>
      </c>
      <c r="L53" s="64"/>
      <c r="M53" s="64"/>
      <c r="N53" s="64"/>
      <c r="O53" s="64"/>
    </row>
    <row r="54" spans="1:15">
      <c r="J54" s="252"/>
      <c r="K54" s="66" t="s">
        <v>398</v>
      </c>
      <c r="L54" s="64"/>
      <c r="M54" s="64"/>
      <c r="N54" s="64"/>
      <c r="O54" s="64"/>
    </row>
    <row r="55" spans="1:15">
      <c r="J55" s="252"/>
      <c r="K55" s="66" t="s">
        <v>400</v>
      </c>
      <c r="L55" s="64"/>
      <c r="M55" s="64"/>
      <c r="N55" s="64"/>
      <c r="O55" s="64"/>
    </row>
    <row r="56" spans="1:15">
      <c r="J56" s="252"/>
      <c r="K56" s="66" t="s">
        <v>402</v>
      </c>
      <c r="L56" s="64"/>
      <c r="M56" s="64"/>
      <c r="N56" s="64"/>
      <c r="O56" s="64"/>
    </row>
    <row r="57" spans="1:15">
      <c r="J57" s="252"/>
      <c r="K57" s="66" t="s">
        <v>403</v>
      </c>
      <c r="L57" s="64"/>
      <c r="M57" s="64"/>
      <c r="N57" s="64"/>
      <c r="O57" s="64"/>
    </row>
    <row r="58" spans="1:15">
      <c r="J58" s="252"/>
      <c r="K58" s="66" t="s">
        <v>404</v>
      </c>
      <c r="L58" s="64"/>
      <c r="M58" s="64"/>
      <c r="N58" s="64"/>
      <c r="O58" s="64"/>
    </row>
    <row r="59" spans="1:15">
      <c r="J59" s="252"/>
      <c r="K59" s="66" t="s">
        <v>406</v>
      </c>
      <c r="L59" s="64"/>
      <c r="M59" s="64"/>
      <c r="N59" s="64"/>
      <c r="O59" s="64"/>
    </row>
    <row r="60" spans="1:15">
      <c r="J60" s="252"/>
      <c r="K60" s="66" t="s">
        <v>407</v>
      </c>
      <c r="L60" s="64"/>
      <c r="M60" s="64"/>
      <c r="N60" s="64"/>
      <c r="O60" s="64"/>
    </row>
    <row r="61" spans="1:15">
      <c r="J61" s="252"/>
      <c r="K61" s="66" t="s">
        <v>408</v>
      </c>
      <c r="L61" s="64"/>
      <c r="M61" s="64"/>
      <c r="N61" s="64"/>
      <c r="O61" s="64"/>
    </row>
    <row r="62" spans="1:15">
      <c r="J62" s="252"/>
      <c r="K62" s="66" t="s">
        <v>409</v>
      </c>
      <c r="L62" s="64"/>
      <c r="M62" s="64"/>
      <c r="N62" s="64"/>
      <c r="O62" s="64"/>
    </row>
    <row r="63" spans="1:15">
      <c r="J63" s="252"/>
      <c r="K63" s="66" t="s">
        <v>410</v>
      </c>
      <c r="L63" s="64"/>
      <c r="M63" s="64"/>
      <c r="N63" s="64"/>
      <c r="O63" s="64"/>
    </row>
    <row r="64" spans="1:15">
      <c r="J64" s="252"/>
      <c r="K64" s="62" t="s">
        <v>411</v>
      </c>
      <c r="L64" s="62" t="e">
        <f>AVERAGE(L52:L63)</f>
        <v>#DIV/0!</v>
      </c>
      <c r="M64" s="62">
        <f>MAX(M52:M63)</f>
        <v>0</v>
      </c>
      <c r="N64" s="62" t="e">
        <f>AVERAGE(N52:N63)</f>
        <v>#DIV/0!</v>
      </c>
      <c r="O64" s="62">
        <f>MAX(O52:O63)</f>
        <v>0</v>
      </c>
    </row>
    <row r="66" spans="10:15" ht="30">
      <c r="J66" s="61">
        <f>+A6</f>
        <v>2022</v>
      </c>
      <c r="K66" s="61" t="s">
        <v>393</v>
      </c>
      <c r="L66" s="67" t="s">
        <v>388</v>
      </c>
      <c r="M66" s="67" t="s">
        <v>394</v>
      </c>
      <c r="N66" s="67" t="s">
        <v>391</v>
      </c>
      <c r="O66" s="67" t="s">
        <v>395</v>
      </c>
    </row>
    <row r="67" spans="10:15">
      <c r="J67" s="252" t="s">
        <v>193</v>
      </c>
      <c r="K67" s="66" t="s">
        <v>396</v>
      </c>
      <c r="L67" s="64"/>
      <c r="M67" s="64"/>
      <c r="N67" s="64"/>
      <c r="O67" s="64"/>
    </row>
    <row r="68" spans="10:15">
      <c r="J68" s="252"/>
      <c r="K68" s="66" t="s">
        <v>397</v>
      </c>
      <c r="L68" s="64"/>
      <c r="M68" s="64"/>
      <c r="N68" s="64"/>
      <c r="O68" s="64"/>
    </row>
    <row r="69" spans="10:15">
      <c r="J69" s="252"/>
      <c r="K69" s="66" t="s">
        <v>398</v>
      </c>
      <c r="L69" s="64"/>
      <c r="M69" s="64"/>
      <c r="N69" s="64"/>
      <c r="O69" s="64"/>
    </row>
    <row r="70" spans="10:15">
      <c r="J70" s="252"/>
      <c r="K70" s="66" t="s">
        <v>400</v>
      </c>
      <c r="L70" s="64"/>
      <c r="M70" s="64"/>
      <c r="N70" s="64"/>
      <c r="O70" s="64"/>
    </row>
    <row r="71" spans="10:15">
      <c r="J71" s="252"/>
      <c r="K71" s="66" t="s">
        <v>402</v>
      </c>
      <c r="L71" s="64"/>
      <c r="M71" s="64"/>
      <c r="N71" s="64"/>
      <c r="O71" s="64"/>
    </row>
    <row r="72" spans="10:15">
      <c r="J72" s="252"/>
      <c r="K72" s="66" t="s">
        <v>403</v>
      </c>
      <c r="L72" s="64"/>
      <c r="M72" s="64"/>
      <c r="N72" s="64"/>
      <c r="O72" s="64"/>
    </row>
    <row r="73" spans="10:15">
      <c r="J73" s="252"/>
      <c r="K73" s="66" t="s">
        <v>404</v>
      </c>
      <c r="L73" s="64"/>
      <c r="M73" s="64"/>
      <c r="N73" s="64"/>
      <c r="O73" s="64"/>
    </row>
    <row r="74" spans="10:15">
      <c r="J74" s="252"/>
      <c r="K74" s="66" t="s">
        <v>406</v>
      </c>
      <c r="L74" s="64"/>
      <c r="M74" s="64"/>
      <c r="N74" s="64"/>
      <c r="O74" s="64"/>
    </row>
    <row r="75" spans="10:15">
      <c r="J75" s="252"/>
      <c r="K75" s="66" t="s">
        <v>407</v>
      </c>
      <c r="L75" s="64"/>
      <c r="M75" s="64"/>
      <c r="N75" s="64"/>
      <c r="O75" s="64"/>
    </row>
    <row r="76" spans="10:15">
      <c r="J76" s="252"/>
      <c r="K76" s="66" t="s">
        <v>408</v>
      </c>
      <c r="L76" s="64"/>
      <c r="M76" s="64"/>
      <c r="N76" s="64"/>
      <c r="O76" s="64"/>
    </row>
    <row r="77" spans="10:15">
      <c r="J77" s="252"/>
      <c r="K77" s="66" t="s">
        <v>409</v>
      </c>
      <c r="L77" s="64"/>
      <c r="M77" s="64"/>
      <c r="N77" s="64"/>
      <c r="O77" s="64"/>
    </row>
    <row r="78" spans="10:15">
      <c r="J78" s="252"/>
      <c r="K78" s="66" t="s">
        <v>410</v>
      </c>
      <c r="L78" s="64"/>
      <c r="M78" s="64"/>
      <c r="N78" s="64"/>
      <c r="O78" s="64"/>
    </row>
    <row r="79" spans="10:15">
      <c r="J79" s="252"/>
      <c r="K79" s="62" t="s">
        <v>411</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topLeftCell="A8" workbookViewId="0">
      <selection activeCell="B55" sqref="B55"/>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Newlincs Development IWMF</v>
      </c>
    </row>
    <row r="3" spans="1:19" ht="15">
      <c r="A3" s="60" t="s">
        <v>418</v>
      </c>
      <c r="D3" s="76" t="s">
        <v>380</v>
      </c>
      <c r="G3" s="80" t="s">
        <v>381</v>
      </c>
      <c r="J3" s="9" t="str">
        <f>+A3</f>
        <v>Monitoring of Total organic carbon emissions</v>
      </c>
      <c r="L3" s="9"/>
      <c r="N3" s="9" t="s">
        <v>382</v>
      </c>
      <c r="Q3" s="79" t="s">
        <v>3</v>
      </c>
      <c r="R3" s="74"/>
      <c r="S3" s="74"/>
    </row>
    <row r="4" spans="1:19" ht="13.9" customHeight="1">
      <c r="Q4" s="243" t="s">
        <v>383</v>
      </c>
      <c r="R4" s="243"/>
      <c r="S4" s="243"/>
    </row>
    <row r="5" spans="1:19" ht="17.25">
      <c r="A5" s="68" t="s">
        <v>384</v>
      </c>
      <c r="B5" s="254" t="s">
        <v>385</v>
      </c>
      <c r="C5" s="254"/>
      <c r="D5" s="254"/>
      <c r="E5" s="254" t="s">
        <v>386</v>
      </c>
      <c r="F5" s="254"/>
      <c r="G5" s="254"/>
      <c r="J5" s="253"/>
      <c r="K5" s="253"/>
      <c r="L5" s="253"/>
      <c r="M5" s="253"/>
      <c r="N5" s="253"/>
      <c r="O5" s="253"/>
      <c r="Q5" s="243"/>
      <c r="R5" s="243"/>
      <c r="S5" s="243"/>
    </row>
    <row r="6" spans="1:19" s="58" customFormat="1" ht="37.5" customHeight="1">
      <c r="A6" s="65">
        <f>+'Cover Page'!C39</f>
        <v>2022</v>
      </c>
      <c r="B6" s="55" t="s">
        <v>419</v>
      </c>
      <c r="C6" s="55" t="s">
        <v>388</v>
      </c>
      <c r="D6" s="55" t="s">
        <v>389</v>
      </c>
      <c r="E6" s="55" t="s">
        <v>420</v>
      </c>
      <c r="F6" s="55" t="s">
        <v>391</v>
      </c>
      <c r="G6" s="55" t="s">
        <v>392</v>
      </c>
      <c r="H6" s="59"/>
      <c r="J6" s="61">
        <f>+A6</f>
        <v>2022</v>
      </c>
      <c r="K6" s="61" t="s">
        <v>393</v>
      </c>
      <c r="L6" s="67" t="s">
        <v>388</v>
      </c>
      <c r="M6" s="67" t="s">
        <v>394</v>
      </c>
      <c r="N6" s="67" t="s">
        <v>391</v>
      </c>
      <c r="O6" s="67" t="s">
        <v>395</v>
      </c>
      <c r="Q6" s="243"/>
      <c r="R6" s="243"/>
      <c r="S6" s="243"/>
    </row>
    <row r="7" spans="1:19">
      <c r="A7" s="66" t="s">
        <v>396</v>
      </c>
      <c r="B7" s="63">
        <v>20</v>
      </c>
      <c r="C7" s="64">
        <v>0.93</v>
      </c>
      <c r="D7" s="64">
        <v>6.22</v>
      </c>
      <c r="E7" s="63">
        <v>10</v>
      </c>
      <c r="F7" s="64">
        <v>0.93</v>
      </c>
      <c r="G7" s="64">
        <v>1.73</v>
      </c>
      <c r="J7" s="252" t="s">
        <v>189</v>
      </c>
      <c r="K7" s="66" t="s">
        <v>396</v>
      </c>
      <c r="L7" s="64">
        <v>0.93</v>
      </c>
      <c r="M7" s="64">
        <v>6.22</v>
      </c>
      <c r="N7" s="64">
        <v>0.93</v>
      </c>
      <c r="O7" s="64">
        <v>1.73</v>
      </c>
      <c r="Q7" s="243"/>
      <c r="R7" s="243"/>
      <c r="S7" s="243"/>
    </row>
    <row r="8" spans="1:19">
      <c r="A8" s="66" t="s">
        <v>397</v>
      </c>
      <c r="B8" s="63">
        <v>20</v>
      </c>
      <c r="C8" s="64">
        <v>0.87</v>
      </c>
      <c r="D8" s="64">
        <v>1.59</v>
      </c>
      <c r="E8" s="63">
        <v>10</v>
      </c>
      <c r="F8" s="64">
        <v>0.87</v>
      </c>
      <c r="G8" s="64">
        <v>1.19</v>
      </c>
      <c r="J8" s="252"/>
      <c r="K8" s="66" t="s">
        <v>397</v>
      </c>
      <c r="L8" s="64">
        <v>0.87</v>
      </c>
      <c r="M8" s="64">
        <v>1.59</v>
      </c>
      <c r="N8" s="64">
        <v>0.87</v>
      </c>
      <c r="O8" s="64">
        <v>1.19</v>
      </c>
      <c r="Q8" s="243"/>
      <c r="R8" s="243"/>
      <c r="S8" s="243"/>
    </row>
    <row r="9" spans="1:19" ht="15">
      <c r="A9" s="66" t="s">
        <v>398</v>
      </c>
      <c r="B9" s="63">
        <v>20</v>
      </c>
      <c r="C9" s="64">
        <v>1.03</v>
      </c>
      <c r="D9" s="64">
        <v>7.8</v>
      </c>
      <c r="E9" s="63">
        <v>10</v>
      </c>
      <c r="F9" s="64">
        <v>1.03</v>
      </c>
      <c r="G9" s="64">
        <v>2.2400000000000002</v>
      </c>
      <c r="J9" s="252"/>
      <c r="K9" s="66" t="s">
        <v>398</v>
      </c>
      <c r="L9" s="64">
        <v>1.03</v>
      </c>
      <c r="M9" s="64">
        <v>7.8</v>
      </c>
      <c r="N9" s="64">
        <v>1.03</v>
      </c>
      <c r="O9" s="64">
        <v>2.2400000000000002</v>
      </c>
      <c r="Q9" s="78" t="s">
        <v>399</v>
      </c>
    </row>
    <row r="10" spans="1:19" ht="14.25" customHeight="1">
      <c r="A10" s="66" t="s">
        <v>400</v>
      </c>
      <c r="B10" s="63">
        <v>20</v>
      </c>
      <c r="C10" s="64">
        <v>0.76</v>
      </c>
      <c r="D10" s="64">
        <v>6.48</v>
      </c>
      <c r="E10" s="63">
        <v>10</v>
      </c>
      <c r="F10" s="64">
        <v>0.76</v>
      </c>
      <c r="G10" s="64">
        <v>1.89</v>
      </c>
      <c r="J10" s="252"/>
      <c r="K10" s="66" t="s">
        <v>400</v>
      </c>
      <c r="L10" s="64">
        <v>0.76</v>
      </c>
      <c r="M10" s="64">
        <v>6.48</v>
      </c>
      <c r="N10" s="64">
        <v>0.76</v>
      </c>
      <c r="O10" s="64">
        <v>1.89</v>
      </c>
      <c r="Q10" s="251" t="s">
        <v>401</v>
      </c>
      <c r="R10" s="251"/>
      <c r="S10" s="251"/>
    </row>
    <row r="11" spans="1:19">
      <c r="A11" s="66" t="s">
        <v>402</v>
      </c>
      <c r="B11" s="63">
        <v>20</v>
      </c>
      <c r="C11" s="64">
        <v>0.53</v>
      </c>
      <c r="D11" s="64">
        <v>3.4</v>
      </c>
      <c r="E11" s="63">
        <v>10</v>
      </c>
      <c r="F11" s="64">
        <v>0.53</v>
      </c>
      <c r="G11" s="64">
        <v>0.91</v>
      </c>
      <c r="J11" s="252"/>
      <c r="K11" s="66" t="s">
        <v>402</v>
      </c>
      <c r="L11" s="64">
        <v>0.53</v>
      </c>
      <c r="M11" s="64">
        <v>3.4</v>
      </c>
      <c r="N11" s="64">
        <v>0.53</v>
      </c>
      <c r="O11" s="64">
        <v>0.91</v>
      </c>
      <c r="Q11" s="251"/>
      <c r="R11" s="251"/>
      <c r="S11" s="251"/>
    </row>
    <row r="12" spans="1:19">
      <c r="A12" s="66" t="s">
        <v>403</v>
      </c>
      <c r="B12" s="63">
        <v>20</v>
      </c>
      <c r="C12" s="64">
        <v>0.45</v>
      </c>
      <c r="D12" s="64">
        <v>3.76</v>
      </c>
      <c r="E12" s="63">
        <v>10</v>
      </c>
      <c r="F12" s="64">
        <v>0.45</v>
      </c>
      <c r="G12" s="64">
        <v>0.91</v>
      </c>
      <c r="J12" s="252"/>
      <c r="K12" s="66" t="s">
        <v>403</v>
      </c>
      <c r="L12" s="64">
        <v>0.45</v>
      </c>
      <c r="M12" s="64">
        <v>3.76</v>
      </c>
      <c r="N12" s="64">
        <v>0.45</v>
      </c>
      <c r="O12" s="64">
        <v>0.91</v>
      </c>
      <c r="Q12" s="251"/>
      <c r="R12" s="251"/>
      <c r="S12" s="251"/>
    </row>
    <row r="13" spans="1:19" ht="14.25" customHeight="1">
      <c r="A13" s="66" t="s">
        <v>404</v>
      </c>
      <c r="B13" s="63">
        <v>20</v>
      </c>
      <c r="C13" s="64">
        <v>0.28999999999999998</v>
      </c>
      <c r="D13" s="64">
        <v>5.08</v>
      </c>
      <c r="E13" s="63">
        <v>10</v>
      </c>
      <c r="F13" s="64">
        <v>0.28999999999999998</v>
      </c>
      <c r="G13" s="64">
        <v>1.44</v>
      </c>
      <c r="J13" s="252"/>
      <c r="K13" s="66" t="s">
        <v>404</v>
      </c>
      <c r="L13" s="64">
        <v>0.28999999999999998</v>
      </c>
      <c r="M13" s="64">
        <v>5.08</v>
      </c>
      <c r="N13" s="64">
        <v>0.28999999999999998</v>
      </c>
      <c r="O13" s="64">
        <v>1.44</v>
      </c>
      <c r="Q13" s="251" t="s">
        <v>405</v>
      </c>
      <c r="R13" s="251"/>
      <c r="S13" s="251"/>
    </row>
    <row r="14" spans="1:19">
      <c r="A14" s="66" t="s">
        <v>406</v>
      </c>
      <c r="B14" s="63">
        <v>20</v>
      </c>
      <c r="C14" s="64">
        <v>0.18</v>
      </c>
      <c r="D14" s="64">
        <v>6.09</v>
      </c>
      <c r="E14" s="63">
        <v>10</v>
      </c>
      <c r="F14" s="64">
        <v>0.18</v>
      </c>
      <c r="G14" s="64">
        <v>0.41</v>
      </c>
      <c r="J14" s="252"/>
      <c r="K14" s="66" t="s">
        <v>406</v>
      </c>
      <c r="L14" s="64">
        <v>0.18</v>
      </c>
      <c r="M14" s="64">
        <v>6.09</v>
      </c>
      <c r="N14" s="64">
        <v>0.18</v>
      </c>
      <c r="O14" s="64">
        <v>0.41</v>
      </c>
      <c r="Q14" s="251"/>
      <c r="R14" s="251"/>
      <c r="S14" s="251"/>
    </row>
    <row r="15" spans="1:19">
      <c r="A15" s="66" t="s">
        <v>407</v>
      </c>
      <c r="B15" s="63">
        <v>20</v>
      </c>
      <c r="C15" s="64">
        <v>0.23</v>
      </c>
      <c r="D15" s="64">
        <v>4.67</v>
      </c>
      <c r="E15" s="63">
        <v>10</v>
      </c>
      <c r="F15" s="64">
        <v>0.23</v>
      </c>
      <c r="G15" s="64">
        <v>1.29</v>
      </c>
      <c r="J15" s="252"/>
      <c r="K15" s="66" t="s">
        <v>407</v>
      </c>
      <c r="L15" s="64">
        <v>0.23</v>
      </c>
      <c r="M15" s="64">
        <v>4.67</v>
      </c>
      <c r="N15" s="64">
        <v>0.23</v>
      </c>
      <c r="O15" s="64">
        <v>1.29</v>
      </c>
      <c r="Q15" s="251"/>
      <c r="R15" s="251"/>
      <c r="S15" s="251"/>
    </row>
    <row r="16" spans="1:19">
      <c r="A16" s="66" t="s">
        <v>408</v>
      </c>
      <c r="B16" s="63">
        <v>20</v>
      </c>
      <c r="C16" s="64">
        <v>0.12</v>
      </c>
      <c r="D16" s="64">
        <v>3.67</v>
      </c>
      <c r="E16" s="63">
        <v>10</v>
      </c>
      <c r="F16" s="64">
        <v>0.12</v>
      </c>
      <c r="G16" s="64">
        <v>0.66</v>
      </c>
      <c r="J16" s="252"/>
      <c r="K16" s="66" t="s">
        <v>408</v>
      </c>
      <c r="L16" s="64">
        <v>0.12</v>
      </c>
      <c r="M16" s="64">
        <v>3.67</v>
      </c>
      <c r="N16" s="64">
        <v>0.12</v>
      </c>
      <c r="O16" s="64">
        <v>0.66</v>
      </c>
      <c r="Q16" s="251"/>
      <c r="R16" s="251"/>
      <c r="S16" s="251"/>
    </row>
    <row r="17" spans="1:15">
      <c r="A17" s="66" t="s">
        <v>409</v>
      </c>
      <c r="B17" s="63">
        <v>20</v>
      </c>
      <c r="C17" s="64">
        <v>0.05</v>
      </c>
      <c r="D17" s="64">
        <v>1.45</v>
      </c>
      <c r="E17" s="63">
        <v>10</v>
      </c>
      <c r="F17" s="64">
        <v>0.06</v>
      </c>
      <c r="G17" s="64">
        <v>0.33</v>
      </c>
      <c r="J17" s="252"/>
      <c r="K17" s="66" t="s">
        <v>409</v>
      </c>
      <c r="L17" s="64">
        <v>0.05</v>
      </c>
      <c r="M17" s="64">
        <v>1.45</v>
      </c>
      <c r="N17" s="64">
        <v>0.06</v>
      </c>
      <c r="O17" s="64">
        <v>0.33</v>
      </c>
    </row>
    <row r="18" spans="1:15">
      <c r="A18" s="66" t="s">
        <v>410</v>
      </c>
      <c r="B18" s="63">
        <v>20</v>
      </c>
      <c r="C18" s="64">
        <v>0.03</v>
      </c>
      <c r="D18" s="64">
        <v>2.76</v>
      </c>
      <c r="E18" s="63">
        <v>10</v>
      </c>
      <c r="F18" s="64">
        <v>0.03</v>
      </c>
      <c r="G18" s="64">
        <v>0.33</v>
      </c>
      <c r="J18" s="252"/>
      <c r="K18" s="66" t="s">
        <v>410</v>
      </c>
      <c r="L18" s="64">
        <v>0.03</v>
      </c>
      <c r="M18" s="64">
        <v>2.76</v>
      </c>
      <c r="N18" s="64">
        <v>0.03</v>
      </c>
      <c r="O18" s="64">
        <v>0.33</v>
      </c>
    </row>
    <row r="19" spans="1:15">
      <c r="J19" s="252"/>
      <c r="K19" s="62" t="s">
        <v>411</v>
      </c>
      <c r="L19" s="62">
        <f>AVERAGE(L7:L18)</f>
        <v>0.45583333333333337</v>
      </c>
      <c r="M19" s="62">
        <f>MAX(M7:M18)</f>
        <v>7.8</v>
      </c>
      <c r="N19" s="62">
        <f>AVERAGE(N7:N18)</f>
        <v>0.45666666666666672</v>
      </c>
      <c r="O19" s="62">
        <f>MAX(O7:O18)</f>
        <v>2.2400000000000002</v>
      </c>
    </row>
    <row r="21" spans="1:15" ht="30">
      <c r="J21" s="61">
        <f>+A6</f>
        <v>2022</v>
      </c>
      <c r="K21" s="61" t="s">
        <v>393</v>
      </c>
      <c r="L21" s="67" t="s">
        <v>388</v>
      </c>
      <c r="M21" s="67" t="s">
        <v>394</v>
      </c>
      <c r="N21" s="67" t="s">
        <v>391</v>
      </c>
      <c r="O21" s="67" t="s">
        <v>395</v>
      </c>
    </row>
    <row r="22" spans="1:15">
      <c r="J22" s="252" t="s">
        <v>190</v>
      </c>
      <c r="K22" s="66" t="s">
        <v>396</v>
      </c>
      <c r="L22" s="64"/>
      <c r="M22" s="64"/>
      <c r="N22" s="64"/>
      <c r="O22" s="64"/>
    </row>
    <row r="23" spans="1:15">
      <c r="J23" s="252"/>
      <c r="K23" s="66" t="s">
        <v>397</v>
      </c>
      <c r="L23" s="64"/>
      <c r="M23" s="64"/>
      <c r="N23" s="64"/>
      <c r="O23" s="64"/>
    </row>
    <row r="24" spans="1:15">
      <c r="J24" s="252"/>
      <c r="K24" s="66" t="s">
        <v>398</v>
      </c>
      <c r="L24" s="64"/>
      <c r="M24" s="64"/>
      <c r="N24" s="64"/>
      <c r="O24" s="64"/>
    </row>
    <row r="25" spans="1:15">
      <c r="J25" s="252"/>
      <c r="K25" s="66" t="s">
        <v>400</v>
      </c>
      <c r="L25" s="64"/>
      <c r="M25" s="64"/>
      <c r="N25" s="64"/>
      <c r="O25" s="64"/>
    </row>
    <row r="26" spans="1:15">
      <c r="J26" s="252"/>
      <c r="K26" s="66" t="s">
        <v>402</v>
      </c>
      <c r="L26" s="64"/>
      <c r="M26" s="64"/>
      <c r="N26" s="64"/>
      <c r="O26" s="64"/>
    </row>
    <row r="27" spans="1:15">
      <c r="J27" s="252"/>
      <c r="K27" s="66" t="s">
        <v>403</v>
      </c>
      <c r="L27" s="64"/>
      <c r="M27" s="64"/>
      <c r="N27" s="64"/>
      <c r="O27" s="64"/>
    </row>
    <row r="28" spans="1:15">
      <c r="J28" s="252"/>
      <c r="K28" s="66" t="s">
        <v>404</v>
      </c>
      <c r="L28" s="64"/>
      <c r="M28" s="64"/>
      <c r="N28" s="64"/>
      <c r="O28" s="64"/>
    </row>
    <row r="29" spans="1:15">
      <c r="J29" s="252"/>
      <c r="K29" s="66" t="s">
        <v>406</v>
      </c>
      <c r="L29" s="64"/>
      <c r="M29" s="64"/>
      <c r="N29" s="64"/>
      <c r="O29" s="64"/>
    </row>
    <row r="30" spans="1:15">
      <c r="J30" s="252"/>
      <c r="K30" s="66" t="s">
        <v>407</v>
      </c>
      <c r="L30" s="64"/>
      <c r="M30" s="64"/>
      <c r="N30" s="64"/>
      <c r="O30" s="64"/>
    </row>
    <row r="31" spans="1:15">
      <c r="J31" s="252"/>
      <c r="K31" s="66" t="s">
        <v>408</v>
      </c>
      <c r="L31" s="64"/>
      <c r="M31" s="64"/>
      <c r="N31" s="64"/>
      <c r="O31" s="64"/>
    </row>
    <row r="32" spans="1:15">
      <c r="J32" s="252"/>
      <c r="K32" s="66" t="s">
        <v>409</v>
      </c>
      <c r="L32" s="64"/>
      <c r="M32" s="64"/>
      <c r="N32" s="64"/>
      <c r="O32" s="64"/>
    </row>
    <row r="33" spans="1:15">
      <c r="J33" s="252"/>
      <c r="K33" s="66" t="s">
        <v>410</v>
      </c>
      <c r="L33" s="64"/>
      <c r="M33" s="64"/>
      <c r="N33" s="64"/>
      <c r="O33" s="64"/>
    </row>
    <row r="34" spans="1:15">
      <c r="J34" s="252"/>
      <c r="K34" s="62" t="s">
        <v>411</v>
      </c>
      <c r="L34" s="62" t="e">
        <f>AVERAGE(L22:L33)</f>
        <v>#DIV/0!</v>
      </c>
      <c r="M34" s="62">
        <f>MAX(M22:M33)</f>
        <v>0</v>
      </c>
      <c r="N34" s="62" t="e">
        <f>AVERAGE(N22:N33)</f>
        <v>#DIV/0!</v>
      </c>
      <c r="O34" s="62">
        <f>MAX(O22:O33)</f>
        <v>0</v>
      </c>
    </row>
    <row r="36" spans="1:15" ht="30">
      <c r="J36" s="61">
        <f>+A6</f>
        <v>2022</v>
      </c>
      <c r="K36" s="61" t="s">
        <v>393</v>
      </c>
      <c r="L36" s="67" t="s">
        <v>388</v>
      </c>
      <c r="M36" s="67" t="s">
        <v>394</v>
      </c>
      <c r="N36" s="67" t="s">
        <v>391</v>
      </c>
      <c r="O36" s="67" t="s">
        <v>395</v>
      </c>
    </row>
    <row r="37" spans="1:15">
      <c r="J37" s="252" t="s">
        <v>191</v>
      </c>
      <c r="K37" s="66" t="s">
        <v>396</v>
      </c>
      <c r="L37" s="64"/>
      <c r="M37" s="64"/>
      <c r="N37" s="64"/>
      <c r="O37" s="64"/>
    </row>
    <row r="38" spans="1:15">
      <c r="J38" s="252"/>
      <c r="K38" s="66" t="s">
        <v>397</v>
      </c>
      <c r="L38" s="64"/>
      <c r="M38" s="64"/>
      <c r="N38" s="64"/>
      <c r="O38" s="64"/>
    </row>
    <row r="39" spans="1:15">
      <c r="J39" s="252"/>
      <c r="K39" s="66" t="s">
        <v>398</v>
      </c>
      <c r="L39" s="64"/>
      <c r="M39" s="64"/>
      <c r="N39" s="64"/>
      <c r="O39" s="64"/>
    </row>
    <row r="40" spans="1:15">
      <c r="J40" s="252"/>
      <c r="K40" s="66" t="s">
        <v>400</v>
      </c>
      <c r="L40" s="64"/>
      <c r="M40" s="64"/>
      <c r="N40" s="64"/>
      <c r="O40" s="64"/>
    </row>
    <row r="41" spans="1:15">
      <c r="J41" s="252"/>
      <c r="K41" s="66" t="s">
        <v>402</v>
      </c>
      <c r="L41" s="64"/>
      <c r="M41" s="64"/>
      <c r="N41" s="64"/>
      <c r="O41" s="64"/>
    </row>
    <row r="42" spans="1:15">
      <c r="J42" s="252"/>
      <c r="K42" s="66" t="s">
        <v>403</v>
      </c>
      <c r="L42" s="64"/>
      <c r="M42" s="64"/>
      <c r="N42" s="64"/>
      <c r="O42" s="64"/>
    </row>
    <row r="43" spans="1:15">
      <c r="J43" s="252"/>
      <c r="K43" s="66" t="s">
        <v>404</v>
      </c>
      <c r="L43" s="64"/>
      <c r="M43" s="64"/>
      <c r="N43" s="64"/>
      <c r="O43" s="64"/>
    </row>
    <row r="44" spans="1:15">
      <c r="J44" s="252"/>
      <c r="K44" s="66" t="s">
        <v>406</v>
      </c>
      <c r="L44" s="64"/>
      <c r="M44" s="64"/>
      <c r="N44" s="64"/>
      <c r="O44" s="64"/>
    </row>
    <row r="45" spans="1:15">
      <c r="J45" s="252"/>
      <c r="K45" s="66" t="s">
        <v>407</v>
      </c>
      <c r="L45" s="64"/>
      <c r="M45" s="64"/>
      <c r="N45" s="64"/>
      <c r="O45" s="64"/>
    </row>
    <row r="46" spans="1:15">
      <c r="J46" s="252"/>
      <c r="K46" s="66" t="s">
        <v>408</v>
      </c>
      <c r="L46" s="64"/>
      <c r="M46" s="64"/>
      <c r="N46" s="64"/>
      <c r="O46" s="64"/>
    </row>
    <row r="47" spans="1:15">
      <c r="J47" s="252"/>
      <c r="K47" s="66" t="s">
        <v>409</v>
      </c>
      <c r="L47" s="64"/>
      <c r="M47" s="64"/>
      <c r="N47" s="64"/>
      <c r="O47" s="64"/>
    </row>
    <row r="48" spans="1:15" ht="15">
      <c r="A48" s="258" t="s">
        <v>298</v>
      </c>
      <c r="B48" s="259"/>
      <c r="C48" s="259"/>
      <c r="D48" s="259"/>
      <c r="E48" s="259"/>
      <c r="F48" s="259"/>
      <c r="G48" s="260"/>
      <c r="J48" s="252"/>
      <c r="K48" s="66" t="s">
        <v>410</v>
      </c>
      <c r="L48" s="64"/>
      <c r="M48" s="64"/>
      <c r="N48" s="64"/>
      <c r="O48" s="64"/>
    </row>
    <row r="49" spans="1:15">
      <c r="A49" s="224"/>
      <c r="B49" s="225"/>
      <c r="C49" s="225"/>
      <c r="D49" s="225"/>
      <c r="E49" s="225"/>
      <c r="F49" s="225"/>
      <c r="G49" s="226"/>
      <c r="J49" s="252"/>
      <c r="K49" s="62" t="s">
        <v>411</v>
      </c>
      <c r="L49" s="62" t="e">
        <f>AVERAGE(L37:L48)</f>
        <v>#DIV/0!</v>
      </c>
      <c r="M49" s="62">
        <f>MAX(M37:M48)</f>
        <v>0</v>
      </c>
      <c r="N49" s="62" t="e">
        <f>AVERAGE(N37:N48)</f>
        <v>#DIV/0!</v>
      </c>
      <c r="O49" s="62">
        <f>MAX(O37:O48)</f>
        <v>0</v>
      </c>
    </row>
    <row r="50" spans="1:15">
      <c r="A50" s="255"/>
      <c r="B50" s="256"/>
      <c r="C50" s="256"/>
      <c r="D50" s="256"/>
      <c r="E50" s="256"/>
      <c r="F50" s="256"/>
      <c r="G50" s="257"/>
    </row>
    <row r="51" spans="1:15" ht="30">
      <c r="A51" s="255"/>
      <c r="B51" s="256"/>
      <c r="C51" s="256"/>
      <c r="D51" s="256"/>
      <c r="E51" s="256"/>
      <c r="F51" s="256"/>
      <c r="G51" s="257"/>
      <c r="J51" s="61">
        <f>+A6</f>
        <v>2022</v>
      </c>
      <c r="K51" s="61" t="s">
        <v>393</v>
      </c>
      <c r="L51" s="67" t="s">
        <v>388</v>
      </c>
      <c r="M51" s="67" t="s">
        <v>394</v>
      </c>
      <c r="N51" s="67" t="s">
        <v>391</v>
      </c>
      <c r="O51" s="67" t="s">
        <v>395</v>
      </c>
    </row>
    <row r="52" spans="1:15">
      <c r="A52" s="227"/>
      <c r="B52" s="228"/>
      <c r="C52" s="228"/>
      <c r="D52" s="228"/>
      <c r="E52" s="228"/>
      <c r="F52" s="228"/>
      <c r="G52" s="229"/>
      <c r="J52" s="252" t="s">
        <v>192</v>
      </c>
      <c r="K52" s="66" t="s">
        <v>396</v>
      </c>
      <c r="L52" s="64"/>
      <c r="M52" s="64"/>
      <c r="N52" s="64"/>
      <c r="O52" s="64"/>
    </row>
    <row r="53" spans="1:15">
      <c r="J53" s="252"/>
      <c r="K53" s="66" t="s">
        <v>397</v>
      </c>
      <c r="L53" s="64"/>
      <c r="M53" s="64"/>
      <c r="N53" s="64"/>
      <c r="O53" s="64"/>
    </row>
    <row r="54" spans="1:15">
      <c r="J54" s="252"/>
      <c r="K54" s="66" t="s">
        <v>398</v>
      </c>
      <c r="L54" s="64"/>
      <c r="M54" s="64"/>
      <c r="N54" s="64"/>
      <c r="O54" s="64"/>
    </row>
    <row r="55" spans="1:15">
      <c r="J55" s="252"/>
      <c r="K55" s="66" t="s">
        <v>400</v>
      </c>
      <c r="L55" s="64"/>
      <c r="M55" s="64"/>
      <c r="N55" s="64"/>
      <c r="O55" s="64"/>
    </row>
    <row r="56" spans="1:15">
      <c r="J56" s="252"/>
      <c r="K56" s="66" t="s">
        <v>402</v>
      </c>
      <c r="L56" s="64"/>
      <c r="M56" s="64"/>
      <c r="N56" s="64"/>
      <c r="O56" s="64"/>
    </row>
    <row r="57" spans="1:15">
      <c r="J57" s="252"/>
      <c r="K57" s="66" t="s">
        <v>403</v>
      </c>
      <c r="L57" s="64"/>
      <c r="M57" s="64"/>
      <c r="N57" s="64"/>
      <c r="O57" s="64"/>
    </row>
    <row r="58" spans="1:15">
      <c r="J58" s="252"/>
      <c r="K58" s="66" t="s">
        <v>404</v>
      </c>
      <c r="L58" s="64"/>
      <c r="M58" s="64"/>
      <c r="N58" s="64"/>
      <c r="O58" s="64"/>
    </row>
    <row r="59" spans="1:15">
      <c r="J59" s="252"/>
      <c r="K59" s="66" t="s">
        <v>406</v>
      </c>
      <c r="L59" s="64"/>
      <c r="M59" s="64"/>
      <c r="N59" s="64"/>
      <c r="O59" s="64"/>
    </row>
    <row r="60" spans="1:15">
      <c r="J60" s="252"/>
      <c r="K60" s="66" t="s">
        <v>407</v>
      </c>
      <c r="L60" s="64"/>
      <c r="M60" s="64"/>
      <c r="N60" s="64"/>
      <c r="O60" s="64"/>
    </row>
    <row r="61" spans="1:15">
      <c r="J61" s="252"/>
      <c r="K61" s="66" t="s">
        <v>408</v>
      </c>
      <c r="L61" s="64"/>
      <c r="M61" s="64"/>
      <c r="N61" s="64"/>
      <c r="O61" s="64"/>
    </row>
    <row r="62" spans="1:15">
      <c r="J62" s="252"/>
      <c r="K62" s="66" t="s">
        <v>409</v>
      </c>
      <c r="L62" s="64"/>
      <c r="M62" s="64"/>
      <c r="N62" s="64"/>
      <c r="O62" s="64"/>
    </row>
    <row r="63" spans="1:15">
      <c r="J63" s="252"/>
      <c r="K63" s="66" t="s">
        <v>410</v>
      </c>
      <c r="L63" s="64"/>
      <c r="M63" s="64"/>
      <c r="N63" s="64"/>
      <c r="O63" s="64"/>
    </row>
    <row r="64" spans="1:15">
      <c r="J64" s="252"/>
      <c r="K64" s="62" t="s">
        <v>411</v>
      </c>
      <c r="L64" s="62" t="e">
        <f>AVERAGE(L52:L63)</f>
        <v>#DIV/0!</v>
      </c>
      <c r="M64" s="62">
        <f>MAX(M52:M63)</f>
        <v>0</v>
      </c>
      <c r="N64" s="62" t="e">
        <f>AVERAGE(N52:N63)</f>
        <v>#DIV/0!</v>
      </c>
      <c r="O64" s="62">
        <f>MAX(O52:O63)</f>
        <v>0</v>
      </c>
    </row>
    <row r="66" spans="10:15" ht="30">
      <c r="J66" s="61">
        <f>+A6</f>
        <v>2022</v>
      </c>
      <c r="K66" s="61" t="s">
        <v>393</v>
      </c>
      <c r="L66" s="67" t="s">
        <v>388</v>
      </c>
      <c r="M66" s="67" t="s">
        <v>394</v>
      </c>
      <c r="N66" s="67" t="s">
        <v>391</v>
      </c>
      <c r="O66" s="67" t="s">
        <v>395</v>
      </c>
    </row>
    <row r="67" spans="10:15">
      <c r="J67" s="252" t="s">
        <v>193</v>
      </c>
      <c r="K67" s="66" t="s">
        <v>396</v>
      </c>
      <c r="L67" s="64"/>
      <c r="M67" s="64"/>
      <c r="N67" s="64"/>
      <c r="O67" s="64"/>
    </row>
    <row r="68" spans="10:15">
      <c r="J68" s="252"/>
      <c r="K68" s="66" t="s">
        <v>397</v>
      </c>
      <c r="L68" s="64"/>
      <c r="M68" s="64"/>
      <c r="N68" s="64"/>
      <c r="O68" s="64"/>
    </row>
    <row r="69" spans="10:15">
      <c r="J69" s="252"/>
      <c r="K69" s="66" t="s">
        <v>398</v>
      </c>
      <c r="L69" s="64"/>
      <c r="M69" s="64"/>
      <c r="N69" s="64"/>
      <c r="O69" s="64"/>
    </row>
    <row r="70" spans="10:15">
      <c r="J70" s="252"/>
      <c r="K70" s="66" t="s">
        <v>400</v>
      </c>
      <c r="L70" s="64"/>
      <c r="M70" s="64"/>
      <c r="N70" s="64"/>
      <c r="O70" s="64"/>
    </row>
    <row r="71" spans="10:15">
      <c r="J71" s="252"/>
      <c r="K71" s="66" t="s">
        <v>402</v>
      </c>
      <c r="L71" s="64"/>
      <c r="M71" s="64"/>
      <c r="N71" s="64"/>
      <c r="O71" s="64"/>
    </row>
    <row r="72" spans="10:15">
      <c r="J72" s="252"/>
      <c r="K72" s="66" t="s">
        <v>403</v>
      </c>
      <c r="L72" s="64"/>
      <c r="M72" s="64"/>
      <c r="N72" s="64"/>
      <c r="O72" s="64"/>
    </row>
    <row r="73" spans="10:15">
      <c r="J73" s="252"/>
      <c r="K73" s="66" t="s">
        <v>404</v>
      </c>
      <c r="L73" s="64"/>
      <c r="M73" s="64"/>
      <c r="N73" s="64"/>
      <c r="O73" s="64"/>
    </row>
    <row r="74" spans="10:15">
      <c r="J74" s="252"/>
      <c r="K74" s="66" t="s">
        <v>406</v>
      </c>
      <c r="L74" s="64"/>
      <c r="M74" s="64"/>
      <c r="N74" s="64"/>
      <c r="O74" s="64"/>
    </row>
    <row r="75" spans="10:15">
      <c r="J75" s="252"/>
      <c r="K75" s="66" t="s">
        <v>407</v>
      </c>
      <c r="L75" s="64"/>
      <c r="M75" s="64"/>
      <c r="N75" s="64"/>
      <c r="O75" s="64"/>
    </row>
    <row r="76" spans="10:15">
      <c r="J76" s="252"/>
      <c r="K76" s="66" t="s">
        <v>408</v>
      </c>
      <c r="L76" s="64"/>
      <c r="M76" s="64"/>
      <c r="N76" s="64"/>
      <c r="O76" s="64"/>
    </row>
    <row r="77" spans="10:15">
      <c r="J77" s="252"/>
      <c r="K77" s="66" t="s">
        <v>409</v>
      </c>
      <c r="L77" s="64"/>
      <c r="M77" s="64"/>
      <c r="N77" s="64"/>
      <c r="O77" s="64"/>
    </row>
    <row r="78" spans="10:15">
      <c r="J78" s="252"/>
      <c r="K78" s="66" t="s">
        <v>410</v>
      </c>
      <c r="L78" s="64"/>
      <c r="M78" s="64"/>
      <c r="N78" s="64"/>
      <c r="O78" s="64"/>
    </row>
    <row r="79" spans="10:15">
      <c r="J79" s="252"/>
      <c r="K79" s="62" t="s">
        <v>411</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topLeftCell="A8" workbookViewId="0">
      <selection activeCell="B55" sqref="B55"/>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Newlincs Development IWMF</v>
      </c>
    </row>
    <row r="3" spans="1:19" ht="15">
      <c r="A3" s="60" t="s">
        <v>421</v>
      </c>
      <c r="D3" s="76" t="s">
        <v>380</v>
      </c>
      <c r="G3" s="80" t="s">
        <v>381</v>
      </c>
      <c r="J3" s="9" t="str">
        <f>+A3</f>
        <v>Monitoring of Particulate matter emissions</v>
      </c>
      <c r="L3" s="9"/>
      <c r="N3" s="9" t="s">
        <v>382</v>
      </c>
      <c r="Q3" s="79" t="s">
        <v>3</v>
      </c>
      <c r="R3" s="74"/>
      <c r="S3" s="74"/>
    </row>
    <row r="4" spans="1:19" ht="13.9" customHeight="1">
      <c r="Q4" s="243" t="s">
        <v>383</v>
      </c>
      <c r="R4" s="243"/>
      <c r="S4" s="243"/>
    </row>
    <row r="5" spans="1:19" ht="17.25">
      <c r="A5" s="68" t="s">
        <v>384</v>
      </c>
      <c r="B5" s="254" t="s">
        <v>385</v>
      </c>
      <c r="C5" s="254"/>
      <c r="D5" s="254"/>
      <c r="E5" s="254" t="s">
        <v>386</v>
      </c>
      <c r="F5" s="254"/>
      <c r="G5" s="254"/>
      <c r="J5" s="253"/>
      <c r="K5" s="253"/>
      <c r="L5" s="253"/>
      <c r="M5" s="253"/>
      <c r="N5" s="253"/>
      <c r="O5" s="253"/>
      <c r="Q5" s="243"/>
      <c r="R5" s="243"/>
      <c r="S5" s="243"/>
    </row>
    <row r="6" spans="1:19" s="58" customFormat="1" ht="37.5" customHeight="1">
      <c r="A6" s="65">
        <f>+'Cover Page'!C39</f>
        <v>2022</v>
      </c>
      <c r="B6" s="55" t="s">
        <v>422</v>
      </c>
      <c r="C6" s="55" t="s">
        <v>388</v>
      </c>
      <c r="D6" s="55" t="s">
        <v>389</v>
      </c>
      <c r="E6" s="55" t="s">
        <v>423</v>
      </c>
      <c r="F6" s="55" t="s">
        <v>391</v>
      </c>
      <c r="G6" s="55" t="s">
        <v>392</v>
      </c>
      <c r="H6" s="59"/>
      <c r="J6" s="61">
        <f>+A6</f>
        <v>2022</v>
      </c>
      <c r="K6" s="61" t="s">
        <v>393</v>
      </c>
      <c r="L6" s="67" t="s">
        <v>388</v>
      </c>
      <c r="M6" s="67" t="s">
        <v>394</v>
      </c>
      <c r="N6" s="67" t="s">
        <v>391</v>
      </c>
      <c r="O6" s="67" t="s">
        <v>395</v>
      </c>
      <c r="Q6" s="243"/>
      <c r="R6" s="243"/>
      <c r="S6" s="243"/>
    </row>
    <row r="7" spans="1:19">
      <c r="A7" s="66" t="s">
        <v>396</v>
      </c>
      <c r="B7" s="63">
        <v>30</v>
      </c>
      <c r="C7" s="64">
        <v>0.36</v>
      </c>
      <c r="D7" s="64">
        <v>0.92</v>
      </c>
      <c r="E7" s="63">
        <v>10</v>
      </c>
      <c r="F7" s="64">
        <v>0.36</v>
      </c>
      <c r="G7" s="64">
        <v>0.56999999999999995</v>
      </c>
      <c r="J7" s="252" t="s">
        <v>189</v>
      </c>
      <c r="K7" s="66" t="s">
        <v>396</v>
      </c>
      <c r="L7" s="64">
        <v>0.36</v>
      </c>
      <c r="M7" s="64">
        <v>0.92</v>
      </c>
      <c r="N7" s="64">
        <v>0.36</v>
      </c>
      <c r="O7" s="64">
        <v>0.56999999999999995</v>
      </c>
      <c r="Q7" s="243"/>
      <c r="R7" s="243"/>
      <c r="S7" s="243"/>
    </row>
    <row r="8" spans="1:19">
      <c r="A8" s="66" t="s">
        <v>397</v>
      </c>
      <c r="B8" s="63">
        <v>30</v>
      </c>
      <c r="C8" s="64">
        <v>0.35</v>
      </c>
      <c r="D8" s="64">
        <v>0.77</v>
      </c>
      <c r="E8" s="63">
        <v>10</v>
      </c>
      <c r="F8" s="64">
        <v>0.34</v>
      </c>
      <c r="G8" s="64">
        <v>0.46</v>
      </c>
      <c r="J8" s="252"/>
      <c r="K8" s="66" t="s">
        <v>397</v>
      </c>
      <c r="L8" s="64">
        <v>0.35</v>
      </c>
      <c r="M8" s="64">
        <v>0.77</v>
      </c>
      <c r="N8" s="64">
        <v>0.34</v>
      </c>
      <c r="O8" s="64">
        <v>0.46</v>
      </c>
      <c r="Q8" s="243"/>
      <c r="R8" s="243"/>
      <c r="S8" s="243"/>
    </row>
    <row r="9" spans="1:19" ht="15">
      <c r="A9" s="66" t="s">
        <v>398</v>
      </c>
      <c r="B9" s="63">
        <v>30</v>
      </c>
      <c r="C9" s="64">
        <v>0.24</v>
      </c>
      <c r="D9" s="64">
        <v>1.8</v>
      </c>
      <c r="E9" s="63">
        <v>10</v>
      </c>
      <c r="F9" s="64">
        <v>0.24</v>
      </c>
      <c r="G9" s="64">
        <v>0.42</v>
      </c>
      <c r="J9" s="252"/>
      <c r="K9" s="66" t="s">
        <v>398</v>
      </c>
      <c r="L9" s="64">
        <v>0.24</v>
      </c>
      <c r="M9" s="64">
        <v>1.8</v>
      </c>
      <c r="N9" s="64">
        <v>0.24</v>
      </c>
      <c r="O9" s="64">
        <v>0.42</v>
      </c>
      <c r="Q9" s="78" t="s">
        <v>399</v>
      </c>
    </row>
    <row r="10" spans="1:19" ht="14.25" customHeight="1">
      <c r="A10" s="66" t="s">
        <v>400</v>
      </c>
      <c r="B10" s="63">
        <v>30</v>
      </c>
      <c r="C10" s="64">
        <v>0.36</v>
      </c>
      <c r="D10" s="64">
        <v>1.78</v>
      </c>
      <c r="E10" s="63">
        <v>10</v>
      </c>
      <c r="F10" s="64">
        <v>0.36</v>
      </c>
      <c r="G10" s="64">
        <v>0.49</v>
      </c>
      <c r="J10" s="252"/>
      <c r="K10" s="66" t="s">
        <v>400</v>
      </c>
      <c r="L10" s="64">
        <v>0.36</v>
      </c>
      <c r="M10" s="64">
        <v>1.78</v>
      </c>
      <c r="N10" s="64">
        <v>0.36</v>
      </c>
      <c r="O10" s="64">
        <v>0.49</v>
      </c>
      <c r="Q10" s="251" t="s">
        <v>401</v>
      </c>
      <c r="R10" s="251"/>
      <c r="S10" s="251"/>
    </row>
    <row r="11" spans="1:19">
      <c r="A11" s="66" t="s">
        <v>402</v>
      </c>
      <c r="B11" s="63">
        <v>30</v>
      </c>
      <c r="C11" s="64">
        <v>0.28999999999999998</v>
      </c>
      <c r="D11" s="64">
        <v>3.69</v>
      </c>
      <c r="E11" s="63">
        <v>10</v>
      </c>
      <c r="F11" s="64">
        <v>0.28999999999999998</v>
      </c>
      <c r="G11" s="64">
        <v>0.38</v>
      </c>
      <c r="J11" s="252"/>
      <c r="K11" s="66" t="s">
        <v>402</v>
      </c>
      <c r="L11" s="64">
        <v>0.28999999999999998</v>
      </c>
      <c r="M11" s="64">
        <v>3.69</v>
      </c>
      <c r="N11" s="64">
        <v>0.28999999999999998</v>
      </c>
      <c r="O11" s="64">
        <v>0.38</v>
      </c>
      <c r="Q11" s="251"/>
      <c r="R11" s="251"/>
      <c r="S11" s="251"/>
    </row>
    <row r="12" spans="1:19">
      <c r="A12" s="66" t="s">
        <v>403</v>
      </c>
      <c r="B12" s="63">
        <v>30</v>
      </c>
      <c r="C12" s="64">
        <v>0.26</v>
      </c>
      <c r="D12" s="64">
        <v>2.0699999999999998</v>
      </c>
      <c r="E12" s="63">
        <v>10</v>
      </c>
      <c r="F12" s="64">
        <v>0.26</v>
      </c>
      <c r="G12" s="64">
        <v>0.4</v>
      </c>
      <c r="J12" s="252"/>
      <c r="K12" s="66" t="s">
        <v>403</v>
      </c>
      <c r="L12" s="64">
        <v>0.26</v>
      </c>
      <c r="M12" s="64">
        <v>2.0699999999999998</v>
      </c>
      <c r="N12" s="64">
        <v>0.26</v>
      </c>
      <c r="O12" s="64">
        <v>0.4</v>
      </c>
      <c r="Q12" s="251"/>
      <c r="R12" s="251"/>
      <c r="S12" s="251"/>
    </row>
    <row r="13" spans="1:19" ht="14.25" customHeight="1">
      <c r="A13" s="66" t="s">
        <v>404</v>
      </c>
      <c r="B13" s="63">
        <v>30</v>
      </c>
      <c r="C13" s="64">
        <v>0.3</v>
      </c>
      <c r="D13" s="64">
        <v>0.7</v>
      </c>
      <c r="E13" s="63">
        <v>10</v>
      </c>
      <c r="F13" s="64">
        <v>0.3</v>
      </c>
      <c r="G13" s="64">
        <v>0.6</v>
      </c>
      <c r="J13" s="252"/>
      <c r="K13" s="66" t="s">
        <v>404</v>
      </c>
      <c r="L13" s="64">
        <v>0.3</v>
      </c>
      <c r="M13" s="64">
        <v>0.7</v>
      </c>
      <c r="N13" s="64">
        <v>0.3</v>
      </c>
      <c r="O13" s="64">
        <v>0.6</v>
      </c>
      <c r="Q13" s="251" t="s">
        <v>405</v>
      </c>
      <c r="R13" s="251"/>
      <c r="S13" s="251"/>
    </row>
    <row r="14" spans="1:19">
      <c r="A14" s="66" t="s">
        <v>406</v>
      </c>
      <c r="B14" s="63">
        <v>30</v>
      </c>
      <c r="C14" s="64">
        <v>0.41</v>
      </c>
      <c r="D14" s="64">
        <v>2.5099999999999998</v>
      </c>
      <c r="E14" s="63">
        <v>10</v>
      </c>
      <c r="F14" s="64">
        <v>0.41</v>
      </c>
      <c r="G14" s="64">
        <v>0.62</v>
      </c>
      <c r="J14" s="252"/>
      <c r="K14" s="66" t="s">
        <v>406</v>
      </c>
      <c r="L14" s="64">
        <v>0.41</v>
      </c>
      <c r="M14" s="64">
        <v>2.5099999999999998</v>
      </c>
      <c r="N14" s="64">
        <v>0.41</v>
      </c>
      <c r="O14" s="64">
        <v>0.62</v>
      </c>
      <c r="Q14" s="251"/>
      <c r="R14" s="251"/>
      <c r="S14" s="251"/>
    </row>
    <row r="15" spans="1:19">
      <c r="A15" s="66" t="s">
        <v>407</v>
      </c>
      <c r="B15" s="63">
        <v>30</v>
      </c>
      <c r="C15" s="64">
        <v>0.49</v>
      </c>
      <c r="D15" s="64">
        <v>4.1900000000000004</v>
      </c>
      <c r="E15" s="63">
        <v>10</v>
      </c>
      <c r="F15" s="64">
        <v>0.49</v>
      </c>
      <c r="G15" s="64">
        <v>0.64</v>
      </c>
      <c r="J15" s="252"/>
      <c r="K15" s="66" t="s">
        <v>407</v>
      </c>
      <c r="L15" s="64">
        <v>0.49</v>
      </c>
      <c r="M15" s="64">
        <v>4.1900000000000004</v>
      </c>
      <c r="N15" s="64">
        <v>0.49</v>
      </c>
      <c r="O15" s="64">
        <v>0.64</v>
      </c>
      <c r="Q15" s="251"/>
      <c r="R15" s="251"/>
      <c r="S15" s="251"/>
    </row>
    <row r="16" spans="1:19">
      <c r="A16" s="66" t="s">
        <v>408</v>
      </c>
      <c r="B16" s="63">
        <v>30</v>
      </c>
      <c r="C16" s="64">
        <v>0.53</v>
      </c>
      <c r="D16" s="64">
        <v>4.57</v>
      </c>
      <c r="E16" s="63">
        <v>10</v>
      </c>
      <c r="F16" s="64">
        <v>0.53</v>
      </c>
      <c r="G16" s="64">
        <v>0.77</v>
      </c>
      <c r="J16" s="252"/>
      <c r="K16" s="66" t="s">
        <v>408</v>
      </c>
      <c r="L16" s="64">
        <v>0.53</v>
      </c>
      <c r="M16" s="64">
        <v>4.57</v>
      </c>
      <c r="N16" s="64">
        <v>0.53</v>
      </c>
      <c r="O16" s="64">
        <v>0.77</v>
      </c>
      <c r="Q16" s="251"/>
      <c r="R16" s="251"/>
      <c r="S16" s="251"/>
    </row>
    <row r="17" spans="1:15">
      <c r="A17" s="66" t="s">
        <v>409</v>
      </c>
      <c r="B17" s="63">
        <v>30</v>
      </c>
      <c r="C17" s="64">
        <v>0.21</v>
      </c>
      <c r="D17" s="64">
        <v>2.02</v>
      </c>
      <c r="E17" s="63">
        <v>10</v>
      </c>
      <c r="F17" s="64">
        <v>0.21</v>
      </c>
      <c r="G17" s="64">
        <v>0.39</v>
      </c>
      <c r="J17" s="252"/>
      <c r="K17" s="66" t="s">
        <v>409</v>
      </c>
      <c r="L17" s="64">
        <v>0.21</v>
      </c>
      <c r="M17" s="64">
        <v>2.02</v>
      </c>
      <c r="N17" s="64">
        <v>0.21</v>
      </c>
      <c r="O17" s="64">
        <v>0.39</v>
      </c>
    </row>
    <row r="18" spans="1:15">
      <c r="A18" s="66" t="s">
        <v>410</v>
      </c>
      <c r="B18" s="63">
        <v>30</v>
      </c>
      <c r="C18" s="64">
        <v>0.04</v>
      </c>
      <c r="D18" s="64">
        <v>4.87</v>
      </c>
      <c r="E18" s="63">
        <v>10</v>
      </c>
      <c r="F18" s="64">
        <v>0.04</v>
      </c>
      <c r="G18" s="64">
        <v>0.14000000000000001</v>
      </c>
      <c r="J18" s="252"/>
      <c r="K18" s="66" t="s">
        <v>410</v>
      </c>
      <c r="L18" s="64">
        <v>0.04</v>
      </c>
      <c r="M18" s="64">
        <v>4.87</v>
      </c>
      <c r="N18" s="64">
        <v>0.04</v>
      </c>
      <c r="O18" s="64">
        <v>0.14000000000000001</v>
      </c>
    </row>
    <row r="19" spans="1:15">
      <c r="J19" s="252"/>
      <c r="K19" s="62" t="s">
        <v>411</v>
      </c>
      <c r="L19" s="62">
        <f>AVERAGE(L7:L18)</f>
        <v>0.32000000000000006</v>
      </c>
      <c r="M19" s="62">
        <f>MAX(M7:M18)</f>
        <v>4.87</v>
      </c>
      <c r="N19" s="62">
        <f>AVERAGE(N7:N18)</f>
        <v>0.31916666666666665</v>
      </c>
      <c r="O19" s="62">
        <f>MAX(O7:O18)</f>
        <v>0.77</v>
      </c>
    </row>
    <row r="21" spans="1:15" ht="30">
      <c r="J21" s="61">
        <f>+A6</f>
        <v>2022</v>
      </c>
      <c r="K21" s="61" t="s">
        <v>393</v>
      </c>
      <c r="L21" s="67" t="s">
        <v>388</v>
      </c>
      <c r="M21" s="67" t="s">
        <v>394</v>
      </c>
      <c r="N21" s="67" t="s">
        <v>391</v>
      </c>
      <c r="O21" s="67" t="s">
        <v>395</v>
      </c>
    </row>
    <row r="22" spans="1:15">
      <c r="J22" s="252" t="s">
        <v>190</v>
      </c>
      <c r="K22" s="66" t="s">
        <v>396</v>
      </c>
      <c r="L22" s="64"/>
      <c r="M22" s="64"/>
      <c r="N22" s="64"/>
      <c r="O22" s="64"/>
    </row>
    <row r="23" spans="1:15">
      <c r="J23" s="252"/>
      <c r="K23" s="66" t="s">
        <v>397</v>
      </c>
      <c r="L23" s="64"/>
      <c r="M23" s="64"/>
      <c r="N23" s="64"/>
      <c r="O23" s="64"/>
    </row>
    <row r="24" spans="1:15">
      <c r="J24" s="252"/>
      <c r="K24" s="66" t="s">
        <v>398</v>
      </c>
      <c r="L24" s="64"/>
      <c r="M24" s="64"/>
      <c r="N24" s="64"/>
      <c r="O24" s="64"/>
    </row>
    <row r="25" spans="1:15">
      <c r="J25" s="252"/>
      <c r="K25" s="66" t="s">
        <v>400</v>
      </c>
      <c r="L25" s="64"/>
      <c r="M25" s="64"/>
      <c r="N25" s="64"/>
      <c r="O25" s="64"/>
    </row>
    <row r="26" spans="1:15">
      <c r="J26" s="252"/>
      <c r="K26" s="66" t="s">
        <v>402</v>
      </c>
      <c r="L26" s="64"/>
      <c r="M26" s="64"/>
      <c r="N26" s="64"/>
      <c r="O26" s="64"/>
    </row>
    <row r="27" spans="1:15">
      <c r="J27" s="252"/>
      <c r="K27" s="66" t="s">
        <v>403</v>
      </c>
      <c r="L27" s="64"/>
      <c r="M27" s="64"/>
      <c r="N27" s="64"/>
      <c r="O27" s="64"/>
    </row>
    <row r="28" spans="1:15">
      <c r="J28" s="252"/>
      <c r="K28" s="66" t="s">
        <v>404</v>
      </c>
      <c r="L28" s="64"/>
      <c r="M28" s="64"/>
      <c r="N28" s="64"/>
      <c r="O28" s="64"/>
    </row>
    <row r="29" spans="1:15">
      <c r="J29" s="252"/>
      <c r="K29" s="66" t="s">
        <v>406</v>
      </c>
      <c r="L29" s="64"/>
      <c r="M29" s="64"/>
      <c r="N29" s="64"/>
      <c r="O29" s="64"/>
    </row>
    <row r="30" spans="1:15">
      <c r="J30" s="252"/>
      <c r="K30" s="66" t="s">
        <v>407</v>
      </c>
      <c r="L30" s="64"/>
      <c r="M30" s="64"/>
      <c r="N30" s="64"/>
      <c r="O30" s="64"/>
    </row>
    <row r="31" spans="1:15">
      <c r="J31" s="252"/>
      <c r="K31" s="66" t="s">
        <v>408</v>
      </c>
      <c r="L31" s="64"/>
      <c r="M31" s="64"/>
      <c r="N31" s="64"/>
      <c r="O31" s="64"/>
    </row>
    <row r="32" spans="1:15">
      <c r="J32" s="252"/>
      <c r="K32" s="66" t="s">
        <v>409</v>
      </c>
      <c r="L32" s="64"/>
      <c r="M32" s="64"/>
      <c r="N32" s="64"/>
      <c r="O32" s="64"/>
    </row>
    <row r="33" spans="1:15">
      <c r="J33" s="252"/>
      <c r="K33" s="66" t="s">
        <v>410</v>
      </c>
      <c r="L33" s="64"/>
      <c r="M33" s="64"/>
      <c r="N33" s="64"/>
      <c r="O33" s="64"/>
    </row>
    <row r="34" spans="1:15">
      <c r="J34" s="252"/>
      <c r="K34" s="62" t="s">
        <v>411</v>
      </c>
      <c r="L34" s="62" t="e">
        <f>AVERAGE(L22:L33)</f>
        <v>#DIV/0!</v>
      </c>
      <c r="M34" s="62">
        <f>MAX(M22:M33)</f>
        <v>0</v>
      </c>
      <c r="N34" s="62" t="e">
        <f>AVERAGE(N22:N33)</f>
        <v>#DIV/0!</v>
      </c>
      <c r="O34" s="62">
        <f>MAX(O22:O33)</f>
        <v>0</v>
      </c>
    </row>
    <row r="36" spans="1:15" ht="30">
      <c r="J36" s="61">
        <f>+A6</f>
        <v>2022</v>
      </c>
      <c r="K36" s="61" t="s">
        <v>393</v>
      </c>
      <c r="L36" s="67" t="s">
        <v>388</v>
      </c>
      <c r="M36" s="67" t="s">
        <v>394</v>
      </c>
      <c r="N36" s="67" t="s">
        <v>391</v>
      </c>
      <c r="O36" s="67" t="s">
        <v>395</v>
      </c>
    </row>
    <row r="37" spans="1:15">
      <c r="J37" s="252" t="s">
        <v>191</v>
      </c>
      <c r="K37" s="66" t="s">
        <v>396</v>
      </c>
      <c r="L37" s="64"/>
      <c r="M37" s="64"/>
      <c r="N37" s="64"/>
      <c r="O37" s="64"/>
    </row>
    <row r="38" spans="1:15">
      <c r="J38" s="252"/>
      <c r="K38" s="66" t="s">
        <v>397</v>
      </c>
      <c r="L38" s="64"/>
      <c r="M38" s="64"/>
      <c r="N38" s="64"/>
      <c r="O38" s="64"/>
    </row>
    <row r="39" spans="1:15">
      <c r="J39" s="252"/>
      <c r="K39" s="66" t="s">
        <v>398</v>
      </c>
      <c r="L39" s="64"/>
      <c r="M39" s="64"/>
      <c r="N39" s="64"/>
      <c r="O39" s="64"/>
    </row>
    <row r="40" spans="1:15">
      <c r="J40" s="252"/>
      <c r="K40" s="66" t="s">
        <v>400</v>
      </c>
      <c r="L40" s="64"/>
      <c r="M40" s="64"/>
      <c r="N40" s="64"/>
      <c r="O40" s="64"/>
    </row>
    <row r="41" spans="1:15">
      <c r="J41" s="252"/>
      <c r="K41" s="66" t="s">
        <v>402</v>
      </c>
      <c r="L41" s="64"/>
      <c r="M41" s="64"/>
      <c r="N41" s="64"/>
      <c r="O41" s="64"/>
    </row>
    <row r="42" spans="1:15">
      <c r="J42" s="252"/>
      <c r="K42" s="66" t="s">
        <v>403</v>
      </c>
      <c r="L42" s="64"/>
      <c r="M42" s="64"/>
      <c r="N42" s="64"/>
      <c r="O42" s="64"/>
    </row>
    <row r="43" spans="1:15">
      <c r="J43" s="252"/>
      <c r="K43" s="66" t="s">
        <v>404</v>
      </c>
      <c r="L43" s="64"/>
      <c r="M43" s="64"/>
      <c r="N43" s="64"/>
      <c r="O43" s="64"/>
    </row>
    <row r="44" spans="1:15">
      <c r="J44" s="252"/>
      <c r="K44" s="66" t="s">
        <v>406</v>
      </c>
      <c r="L44" s="64"/>
      <c r="M44" s="64"/>
      <c r="N44" s="64"/>
      <c r="O44" s="64"/>
    </row>
    <row r="45" spans="1:15">
      <c r="J45" s="252"/>
      <c r="K45" s="66" t="s">
        <v>407</v>
      </c>
      <c r="L45" s="64"/>
      <c r="M45" s="64"/>
      <c r="N45" s="64"/>
      <c r="O45" s="64"/>
    </row>
    <row r="46" spans="1:15">
      <c r="J46" s="252"/>
      <c r="K46" s="66" t="s">
        <v>408</v>
      </c>
      <c r="L46" s="64"/>
      <c r="M46" s="64"/>
      <c r="N46" s="64"/>
      <c r="O46" s="64"/>
    </row>
    <row r="47" spans="1:15">
      <c r="J47" s="252"/>
      <c r="K47" s="66" t="s">
        <v>409</v>
      </c>
      <c r="L47" s="64"/>
      <c r="M47" s="64"/>
      <c r="N47" s="64"/>
      <c r="O47" s="64"/>
    </row>
    <row r="48" spans="1:15" ht="15">
      <c r="A48" s="258" t="s">
        <v>298</v>
      </c>
      <c r="B48" s="259"/>
      <c r="C48" s="259"/>
      <c r="D48" s="259"/>
      <c r="E48" s="259"/>
      <c r="F48" s="259"/>
      <c r="G48" s="260"/>
      <c r="J48" s="252"/>
      <c r="K48" s="66" t="s">
        <v>410</v>
      </c>
      <c r="L48" s="64"/>
      <c r="M48" s="64"/>
      <c r="N48" s="64"/>
      <c r="O48" s="64"/>
    </row>
    <row r="49" spans="1:15">
      <c r="A49" s="224"/>
      <c r="B49" s="225"/>
      <c r="C49" s="225"/>
      <c r="D49" s="225"/>
      <c r="E49" s="225"/>
      <c r="F49" s="225"/>
      <c r="G49" s="226"/>
      <c r="J49" s="252"/>
      <c r="K49" s="62" t="s">
        <v>411</v>
      </c>
      <c r="L49" s="62" t="e">
        <f>AVERAGE(L37:L48)</f>
        <v>#DIV/0!</v>
      </c>
      <c r="M49" s="62">
        <f>MAX(M37:M48)</f>
        <v>0</v>
      </c>
      <c r="N49" s="62" t="e">
        <f>AVERAGE(N37:N48)</f>
        <v>#DIV/0!</v>
      </c>
      <c r="O49" s="62">
        <f>MAX(O37:O48)</f>
        <v>0</v>
      </c>
    </row>
    <row r="50" spans="1:15">
      <c r="A50" s="255"/>
      <c r="B50" s="256"/>
      <c r="C50" s="256"/>
      <c r="D50" s="256"/>
      <c r="E50" s="256"/>
      <c r="F50" s="256"/>
      <c r="G50" s="257"/>
    </row>
    <row r="51" spans="1:15" ht="30">
      <c r="A51" s="255"/>
      <c r="B51" s="256"/>
      <c r="C51" s="256"/>
      <c r="D51" s="256"/>
      <c r="E51" s="256"/>
      <c r="F51" s="256"/>
      <c r="G51" s="257"/>
      <c r="J51" s="61">
        <f>+A6</f>
        <v>2022</v>
      </c>
      <c r="K51" s="61" t="s">
        <v>393</v>
      </c>
      <c r="L51" s="67" t="s">
        <v>388</v>
      </c>
      <c r="M51" s="67" t="s">
        <v>394</v>
      </c>
      <c r="N51" s="67" t="s">
        <v>391</v>
      </c>
      <c r="O51" s="67" t="s">
        <v>395</v>
      </c>
    </row>
    <row r="52" spans="1:15">
      <c r="A52" s="227"/>
      <c r="B52" s="228"/>
      <c r="C52" s="228"/>
      <c r="D52" s="228"/>
      <c r="E52" s="228"/>
      <c r="F52" s="228"/>
      <c r="G52" s="229"/>
      <c r="J52" s="252" t="s">
        <v>192</v>
      </c>
      <c r="K52" s="66" t="s">
        <v>396</v>
      </c>
      <c r="L52" s="64"/>
      <c r="M52" s="64"/>
      <c r="N52" s="64"/>
      <c r="O52" s="64"/>
    </row>
    <row r="53" spans="1:15">
      <c r="J53" s="252"/>
      <c r="K53" s="66" t="s">
        <v>397</v>
      </c>
      <c r="L53" s="64"/>
      <c r="M53" s="64"/>
      <c r="N53" s="64"/>
      <c r="O53" s="64"/>
    </row>
    <row r="54" spans="1:15">
      <c r="J54" s="252"/>
      <c r="K54" s="66" t="s">
        <v>398</v>
      </c>
      <c r="L54" s="64"/>
      <c r="M54" s="64"/>
      <c r="N54" s="64"/>
      <c r="O54" s="64"/>
    </row>
    <row r="55" spans="1:15">
      <c r="J55" s="252"/>
      <c r="K55" s="66" t="s">
        <v>400</v>
      </c>
      <c r="L55" s="64"/>
      <c r="M55" s="64"/>
      <c r="N55" s="64"/>
      <c r="O55" s="64"/>
    </row>
    <row r="56" spans="1:15">
      <c r="J56" s="252"/>
      <c r="K56" s="66" t="s">
        <v>402</v>
      </c>
      <c r="L56" s="64"/>
      <c r="M56" s="64"/>
      <c r="N56" s="64"/>
      <c r="O56" s="64"/>
    </row>
    <row r="57" spans="1:15">
      <c r="J57" s="252"/>
      <c r="K57" s="66" t="s">
        <v>403</v>
      </c>
      <c r="L57" s="64"/>
      <c r="M57" s="64"/>
      <c r="N57" s="64"/>
      <c r="O57" s="64"/>
    </row>
    <row r="58" spans="1:15">
      <c r="J58" s="252"/>
      <c r="K58" s="66" t="s">
        <v>404</v>
      </c>
      <c r="L58" s="64"/>
      <c r="M58" s="64"/>
      <c r="N58" s="64"/>
      <c r="O58" s="64"/>
    </row>
    <row r="59" spans="1:15">
      <c r="J59" s="252"/>
      <c r="K59" s="66" t="s">
        <v>406</v>
      </c>
      <c r="L59" s="64"/>
      <c r="M59" s="64"/>
      <c r="N59" s="64"/>
      <c r="O59" s="64"/>
    </row>
    <row r="60" spans="1:15">
      <c r="J60" s="252"/>
      <c r="K60" s="66" t="s">
        <v>407</v>
      </c>
      <c r="L60" s="64"/>
      <c r="M60" s="64"/>
      <c r="N60" s="64"/>
      <c r="O60" s="64"/>
    </row>
    <row r="61" spans="1:15">
      <c r="J61" s="252"/>
      <c r="K61" s="66" t="s">
        <v>408</v>
      </c>
      <c r="L61" s="64"/>
      <c r="M61" s="64"/>
      <c r="N61" s="64"/>
      <c r="O61" s="64"/>
    </row>
    <row r="62" spans="1:15">
      <c r="J62" s="252"/>
      <c r="K62" s="66" t="s">
        <v>409</v>
      </c>
      <c r="L62" s="64"/>
      <c r="M62" s="64"/>
      <c r="N62" s="64"/>
      <c r="O62" s="64"/>
    </row>
    <row r="63" spans="1:15">
      <c r="J63" s="252"/>
      <c r="K63" s="66" t="s">
        <v>410</v>
      </c>
      <c r="L63" s="64"/>
      <c r="M63" s="64"/>
      <c r="N63" s="64"/>
      <c r="O63" s="64"/>
    </row>
    <row r="64" spans="1:15">
      <c r="J64" s="252"/>
      <c r="K64" s="62" t="s">
        <v>411</v>
      </c>
      <c r="L64" s="62" t="e">
        <f>AVERAGE(L52:L63)</f>
        <v>#DIV/0!</v>
      </c>
      <c r="M64" s="62">
        <f>MAX(M52:M63)</f>
        <v>0</v>
      </c>
      <c r="N64" s="62" t="e">
        <f>AVERAGE(N52:N63)</f>
        <v>#DIV/0!</v>
      </c>
      <c r="O64" s="62">
        <f>MAX(O52:O63)</f>
        <v>0</v>
      </c>
    </row>
    <row r="66" spans="10:15" ht="30">
      <c r="J66" s="61">
        <f>+A6</f>
        <v>2022</v>
      </c>
      <c r="K66" s="61" t="s">
        <v>393</v>
      </c>
      <c r="L66" s="67" t="s">
        <v>388</v>
      </c>
      <c r="M66" s="67" t="s">
        <v>394</v>
      </c>
      <c r="N66" s="67" t="s">
        <v>391</v>
      </c>
      <c r="O66" s="67" t="s">
        <v>395</v>
      </c>
    </row>
    <row r="67" spans="10:15">
      <c r="J67" s="252" t="s">
        <v>193</v>
      </c>
      <c r="K67" s="66" t="s">
        <v>396</v>
      </c>
      <c r="L67" s="64"/>
      <c r="M67" s="64"/>
      <c r="N67" s="64"/>
      <c r="O67" s="64"/>
    </row>
    <row r="68" spans="10:15">
      <c r="J68" s="252"/>
      <c r="K68" s="66" t="s">
        <v>397</v>
      </c>
      <c r="L68" s="64"/>
      <c r="M68" s="64"/>
      <c r="N68" s="64"/>
      <c r="O68" s="64"/>
    </row>
    <row r="69" spans="10:15">
      <c r="J69" s="252"/>
      <c r="K69" s="66" t="s">
        <v>398</v>
      </c>
      <c r="L69" s="64"/>
      <c r="M69" s="64"/>
      <c r="N69" s="64"/>
      <c r="O69" s="64"/>
    </row>
    <row r="70" spans="10:15">
      <c r="J70" s="252"/>
      <c r="K70" s="66" t="s">
        <v>400</v>
      </c>
      <c r="L70" s="64"/>
      <c r="M70" s="64"/>
      <c r="N70" s="64"/>
      <c r="O70" s="64"/>
    </row>
    <row r="71" spans="10:15">
      <c r="J71" s="252"/>
      <c r="K71" s="66" t="s">
        <v>402</v>
      </c>
      <c r="L71" s="64"/>
      <c r="M71" s="64"/>
      <c r="N71" s="64"/>
      <c r="O71" s="64"/>
    </row>
    <row r="72" spans="10:15">
      <c r="J72" s="252"/>
      <c r="K72" s="66" t="s">
        <v>403</v>
      </c>
      <c r="L72" s="64"/>
      <c r="M72" s="64"/>
      <c r="N72" s="64"/>
      <c r="O72" s="64"/>
    </row>
    <row r="73" spans="10:15">
      <c r="J73" s="252"/>
      <c r="K73" s="66" t="s">
        <v>404</v>
      </c>
      <c r="L73" s="64"/>
      <c r="M73" s="64"/>
      <c r="N73" s="64"/>
      <c r="O73" s="64"/>
    </row>
    <row r="74" spans="10:15">
      <c r="J74" s="252"/>
      <c r="K74" s="66" t="s">
        <v>406</v>
      </c>
      <c r="L74" s="64"/>
      <c r="M74" s="64"/>
      <c r="N74" s="64"/>
      <c r="O74" s="64"/>
    </row>
    <row r="75" spans="10:15">
      <c r="J75" s="252"/>
      <c r="K75" s="66" t="s">
        <v>407</v>
      </c>
      <c r="L75" s="64"/>
      <c r="M75" s="64"/>
      <c r="N75" s="64"/>
      <c r="O75" s="64"/>
    </row>
    <row r="76" spans="10:15">
      <c r="J76" s="252"/>
      <c r="K76" s="66" t="s">
        <v>408</v>
      </c>
      <c r="L76" s="64"/>
      <c r="M76" s="64"/>
      <c r="N76" s="64"/>
      <c r="O76" s="64"/>
    </row>
    <row r="77" spans="10:15">
      <c r="J77" s="252"/>
      <c r="K77" s="66" t="s">
        <v>409</v>
      </c>
      <c r="L77" s="64"/>
      <c r="M77" s="64"/>
      <c r="N77" s="64"/>
      <c r="O77" s="64"/>
    </row>
    <row r="78" spans="10:15">
      <c r="J78" s="252"/>
      <c r="K78" s="66" t="s">
        <v>410</v>
      </c>
      <c r="L78" s="64"/>
      <c r="M78" s="64"/>
      <c r="N78" s="64"/>
      <c r="O78" s="64"/>
    </row>
    <row r="79" spans="10:15">
      <c r="J79" s="252"/>
      <c r="K79" s="62" t="s">
        <v>411</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topLeftCell="A11" workbookViewId="0">
      <selection activeCell="B55" sqref="B55"/>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Newlincs Development IWMF</v>
      </c>
    </row>
    <row r="3" spans="1:19" ht="15">
      <c r="A3" s="60" t="s">
        <v>424</v>
      </c>
      <c r="D3" s="76" t="s">
        <v>380</v>
      </c>
      <c r="G3" s="80" t="s">
        <v>381</v>
      </c>
      <c r="J3" s="9" t="str">
        <f>+A3</f>
        <v>Monitoring of Carbon Monoxide (half hourly)</v>
      </c>
      <c r="L3" s="9"/>
      <c r="N3" s="9" t="s">
        <v>382</v>
      </c>
      <c r="Q3" s="79" t="s">
        <v>3</v>
      </c>
      <c r="R3" s="74"/>
      <c r="S3" s="74"/>
    </row>
    <row r="4" spans="1:19" ht="13.9" customHeight="1">
      <c r="Q4" s="243" t="s">
        <v>383</v>
      </c>
      <c r="R4" s="243"/>
      <c r="S4" s="243"/>
    </row>
    <row r="5" spans="1:19" ht="17.25">
      <c r="A5" s="68" t="s">
        <v>384</v>
      </c>
      <c r="B5" s="254" t="s">
        <v>385</v>
      </c>
      <c r="C5" s="254"/>
      <c r="D5" s="254"/>
      <c r="E5" s="254" t="s">
        <v>386</v>
      </c>
      <c r="F5" s="254"/>
      <c r="G5" s="254"/>
      <c r="J5" s="253"/>
      <c r="K5" s="253"/>
      <c r="L5" s="253"/>
      <c r="M5" s="253"/>
      <c r="N5" s="253"/>
      <c r="O5" s="253"/>
      <c r="Q5" s="243"/>
      <c r="R5" s="243"/>
      <c r="S5" s="243"/>
    </row>
    <row r="6" spans="1:19" s="58" customFormat="1" ht="37.5" customHeight="1">
      <c r="A6" s="65">
        <f>+'Cover Page'!C39</f>
        <v>2022</v>
      </c>
      <c r="B6" s="55" t="s">
        <v>425</v>
      </c>
      <c r="C6" s="55" t="s">
        <v>388</v>
      </c>
      <c r="D6" s="55" t="s">
        <v>389</v>
      </c>
      <c r="E6" s="55" t="s">
        <v>426</v>
      </c>
      <c r="F6" s="55" t="s">
        <v>391</v>
      </c>
      <c r="G6" s="55" t="s">
        <v>392</v>
      </c>
      <c r="H6" s="59"/>
      <c r="J6" s="61">
        <f>+A6</f>
        <v>2022</v>
      </c>
      <c r="K6" s="61" t="s">
        <v>393</v>
      </c>
      <c r="L6" s="67" t="s">
        <v>388</v>
      </c>
      <c r="M6" s="67" t="s">
        <v>394</v>
      </c>
      <c r="N6" s="67" t="s">
        <v>391</v>
      </c>
      <c r="O6" s="67" t="s">
        <v>395</v>
      </c>
      <c r="Q6" s="243"/>
      <c r="R6" s="243"/>
      <c r="S6" s="243"/>
    </row>
    <row r="7" spans="1:19">
      <c r="A7" s="66" t="s">
        <v>396</v>
      </c>
      <c r="B7" s="69">
        <v>100</v>
      </c>
      <c r="C7" s="64">
        <v>4.08</v>
      </c>
      <c r="D7" s="64">
        <v>19.54</v>
      </c>
      <c r="E7" s="69">
        <v>50</v>
      </c>
      <c r="F7" s="64">
        <v>4.08</v>
      </c>
      <c r="G7" s="64">
        <v>4.8499999999999996</v>
      </c>
      <c r="J7" s="252" t="s">
        <v>189</v>
      </c>
      <c r="K7" s="66" t="s">
        <v>396</v>
      </c>
      <c r="L7" s="64">
        <v>4.08</v>
      </c>
      <c r="M7" s="64">
        <v>19.54</v>
      </c>
      <c r="N7" s="64">
        <v>4.08</v>
      </c>
      <c r="O7" s="64">
        <v>4.8499999999999996</v>
      </c>
      <c r="Q7" s="243"/>
      <c r="R7" s="243"/>
      <c r="S7" s="243"/>
    </row>
    <row r="8" spans="1:19">
      <c r="A8" s="66" t="s">
        <v>397</v>
      </c>
      <c r="B8" s="63">
        <f>+B7</f>
        <v>100</v>
      </c>
      <c r="C8" s="64">
        <v>3.22</v>
      </c>
      <c r="D8" s="64">
        <v>58.27</v>
      </c>
      <c r="E8" s="63">
        <f>+E7</f>
        <v>50</v>
      </c>
      <c r="F8" s="64">
        <v>3.28</v>
      </c>
      <c r="G8" s="64">
        <v>4.76</v>
      </c>
      <c r="J8" s="252"/>
      <c r="K8" s="66" t="s">
        <v>397</v>
      </c>
      <c r="L8" s="64">
        <v>3.22</v>
      </c>
      <c r="M8" s="64">
        <v>58.27</v>
      </c>
      <c r="N8" s="64">
        <v>3.28</v>
      </c>
      <c r="O8" s="64">
        <v>4.76</v>
      </c>
      <c r="Q8" s="243"/>
      <c r="R8" s="243"/>
      <c r="S8" s="243"/>
    </row>
    <row r="9" spans="1:19" ht="15">
      <c r="A9" s="66" t="s">
        <v>398</v>
      </c>
      <c r="B9" s="63">
        <f t="shared" ref="B9:B18" si="0">+B8</f>
        <v>100</v>
      </c>
      <c r="C9" s="64">
        <v>2.68</v>
      </c>
      <c r="D9" s="64">
        <v>64.89</v>
      </c>
      <c r="E9" s="63">
        <f t="shared" ref="E9:E18" si="1">+E8</f>
        <v>50</v>
      </c>
      <c r="F9" s="64">
        <v>2.68</v>
      </c>
      <c r="G9" s="64">
        <v>4.3</v>
      </c>
      <c r="J9" s="252"/>
      <c r="K9" s="66" t="s">
        <v>398</v>
      </c>
      <c r="L9" s="64">
        <v>2.68</v>
      </c>
      <c r="M9" s="64">
        <v>64.89</v>
      </c>
      <c r="N9" s="64">
        <v>2.68</v>
      </c>
      <c r="O9" s="64">
        <v>4.3</v>
      </c>
      <c r="Q9" s="78" t="s">
        <v>399</v>
      </c>
    </row>
    <row r="10" spans="1:19" ht="14.25" customHeight="1">
      <c r="A10" s="66" t="s">
        <v>400</v>
      </c>
      <c r="B10" s="63">
        <f t="shared" si="0"/>
        <v>100</v>
      </c>
      <c r="C10" s="64">
        <v>2.99</v>
      </c>
      <c r="D10" s="64">
        <v>22.34</v>
      </c>
      <c r="E10" s="63">
        <f t="shared" si="1"/>
        <v>50</v>
      </c>
      <c r="F10" s="64">
        <v>2.99</v>
      </c>
      <c r="G10" s="64">
        <v>4.32</v>
      </c>
      <c r="J10" s="252"/>
      <c r="K10" s="66" t="s">
        <v>400</v>
      </c>
      <c r="L10" s="64">
        <v>2.99</v>
      </c>
      <c r="M10" s="64">
        <v>22.34</v>
      </c>
      <c r="N10" s="64">
        <v>2.99</v>
      </c>
      <c r="O10" s="64">
        <v>4.32</v>
      </c>
      <c r="Q10" s="251" t="s">
        <v>401</v>
      </c>
      <c r="R10" s="251"/>
      <c r="S10" s="251"/>
    </row>
    <row r="11" spans="1:19">
      <c r="A11" s="66" t="s">
        <v>402</v>
      </c>
      <c r="B11" s="63">
        <f t="shared" si="0"/>
        <v>100</v>
      </c>
      <c r="C11" s="64">
        <v>3.28</v>
      </c>
      <c r="D11" s="64">
        <v>29.73</v>
      </c>
      <c r="E11" s="63">
        <f t="shared" si="1"/>
        <v>50</v>
      </c>
      <c r="F11" s="64">
        <v>3.29</v>
      </c>
      <c r="G11" s="64">
        <v>4.09</v>
      </c>
      <c r="J11" s="252"/>
      <c r="K11" s="66" t="s">
        <v>402</v>
      </c>
      <c r="L11" s="64">
        <v>3.28</v>
      </c>
      <c r="M11" s="64">
        <v>29.73</v>
      </c>
      <c r="N11" s="64">
        <v>3.29</v>
      </c>
      <c r="O11" s="64">
        <v>4.09</v>
      </c>
      <c r="Q11" s="251"/>
      <c r="R11" s="251"/>
      <c r="S11" s="251"/>
    </row>
    <row r="12" spans="1:19">
      <c r="A12" s="66" t="s">
        <v>403</v>
      </c>
      <c r="B12" s="63">
        <f t="shared" si="0"/>
        <v>100</v>
      </c>
      <c r="C12" s="64">
        <v>1.94</v>
      </c>
      <c r="D12" s="64">
        <v>39.31</v>
      </c>
      <c r="E12" s="63">
        <f t="shared" si="1"/>
        <v>50</v>
      </c>
      <c r="F12" s="64">
        <v>1.94</v>
      </c>
      <c r="G12" s="64">
        <v>4.1900000000000004</v>
      </c>
      <c r="J12" s="252"/>
      <c r="K12" s="66" t="s">
        <v>403</v>
      </c>
      <c r="L12" s="64">
        <v>1.94</v>
      </c>
      <c r="M12" s="64">
        <v>39.31</v>
      </c>
      <c r="N12" s="64">
        <v>1.94</v>
      </c>
      <c r="O12" s="64">
        <v>4.1900000000000004</v>
      </c>
      <c r="Q12" s="251"/>
      <c r="R12" s="251"/>
      <c r="S12" s="251"/>
    </row>
    <row r="13" spans="1:19" ht="14.25" customHeight="1">
      <c r="A13" s="66" t="s">
        <v>404</v>
      </c>
      <c r="B13" s="63">
        <f t="shared" si="0"/>
        <v>100</v>
      </c>
      <c r="C13" s="64">
        <v>7.0000000000000007E-2</v>
      </c>
      <c r="D13" s="64">
        <v>12.11</v>
      </c>
      <c r="E13" s="63">
        <f t="shared" si="1"/>
        <v>50</v>
      </c>
      <c r="F13" s="64">
        <v>7.0000000000000007E-2</v>
      </c>
      <c r="G13" s="64">
        <v>0.28999999999999998</v>
      </c>
      <c r="J13" s="252"/>
      <c r="K13" s="66" t="s">
        <v>404</v>
      </c>
      <c r="L13" s="64">
        <v>7.0000000000000007E-2</v>
      </c>
      <c r="M13" s="64">
        <v>12.11</v>
      </c>
      <c r="N13" s="64">
        <v>7.0000000000000007E-2</v>
      </c>
      <c r="O13" s="64">
        <v>0.28999999999999998</v>
      </c>
      <c r="Q13" s="251" t="s">
        <v>405</v>
      </c>
      <c r="R13" s="251"/>
      <c r="S13" s="251"/>
    </row>
    <row r="14" spans="1:19">
      <c r="A14" s="66" t="s">
        <v>406</v>
      </c>
      <c r="B14" s="63">
        <f t="shared" si="0"/>
        <v>100</v>
      </c>
      <c r="C14" s="64">
        <v>0.24</v>
      </c>
      <c r="D14" s="64">
        <v>75.45</v>
      </c>
      <c r="E14" s="63">
        <f t="shared" si="1"/>
        <v>50</v>
      </c>
      <c r="F14" s="64">
        <v>0.26</v>
      </c>
      <c r="G14" s="64">
        <v>2.2400000000000002</v>
      </c>
      <c r="J14" s="252"/>
      <c r="K14" s="66" t="s">
        <v>406</v>
      </c>
      <c r="L14" s="64">
        <v>0.24</v>
      </c>
      <c r="M14" s="64">
        <v>75.45</v>
      </c>
      <c r="N14" s="64">
        <v>0.26</v>
      </c>
      <c r="O14" s="64">
        <v>2.2400000000000002</v>
      </c>
      <c r="Q14" s="251"/>
      <c r="R14" s="251"/>
      <c r="S14" s="251"/>
    </row>
    <row r="15" spans="1:19">
      <c r="A15" s="66" t="s">
        <v>407</v>
      </c>
      <c r="B15" s="63">
        <f t="shared" si="0"/>
        <v>100</v>
      </c>
      <c r="C15" s="64">
        <v>0.15</v>
      </c>
      <c r="D15" s="64">
        <v>32.82</v>
      </c>
      <c r="E15" s="63">
        <f t="shared" si="1"/>
        <v>50</v>
      </c>
      <c r="F15" s="64">
        <v>0.15</v>
      </c>
      <c r="G15" s="64">
        <v>1.58</v>
      </c>
      <c r="J15" s="252"/>
      <c r="K15" s="66" t="s">
        <v>407</v>
      </c>
      <c r="L15" s="64">
        <v>0.15</v>
      </c>
      <c r="M15" s="64">
        <v>32.82</v>
      </c>
      <c r="N15" s="64">
        <v>0.15</v>
      </c>
      <c r="O15" s="64">
        <v>1.58</v>
      </c>
      <c r="Q15" s="251"/>
      <c r="R15" s="251"/>
      <c r="S15" s="251"/>
    </row>
    <row r="16" spans="1:19">
      <c r="A16" s="66" t="s">
        <v>408</v>
      </c>
      <c r="B16" s="63">
        <f t="shared" si="0"/>
        <v>100</v>
      </c>
      <c r="C16" s="64">
        <v>7.0000000000000007E-2</v>
      </c>
      <c r="D16" s="64">
        <v>18.260000000000002</v>
      </c>
      <c r="E16" s="63">
        <f t="shared" si="1"/>
        <v>50</v>
      </c>
      <c r="F16" s="64">
        <v>7.0000000000000007E-2</v>
      </c>
      <c r="G16" s="64">
        <v>0.38</v>
      </c>
      <c r="J16" s="252"/>
      <c r="K16" s="66" t="s">
        <v>408</v>
      </c>
      <c r="L16" s="64">
        <v>7.0000000000000007E-2</v>
      </c>
      <c r="M16" s="64">
        <v>18.260000000000002</v>
      </c>
      <c r="N16" s="64">
        <v>7.0000000000000007E-2</v>
      </c>
      <c r="O16" s="64">
        <v>0.38</v>
      </c>
      <c r="Q16" s="251"/>
      <c r="R16" s="251"/>
      <c r="S16" s="251"/>
    </row>
    <row r="17" spans="1:15">
      <c r="A17" s="66" t="s">
        <v>409</v>
      </c>
      <c r="B17" s="63">
        <f t="shared" si="0"/>
        <v>100</v>
      </c>
      <c r="C17" s="64">
        <v>1.97</v>
      </c>
      <c r="D17" s="64">
        <v>55.31</v>
      </c>
      <c r="E17" s="63">
        <f t="shared" si="1"/>
        <v>50</v>
      </c>
      <c r="F17" s="64">
        <v>2.08</v>
      </c>
      <c r="G17" s="64">
        <v>4.75</v>
      </c>
      <c r="J17" s="252"/>
      <c r="K17" s="66" t="s">
        <v>409</v>
      </c>
      <c r="L17" s="64">
        <v>1.97</v>
      </c>
      <c r="M17" s="64">
        <v>55.31</v>
      </c>
      <c r="N17" s="64">
        <v>2.08</v>
      </c>
      <c r="O17" s="64">
        <v>4.75</v>
      </c>
    </row>
    <row r="18" spans="1:15">
      <c r="A18" s="66" t="s">
        <v>410</v>
      </c>
      <c r="B18" s="63">
        <f t="shared" si="0"/>
        <v>100</v>
      </c>
      <c r="C18" s="64">
        <v>0.51</v>
      </c>
      <c r="D18" s="64">
        <v>37.770000000000003</v>
      </c>
      <c r="E18" s="63">
        <f t="shared" si="1"/>
        <v>50</v>
      </c>
      <c r="F18" s="64">
        <v>0.51</v>
      </c>
      <c r="G18" s="64">
        <v>2.25</v>
      </c>
      <c r="J18" s="252"/>
      <c r="K18" s="66" t="s">
        <v>410</v>
      </c>
      <c r="L18" s="64">
        <v>0.51</v>
      </c>
      <c r="M18" s="64">
        <v>37.770000000000003</v>
      </c>
      <c r="N18" s="64">
        <v>0.51</v>
      </c>
      <c r="O18" s="64">
        <v>2.25</v>
      </c>
    </row>
    <row r="19" spans="1:15">
      <c r="J19" s="252"/>
      <c r="K19" s="62" t="s">
        <v>411</v>
      </c>
      <c r="L19" s="62">
        <f>AVERAGE(L7:L18)</f>
        <v>1.7666666666666666</v>
      </c>
      <c r="M19" s="62">
        <f>MAX(M7:M18)</f>
        <v>75.45</v>
      </c>
      <c r="N19" s="62">
        <f>AVERAGE(N7:N18)</f>
        <v>1.7833333333333334</v>
      </c>
      <c r="O19" s="62">
        <f>MAX(O7:O18)</f>
        <v>4.8499999999999996</v>
      </c>
    </row>
    <row r="21" spans="1:15" ht="30">
      <c r="J21" s="61">
        <f>+A6</f>
        <v>2022</v>
      </c>
      <c r="K21" s="61" t="s">
        <v>393</v>
      </c>
      <c r="L21" s="67" t="s">
        <v>388</v>
      </c>
      <c r="M21" s="67" t="s">
        <v>394</v>
      </c>
      <c r="N21" s="67" t="s">
        <v>391</v>
      </c>
      <c r="O21" s="67" t="s">
        <v>395</v>
      </c>
    </row>
    <row r="22" spans="1:15">
      <c r="J22" s="252" t="s">
        <v>190</v>
      </c>
      <c r="K22" s="66" t="s">
        <v>396</v>
      </c>
      <c r="L22" s="64"/>
      <c r="M22" s="64"/>
      <c r="N22" s="64"/>
      <c r="O22" s="64"/>
    </row>
    <row r="23" spans="1:15">
      <c r="J23" s="252"/>
      <c r="K23" s="66" t="s">
        <v>397</v>
      </c>
      <c r="L23" s="64"/>
      <c r="M23" s="64"/>
      <c r="N23" s="64"/>
      <c r="O23" s="64"/>
    </row>
    <row r="24" spans="1:15">
      <c r="J24" s="252"/>
      <c r="K24" s="66" t="s">
        <v>398</v>
      </c>
      <c r="L24" s="64"/>
      <c r="M24" s="64"/>
      <c r="N24" s="64"/>
      <c r="O24" s="64"/>
    </row>
    <row r="25" spans="1:15">
      <c r="J25" s="252"/>
      <c r="K25" s="66" t="s">
        <v>400</v>
      </c>
      <c r="L25" s="64"/>
      <c r="M25" s="64"/>
      <c r="N25" s="64"/>
      <c r="O25" s="64"/>
    </row>
    <row r="26" spans="1:15">
      <c r="J26" s="252"/>
      <c r="K26" s="66" t="s">
        <v>402</v>
      </c>
      <c r="L26" s="64"/>
      <c r="M26" s="64"/>
      <c r="N26" s="64"/>
      <c r="O26" s="64"/>
    </row>
    <row r="27" spans="1:15">
      <c r="J27" s="252"/>
      <c r="K27" s="66" t="s">
        <v>403</v>
      </c>
      <c r="L27" s="64"/>
      <c r="M27" s="64"/>
      <c r="N27" s="64"/>
      <c r="O27" s="64"/>
    </row>
    <row r="28" spans="1:15">
      <c r="J28" s="252"/>
      <c r="K28" s="66" t="s">
        <v>404</v>
      </c>
      <c r="L28" s="64"/>
      <c r="M28" s="64"/>
      <c r="N28" s="64"/>
      <c r="O28" s="64"/>
    </row>
    <row r="29" spans="1:15">
      <c r="J29" s="252"/>
      <c r="K29" s="66" t="s">
        <v>406</v>
      </c>
      <c r="L29" s="64"/>
      <c r="M29" s="64"/>
      <c r="N29" s="64"/>
      <c r="O29" s="64"/>
    </row>
    <row r="30" spans="1:15">
      <c r="J30" s="252"/>
      <c r="K30" s="66" t="s">
        <v>407</v>
      </c>
      <c r="L30" s="64"/>
      <c r="M30" s="64"/>
      <c r="N30" s="64"/>
      <c r="O30" s="64"/>
    </row>
    <row r="31" spans="1:15">
      <c r="J31" s="252"/>
      <c r="K31" s="66" t="s">
        <v>408</v>
      </c>
      <c r="L31" s="64"/>
      <c r="M31" s="64"/>
      <c r="N31" s="64"/>
      <c r="O31" s="64"/>
    </row>
    <row r="32" spans="1:15">
      <c r="J32" s="252"/>
      <c r="K32" s="66" t="s">
        <v>409</v>
      </c>
      <c r="L32" s="64"/>
      <c r="M32" s="64"/>
      <c r="N32" s="64"/>
      <c r="O32" s="64"/>
    </row>
    <row r="33" spans="1:15">
      <c r="J33" s="252"/>
      <c r="K33" s="66" t="s">
        <v>410</v>
      </c>
      <c r="L33" s="64"/>
      <c r="M33" s="64"/>
      <c r="N33" s="64"/>
      <c r="O33" s="64"/>
    </row>
    <row r="34" spans="1:15">
      <c r="J34" s="252"/>
      <c r="K34" s="62" t="s">
        <v>411</v>
      </c>
      <c r="L34" s="62" t="e">
        <f>AVERAGE(L22:L33)</f>
        <v>#DIV/0!</v>
      </c>
      <c r="M34" s="62">
        <f>MAX(M22:M33)</f>
        <v>0</v>
      </c>
      <c r="N34" s="62" t="e">
        <f>AVERAGE(N22:N33)</f>
        <v>#DIV/0!</v>
      </c>
      <c r="O34" s="62">
        <f>MAX(O22:O33)</f>
        <v>0</v>
      </c>
    </row>
    <row r="36" spans="1:15" ht="30">
      <c r="J36" s="61">
        <f>+A6</f>
        <v>2022</v>
      </c>
      <c r="K36" s="61" t="s">
        <v>393</v>
      </c>
      <c r="L36" s="67" t="s">
        <v>388</v>
      </c>
      <c r="M36" s="67" t="s">
        <v>394</v>
      </c>
      <c r="N36" s="67" t="s">
        <v>391</v>
      </c>
      <c r="O36" s="67" t="s">
        <v>395</v>
      </c>
    </row>
    <row r="37" spans="1:15">
      <c r="J37" s="252" t="s">
        <v>191</v>
      </c>
      <c r="K37" s="66" t="s">
        <v>396</v>
      </c>
      <c r="L37" s="64"/>
      <c r="M37" s="64"/>
      <c r="N37" s="64"/>
      <c r="O37" s="64"/>
    </row>
    <row r="38" spans="1:15">
      <c r="J38" s="252"/>
      <c r="K38" s="66" t="s">
        <v>397</v>
      </c>
      <c r="L38" s="64"/>
      <c r="M38" s="64"/>
      <c r="N38" s="64"/>
      <c r="O38" s="64"/>
    </row>
    <row r="39" spans="1:15">
      <c r="J39" s="252"/>
      <c r="K39" s="66" t="s">
        <v>398</v>
      </c>
      <c r="L39" s="64"/>
      <c r="M39" s="64"/>
      <c r="N39" s="64"/>
      <c r="O39" s="64"/>
    </row>
    <row r="40" spans="1:15">
      <c r="J40" s="252"/>
      <c r="K40" s="66" t="s">
        <v>400</v>
      </c>
      <c r="L40" s="64"/>
      <c r="M40" s="64"/>
      <c r="N40" s="64"/>
      <c r="O40" s="64"/>
    </row>
    <row r="41" spans="1:15">
      <c r="J41" s="252"/>
      <c r="K41" s="66" t="s">
        <v>402</v>
      </c>
      <c r="L41" s="64"/>
      <c r="M41" s="64"/>
      <c r="N41" s="64"/>
      <c r="O41" s="64"/>
    </row>
    <row r="42" spans="1:15">
      <c r="J42" s="252"/>
      <c r="K42" s="66" t="s">
        <v>403</v>
      </c>
      <c r="L42" s="64"/>
      <c r="M42" s="64"/>
      <c r="N42" s="64"/>
      <c r="O42" s="64"/>
    </row>
    <row r="43" spans="1:15">
      <c r="J43" s="252"/>
      <c r="K43" s="66" t="s">
        <v>404</v>
      </c>
      <c r="L43" s="64"/>
      <c r="M43" s="64"/>
      <c r="N43" s="64"/>
      <c r="O43" s="64"/>
    </row>
    <row r="44" spans="1:15">
      <c r="J44" s="252"/>
      <c r="K44" s="66" t="s">
        <v>406</v>
      </c>
      <c r="L44" s="64"/>
      <c r="M44" s="64"/>
      <c r="N44" s="64"/>
      <c r="O44" s="64"/>
    </row>
    <row r="45" spans="1:15">
      <c r="J45" s="252"/>
      <c r="K45" s="66" t="s">
        <v>407</v>
      </c>
      <c r="L45" s="64"/>
      <c r="M45" s="64"/>
      <c r="N45" s="64"/>
      <c r="O45" s="64"/>
    </row>
    <row r="46" spans="1:15">
      <c r="J46" s="252"/>
      <c r="K46" s="66" t="s">
        <v>408</v>
      </c>
      <c r="L46" s="64"/>
      <c r="M46" s="64"/>
      <c r="N46" s="64"/>
      <c r="O46" s="64"/>
    </row>
    <row r="47" spans="1:15">
      <c r="J47" s="252"/>
      <c r="K47" s="66" t="s">
        <v>409</v>
      </c>
      <c r="L47" s="64"/>
      <c r="M47" s="64"/>
      <c r="N47" s="64"/>
      <c r="O47" s="64"/>
    </row>
    <row r="48" spans="1:15" ht="15">
      <c r="A48" s="258" t="s">
        <v>298</v>
      </c>
      <c r="B48" s="259"/>
      <c r="C48" s="259"/>
      <c r="D48" s="259"/>
      <c r="E48" s="259"/>
      <c r="F48" s="259"/>
      <c r="G48" s="260"/>
      <c r="J48" s="252"/>
      <c r="K48" s="66" t="s">
        <v>410</v>
      </c>
      <c r="L48" s="64"/>
      <c r="M48" s="64"/>
      <c r="N48" s="64"/>
      <c r="O48" s="64"/>
    </row>
    <row r="49" spans="1:15">
      <c r="A49" s="224"/>
      <c r="B49" s="225"/>
      <c r="C49" s="225"/>
      <c r="D49" s="225"/>
      <c r="E49" s="225"/>
      <c r="F49" s="225"/>
      <c r="G49" s="226"/>
      <c r="J49" s="252"/>
      <c r="K49" s="62" t="s">
        <v>411</v>
      </c>
      <c r="L49" s="62" t="e">
        <f>AVERAGE(L37:L48)</f>
        <v>#DIV/0!</v>
      </c>
      <c r="M49" s="62">
        <f>MAX(M37:M48)</f>
        <v>0</v>
      </c>
      <c r="N49" s="62" t="e">
        <f>AVERAGE(N37:N48)</f>
        <v>#DIV/0!</v>
      </c>
      <c r="O49" s="62">
        <f>MAX(O37:O48)</f>
        <v>0</v>
      </c>
    </row>
    <row r="50" spans="1:15">
      <c r="A50" s="255"/>
      <c r="B50" s="256"/>
      <c r="C50" s="256"/>
      <c r="D50" s="256"/>
      <c r="E50" s="256"/>
      <c r="F50" s="256"/>
      <c r="G50" s="257"/>
    </row>
    <row r="51" spans="1:15" ht="30">
      <c r="A51" s="255"/>
      <c r="B51" s="256"/>
      <c r="C51" s="256"/>
      <c r="D51" s="256"/>
      <c r="E51" s="256"/>
      <c r="F51" s="256"/>
      <c r="G51" s="257"/>
      <c r="J51" s="61">
        <f>+A6</f>
        <v>2022</v>
      </c>
      <c r="K51" s="61" t="s">
        <v>393</v>
      </c>
      <c r="L51" s="67" t="s">
        <v>388</v>
      </c>
      <c r="M51" s="67" t="s">
        <v>394</v>
      </c>
      <c r="N51" s="67" t="s">
        <v>391</v>
      </c>
      <c r="O51" s="67" t="s">
        <v>395</v>
      </c>
    </row>
    <row r="52" spans="1:15">
      <c r="A52" s="227"/>
      <c r="B52" s="228"/>
      <c r="C52" s="228"/>
      <c r="D52" s="228"/>
      <c r="E52" s="228"/>
      <c r="F52" s="228"/>
      <c r="G52" s="229"/>
      <c r="J52" s="252" t="s">
        <v>192</v>
      </c>
      <c r="K52" s="66" t="s">
        <v>396</v>
      </c>
      <c r="L52" s="64"/>
      <c r="M52" s="64"/>
      <c r="N52" s="64"/>
      <c r="O52" s="64"/>
    </row>
    <row r="53" spans="1:15">
      <c r="J53" s="252"/>
      <c r="K53" s="66" t="s">
        <v>397</v>
      </c>
      <c r="L53" s="64"/>
      <c r="M53" s="64"/>
      <c r="N53" s="64"/>
      <c r="O53" s="64"/>
    </row>
    <row r="54" spans="1:15">
      <c r="J54" s="252"/>
      <c r="K54" s="66" t="s">
        <v>398</v>
      </c>
      <c r="L54" s="64"/>
      <c r="M54" s="64"/>
      <c r="N54" s="64"/>
      <c r="O54" s="64"/>
    </row>
    <row r="55" spans="1:15">
      <c r="J55" s="252"/>
      <c r="K55" s="66" t="s">
        <v>400</v>
      </c>
      <c r="L55" s="64"/>
      <c r="M55" s="64"/>
      <c r="N55" s="64"/>
      <c r="O55" s="64"/>
    </row>
    <row r="56" spans="1:15">
      <c r="J56" s="252"/>
      <c r="K56" s="66" t="s">
        <v>402</v>
      </c>
      <c r="L56" s="64"/>
      <c r="M56" s="64"/>
      <c r="N56" s="64"/>
      <c r="O56" s="64"/>
    </row>
    <row r="57" spans="1:15">
      <c r="J57" s="252"/>
      <c r="K57" s="66" t="s">
        <v>403</v>
      </c>
      <c r="L57" s="64"/>
      <c r="M57" s="64"/>
      <c r="N57" s="64"/>
      <c r="O57" s="64"/>
    </row>
    <row r="58" spans="1:15">
      <c r="J58" s="252"/>
      <c r="K58" s="66" t="s">
        <v>404</v>
      </c>
      <c r="L58" s="64"/>
      <c r="M58" s="64"/>
      <c r="N58" s="64"/>
      <c r="O58" s="64"/>
    </row>
    <row r="59" spans="1:15">
      <c r="J59" s="252"/>
      <c r="K59" s="66" t="s">
        <v>406</v>
      </c>
      <c r="L59" s="64"/>
      <c r="M59" s="64"/>
      <c r="N59" s="64"/>
      <c r="O59" s="64"/>
    </row>
    <row r="60" spans="1:15">
      <c r="J60" s="252"/>
      <c r="K60" s="66" t="s">
        <v>407</v>
      </c>
      <c r="L60" s="64"/>
      <c r="M60" s="64"/>
      <c r="N60" s="64"/>
      <c r="O60" s="64"/>
    </row>
    <row r="61" spans="1:15">
      <c r="J61" s="252"/>
      <c r="K61" s="66" t="s">
        <v>408</v>
      </c>
      <c r="L61" s="64"/>
      <c r="M61" s="64"/>
      <c r="N61" s="64"/>
      <c r="O61" s="64"/>
    </row>
    <row r="62" spans="1:15">
      <c r="J62" s="252"/>
      <c r="K62" s="66" t="s">
        <v>409</v>
      </c>
      <c r="L62" s="64"/>
      <c r="M62" s="64"/>
      <c r="N62" s="64"/>
      <c r="O62" s="64"/>
    </row>
    <row r="63" spans="1:15">
      <c r="J63" s="252"/>
      <c r="K63" s="66" t="s">
        <v>410</v>
      </c>
      <c r="L63" s="64"/>
      <c r="M63" s="64"/>
      <c r="N63" s="64"/>
      <c r="O63" s="64"/>
    </row>
    <row r="64" spans="1:15">
      <c r="J64" s="252"/>
      <c r="K64" s="62" t="s">
        <v>411</v>
      </c>
      <c r="L64" s="62" t="e">
        <f>AVERAGE(L52:L63)</f>
        <v>#DIV/0!</v>
      </c>
      <c r="M64" s="62">
        <f>MAX(M52:M63)</f>
        <v>0</v>
      </c>
      <c r="N64" s="62" t="e">
        <f>AVERAGE(N52:N63)</f>
        <v>#DIV/0!</v>
      </c>
      <c r="O64" s="62">
        <f>MAX(O52:O63)</f>
        <v>0</v>
      </c>
    </row>
    <row r="66" spans="10:15" ht="30">
      <c r="J66" s="61">
        <f>+A6</f>
        <v>2022</v>
      </c>
      <c r="K66" s="61" t="s">
        <v>393</v>
      </c>
      <c r="L66" s="67" t="s">
        <v>388</v>
      </c>
      <c r="M66" s="67" t="s">
        <v>394</v>
      </c>
      <c r="N66" s="67" t="s">
        <v>391</v>
      </c>
      <c r="O66" s="67" t="s">
        <v>395</v>
      </c>
    </row>
    <row r="67" spans="10:15">
      <c r="J67" s="252" t="s">
        <v>193</v>
      </c>
      <c r="K67" s="66" t="s">
        <v>396</v>
      </c>
      <c r="L67" s="64"/>
      <c r="M67" s="64"/>
      <c r="N67" s="64"/>
      <c r="O67" s="64"/>
    </row>
    <row r="68" spans="10:15">
      <c r="J68" s="252"/>
      <c r="K68" s="66" t="s">
        <v>397</v>
      </c>
      <c r="L68" s="64"/>
      <c r="M68" s="64"/>
      <c r="N68" s="64"/>
      <c r="O68" s="64"/>
    </row>
    <row r="69" spans="10:15">
      <c r="J69" s="252"/>
      <c r="K69" s="66" t="s">
        <v>398</v>
      </c>
      <c r="L69" s="64"/>
      <c r="M69" s="64"/>
      <c r="N69" s="64"/>
      <c r="O69" s="64"/>
    </row>
    <row r="70" spans="10:15">
      <c r="J70" s="252"/>
      <c r="K70" s="66" t="s">
        <v>400</v>
      </c>
      <c r="L70" s="64"/>
      <c r="M70" s="64"/>
      <c r="N70" s="64"/>
      <c r="O70" s="64"/>
    </row>
    <row r="71" spans="10:15">
      <c r="J71" s="252"/>
      <c r="K71" s="66" t="s">
        <v>402</v>
      </c>
      <c r="L71" s="64"/>
      <c r="M71" s="64"/>
      <c r="N71" s="64"/>
      <c r="O71" s="64"/>
    </row>
    <row r="72" spans="10:15">
      <c r="J72" s="252"/>
      <c r="K72" s="66" t="s">
        <v>403</v>
      </c>
      <c r="L72" s="64"/>
      <c r="M72" s="64"/>
      <c r="N72" s="64"/>
      <c r="O72" s="64"/>
    </row>
    <row r="73" spans="10:15">
      <c r="J73" s="252"/>
      <c r="K73" s="66" t="s">
        <v>404</v>
      </c>
      <c r="L73" s="64"/>
      <c r="M73" s="64"/>
      <c r="N73" s="64"/>
      <c r="O73" s="64"/>
    </row>
    <row r="74" spans="10:15">
      <c r="J74" s="252"/>
      <c r="K74" s="66" t="s">
        <v>406</v>
      </c>
      <c r="L74" s="64"/>
      <c r="M74" s="64"/>
      <c r="N74" s="64"/>
      <c r="O74" s="64"/>
    </row>
    <row r="75" spans="10:15">
      <c r="J75" s="252"/>
      <c r="K75" s="66" t="s">
        <v>407</v>
      </c>
      <c r="L75" s="64"/>
      <c r="M75" s="64"/>
      <c r="N75" s="64"/>
      <c r="O75" s="64"/>
    </row>
    <row r="76" spans="10:15">
      <c r="J76" s="252"/>
      <c r="K76" s="66" t="s">
        <v>408</v>
      </c>
      <c r="L76" s="64"/>
      <c r="M76" s="64"/>
      <c r="N76" s="64"/>
      <c r="O76" s="64"/>
    </row>
    <row r="77" spans="10:15">
      <c r="J77" s="252"/>
      <c r="K77" s="66" t="s">
        <v>409</v>
      </c>
      <c r="L77" s="64"/>
      <c r="M77" s="64"/>
      <c r="N77" s="64"/>
      <c r="O77" s="64"/>
    </row>
    <row r="78" spans="10:15">
      <c r="J78" s="252"/>
      <c r="K78" s="66" t="s">
        <v>410</v>
      </c>
      <c r="L78" s="64"/>
      <c r="M78" s="64"/>
      <c r="N78" s="64"/>
      <c r="O78" s="64"/>
    </row>
    <row r="79" spans="10:15">
      <c r="J79" s="252"/>
      <c r="K79" s="62" t="s">
        <v>411</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workbookViewId="0">
      <selection activeCell="B55" sqref="B55"/>
    </sheetView>
  </sheetViews>
  <sheetFormatPr defaultRowHeight="14.25"/>
  <cols>
    <col min="1" max="1" width="14" style="3" customWidth="1"/>
    <col min="2" max="2" width="12.7109375" style="35" customWidth="1"/>
    <col min="3" max="3" width="15.28515625" style="35" customWidth="1"/>
    <col min="4" max="4" width="17.7109375" style="35" customWidth="1"/>
    <col min="5" max="5" width="14.7109375" style="35" customWidth="1"/>
    <col min="6" max="6" width="11.5703125" style="35" customWidth="1"/>
    <col min="7" max="7" width="15" style="35" customWidth="1"/>
    <col min="8" max="8" width="14.7109375" style="35"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c r="A1" s="93" t="str">
        <f>+'Cover Page'!$B$29</f>
        <v>Annual Performance Report 2022</v>
      </c>
      <c r="B1" s="93"/>
      <c r="C1" s="93"/>
      <c r="D1" s="93"/>
      <c r="E1" s="93" t="str">
        <f>+'Cover Page'!$B$33</f>
        <v>Newlincs Development IWMF</v>
      </c>
    </row>
    <row r="3" spans="1:21" ht="15">
      <c r="A3" s="60" t="s">
        <v>427</v>
      </c>
      <c r="E3" s="76" t="s">
        <v>380</v>
      </c>
      <c r="H3" s="80" t="s">
        <v>428</v>
      </c>
      <c r="J3" s="9" t="str">
        <f>+A3</f>
        <v>Monitoring of Carbon Monoxide (10-minute avg)</v>
      </c>
      <c r="L3" s="9"/>
      <c r="O3" s="9" t="s">
        <v>382</v>
      </c>
      <c r="Q3" s="77" t="s">
        <v>3</v>
      </c>
      <c r="S3" s="79" t="s">
        <v>3</v>
      </c>
      <c r="T3" s="74"/>
      <c r="U3" s="74"/>
    </row>
    <row r="4" spans="1:21" ht="13.9" customHeight="1">
      <c r="S4" s="243" t="s">
        <v>429</v>
      </c>
      <c r="T4" s="243"/>
      <c r="U4" s="243"/>
    </row>
    <row r="5" spans="1:21" ht="17.25">
      <c r="A5" s="68" t="s">
        <v>384</v>
      </c>
      <c r="B5" s="254" t="s">
        <v>430</v>
      </c>
      <c r="C5" s="254"/>
      <c r="D5" s="254"/>
      <c r="E5" s="254"/>
      <c r="F5" s="254" t="s">
        <v>386</v>
      </c>
      <c r="G5" s="254"/>
      <c r="H5" s="254"/>
      <c r="K5" s="253"/>
      <c r="L5" s="253"/>
      <c r="M5" s="253"/>
      <c r="N5" s="253"/>
      <c r="O5" s="253"/>
      <c r="P5" s="253"/>
      <c r="Q5" s="253"/>
      <c r="S5" s="243"/>
      <c r="T5" s="243"/>
      <c r="U5" s="243"/>
    </row>
    <row r="6" spans="1:21" s="58" customFormat="1" ht="37.5" customHeight="1">
      <c r="A6" s="65">
        <f>+'Cover Page'!C39</f>
        <v>2022</v>
      </c>
      <c r="B6" s="55" t="s">
        <v>431</v>
      </c>
      <c r="C6" s="55" t="s">
        <v>432</v>
      </c>
      <c r="D6" s="55" t="s">
        <v>433</v>
      </c>
      <c r="E6" s="55" t="s">
        <v>434</v>
      </c>
      <c r="F6" s="55" t="s">
        <v>426</v>
      </c>
      <c r="G6" s="55" t="s">
        <v>391</v>
      </c>
      <c r="H6" s="55" t="s">
        <v>392</v>
      </c>
      <c r="I6" s="59"/>
      <c r="K6" s="61">
        <f>+A6</f>
        <v>2022</v>
      </c>
      <c r="L6" s="61" t="s">
        <v>393</v>
      </c>
      <c r="M6" s="55" t="s">
        <v>432</v>
      </c>
      <c r="N6" s="55" t="s">
        <v>433</v>
      </c>
      <c r="O6" s="55" t="s">
        <v>434</v>
      </c>
      <c r="P6" s="67" t="s">
        <v>391</v>
      </c>
      <c r="Q6" s="67" t="s">
        <v>395</v>
      </c>
      <c r="S6" s="243"/>
      <c r="T6" s="243"/>
      <c r="U6" s="243"/>
    </row>
    <row r="7" spans="1:21">
      <c r="A7" s="66" t="s">
        <v>396</v>
      </c>
      <c r="B7" s="69">
        <v>150</v>
      </c>
      <c r="C7" s="64"/>
      <c r="D7" s="64"/>
      <c r="E7" s="64"/>
      <c r="F7" s="69">
        <v>50</v>
      </c>
      <c r="G7" s="64"/>
      <c r="H7" s="64"/>
      <c r="K7" s="252" t="s">
        <v>189</v>
      </c>
      <c r="L7" s="66" t="s">
        <v>396</v>
      </c>
      <c r="M7" s="64"/>
      <c r="N7" s="64"/>
      <c r="O7" s="64"/>
      <c r="P7" s="64"/>
      <c r="Q7" s="64"/>
      <c r="S7" s="243"/>
      <c r="T7" s="243"/>
      <c r="U7" s="243"/>
    </row>
    <row r="8" spans="1:21">
      <c r="A8" s="66" t="s">
        <v>397</v>
      </c>
      <c r="B8" s="63">
        <f>+B7</f>
        <v>150</v>
      </c>
      <c r="C8" s="64"/>
      <c r="D8" s="64"/>
      <c r="E8" s="64"/>
      <c r="F8" s="63">
        <f>+F7</f>
        <v>50</v>
      </c>
      <c r="G8" s="64"/>
      <c r="H8" s="64"/>
      <c r="K8" s="252"/>
      <c r="L8" s="66" t="s">
        <v>397</v>
      </c>
      <c r="M8" s="64"/>
      <c r="N8" s="64"/>
      <c r="O8" s="64"/>
      <c r="P8" s="64"/>
      <c r="Q8" s="64"/>
      <c r="S8" s="243"/>
      <c r="T8" s="243"/>
      <c r="U8" s="243"/>
    </row>
    <row r="9" spans="1:21" ht="15">
      <c r="A9" s="66" t="s">
        <v>398</v>
      </c>
      <c r="B9" s="63">
        <f t="shared" ref="B9:B18" si="0">+B8</f>
        <v>150</v>
      </c>
      <c r="C9" s="64"/>
      <c r="D9" s="64"/>
      <c r="E9" s="64"/>
      <c r="F9" s="63">
        <f t="shared" ref="F9:F18" si="1">+F8</f>
        <v>50</v>
      </c>
      <c r="G9" s="64"/>
      <c r="H9" s="64"/>
      <c r="K9" s="252"/>
      <c r="L9" s="66" t="s">
        <v>398</v>
      </c>
      <c r="M9" s="64"/>
      <c r="N9" s="64"/>
      <c r="O9" s="64"/>
      <c r="P9" s="64"/>
      <c r="Q9" s="64"/>
      <c r="S9" s="78" t="s">
        <v>435</v>
      </c>
    </row>
    <row r="10" spans="1:21">
      <c r="A10" s="66" t="s">
        <v>400</v>
      </c>
      <c r="B10" s="63">
        <f t="shared" si="0"/>
        <v>150</v>
      </c>
      <c r="C10" s="64"/>
      <c r="D10" s="64"/>
      <c r="E10" s="64"/>
      <c r="F10" s="63">
        <f t="shared" si="1"/>
        <v>50</v>
      </c>
      <c r="G10" s="64"/>
      <c r="H10" s="64"/>
      <c r="K10" s="252"/>
      <c r="L10" s="66" t="s">
        <v>400</v>
      </c>
      <c r="M10" s="64"/>
      <c r="N10" s="64"/>
      <c r="O10" s="64"/>
      <c r="P10" s="64"/>
      <c r="Q10" s="64"/>
      <c r="S10" s="251" t="s">
        <v>436</v>
      </c>
      <c r="T10" s="251"/>
      <c r="U10" s="251"/>
    </row>
    <row r="11" spans="1:21">
      <c r="A11" s="66" t="s">
        <v>402</v>
      </c>
      <c r="B11" s="63">
        <f t="shared" si="0"/>
        <v>150</v>
      </c>
      <c r="C11" s="64"/>
      <c r="D11" s="64"/>
      <c r="E11" s="64"/>
      <c r="F11" s="63">
        <f t="shared" si="1"/>
        <v>50</v>
      </c>
      <c r="G11" s="64"/>
      <c r="H11" s="64"/>
      <c r="K11" s="252"/>
      <c r="L11" s="66" t="s">
        <v>402</v>
      </c>
      <c r="M11" s="64"/>
      <c r="N11" s="64"/>
      <c r="O11" s="64"/>
      <c r="P11" s="64"/>
      <c r="Q11" s="64"/>
      <c r="S11" s="251"/>
      <c r="T11" s="251"/>
      <c r="U11" s="251"/>
    </row>
    <row r="12" spans="1:21">
      <c r="A12" s="66" t="s">
        <v>403</v>
      </c>
      <c r="B12" s="63">
        <f t="shared" si="0"/>
        <v>150</v>
      </c>
      <c r="C12" s="64"/>
      <c r="D12" s="64"/>
      <c r="E12" s="64"/>
      <c r="F12" s="63">
        <f t="shared" si="1"/>
        <v>50</v>
      </c>
      <c r="G12" s="64"/>
      <c r="H12" s="64"/>
      <c r="K12" s="252"/>
      <c r="L12" s="66" t="s">
        <v>403</v>
      </c>
      <c r="M12" s="64"/>
      <c r="N12" s="64"/>
      <c r="O12" s="64"/>
      <c r="P12" s="64"/>
      <c r="Q12" s="64"/>
      <c r="S12" s="251"/>
      <c r="T12" s="251"/>
      <c r="U12" s="251"/>
    </row>
    <row r="13" spans="1:21">
      <c r="A13" s="66" t="s">
        <v>404</v>
      </c>
      <c r="B13" s="63">
        <f t="shared" si="0"/>
        <v>150</v>
      </c>
      <c r="C13" s="64"/>
      <c r="D13" s="64"/>
      <c r="E13" s="64"/>
      <c r="F13" s="63">
        <f t="shared" si="1"/>
        <v>50</v>
      </c>
      <c r="G13" s="64"/>
      <c r="H13" s="64"/>
      <c r="K13" s="252"/>
      <c r="L13" s="66" t="s">
        <v>404</v>
      </c>
      <c r="M13" s="64"/>
      <c r="N13" s="64"/>
      <c r="O13" s="64"/>
      <c r="P13" s="64"/>
      <c r="Q13" s="64"/>
      <c r="S13" s="251" t="s">
        <v>437</v>
      </c>
      <c r="T13" s="251"/>
      <c r="U13" s="251"/>
    </row>
    <row r="14" spans="1:21">
      <c r="A14" s="66" t="s">
        <v>406</v>
      </c>
      <c r="B14" s="63">
        <f t="shared" si="0"/>
        <v>150</v>
      </c>
      <c r="C14" s="64"/>
      <c r="D14" s="64"/>
      <c r="E14" s="64"/>
      <c r="F14" s="63">
        <f t="shared" si="1"/>
        <v>50</v>
      </c>
      <c r="G14" s="64"/>
      <c r="H14" s="64"/>
      <c r="K14" s="252"/>
      <c r="L14" s="66" t="s">
        <v>406</v>
      </c>
      <c r="M14" s="64"/>
      <c r="N14" s="64"/>
      <c r="O14" s="64"/>
      <c r="P14" s="64"/>
      <c r="Q14" s="64"/>
      <c r="S14" s="251"/>
      <c r="T14" s="251"/>
      <c r="U14" s="251"/>
    </row>
    <row r="15" spans="1:21">
      <c r="A15" s="66" t="s">
        <v>407</v>
      </c>
      <c r="B15" s="63">
        <f t="shared" si="0"/>
        <v>150</v>
      </c>
      <c r="C15" s="64"/>
      <c r="D15" s="64"/>
      <c r="E15" s="64"/>
      <c r="F15" s="63">
        <f t="shared" si="1"/>
        <v>50</v>
      </c>
      <c r="G15" s="64"/>
      <c r="H15" s="64"/>
      <c r="K15" s="252"/>
      <c r="L15" s="66" t="s">
        <v>407</v>
      </c>
      <c r="M15" s="64"/>
      <c r="N15" s="64"/>
      <c r="O15" s="64"/>
      <c r="P15" s="64"/>
      <c r="Q15" s="64"/>
      <c r="S15" s="251"/>
      <c r="T15" s="251"/>
      <c r="U15" s="251"/>
    </row>
    <row r="16" spans="1:21">
      <c r="A16" s="66" t="s">
        <v>408</v>
      </c>
      <c r="B16" s="63">
        <f t="shared" si="0"/>
        <v>150</v>
      </c>
      <c r="C16" s="64"/>
      <c r="D16" s="64"/>
      <c r="E16" s="64"/>
      <c r="F16" s="63">
        <f t="shared" si="1"/>
        <v>50</v>
      </c>
      <c r="G16" s="64"/>
      <c r="H16" s="64"/>
      <c r="K16" s="252"/>
      <c r="L16" s="66" t="s">
        <v>408</v>
      </c>
      <c r="M16" s="64"/>
      <c r="N16" s="64"/>
      <c r="O16" s="64"/>
      <c r="P16" s="64"/>
      <c r="Q16" s="64"/>
      <c r="S16" s="251"/>
      <c r="T16" s="251"/>
      <c r="U16" s="251"/>
    </row>
    <row r="17" spans="1:17">
      <c r="A17" s="66" t="s">
        <v>409</v>
      </c>
      <c r="B17" s="63">
        <f t="shared" si="0"/>
        <v>150</v>
      </c>
      <c r="C17" s="64"/>
      <c r="D17" s="64"/>
      <c r="E17" s="64"/>
      <c r="F17" s="63">
        <f t="shared" si="1"/>
        <v>50</v>
      </c>
      <c r="G17" s="64"/>
      <c r="H17" s="64"/>
      <c r="K17" s="252"/>
      <c r="L17" s="66" t="s">
        <v>409</v>
      </c>
      <c r="M17" s="64"/>
      <c r="N17" s="64"/>
      <c r="O17" s="64"/>
      <c r="P17" s="64"/>
      <c r="Q17" s="64"/>
    </row>
    <row r="18" spans="1:17">
      <c r="A18" s="66" t="s">
        <v>410</v>
      </c>
      <c r="B18" s="63">
        <f t="shared" si="0"/>
        <v>150</v>
      </c>
      <c r="C18" s="64"/>
      <c r="D18" s="64"/>
      <c r="E18" s="64"/>
      <c r="F18" s="63">
        <f t="shared" si="1"/>
        <v>50</v>
      </c>
      <c r="G18" s="64"/>
      <c r="H18" s="64"/>
      <c r="K18" s="252"/>
      <c r="L18" s="66" t="s">
        <v>410</v>
      </c>
      <c r="M18" s="64"/>
      <c r="N18" s="64"/>
      <c r="O18" s="64"/>
      <c r="P18" s="64"/>
      <c r="Q18" s="64"/>
    </row>
    <row r="19" spans="1:17">
      <c r="K19" s="252"/>
      <c r="L19" s="62" t="s">
        <v>411</v>
      </c>
      <c r="M19" s="62" t="e">
        <f>AVERAGE(M7:M18)</f>
        <v>#DIV/0!</v>
      </c>
      <c r="N19" s="62"/>
      <c r="O19" s="62">
        <f>MAX(O7:O18)</f>
        <v>0</v>
      </c>
      <c r="P19" s="62" t="e">
        <f>AVERAGE(P7:P18)</f>
        <v>#DIV/0!</v>
      </c>
      <c r="Q19" s="62">
        <f>MAX(Q7:Q18)</f>
        <v>0</v>
      </c>
    </row>
    <row r="21" spans="1:17" ht="30">
      <c r="K21" s="61">
        <f>+A6</f>
        <v>2022</v>
      </c>
      <c r="L21" s="61" t="s">
        <v>393</v>
      </c>
      <c r="M21" s="55" t="s">
        <v>432</v>
      </c>
      <c r="N21" s="55" t="s">
        <v>433</v>
      </c>
      <c r="O21" s="55" t="s">
        <v>434</v>
      </c>
      <c r="P21" s="67" t="s">
        <v>391</v>
      </c>
      <c r="Q21" s="67" t="s">
        <v>395</v>
      </c>
    </row>
    <row r="22" spans="1:17">
      <c r="K22" s="252" t="s">
        <v>190</v>
      </c>
      <c r="L22" s="66" t="s">
        <v>396</v>
      </c>
      <c r="M22" s="64"/>
      <c r="N22" s="64"/>
      <c r="O22" s="64"/>
      <c r="P22" s="64"/>
      <c r="Q22" s="64"/>
    </row>
    <row r="23" spans="1:17">
      <c r="K23" s="252"/>
      <c r="L23" s="66" t="s">
        <v>397</v>
      </c>
      <c r="M23" s="64"/>
      <c r="N23" s="64"/>
      <c r="O23" s="64"/>
      <c r="P23" s="64"/>
      <c r="Q23" s="64"/>
    </row>
    <row r="24" spans="1:17">
      <c r="K24" s="252"/>
      <c r="L24" s="66" t="s">
        <v>398</v>
      </c>
      <c r="M24" s="64"/>
      <c r="N24" s="64"/>
      <c r="O24" s="64"/>
      <c r="P24" s="64"/>
      <c r="Q24" s="64"/>
    </row>
    <row r="25" spans="1:17">
      <c r="K25" s="252"/>
      <c r="L25" s="66" t="s">
        <v>400</v>
      </c>
      <c r="M25" s="64"/>
      <c r="N25" s="64"/>
      <c r="O25" s="64"/>
      <c r="P25" s="64"/>
      <c r="Q25" s="64"/>
    </row>
    <row r="26" spans="1:17">
      <c r="K26" s="252"/>
      <c r="L26" s="66" t="s">
        <v>402</v>
      </c>
      <c r="M26" s="64"/>
      <c r="N26" s="64"/>
      <c r="O26" s="64"/>
      <c r="P26" s="64"/>
      <c r="Q26" s="64"/>
    </row>
    <row r="27" spans="1:17">
      <c r="K27" s="252"/>
      <c r="L27" s="66" t="s">
        <v>403</v>
      </c>
      <c r="M27" s="64"/>
      <c r="N27" s="64"/>
      <c r="O27" s="64"/>
      <c r="P27" s="64"/>
      <c r="Q27" s="64"/>
    </row>
    <row r="28" spans="1:17">
      <c r="K28" s="252"/>
      <c r="L28" s="66" t="s">
        <v>404</v>
      </c>
      <c r="M28" s="64"/>
      <c r="N28" s="64"/>
      <c r="O28" s="64"/>
      <c r="P28" s="64"/>
      <c r="Q28" s="64"/>
    </row>
    <row r="29" spans="1:17">
      <c r="K29" s="252"/>
      <c r="L29" s="66" t="s">
        <v>406</v>
      </c>
      <c r="M29" s="64"/>
      <c r="N29" s="64"/>
      <c r="O29" s="64"/>
      <c r="P29" s="64"/>
      <c r="Q29" s="64"/>
    </row>
    <row r="30" spans="1:17">
      <c r="K30" s="252"/>
      <c r="L30" s="66" t="s">
        <v>407</v>
      </c>
      <c r="M30" s="64"/>
      <c r="N30" s="64"/>
      <c r="O30" s="64"/>
      <c r="P30" s="64"/>
      <c r="Q30" s="64"/>
    </row>
    <row r="31" spans="1:17">
      <c r="K31" s="252"/>
      <c r="L31" s="66" t="s">
        <v>408</v>
      </c>
      <c r="M31" s="64"/>
      <c r="N31" s="64"/>
      <c r="O31" s="64"/>
      <c r="P31" s="64"/>
      <c r="Q31" s="64"/>
    </row>
    <row r="32" spans="1:17">
      <c r="K32" s="252"/>
      <c r="L32" s="66" t="s">
        <v>409</v>
      </c>
      <c r="M32" s="64"/>
      <c r="N32" s="64"/>
      <c r="O32" s="64"/>
      <c r="P32" s="64"/>
      <c r="Q32" s="64"/>
    </row>
    <row r="33" spans="1:17">
      <c r="K33" s="252"/>
      <c r="L33" s="66" t="s">
        <v>410</v>
      </c>
      <c r="M33" s="64"/>
      <c r="N33" s="64"/>
      <c r="O33" s="64"/>
      <c r="P33" s="64"/>
      <c r="Q33" s="64"/>
    </row>
    <row r="34" spans="1:17">
      <c r="K34" s="252"/>
      <c r="L34" s="62" t="s">
        <v>411</v>
      </c>
      <c r="M34" s="62" t="e">
        <f>AVERAGE(M22:M33)</f>
        <v>#DIV/0!</v>
      </c>
      <c r="N34" s="62"/>
      <c r="O34" s="62">
        <f>MAX(O22:O33)</f>
        <v>0</v>
      </c>
      <c r="P34" s="62" t="e">
        <f>AVERAGE(P22:P33)</f>
        <v>#DIV/0!</v>
      </c>
      <c r="Q34" s="62">
        <f>MAX(Q22:Q33)</f>
        <v>0</v>
      </c>
    </row>
    <row r="36" spans="1:17" ht="30">
      <c r="K36" s="61">
        <f>+A6</f>
        <v>2022</v>
      </c>
      <c r="L36" s="61" t="s">
        <v>393</v>
      </c>
      <c r="M36" s="55" t="s">
        <v>432</v>
      </c>
      <c r="N36" s="55" t="s">
        <v>433</v>
      </c>
      <c r="O36" s="55" t="s">
        <v>434</v>
      </c>
      <c r="P36" s="67" t="s">
        <v>391</v>
      </c>
      <c r="Q36" s="67" t="s">
        <v>395</v>
      </c>
    </row>
    <row r="37" spans="1:17">
      <c r="K37" s="252" t="s">
        <v>191</v>
      </c>
      <c r="L37" s="66" t="s">
        <v>396</v>
      </c>
      <c r="M37" s="64"/>
      <c r="N37" s="64"/>
      <c r="O37" s="64"/>
      <c r="P37" s="64"/>
      <c r="Q37" s="64"/>
    </row>
    <row r="38" spans="1:17">
      <c r="K38" s="252"/>
      <c r="L38" s="66" t="s">
        <v>397</v>
      </c>
      <c r="M38" s="64"/>
      <c r="N38" s="64"/>
      <c r="O38" s="64"/>
      <c r="P38" s="64"/>
      <c r="Q38" s="64"/>
    </row>
    <row r="39" spans="1:17">
      <c r="K39" s="252"/>
      <c r="L39" s="66" t="s">
        <v>398</v>
      </c>
      <c r="M39" s="64"/>
      <c r="N39" s="64"/>
      <c r="O39" s="64"/>
      <c r="P39" s="64"/>
      <c r="Q39" s="64"/>
    </row>
    <row r="40" spans="1:17">
      <c r="K40" s="252"/>
      <c r="L40" s="66" t="s">
        <v>400</v>
      </c>
      <c r="M40" s="64"/>
      <c r="N40" s="64"/>
      <c r="O40" s="64"/>
      <c r="P40" s="64"/>
      <c r="Q40" s="64"/>
    </row>
    <row r="41" spans="1:17">
      <c r="K41" s="252"/>
      <c r="L41" s="66" t="s">
        <v>402</v>
      </c>
      <c r="M41" s="64"/>
      <c r="N41" s="64"/>
      <c r="O41" s="64"/>
      <c r="P41" s="64"/>
      <c r="Q41" s="64"/>
    </row>
    <row r="42" spans="1:17">
      <c r="K42" s="252"/>
      <c r="L42" s="66" t="s">
        <v>403</v>
      </c>
      <c r="M42" s="64"/>
      <c r="N42" s="64"/>
      <c r="O42" s="64"/>
      <c r="P42" s="64"/>
      <c r="Q42" s="64"/>
    </row>
    <row r="43" spans="1:17">
      <c r="K43" s="252"/>
      <c r="L43" s="66" t="s">
        <v>404</v>
      </c>
      <c r="M43" s="64"/>
      <c r="N43" s="64"/>
      <c r="O43" s="64"/>
      <c r="P43" s="64"/>
      <c r="Q43" s="64"/>
    </row>
    <row r="44" spans="1:17">
      <c r="K44" s="252"/>
      <c r="L44" s="66" t="s">
        <v>406</v>
      </c>
      <c r="M44" s="64"/>
      <c r="N44" s="64"/>
      <c r="O44" s="64"/>
      <c r="P44" s="64"/>
      <c r="Q44" s="64"/>
    </row>
    <row r="45" spans="1:17">
      <c r="K45" s="252"/>
      <c r="L45" s="66" t="s">
        <v>407</v>
      </c>
      <c r="M45" s="64"/>
      <c r="N45" s="64"/>
      <c r="O45" s="64"/>
      <c r="P45" s="64"/>
      <c r="Q45" s="64"/>
    </row>
    <row r="46" spans="1:17">
      <c r="K46" s="252"/>
      <c r="L46" s="66" t="s">
        <v>408</v>
      </c>
      <c r="M46" s="64"/>
      <c r="N46" s="64"/>
      <c r="O46" s="64"/>
      <c r="P46" s="64"/>
      <c r="Q46" s="64"/>
    </row>
    <row r="47" spans="1:17">
      <c r="K47" s="252"/>
      <c r="L47" s="66" t="s">
        <v>409</v>
      </c>
      <c r="M47" s="64"/>
      <c r="N47" s="64"/>
      <c r="O47" s="64"/>
      <c r="P47" s="64"/>
      <c r="Q47" s="64"/>
    </row>
    <row r="48" spans="1:17" ht="15">
      <c r="A48" s="258" t="s">
        <v>298</v>
      </c>
      <c r="B48" s="259"/>
      <c r="C48" s="259"/>
      <c r="D48" s="259"/>
      <c r="E48" s="259"/>
      <c r="F48" s="259"/>
      <c r="G48" s="259"/>
      <c r="H48" s="260"/>
      <c r="K48" s="252"/>
      <c r="L48" s="66" t="s">
        <v>410</v>
      </c>
      <c r="M48" s="64"/>
      <c r="N48" s="64"/>
      <c r="O48" s="64"/>
      <c r="P48" s="64"/>
      <c r="Q48" s="64"/>
    </row>
    <row r="49" spans="1:17">
      <c r="A49" s="261" t="s">
        <v>438</v>
      </c>
      <c r="B49" s="262"/>
      <c r="C49" s="262"/>
      <c r="D49" s="262"/>
      <c r="E49" s="262"/>
      <c r="F49" s="262"/>
      <c r="G49" s="262"/>
      <c r="H49" s="263"/>
      <c r="K49" s="252"/>
      <c r="L49" s="62" t="s">
        <v>411</v>
      </c>
      <c r="M49" s="62" t="e">
        <f>AVERAGE(M37:M48)</f>
        <v>#DIV/0!</v>
      </c>
      <c r="N49" s="62"/>
      <c r="O49" s="62">
        <f>MAX(O37:O48)</f>
        <v>0</v>
      </c>
      <c r="P49" s="62" t="e">
        <f>AVERAGE(P37:P48)</f>
        <v>#DIV/0!</v>
      </c>
      <c r="Q49" s="62">
        <f>MAX(Q37:Q48)</f>
        <v>0</v>
      </c>
    </row>
    <row r="50" spans="1:17">
      <c r="A50" s="264"/>
      <c r="B50" s="265"/>
      <c r="C50" s="265"/>
      <c r="D50" s="265"/>
      <c r="E50" s="265"/>
      <c r="F50" s="265"/>
      <c r="G50" s="265"/>
      <c r="H50" s="266"/>
    </row>
    <row r="51" spans="1:17" ht="30">
      <c r="A51" s="264"/>
      <c r="B51" s="265"/>
      <c r="C51" s="265"/>
      <c r="D51" s="265"/>
      <c r="E51" s="265"/>
      <c r="F51" s="265"/>
      <c r="G51" s="265"/>
      <c r="H51" s="266"/>
      <c r="K51" s="61">
        <f>+A6</f>
        <v>2022</v>
      </c>
      <c r="L51" s="61" t="s">
        <v>393</v>
      </c>
      <c r="M51" s="55" t="s">
        <v>432</v>
      </c>
      <c r="N51" s="55" t="s">
        <v>433</v>
      </c>
      <c r="O51" s="55" t="s">
        <v>434</v>
      </c>
      <c r="P51" s="67" t="s">
        <v>391</v>
      </c>
      <c r="Q51" s="67" t="s">
        <v>395</v>
      </c>
    </row>
    <row r="52" spans="1:17">
      <c r="A52" s="267"/>
      <c r="B52" s="268"/>
      <c r="C52" s="268"/>
      <c r="D52" s="268"/>
      <c r="E52" s="268"/>
      <c r="F52" s="268"/>
      <c r="G52" s="268"/>
      <c r="H52" s="269"/>
      <c r="K52" s="252" t="s">
        <v>192</v>
      </c>
      <c r="L52" s="66" t="s">
        <v>396</v>
      </c>
      <c r="M52" s="64"/>
      <c r="N52" s="64"/>
      <c r="O52" s="64"/>
      <c r="P52" s="64"/>
      <c r="Q52" s="64"/>
    </row>
    <row r="53" spans="1:17">
      <c r="K53" s="252"/>
      <c r="L53" s="66" t="s">
        <v>397</v>
      </c>
      <c r="M53" s="64"/>
      <c r="N53" s="64"/>
      <c r="O53" s="64"/>
      <c r="P53" s="64"/>
      <c r="Q53" s="64"/>
    </row>
    <row r="54" spans="1:17">
      <c r="K54" s="252"/>
      <c r="L54" s="66" t="s">
        <v>398</v>
      </c>
      <c r="M54" s="64"/>
      <c r="N54" s="64"/>
      <c r="O54" s="64"/>
      <c r="P54" s="64"/>
      <c r="Q54" s="64"/>
    </row>
    <row r="55" spans="1:17">
      <c r="K55" s="252"/>
      <c r="L55" s="66" t="s">
        <v>400</v>
      </c>
      <c r="M55" s="64"/>
      <c r="N55" s="64"/>
      <c r="O55" s="64"/>
      <c r="P55" s="64"/>
      <c r="Q55" s="64"/>
    </row>
    <row r="56" spans="1:17">
      <c r="K56" s="252"/>
      <c r="L56" s="66" t="s">
        <v>402</v>
      </c>
      <c r="M56" s="64"/>
      <c r="N56" s="64"/>
      <c r="O56" s="64"/>
      <c r="P56" s="64"/>
      <c r="Q56" s="64"/>
    </row>
    <row r="57" spans="1:17">
      <c r="K57" s="252"/>
      <c r="L57" s="66" t="s">
        <v>403</v>
      </c>
      <c r="M57" s="64"/>
      <c r="N57" s="64"/>
      <c r="O57" s="64"/>
      <c r="P57" s="64"/>
      <c r="Q57" s="64"/>
    </row>
    <row r="58" spans="1:17">
      <c r="K58" s="252"/>
      <c r="L58" s="66" t="s">
        <v>404</v>
      </c>
      <c r="M58" s="64"/>
      <c r="N58" s="64"/>
      <c r="O58" s="64"/>
      <c r="P58" s="64"/>
      <c r="Q58" s="64"/>
    </row>
    <row r="59" spans="1:17">
      <c r="K59" s="252"/>
      <c r="L59" s="66" t="s">
        <v>406</v>
      </c>
      <c r="M59" s="64"/>
      <c r="N59" s="64"/>
      <c r="O59" s="64"/>
      <c r="P59" s="64"/>
      <c r="Q59" s="64"/>
    </row>
    <row r="60" spans="1:17">
      <c r="K60" s="252"/>
      <c r="L60" s="66" t="s">
        <v>407</v>
      </c>
      <c r="M60" s="64"/>
      <c r="N60" s="64"/>
      <c r="O60" s="64"/>
      <c r="P60" s="64"/>
      <c r="Q60" s="64"/>
    </row>
    <row r="61" spans="1:17">
      <c r="K61" s="252"/>
      <c r="L61" s="66" t="s">
        <v>408</v>
      </c>
      <c r="M61" s="64"/>
      <c r="N61" s="64"/>
      <c r="O61" s="64"/>
      <c r="P61" s="64"/>
      <c r="Q61" s="64"/>
    </row>
    <row r="62" spans="1:17">
      <c r="K62" s="252"/>
      <c r="L62" s="66" t="s">
        <v>409</v>
      </c>
      <c r="M62" s="64"/>
      <c r="N62" s="64"/>
      <c r="O62" s="64"/>
      <c r="P62" s="64"/>
      <c r="Q62" s="64"/>
    </row>
    <row r="63" spans="1:17">
      <c r="K63" s="252"/>
      <c r="L63" s="66" t="s">
        <v>410</v>
      </c>
      <c r="M63" s="64"/>
      <c r="N63" s="64"/>
      <c r="O63" s="64"/>
      <c r="P63" s="64"/>
      <c r="Q63" s="64"/>
    </row>
    <row r="64" spans="1:17">
      <c r="K64" s="252"/>
      <c r="L64" s="62" t="s">
        <v>411</v>
      </c>
      <c r="M64" s="62" t="e">
        <f>AVERAGE(M52:M63)</f>
        <v>#DIV/0!</v>
      </c>
      <c r="N64" s="62"/>
      <c r="O64" s="62">
        <f>MAX(O52:O63)</f>
        <v>0</v>
      </c>
      <c r="P64" s="62" t="e">
        <f>AVERAGE(P52:P63)</f>
        <v>#DIV/0!</v>
      </c>
      <c r="Q64" s="62">
        <f>MAX(Q52:Q63)</f>
        <v>0</v>
      </c>
    </row>
    <row r="66" spans="11:17" ht="30">
      <c r="K66" s="61">
        <f>+A6</f>
        <v>2022</v>
      </c>
      <c r="L66" s="61" t="s">
        <v>393</v>
      </c>
      <c r="M66" s="55" t="s">
        <v>432</v>
      </c>
      <c r="N66" s="55" t="s">
        <v>433</v>
      </c>
      <c r="O66" s="55" t="s">
        <v>434</v>
      </c>
      <c r="P66" s="67" t="s">
        <v>391</v>
      </c>
      <c r="Q66" s="67" t="s">
        <v>395</v>
      </c>
    </row>
    <row r="67" spans="11:17">
      <c r="K67" s="252" t="s">
        <v>193</v>
      </c>
      <c r="L67" s="66" t="s">
        <v>396</v>
      </c>
      <c r="M67" s="64"/>
      <c r="N67" s="64"/>
      <c r="O67" s="64"/>
      <c r="P67" s="64"/>
      <c r="Q67" s="64"/>
    </row>
    <row r="68" spans="11:17">
      <c r="K68" s="252"/>
      <c r="L68" s="66" t="s">
        <v>397</v>
      </c>
      <c r="M68" s="64"/>
      <c r="N68" s="64"/>
      <c r="O68" s="64"/>
      <c r="P68" s="64"/>
      <c r="Q68" s="64"/>
    </row>
    <row r="69" spans="11:17">
      <c r="K69" s="252"/>
      <c r="L69" s="66" t="s">
        <v>398</v>
      </c>
      <c r="M69" s="64"/>
      <c r="N69" s="64"/>
      <c r="O69" s="64"/>
      <c r="P69" s="64"/>
      <c r="Q69" s="64"/>
    </row>
    <row r="70" spans="11:17">
      <c r="K70" s="252"/>
      <c r="L70" s="66" t="s">
        <v>400</v>
      </c>
      <c r="M70" s="64"/>
      <c r="N70" s="64"/>
      <c r="O70" s="64"/>
      <c r="P70" s="64"/>
      <c r="Q70" s="64"/>
    </row>
    <row r="71" spans="11:17">
      <c r="K71" s="252"/>
      <c r="L71" s="66" t="s">
        <v>402</v>
      </c>
      <c r="M71" s="64"/>
      <c r="N71" s="64"/>
      <c r="O71" s="64"/>
      <c r="P71" s="64"/>
      <c r="Q71" s="64"/>
    </row>
    <row r="72" spans="11:17">
      <c r="K72" s="252"/>
      <c r="L72" s="66" t="s">
        <v>403</v>
      </c>
      <c r="M72" s="64"/>
      <c r="N72" s="64"/>
      <c r="O72" s="64"/>
      <c r="P72" s="64"/>
      <c r="Q72" s="64"/>
    </row>
    <row r="73" spans="11:17">
      <c r="K73" s="252"/>
      <c r="L73" s="66" t="s">
        <v>404</v>
      </c>
      <c r="M73" s="64"/>
      <c r="N73" s="64"/>
      <c r="O73" s="64"/>
      <c r="P73" s="64"/>
      <c r="Q73" s="64"/>
    </row>
    <row r="74" spans="11:17">
      <c r="K74" s="252"/>
      <c r="L74" s="66" t="s">
        <v>406</v>
      </c>
      <c r="M74" s="64"/>
      <c r="N74" s="64"/>
      <c r="O74" s="64"/>
      <c r="P74" s="64"/>
      <c r="Q74" s="64"/>
    </row>
    <row r="75" spans="11:17">
      <c r="K75" s="252"/>
      <c r="L75" s="66" t="s">
        <v>407</v>
      </c>
      <c r="M75" s="64"/>
      <c r="N75" s="64"/>
      <c r="O75" s="64"/>
      <c r="P75" s="64"/>
      <c r="Q75" s="64"/>
    </row>
    <row r="76" spans="11:17">
      <c r="K76" s="252"/>
      <c r="L76" s="66" t="s">
        <v>408</v>
      </c>
      <c r="M76" s="64"/>
      <c r="N76" s="64"/>
      <c r="O76" s="64"/>
      <c r="P76" s="64"/>
      <c r="Q76" s="64"/>
    </row>
    <row r="77" spans="11:17">
      <c r="K77" s="252"/>
      <c r="L77" s="66" t="s">
        <v>409</v>
      </c>
      <c r="M77" s="64"/>
      <c r="N77" s="64"/>
      <c r="O77" s="64"/>
      <c r="P77" s="64"/>
      <c r="Q77" s="64"/>
    </row>
    <row r="78" spans="11:17">
      <c r="K78" s="252"/>
      <c r="L78" s="66" t="s">
        <v>410</v>
      </c>
      <c r="M78" s="64"/>
      <c r="N78" s="64"/>
      <c r="O78" s="64"/>
      <c r="P78" s="64"/>
      <c r="Q78" s="64"/>
    </row>
    <row r="79" spans="11:17">
      <c r="K79" s="252"/>
      <c r="L79" s="62" t="s">
        <v>411</v>
      </c>
      <c r="M79" s="62" t="e">
        <f>AVERAGE(M67:M78)</f>
        <v>#DIV/0!</v>
      </c>
      <c r="N79" s="62"/>
      <c r="O79" s="62">
        <f>MAX(O67:O78)</f>
        <v>0</v>
      </c>
      <c r="P79" s="62" t="e">
        <f>AVERAGE(P67:P78)</f>
        <v>#DIV/0!</v>
      </c>
      <c r="Q79" s="62">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workbookViewId="0">
      <selection activeCell="B55" sqref="B55"/>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Newlincs Development IWMF</v>
      </c>
    </row>
    <row r="3" spans="1:19" ht="15">
      <c r="A3" s="60" t="s">
        <v>439</v>
      </c>
      <c r="D3" s="76" t="s">
        <v>380</v>
      </c>
      <c r="G3" s="80" t="s">
        <v>381</v>
      </c>
      <c r="J3" s="9" t="str">
        <f>+A3</f>
        <v xml:space="preserve">Monitoring of Ammnonia emissions </v>
      </c>
      <c r="L3" s="9"/>
      <c r="N3" s="9" t="s">
        <v>382</v>
      </c>
      <c r="Q3" s="79" t="s">
        <v>3</v>
      </c>
      <c r="R3" s="74"/>
      <c r="S3" s="74"/>
    </row>
    <row r="4" spans="1:19" ht="13.9" customHeight="1">
      <c r="Q4" s="243" t="s">
        <v>383</v>
      </c>
      <c r="R4" s="243"/>
      <c r="S4" s="243"/>
    </row>
    <row r="5" spans="1:19" ht="17.25">
      <c r="A5" s="68" t="s">
        <v>384</v>
      </c>
      <c r="B5" s="254" t="s">
        <v>385</v>
      </c>
      <c r="C5" s="254"/>
      <c r="D5" s="254"/>
      <c r="E5" s="254" t="s">
        <v>386</v>
      </c>
      <c r="F5" s="254"/>
      <c r="G5" s="254"/>
      <c r="J5" s="253"/>
      <c r="K5" s="253"/>
      <c r="L5" s="253"/>
      <c r="M5" s="253"/>
      <c r="N5" s="253"/>
      <c r="O5" s="253"/>
      <c r="Q5" s="243"/>
      <c r="R5" s="243"/>
      <c r="S5" s="243"/>
    </row>
    <row r="6" spans="1:19" s="58" customFormat="1" ht="37.5" customHeight="1">
      <c r="A6" s="65">
        <f>+'Cover Page'!C39</f>
        <v>2022</v>
      </c>
      <c r="B6" s="55" t="s">
        <v>440</v>
      </c>
      <c r="C6" s="55" t="s">
        <v>388</v>
      </c>
      <c r="D6" s="55" t="s">
        <v>389</v>
      </c>
      <c r="E6" s="55" t="s">
        <v>441</v>
      </c>
      <c r="F6" s="55" t="s">
        <v>391</v>
      </c>
      <c r="G6" s="55" t="s">
        <v>392</v>
      </c>
      <c r="H6" s="59"/>
      <c r="J6" s="61">
        <f>+A6</f>
        <v>2022</v>
      </c>
      <c r="K6" s="61" t="s">
        <v>393</v>
      </c>
      <c r="L6" s="67" t="s">
        <v>388</v>
      </c>
      <c r="M6" s="67" t="s">
        <v>394</v>
      </c>
      <c r="N6" s="67" t="s">
        <v>391</v>
      </c>
      <c r="O6" s="67" t="s">
        <v>395</v>
      </c>
      <c r="Q6" s="243"/>
      <c r="R6" s="243"/>
      <c r="S6" s="243"/>
    </row>
    <row r="7" spans="1:19">
      <c r="A7" s="66" t="s">
        <v>396</v>
      </c>
      <c r="B7" s="69">
        <v>0</v>
      </c>
      <c r="C7" s="64">
        <v>1.33</v>
      </c>
      <c r="D7" s="64">
        <v>1.98</v>
      </c>
      <c r="E7" s="69">
        <v>0</v>
      </c>
      <c r="F7" s="64">
        <v>1.34</v>
      </c>
      <c r="G7" s="64">
        <v>1.62</v>
      </c>
      <c r="J7" s="252" t="s">
        <v>189</v>
      </c>
      <c r="K7" s="66" t="s">
        <v>396</v>
      </c>
      <c r="L7" s="64">
        <v>1.33</v>
      </c>
      <c r="M7" s="64">
        <v>1.98</v>
      </c>
      <c r="N7" s="64">
        <v>1.34</v>
      </c>
      <c r="O7" s="64">
        <v>1.62</v>
      </c>
      <c r="Q7" s="243"/>
      <c r="R7" s="243"/>
      <c r="S7" s="243"/>
    </row>
    <row r="8" spans="1:19">
      <c r="A8" s="66" t="s">
        <v>397</v>
      </c>
      <c r="B8" s="63">
        <f>+B7</f>
        <v>0</v>
      </c>
      <c r="C8" s="64">
        <v>1.97</v>
      </c>
      <c r="D8" s="64">
        <v>4.04</v>
      </c>
      <c r="E8" s="63">
        <f>+E7</f>
        <v>0</v>
      </c>
      <c r="F8" s="64">
        <v>1.99</v>
      </c>
      <c r="G8" s="64">
        <v>2.58</v>
      </c>
      <c r="J8" s="252"/>
      <c r="K8" s="66" t="s">
        <v>397</v>
      </c>
      <c r="L8" s="64">
        <v>1.97</v>
      </c>
      <c r="M8" s="64">
        <v>4.04</v>
      </c>
      <c r="N8" s="64">
        <v>1.99</v>
      </c>
      <c r="O8" s="64">
        <v>2.58</v>
      </c>
      <c r="Q8" s="243"/>
      <c r="R8" s="243"/>
      <c r="S8" s="243"/>
    </row>
    <row r="9" spans="1:19" ht="15">
      <c r="A9" s="66" t="s">
        <v>398</v>
      </c>
      <c r="B9" s="63">
        <f t="shared" ref="B9:B18" si="0">+B8</f>
        <v>0</v>
      </c>
      <c r="C9" s="64">
        <v>2.41</v>
      </c>
      <c r="D9" s="64">
        <v>8.9</v>
      </c>
      <c r="E9" s="63">
        <f t="shared" ref="E9:E18" si="1">+E8</f>
        <v>0</v>
      </c>
      <c r="F9" s="64">
        <v>2.41</v>
      </c>
      <c r="G9" s="64">
        <v>4.12</v>
      </c>
      <c r="J9" s="252"/>
      <c r="K9" s="66" t="s">
        <v>398</v>
      </c>
      <c r="L9" s="64">
        <v>2.41</v>
      </c>
      <c r="M9" s="64">
        <v>8.9</v>
      </c>
      <c r="N9" s="64">
        <v>2.41</v>
      </c>
      <c r="O9" s="64">
        <v>4.12</v>
      </c>
      <c r="Q9" s="78" t="s">
        <v>399</v>
      </c>
    </row>
    <row r="10" spans="1:19" ht="14.25" customHeight="1">
      <c r="A10" s="66" t="s">
        <v>400</v>
      </c>
      <c r="B10" s="63">
        <f t="shared" si="0"/>
        <v>0</v>
      </c>
      <c r="C10" s="64">
        <v>2.7</v>
      </c>
      <c r="D10" s="64">
        <v>5.33</v>
      </c>
      <c r="E10" s="63">
        <f t="shared" si="1"/>
        <v>0</v>
      </c>
      <c r="F10" s="64">
        <v>2.71</v>
      </c>
      <c r="G10" s="64">
        <v>3.45</v>
      </c>
      <c r="J10" s="252"/>
      <c r="K10" s="66" t="s">
        <v>400</v>
      </c>
      <c r="L10" s="64">
        <v>2.7</v>
      </c>
      <c r="M10" s="64">
        <v>5.33</v>
      </c>
      <c r="N10" s="64">
        <v>2.71</v>
      </c>
      <c r="O10" s="64">
        <v>3.45</v>
      </c>
      <c r="Q10" s="251" t="s">
        <v>401</v>
      </c>
      <c r="R10" s="251"/>
      <c r="S10" s="251"/>
    </row>
    <row r="11" spans="1:19">
      <c r="A11" s="66" t="s">
        <v>402</v>
      </c>
      <c r="B11" s="63">
        <f t="shared" si="0"/>
        <v>0</v>
      </c>
      <c r="C11" s="64">
        <v>2.91</v>
      </c>
      <c r="D11" s="64">
        <v>4.0999999999999996</v>
      </c>
      <c r="E11" s="63">
        <f t="shared" si="1"/>
        <v>0</v>
      </c>
      <c r="F11" s="64">
        <v>2.91</v>
      </c>
      <c r="G11" s="64">
        <v>3.2</v>
      </c>
      <c r="J11" s="252"/>
      <c r="K11" s="66" t="s">
        <v>402</v>
      </c>
      <c r="L11" s="64">
        <v>2.91</v>
      </c>
      <c r="M11" s="64">
        <v>4.0999999999999996</v>
      </c>
      <c r="N11" s="64">
        <v>2.91</v>
      </c>
      <c r="O11" s="64">
        <v>3.2</v>
      </c>
      <c r="Q11" s="251"/>
      <c r="R11" s="251"/>
      <c r="S11" s="251"/>
    </row>
    <row r="12" spans="1:19">
      <c r="A12" s="66" t="s">
        <v>403</v>
      </c>
      <c r="B12" s="63">
        <f t="shared" si="0"/>
        <v>0</v>
      </c>
      <c r="C12" s="64">
        <v>2.11</v>
      </c>
      <c r="D12" s="64">
        <v>3.59</v>
      </c>
      <c r="E12" s="63">
        <f t="shared" si="1"/>
        <v>0</v>
      </c>
      <c r="F12" s="64">
        <v>2.11</v>
      </c>
      <c r="G12" s="64">
        <v>3.15</v>
      </c>
      <c r="J12" s="252"/>
      <c r="K12" s="66" t="s">
        <v>403</v>
      </c>
      <c r="L12" s="64">
        <v>2.11</v>
      </c>
      <c r="M12" s="64">
        <v>3.59</v>
      </c>
      <c r="N12" s="64">
        <v>2.11</v>
      </c>
      <c r="O12" s="64">
        <v>3.15</v>
      </c>
      <c r="Q12" s="251"/>
      <c r="R12" s="251"/>
      <c r="S12" s="251"/>
    </row>
    <row r="13" spans="1:19" ht="14.25" customHeight="1">
      <c r="A13" s="66" t="s">
        <v>404</v>
      </c>
      <c r="B13" s="63">
        <f t="shared" si="0"/>
        <v>0</v>
      </c>
      <c r="C13" s="64">
        <v>1.36</v>
      </c>
      <c r="D13" s="64">
        <v>2.88</v>
      </c>
      <c r="E13" s="63">
        <f t="shared" si="1"/>
        <v>0</v>
      </c>
      <c r="F13" s="64">
        <v>1.36</v>
      </c>
      <c r="G13" s="64">
        <v>1.98</v>
      </c>
      <c r="J13" s="252"/>
      <c r="K13" s="66" t="s">
        <v>404</v>
      </c>
      <c r="L13" s="64">
        <v>1.36</v>
      </c>
      <c r="M13" s="64">
        <v>2.88</v>
      </c>
      <c r="N13" s="64">
        <v>1.36</v>
      </c>
      <c r="O13" s="64">
        <v>1.98</v>
      </c>
      <c r="Q13" s="251" t="s">
        <v>405</v>
      </c>
      <c r="R13" s="251"/>
      <c r="S13" s="251"/>
    </row>
    <row r="14" spans="1:19">
      <c r="A14" s="66" t="s">
        <v>406</v>
      </c>
      <c r="B14" s="63">
        <f t="shared" si="0"/>
        <v>0</v>
      </c>
      <c r="C14" s="64">
        <v>1.69</v>
      </c>
      <c r="D14" s="64">
        <v>7.38</v>
      </c>
      <c r="E14" s="63">
        <f t="shared" si="1"/>
        <v>0</v>
      </c>
      <c r="F14" s="64">
        <v>1.69</v>
      </c>
      <c r="G14" s="64">
        <v>3</v>
      </c>
      <c r="J14" s="252"/>
      <c r="K14" s="66" t="s">
        <v>406</v>
      </c>
      <c r="L14" s="64">
        <v>1.69</v>
      </c>
      <c r="M14" s="64">
        <v>7.38</v>
      </c>
      <c r="N14" s="64">
        <v>1.69</v>
      </c>
      <c r="O14" s="64">
        <v>3</v>
      </c>
      <c r="Q14" s="251"/>
      <c r="R14" s="251"/>
      <c r="S14" s="251"/>
    </row>
    <row r="15" spans="1:19">
      <c r="A15" s="66" t="s">
        <v>407</v>
      </c>
      <c r="B15" s="63">
        <f t="shared" si="0"/>
        <v>0</v>
      </c>
      <c r="C15" s="64">
        <v>1.57</v>
      </c>
      <c r="D15" s="64">
        <v>2.94</v>
      </c>
      <c r="E15" s="63">
        <f t="shared" si="1"/>
        <v>0</v>
      </c>
      <c r="F15" s="64">
        <v>1.57</v>
      </c>
      <c r="G15" s="64">
        <v>1.94</v>
      </c>
      <c r="J15" s="252"/>
      <c r="K15" s="66" t="s">
        <v>407</v>
      </c>
      <c r="L15" s="64">
        <v>1.57</v>
      </c>
      <c r="M15" s="64">
        <v>2.94</v>
      </c>
      <c r="N15" s="64">
        <v>1.57</v>
      </c>
      <c r="O15" s="64">
        <v>1.94</v>
      </c>
      <c r="Q15" s="251"/>
      <c r="R15" s="251"/>
      <c r="S15" s="251"/>
    </row>
    <row r="16" spans="1:19">
      <c r="A16" s="66" t="s">
        <v>408</v>
      </c>
      <c r="B16" s="63">
        <f t="shared" si="0"/>
        <v>0</v>
      </c>
      <c r="C16" s="64">
        <v>1.19</v>
      </c>
      <c r="D16" s="64">
        <v>3.32</v>
      </c>
      <c r="E16" s="63">
        <f t="shared" si="1"/>
        <v>0</v>
      </c>
      <c r="F16" s="64">
        <v>1.19</v>
      </c>
      <c r="G16" s="64">
        <v>2.09</v>
      </c>
      <c r="J16" s="252"/>
      <c r="K16" s="66" t="s">
        <v>408</v>
      </c>
      <c r="L16" s="64">
        <v>1.19</v>
      </c>
      <c r="M16" s="64">
        <v>3.32</v>
      </c>
      <c r="N16" s="64">
        <v>1.19</v>
      </c>
      <c r="O16" s="64">
        <v>2.09</v>
      </c>
      <c r="Q16" s="251"/>
      <c r="R16" s="251"/>
      <c r="S16" s="251"/>
    </row>
    <row r="17" spans="1:15">
      <c r="A17" s="66" t="s">
        <v>409</v>
      </c>
      <c r="B17" s="63">
        <f t="shared" si="0"/>
        <v>0</v>
      </c>
      <c r="C17" s="64">
        <v>1.75</v>
      </c>
      <c r="D17" s="64">
        <v>5.5</v>
      </c>
      <c r="E17" s="63">
        <f t="shared" si="1"/>
        <v>0</v>
      </c>
      <c r="F17" s="64">
        <v>1.8</v>
      </c>
      <c r="G17" s="64">
        <v>2.88</v>
      </c>
      <c r="J17" s="252"/>
      <c r="K17" s="66" t="s">
        <v>409</v>
      </c>
      <c r="L17" s="64">
        <v>1.75</v>
      </c>
      <c r="M17" s="64">
        <v>5.5</v>
      </c>
      <c r="N17" s="64">
        <v>1.8</v>
      </c>
      <c r="O17" s="64">
        <v>2.88</v>
      </c>
    </row>
    <row r="18" spans="1:15">
      <c r="A18" s="66" t="s">
        <v>410</v>
      </c>
      <c r="B18" s="63">
        <f t="shared" si="0"/>
        <v>0</v>
      </c>
      <c r="C18" s="64">
        <v>1.64</v>
      </c>
      <c r="D18" s="64">
        <v>16.329999999999998</v>
      </c>
      <c r="E18" s="63">
        <f t="shared" si="1"/>
        <v>0</v>
      </c>
      <c r="F18" s="64">
        <v>1.64</v>
      </c>
      <c r="G18" s="64">
        <v>2.96</v>
      </c>
      <c r="J18" s="252"/>
      <c r="K18" s="66" t="s">
        <v>410</v>
      </c>
      <c r="L18" s="64">
        <v>1.64</v>
      </c>
      <c r="M18" s="64">
        <v>16.329999999999998</v>
      </c>
      <c r="N18" s="64">
        <v>1.64</v>
      </c>
      <c r="O18" s="64">
        <v>2.96</v>
      </c>
    </row>
    <row r="19" spans="1:15">
      <c r="J19" s="252"/>
      <c r="K19" s="62" t="s">
        <v>411</v>
      </c>
      <c r="L19" s="62">
        <f>AVERAGE(L7:L18)</f>
        <v>1.8858333333333335</v>
      </c>
      <c r="M19" s="62">
        <f>MAX(M7:M18)</f>
        <v>16.329999999999998</v>
      </c>
      <c r="N19" s="62">
        <f>AVERAGE(N7:N18)</f>
        <v>1.8933333333333335</v>
      </c>
      <c r="O19" s="62">
        <f>MAX(O7:O18)</f>
        <v>4.12</v>
      </c>
    </row>
    <row r="21" spans="1:15" ht="30">
      <c r="J21" s="61">
        <f>+A6</f>
        <v>2022</v>
      </c>
      <c r="K21" s="61" t="s">
        <v>393</v>
      </c>
      <c r="L21" s="67" t="s">
        <v>388</v>
      </c>
      <c r="M21" s="67" t="s">
        <v>394</v>
      </c>
      <c r="N21" s="67" t="s">
        <v>391</v>
      </c>
      <c r="O21" s="67" t="s">
        <v>395</v>
      </c>
    </row>
    <row r="22" spans="1:15">
      <c r="J22" s="252" t="s">
        <v>190</v>
      </c>
      <c r="K22" s="66" t="s">
        <v>396</v>
      </c>
      <c r="L22" s="64"/>
      <c r="M22" s="64"/>
      <c r="N22" s="64"/>
      <c r="O22" s="64"/>
    </row>
    <row r="23" spans="1:15">
      <c r="J23" s="252"/>
      <c r="K23" s="66" t="s">
        <v>397</v>
      </c>
      <c r="L23" s="64"/>
      <c r="M23" s="64"/>
      <c r="N23" s="64"/>
      <c r="O23" s="64"/>
    </row>
    <row r="24" spans="1:15">
      <c r="J24" s="252"/>
      <c r="K24" s="66" t="s">
        <v>398</v>
      </c>
      <c r="L24" s="64"/>
      <c r="M24" s="64"/>
      <c r="N24" s="64"/>
      <c r="O24" s="64"/>
    </row>
    <row r="25" spans="1:15">
      <c r="J25" s="252"/>
      <c r="K25" s="66" t="s">
        <v>400</v>
      </c>
      <c r="L25" s="64"/>
      <c r="M25" s="64"/>
      <c r="N25" s="64"/>
      <c r="O25" s="64"/>
    </row>
    <row r="26" spans="1:15">
      <c r="J26" s="252"/>
      <c r="K26" s="66" t="s">
        <v>402</v>
      </c>
      <c r="L26" s="64"/>
      <c r="M26" s="64"/>
      <c r="N26" s="64"/>
      <c r="O26" s="64"/>
    </row>
    <row r="27" spans="1:15">
      <c r="J27" s="252"/>
      <c r="K27" s="66" t="s">
        <v>403</v>
      </c>
      <c r="L27" s="64"/>
      <c r="M27" s="64"/>
      <c r="N27" s="64"/>
      <c r="O27" s="64"/>
    </row>
    <row r="28" spans="1:15">
      <c r="J28" s="252"/>
      <c r="K28" s="66" t="s">
        <v>404</v>
      </c>
      <c r="L28" s="64"/>
      <c r="M28" s="64"/>
      <c r="N28" s="64"/>
      <c r="O28" s="64"/>
    </row>
    <row r="29" spans="1:15">
      <c r="J29" s="252"/>
      <c r="K29" s="66" t="s">
        <v>406</v>
      </c>
      <c r="L29" s="64"/>
      <c r="M29" s="64"/>
      <c r="N29" s="64"/>
      <c r="O29" s="64"/>
    </row>
    <row r="30" spans="1:15">
      <c r="J30" s="252"/>
      <c r="K30" s="66" t="s">
        <v>407</v>
      </c>
      <c r="L30" s="64"/>
      <c r="M30" s="64"/>
      <c r="N30" s="64"/>
      <c r="O30" s="64"/>
    </row>
    <row r="31" spans="1:15">
      <c r="J31" s="252"/>
      <c r="K31" s="66" t="s">
        <v>408</v>
      </c>
      <c r="L31" s="64"/>
      <c r="M31" s="64"/>
      <c r="N31" s="64"/>
      <c r="O31" s="64"/>
    </row>
    <row r="32" spans="1:15">
      <c r="J32" s="252"/>
      <c r="K32" s="66" t="s">
        <v>409</v>
      </c>
      <c r="L32" s="64"/>
      <c r="M32" s="64"/>
      <c r="N32" s="64"/>
      <c r="O32" s="64"/>
    </row>
    <row r="33" spans="1:15">
      <c r="J33" s="252"/>
      <c r="K33" s="66" t="s">
        <v>410</v>
      </c>
      <c r="L33" s="64"/>
      <c r="M33" s="64"/>
      <c r="N33" s="64"/>
      <c r="O33" s="64"/>
    </row>
    <row r="34" spans="1:15">
      <c r="J34" s="252"/>
      <c r="K34" s="62" t="s">
        <v>411</v>
      </c>
      <c r="L34" s="62" t="e">
        <f>AVERAGE(L22:L33)</f>
        <v>#DIV/0!</v>
      </c>
      <c r="M34" s="62">
        <f>MAX(M22:M33)</f>
        <v>0</v>
      </c>
      <c r="N34" s="62" t="e">
        <f>AVERAGE(N22:N33)</f>
        <v>#DIV/0!</v>
      </c>
      <c r="O34" s="62">
        <f>MAX(O22:O33)</f>
        <v>0</v>
      </c>
    </row>
    <row r="36" spans="1:15" ht="30">
      <c r="J36" s="61">
        <f>+A6</f>
        <v>2022</v>
      </c>
      <c r="K36" s="61" t="s">
        <v>393</v>
      </c>
      <c r="L36" s="67" t="s">
        <v>388</v>
      </c>
      <c r="M36" s="67" t="s">
        <v>394</v>
      </c>
      <c r="N36" s="67" t="s">
        <v>391</v>
      </c>
      <c r="O36" s="67" t="s">
        <v>395</v>
      </c>
    </row>
    <row r="37" spans="1:15">
      <c r="J37" s="252" t="s">
        <v>191</v>
      </c>
      <c r="K37" s="66" t="s">
        <v>396</v>
      </c>
      <c r="L37" s="64"/>
      <c r="M37" s="64"/>
      <c r="N37" s="64"/>
      <c r="O37" s="64"/>
    </row>
    <row r="38" spans="1:15">
      <c r="J38" s="252"/>
      <c r="K38" s="66" t="s">
        <v>397</v>
      </c>
      <c r="L38" s="64"/>
      <c r="M38" s="64"/>
      <c r="N38" s="64"/>
      <c r="O38" s="64"/>
    </row>
    <row r="39" spans="1:15">
      <c r="J39" s="252"/>
      <c r="K39" s="66" t="s">
        <v>398</v>
      </c>
      <c r="L39" s="64"/>
      <c r="M39" s="64"/>
      <c r="N39" s="64"/>
      <c r="O39" s="64"/>
    </row>
    <row r="40" spans="1:15">
      <c r="J40" s="252"/>
      <c r="K40" s="66" t="s">
        <v>400</v>
      </c>
      <c r="L40" s="64"/>
      <c r="M40" s="64"/>
      <c r="N40" s="64"/>
      <c r="O40" s="64"/>
    </row>
    <row r="41" spans="1:15">
      <c r="J41" s="252"/>
      <c r="K41" s="66" t="s">
        <v>402</v>
      </c>
      <c r="L41" s="64"/>
      <c r="M41" s="64"/>
      <c r="N41" s="64"/>
      <c r="O41" s="64"/>
    </row>
    <row r="42" spans="1:15">
      <c r="J42" s="252"/>
      <c r="K42" s="66" t="s">
        <v>403</v>
      </c>
      <c r="L42" s="64"/>
      <c r="M42" s="64"/>
      <c r="N42" s="64"/>
      <c r="O42" s="64"/>
    </row>
    <row r="43" spans="1:15">
      <c r="J43" s="252"/>
      <c r="K43" s="66" t="s">
        <v>404</v>
      </c>
      <c r="L43" s="64"/>
      <c r="M43" s="64"/>
      <c r="N43" s="64"/>
      <c r="O43" s="64"/>
    </row>
    <row r="44" spans="1:15">
      <c r="J44" s="252"/>
      <c r="K44" s="66" t="s">
        <v>406</v>
      </c>
      <c r="L44" s="64"/>
      <c r="M44" s="64"/>
      <c r="N44" s="64"/>
      <c r="O44" s="64"/>
    </row>
    <row r="45" spans="1:15">
      <c r="J45" s="252"/>
      <c r="K45" s="66" t="s">
        <v>407</v>
      </c>
      <c r="L45" s="64"/>
      <c r="M45" s="64"/>
      <c r="N45" s="64"/>
      <c r="O45" s="64"/>
    </row>
    <row r="46" spans="1:15">
      <c r="J46" s="252"/>
      <c r="K46" s="66" t="s">
        <v>408</v>
      </c>
      <c r="L46" s="64"/>
      <c r="M46" s="64"/>
      <c r="N46" s="64"/>
      <c r="O46" s="64"/>
    </row>
    <row r="47" spans="1:15">
      <c r="J47" s="252"/>
      <c r="K47" s="66" t="s">
        <v>409</v>
      </c>
      <c r="L47" s="64"/>
      <c r="M47" s="64"/>
      <c r="N47" s="64"/>
      <c r="O47" s="64"/>
    </row>
    <row r="48" spans="1:15" ht="15">
      <c r="A48" s="258" t="s">
        <v>298</v>
      </c>
      <c r="B48" s="259"/>
      <c r="C48" s="259"/>
      <c r="D48" s="259"/>
      <c r="E48" s="259"/>
      <c r="F48" s="259"/>
      <c r="G48" s="260"/>
      <c r="J48" s="252"/>
      <c r="K48" s="66" t="s">
        <v>410</v>
      </c>
      <c r="L48" s="64"/>
      <c r="M48" s="64"/>
      <c r="N48" s="64"/>
      <c r="O48" s="64"/>
    </row>
    <row r="49" spans="1:15">
      <c r="A49" s="224" t="s">
        <v>442</v>
      </c>
      <c r="B49" s="225"/>
      <c r="C49" s="225"/>
      <c r="D49" s="225"/>
      <c r="E49" s="225"/>
      <c r="F49" s="225"/>
      <c r="G49" s="226"/>
      <c r="J49" s="252"/>
      <c r="K49" s="62" t="s">
        <v>411</v>
      </c>
      <c r="L49" s="62" t="e">
        <f>AVERAGE(L37:L48)</f>
        <v>#DIV/0!</v>
      </c>
      <c r="M49" s="62">
        <f>MAX(M37:M48)</f>
        <v>0</v>
      </c>
      <c r="N49" s="62" t="e">
        <f>AVERAGE(N37:N48)</f>
        <v>#DIV/0!</v>
      </c>
      <c r="O49" s="62">
        <f>MAX(O37:O48)</f>
        <v>0</v>
      </c>
    </row>
    <row r="50" spans="1:15">
      <c r="A50" s="255"/>
      <c r="B50" s="256"/>
      <c r="C50" s="256"/>
      <c r="D50" s="256"/>
      <c r="E50" s="256"/>
      <c r="F50" s="256"/>
      <c r="G50" s="257"/>
    </row>
    <row r="51" spans="1:15" ht="30">
      <c r="A51" s="255"/>
      <c r="B51" s="256"/>
      <c r="C51" s="256"/>
      <c r="D51" s="256"/>
      <c r="E51" s="256"/>
      <c r="F51" s="256"/>
      <c r="G51" s="257"/>
      <c r="J51" s="61">
        <f>+A6</f>
        <v>2022</v>
      </c>
      <c r="K51" s="61" t="s">
        <v>393</v>
      </c>
      <c r="L51" s="67" t="s">
        <v>388</v>
      </c>
      <c r="M51" s="67" t="s">
        <v>394</v>
      </c>
      <c r="N51" s="67" t="s">
        <v>391</v>
      </c>
      <c r="O51" s="67" t="s">
        <v>395</v>
      </c>
    </row>
    <row r="52" spans="1:15">
      <c r="A52" s="227"/>
      <c r="B52" s="228"/>
      <c r="C52" s="228"/>
      <c r="D52" s="228"/>
      <c r="E52" s="228"/>
      <c r="F52" s="228"/>
      <c r="G52" s="229"/>
      <c r="J52" s="252" t="s">
        <v>192</v>
      </c>
      <c r="K52" s="66" t="s">
        <v>396</v>
      </c>
      <c r="L52" s="64"/>
      <c r="M52" s="64"/>
      <c r="N52" s="64"/>
      <c r="O52" s="64"/>
    </row>
    <row r="53" spans="1:15">
      <c r="J53" s="252"/>
      <c r="K53" s="66" t="s">
        <v>397</v>
      </c>
      <c r="L53" s="64"/>
      <c r="M53" s="64"/>
      <c r="N53" s="64"/>
      <c r="O53" s="64"/>
    </row>
    <row r="54" spans="1:15">
      <c r="J54" s="252"/>
      <c r="K54" s="66" t="s">
        <v>398</v>
      </c>
      <c r="L54" s="64"/>
      <c r="M54" s="64"/>
      <c r="N54" s="64"/>
      <c r="O54" s="64"/>
    </row>
    <row r="55" spans="1:15">
      <c r="J55" s="252"/>
      <c r="K55" s="66" t="s">
        <v>400</v>
      </c>
      <c r="L55" s="64"/>
      <c r="M55" s="64"/>
      <c r="N55" s="64"/>
      <c r="O55" s="64"/>
    </row>
    <row r="56" spans="1:15">
      <c r="J56" s="252"/>
      <c r="K56" s="66" t="s">
        <v>402</v>
      </c>
      <c r="L56" s="64"/>
      <c r="M56" s="64"/>
      <c r="N56" s="64"/>
      <c r="O56" s="64"/>
    </row>
    <row r="57" spans="1:15">
      <c r="J57" s="252"/>
      <c r="K57" s="66" t="s">
        <v>403</v>
      </c>
      <c r="L57" s="64"/>
      <c r="M57" s="64"/>
      <c r="N57" s="64"/>
      <c r="O57" s="64"/>
    </row>
    <row r="58" spans="1:15">
      <c r="J58" s="252"/>
      <c r="K58" s="66" t="s">
        <v>404</v>
      </c>
      <c r="L58" s="64"/>
      <c r="M58" s="64"/>
      <c r="N58" s="64"/>
      <c r="O58" s="64"/>
    </row>
    <row r="59" spans="1:15">
      <c r="J59" s="252"/>
      <c r="K59" s="66" t="s">
        <v>406</v>
      </c>
      <c r="L59" s="64"/>
      <c r="M59" s="64"/>
      <c r="N59" s="64"/>
      <c r="O59" s="64"/>
    </row>
    <row r="60" spans="1:15">
      <c r="J60" s="252"/>
      <c r="K60" s="66" t="s">
        <v>407</v>
      </c>
      <c r="L60" s="64"/>
      <c r="M60" s="64"/>
      <c r="N60" s="64"/>
      <c r="O60" s="64"/>
    </row>
    <row r="61" spans="1:15">
      <c r="J61" s="252"/>
      <c r="K61" s="66" t="s">
        <v>408</v>
      </c>
      <c r="L61" s="64"/>
      <c r="M61" s="64"/>
      <c r="N61" s="64"/>
      <c r="O61" s="64"/>
    </row>
    <row r="62" spans="1:15">
      <c r="J62" s="252"/>
      <c r="K62" s="66" t="s">
        <v>409</v>
      </c>
      <c r="L62" s="64"/>
      <c r="M62" s="64"/>
      <c r="N62" s="64"/>
      <c r="O62" s="64"/>
    </row>
    <row r="63" spans="1:15">
      <c r="J63" s="252"/>
      <c r="K63" s="66" t="s">
        <v>410</v>
      </c>
      <c r="L63" s="64"/>
      <c r="M63" s="64"/>
      <c r="N63" s="64"/>
      <c r="O63" s="64"/>
    </row>
    <row r="64" spans="1:15">
      <c r="J64" s="252"/>
      <c r="K64" s="62" t="s">
        <v>411</v>
      </c>
      <c r="L64" s="62" t="e">
        <f>AVERAGE(L52:L63)</f>
        <v>#DIV/0!</v>
      </c>
      <c r="M64" s="62">
        <f>MAX(M52:M63)</f>
        <v>0</v>
      </c>
      <c r="N64" s="62" t="e">
        <f>AVERAGE(N52:N63)</f>
        <v>#DIV/0!</v>
      </c>
      <c r="O64" s="62">
        <f>MAX(O52:O63)</f>
        <v>0</v>
      </c>
    </row>
    <row r="66" spans="10:15" ht="30">
      <c r="J66" s="61">
        <f>+A6</f>
        <v>2022</v>
      </c>
      <c r="K66" s="61" t="s">
        <v>393</v>
      </c>
      <c r="L66" s="67" t="s">
        <v>388</v>
      </c>
      <c r="M66" s="67" t="s">
        <v>394</v>
      </c>
      <c r="N66" s="67" t="s">
        <v>391</v>
      </c>
      <c r="O66" s="67" t="s">
        <v>395</v>
      </c>
    </row>
    <row r="67" spans="10:15">
      <c r="J67" s="252" t="s">
        <v>193</v>
      </c>
      <c r="K67" s="66" t="s">
        <v>396</v>
      </c>
      <c r="L67" s="64"/>
      <c r="M67" s="64"/>
      <c r="N67" s="64"/>
      <c r="O67" s="64"/>
    </row>
    <row r="68" spans="10:15">
      <c r="J68" s="252"/>
      <c r="K68" s="66" t="s">
        <v>397</v>
      </c>
      <c r="L68" s="64"/>
      <c r="M68" s="64"/>
      <c r="N68" s="64"/>
      <c r="O68" s="64"/>
    </row>
    <row r="69" spans="10:15">
      <c r="J69" s="252"/>
      <c r="K69" s="66" t="s">
        <v>398</v>
      </c>
      <c r="L69" s="64"/>
      <c r="M69" s="64"/>
      <c r="N69" s="64"/>
      <c r="O69" s="64"/>
    </row>
    <row r="70" spans="10:15">
      <c r="J70" s="252"/>
      <c r="K70" s="66" t="s">
        <v>400</v>
      </c>
      <c r="L70" s="64"/>
      <c r="M70" s="64"/>
      <c r="N70" s="64"/>
      <c r="O70" s="64"/>
    </row>
    <row r="71" spans="10:15">
      <c r="J71" s="252"/>
      <c r="K71" s="66" t="s">
        <v>402</v>
      </c>
      <c r="L71" s="64"/>
      <c r="M71" s="64"/>
      <c r="N71" s="64"/>
      <c r="O71" s="64"/>
    </row>
    <row r="72" spans="10:15">
      <c r="J72" s="252"/>
      <c r="K72" s="66" t="s">
        <v>403</v>
      </c>
      <c r="L72" s="64"/>
      <c r="M72" s="64"/>
      <c r="N72" s="64"/>
      <c r="O72" s="64"/>
    </row>
    <row r="73" spans="10:15">
      <c r="J73" s="252"/>
      <c r="K73" s="66" t="s">
        <v>404</v>
      </c>
      <c r="L73" s="64"/>
      <c r="M73" s="64"/>
      <c r="N73" s="64"/>
      <c r="O73" s="64"/>
    </row>
    <row r="74" spans="10:15">
      <c r="J74" s="252"/>
      <c r="K74" s="66" t="s">
        <v>406</v>
      </c>
      <c r="L74" s="64"/>
      <c r="M74" s="64"/>
      <c r="N74" s="64"/>
      <c r="O74" s="64"/>
    </row>
    <row r="75" spans="10:15">
      <c r="J75" s="252"/>
      <c r="K75" s="66" t="s">
        <v>407</v>
      </c>
      <c r="L75" s="64"/>
      <c r="M75" s="64"/>
      <c r="N75" s="64"/>
      <c r="O75" s="64"/>
    </row>
    <row r="76" spans="10:15">
      <c r="J76" s="252"/>
      <c r="K76" s="66" t="s">
        <v>408</v>
      </c>
      <c r="L76" s="64"/>
      <c r="M76" s="64"/>
      <c r="N76" s="64"/>
      <c r="O76" s="64"/>
    </row>
    <row r="77" spans="10:15">
      <c r="J77" s="252"/>
      <c r="K77" s="66" t="s">
        <v>409</v>
      </c>
      <c r="L77" s="64"/>
      <c r="M77" s="64"/>
      <c r="N77" s="64"/>
      <c r="O77" s="64"/>
    </row>
    <row r="78" spans="10:15">
      <c r="J78" s="252"/>
      <c r="K78" s="66" t="s">
        <v>410</v>
      </c>
      <c r="L78" s="64"/>
      <c r="M78" s="64"/>
      <c r="N78" s="64"/>
      <c r="O78" s="64"/>
    </row>
    <row r="79" spans="10:15">
      <c r="J79" s="252"/>
      <c r="K79" s="62" t="s">
        <v>411</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2.xml><?xml version="1.0" encoding="utf-8"?>
<?mso-contentType ?>
<SharedContentType xmlns="Microsoft.SharePoint.Taxonomy.ContentTypeSync" SourceId="d1117845-93f6-4da3-abaa-fcb4fa669c78" ContentTypeId="0x010100A5BF1C78D9F64B679A5EBDE1C6598EBC01"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A65312-EDD8-4ED5-85CD-21EC9D2BFEF5}"/>
</file>

<file path=customXml/itemProps2.xml><?xml version="1.0" encoding="utf-8"?>
<ds:datastoreItem xmlns:ds="http://schemas.openxmlformats.org/officeDocument/2006/customXml" ds:itemID="{67469954-7271-4399-A94F-130F71C33062}"/>
</file>

<file path=customXml/itemProps3.xml><?xml version="1.0" encoding="utf-8"?>
<ds:datastoreItem xmlns:ds="http://schemas.openxmlformats.org/officeDocument/2006/customXml" ds:itemID="{130E79B3-286C-4594-AC93-4243D3FE78E7}"/>
</file>

<file path=customXml/itemProps4.xml><?xml version="1.0" encoding="utf-8"?>
<ds:datastoreItem xmlns:ds="http://schemas.openxmlformats.org/officeDocument/2006/customXml" ds:itemID="{5036A1D4-3E2C-4D1B-9762-846F06C4FAC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Buchanan, Paul</cp:lastModifiedBy>
  <cp:revision/>
  <dcterms:created xsi:type="dcterms:W3CDTF">2019-04-02T06:44:55Z</dcterms:created>
  <dcterms:modified xsi:type="dcterms:W3CDTF">2023-02-10T11:39:37Z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