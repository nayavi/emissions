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Lincs &amp; Northants/"/>
    </mc:Choice>
  </mc:AlternateContent>
  <xr:revisionPtr revIDLastSave="0" documentId="8_{BBF2AE2C-A001-4A85-9D00-C6F2042F342B}" xr6:coauthVersionLast="47" xr6:coauthVersionMax="47" xr10:uidLastSave="{00000000-0000-0000-0000-000000000000}"/>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0.5hourly" sheetId="29" r:id="rId20"/>
    <sheet name="NH3" sheetId="31" r:id="rId21"/>
  </sheets>
  <definedNames>
    <definedName name="_xlnm.Print_Area" localSheetId="13">'Air (CEMS)'!$A$1:$M$27</definedName>
    <definedName name="_xlnm.Print_Area" localSheetId="12">'Air (periodic)'!$A$1:$J$41</definedName>
    <definedName name="_xlnm.Print_Area" localSheetId="19">'CO 0.5hourly'!$A$1:$G$52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20">'NH3'!$A$1:$G$52</definedName>
    <definedName name="_xlnm.Print_Area" localSheetId="16">NOx!$A$1:$G$52</definedName>
    <definedName name="_xlnm.Print_Area" localSheetId="3">'Operational Data'!$A$1:$H$53</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Compliance'!$A$1:$K$34</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24" l="1"/>
  <c r="D25" i="24"/>
  <c r="D24" i="24"/>
  <c r="E23" i="24"/>
  <c r="D23" i="24"/>
  <c r="D22" i="24"/>
  <c r="E21" i="24"/>
  <c r="D21" i="24"/>
  <c r="D20" i="24"/>
  <c r="E19" i="24"/>
  <c r="E18" i="24"/>
  <c r="D19" i="24"/>
  <c r="D18" i="24"/>
  <c r="E17" i="24"/>
  <c r="E16" i="24"/>
  <c r="E15" i="24"/>
  <c r="D16" i="24"/>
  <c r="D14" i="24"/>
  <c r="D17" i="24"/>
  <c r="D15" i="24"/>
  <c r="F8" i="3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F8" i="29"/>
  <c r="G8" i="29"/>
  <c r="F9" i="29"/>
  <c r="G9" i="29"/>
  <c r="F10" i="29"/>
  <c r="G10" i="29"/>
  <c r="F11" i="29"/>
  <c r="G11" i="29"/>
  <c r="F12" i="29"/>
  <c r="G12" i="29"/>
  <c r="F13" i="29"/>
  <c r="G13" i="29"/>
  <c r="F14" i="29"/>
  <c r="G14" i="29"/>
  <c r="F15" i="29"/>
  <c r="G15" i="29"/>
  <c r="F16" i="29"/>
  <c r="G16" i="29"/>
  <c r="F17" i="29"/>
  <c r="G17" i="29"/>
  <c r="F18" i="29"/>
  <c r="G18" i="29"/>
  <c r="C8" i="29"/>
  <c r="D8" i="29"/>
  <c r="C9" i="29"/>
  <c r="D9" i="29"/>
  <c r="C10" i="29"/>
  <c r="D10" i="29"/>
  <c r="C11" i="29"/>
  <c r="D11" i="29"/>
  <c r="C12" i="29"/>
  <c r="D12" i="29"/>
  <c r="C13" i="29"/>
  <c r="D13" i="29"/>
  <c r="C14" i="29"/>
  <c r="D14" i="29"/>
  <c r="C15" i="29"/>
  <c r="D15" i="29"/>
  <c r="C16" i="29"/>
  <c r="D16" i="29"/>
  <c r="C17" i="29"/>
  <c r="D17" i="29"/>
  <c r="C18" i="29"/>
  <c r="D18" i="29"/>
  <c r="G7" i="29"/>
  <c r="F7" i="29"/>
  <c r="D7" i="29"/>
  <c r="C7" i="29"/>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G7" i="28"/>
  <c r="F7" i="28"/>
  <c r="D7" i="28"/>
  <c r="C7" i="28"/>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F8" i="26"/>
  <c r="G8" i="26"/>
  <c r="F9" i="26"/>
  <c r="G9" i="26"/>
  <c r="F10" i="26"/>
  <c r="G10" i="26"/>
  <c r="F11" i="26"/>
  <c r="G11" i="26"/>
  <c r="F12" i="26"/>
  <c r="G12" i="26"/>
  <c r="F13" i="26"/>
  <c r="G13" i="26"/>
  <c r="F14" i="26"/>
  <c r="G14" i="26"/>
  <c r="F15" i="26"/>
  <c r="G15" i="26"/>
  <c r="F16" i="26"/>
  <c r="G16" i="26"/>
  <c r="F17" i="26"/>
  <c r="G17" i="26"/>
  <c r="F18" i="26"/>
  <c r="G18" i="26"/>
  <c r="D8" i="26"/>
  <c r="D9" i="26"/>
  <c r="D10" i="26"/>
  <c r="D11" i="26"/>
  <c r="D12" i="26"/>
  <c r="D13" i="26"/>
  <c r="D14" i="26"/>
  <c r="D15" i="26"/>
  <c r="D16" i="26"/>
  <c r="D17" i="26"/>
  <c r="D18" i="26"/>
  <c r="C8" i="26"/>
  <c r="C9" i="26"/>
  <c r="C10" i="26"/>
  <c r="C11" i="26"/>
  <c r="C12" i="26"/>
  <c r="C13" i="26"/>
  <c r="C14" i="26"/>
  <c r="C15" i="26"/>
  <c r="C16" i="26"/>
  <c r="C17" i="26"/>
  <c r="C18" i="26"/>
  <c r="G7" i="26"/>
  <c r="F7" i="26"/>
  <c r="D7" i="26"/>
  <c r="C7" i="26"/>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G8" i="13"/>
  <c r="G9" i="13"/>
  <c r="G10" i="13"/>
  <c r="G11" i="13"/>
  <c r="G12" i="13"/>
  <c r="G13" i="13"/>
  <c r="G14" i="13"/>
  <c r="G15" i="13"/>
  <c r="G16" i="13"/>
  <c r="G17" i="13"/>
  <c r="G18" i="13"/>
  <c r="G7" i="13"/>
  <c r="F8" i="13"/>
  <c r="F9" i="13"/>
  <c r="F10" i="13"/>
  <c r="F11" i="13"/>
  <c r="F12" i="13"/>
  <c r="F13" i="13"/>
  <c r="F14" i="13"/>
  <c r="F15" i="13"/>
  <c r="F16" i="13"/>
  <c r="F17" i="13"/>
  <c r="F18" i="13"/>
  <c r="F7" i="13"/>
  <c r="D8" i="13"/>
  <c r="D9" i="13"/>
  <c r="D10" i="13"/>
  <c r="D11" i="13"/>
  <c r="D12" i="13"/>
  <c r="D13" i="13"/>
  <c r="D14" i="13"/>
  <c r="D15" i="13"/>
  <c r="D16" i="13"/>
  <c r="D17" i="13"/>
  <c r="D18" i="13"/>
  <c r="D7" i="13"/>
  <c r="C8" i="13"/>
  <c r="C9" i="13"/>
  <c r="C10" i="13"/>
  <c r="C11" i="13"/>
  <c r="C12" i="13"/>
  <c r="C13" i="13"/>
  <c r="C14" i="13"/>
  <c r="C15" i="13"/>
  <c r="C16" i="13"/>
  <c r="C17" i="13"/>
  <c r="C18" i="13"/>
  <c r="C7" i="13"/>
  <c r="G12" i="6"/>
  <c r="F18" i="6" l="1"/>
  <c r="I20" i="7" l="1"/>
  <c r="I21" i="7"/>
  <c r="I22" i="7"/>
  <c r="I18" i="7"/>
  <c r="I13" i="7"/>
  <c r="I14" i="7"/>
  <c r="C15" i="6" l="1"/>
  <c r="C18" i="6" s="1"/>
  <c r="H49" i="6" l="1"/>
  <c r="G13" i="6" l="1"/>
  <c r="G39" i="6"/>
  <c r="E35" i="7" s="1"/>
  <c r="J3" i="31" l="1"/>
  <c r="J3" i="29"/>
  <c r="J3" i="28"/>
  <c r="J3" i="27"/>
  <c r="J3" i="26"/>
  <c r="J3" i="25"/>
  <c r="J3" i="13"/>
  <c r="G16" i="6" l="1"/>
  <c r="G48" i="6" l="1"/>
  <c r="H48" i="6" s="1"/>
  <c r="G53" i="6"/>
  <c r="G52" i="6"/>
  <c r="H52" i="6" s="1"/>
  <c r="G49" i="6"/>
  <c r="G46" i="6"/>
  <c r="G47" i="6" l="1"/>
  <c r="H47" i="6" s="1"/>
  <c r="H46" i="6"/>
  <c r="D15" i="6"/>
  <c r="D18" i="6" s="1"/>
  <c r="E15" i="6"/>
  <c r="E18" i="6" s="1"/>
  <c r="G18" i="6" l="1"/>
  <c r="E1" i="31"/>
  <c r="A1" i="31"/>
  <c r="E1" i="29"/>
  <c r="A1" i="29"/>
  <c r="E1" i="28"/>
  <c r="A1" i="28"/>
  <c r="E1" i="27"/>
  <c r="A1" i="27"/>
  <c r="E1" i="26"/>
  <c r="A1" i="26"/>
  <c r="E1" i="25"/>
  <c r="A1" i="25"/>
  <c r="E1" i="13"/>
  <c r="A1" i="13"/>
  <c r="I1" i="24"/>
  <c r="A1" i="24"/>
  <c r="E1" i="23"/>
  <c r="A1" i="23"/>
  <c r="E1" i="22"/>
  <c r="A1" i="22"/>
  <c r="E1" i="21"/>
  <c r="A1" i="21"/>
  <c r="E1" i="11"/>
  <c r="A1" i="11"/>
  <c r="E1" i="10"/>
  <c r="A1" i="10"/>
  <c r="E1" i="9"/>
  <c r="A1" i="9"/>
  <c r="A1" i="6"/>
  <c r="A1" i="5"/>
  <c r="E1" i="4"/>
  <c r="A1" i="4"/>
  <c r="E1" i="3"/>
  <c r="A1" i="3"/>
  <c r="O19" i="31"/>
  <c r="D26" i="24" s="1"/>
  <c r="N19" i="31"/>
  <c r="E26"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19" i="29"/>
  <c r="N19" i="29"/>
  <c r="E24" i="24" s="1"/>
  <c r="M19" i="29"/>
  <c r="L19" i="29"/>
  <c r="A6" i="29"/>
  <c r="O19" i="28"/>
  <c r="N19" i="28"/>
  <c r="M19" i="28"/>
  <c r="L19" i="28"/>
  <c r="A6" i="28"/>
  <c r="O19" i="27"/>
  <c r="N19" i="27"/>
  <c r="M19" i="27"/>
  <c r="L19" i="27"/>
  <c r="A6" i="27"/>
  <c r="O19" i="26"/>
  <c r="N19" i="26"/>
  <c r="E14" i="24" s="1"/>
  <c r="M19" i="26"/>
  <c r="L19" i="26"/>
  <c r="A6" i="26"/>
  <c r="O19" i="25"/>
  <c r="N19" i="25"/>
  <c r="E22" i="24" s="1"/>
  <c r="M19" i="25"/>
  <c r="L19" i="25"/>
  <c r="A6" i="25"/>
  <c r="O19" i="13"/>
  <c r="N19" i="13"/>
  <c r="E20" i="24" s="1"/>
  <c r="M19" i="13"/>
  <c r="L19" i="13"/>
  <c r="A6" i="13"/>
  <c r="I19" i="7" l="1"/>
  <c r="I11" i="7"/>
  <c r="I12" i="7"/>
  <c r="J6" i="13"/>
  <c r="J6" i="31"/>
  <c r="J6" i="29"/>
  <c r="J6" i="28"/>
  <c r="J6" i="27"/>
  <c r="J6" i="26"/>
  <c r="J6" i="25"/>
  <c r="D25" i="6"/>
  <c r="E25" i="6"/>
  <c r="F25" i="6"/>
  <c r="C25" i="6"/>
  <c r="G7" i="8"/>
  <c r="D7" i="8"/>
  <c r="B5" i="8"/>
  <c r="G3" i="8"/>
  <c r="A3" i="8"/>
  <c r="A1" i="8"/>
  <c r="G23" i="7"/>
  <c r="E23" i="7"/>
  <c r="G15" i="7"/>
  <c r="E15" i="7"/>
  <c r="B4" i="7"/>
  <c r="G3" i="7"/>
  <c r="A3" i="7"/>
  <c r="A1" i="7"/>
  <c r="A8" i="7" s="1"/>
  <c r="H53" i="6"/>
  <c r="H51" i="6"/>
  <c r="B46" i="6"/>
  <c r="G43" i="6"/>
  <c r="G42" i="6"/>
  <c r="G41" i="6"/>
  <c r="G40" i="6"/>
  <c r="G38" i="6"/>
  <c r="G37" i="6"/>
  <c r="H37" i="6" s="1"/>
  <c r="G36" i="6"/>
  <c r="G33" i="6"/>
  <c r="G32" i="6"/>
  <c r="G31" i="6"/>
  <c r="G27" i="6"/>
  <c r="G26" i="6"/>
  <c r="H26" i="6" s="1"/>
  <c r="G24" i="6"/>
  <c r="G23" i="6"/>
  <c r="H23" i="6" s="1"/>
  <c r="G22" i="6"/>
  <c r="G21" i="6"/>
  <c r="H21" i="6" s="1"/>
  <c r="G17" i="6"/>
  <c r="G14" i="6"/>
  <c r="G11" i="6"/>
  <c r="G10" i="6"/>
  <c r="G9" i="6"/>
  <c r="G8" i="6"/>
  <c r="I23" i="7" l="1"/>
  <c r="I15" i="7"/>
  <c r="D14" i="8"/>
  <c r="H27" i="6"/>
  <c r="D11" i="8"/>
  <c r="H24" i="6"/>
  <c r="D12" i="8"/>
  <c r="H22" i="6"/>
  <c r="E33" i="7"/>
  <c r="H33" i="7" s="1"/>
  <c r="H35" i="7"/>
  <c r="H38" i="6"/>
  <c r="E37" i="7"/>
  <c r="H37" i="7" s="1"/>
  <c r="E36" i="7"/>
  <c r="H36" i="7" s="1"/>
  <c r="G24" i="7"/>
  <c r="G15" i="6"/>
  <c r="H18" i="6" s="1"/>
  <c r="G25" i="6"/>
  <c r="E24" i="7"/>
  <c r="E34" i="7"/>
  <c r="H34" i="7" s="1"/>
  <c r="D10" i="8"/>
  <c r="G10" i="8"/>
  <c r="A31" i="7"/>
  <c r="A43" i="7" s="1"/>
  <c r="H40" i="6" l="1"/>
  <c r="H17" i="6"/>
  <c r="H36" i="6"/>
  <c r="H13" i="6"/>
  <c r="H39" i="6"/>
  <c r="H41" i="6"/>
  <c r="H42" i="6"/>
  <c r="H12" i="6"/>
  <c r="I24" i="7"/>
  <c r="H8" i="6"/>
  <c r="H16" i="6"/>
  <c r="H33" i="6"/>
  <c r="H31" i="6"/>
  <c r="H10" i="6"/>
  <c r="G11" i="8"/>
  <c r="G12" i="8"/>
  <c r="H14" i="6"/>
  <c r="G14" i="8"/>
  <c r="H11" i="6"/>
  <c r="H9" i="6"/>
  <c r="H32" i="6"/>
</calcChain>
</file>

<file path=xl/sharedStrings.xml><?xml version="1.0" encoding="utf-8"?>
<sst xmlns="http://schemas.openxmlformats.org/spreadsheetml/2006/main" count="854" uniqueCount="393">
  <si>
    <t>BIOMASS UK NO.3 LIMITED</t>
  </si>
  <si>
    <t xml:space="preserve">Version 20.5 </t>
  </si>
  <si>
    <t>Add photo</t>
  </si>
  <si>
    <t>Notes:</t>
  </si>
  <si>
    <t>This template may require adjustments by individual operators to meet specific reporting requirements as defined in the site Permit(s)</t>
  </si>
  <si>
    <t>Annual Performance Report 2022</t>
  </si>
  <si>
    <t>Permit EPR/UP3131DF</t>
  </si>
  <si>
    <t>Boston Energy Production Facility</t>
  </si>
  <si>
    <t>Biomass UK No 3</t>
  </si>
  <si>
    <t>Year:</t>
  </si>
  <si>
    <t>Address:</t>
  </si>
  <si>
    <t>Riverside Industrial Estate, Marsh lane, Boston Lincolnshire PE21 7TN</t>
  </si>
  <si>
    <t xml:space="preserve">Tel: </t>
  </si>
  <si>
    <t xml:space="preserve">Email: </t>
  </si>
  <si>
    <t>emily.hingston@sol-environment.co.uk</t>
  </si>
  <si>
    <t>Prepared by:</t>
  </si>
  <si>
    <t>Emily Hingston</t>
  </si>
  <si>
    <t>Position:</t>
  </si>
  <si>
    <t>Consultant</t>
  </si>
  <si>
    <t>Approved by:</t>
  </si>
  <si>
    <t>Randall Smith</t>
  </si>
  <si>
    <t>Technical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</si>
  <si>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</si>
  <si>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</si>
  <si>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</si>
  <si>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</si>
  <si>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</si>
  <si>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</si>
  <si>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</si>
  <si>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</si>
  <si>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</si>
  <si>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</si>
  <si>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</si>
  <si>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</si>
  <si>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</si>
  <si>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</si>
  <si>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</si>
  <si>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</si>
  <si>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</si>
  <si>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</si>
  <si>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</si>
  <si>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</si>
  <si>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</si>
  <si>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</si>
  <si>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</si>
  <si>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</si>
  <si>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</si>
  <si>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</si>
  <si>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</si>
  <si>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</si>
  <si>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</si>
  <si>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</si>
  <si>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</si>
  <si>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</si>
  <si>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</si>
  <si>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</si>
  <si>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</si>
  <si>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</si>
  <si>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Boston Energy Production Facility is a renewable energy generation facility which has been designed to recover energy from pre-prepared mixed waste wood and RDF feedstocks using gasification. The gasification facility is an Advanced Thermal Treatment (ATT) process that will produce a combustible synthesis gas, which is then used to raise steam and generate electricity, through steam cycle turbine generation.
The Advanced Thermal Treatment (ATT) plant is designed to process shredded mixed waste wood feedstocks to produce heat to raise steam in a conventional tube boiler for utilisation in a steam turbine for the production of renewable electricity with an export capacity up to 11.7MWe.
The Installation has been designed to process approximately 86,400 tonnes of pre-processed non-hazardous mixed waste wood or RDF per annum.</t>
  </si>
  <si>
    <t xml:space="preserve">Include summary of plant design, design capacity, no. of combustion lines, electrical and heat capacity and any other general information that describes the facility, its location and purpose </t>
  </si>
  <si>
    <t>Summary of Operational Processes and Procedures</t>
  </si>
  <si>
    <r>
      <t xml:space="preserve">The principle components of the process comprise the following:
</t>
    </r>
    <r>
      <rPr>
        <i/>
        <sz val="10"/>
        <color theme="1"/>
        <rFont val="Arial"/>
        <family val="2"/>
      </rPr>
      <t xml:space="preserve">Waste Acceptance and Reception: </t>
    </r>
    <r>
      <rPr>
        <sz val="10"/>
        <color theme="1"/>
        <rFont val="Arial"/>
        <family val="2"/>
      </rPr>
      <t xml:space="preserve">All waste wood or RDF is delivered directly into the fuel storage building via electrically operated roller shutter doors. Should both waste streams be accepted onsite at the same time, the piles will separated by concrete bay walls. When required, the waste is discharged onto the feedstock feed system, which delivers the waste into the gasification building. All waste is accepted in accordance to the sites waste acceptance procedures.
</t>
    </r>
    <r>
      <rPr>
        <i/>
        <sz val="10"/>
        <color theme="1"/>
        <rFont val="Arial"/>
        <family val="2"/>
      </rPr>
      <t>Gasification:</t>
    </r>
    <r>
      <rPr>
        <sz val="10"/>
        <color theme="1"/>
        <rFont val="Arial"/>
        <family val="2"/>
      </rPr>
      <t xml:space="preserve"> The feedstock feed system delivers the waste into the fluidised bed gasification system where the waste is combusted to produce a synthetic gas (syngas). The syngas is then combusted to produce a high temperature flue-gas. A steam boiler then recovers the heat from the combustion gases through the conversion into superheated steam.
</t>
    </r>
    <r>
      <rPr>
        <i/>
        <sz val="10"/>
        <color theme="1"/>
        <rFont val="Arial"/>
        <family val="2"/>
      </rPr>
      <t>Electricity Generation:</t>
    </r>
    <r>
      <rPr>
        <sz val="10"/>
        <color theme="1"/>
        <rFont val="Arial"/>
        <family val="2"/>
      </rPr>
      <t xml:space="preserve"> The superheated steam then passes to a Steam Turbine and Generator, which will export 11.7MWe of renewable electricity onto the Local Distribution Network.
</t>
    </r>
    <r>
      <rPr>
        <i/>
        <sz val="10"/>
        <color theme="1"/>
        <rFont val="Arial"/>
        <family val="2"/>
      </rPr>
      <t>Flue-Gas Cleaning:</t>
    </r>
    <r>
      <rPr>
        <sz val="10"/>
        <color theme="1"/>
        <rFont val="Arial"/>
        <family val="2"/>
      </rPr>
      <t xml:space="preserve"> Flue gas cleaning and pollution control consists of urea injection for De-NOx, lime injection for acid gas neutralisation and activated carbon powder injection for absorption and removal of heavy metals, dioxins, VOCs and other harmful substances. The stream has a baghouse system, which is designed to have the capacity to remove submicron dust particles within anticipated emission limit values (ELV’s) stipulated by Chapter IV of the Industrial Emissions Directive (IED).
The plant is operated in accordance with its Environmental Management System which is designed to meet the requirements of ISO14001:2004.</t>
    </r>
  </si>
  <si>
    <t>Include summary of key processes and procedures such as (but not limited to); waste reception, control rooms, grate, bed and boiler,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</si>
  <si>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</si>
  <si>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</si>
  <si>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</si>
  <si>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</si>
  <si>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</si>
  <si>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</si>
  <si>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</si>
  <si>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</si>
  <si>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</si>
  <si>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</si>
  <si>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</si>
  <si>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</si>
  <si>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</si>
  <si>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</si>
  <si>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</si>
  <si>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</si>
  <si>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</si>
  <si>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</si>
  <si>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</si>
  <si>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</si>
  <si>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</si>
  <si>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</si>
  <si>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</si>
  <si>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</si>
  <si>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</si>
  <si>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</si>
  <si>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</si>
  <si>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</si>
  <si>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</si>
  <si>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</si>
  <si>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</si>
  <si>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</si>
  <si>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</si>
  <si>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</si>
  <si>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</si>
  <si>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</si>
  <si>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</si>
  <si>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</si>
  <si>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</si>
  <si>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</si>
  <si>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</si>
  <si>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</si>
  <si>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</si>
  <si>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</si>
  <si>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</si>
  <si>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</si>
  <si>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</si>
  <si>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Raw Material Usage</t>
  </si>
  <si>
    <t>kg or Ltr /te</t>
  </si>
  <si>
    <t>Mains Water</t>
  </si>
  <si>
    <t>M3</t>
  </si>
  <si>
    <t>Other Water</t>
  </si>
  <si>
    <t>ltrs</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</si>
  <si>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</si>
  <si>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</si>
  <si>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</si>
  <si>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</si>
  <si>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</si>
  <si>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</si>
  <si>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</si>
  <si>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</si>
  <si>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</si>
  <si>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</si>
  <si>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</si>
  <si>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</si>
  <si>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</si>
  <si>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</si>
  <si>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</si>
  <si>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</si>
  <si>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</si>
  <si>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</si>
  <si>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</si>
  <si>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</si>
  <si>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</si>
  <si>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</si>
  <si>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</si>
  <si>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</si>
  <si>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The plant began the year running on wood fuel, operating until a planned upgrade shut down in April. During this shut down which lasted for all of Q2 an upgrade was carried out on the fuel feed system to the gasifier.                                                                                                                   This comprised of considerable upgrades to the metering bins and feed screws, which also required some structural modifications to accommodate the new larger equipment.                                                                         
The plant returned to service in July using RDF as a fuel, after trialling the RDF the fuel was then switched to SRF and remained on this fuel for the rest of the year and will continue to run on this fuel. The plant ran for 3 weeks at a time to allow for internal inspections to assess the status of the gasifier and boiler, both required significant cleaning and de-slagging.                                                                                 
During the  latter stages of Q3 and most of Q4 the plant has run intermittently with regular shut downs required for cleaning and de-slagging. Engineers continuing to make adjustments to the software and some hardware changes to improve the availability of the plant.          
There will be further adjustments and modifications ongoing into 2023 to improve plant reliability and availability.</t>
  </si>
  <si>
    <t xml:space="preserve">Include summary of key operational and/or maintenance activity undertaken in the year, such as any major component upgrades and/or replacements </t>
  </si>
  <si>
    <t>Summary of Residue Handling for the reporting year</t>
  </si>
  <si>
    <t>Fuel sampling was carried out daily during the initial month of fuel change from wood to RDF. This was reduced to weekly sampling during Q4. 
Monthly sampling of IBA and APCR commenced in July in line with Schedule 4 of the Environmental Permit. 
IBA and APCR is handled by a broker N+P, and taken to the Augean site in Peterborough.</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</si>
  <si>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</si>
  <si>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</si>
  <si>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</si>
  <si>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</si>
  <si>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</si>
  <si>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</si>
  <si>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</si>
  <si>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</si>
  <si>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</si>
  <si>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</si>
  <si>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</si>
  <si>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</si>
  <si>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</si>
  <si>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</si>
  <si>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</si>
  <si>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</si>
  <si>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</si>
  <si>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</si>
  <si>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</si>
  <si>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</si>
  <si>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</si>
  <si>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</si>
  <si>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</si>
  <si>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</si>
  <si>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</si>
  <si>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</si>
  <si>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</si>
  <si>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</si>
  <si>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</si>
  <si>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</si>
  <si>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</si>
  <si>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</si>
  <si>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</si>
  <si>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</si>
  <si>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</si>
  <si>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</si>
  <si>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</si>
  <si>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</si>
  <si>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</si>
  <si>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Turbine 1</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</si>
  <si>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</si>
  <si>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</si>
  <si>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</si>
  <si>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</si>
  <si>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</si>
  <si>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</si>
  <si>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</si>
  <si>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</si>
  <si>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</si>
  <si>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</si>
  <si>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</si>
  <si>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</si>
  <si>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</si>
  <si>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</si>
  <si>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</si>
  <si>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</si>
  <si>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</si>
  <si>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</si>
  <si>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</si>
  <si>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</si>
  <si>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</si>
  <si>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</si>
  <si>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</si>
  <si>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</si>
  <si>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</si>
  <si>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</si>
  <si>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</si>
  <si>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</si>
  <si>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</si>
  <si>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</si>
  <si>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</si>
  <si>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</si>
  <si>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</si>
  <si>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</si>
  <si>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</si>
  <si>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HCL 1/2 hrly ELV breached (66.35 mg/m3). Process stopped and blockage cleared.</t>
  </si>
  <si>
    <t>Blockage of lime feed pipe</t>
  </si>
  <si>
    <t>New feed hose sourced and fitted</t>
  </si>
  <si>
    <t>HCL 1/2 hrly ELV (62.45 mg/m3) and daily average ELV breached (14.8mg/m3)</t>
  </si>
  <si>
    <t>Increase in flow during commissioning activities</t>
  </si>
  <si>
    <t>Increase dosing flow rate and tune plant during commissioning</t>
  </si>
  <si>
    <t>CO 1/2 hrly ELV breached (175.42 mg/m3)</t>
  </si>
  <si>
    <t xml:space="preserve">Solid fuel plug lost due to level control issues caused ingress of air </t>
  </si>
  <si>
    <t>Additional level switched and faster rection time of low level protection swtiches</t>
  </si>
  <si>
    <t>CO 1/2 hrly ELV breached (154 mg/m3)</t>
  </si>
  <si>
    <t>Fuel feed screw sensor defective</t>
  </si>
  <si>
    <t>Sensor taken out of service</t>
  </si>
  <si>
    <t>Summary of any complaints received and actions to taken to resolve them.</t>
  </si>
  <si>
    <t>Summary of complaint [including Line/Reference]</t>
  </si>
  <si>
    <t>Reason *</t>
  </si>
  <si>
    <t>N/A</t>
  </si>
  <si>
    <t>* including whether substantiated by the operator or the EA</t>
  </si>
  <si>
    <t>Summary of Plant Improvements</t>
  </si>
  <si>
    <t>Summary of any efficiency improvements that have been completed within the year.</t>
  </si>
  <si>
    <t>Please see below.</t>
  </si>
  <si>
    <t>Summary of any permit improvement conditions that have been completed within the year and the resulting environmental benefits.</t>
  </si>
  <si>
    <t>N/A - permit improvement conditions relate to post commissioning and will be undertaken in 2023</t>
  </si>
  <si>
    <t>Summary of any changes to the plant or operating techniques which required a variation to the permit and a summary of the resulting environmental impact.</t>
  </si>
  <si>
    <t>The plant switched fuel during 2022 from wood to RDF which required a permit variation which was completed in 2020.</t>
  </si>
  <si>
    <t>Summary of any other improvements made to the plant or planned to be made and a summary of the resulting environmental benefits.</t>
  </si>
  <si>
    <t xml:space="preserve">Several improvements have been made in the control room during 2022 including newly installed large monitor screens which improve visibility of data to everyone in the control room and the improvement of visibility of Air 1/2 hrly ELVs including a traffic light system to warn of nearing ELVs.
Moving conveyors and dust management have been improved due to the change to RDF as feedstock.
A new OFGR fan has been installed to cool the gasifier.
Relocation of a fire detection system was undertaken as it was being triggered by direct sunlight during the hot weather. </t>
  </si>
  <si>
    <t>Details of Public &amp; Stakeholder Liasion</t>
  </si>
  <si>
    <t>Summary of events held during the reporting year.</t>
  </si>
  <si>
    <t>Description</t>
  </si>
  <si>
    <t>List of events planned for next year</t>
  </si>
  <si>
    <t>None yet planned</t>
  </si>
  <si>
    <t>If you wish to be involved in the public liasion programme, please contact _________________</t>
  </si>
  <si>
    <t>Residue Quality Monitoring Requirements</t>
  </si>
  <si>
    <t>Summary of monitoring undertaken and compliance</t>
  </si>
  <si>
    <t xml:space="preserve">Monthly IBA and APCr testing commenced in July following the change to RDF feedstock.  
Full hazard testing undertaken by Socotec on IBA resulting in compliance as non-hazardous throughout 2022. </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</si>
  <si>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</si>
  <si>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</si>
  <si>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</si>
  <si>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</si>
  <si>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</si>
  <si>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</si>
  <si>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</si>
  <si>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</si>
  <si>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</si>
  <si>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&lt;0.2</t>
  </si>
  <si>
    <t>Total Organic Carbon (average %)</t>
  </si>
  <si>
    <t>&lt;3%</t>
  </si>
  <si>
    <t>No. of Assessments Undertaken</t>
  </si>
  <si>
    <t>---</t>
  </si>
  <si>
    <t>No. of Hazardous Results</t>
  </si>
  <si>
    <t>Comments :</t>
  </si>
  <si>
    <t>Emissions to Water / Sewer</t>
  </si>
  <si>
    <t>Monitoring Frequency</t>
  </si>
  <si>
    <t>Target</t>
  </si>
  <si>
    <t>Max.</t>
  </si>
  <si>
    <t>Average</t>
  </si>
  <si>
    <t>Summary of monitoring undertaken, standards used and compliance</t>
  </si>
  <si>
    <t xml:space="preserve">QAL 2 Testing was undertaken following completion of commissioning in December 2022.  Operator has been advised that the plant was compliant and is awaiting full report from testing company. </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</si>
  <si>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</si>
  <si>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</si>
  <si>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</si>
  <si>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</si>
  <si>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</si>
  <si>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</si>
  <si>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</si>
  <si>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</si>
  <si>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</si>
  <si>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</si>
  <si>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</si>
  <si>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</si>
  <si>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</si>
  <si>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</si>
  <si>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</si>
  <si>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</si>
  <si>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</si>
  <si>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</si>
  <si>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</si>
  <si>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</si>
  <si>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</si>
  <si>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</si>
  <si>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</si>
  <si>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</si>
  <si>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</si>
  <si>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</si>
  <si>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</si>
  <si>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</si>
  <si>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</si>
  <si>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</si>
  <si>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</si>
  <si>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</si>
  <si>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</si>
  <si>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</si>
  <si>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</si>
  <si>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</si>
  <si>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</si>
  <si>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</si>
  <si>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</si>
  <si>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</si>
  <si>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</si>
  <si>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 xml:space="preserve">CEMS monitoring has been undertaken in line with the permit. </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</si>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</sst>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7" x14ac:knownFonts="1">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b/>
      <sz val="12"/>
      <color theme="4"/>
      <name val="Arial"/>
      <family val="2"/>
    </font>
    <font>
      <u/>
      <sz val="11"/>
      <color theme="10"/>
      <name val="Calibri"/>
      <family val="2"/>
      <scheme val="minor"/>
    </font>
    <font>
      <i/>
      <sz val="10"/>
      <color theme="1"/>
      <name val="Arial"/>
      <family val="2"/>
    </font>
    <font>
      <b/>
      <sz val="12"/>
      <color rgb="FF00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385">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3" fillId="0" borderId="0" xfId="0" applyFont="1" applyAlignment="1">
      <alignment horizontal="right"/>
    </xf>
    <xf numFmtId="0" fontId="28" fillId="0" borderId="0" xfId="0" applyFont="1"/>
    <xf numFmtId="0" fontId="29"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0" fontId="2" fillId="0" borderId="0" xfId="0" applyFont="1" applyAlignment="1">
      <alignment horizontal="center" vertical="center"/>
    </xf>
    <xf numFmtId="164" fontId="2" fillId="2" borderId="0" xfId="1" applyNumberFormat="1" applyFont="1" applyFill="1" applyAlignment="1">
      <alignment horizontal="center"/>
    </xf>
    <xf numFmtId="0" fontId="10" fillId="5" borderId="2" xfId="0" applyFont="1" applyFill="1" applyBorder="1" applyAlignment="1">
      <alignment horizontal="center" vertical="center" wrapText="1"/>
    </xf>
    <xf numFmtId="0" fontId="17" fillId="5" borderId="2" xfId="0" applyFont="1" applyFill="1" applyBorder="1" applyAlignment="1">
      <alignment horizontal="center" vertical="center" wrapText="1"/>
    </xf>
    <xf numFmtId="2" fontId="6" fillId="0" borderId="2" xfId="0" applyNumberFormat="1" applyFont="1" applyBorder="1"/>
    <xf numFmtId="1" fontId="6" fillId="5" borderId="2" xfId="0" applyNumberFormat="1" applyFont="1" applyFill="1" applyBorder="1" applyAlignment="1">
      <alignment horizontal="center"/>
    </xf>
    <xf numFmtId="0" fontId="2" fillId="2" borderId="2" xfId="0" applyFont="1" applyFill="1" applyBorder="1" applyAlignment="1">
      <alignment horizontal="left"/>
    </xf>
    <xf numFmtId="0" fontId="2" fillId="0" borderId="2" xfId="0" applyFont="1" applyBorder="1" applyAlignment="1">
      <alignment horizontal="left" vertical="center" wrapText="1"/>
    </xf>
    <xf numFmtId="0" fontId="2" fillId="5" borderId="2" xfId="0" applyFont="1" applyFill="1" applyBorder="1" applyAlignment="1">
      <alignment horizontal="center" vertical="center" wrapText="1"/>
    </xf>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center" vertical="top"/>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0" borderId="0" xfId="0" applyFont="1"/>
    <xf numFmtId="0" fontId="2" fillId="0" borderId="0" xfId="0" applyFont="1" applyAlignment="1">
      <alignment horizontal="center"/>
    </xf>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164" fontId="2" fillId="2" borderId="7" xfId="1" applyNumberFormat="1" applyFont="1" applyFill="1" applyBorder="1" applyAlignment="1">
      <alignment horizontal="center"/>
    </xf>
    <xf numFmtId="165" fontId="2" fillId="0" borderId="8" xfId="2" applyNumberFormat="1" applyFont="1" applyBorder="1" applyAlignment="1">
      <alignment horizontal="center"/>
    </xf>
    <xf numFmtId="0" fontId="2" fillId="0" borderId="9" xfId="0" applyFont="1" applyBorder="1" applyAlignment="1">
      <alignment vertical="center"/>
    </xf>
    <xf numFmtId="164" fontId="2" fillId="2" borderId="0" xfId="1" applyNumberFormat="1" applyFont="1" applyFill="1" applyBorder="1" applyAlignment="1">
      <alignment horizontal="center"/>
    </xf>
    <xf numFmtId="165" fontId="2" fillId="0" borderId="10" xfId="2" applyNumberFormat="1" applyFont="1" applyBorder="1" applyAlignment="1">
      <alignment horizontal="center"/>
    </xf>
    <xf numFmtId="165" fontId="2" fillId="0" borderId="10" xfId="2" applyNumberFormat="1" applyFont="1" applyFill="1" applyBorder="1" applyAlignment="1">
      <alignment horizontal="center"/>
    </xf>
    <xf numFmtId="0" fontId="2" fillId="0" borderId="12" xfId="0" applyFont="1" applyBorder="1" applyAlignment="1">
      <alignment horizontal="center" vertical="center" textRotation="90"/>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xf numFmtId="164" fontId="2" fillId="0" borderId="8" xfId="0" applyNumberFormat="1" applyFont="1" applyBorder="1" applyAlignment="1">
      <alignment horizontal="center"/>
    </xf>
    <xf numFmtId="0" fontId="2" fillId="0" borderId="9" xfId="0" applyFont="1" applyBorder="1"/>
    <xf numFmtId="164" fontId="2" fillId="0" borderId="10" xfId="0" applyNumberFormat="1" applyFont="1" applyBorder="1" applyAlignment="1">
      <alignment horizontal="center"/>
    </xf>
    <xf numFmtId="165" fontId="2" fillId="0" borderId="0" xfId="2" applyNumberFormat="1" applyFont="1" applyAlignment="1">
      <alignment horizontal="center" vertical="center"/>
    </xf>
    <xf numFmtId="0" fontId="2" fillId="0" borderId="11" xfId="0" applyFont="1" applyBorder="1"/>
    <xf numFmtId="0" fontId="2" fillId="0" borderId="12" xfId="0" applyFont="1" applyBorder="1"/>
    <xf numFmtId="0" fontId="2" fillId="0" borderId="6" xfId="0" applyFont="1" applyBorder="1" applyAlignment="1">
      <alignment horizontal="center" vertical="center"/>
    </xf>
    <xf numFmtId="0" fontId="2" fillId="0" borderId="8" xfId="0" quotePrefix="1" applyFont="1" applyBorder="1" applyAlignment="1">
      <alignment horizontal="center"/>
    </xf>
    <xf numFmtId="164" fontId="2" fillId="2" borderId="12" xfId="1" applyNumberFormat="1" applyFont="1" applyFill="1" applyBorder="1" applyAlignment="1">
      <alignment horizontal="center"/>
    </xf>
    <xf numFmtId="165" fontId="2" fillId="0" borderId="13" xfId="2" applyNumberFormat="1" applyFont="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0" fontId="2" fillId="0" borderId="12" xfId="0" applyFont="1" applyBorder="1" applyAlignment="1">
      <alignment horizontal="center" vertic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xf>
    <xf numFmtId="0" fontId="2" fillId="0" borderId="6" xfId="0" applyFont="1" applyBorder="1" applyAlignment="1">
      <alignment horizontal="left" vertical="center" wrapText="1"/>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0" borderId="0" xfId="0" applyFont="1" applyAlignment="1">
      <alignment vertical="center"/>
    </xf>
    <xf numFmtId="4" fontId="2" fillId="0" borderId="2" xfId="0" applyNumberFormat="1" applyFont="1" applyBorder="1" applyAlignment="1">
      <alignment horizontal="center" vertical="center" wrapText="1"/>
    </xf>
    <xf numFmtId="4" fontId="2" fillId="2" borderId="2" xfId="0" applyNumberFormat="1" applyFont="1" applyFill="1" applyBorder="1" applyAlignment="1">
      <alignment horizontal="center" vertical="center" wrapText="1"/>
    </xf>
    <xf numFmtId="0" fontId="2" fillId="2" borderId="2" xfId="0" applyFont="1" applyFill="1" applyBorder="1" applyAlignment="1">
      <alignment vertical="center" wrapText="1"/>
    </xf>
    <xf numFmtId="0" fontId="1" fillId="2" borderId="2" xfId="0" applyFont="1" applyFill="1" applyBorder="1"/>
    <xf numFmtId="0" fontId="2" fillId="0" borderId="2" xfId="0" applyFont="1" applyBorder="1" applyAlignment="1">
      <alignment horizontal="center" vertical="center" wrapText="1"/>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left"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xf>
    <xf numFmtId="2" fontId="2" fillId="5" borderId="2" xfId="0" applyNumberFormat="1" applyFont="1" applyFill="1" applyBorder="1" applyAlignment="1">
      <alignment horizontal="center" vertical="center" wrapText="1"/>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2" fontId="2" fillId="5" borderId="1" xfId="0" applyNumberFormat="1" applyFont="1" applyFill="1" applyBorder="1" applyAlignment="1">
      <alignment horizontal="center" vertical="center" wrapText="1"/>
    </xf>
    <xf numFmtId="0" fontId="2" fillId="5" borderId="1"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33" fillId="2" borderId="0" xfId="0" applyFont="1" applyFill="1" applyAlignment="1">
      <alignment horizontal="center" vertical="center"/>
    </xf>
    <xf numFmtId="0" fontId="4" fillId="2" borderId="0" xfId="0" applyFont="1" applyFill="1" applyAlignment="1">
      <alignment horizontal="center" vertical="center"/>
    </xf>
    <xf numFmtId="0" fontId="1" fillId="2" borderId="0" xfId="0" applyFont="1" applyFill="1" applyAlignment="1">
      <alignment horizontal="center" vertical="center"/>
    </xf>
    <xf numFmtId="0" fontId="1" fillId="2" borderId="0" xfId="0" applyFont="1" applyFill="1" applyAlignment="1">
      <alignment horizontal="center"/>
    </xf>
    <xf numFmtId="14" fontId="1" fillId="2" borderId="0" xfId="0" applyNumberFormat="1" applyFont="1" applyFill="1" applyAlignment="1">
      <alignment horizontal="center"/>
    </xf>
    <xf numFmtId="0" fontId="34"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2"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2" fillId="2" borderId="2" xfId="0" applyFont="1" applyFill="1" applyBorder="1" applyAlignment="1">
      <alignment horizontal="left"/>
    </xf>
    <xf numFmtId="0" fontId="10" fillId="0" borderId="2" xfId="0" applyFont="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1" fillId="0" borderId="0" xfId="0" applyFont="1" applyAlignment="1">
      <alignment horizontal="left" vertical="top" wrapText="1"/>
    </xf>
    <xf numFmtId="0" fontId="2" fillId="0" borderId="7" xfId="0" applyFont="1" applyBorder="1" applyAlignment="1">
      <alignment horizontal="center" vertical="center" textRotation="90"/>
    </xf>
    <xf numFmtId="0" fontId="2" fillId="0" borderId="0" xfId="0" applyFont="1" applyAlignment="1">
      <alignment horizontal="center" vertical="center" textRotation="90"/>
    </xf>
    <xf numFmtId="0" fontId="2" fillId="0" borderId="12" xfId="0" applyFont="1" applyBorder="1" applyAlignment="1">
      <alignment horizontal="center" vertical="center" textRotation="90"/>
    </xf>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164" fontId="6" fillId="2" borderId="7" xfId="1" applyNumberFormat="1" applyFont="1" applyFill="1" applyBorder="1" applyAlignment="1"/>
    <xf numFmtId="0" fontId="2" fillId="0" borderId="0" xfId="0" applyFont="1" applyAlignment="1">
      <alignment horizontal="center" textRotation="90"/>
    </xf>
    <xf numFmtId="0" fontId="12" fillId="0" borderId="0" xfId="0" applyFont="1" applyAlignment="1">
      <alignment horizontal="left" wrapText="1"/>
    </xf>
    <xf numFmtId="0" fontId="12" fillId="0" borderId="0" xfId="0" applyFont="1" applyAlignment="1">
      <alignment horizontal="left" vertical="top" wrapText="1"/>
    </xf>
    <xf numFmtId="0" fontId="6" fillId="3" borderId="6" xfId="0" applyFont="1" applyFill="1" applyBorder="1" applyAlignment="1">
      <alignment horizontal="left" vertical="top" wrapText="1"/>
    </xf>
    <xf numFmtId="0" fontId="2" fillId="3" borderId="7" xfId="0" applyFont="1" applyFill="1" applyBorder="1" applyAlignment="1">
      <alignment horizontal="left" vertical="top" wrapText="1"/>
    </xf>
    <xf numFmtId="0" fontId="2" fillId="3" borderId="8"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3" borderId="0" xfId="0" applyFont="1" applyFill="1" applyAlignment="1">
      <alignment horizontal="left" vertical="top" wrapText="1"/>
    </xf>
    <xf numFmtId="0" fontId="2" fillId="3" borderId="10" xfId="0" applyFont="1" applyFill="1" applyBorder="1" applyAlignment="1">
      <alignment horizontal="left" vertical="top" wrapText="1"/>
    </xf>
    <xf numFmtId="0" fontId="2" fillId="3" borderId="11" xfId="0" applyFont="1" applyFill="1" applyBorder="1" applyAlignment="1">
      <alignment horizontal="left" vertical="top" wrapText="1"/>
    </xf>
    <xf numFmtId="0" fontId="2" fillId="3" borderId="12" xfId="0" applyFont="1" applyFill="1" applyBorder="1" applyAlignment="1">
      <alignment horizontal="left" vertical="top" wrapText="1"/>
    </xf>
    <xf numFmtId="0" fontId="2" fillId="3" borderId="13" xfId="0" applyFont="1" applyFill="1" applyBorder="1" applyAlignment="1">
      <alignment horizontal="left" vertical="top" wrapText="1"/>
    </xf>
    <xf numFmtId="0" fontId="2" fillId="3" borderId="7" xfId="0" applyFont="1" applyFill="1" applyBorder="1" applyAlignment="1">
      <alignment horizontal="left" vertical="top"/>
    </xf>
    <xf numFmtId="0" fontId="2" fillId="3" borderId="8" xfId="0" applyFont="1" applyFill="1" applyBorder="1" applyAlignment="1">
      <alignment horizontal="left" vertical="top"/>
    </xf>
    <xf numFmtId="0" fontId="2" fillId="3" borderId="9" xfId="0" applyFont="1" applyFill="1" applyBorder="1" applyAlignment="1">
      <alignment horizontal="left" vertical="top"/>
    </xf>
    <xf numFmtId="0" fontId="2" fillId="3" borderId="0" xfId="0" applyFont="1" applyFill="1" applyAlignment="1">
      <alignment horizontal="left" vertical="top"/>
    </xf>
    <xf numFmtId="0" fontId="2" fillId="3" borderId="10" xfId="0" applyFont="1" applyFill="1" applyBorder="1" applyAlignment="1">
      <alignment horizontal="left" vertical="top"/>
    </xf>
    <xf numFmtId="0" fontId="2" fillId="3" borderId="11" xfId="0" applyFont="1" applyFill="1" applyBorder="1" applyAlignment="1">
      <alignment horizontal="left" vertical="top"/>
    </xf>
    <xf numFmtId="0" fontId="2" fillId="3" borderId="12" xfId="0" applyFont="1" applyFill="1" applyBorder="1" applyAlignment="1">
      <alignment horizontal="left" vertical="top"/>
    </xf>
    <xf numFmtId="0" fontId="2" fillId="3" borderId="13" xfId="0" applyFont="1" applyFill="1" applyBorder="1" applyAlignment="1">
      <alignment horizontal="left" vertical="top"/>
    </xf>
    <xf numFmtId="0" fontId="2" fillId="0" borderId="2" xfId="0" applyFont="1" applyBorder="1" applyAlignment="1">
      <alignment horizontal="left" vertical="center" wrapText="1"/>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4" xfId="0" applyFont="1" applyBorder="1" applyAlignment="1">
      <alignment vertical="center" wrapText="1"/>
    </xf>
    <xf numFmtId="0" fontId="2" fillId="0" borderId="1" xfId="0" applyFont="1" applyBorder="1" applyAlignment="1">
      <alignment vertical="center" wrapText="1"/>
    </xf>
    <xf numFmtId="168" fontId="2" fillId="0" borderId="1" xfId="0" applyNumberFormat="1" applyFont="1" applyBorder="1" applyAlignment="1">
      <alignment horizontal="center" vertical="center" wrapText="1"/>
    </xf>
    <xf numFmtId="0" fontId="2" fillId="2" borderId="2" xfId="0" applyFont="1" applyFill="1" applyBorder="1" applyAlignment="1">
      <alignment vertical="center" wrapText="1"/>
    </xf>
    <xf numFmtId="0" fontId="2"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2"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2" fillId="0" borderId="2" xfId="0" applyNumberFormat="1" applyFont="1" applyBorder="1" applyAlignment="1">
      <alignment horizontal="center" vertical="center" wrapText="1"/>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xf numFmtId="0" fontId="2" fillId="0" borderId="2" xfId="0" applyFont="1" applyBorder="1" applyAlignment="1">
      <alignment horizontal="left"/>
    </xf>
    <xf numFmtId="0" fontId="2" fillId="2" borderId="2" xfId="0" applyFont="1" applyFill="1"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9" fontId="2" fillId="2" borderId="2" xfId="0" applyNumberFormat="1" applyFont="1" applyFill="1" applyBorder="1" applyAlignment="1">
      <alignment horizontal="center" vertical="center"/>
    </xf>
    <xf numFmtId="0" fontId="2" fillId="2" borderId="2" xfId="0" applyFont="1" applyFill="1" applyBorder="1" applyAlignment="1">
      <alignment horizontal="center" vertical="center"/>
    </xf>
    <xf numFmtId="9" fontId="2" fillId="2" borderId="2" xfId="0" applyNumberFormat="1" applyFont="1" applyFill="1" applyBorder="1" applyAlignment="1">
      <alignment horizontal="center"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2" fillId="2" borderId="3" xfId="0" applyFont="1" applyFill="1" applyBorder="1" applyAlignment="1">
      <alignment horizontal="left"/>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2" fillId="2" borderId="2" xfId="0" applyFont="1" applyFill="1" applyBorder="1" applyAlignment="1">
      <alignment horizontal="left"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2" fillId="2" borderId="6" xfId="0" applyFont="1" applyFill="1" applyBorder="1" applyAlignment="1">
      <alignment horizontal="left" wrapText="1"/>
    </xf>
    <xf numFmtId="0" fontId="2" fillId="2" borderId="7" xfId="0" applyFont="1" applyFill="1" applyBorder="1" applyAlignment="1">
      <alignment horizontal="left"/>
    </xf>
    <xf numFmtId="0" fontId="2" fillId="2" borderId="8" xfId="0" applyFont="1" applyFill="1" applyBorder="1" applyAlignment="1">
      <alignment horizontal="left"/>
    </xf>
    <xf numFmtId="0" fontId="2" fillId="2" borderId="9" xfId="0" applyFont="1" applyFill="1" applyBorder="1" applyAlignment="1">
      <alignment horizontal="left"/>
    </xf>
    <xf numFmtId="0" fontId="2" fillId="2" borderId="0" xfId="0" applyFont="1" applyFill="1" applyAlignment="1">
      <alignment horizontal="left"/>
    </xf>
    <xf numFmtId="0" fontId="2" fillId="2" borderId="10" xfId="0" applyFont="1" applyFill="1" applyBorder="1" applyAlignment="1">
      <alignment horizontal="left"/>
    </xf>
    <xf numFmtId="0" fontId="2" fillId="2" borderId="11" xfId="0" applyFont="1" applyFill="1" applyBorder="1" applyAlignment="1">
      <alignment horizontal="left"/>
    </xf>
    <xf numFmtId="0" fontId="2" fillId="2" borderId="12" xfId="0" applyFont="1" applyFill="1" applyBorder="1" applyAlignment="1">
      <alignment horizontal="left"/>
    </xf>
    <xf numFmtId="0" fontId="2" fillId="2" borderId="13" xfId="0" applyFont="1" applyFill="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2" fillId="5" borderId="6"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3"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5" borderId="2" xfId="0" applyFont="1" applyFill="1" applyBorder="1" applyAlignment="1">
      <alignment horizontal="left"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c:v>
                </c:pt>
                <c:pt idx="1">
                  <c:v>5</c:v>
                </c:pt>
                <c:pt idx="2">
                  <c:v>3</c:v>
                </c:pt>
                <c:pt idx="3">
                  <c:v>0</c:v>
                </c:pt>
                <c:pt idx="4">
                  <c:v>0</c:v>
                </c:pt>
                <c:pt idx="5">
                  <c:v>0</c:v>
                </c:pt>
                <c:pt idx="6">
                  <c:v>6</c:v>
                </c:pt>
                <c:pt idx="7">
                  <c:v>6</c:v>
                </c:pt>
                <c:pt idx="8">
                  <c:v>5</c:v>
                </c:pt>
                <c:pt idx="9">
                  <c:v>5</c:v>
                </c:pt>
                <c:pt idx="10">
                  <c:v>6</c:v>
                </c:pt>
                <c:pt idx="11">
                  <c:v>8</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5</c:v>
                </c:pt>
                <c:pt idx="1">
                  <c:v>23</c:v>
                </c:pt>
                <c:pt idx="2">
                  <c:v>12</c:v>
                </c:pt>
                <c:pt idx="3">
                  <c:v>0</c:v>
                </c:pt>
                <c:pt idx="4">
                  <c:v>0</c:v>
                </c:pt>
                <c:pt idx="5">
                  <c:v>0</c:v>
                </c:pt>
                <c:pt idx="6">
                  <c:v>66</c:v>
                </c:pt>
                <c:pt idx="7">
                  <c:v>42</c:v>
                </c:pt>
                <c:pt idx="8">
                  <c:v>22</c:v>
                </c:pt>
                <c:pt idx="9">
                  <c:v>43</c:v>
                </c:pt>
                <c:pt idx="10">
                  <c:v>18</c:v>
                </c:pt>
                <c:pt idx="11">
                  <c:v>21</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c:formatCode>
                <c:ptCount val="12"/>
                <c:pt idx="0">
                  <c:v>0.64</c:v>
                </c:pt>
                <c:pt idx="1">
                  <c:v>5.04</c:v>
                </c:pt>
                <c:pt idx="2">
                  <c:v>2.95</c:v>
                </c:pt>
                <c:pt idx="3">
                  <c:v>0</c:v>
                </c:pt>
                <c:pt idx="4">
                  <c:v>0</c:v>
                </c:pt>
                <c:pt idx="5">
                  <c:v>0</c:v>
                </c:pt>
                <c:pt idx="6">
                  <c:v>5.84</c:v>
                </c:pt>
                <c:pt idx="7">
                  <c:v>6.23</c:v>
                </c:pt>
                <c:pt idx="8">
                  <c:v>5</c:v>
                </c:pt>
                <c:pt idx="9">
                  <c:v>5.15</c:v>
                </c:pt>
                <c:pt idx="10">
                  <c:v>6.35</c:v>
                </c:pt>
                <c:pt idx="11">
                  <c:v>8.42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2</c:v>
                </c:pt>
                <c:pt idx="1">
                  <c:v>10</c:v>
                </c:pt>
                <c:pt idx="2">
                  <c:v>8</c:v>
                </c:pt>
                <c:pt idx="3">
                  <c:v>0</c:v>
                </c:pt>
                <c:pt idx="4">
                  <c:v>0</c:v>
                </c:pt>
                <c:pt idx="5">
                  <c:v>0</c:v>
                </c:pt>
                <c:pt idx="6">
                  <c:v>15</c:v>
                </c:pt>
                <c:pt idx="7">
                  <c:v>10</c:v>
                </c:pt>
                <c:pt idx="8">
                  <c:v>7</c:v>
                </c:pt>
                <c:pt idx="9">
                  <c:v>10</c:v>
                </c:pt>
                <c:pt idx="10">
                  <c:v>7</c:v>
                </c:pt>
                <c:pt idx="11">
                  <c:v>10</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11390368"/>
        <c:axId val="311390760"/>
      </c:lineChart>
      <c:catAx>
        <c:axId val="311390368"/>
        <c:scaling>
          <c:orientation val="minMax"/>
        </c:scaling>
        <c:delete val="0"/>
        <c:axPos val="b"/>
        <c:numFmt formatCode="General" sourceLinked="1"/>
        <c:majorTickMark val="out"/>
        <c:minorTickMark val="none"/>
        <c:tickLblPos val="nextTo"/>
        <c:crossAx val="311390760"/>
        <c:crosses val="autoZero"/>
        <c:auto val="1"/>
        <c:lblAlgn val="ctr"/>
        <c:lblOffset val="100"/>
        <c:noMultiLvlLbl val="0"/>
      </c:catAx>
      <c:valAx>
        <c:axId val="3113907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03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8</c:v>
                </c:pt>
                <c:pt idx="1">
                  <c:v>10</c:v>
                </c:pt>
                <c:pt idx="2">
                  <c:v>7</c:v>
                </c:pt>
                <c:pt idx="3">
                  <c:v>0</c:v>
                </c:pt>
                <c:pt idx="4">
                  <c:v>0</c:v>
                </c:pt>
                <c:pt idx="5">
                  <c:v>0</c:v>
                </c:pt>
                <c:pt idx="6">
                  <c:v>16</c:v>
                </c:pt>
                <c:pt idx="7">
                  <c:v>8</c:v>
                </c:pt>
                <c:pt idx="8">
                  <c:v>6</c:v>
                </c:pt>
                <c:pt idx="9">
                  <c:v>6</c:v>
                </c:pt>
                <c:pt idx="10">
                  <c:v>6</c:v>
                </c:pt>
                <c:pt idx="11">
                  <c:v>6</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16</c:v>
                </c:pt>
                <c:pt idx="1">
                  <c:v>27</c:v>
                </c:pt>
                <c:pt idx="2">
                  <c:v>9</c:v>
                </c:pt>
                <c:pt idx="3">
                  <c:v>0</c:v>
                </c:pt>
                <c:pt idx="4">
                  <c:v>0</c:v>
                </c:pt>
                <c:pt idx="5">
                  <c:v>0</c:v>
                </c:pt>
                <c:pt idx="6">
                  <c:v>152</c:v>
                </c:pt>
                <c:pt idx="7">
                  <c:v>36</c:v>
                </c:pt>
                <c:pt idx="8">
                  <c:v>13</c:v>
                </c:pt>
                <c:pt idx="9">
                  <c:v>8</c:v>
                </c:pt>
                <c:pt idx="10">
                  <c:v>25</c:v>
                </c:pt>
                <c:pt idx="11">
                  <c:v>14</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c:formatCode>
                <c:ptCount val="12"/>
                <c:pt idx="0">
                  <c:v>7.71</c:v>
                </c:pt>
                <c:pt idx="1">
                  <c:v>10.039999999999999</c:v>
                </c:pt>
                <c:pt idx="2">
                  <c:v>7.5</c:v>
                </c:pt>
                <c:pt idx="3">
                  <c:v>0</c:v>
                </c:pt>
                <c:pt idx="4">
                  <c:v>0</c:v>
                </c:pt>
                <c:pt idx="5">
                  <c:v>0</c:v>
                </c:pt>
                <c:pt idx="6">
                  <c:v>15.46</c:v>
                </c:pt>
                <c:pt idx="7">
                  <c:v>7.76</c:v>
                </c:pt>
                <c:pt idx="8">
                  <c:v>6.23</c:v>
                </c:pt>
                <c:pt idx="9">
                  <c:v>5.92</c:v>
                </c:pt>
                <c:pt idx="10">
                  <c:v>6.11</c:v>
                </c:pt>
                <c:pt idx="11">
                  <c:v>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10</c:v>
                </c:pt>
                <c:pt idx="1">
                  <c:v>14</c:v>
                </c:pt>
                <c:pt idx="2">
                  <c:v>8</c:v>
                </c:pt>
                <c:pt idx="3">
                  <c:v>0</c:v>
                </c:pt>
                <c:pt idx="4">
                  <c:v>0</c:v>
                </c:pt>
                <c:pt idx="5">
                  <c:v>0</c:v>
                </c:pt>
                <c:pt idx="6">
                  <c:v>34</c:v>
                </c:pt>
                <c:pt idx="7">
                  <c:v>12</c:v>
                </c:pt>
                <c:pt idx="8">
                  <c:v>7</c:v>
                </c:pt>
                <c:pt idx="9">
                  <c:v>7</c:v>
                </c:pt>
                <c:pt idx="10">
                  <c:v>10</c:v>
                </c:pt>
                <c:pt idx="11">
                  <c:v>8</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1391936"/>
        <c:axId val="311392328"/>
      </c:lineChart>
      <c:catAx>
        <c:axId val="311391936"/>
        <c:scaling>
          <c:orientation val="minMax"/>
        </c:scaling>
        <c:delete val="0"/>
        <c:axPos val="b"/>
        <c:numFmt formatCode="General" sourceLinked="1"/>
        <c:majorTickMark val="out"/>
        <c:minorTickMark val="none"/>
        <c:tickLblPos val="nextTo"/>
        <c:crossAx val="311392328"/>
        <c:crosses val="autoZero"/>
        <c:auto val="1"/>
        <c:lblAlgn val="ctr"/>
        <c:lblOffset val="100"/>
        <c:noMultiLvlLbl val="0"/>
      </c:catAx>
      <c:valAx>
        <c:axId val="3113923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1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67</c:v>
                </c:pt>
                <c:pt idx="1">
                  <c:v>73</c:v>
                </c:pt>
                <c:pt idx="2">
                  <c:v>63</c:v>
                </c:pt>
                <c:pt idx="3">
                  <c:v>0</c:v>
                </c:pt>
                <c:pt idx="4">
                  <c:v>0</c:v>
                </c:pt>
                <c:pt idx="5">
                  <c:v>0</c:v>
                </c:pt>
                <c:pt idx="6">
                  <c:v>145</c:v>
                </c:pt>
                <c:pt idx="7">
                  <c:v>86</c:v>
                </c:pt>
                <c:pt idx="8">
                  <c:v>96</c:v>
                </c:pt>
                <c:pt idx="9">
                  <c:v>117</c:v>
                </c:pt>
                <c:pt idx="10">
                  <c:v>127</c:v>
                </c:pt>
                <c:pt idx="11">
                  <c:v>134</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94</c:v>
                </c:pt>
                <c:pt idx="1">
                  <c:v>90</c:v>
                </c:pt>
                <c:pt idx="2">
                  <c:v>86</c:v>
                </c:pt>
                <c:pt idx="3">
                  <c:v>0</c:v>
                </c:pt>
                <c:pt idx="4">
                  <c:v>0</c:v>
                </c:pt>
                <c:pt idx="5">
                  <c:v>0</c:v>
                </c:pt>
                <c:pt idx="6">
                  <c:v>246</c:v>
                </c:pt>
                <c:pt idx="7">
                  <c:v>162</c:v>
                </c:pt>
                <c:pt idx="8">
                  <c:v>169</c:v>
                </c:pt>
                <c:pt idx="9">
                  <c:v>182</c:v>
                </c:pt>
                <c:pt idx="10">
                  <c:v>200</c:v>
                </c:pt>
                <c:pt idx="11">
                  <c:v>193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c:formatCode>
                <c:ptCount val="12"/>
                <c:pt idx="0">
                  <c:v>66.5</c:v>
                </c:pt>
                <c:pt idx="1">
                  <c:v>72.72</c:v>
                </c:pt>
                <c:pt idx="2">
                  <c:v>63.18</c:v>
                </c:pt>
                <c:pt idx="3">
                  <c:v>0</c:v>
                </c:pt>
                <c:pt idx="4">
                  <c:v>0</c:v>
                </c:pt>
                <c:pt idx="5">
                  <c:v>0</c:v>
                </c:pt>
                <c:pt idx="6">
                  <c:v>144.53</c:v>
                </c:pt>
                <c:pt idx="7">
                  <c:v>86.23</c:v>
                </c:pt>
                <c:pt idx="8">
                  <c:v>95.58</c:v>
                </c:pt>
                <c:pt idx="9">
                  <c:v>116.61</c:v>
                </c:pt>
                <c:pt idx="10">
                  <c:v>127.23</c:v>
                </c:pt>
                <c:pt idx="11">
                  <c:v>133.57</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80</c:v>
                </c:pt>
                <c:pt idx="1">
                  <c:v>83</c:v>
                </c:pt>
                <c:pt idx="2">
                  <c:v>74</c:v>
                </c:pt>
                <c:pt idx="3">
                  <c:v>0</c:v>
                </c:pt>
                <c:pt idx="4">
                  <c:v>0</c:v>
                </c:pt>
                <c:pt idx="5">
                  <c:v>0</c:v>
                </c:pt>
                <c:pt idx="6">
                  <c:v>169</c:v>
                </c:pt>
                <c:pt idx="7">
                  <c:v>114</c:v>
                </c:pt>
                <c:pt idx="8">
                  <c:v>154</c:v>
                </c:pt>
                <c:pt idx="9">
                  <c:v>138</c:v>
                </c:pt>
                <c:pt idx="10">
                  <c:v>145</c:v>
                </c:pt>
                <c:pt idx="11">
                  <c:v>169</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1393504"/>
        <c:axId val="315846440"/>
      </c:lineChart>
      <c:catAx>
        <c:axId val="311393504"/>
        <c:scaling>
          <c:orientation val="minMax"/>
        </c:scaling>
        <c:delete val="0"/>
        <c:axPos val="b"/>
        <c:numFmt formatCode="General" sourceLinked="1"/>
        <c:majorTickMark val="out"/>
        <c:minorTickMark val="none"/>
        <c:tickLblPos val="nextTo"/>
        <c:crossAx val="315846440"/>
        <c:crosses val="autoZero"/>
        <c:auto val="1"/>
        <c:lblAlgn val="ctr"/>
        <c:lblOffset val="100"/>
        <c:noMultiLvlLbl val="0"/>
      </c:catAx>
      <c:valAx>
        <c:axId val="315846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3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c:v>
                </c:pt>
                <c:pt idx="1">
                  <c:v>0</c:v>
                </c:pt>
                <c:pt idx="2">
                  <c:v>0</c:v>
                </c:pt>
                <c:pt idx="3">
                  <c:v>0</c:v>
                </c:pt>
                <c:pt idx="4">
                  <c:v>0</c:v>
                </c:pt>
                <c:pt idx="5">
                  <c:v>0</c:v>
                </c:pt>
                <c:pt idx="6">
                  <c:v>3</c:v>
                </c:pt>
                <c:pt idx="7">
                  <c:v>3</c:v>
                </c:pt>
                <c:pt idx="8">
                  <c:v>21</c:v>
                </c:pt>
                <c:pt idx="9">
                  <c:v>7</c:v>
                </c:pt>
                <c:pt idx="10">
                  <c:v>3</c:v>
                </c:pt>
                <c:pt idx="11">
                  <c:v>1</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c:v>
                </c:pt>
                <c:pt idx="1">
                  <c:v>0</c:v>
                </c:pt>
                <c:pt idx="2">
                  <c:v>0</c:v>
                </c:pt>
                <c:pt idx="3">
                  <c:v>0</c:v>
                </c:pt>
                <c:pt idx="4">
                  <c:v>0</c:v>
                </c:pt>
                <c:pt idx="5">
                  <c:v>0</c:v>
                </c:pt>
                <c:pt idx="6">
                  <c:v>2</c:v>
                </c:pt>
                <c:pt idx="7">
                  <c:v>1</c:v>
                </c:pt>
                <c:pt idx="8">
                  <c:v>1</c:v>
                </c:pt>
                <c:pt idx="9">
                  <c:v>1</c:v>
                </c:pt>
                <c:pt idx="10">
                  <c:v>1</c:v>
                </c:pt>
                <c:pt idx="11">
                  <c:v>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5849184"/>
        <c:axId val="315849576"/>
      </c:lineChart>
      <c:catAx>
        <c:axId val="315849184"/>
        <c:scaling>
          <c:orientation val="minMax"/>
        </c:scaling>
        <c:delete val="0"/>
        <c:axPos val="b"/>
        <c:numFmt formatCode="General" sourceLinked="1"/>
        <c:majorTickMark val="out"/>
        <c:minorTickMark val="none"/>
        <c:tickLblPos val="nextTo"/>
        <c:crossAx val="315849576"/>
        <c:crosses val="autoZero"/>
        <c:auto val="1"/>
        <c:lblAlgn val="ctr"/>
        <c:lblOffset val="100"/>
        <c:noMultiLvlLbl val="0"/>
      </c:catAx>
      <c:valAx>
        <c:axId val="3158495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91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c:v>
                </c:pt>
                <c:pt idx="1">
                  <c:v>0</c:v>
                </c:pt>
                <c:pt idx="2">
                  <c:v>0</c:v>
                </c:pt>
                <c:pt idx="3">
                  <c:v>0</c:v>
                </c:pt>
                <c:pt idx="4">
                  <c:v>0</c:v>
                </c:pt>
                <c:pt idx="5">
                  <c:v>0</c:v>
                </c:pt>
                <c:pt idx="6">
                  <c:v>0</c:v>
                </c:pt>
                <c:pt idx="7">
                  <c:v>0</c:v>
                </c:pt>
                <c:pt idx="8">
                  <c:v>0</c:v>
                </c:pt>
                <c:pt idx="9">
                  <c:v>1</c:v>
                </c:pt>
                <c:pt idx="10">
                  <c:v>0</c:v>
                </c:pt>
                <c:pt idx="11">
                  <c:v>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2</c:v>
                </c:pt>
                <c:pt idx="1">
                  <c:v>1</c:v>
                </c:pt>
                <c:pt idx="2">
                  <c:v>4</c:v>
                </c:pt>
                <c:pt idx="3">
                  <c:v>0</c:v>
                </c:pt>
                <c:pt idx="4">
                  <c:v>0</c:v>
                </c:pt>
                <c:pt idx="5">
                  <c:v>0</c:v>
                </c:pt>
                <c:pt idx="6">
                  <c:v>2</c:v>
                </c:pt>
                <c:pt idx="7">
                  <c:v>2</c:v>
                </c:pt>
                <c:pt idx="8">
                  <c:v>2</c:v>
                </c:pt>
                <c:pt idx="9">
                  <c:v>1</c:v>
                </c:pt>
                <c:pt idx="10">
                  <c:v>5</c:v>
                </c:pt>
                <c:pt idx="11">
                  <c:v>2</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c:v>
                </c:pt>
                <c:pt idx="1">
                  <c:v>0</c:v>
                </c:pt>
                <c:pt idx="2">
                  <c:v>0</c:v>
                </c:pt>
                <c:pt idx="3">
                  <c:v>0</c:v>
                </c:pt>
                <c:pt idx="4">
                  <c:v>0</c:v>
                </c:pt>
                <c:pt idx="5">
                  <c:v>0</c:v>
                </c:pt>
                <c:pt idx="6">
                  <c:v>0</c:v>
                </c:pt>
                <c:pt idx="7">
                  <c:v>0</c:v>
                </c:pt>
                <c:pt idx="8">
                  <c:v>0</c:v>
                </c:pt>
                <c:pt idx="9">
                  <c:v>1</c:v>
                </c:pt>
                <c:pt idx="10">
                  <c:v>0</c:v>
                </c:pt>
                <c:pt idx="11">
                  <c:v>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c:v>
                </c:pt>
                <c:pt idx="1">
                  <c:v>1</c:v>
                </c:pt>
                <c:pt idx="2">
                  <c:v>1</c:v>
                </c:pt>
                <c:pt idx="3">
                  <c:v>0</c:v>
                </c:pt>
                <c:pt idx="4">
                  <c:v>0</c:v>
                </c:pt>
                <c:pt idx="5">
                  <c:v>0</c:v>
                </c:pt>
                <c:pt idx="6">
                  <c:v>0</c:v>
                </c:pt>
                <c:pt idx="7">
                  <c:v>1</c:v>
                </c:pt>
                <c:pt idx="8">
                  <c:v>1</c:v>
                </c:pt>
                <c:pt idx="9">
                  <c:v>1</c:v>
                </c:pt>
                <c:pt idx="10">
                  <c:v>1</c:v>
                </c:pt>
                <c:pt idx="11">
                  <c:v>1</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5851144"/>
        <c:axId val="315851536"/>
      </c:lineChart>
      <c:catAx>
        <c:axId val="315851144"/>
        <c:scaling>
          <c:orientation val="minMax"/>
        </c:scaling>
        <c:delete val="0"/>
        <c:axPos val="b"/>
        <c:numFmt formatCode="General" sourceLinked="1"/>
        <c:majorTickMark val="out"/>
        <c:minorTickMark val="none"/>
        <c:tickLblPos val="nextTo"/>
        <c:crossAx val="315851536"/>
        <c:crosses val="autoZero"/>
        <c:auto val="1"/>
        <c:lblAlgn val="ctr"/>
        <c:lblOffset val="100"/>
        <c:noMultiLvlLbl val="0"/>
      </c:catAx>
      <c:valAx>
        <c:axId val="3158515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11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3</c:v>
                </c:pt>
                <c:pt idx="1">
                  <c:v>4</c:v>
                </c:pt>
                <c:pt idx="2">
                  <c:v>4</c:v>
                </c:pt>
                <c:pt idx="3">
                  <c:v>0</c:v>
                </c:pt>
                <c:pt idx="4">
                  <c:v>0</c:v>
                </c:pt>
                <c:pt idx="5">
                  <c:v>0</c:v>
                </c:pt>
                <c:pt idx="6">
                  <c:v>5</c:v>
                </c:pt>
                <c:pt idx="7">
                  <c:v>10</c:v>
                </c:pt>
                <c:pt idx="8">
                  <c:v>8</c:v>
                </c:pt>
                <c:pt idx="9">
                  <c:v>6</c:v>
                </c:pt>
                <c:pt idx="10">
                  <c:v>5</c:v>
                </c:pt>
                <c:pt idx="11">
                  <c:v>3</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14</c:v>
                </c:pt>
                <c:pt idx="1">
                  <c:v>9</c:v>
                </c:pt>
                <c:pt idx="2">
                  <c:v>10</c:v>
                </c:pt>
                <c:pt idx="3">
                  <c:v>0</c:v>
                </c:pt>
                <c:pt idx="4">
                  <c:v>0</c:v>
                </c:pt>
                <c:pt idx="5">
                  <c:v>0</c:v>
                </c:pt>
                <c:pt idx="6">
                  <c:v>63</c:v>
                </c:pt>
                <c:pt idx="7">
                  <c:v>123</c:v>
                </c:pt>
                <c:pt idx="8">
                  <c:v>175</c:v>
                </c:pt>
                <c:pt idx="9">
                  <c:v>169</c:v>
                </c:pt>
                <c:pt idx="10">
                  <c:v>72</c:v>
                </c:pt>
                <c:pt idx="11">
                  <c:v>24</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0</c:formatCode>
                <c:ptCount val="12"/>
                <c:pt idx="0">
                  <c:v>3.5</c:v>
                </c:pt>
                <c:pt idx="1">
                  <c:v>4.3600000000000003</c:v>
                </c:pt>
                <c:pt idx="2">
                  <c:v>3.95</c:v>
                </c:pt>
                <c:pt idx="3">
                  <c:v>0</c:v>
                </c:pt>
                <c:pt idx="4">
                  <c:v>0</c:v>
                </c:pt>
                <c:pt idx="5">
                  <c:v>0</c:v>
                </c:pt>
                <c:pt idx="6">
                  <c:v>4.53</c:v>
                </c:pt>
                <c:pt idx="7">
                  <c:v>9.76</c:v>
                </c:pt>
                <c:pt idx="8">
                  <c:v>7.76</c:v>
                </c:pt>
                <c:pt idx="9">
                  <c:v>6.38</c:v>
                </c:pt>
                <c:pt idx="10">
                  <c:v>4.7</c:v>
                </c:pt>
                <c:pt idx="11">
                  <c:v>3.42</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5</c:v>
                </c:pt>
                <c:pt idx="1">
                  <c:v>6</c:v>
                </c:pt>
                <c:pt idx="2">
                  <c:v>5</c:v>
                </c:pt>
                <c:pt idx="3">
                  <c:v>0</c:v>
                </c:pt>
                <c:pt idx="4">
                  <c:v>0</c:v>
                </c:pt>
                <c:pt idx="5">
                  <c:v>0</c:v>
                </c:pt>
                <c:pt idx="6">
                  <c:v>9</c:v>
                </c:pt>
                <c:pt idx="7">
                  <c:v>23</c:v>
                </c:pt>
                <c:pt idx="8">
                  <c:v>23</c:v>
                </c:pt>
                <c:pt idx="9">
                  <c:v>16</c:v>
                </c:pt>
                <c:pt idx="10">
                  <c:v>10</c:v>
                </c:pt>
                <c:pt idx="11">
                  <c:v>5</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5850752"/>
        <c:axId val="315848792"/>
      </c:lineChart>
      <c:catAx>
        <c:axId val="315850752"/>
        <c:scaling>
          <c:orientation val="minMax"/>
        </c:scaling>
        <c:delete val="0"/>
        <c:axPos val="b"/>
        <c:numFmt formatCode="General" sourceLinked="1"/>
        <c:majorTickMark val="out"/>
        <c:minorTickMark val="none"/>
        <c:tickLblPos val="nextTo"/>
        <c:crossAx val="315848792"/>
        <c:crosses val="autoZero"/>
        <c:auto val="1"/>
        <c:lblAlgn val="ctr"/>
        <c:lblOffset val="100"/>
        <c:noMultiLvlLbl val="0"/>
      </c:catAx>
      <c:valAx>
        <c:axId val="3158487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07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c:v>
                </c:pt>
                <c:pt idx="1">
                  <c:v>0</c:v>
                </c:pt>
                <c:pt idx="2">
                  <c:v>0</c:v>
                </c:pt>
                <c:pt idx="3">
                  <c:v>0</c:v>
                </c:pt>
                <c:pt idx="4">
                  <c:v>0</c:v>
                </c:pt>
                <c:pt idx="5">
                  <c:v>0</c:v>
                </c:pt>
                <c:pt idx="6">
                  <c:v>0</c:v>
                </c:pt>
                <c:pt idx="7">
                  <c:v>2</c:v>
                </c:pt>
                <c:pt idx="8">
                  <c:v>1</c:v>
                </c:pt>
                <c:pt idx="9">
                  <c:v>0</c:v>
                </c:pt>
                <c:pt idx="10">
                  <c:v>0</c:v>
                </c:pt>
                <c:pt idx="11">
                  <c:v>1</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0</c:v>
                </c:pt>
                <c:pt idx="1">
                  <c:v>1</c:v>
                </c:pt>
                <c:pt idx="2">
                  <c:v>0</c:v>
                </c:pt>
                <c:pt idx="3">
                  <c:v>0</c:v>
                </c:pt>
                <c:pt idx="4">
                  <c:v>0</c:v>
                </c:pt>
                <c:pt idx="5">
                  <c:v>0</c:v>
                </c:pt>
                <c:pt idx="6">
                  <c:v>1</c:v>
                </c:pt>
                <c:pt idx="7">
                  <c:v>11</c:v>
                </c:pt>
                <c:pt idx="8">
                  <c:v>7</c:v>
                </c:pt>
                <c:pt idx="9">
                  <c:v>2</c:v>
                </c:pt>
                <c:pt idx="10">
                  <c:v>4</c:v>
                </c:pt>
                <c:pt idx="11">
                  <c:v>16</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c:formatCode>
                <c:ptCount val="12"/>
                <c:pt idx="0">
                  <c:v>0</c:v>
                </c:pt>
                <c:pt idx="1">
                  <c:v>0</c:v>
                </c:pt>
                <c:pt idx="2">
                  <c:v>0</c:v>
                </c:pt>
                <c:pt idx="3">
                  <c:v>0</c:v>
                </c:pt>
                <c:pt idx="4">
                  <c:v>0</c:v>
                </c:pt>
                <c:pt idx="5">
                  <c:v>0</c:v>
                </c:pt>
                <c:pt idx="6">
                  <c:v>0</c:v>
                </c:pt>
                <c:pt idx="7">
                  <c:v>2.0699999999999998</c:v>
                </c:pt>
                <c:pt idx="8">
                  <c:v>0.7</c:v>
                </c:pt>
                <c:pt idx="9">
                  <c:v>0.23</c:v>
                </c:pt>
                <c:pt idx="10">
                  <c:v>0.47</c:v>
                </c:pt>
                <c:pt idx="11">
                  <c:v>1</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c:v>
                </c:pt>
                <c:pt idx="1">
                  <c:v>1</c:v>
                </c:pt>
                <c:pt idx="2">
                  <c:v>0</c:v>
                </c:pt>
                <c:pt idx="3">
                  <c:v>0</c:v>
                </c:pt>
                <c:pt idx="4">
                  <c:v>0</c:v>
                </c:pt>
                <c:pt idx="5">
                  <c:v>0</c:v>
                </c:pt>
                <c:pt idx="6">
                  <c:v>0</c:v>
                </c:pt>
                <c:pt idx="7">
                  <c:v>5</c:v>
                </c:pt>
                <c:pt idx="8">
                  <c:v>2</c:v>
                </c:pt>
                <c:pt idx="9">
                  <c:v>2</c:v>
                </c:pt>
                <c:pt idx="10">
                  <c:v>2</c:v>
                </c:pt>
                <c:pt idx="11">
                  <c:v>4</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5853888"/>
        <c:axId val="317518896"/>
      </c:lineChart>
      <c:catAx>
        <c:axId val="315853888"/>
        <c:scaling>
          <c:orientation val="minMax"/>
        </c:scaling>
        <c:delete val="0"/>
        <c:axPos val="b"/>
        <c:numFmt formatCode="General" sourceLinked="1"/>
        <c:majorTickMark val="out"/>
        <c:minorTickMark val="none"/>
        <c:tickLblPos val="nextTo"/>
        <c:crossAx val="317518896"/>
        <c:crosses val="autoZero"/>
        <c:auto val="1"/>
        <c:lblAlgn val="ctr"/>
        <c:lblOffset val="100"/>
        <c:noMultiLvlLbl val="0"/>
      </c:catAx>
      <c:valAx>
        <c:axId val="3175188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38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mily.hingston@sol-environment.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30" zoomScale="110" zoomScaleNormal="110" workbookViewId="0">
      <selection activeCell="B35" sqref="B35:I35"/>
    </sheetView>
  </sheetViews>
  <sheetFormatPr defaultColWidth="9.33203125" defaultRowHeight="15" x14ac:dyDescent="0.25"/>
  <cols>
    <col min="1" max="1" width="9.33203125" style="2" customWidth="1"/>
    <col min="2" max="2" width="14.5546875" style="2" bestFit="1" customWidth="1"/>
    <col min="3" max="4" width="9.33203125" style="2"/>
    <col min="5" max="5" width="15.5546875" style="2" customWidth="1"/>
    <col min="6" max="8" width="9.33203125" style="2"/>
    <col min="9" max="9" width="14.109375" style="2" customWidth="1"/>
    <col min="10" max="10" width="11.5546875" style="2" customWidth="1"/>
    <col min="11" max="14" width="9.33203125" style="2"/>
    <col min="15" max="15" width="9.33203125" style="2" customWidth="1"/>
    <col min="16" max="16384" width="9.33203125" style="2"/>
  </cols>
  <sheetData>
    <row r="1" spans="2:16" x14ac:dyDescent="0.25">
      <c r="B1" s="92"/>
      <c r="C1" s="92"/>
      <c r="D1" s="169" t="s">
        <v>0</v>
      </c>
      <c r="E1" s="170"/>
      <c r="F1" s="170"/>
      <c r="G1" s="170"/>
      <c r="H1" s="92"/>
      <c r="I1" s="92"/>
      <c r="J1" s="92"/>
      <c r="K1" s="92"/>
      <c r="L1" s="92"/>
      <c r="M1" s="92"/>
      <c r="N1" s="92"/>
      <c r="O1" s="92"/>
      <c r="P1" s="92"/>
    </row>
    <row r="2" spans="2:16" x14ac:dyDescent="0.25">
      <c r="B2" s="92"/>
      <c r="C2" s="92"/>
      <c r="D2" s="170"/>
      <c r="E2" s="170"/>
      <c r="F2" s="170"/>
      <c r="G2" s="170"/>
      <c r="H2" s="92"/>
      <c r="I2" s="92"/>
      <c r="J2" s="92"/>
      <c r="K2" s="92"/>
      <c r="L2" s="92"/>
      <c r="M2" s="92"/>
      <c r="N2" s="92" t="s">
        <v>1</v>
      </c>
      <c r="O2" s="92"/>
      <c r="P2" s="102"/>
    </row>
    <row r="3" spans="2:16" x14ac:dyDescent="0.25">
      <c r="B3" s="92"/>
      <c r="C3" s="92"/>
      <c r="D3" s="170"/>
      <c r="E3" s="170"/>
      <c r="F3" s="170"/>
      <c r="G3" s="170"/>
      <c r="H3" s="92"/>
      <c r="I3" s="92"/>
      <c r="J3" s="92"/>
      <c r="K3" s="92"/>
      <c r="L3" s="92"/>
      <c r="M3" s="92"/>
      <c r="N3" s="102"/>
      <c r="O3" s="92"/>
      <c r="P3" s="92"/>
    </row>
    <row r="4" spans="2:16" x14ac:dyDescent="0.25">
      <c r="B4" s="92"/>
      <c r="C4" s="92"/>
      <c r="D4" s="170"/>
      <c r="E4" s="170"/>
      <c r="F4" s="170"/>
      <c r="G4" s="170"/>
      <c r="H4" s="92"/>
      <c r="I4" s="92"/>
      <c r="J4" s="92"/>
      <c r="K4" s="92"/>
      <c r="L4" s="92"/>
      <c r="M4" s="92"/>
      <c r="N4" s="92"/>
      <c r="O4" s="92"/>
      <c r="P4" s="92"/>
    </row>
    <row r="5" spans="2:16" x14ac:dyDescent="0.25">
      <c r="B5" s="92"/>
      <c r="C5" s="92"/>
      <c r="D5" s="170"/>
      <c r="E5" s="170"/>
      <c r="F5" s="170"/>
      <c r="G5" s="170"/>
      <c r="H5" s="92"/>
      <c r="I5" s="92"/>
      <c r="J5" s="92"/>
      <c r="K5" s="92"/>
      <c r="L5" s="92"/>
      <c r="M5" s="92"/>
      <c r="N5" s="92"/>
      <c r="O5" s="92"/>
      <c r="P5" s="92"/>
    </row>
    <row r="6" spans="2:16" x14ac:dyDescent="0.25">
      <c r="B6" s="92"/>
      <c r="C6" s="92"/>
      <c r="D6" s="170"/>
      <c r="E6" s="170"/>
      <c r="F6" s="170"/>
      <c r="G6" s="170"/>
      <c r="H6" s="92"/>
      <c r="I6" s="92"/>
      <c r="J6" s="92"/>
      <c r="K6" s="92"/>
      <c r="L6" s="92"/>
      <c r="M6" s="92"/>
      <c r="N6" s="92"/>
      <c r="O6" s="92"/>
      <c r="P6" s="92"/>
    </row>
    <row r="8" spans="2:16" ht="15.75" customHeight="1" x14ac:dyDescent="0.25">
      <c r="B8" s="171" t="s">
        <v>2</v>
      </c>
      <c r="C8" s="171"/>
      <c r="D8" s="171"/>
      <c r="E8" s="171"/>
      <c r="F8" s="171"/>
      <c r="G8" s="171"/>
      <c r="H8" s="171"/>
      <c r="I8" s="171"/>
      <c r="J8" s="92"/>
      <c r="K8" s="92"/>
      <c r="L8" s="92"/>
      <c r="M8" s="92"/>
      <c r="N8" s="71"/>
      <c r="O8" s="92"/>
      <c r="P8" s="92"/>
    </row>
    <row r="9" spans="2:16" x14ac:dyDescent="0.25">
      <c r="B9" s="171"/>
      <c r="C9" s="171"/>
      <c r="D9" s="171"/>
      <c r="E9" s="171"/>
      <c r="F9" s="171"/>
      <c r="G9" s="171"/>
      <c r="H9" s="171"/>
      <c r="I9" s="171"/>
      <c r="J9" s="92"/>
      <c r="K9" s="92"/>
      <c r="L9" s="92"/>
      <c r="M9" s="92"/>
      <c r="N9" s="92"/>
      <c r="O9" s="92"/>
      <c r="P9" s="92"/>
    </row>
    <row r="10" spans="2:16" x14ac:dyDescent="0.25">
      <c r="B10" s="171"/>
      <c r="C10" s="171"/>
      <c r="D10" s="171"/>
      <c r="E10" s="171"/>
      <c r="F10" s="171"/>
      <c r="G10" s="171"/>
      <c r="H10" s="171"/>
      <c r="I10" s="171"/>
      <c r="J10" s="92"/>
      <c r="K10" s="92"/>
      <c r="L10" s="92"/>
      <c r="M10" s="92"/>
      <c r="N10" s="92"/>
      <c r="O10" s="92"/>
      <c r="P10" s="92"/>
    </row>
    <row r="11" spans="2:16" x14ac:dyDescent="0.25">
      <c r="B11" s="171"/>
      <c r="C11" s="171"/>
      <c r="D11" s="171"/>
      <c r="E11" s="171"/>
      <c r="F11" s="171"/>
      <c r="G11" s="171"/>
      <c r="H11" s="171"/>
      <c r="I11" s="171"/>
      <c r="J11" s="92"/>
      <c r="K11" s="92"/>
      <c r="L11" s="92"/>
      <c r="M11" s="92"/>
      <c r="N11" s="92"/>
      <c r="O11" s="92"/>
      <c r="P11" s="92"/>
    </row>
    <row r="12" spans="2:16" x14ac:dyDescent="0.25">
      <c r="B12" s="171"/>
      <c r="C12" s="171"/>
      <c r="D12" s="171"/>
      <c r="E12" s="171"/>
      <c r="F12" s="171"/>
      <c r="G12" s="171"/>
      <c r="H12" s="171"/>
      <c r="I12" s="171"/>
      <c r="J12" s="92"/>
      <c r="K12" s="92"/>
      <c r="L12" s="92"/>
      <c r="M12" s="92"/>
      <c r="N12" s="92"/>
      <c r="O12" s="92"/>
      <c r="P12" s="92"/>
    </row>
    <row r="13" spans="2:16" ht="15.6" x14ac:dyDescent="0.3">
      <c r="B13" s="171"/>
      <c r="C13" s="171"/>
      <c r="D13" s="171"/>
      <c r="E13" s="171"/>
      <c r="F13" s="171"/>
      <c r="G13" s="171"/>
      <c r="H13" s="171"/>
      <c r="I13" s="171"/>
      <c r="J13" s="92"/>
      <c r="K13" s="92"/>
      <c r="L13" s="92"/>
      <c r="M13" s="92"/>
      <c r="N13" s="75" t="s">
        <v>3</v>
      </c>
      <c r="O13" s="73"/>
      <c r="P13" s="73"/>
    </row>
    <row r="14" spans="2:16" ht="15.6" customHeight="1" x14ac:dyDescent="0.25">
      <c r="B14" s="171"/>
      <c r="C14" s="171"/>
      <c r="D14" s="171"/>
      <c r="E14" s="171"/>
      <c r="F14" s="171"/>
      <c r="G14" s="171"/>
      <c r="H14" s="171"/>
      <c r="I14" s="171"/>
      <c r="J14" s="92"/>
      <c r="K14" s="92"/>
      <c r="L14" s="92"/>
      <c r="M14" s="92"/>
      <c r="N14" s="167" t="s">
        <v>4</v>
      </c>
      <c r="O14" s="167"/>
      <c r="P14" s="167"/>
    </row>
    <row r="15" spans="2:16" x14ac:dyDescent="0.25">
      <c r="B15" s="171"/>
      <c r="C15" s="171"/>
      <c r="D15" s="171"/>
      <c r="E15" s="171"/>
      <c r="F15" s="171"/>
      <c r="G15" s="171"/>
      <c r="H15" s="171"/>
      <c r="I15" s="171"/>
      <c r="J15" s="92"/>
      <c r="K15" s="92"/>
      <c r="L15" s="92"/>
      <c r="M15" s="92"/>
      <c r="N15" s="167"/>
      <c r="O15" s="167"/>
      <c r="P15" s="167"/>
    </row>
    <row r="16" spans="2:16" x14ac:dyDescent="0.25">
      <c r="B16" s="171"/>
      <c r="C16" s="171"/>
      <c r="D16" s="171"/>
      <c r="E16" s="171"/>
      <c r="F16" s="171"/>
      <c r="G16" s="171"/>
      <c r="H16" s="171"/>
      <c r="I16" s="171"/>
      <c r="J16" s="92"/>
      <c r="K16" s="92"/>
      <c r="L16" s="92"/>
      <c r="M16" s="92"/>
      <c r="N16" s="167"/>
      <c r="O16" s="167"/>
      <c r="P16" s="167"/>
    </row>
    <row r="17" spans="2:16" x14ac:dyDescent="0.25">
      <c r="B17" s="171"/>
      <c r="C17" s="171"/>
      <c r="D17" s="171"/>
      <c r="E17" s="171"/>
      <c r="F17" s="171"/>
      <c r="G17" s="171"/>
      <c r="H17" s="171"/>
      <c r="I17" s="171"/>
      <c r="J17" s="92"/>
      <c r="K17" s="92"/>
      <c r="L17" s="92"/>
      <c r="M17" s="92"/>
      <c r="N17" s="167"/>
      <c r="O17" s="167"/>
      <c r="P17" s="167"/>
    </row>
    <row r="18" spans="2:16" x14ac:dyDescent="0.25">
      <c r="B18" s="171"/>
      <c r="C18" s="171"/>
      <c r="D18" s="171"/>
      <c r="E18" s="171"/>
      <c r="F18" s="171"/>
      <c r="G18" s="171"/>
      <c r="H18" s="171"/>
      <c r="I18" s="171"/>
      <c r="J18" s="92"/>
      <c r="K18" s="92"/>
      <c r="L18" s="92"/>
      <c r="M18" s="92"/>
      <c r="N18" s="167"/>
      <c r="O18" s="167"/>
      <c r="P18" s="167"/>
    </row>
    <row r="19" spans="2:16" x14ac:dyDescent="0.25">
      <c r="B19" s="171"/>
      <c r="C19" s="171"/>
      <c r="D19" s="171"/>
      <c r="E19" s="171"/>
      <c r="F19" s="171"/>
      <c r="G19" s="171"/>
      <c r="H19" s="171"/>
      <c r="I19" s="171"/>
      <c r="J19" s="92"/>
      <c r="K19" s="92"/>
      <c r="L19" s="92"/>
      <c r="M19" s="92"/>
      <c r="N19" s="167"/>
      <c r="O19" s="167"/>
      <c r="P19" s="167"/>
    </row>
    <row r="20" spans="2:16" x14ac:dyDescent="0.25">
      <c r="B20" s="171"/>
      <c r="C20" s="171"/>
      <c r="D20" s="171"/>
      <c r="E20" s="171"/>
      <c r="F20" s="171"/>
      <c r="G20" s="171"/>
      <c r="H20" s="171"/>
      <c r="I20" s="171"/>
      <c r="J20" s="92"/>
      <c r="K20" s="92"/>
      <c r="L20" s="92"/>
      <c r="M20" s="92"/>
      <c r="N20" s="92"/>
      <c r="O20" s="92"/>
      <c r="P20" s="92"/>
    </row>
    <row r="21" spans="2:16" x14ac:dyDescent="0.25">
      <c r="B21" s="171"/>
      <c r="C21" s="171"/>
      <c r="D21" s="171"/>
      <c r="E21" s="171"/>
      <c r="F21" s="171"/>
      <c r="G21" s="171"/>
      <c r="H21" s="171"/>
      <c r="I21" s="171"/>
      <c r="J21" s="92"/>
      <c r="K21" s="92"/>
      <c r="L21" s="92"/>
      <c r="M21" s="92"/>
      <c r="N21" s="92"/>
      <c r="O21" s="92"/>
      <c r="P21" s="92"/>
    </row>
    <row r="22" spans="2:16" x14ac:dyDescent="0.25">
      <c r="B22" s="171"/>
      <c r="C22" s="171"/>
      <c r="D22" s="171"/>
      <c r="E22" s="171"/>
      <c r="F22" s="171"/>
      <c r="G22" s="171"/>
      <c r="H22" s="171"/>
      <c r="I22" s="171"/>
      <c r="J22" s="92"/>
      <c r="K22" s="92"/>
      <c r="L22" s="92"/>
      <c r="M22" s="92"/>
      <c r="N22" s="92"/>
      <c r="O22" s="92"/>
      <c r="P22" s="92"/>
    </row>
    <row r="23" spans="2:16" x14ac:dyDescent="0.25">
      <c r="B23" s="171"/>
      <c r="C23" s="171"/>
      <c r="D23" s="171"/>
      <c r="E23" s="171"/>
      <c r="F23" s="171"/>
      <c r="G23" s="171"/>
      <c r="H23" s="171"/>
      <c r="I23" s="171"/>
      <c r="J23" s="92"/>
      <c r="K23" s="92"/>
      <c r="L23" s="92"/>
      <c r="M23" s="92"/>
      <c r="N23" s="92"/>
      <c r="O23" s="92"/>
      <c r="P23" s="92"/>
    </row>
    <row r="24" spans="2:16" x14ac:dyDescent="0.25">
      <c r="B24" s="171"/>
      <c r="C24" s="171"/>
      <c r="D24" s="171"/>
      <c r="E24" s="171"/>
      <c r="F24" s="171"/>
      <c r="G24" s="171"/>
      <c r="H24" s="171"/>
      <c r="I24" s="171"/>
      <c r="J24" s="92"/>
      <c r="K24" s="92"/>
      <c r="L24" s="92"/>
      <c r="M24" s="92"/>
      <c r="N24" s="92"/>
      <c r="O24" s="92"/>
      <c r="P24" s="92"/>
    </row>
    <row r="29" spans="2:16" ht="17.399999999999999" x14ac:dyDescent="0.3">
      <c r="B29" s="168" t="s">
        <v>5</v>
      </c>
      <c r="C29" s="168"/>
      <c r="D29" s="168"/>
      <c r="E29" s="168"/>
      <c r="F29" s="168"/>
      <c r="G29" s="168"/>
      <c r="H29" s="168"/>
      <c r="I29" s="168"/>
      <c r="J29" s="92"/>
      <c r="K29" s="92"/>
      <c r="L29" s="92"/>
      <c r="M29" s="92"/>
      <c r="N29" s="92"/>
      <c r="O29" s="92"/>
      <c r="P29" s="92"/>
    </row>
    <row r="30" spans="2:16" ht="17.399999999999999" x14ac:dyDescent="0.3">
      <c r="B30" s="92"/>
      <c r="C30" s="7"/>
      <c r="D30" s="8"/>
      <c r="E30" s="8"/>
      <c r="F30" s="8"/>
      <c r="G30" s="8"/>
      <c r="H30" s="8"/>
      <c r="I30" s="8"/>
      <c r="J30" s="92"/>
      <c r="K30" s="92"/>
      <c r="L30" s="92"/>
      <c r="M30" s="92"/>
      <c r="N30" s="92"/>
      <c r="O30" s="92"/>
      <c r="P30" s="92"/>
    </row>
    <row r="31" spans="2:16" ht="17.399999999999999" x14ac:dyDescent="0.3">
      <c r="B31" s="168" t="s">
        <v>6</v>
      </c>
      <c r="C31" s="168"/>
      <c r="D31" s="168"/>
      <c r="E31" s="168"/>
      <c r="F31" s="168"/>
      <c r="G31" s="168"/>
      <c r="H31" s="168"/>
      <c r="I31" s="168"/>
      <c r="J31" s="92"/>
      <c r="K31" s="92"/>
      <c r="L31" s="92"/>
      <c r="M31" s="92"/>
      <c r="N31" s="92"/>
      <c r="O31" s="92"/>
      <c r="P31" s="92"/>
    </row>
    <row r="32" spans="2:16" ht="17.399999999999999" x14ac:dyDescent="0.3">
      <c r="B32" s="92"/>
      <c r="C32" s="7"/>
      <c r="D32" s="8"/>
      <c r="E32" s="8"/>
      <c r="F32" s="8"/>
      <c r="G32" s="8"/>
      <c r="H32" s="8"/>
      <c r="I32" s="8"/>
      <c r="J32" s="92"/>
      <c r="K32" s="92"/>
      <c r="L32" s="92"/>
      <c r="M32" s="92"/>
      <c r="N32" s="92"/>
      <c r="O32" s="92"/>
      <c r="P32" s="92"/>
    </row>
    <row r="33" spans="2:9" ht="17.399999999999999" x14ac:dyDescent="0.3">
      <c r="B33" s="168" t="s">
        <v>7</v>
      </c>
      <c r="C33" s="168"/>
      <c r="D33" s="168"/>
      <c r="E33" s="168"/>
      <c r="F33" s="168"/>
      <c r="G33" s="168"/>
      <c r="H33" s="168"/>
      <c r="I33" s="168"/>
    </row>
    <row r="34" spans="2:9" ht="17.399999999999999" x14ac:dyDescent="0.3">
      <c r="B34" s="92"/>
      <c r="C34" s="7"/>
      <c r="D34" s="8"/>
      <c r="E34" s="8"/>
      <c r="F34" s="8"/>
      <c r="G34" s="8"/>
      <c r="H34" s="8"/>
      <c r="I34" s="8"/>
    </row>
    <row r="35" spans="2:9" ht="17.399999999999999" x14ac:dyDescent="0.3">
      <c r="B35" s="168" t="s">
        <v>8</v>
      </c>
      <c r="C35" s="168"/>
      <c r="D35" s="168"/>
      <c r="E35" s="168"/>
      <c r="F35" s="168"/>
      <c r="G35" s="168"/>
      <c r="H35" s="168"/>
      <c r="I35" s="168"/>
    </row>
    <row r="37" spans="2:9" ht="17.399999999999999" x14ac:dyDescent="0.3">
      <c r="B37" s="168"/>
      <c r="C37" s="168"/>
      <c r="D37" s="168"/>
      <c r="E37" s="168"/>
      <c r="F37" s="168"/>
      <c r="G37" s="168"/>
      <c r="H37" s="168"/>
      <c r="I37" s="168"/>
    </row>
    <row r="39" spans="2:9" x14ac:dyDescent="0.25">
      <c r="B39" s="92" t="s">
        <v>9</v>
      </c>
      <c r="C39" s="103">
        <v>2022</v>
      </c>
      <c r="D39" s="92"/>
      <c r="E39" s="92"/>
      <c r="F39" s="92"/>
      <c r="G39" s="92"/>
      <c r="H39" s="92"/>
      <c r="I39" s="92"/>
    </row>
    <row r="40" spans="2:9" ht="14.25" customHeight="1" x14ac:dyDescent="0.25">
      <c r="B40" s="92"/>
      <c r="C40" s="92"/>
      <c r="D40" s="92"/>
      <c r="E40" s="92"/>
      <c r="F40" s="92"/>
      <c r="G40" s="92"/>
      <c r="H40" s="92"/>
      <c r="I40" s="92"/>
    </row>
    <row r="41" spans="2:9" x14ac:dyDescent="0.25">
      <c r="B41" s="104" t="s">
        <v>10</v>
      </c>
      <c r="C41" s="172" t="s">
        <v>11</v>
      </c>
      <c r="D41" s="172"/>
      <c r="E41" s="172"/>
      <c r="F41" s="172"/>
      <c r="G41" s="172"/>
      <c r="H41" s="172"/>
      <c r="I41" s="172"/>
    </row>
    <row r="42" spans="2:9" x14ac:dyDescent="0.25">
      <c r="B42" s="104"/>
      <c r="C42" s="92"/>
      <c r="D42" s="92"/>
      <c r="E42" s="92"/>
      <c r="F42" s="92"/>
      <c r="G42" s="92"/>
      <c r="H42" s="92"/>
      <c r="I42" s="92"/>
    </row>
    <row r="43" spans="2:9" x14ac:dyDescent="0.25">
      <c r="B43" s="104" t="s">
        <v>12</v>
      </c>
      <c r="C43" s="172">
        <v>1179372811</v>
      </c>
      <c r="D43" s="172"/>
      <c r="E43" s="172"/>
      <c r="F43" s="92"/>
      <c r="G43" s="92"/>
      <c r="H43" s="92"/>
      <c r="I43" s="92"/>
    </row>
    <row r="44" spans="2:9" x14ac:dyDescent="0.25">
      <c r="B44" s="104"/>
      <c r="C44" s="92"/>
      <c r="D44" s="92"/>
      <c r="E44" s="92"/>
      <c r="F44" s="92"/>
      <c r="G44" s="92"/>
      <c r="H44" s="92"/>
      <c r="I44" s="92"/>
    </row>
    <row r="45" spans="2:9" ht="15.6" x14ac:dyDescent="0.3">
      <c r="B45" s="104" t="s">
        <v>13</v>
      </c>
      <c r="C45" s="174" t="s">
        <v>14</v>
      </c>
      <c r="D45" s="172"/>
      <c r="E45" s="172"/>
      <c r="F45" s="92"/>
      <c r="G45" s="92"/>
      <c r="H45" s="92"/>
      <c r="I45" s="92"/>
    </row>
    <row r="46" spans="2:9" x14ac:dyDescent="0.25">
      <c r="B46" s="104"/>
      <c r="C46" s="92"/>
      <c r="D46" s="92"/>
      <c r="E46" s="92"/>
      <c r="F46" s="92"/>
      <c r="G46" s="92"/>
      <c r="H46" s="92"/>
      <c r="I46" s="92"/>
    </row>
    <row r="47" spans="2:9" x14ac:dyDescent="0.25">
      <c r="B47" s="104" t="s">
        <v>15</v>
      </c>
      <c r="C47" s="172" t="s">
        <v>16</v>
      </c>
      <c r="D47" s="172"/>
      <c r="E47" s="92"/>
      <c r="F47" s="92" t="s">
        <v>17</v>
      </c>
      <c r="G47" s="172" t="s">
        <v>18</v>
      </c>
      <c r="H47" s="172"/>
      <c r="I47" s="172"/>
    </row>
    <row r="48" spans="2:9" x14ac:dyDescent="0.25">
      <c r="B48" s="104"/>
      <c r="C48" s="92"/>
      <c r="D48" s="92"/>
      <c r="E48" s="92"/>
      <c r="F48" s="92"/>
      <c r="G48" s="92"/>
      <c r="H48" s="92"/>
      <c r="I48" s="92"/>
    </row>
    <row r="49" spans="2:9" x14ac:dyDescent="0.25">
      <c r="B49" s="104" t="s">
        <v>19</v>
      </c>
      <c r="C49" s="172" t="s">
        <v>20</v>
      </c>
      <c r="D49" s="172"/>
      <c r="E49" s="92"/>
      <c r="F49" s="92" t="s">
        <v>17</v>
      </c>
      <c r="G49" s="172" t="s">
        <v>21</v>
      </c>
      <c r="H49" s="172"/>
      <c r="I49" s="172"/>
    </row>
    <row r="50" spans="2:9" x14ac:dyDescent="0.25">
      <c r="B50" s="104"/>
      <c r="C50" s="92"/>
      <c r="D50" s="92"/>
      <c r="E50" s="92"/>
      <c r="F50" s="92"/>
      <c r="G50" s="92"/>
      <c r="H50" s="92"/>
      <c r="I50" s="92"/>
    </row>
    <row r="51" spans="2:9" x14ac:dyDescent="0.25">
      <c r="B51" s="104" t="s">
        <v>22</v>
      </c>
      <c r="C51" s="103">
        <v>1</v>
      </c>
      <c r="D51" s="92"/>
      <c r="E51" s="92"/>
      <c r="F51" s="92"/>
      <c r="G51" s="92"/>
      <c r="H51" s="92"/>
      <c r="I51" s="92"/>
    </row>
    <row r="52" spans="2:9" x14ac:dyDescent="0.25">
      <c r="B52" s="104"/>
      <c r="C52" s="92"/>
      <c r="D52" s="92"/>
      <c r="E52" s="92"/>
      <c r="F52" s="92"/>
      <c r="G52" s="92"/>
      <c r="H52" s="92"/>
      <c r="I52" s="92"/>
    </row>
    <row r="53" spans="2:9" x14ac:dyDescent="0.25">
      <c r="B53" s="104" t="s">
        <v>23</v>
      </c>
      <c r="C53" s="173">
        <v>44957</v>
      </c>
      <c r="D53" s="172"/>
      <c r="E53" s="92"/>
      <c r="F53" s="92"/>
      <c r="G53" s="92"/>
      <c r="H53" s="92"/>
      <c r="I53" s="92"/>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90A2703B-B032-453E-8AF4-4F94F171CFCB}"/>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zoomScaleNormal="100" workbookViewId="0">
      <selection activeCell="B41" sqref="B41:I4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92" t="str">
        <f>+'Cover Page'!$B$29</f>
        <v>Annual Performance Report 2022</v>
      </c>
      <c r="B1" s="92"/>
      <c r="C1" s="92"/>
      <c r="D1" s="92"/>
      <c r="E1" s="92" t="str">
        <f>+'Cover Page'!$B$33</f>
        <v>Boston Energy Production Facility</v>
      </c>
      <c r="F1" s="92"/>
      <c r="G1" s="92"/>
      <c r="H1" s="92"/>
      <c r="I1" s="92"/>
      <c r="J1" s="92"/>
      <c r="K1" s="92"/>
      <c r="L1" s="92"/>
      <c r="M1" s="92"/>
      <c r="N1" s="92"/>
      <c r="O1" s="92"/>
    </row>
    <row r="3" spans="1:15" ht="15.6" x14ac:dyDescent="0.3">
      <c r="A3" s="53" t="s">
        <v>24</v>
      </c>
      <c r="B3" s="105"/>
      <c r="C3" s="105"/>
      <c r="D3" s="105"/>
      <c r="E3" s="105"/>
      <c r="F3" s="105"/>
      <c r="G3" s="105"/>
      <c r="H3" s="106"/>
      <c r="I3" s="92"/>
      <c r="J3" s="92"/>
      <c r="K3" s="75" t="s">
        <v>3</v>
      </c>
      <c r="L3" s="92"/>
      <c r="M3" s="92"/>
      <c r="N3" s="92"/>
      <c r="O3" s="92"/>
    </row>
    <row r="4" spans="1:15" ht="15.6" x14ac:dyDescent="0.3">
      <c r="A4" s="5" t="s">
        <v>25</v>
      </c>
      <c r="B4" s="176" t="s">
        <v>26</v>
      </c>
      <c r="C4" s="176"/>
      <c r="D4" s="176"/>
      <c r="E4" s="176"/>
      <c r="F4" s="176"/>
      <c r="G4" s="176"/>
      <c r="H4" s="6" t="s">
        <v>27</v>
      </c>
      <c r="I4" s="92"/>
      <c r="J4" s="92"/>
      <c r="K4" s="73" t="s">
        <v>28</v>
      </c>
      <c r="L4" s="92"/>
      <c r="M4" s="92"/>
      <c r="N4" s="92"/>
      <c r="O4" s="92"/>
    </row>
    <row r="5" spans="1:15" ht="15.6" customHeight="1" x14ac:dyDescent="0.25">
      <c r="A5" s="4"/>
      <c r="B5" s="175" t="s">
        <v>29</v>
      </c>
      <c r="C5" s="175"/>
      <c r="D5" s="175"/>
      <c r="E5" s="175"/>
      <c r="F5" s="175"/>
      <c r="G5" s="175"/>
      <c r="H5" s="4"/>
      <c r="I5" s="92"/>
      <c r="J5" s="92"/>
      <c r="K5" s="167" t="s">
        <v>30</v>
      </c>
      <c r="L5" s="167"/>
      <c r="M5" s="167"/>
      <c r="N5" s="167"/>
      <c r="O5" s="167"/>
    </row>
    <row r="6" spans="1:15" x14ac:dyDescent="0.25">
      <c r="A6" s="4"/>
      <c r="B6" s="175" t="s">
        <v>31</v>
      </c>
      <c r="C6" s="175"/>
      <c r="D6" s="175"/>
      <c r="E6" s="175"/>
      <c r="F6" s="175"/>
      <c r="G6" s="175"/>
      <c r="H6" s="4"/>
      <c r="I6" s="92"/>
      <c r="J6" s="92"/>
      <c r="K6" s="167"/>
      <c r="L6" s="167"/>
      <c r="M6" s="167"/>
      <c r="N6" s="167"/>
      <c r="O6" s="167"/>
    </row>
    <row r="7" spans="1:15" ht="15.75" customHeight="1" x14ac:dyDescent="0.25">
      <c r="A7" s="4"/>
      <c r="B7" s="175" t="s">
        <v>32</v>
      </c>
      <c r="C7" s="175"/>
      <c r="D7" s="175"/>
      <c r="E7" s="175"/>
      <c r="F7" s="175"/>
      <c r="G7" s="175"/>
      <c r="H7" s="4"/>
      <c r="I7" s="92"/>
      <c r="J7" s="92"/>
      <c r="K7" s="167"/>
      <c r="L7" s="167"/>
      <c r="M7" s="167"/>
      <c r="N7" s="167"/>
      <c r="O7" s="167"/>
    </row>
    <row r="8" spans="1:15" x14ac:dyDescent="0.25">
      <c r="A8" s="4"/>
      <c r="B8" s="175" t="s">
        <v>33</v>
      </c>
      <c r="C8" s="175"/>
      <c r="D8" s="175"/>
      <c r="E8" s="175"/>
      <c r="F8" s="175"/>
      <c r="G8" s="175"/>
      <c r="H8" s="4"/>
      <c r="I8" s="92"/>
      <c r="J8" s="92"/>
      <c r="K8" s="167"/>
      <c r="L8" s="167"/>
      <c r="M8" s="167"/>
      <c r="N8" s="167"/>
      <c r="O8" s="167"/>
    </row>
    <row r="9" spans="1:15" x14ac:dyDescent="0.25">
      <c r="A9" s="4"/>
      <c r="B9" s="175" t="s">
        <v>34</v>
      </c>
      <c r="C9" s="175"/>
      <c r="D9" s="175"/>
      <c r="E9" s="175"/>
      <c r="F9" s="175"/>
      <c r="G9" s="175"/>
      <c r="H9" s="4"/>
      <c r="I9" s="92"/>
      <c r="J9" s="92"/>
      <c r="K9" s="92"/>
      <c r="L9" s="92"/>
      <c r="M9" s="92"/>
      <c r="N9" s="92"/>
      <c r="O9" s="92"/>
    </row>
    <row r="10" spans="1:15" x14ac:dyDescent="0.25">
      <c r="A10" s="4"/>
      <c r="B10" s="175" t="s">
        <v>35</v>
      </c>
      <c r="C10" s="175"/>
      <c r="D10" s="175"/>
      <c r="E10" s="175"/>
      <c r="F10" s="175"/>
      <c r="G10" s="175"/>
      <c r="H10" s="4"/>
      <c r="I10" s="92"/>
      <c r="J10" s="92"/>
      <c r="K10" s="92"/>
      <c r="L10" s="92"/>
      <c r="M10" s="92"/>
      <c r="N10" s="92"/>
      <c r="O10" s="92"/>
    </row>
    <row r="11" spans="1:15" x14ac:dyDescent="0.25">
      <c r="A11" s="4"/>
      <c r="B11" s="175" t="s">
        <v>36</v>
      </c>
      <c r="C11" s="175"/>
      <c r="D11" s="175"/>
      <c r="E11" s="175"/>
      <c r="F11" s="175"/>
      <c r="G11" s="175"/>
      <c r="H11" s="4"/>
      <c r="I11" s="92"/>
      <c r="J11" s="92"/>
      <c r="K11" s="92"/>
      <c r="L11" s="92"/>
      <c r="M11" s="92"/>
      <c r="N11" s="92"/>
      <c r="O11" s="92"/>
    </row>
    <row r="12" spans="1:15" x14ac:dyDescent="0.25">
      <c r="A12" s="4"/>
      <c r="B12" s="175" t="s">
        <v>37</v>
      </c>
      <c r="C12" s="175"/>
      <c r="D12" s="175"/>
      <c r="E12" s="175"/>
      <c r="F12" s="175"/>
      <c r="G12" s="175"/>
      <c r="H12" s="4"/>
      <c r="I12" s="92"/>
      <c r="J12" s="92"/>
      <c r="K12" s="92"/>
      <c r="L12" s="92"/>
      <c r="M12" s="92"/>
      <c r="N12" s="92"/>
      <c r="O12" s="92"/>
    </row>
    <row r="13" spans="1:15" x14ac:dyDescent="0.25">
      <c r="A13" s="4"/>
      <c r="B13" s="175" t="s">
        <v>38</v>
      </c>
      <c r="C13" s="175"/>
      <c r="D13" s="175"/>
      <c r="E13" s="175"/>
      <c r="F13" s="175"/>
      <c r="G13" s="175"/>
      <c r="H13" s="4"/>
      <c r="I13" s="92"/>
      <c r="J13" s="92"/>
      <c r="K13" s="92"/>
      <c r="L13" s="92"/>
      <c r="M13" s="92"/>
      <c r="N13" s="92"/>
      <c r="O13" s="92"/>
    </row>
    <row r="14" spans="1:15" x14ac:dyDescent="0.25">
      <c r="A14" s="4"/>
      <c r="B14" s="175" t="s">
        <v>39</v>
      </c>
      <c r="C14" s="175"/>
      <c r="D14" s="175"/>
      <c r="E14" s="175"/>
      <c r="F14" s="175"/>
      <c r="G14" s="175"/>
      <c r="H14" s="4"/>
      <c r="I14" s="92"/>
      <c r="J14" s="92"/>
      <c r="K14" s="92"/>
      <c r="L14" s="92"/>
      <c r="M14" s="92"/>
      <c r="N14" s="92"/>
      <c r="O14" s="92"/>
    </row>
    <row r="15" spans="1:15" x14ac:dyDescent="0.25">
      <c r="A15" s="4"/>
      <c r="B15" s="175" t="s">
        <v>40</v>
      </c>
      <c r="C15" s="175"/>
      <c r="D15" s="175"/>
      <c r="E15" s="175"/>
      <c r="F15" s="175"/>
      <c r="G15" s="175"/>
      <c r="H15" s="4"/>
      <c r="I15" s="92"/>
      <c r="J15" s="92"/>
      <c r="K15" s="92"/>
      <c r="L15" s="92"/>
      <c r="M15" s="92"/>
      <c r="N15" s="92"/>
      <c r="O15" s="92"/>
    </row>
    <row r="16" spans="1:15" x14ac:dyDescent="0.25">
      <c r="A16" s="4"/>
      <c r="B16" s="175" t="s">
        <v>41</v>
      </c>
      <c r="C16" s="175"/>
      <c r="D16" s="175"/>
      <c r="E16" s="175"/>
      <c r="F16" s="175"/>
      <c r="G16" s="175"/>
      <c r="H16" s="4"/>
      <c r="I16" s="92"/>
      <c r="J16" s="92"/>
      <c r="K16" s="92"/>
      <c r="L16" s="92"/>
      <c r="M16" s="92"/>
      <c r="N16" s="92"/>
      <c r="O16" s="92"/>
    </row>
    <row r="17" spans="1:8" x14ac:dyDescent="0.25">
      <c r="A17" s="4"/>
      <c r="B17" s="175" t="s">
        <v>42</v>
      </c>
      <c r="C17" s="175"/>
      <c r="D17" s="175"/>
      <c r="E17" s="175"/>
      <c r="F17" s="175"/>
      <c r="G17" s="175"/>
      <c r="H17" s="4"/>
    </row>
    <row r="18" spans="1:8" x14ac:dyDescent="0.25">
      <c r="A18" s="4"/>
      <c r="B18" s="175" t="s">
        <v>43</v>
      </c>
      <c r="C18" s="175"/>
      <c r="D18" s="175"/>
      <c r="E18" s="175"/>
      <c r="F18" s="175"/>
      <c r="G18" s="175"/>
      <c r="H18" s="4"/>
    </row>
    <row r="19" spans="1:8" x14ac:dyDescent="0.25">
      <c r="A19" s="4"/>
      <c r="B19" s="175" t="s">
        <v>44</v>
      </c>
      <c r="C19" s="175"/>
      <c r="D19" s="175"/>
      <c r="E19" s="175"/>
      <c r="F19" s="175"/>
      <c r="G19" s="175"/>
      <c r="H19" s="4"/>
    </row>
    <row r="20" spans="1:8" x14ac:dyDescent="0.25">
      <c r="A20" s="4"/>
      <c r="B20" s="175" t="s">
        <v>45</v>
      </c>
      <c r="C20" s="175"/>
      <c r="D20" s="175"/>
      <c r="E20" s="175"/>
      <c r="F20" s="175"/>
      <c r="G20" s="175"/>
      <c r="H20" s="4"/>
    </row>
    <row r="21" spans="1:8" x14ac:dyDescent="0.25">
      <c r="A21" s="4"/>
      <c r="B21" s="175" t="s">
        <v>46</v>
      </c>
      <c r="C21" s="175"/>
      <c r="D21" s="175"/>
      <c r="E21" s="175"/>
      <c r="F21" s="175"/>
      <c r="G21" s="175"/>
      <c r="H21" s="4"/>
    </row>
    <row r="22" spans="1:8" x14ac:dyDescent="0.25">
      <c r="A22" s="4"/>
      <c r="B22" s="178" t="s">
        <v>47</v>
      </c>
      <c r="C22" s="179"/>
      <c r="D22" s="179"/>
      <c r="E22" s="179"/>
      <c r="F22" s="179"/>
      <c r="G22" s="180"/>
      <c r="H22" s="4"/>
    </row>
    <row r="23" spans="1:8" x14ac:dyDescent="0.25">
      <c r="A23" s="4"/>
      <c r="B23" s="178" t="s">
        <v>48</v>
      </c>
      <c r="C23" s="179"/>
      <c r="D23" s="179"/>
      <c r="E23" s="179"/>
      <c r="F23" s="179"/>
      <c r="G23" s="180"/>
      <c r="H23" s="4"/>
    </row>
    <row r="24" spans="1:8" x14ac:dyDescent="0.25">
      <c r="A24" s="4"/>
      <c r="B24" s="181"/>
      <c r="C24" s="181"/>
      <c r="D24" s="181"/>
      <c r="E24" s="181"/>
      <c r="F24" s="181"/>
      <c r="G24" s="181"/>
      <c r="H24" s="4"/>
    </row>
    <row r="26" spans="1:8" x14ac:dyDescent="0.25">
      <c r="A26" s="52" t="s">
        <v>49</v>
      </c>
      <c r="B26" s="105"/>
      <c r="C26" s="105"/>
      <c r="D26" s="105"/>
      <c r="E26" s="105"/>
      <c r="F26" s="105"/>
      <c r="G26" s="105"/>
      <c r="H26" s="106"/>
    </row>
    <row r="27" spans="1:8" x14ac:dyDescent="0.25">
      <c r="A27" s="10" t="s">
        <v>25</v>
      </c>
      <c r="B27" s="182" t="s">
        <v>50</v>
      </c>
      <c r="C27" s="182"/>
      <c r="D27" s="182"/>
      <c r="E27" s="182"/>
      <c r="F27" s="182"/>
      <c r="G27" s="182"/>
      <c r="H27" s="11" t="s">
        <v>51</v>
      </c>
    </row>
    <row r="28" spans="1:8" x14ac:dyDescent="0.25">
      <c r="A28" s="107"/>
      <c r="B28" s="183"/>
      <c r="C28" s="183"/>
      <c r="D28" s="183"/>
      <c r="E28" s="183"/>
      <c r="F28" s="183"/>
      <c r="G28" s="183"/>
      <c r="H28" s="107"/>
    </row>
    <row r="29" spans="1:8" x14ac:dyDescent="0.25">
      <c r="A29" s="107"/>
      <c r="B29" s="183"/>
      <c r="C29" s="183"/>
      <c r="D29" s="183"/>
      <c r="E29" s="183"/>
      <c r="F29" s="183"/>
      <c r="G29" s="183"/>
      <c r="H29" s="107"/>
    </row>
    <row r="30" spans="1:8" x14ac:dyDescent="0.25">
      <c r="A30" s="107"/>
      <c r="B30" s="183"/>
      <c r="C30" s="183"/>
      <c r="D30" s="183"/>
      <c r="E30" s="183"/>
      <c r="F30" s="183"/>
      <c r="G30" s="183"/>
      <c r="H30" s="107"/>
    </row>
    <row r="31" spans="1:8" x14ac:dyDescent="0.25">
      <c r="A31" s="107"/>
      <c r="B31" s="183"/>
      <c r="C31" s="183"/>
      <c r="D31" s="183"/>
      <c r="E31" s="183"/>
      <c r="F31" s="183"/>
      <c r="G31" s="183"/>
      <c r="H31" s="107"/>
    </row>
    <row r="32" spans="1:8" x14ac:dyDescent="0.25">
      <c r="A32" s="107"/>
      <c r="B32" s="183"/>
      <c r="C32" s="183"/>
      <c r="D32" s="183"/>
      <c r="E32" s="183"/>
      <c r="F32" s="183"/>
      <c r="G32" s="183"/>
      <c r="H32" s="107"/>
    </row>
    <row r="34" spans="1:10" ht="14.25" customHeight="1" x14ac:dyDescent="0.25">
      <c r="A34" s="52" t="s">
        <v>52</v>
      </c>
      <c r="B34" s="105"/>
      <c r="C34" s="105"/>
      <c r="D34" s="105"/>
      <c r="E34" s="105"/>
      <c r="F34" s="105"/>
      <c r="G34" s="105"/>
      <c r="H34" s="106"/>
      <c r="I34" s="92"/>
      <c r="J34" s="92"/>
    </row>
    <row r="35" spans="1:10" x14ac:dyDescent="0.25">
      <c r="A35" s="13" t="s">
        <v>53</v>
      </c>
      <c r="B35" s="184" t="s">
        <v>54</v>
      </c>
      <c r="C35" s="184"/>
      <c r="D35" s="184"/>
      <c r="E35" s="184"/>
      <c r="F35" s="184"/>
      <c r="G35" s="184"/>
      <c r="H35" s="14" t="s">
        <v>55</v>
      </c>
      <c r="I35" s="92"/>
      <c r="J35" s="92"/>
    </row>
    <row r="36" spans="1:10" x14ac:dyDescent="0.25">
      <c r="A36" s="108"/>
      <c r="B36" s="177"/>
      <c r="C36" s="177"/>
      <c r="D36" s="177"/>
      <c r="E36" s="177"/>
      <c r="F36" s="177"/>
      <c r="G36" s="177"/>
      <c r="H36" s="108"/>
      <c r="I36" s="92"/>
      <c r="J36" s="92"/>
    </row>
    <row r="37" spans="1:10" x14ac:dyDescent="0.25">
      <c r="A37" s="108"/>
      <c r="B37" s="177"/>
      <c r="C37" s="177"/>
      <c r="D37" s="177"/>
      <c r="E37" s="177"/>
      <c r="F37" s="177"/>
      <c r="G37" s="177"/>
      <c r="H37" s="108"/>
      <c r="I37" s="92"/>
      <c r="J37" s="92"/>
    </row>
    <row r="38" spans="1:10" x14ac:dyDescent="0.25">
      <c r="A38" s="108"/>
      <c r="B38" s="177"/>
      <c r="C38" s="177"/>
      <c r="D38" s="177"/>
      <c r="E38" s="177"/>
      <c r="F38" s="177"/>
      <c r="G38" s="177"/>
      <c r="H38" s="108"/>
      <c r="I38" s="92"/>
      <c r="J38" s="92"/>
    </row>
    <row r="39" spans="1:10" x14ac:dyDescent="0.25">
      <c r="A39" s="108"/>
      <c r="B39" s="177"/>
      <c r="C39" s="177"/>
      <c r="D39" s="177"/>
      <c r="E39" s="177"/>
      <c r="F39" s="177"/>
      <c r="G39" s="177"/>
      <c r="H39" s="108"/>
      <c r="I39" s="92"/>
      <c r="J39" s="92"/>
    </row>
    <row r="40" spans="1:10" x14ac:dyDescent="0.25">
      <c r="A40" s="108"/>
      <c r="B40" s="177"/>
      <c r="C40" s="177"/>
      <c r="D40" s="177"/>
      <c r="E40" s="177"/>
      <c r="F40" s="177"/>
      <c r="G40" s="177"/>
      <c r="H40" s="108"/>
      <c r="I40" s="92"/>
      <c r="J40" s="92"/>
    </row>
    <row r="41" spans="1:10" x14ac:dyDescent="0.25">
      <c r="A41" s="108"/>
      <c r="B41" s="177"/>
      <c r="C41" s="177"/>
      <c r="D41" s="177"/>
      <c r="E41" s="177"/>
      <c r="F41" s="177"/>
      <c r="G41" s="177"/>
      <c r="H41" s="108"/>
      <c r="I41" s="92"/>
      <c r="J41" s="92"/>
    </row>
    <row r="42" spans="1:10" x14ac:dyDescent="0.25">
      <c r="A42" s="108"/>
      <c r="B42" s="177"/>
      <c r="C42" s="177"/>
      <c r="D42" s="177"/>
      <c r="E42" s="177"/>
      <c r="F42" s="177"/>
      <c r="G42" s="177"/>
      <c r="H42" s="108"/>
      <c r="I42" s="92"/>
      <c r="J42" s="92"/>
    </row>
    <row r="44" spans="1:10" x14ac:dyDescent="0.25">
      <c r="A44" s="185" t="s">
        <v>56</v>
      </c>
      <c r="B44" s="186"/>
      <c r="C44" s="186"/>
      <c r="D44" s="186"/>
      <c r="E44" s="186"/>
      <c r="F44" s="186"/>
      <c r="G44" s="186"/>
      <c r="H44" s="186"/>
      <c r="I44" s="186"/>
      <c r="J44" s="187"/>
    </row>
    <row r="45" spans="1:10" x14ac:dyDescent="0.25">
      <c r="A45" s="188"/>
      <c r="B45" s="189"/>
      <c r="C45" s="189"/>
      <c r="D45" s="189"/>
      <c r="E45" s="189"/>
      <c r="F45" s="189"/>
      <c r="G45" s="189"/>
      <c r="H45" s="189"/>
      <c r="I45" s="189"/>
      <c r="J45" s="190"/>
    </row>
    <row r="46" spans="1:10" x14ac:dyDescent="0.25">
      <c r="A46" s="188"/>
      <c r="B46" s="189"/>
      <c r="C46" s="189"/>
      <c r="D46" s="189"/>
      <c r="E46" s="189"/>
      <c r="F46" s="189"/>
      <c r="G46" s="189"/>
      <c r="H46" s="189"/>
      <c r="I46" s="189"/>
      <c r="J46" s="190"/>
    </row>
    <row r="47" spans="1:10" x14ac:dyDescent="0.25">
      <c r="A47" s="191"/>
      <c r="B47" s="192"/>
      <c r="C47" s="192"/>
      <c r="D47" s="192"/>
      <c r="E47" s="192"/>
      <c r="F47" s="192"/>
      <c r="G47" s="192"/>
      <c r="H47" s="192"/>
      <c r="I47" s="192"/>
      <c r="J47" s="193"/>
    </row>
    <row r="65" spans="6:6" x14ac:dyDescent="0.25">
      <c r="F65" s="3"/>
    </row>
  </sheetData>
  <mergeCells count="37">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19:G19"/>
    <mergeCell ref="B20:G20"/>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zoomScaleNormal="100" workbookViewId="0">
      <selection activeCell="A22" sqref="A22:I54"/>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tr">
        <f>+'Cover Page'!$B$33</f>
        <v>Boston Energy Production Facility</v>
      </c>
      <c r="F1" s="92"/>
      <c r="G1" s="92"/>
      <c r="H1" s="92"/>
      <c r="I1" s="92"/>
      <c r="J1" s="92"/>
      <c r="K1" s="92"/>
      <c r="L1" s="92"/>
      <c r="M1" s="92"/>
      <c r="N1" s="92"/>
    </row>
    <row r="3" spans="1:14" ht="15.6" x14ac:dyDescent="0.3">
      <c r="A3" s="51" t="s">
        <v>57</v>
      </c>
      <c r="B3" s="109"/>
      <c r="C3" s="109"/>
      <c r="D3" s="109"/>
      <c r="E3" s="109"/>
      <c r="F3" s="109"/>
      <c r="G3" s="109"/>
      <c r="H3" s="109"/>
      <c r="I3" s="110"/>
      <c r="J3" s="92"/>
      <c r="K3" s="80" t="s">
        <v>3</v>
      </c>
      <c r="L3" s="92"/>
      <c r="M3" s="92"/>
      <c r="N3" s="92"/>
    </row>
    <row r="4" spans="1:14" x14ac:dyDescent="0.25">
      <c r="A4" s="111"/>
      <c r="B4" s="112"/>
      <c r="C4" s="112"/>
      <c r="D4" s="112"/>
      <c r="E4" s="112"/>
      <c r="F4" s="112"/>
      <c r="G4" s="112"/>
      <c r="H4" s="112"/>
      <c r="I4" s="113"/>
      <c r="J4" s="92"/>
      <c r="K4" s="92"/>
      <c r="L4" s="92"/>
      <c r="M4" s="92"/>
      <c r="N4" s="92"/>
    </row>
    <row r="5" spans="1:14" ht="15.75" customHeight="1" x14ac:dyDescent="0.25">
      <c r="A5" s="194" t="s">
        <v>58</v>
      </c>
      <c r="B5" s="195"/>
      <c r="C5" s="195"/>
      <c r="D5" s="195"/>
      <c r="E5" s="195"/>
      <c r="F5" s="195"/>
      <c r="G5" s="195"/>
      <c r="H5" s="195"/>
      <c r="I5" s="196"/>
      <c r="J5" s="92"/>
      <c r="K5" s="211" t="s">
        <v>59</v>
      </c>
      <c r="L5" s="211"/>
      <c r="M5" s="211"/>
      <c r="N5" s="211"/>
    </row>
    <row r="6" spans="1:14" x14ac:dyDescent="0.25">
      <c r="A6" s="197"/>
      <c r="B6" s="198"/>
      <c r="C6" s="198"/>
      <c r="D6" s="198"/>
      <c r="E6" s="198"/>
      <c r="F6" s="198"/>
      <c r="G6" s="198"/>
      <c r="H6" s="198"/>
      <c r="I6" s="199"/>
      <c r="J6" s="92"/>
      <c r="K6" s="211"/>
      <c r="L6" s="211"/>
      <c r="M6" s="211"/>
      <c r="N6" s="211"/>
    </row>
    <row r="7" spans="1:14" x14ac:dyDescent="0.25">
      <c r="A7" s="197"/>
      <c r="B7" s="198"/>
      <c r="C7" s="198"/>
      <c r="D7" s="198"/>
      <c r="E7" s="198"/>
      <c r="F7" s="198"/>
      <c r="G7" s="198"/>
      <c r="H7" s="198"/>
      <c r="I7" s="199"/>
      <c r="J7" s="92"/>
      <c r="K7" s="211"/>
      <c r="L7" s="211"/>
      <c r="M7" s="211"/>
      <c r="N7" s="211"/>
    </row>
    <row r="8" spans="1:14" ht="15.75" customHeight="1" x14ac:dyDescent="0.25">
      <c r="A8" s="197"/>
      <c r="B8" s="198"/>
      <c r="C8" s="198"/>
      <c r="D8" s="198"/>
      <c r="E8" s="198"/>
      <c r="F8" s="198"/>
      <c r="G8" s="198"/>
      <c r="H8" s="198"/>
      <c r="I8" s="199"/>
      <c r="J8" s="92"/>
      <c r="K8" s="211"/>
      <c r="L8" s="211"/>
      <c r="M8" s="211"/>
      <c r="N8" s="211"/>
    </row>
    <row r="9" spans="1:14" x14ac:dyDescent="0.25">
      <c r="A9" s="197"/>
      <c r="B9" s="198"/>
      <c r="C9" s="198"/>
      <c r="D9" s="198"/>
      <c r="E9" s="198"/>
      <c r="F9" s="198"/>
      <c r="G9" s="198"/>
      <c r="H9" s="198"/>
      <c r="I9" s="199"/>
      <c r="J9" s="92"/>
      <c r="K9" s="211"/>
      <c r="L9" s="211"/>
      <c r="M9" s="211"/>
      <c r="N9" s="211"/>
    </row>
    <row r="10" spans="1:14" x14ac:dyDescent="0.25">
      <c r="A10" s="197"/>
      <c r="B10" s="198"/>
      <c r="C10" s="198"/>
      <c r="D10" s="198"/>
      <c r="E10" s="198"/>
      <c r="F10" s="198"/>
      <c r="G10" s="198"/>
      <c r="H10" s="198"/>
      <c r="I10" s="199"/>
      <c r="J10" s="92"/>
      <c r="K10" s="211"/>
      <c r="L10" s="211"/>
      <c r="M10" s="211"/>
      <c r="N10" s="211"/>
    </row>
    <row r="11" spans="1:14" x14ac:dyDescent="0.25">
      <c r="A11" s="197"/>
      <c r="B11" s="198"/>
      <c r="C11" s="198"/>
      <c r="D11" s="198"/>
      <c r="E11" s="198"/>
      <c r="F11" s="198"/>
      <c r="G11" s="198"/>
      <c r="H11" s="198"/>
      <c r="I11" s="199"/>
      <c r="J11" s="92"/>
      <c r="K11" s="211"/>
      <c r="L11" s="211"/>
      <c r="M11" s="211"/>
      <c r="N11" s="211"/>
    </row>
    <row r="12" spans="1:14" x14ac:dyDescent="0.25">
      <c r="A12" s="197"/>
      <c r="B12" s="198"/>
      <c r="C12" s="198"/>
      <c r="D12" s="198"/>
      <c r="E12" s="198"/>
      <c r="F12" s="198"/>
      <c r="G12" s="198"/>
      <c r="H12" s="198"/>
      <c r="I12" s="199"/>
      <c r="J12" s="92"/>
      <c r="K12" s="211"/>
      <c r="L12" s="211"/>
      <c r="M12" s="211"/>
      <c r="N12" s="211"/>
    </row>
    <row r="13" spans="1:14" x14ac:dyDescent="0.25">
      <c r="A13" s="197"/>
      <c r="B13" s="198"/>
      <c r="C13" s="198"/>
      <c r="D13" s="198"/>
      <c r="E13" s="198"/>
      <c r="F13" s="198"/>
      <c r="G13" s="198"/>
      <c r="H13" s="198"/>
      <c r="I13" s="199"/>
      <c r="J13" s="92"/>
      <c r="K13" s="211"/>
      <c r="L13" s="211"/>
      <c r="M13" s="211"/>
      <c r="N13" s="211"/>
    </row>
    <row r="14" spans="1:14" x14ac:dyDescent="0.25">
      <c r="A14" s="197"/>
      <c r="B14" s="198"/>
      <c r="C14" s="198"/>
      <c r="D14" s="198"/>
      <c r="E14" s="198"/>
      <c r="F14" s="198"/>
      <c r="G14" s="198"/>
      <c r="H14" s="198"/>
      <c r="I14" s="199"/>
      <c r="J14" s="92"/>
      <c r="K14" s="211"/>
      <c r="L14" s="211"/>
      <c r="M14" s="211"/>
      <c r="N14" s="211"/>
    </row>
    <row r="15" spans="1:14" x14ac:dyDescent="0.25">
      <c r="A15" s="197"/>
      <c r="B15" s="198"/>
      <c r="C15" s="198"/>
      <c r="D15" s="198"/>
      <c r="E15" s="198"/>
      <c r="F15" s="198"/>
      <c r="G15" s="198"/>
      <c r="H15" s="198"/>
      <c r="I15" s="199"/>
      <c r="J15" s="92"/>
      <c r="K15" s="92"/>
      <c r="L15" s="92"/>
      <c r="M15" s="92"/>
      <c r="N15" s="92"/>
    </row>
    <row r="16" spans="1:14" x14ac:dyDescent="0.25">
      <c r="A16" s="197"/>
      <c r="B16" s="198"/>
      <c r="C16" s="198"/>
      <c r="D16" s="198"/>
      <c r="E16" s="198"/>
      <c r="F16" s="198"/>
      <c r="G16" s="198"/>
      <c r="H16" s="198"/>
      <c r="I16" s="199"/>
      <c r="J16" s="92"/>
      <c r="K16" s="92"/>
      <c r="L16" s="92"/>
      <c r="M16" s="92"/>
      <c r="N16" s="92"/>
    </row>
    <row r="17" spans="1:14" x14ac:dyDescent="0.25">
      <c r="A17" s="197"/>
      <c r="B17" s="198"/>
      <c r="C17" s="198"/>
      <c r="D17" s="198"/>
      <c r="E17" s="198"/>
      <c r="F17" s="198"/>
      <c r="G17" s="198"/>
      <c r="H17" s="198"/>
      <c r="I17" s="199"/>
      <c r="J17" s="92"/>
      <c r="K17" s="92"/>
      <c r="L17" s="92"/>
      <c r="M17" s="92"/>
      <c r="N17" s="92"/>
    </row>
    <row r="18" spans="1:14" x14ac:dyDescent="0.25">
      <c r="A18" s="200"/>
      <c r="B18" s="201"/>
      <c r="C18" s="201"/>
      <c r="D18" s="201"/>
      <c r="E18" s="201"/>
      <c r="F18" s="201"/>
      <c r="G18" s="201"/>
      <c r="H18" s="201"/>
      <c r="I18" s="202"/>
      <c r="J18" s="92"/>
      <c r="K18" s="92"/>
      <c r="L18" s="92"/>
      <c r="M18" s="92"/>
      <c r="N18" s="92"/>
    </row>
    <row r="20" spans="1:14" x14ac:dyDescent="0.25">
      <c r="A20" s="51" t="s">
        <v>60</v>
      </c>
      <c r="B20" s="109"/>
      <c r="C20" s="109"/>
      <c r="D20" s="109"/>
      <c r="E20" s="109"/>
      <c r="F20" s="109"/>
      <c r="G20" s="109"/>
      <c r="H20" s="109"/>
      <c r="I20" s="110"/>
      <c r="J20" s="92"/>
      <c r="K20" s="92"/>
      <c r="L20" s="92"/>
      <c r="M20" s="92"/>
      <c r="N20" s="92"/>
    </row>
    <row r="21" spans="1:14" x14ac:dyDescent="0.25">
      <c r="A21" s="111"/>
      <c r="B21" s="112"/>
      <c r="C21" s="112"/>
      <c r="D21" s="112"/>
      <c r="E21" s="112"/>
      <c r="F21" s="112"/>
      <c r="G21" s="112"/>
      <c r="H21" s="112"/>
      <c r="I21" s="113"/>
      <c r="J21" s="92"/>
      <c r="K21" s="92"/>
      <c r="L21" s="92"/>
      <c r="M21" s="92"/>
      <c r="N21" s="92"/>
    </row>
    <row r="22" spans="1:14" x14ac:dyDescent="0.25">
      <c r="A22" s="194" t="s">
        <v>61</v>
      </c>
      <c r="B22" s="203"/>
      <c r="C22" s="203"/>
      <c r="D22" s="203"/>
      <c r="E22" s="203"/>
      <c r="F22" s="203"/>
      <c r="G22" s="203"/>
      <c r="H22" s="203"/>
      <c r="I22" s="204"/>
      <c r="J22" s="92"/>
      <c r="K22" s="211" t="s">
        <v>62</v>
      </c>
      <c r="L22" s="211"/>
      <c r="M22" s="211"/>
      <c r="N22" s="211"/>
    </row>
    <row r="23" spans="1:14" x14ac:dyDescent="0.25">
      <c r="A23" s="205"/>
      <c r="B23" s="206"/>
      <c r="C23" s="206"/>
      <c r="D23" s="206"/>
      <c r="E23" s="206"/>
      <c r="F23" s="206"/>
      <c r="G23" s="206"/>
      <c r="H23" s="206"/>
      <c r="I23" s="207"/>
      <c r="J23" s="92"/>
      <c r="K23" s="211"/>
      <c r="L23" s="211"/>
      <c r="M23" s="211"/>
      <c r="N23" s="211"/>
    </row>
    <row r="24" spans="1:14" x14ac:dyDescent="0.25">
      <c r="A24" s="205"/>
      <c r="B24" s="206"/>
      <c r="C24" s="206"/>
      <c r="D24" s="206"/>
      <c r="E24" s="206"/>
      <c r="F24" s="206"/>
      <c r="G24" s="206"/>
      <c r="H24" s="206"/>
      <c r="I24" s="207"/>
      <c r="J24" s="92"/>
      <c r="K24" s="211"/>
      <c r="L24" s="211"/>
      <c r="M24" s="211"/>
      <c r="N24" s="211"/>
    </row>
    <row r="25" spans="1:14" x14ac:dyDescent="0.25">
      <c r="A25" s="205"/>
      <c r="B25" s="206"/>
      <c r="C25" s="206"/>
      <c r="D25" s="206"/>
      <c r="E25" s="206"/>
      <c r="F25" s="206"/>
      <c r="G25" s="206"/>
      <c r="H25" s="206"/>
      <c r="I25" s="207"/>
      <c r="J25" s="92"/>
      <c r="K25" s="211"/>
      <c r="L25" s="211"/>
      <c r="M25" s="211"/>
      <c r="N25" s="211"/>
    </row>
    <row r="26" spans="1:14" x14ac:dyDescent="0.25">
      <c r="A26" s="205"/>
      <c r="B26" s="206"/>
      <c r="C26" s="206"/>
      <c r="D26" s="206"/>
      <c r="E26" s="206"/>
      <c r="F26" s="206"/>
      <c r="G26" s="206"/>
      <c r="H26" s="206"/>
      <c r="I26" s="207"/>
      <c r="J26" s="92"/>
      <c r="K26" s="211"/>
      <c r="L26" s="211"/>
      <c r="M26" s="211"/>
      <c r="N26" s="211"/>
    </row>
    <row r="27" spans="1:14" x14ac:dyDescent="0.25">
      <c r="A27" s="205"/>
      <c r="B27" s="206"/>
      <c r="C27" s="206"/>
      <c r="D27" s="206"/>
      <c r="E27" s="206"/>
      <c r="F27" s="206"/>
      <c r="G27" s="206"/>
      <c r="H27" s="206"/>
      <c r="I27" s="207"/>
      <c r="J27" s="92"/>
      <c r="K27" s="211"/>
      <c r="L27" s="211"/>
      <c r="M27" s="211"/>
      <c r="N27" s="211"/>
    </row>
    <row r="28" spans="1:14" x14ac:dyDescent="0.25">
      <c r="A28" s="205"/>
      <c r="B28" s="206"/>
      <c r="C28" s="206"/>
      <c r="D28" s="206"/>
      <c r="E28" s="206"/>
      <c r="F28" s="206"/>
      <c r="G28" s="206"/>
      <c r="H28" s="206"/>
      <c r="I28" s="207"/>
      <c r="J28" s="92"/>
      <c r="K28" s="211"/>
      <c r="L28" s="211"/>
      <c r="M28" s="211"/>
      <c r="N28" s="211"/>
    </row>
    <row r="29" spans="1:14" x14ac:dyDescent="0.25">
      <c r="A29" s="205"/>
      <c r="B29" s="206"/>
      <c r="C29" s="206"/>
      <c r="D29" s="206"/>
      <c r="E29" s="206"/>
      <c r="F29" s="206"/>
      <c r="G29" s="206"/>
      <c r="H29" s="206"/>
      <c r="I29" s="207"/>
      <c r="J29" s="92"/>
      <c r="K29" s="211"/>
      <c r="L29" s="211"/>
      <c r="M29" s="211"/>
      <c r="N29" s="211"/>
    </row>
    <row r="30" spans="1:14" x14ac:dyDescent="0.25">
      <c r="A30" s="205"/>
      <c r="B30" s="206"/>
      <c r="C30" s="206"/>
      <c r="D30" s="206"/>
      <c r="E30" s="206"/>
      <c r="F30" s="206"/>
      <c r="G30" s="206"/>
      <c r="H30" s="206"/>
      <c r="I30" s="207"/>
      <c r="J30" s="92"/>
      <c r="K30" s="211"/>
      <c r="L30" s="211"/>
      <c r="M30" s="211"/>
      <c r="N30" s="211"/>
    </row>
    <row r="31" spans="1:14" x14ac:dyDescent="0.25">
      <c r="A31" s="205"/>
      <c r="B31" s="206"/>
      <c r="C31" s="206"/>
      <c r="D31" s="206"/>
      <c r="E31" s="206"/>
      <c r="F31" s="206"/>
      <c r="G31" s="206"/>
      <c r="H31" s="206"/>
      <c r="I31" s="207"/>
      <c r="J31" s="92"/>
      <c r="K31" s="211"/>
      <c r="L31" s="211"/>
      <c r="M31" s="211"/>
      <c r="N31" s="211"/>
    </row>
    <row r="32" spans="1:14" x14ac:dyDescent="0.25">
      <c r="A32" s="205"/>
      <c r="B32" s="206"/>
      <c r="C32" s="206"/>
      <c r="D32" s="206"/>
      <c r="E32" s="206"/>
      <c r="F32" s="206"/>
      <c r="G32" s="206"/>
      <c r="H32" s="206"/>
      <c r="I32" s="207"/>
      <c r="J32" s="92"/>
      <c r="K32" s="92"/>
      <c r="L32" s="92"/>
      <c r="M32" s="92"/>
      <c r="N32" s="92"/>
    </row>
    <row r="33" spans="1:9" x14ac:dyDescent="0.25">
      <c r="A33" s="205"/>
      <c r="B33" s="206"/>
      <c r="C33" s="206"/>
      <c r="D33" s="206"/>
      <c r="E33" s="206"/>
      <c r="F33" s="206"/>
      <c r="G33" s="206"/>
      <c r="H33" s="206"/>
      <c r="I33" s="207"/>
    </row>
    <row r="34" spans="1:9" x14ac:dyDescent="0.25">
      <c r="A34" s="205"/>
      <c r="B34" s="206"/>
      <c r="C34" s="206"/>
      <c r="D34" s="206"/>
      <c r="E34" s="206"/>
      <c r="F34" s="206"/>
      <c r="G34" s="206"/>
      <c r="H34" s="206"/>
      <c r="I34" s="207"/>
    </row>
    <row r="35" spans="1:9" x14ac:dyDescent="0.25">
      <c r="A35" s="205"/>
      <c r="B35" s="206"/>
      <c r="C35" s="206"/>
      <c r="D35" s="206"/>
      <c r="E35" s="206"/>
      <c r="F35" s="206"/>
      <c r="G35" s="206"/>
      <c r="H35" s="206"/>
      <c r="I35" s="207"/>
    </row>
    <row r="36" spans="1:9" x14ac:dyDescent="0.25">
      <c r="A36" s="205"/>
      <c r="B36" s="206"/>
      <c r="C36" s="206"/>
      <c r="D36" s="206"/>
      <c r="E36" s="206"/>
      <c r="F36" s="206"/>
      <c r="G36" s="206"/>
      <c r="H36" s="206"/>
      <c r="I36" s="207"/>
    </row>
    <row r="37" spans="1:9" x14ac:dyDescent="0.25">
      <c r="A37" s="205"/>
      <c r="B37" s="206"/>
      <c r="C37" s="206"/>
      <c r="D37" s="206"/>
      <c r="E37" s="206"/>
      <c r="F37" s="206"/>
      <c r="G37" s="206"/>
      <c r="H37" s="206"/>
      <c r="I37" s="207"/>
    </row>
    <row r="38" spans="1:9" x14ac:dyDescent="0.25">
      <c r="A38" s="205"/>
      <c r="B38" s="206"/>
      <c r="C38" s="206"/>
      <c r="D38" s="206"/>
      <c r="E38" s="206"/>
      <c r="F38" s="206"/>
      <c r="G38" s="206"/>
      <c r="H38" s="206"/>
      <c r="I38" s="207"/>
    </row>
    <row r="39" spans="1:9" x14ac:dyDescent="0.25">
      <c r="A39" s="205"/>
      <c r="B39" s="206"/>
      <c r="C39" s="206"/>
      <c r="D39" s="206"/>
      <c r="E39" s="206"/>
      <c r="F39" s="206"/>
      <c r="G39" s="206"/>
      <c r="H39" s="206"/>
      <c r="I39" s="207"/>
    </row>
    <row r="40" spans="1:9" ht="14.25" customHeight="1" x14ac:dyDescent="0.25">
      <c r="A40" s="205"/>
      <c r="B40" s="206"/>
      <c r="C40" s="206"/>
      <c r="D40" s="206"/>
      <c r="E40" s="206"/>
      <c r="F40" s="206"/>
      <c r="G40" s="206"/>
      <c r="H40" s="206"/>
      <c r="I40" s="207"/>
    </row>
    <row r="41" spans="1:9" x14ac:dyDescent="0.25">
      <c r="A41" s="205"/>
      <c r="B41" s="206"/>
      <c r="C41" s="206"/>
      <c r="D41" s="206"/>
      <c r="E41" s="206"/>
      <c r="F41" s="206"/>
      <c r="G41" s="206"/>
      <c r="H41" s="206"/>
      <c r="I41" s="207"/>
    </row>
    <row r="42" spans="1:9" x14ac:dyDescent="0.25">
      <c r="A42" s="205"/>
      <c r="B42" s="206"/>
      <c r="C42" s="206"/>
      <c r="D42" s="206"/>
      <c r="E42" s="206"/>
      <c r="F42" s="206"/>
      <c r="G42" s="206"/>
      <c r="H42" s="206"/>
      <c r="I42" s="207"/>
    </row>
    <row r="43" spans="1:9" x14ac:dyDescent="0.25">
      <c r="A43" s="205"/>
      <c r="B43" s="206"/>
      <c r="C43" s="206"/>
      <c r="D43" s="206"/>
      <c r="E43" s="206"/>
      <c r="F43" s="206"/>
      <c r="G43" s="206"/>
      <c r="H43" s="206"/>
      <c r="I43" s="207"/>
    </row>
    <row r="44" spans="1:9" x14ac:dyDescent="0.25">
      <c r="A44" s="205"/>
      <c r="B44" s="206"/>
      <c r="C44" s="206"/>
      <c r="D44" s="206"/>
      <c r="E44" s="206"/>
      <c r="F44" s="206"/>
      <c r="G44" s="206"/>
      <c r="H44" s="206"/>
      <c r="I44" s="207"/>
    </row>
    <row r="45" spans="1:9" x14ac:dyDescent="0.25">
      <c r="A45" s="205"/>
      <c r="B45" s="206"/>
      <c r="C45" s="206"/>
      <c r="D45" s="206"/>
      <c r="E45" s="206"/>
      <c r="F45" s="206"/>
      <c r="G45" s="206"/>
      <c r="H45" s="206"/>
      <c r="I45" s="207"/>
    </row>
    <row r="46" spans="1:9" x14ac:dyDescent="0.25">
      <c r="A46" s="205"/>
      <c r="B46" s="206"/>
      <c r="C46" s="206"/>
      <c r="D46" s="206"/>
      <c r="E46" s="206"/>
      <c r="F46" s="206"/>
      <c r="G46" s="206"/>
      <c r="H46" s="206"/>
      <c r="I46" s="207"/>
    </row>
    <row r="47" spans="1:9" x14ac:dyDescent="0.25">
      <c r="A47" s="205"/>
      <c r="B47" s="206"/>
      <c r="C47" s="206"/>
      <c r="D47" s="206"/>
      <c r="E47" s="206"/>
      <c r="F47" s="206"/>
      <c r="G47" s="206"/>
      <c r="H47" s="206"/>
      <c r="I47" s="207"/>
    </row>
    <row r="48" spans="1:9" x14ac:dyDescent="0.25">
      <c r="A48" s="205"/>
      <c r="B48" s="206"/>
      <c r="C48" s="206"/>
      <c r="D48" s="206"/>
      <c r="E48" s="206"/>
      <c r="F48" s="206"/>
      <c r="G48" s="206"/>
      <c r="H48" s="206"/>
      <c r="I48" s="207"/>
    </row>
    <row r="49" spans="1:9" x14ac:dyDescent="0.25">
      <c r="A49" s="205"/>
      <c r="B49" s="206"/>
      <c r="C49" s="206"/>
      <c r="D49" s="206"/>
      <c r="E49" s="206"/>
      <c r="F49" s="206"/>
      <c r="G49" s="206"/>
      <c r="H49" s="206"/>
      <c r="I49" s="207"/>
    </row>
    <row r="50" spans="1:9" x14ac:dyDescent="0.25">
      <c r="A50" s="205"/>
      <c r="B50" s="206"/>
      <c r="C50" s="206"/>
      <c r="D50" s="206"/>
      <c r="E50" s="206"/>
      <c r="F50" s="206"/>
      <c r="G50" s="206"/>
      <c r="H50" s="206"/>
      <c r="I50" s="207"/>
    </row>
    <row r="51" spans="1:9" x14ac:dyDescent="0.25">
      <c r="A51" s="205"/>
      <c r="B51" s="206"/>
      <c r="C51" s="206"/>
      <c r="D51" s="206"/>
      <c r="E51" s="206"/>
      <c r="F51" s="206"/>
      <c r="G51" s="206"/>
      <c r="H51" s="206"/>
      <c r="I51" s="207"/>
    </row>
    <row r="52" spans="1:9" x14ac:dyDescent="0.25">
      <c r="A52" s="205"/>
      <c r="B52" s="206"/>
      <c r="C52" s="206"/>
      <c r="D52" s="206"/>
      <c r="E52" s="206"/>
      <c r="F52" s="206"/>
      <c r="G52" s="206"/>
      <c r="H52" s="206"/>
      <c r="I52" s="207"/>
    </row>
    <row r="53" spans="1:9" x14ac:dyDescent="0.25">
      <c r="A53" s="205"/>
      <c r="B53" s="206"/>
      <c r="C53" s="206"/>
      <c r="D53" s="206"/>
      <c r="E53" s="206"/>
      <c r="F53" s="206"/>
      <c r="G53" s="206"/>
      <c r="H53" s="206"/>
      <c r="I53" s="207"/>
    </row>
    <row r="54" spans="1:9" x14ac:dyDescent="0.25">
      <c r="A54" s="208"/>
      <c r="B54" s="209"/>
      <c r="C54" s="209"/>
      <c r="D54" s="209"/>
      <c r="E54" s="209"/>
      <c r="F54" s="209"/>
      <c r="G54" s="209"/>
      <c r="H54" s="209"/>
      <c r="I54" s="210"/>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66"/>
  <sheetViews>
    <sheetView showGridLines="0" zoomScaleNormal="100" workbookViewId="0">
      <selection activeCell="C41" sqref="C41:I41"/>
    </sheetView>
  </sheetViews>
  <sheetFormatPr defaultColWidth="9.33203125" defaultRowHeight="15" x14ac:dyDescent="0.25"/>
  <cols>
    <col min="1" max="1" width="35" style="2" customWidth="1"/>
    <col min="2" max="2" width="8.33203125" style="12" customWidth="1"/>
    <col min="3" max="3" width="9.6640625" style="12" bestFit="1" customWidth="1"/>
    <col min="4" max="5" width="9.6640625" style="12" customWidth="1"/>
    <col min="6" max="6" width="10.5546875" style="12" customWidth="1"/>
    <col min="7" max="7" width="11.33203125" style="15" customWidth="1"/>
    <col min="8" max="8" width="11.5546875" style="16" customWidth="1"/>
    <col min="9" max="10" width="9.33203125" style="2"/>
    <col min="11" max="11" width="38.44140625" style="2" customWidth="1"/>
    <col min="12" max="16384" width="9.33203125" style="2"/>
  </cols>
  <sheetData>
    <row r="1" spans="1:11" x14ac:dyDescent="0.25">
      <c r="A1" s="92" t="str">
        <f>+'Cover Page'!$B$29</f>
        <v>Annual Performance Report 2022</v>
      </c>
      <c r="B1" s="92"/>
      <c r="C1" s="92"/>
      <c r="D1" s="92"/>
      <c r="E1" s="92" t="s">
        <v>8</v>
      </c>
      <c r="F1" s="92"/>
      <c r="G1" s="92"/>
      <c r="H1" s="92"/>
      <c r="I1" s="92"/>
      <c r="J1" s="92"/>
      <c r="K1" s="92"/>
    </row>
    <row r="3" spans="1:11" ht="15.6" x14ac:dyDescent="0.3">
      <c r="A3" s="1" t="s">
        <v>32</v>
      </c>
      <c r="B3" s="114"/>
      <c r="C3" s="114"/>
      <c r="D3" s="114"/>
      <c r="E3" s="114"/>
      <c r="F3" s="114"/>
      <c r="H3" s="115"/>
      <c r="I3" s="92"/>
      <c r="J3" s="92"/>
      <c r="K3" s="80" t="s">
        <v>3</v>
      </c>
    </row>
    <row r="4" spans="1:11" x14ac:dyDescent="0.25">
      <c r="A4" s="18" t="s">
        <v>63</v>
      </c>
      <c r="B4" s="218">
        <v>86400</v>
      </c>
      <c r="C4" s="218"/>
      <c r="D4" s="20" t="s">
        <v>64</v>
      </c>
      <c r="E4" s="19"/>
      <c r="F4" s="20" t="s">
        <v>65</v>
      </c>
      <c r="G4" s="19">
        <v>12</v>
      </c>
      <c r="H4" s="70" t="s">
        <v>66</v>
      </c>
      <c r="I4" s="92"/>
      <c r="J4" s="92"/>
      <c r="K4" s="17" t="s">
        <v>67</v>
      </c>
    </row>
    <row r="5" spans="1:11" x14ac:dyDescent="0.25">
      <c r="A5" s="21" t="s">
        <v>68</v>
      </c>
      <c r="B5" s="22">
        <v>1</v>
      </c>
      <c r="C5" s="23"/>
      <c r="D5" s="23" t="s">
        <v>69</v>
      </c>
      <c r="E5" s="23"/>
      <c r="F5" s="24">
        <v>1</v>
      </c>
      <c r="G5" s="25"/>
      <c r="H5" s="26"/>
      <c r="I5" s="92"/>
      <c r="J5" s="92"/>
      <c r="K5" s="17" t="s">
        <v>70</v>
      </c>
    </row>
    <row r="6" spans="1:11" x14ac:dyDescent="0.25">
      <c r="A6" s="3"/>
      <c r="B6" s="114"/>
      <c r="C6" s="114"/>
      <c r="D6" s="114"/>
      <c r="E6" s="114"/>
      <c r="F6" s="114"/>
      <c r="H6" s="115"/>
      <c r="I6" s="92"/>
      <c r="J6" s="92"/>
      <c r="K6" s="220" t="s">
        <v>71</v>
      </c>
    </row>
    <row r="7" spans="1:11" x14ac:dyDescent="0.25">
      <c r="A7" s="9" t="s">
        <v>72</v>
      </c>
      <c r="B7" s="116" t="s">
        <v>73</v>
      </c>
      <c r="C7" s="117" t="s">
        <v>74</v>
      </c>
      <c r="D7" s="117" t="s">
        <v>75</v>
      </c>
      <c r="E7" s="117" t="s">
        <v>76</v>
      </c>
      <c r="F7" s="117" t="s">
        <v>77</v>
      </c>
      <c r="G7" s="27" t="s">
        <v>78</v>
      </c>
      <c r="H7" s="118" t="s">
        <v>79</v>
      </c>
      <c r="I7" s="92"/>
      <c r="J7" s="92"/>
      <c r="K7" s="220"/>
    </row>
    <row r="8" spans="1:11" ht="15.75" customHeight="1" x14ac:dyDescent="0.25">
      <c r="A8" s="119" t="s">
        <v>80</v>
      </c>
      <c r="B8" s="212" t="s">
        <v>81</v>
      </c>
      <c r="C8" s="120">
        <v>0</v>
      </c>
      <c r="D8" s="120">
        <v>0</v>
      </c>
      <c r="E8" s="120">
        <v>0</v>
      </c>
      <c r="F8" s="120">
        <v>0</v>
      </c>
      <c r="G8" s="28">
        <f>SUM(C8:F8)</f>
        <v>0</v>
      </c>
      <c r="H8" s="121" t="str">
        <f t="shared" ref="H8:H14" si="0">IF(G8&gt;0,G8/$G$15,"-")</f>
        <v>-</v>
      </c>
      <c r="I8" s="92"/>
      <c r="J8" s="92"/>
      <c r="K8" s="221" t="s">
        <v>82</v>
      </c>
    </row>
    <row r="9" spans="1:11" x14ac:dyDescent="0.25">
      <c r="A9" s="122" t="s">
        <v>83</v>
      </c>
      <c r="B9" s="213"/>
      <c r="C9" s="123">
        <v>0</v>
      </c>
      <c r="D9" s="123">
        <v>0</v>
      </c>
      <c r="E9" s="123">
        <v>0</v>
      </c>
      <c r="F9" s="123">
        <v>0</v>
      </c>
      <c r="G9" s="88">
        <f t="shared" ref="G9:G14" si="1">SUM(C9:F9)</f>
        <v>0</v>
      </c>
      <c r="H9" s="124" t="str">
        <f t="shared" si="0"/>
        <v>-</v>
      </c>
      <c r="I9" s="92"/>
      <c r="J9" s="92"/>
      <c r="K9" s="221"/>
    </row>
    <row r="10" spans="1:11" x14ac:dyDescent="0.25">
      <c r="A10" s="122" t="s">
        <v>84</v>
      </c>
      <c r="B10" s="213"/>
      <c r="C10" s="123">
        <v>0</v>
      </c>
      <c r="D10" s="123">
        <v>0</v>
      </c>
      <c r="E10" s="123">
        <v>0</v>
      </c>
      <c r="F10" s="123">
        <v>0</v>
      </c>
      <c r="G10" s="88">
        <f t="shared" si="1"/>
        <v>0</v>
      </c>
      <c r="H10" s="124" t="str">
        <f t="shared" si="0"/>
        <v>-</v>
      </c>
      <c r="I10" s="92"/>
      <c r="J10" s="92"/>
      <c r="K10" s="221"/>
    </row>
    <row r="11" spans="1:11" x14ac:dyDescent="0.25">
      <c r="A11" s="122" t="s">
        <v>85</v>
      </c>
      <c r="B11" s="213"/>
      <c r="C11" s="123">
        <v>0</v>
      </c>
      <c r="D11" s="123">
        <v>0</v>
      </c>
      <c r="E11" s="123">
        <v>0</v>
      </c>
      <c r="F11" s="123">
        <v>0</v>
      </c>
      <c r="G11" s="88">
        <f t="shared" si="1"/>
        <v>0</v>
      </c>
      <c r="H11" s="124" t="str">
        <f t="shared" si="0"/>
        <v>-</v>
      </c>
      <c r="I11" s="92"/>
      <c r="J11" s="92"/>
      <c r="K11" s="221"/>
    </row>
    <row r="12" spans="1:11" x14ac:dyDescent="0.25">
      <c r="A12" s="122" t="s">
        <v>86</v>
      </c>
      <c r="B12" s="213"/>
      <c r="C12" s="123">
        <v>10145</v>
      </c>
      <c r="D12" s="123">
        <v>0</v>
      </c>
      <c r="E12" s="123">
        <v>0</v>
      </c>
      <c r="F12" s="123">
        <v>0</v>
      </c>
      <c r="G12" s="88">
        <f t="shared" si="1"/>
        <v>10145</v>
      </c>
      <c r="H12" s="124">
        <f t="shared" si="0"/>
        <v>0.46198726017191666</v>
      </c>
      <c r="I12" s="92"/>
      <c r="J12" s="92"/>
      <c r="K12" s="221"/>
    </row>
    <row r="13" spans="1:11" x14ac:dyDescent="0.25">
      <c r="A13" s="122" t="s">
        <v>87</v>
      </c>
      <c r="B13" s="213"/>
      <c r="C13" s="123">
        <v>0</v>
      </c>
      <c r="D13" s="123">
        <v>0</v>
      </c>
      <c r="E13" s="123">
        <v>6082.54</v>
      </c>
      <c r="F13" s="123">
        <v>5731.94</v>
      </c>
      <c r="G13" s="88">
        <f t="shared" ref="G13" si="2">SUM(C13:F13)</f>
        <v>11814.48</v>
      </c>
      <c r="H13" s="124">
        <f t="shared" si="0"/>
        <v>0.5380127398280834</v>
      </c>
      <c r="I13" s="92"/>
      <c r="J13" s="92"/>
      <c r="K13" s="221"/>
    </row>
    <row r="14" spans="1:11" x14ac:dyDescent="0.25">
      <c r="A14" s="122" t="s">
        <v>88</v>
      </c>
      <c r="B14" s="213"/>
      <c r="C14" s="123">
        <v>0</v>
      </c>
      <c r="D14" s="123">
        <v>0</v>
      </c>
      <c r="E14" s="123">
        <v>0</v>
      </c>
      <c r="F14" s="123">
        <v>0</v>
      </c>
      <c r="G14" s="88">
        <f t="shared" si="1"/>
        <v>0</v>
      </c>
      <c r="H14" s="124" t="str">
        <f t="shared" si="0"/>
        <v>-</v>
      </c>
      <c r="I14" s="92"/>
      <c r="J14" s="92"/>
      <c r="K14" s="221"/>
    </row>
    <row r="15" spans="1:11" x14ac:dyDescent="0.25">
      <c r="A15" s="90" t="s">
        <v>89</v>
      </c>
      <c r="B15" s="213"/>
      <c r="C15" s="88">
        <f>SUM(C8:C14)</f>
        <v>10145</v>
      </c>
      <c r="D15" s="88">
        <f>SUM(D8:D14)</f>
        <v>0</v>
      </c>
      <c r="E15" s="88">
        <f>SUM(E8:E14)</f>
        <v>6082.54</v>
      </c>
      <c r="F15" s="88">
        <v>5731.94</v>
      </c>
      <c r="G15" s="88">
        <f>SUM(G8:G14)</f>
        <v>21959.48</v>
      </c>
      <c r="H15" s="125">
        <v>1</v>
      </c>
      <c r="I15" s="92"/>
      <c r="J15" s="92"/>
      <c r="K15" s="221"/>
    </row>
    <row r="16" spans="1:11" x14ac:dyDescent="0.25">
      <c r="A16" s="122" t="s">
        <v>90</v>
      </c>
      <c r="B16" s="213"/>
      <c r="C16" s="123">
        <v>0</v>
      </c>
      <c r="D16" s="123">
        <v>0</v>
      </c>
      <c r="E16" s="123">
        <v>0</v>
      </c>
      <c r="F16" s="123">
        <v>0</v>
      </c>
      <c r="G16" s="88">
        <f t="shared" ref="G16" si="3">SUM(C16:F16)</f>
        <v>0</v>
      </c>
      <c r="H16" s="124" t="str">
        <f t="shared" ref="H16" si="4">IF(G16&gt;0,G16/$G$15,"-")</f>
        <v>-</v>
      </c>
      <c r="I16" s="92"/>
      <c r="J16" s="92"/>
      <c r="K16" s="221"/>
    </row>
    <row r="17" spans="1:12" x14ac:dyDescent="0.25">
      <c r="A17" s="122" t="s">
        <v>91</v>
      </c>
      <c r="B17" s="213"/>
      <c r="C17" s="123">
        <v>319.62</v>
      </c>
      <c r="D17" s="123">
        <v>0</v>
      </c>
      <c r="E17" s="123">
        <v>0</v>
      </c>
      <c r="F17" s="123">
        <v>0</v>
      </c>
      <c r="G17" s="88">
        <f t="shared" ref="G17" si="5">SUM(C17:F17)</f>
        <v>319.62</v>
      </c>
      <c r="H17" s="124">
        <f>IF(G17&gt;0,G17/$G$15,"-")</f>
        <v>1.4554989462409858E-2</v>
      </c>
      <c r="I17" s="92"/>
      <c r="J17" s="92"/>
      <c r="K17" s="92"/>
      <c r="L17" s="92"/>
    </row>
    <row r="18" spans="1:12" x14ac:dyDescent="0.25">
      <c r="A18" s="91" t="s">
        <v>92</v>
      </c>
      <c r="B18" s="126"/>
      <c r="C18" s="89">
        <f>C15-SUM(C16:C17)</f>
        <v>9825.3799999999992</v>
      </c>
      <c r="D18" s="89">
        <f t="shared" ref="D18:F18" si="6">D15-SUM(D16:D17)</f>
        <v>0</v>
      </c>
      <c r="E18" s="89">
        <f t="shared" si="6"/>
        <v>6082.54</v>
      </c>
      <c r="F18" s="89">
        <f t="shared" si="6"/>
        <v>5731.94</v>
      </c>
      <c r="G18" s="30">
        <f>SUM(C18:F18)</f>
        <v>21639.859999999997</v>
      </c>
      <c r="H18" s="124">
        <f>IF(G18&gt;0,G18/$G$15,"-")</f>
        <v>0.98544501053759004</v>
      </c>
      <c r="I18" s="92"/>
      <c r="J18" s="92"/>
      <c r="K18" s="92"/>
      <c r="L18" s="92"/>
    </row>
    <row r="19" spans="1:12" x14ac:dyDescent="0.25">
      <c r="A19" s="3"/>
      <c r="B19" s="114"/>
      <c r="C19" s="115"/>
      <c r="D19" s="115"/>
      <c r="E19" s="115"/>
      <c r="F19" s="115"/>
      <c r="G19" s="31"/>
      <c r="H19" s="115"/>
      <c r="I19" s="92"/>
      <c r="J19" s="92"/>
      <c r="K19" s="92"/>
      <c r="L19" s="92"/>
    </row>
    <row r="20" spans="1:12" x14ac:dyDescent="0.25">
      <c r="A20" s="9" t="s">
        <v>93</v>
      </c>
      <c r="B20" s="116" t="s">
        <v>73</v>
      </c>
      <c r="C20" s="127" t="s">
        <v>74</v>
      </c>
      <c r="D20" s="127" t="s">
        <v>75</v>
      </c>
      <c r="E20" s="127" t="s">
        <v>76</v>
      </c>
      <c r="F20" s="127" t="s">
        <v>77</v>
      </c>
      <c r="G20" s="32" t="s">
        <v>78</v>
      </c>
      <c r="H20" s="128" t="s">
        <v>94</v>
      </c>
      <c r="I20" s="92"/>
      <c r="J20" s="92"/>
      <c r="K20" s="92"/>
      <c r="L20" s="92"/>
    </row>
    <row r="21" spans="1:12" ht="15" customHeight="1" x14ac:dyDescent="0.25">
      <c r="A21" s="129" t="s">
        <v>95</v>
      </c>
      <c r="B21" s="212" t="s">
        <v>96</v>
      </c>
      <c r="C21" s="120">
        <v>8540</v>
      </c>
      <c r="D21" s="120">
        <v>0</v>
      </c>
      <c r="E21" s="120">
        <v>5542</v>
      </c>
      <c r="F21" s="120">
        <v>5545</v>
      </c>
      <c r="G21" s="28">
        <f t="shared" ref="G21:G24" si="7">SUM(C21:F21)</f>
        <v>19627</v>
      </c>
      <c r="H21" s="130">
        <f>IF(G21&gt;0,G21*1000/$G$18,"-")</f>
        <v>906.98368658577283</v>
      </c>
      <c r="I21" s="92"/>
      <c r="J21" s="92"/>
      <c r="K21" s="92"/>
      <c r="L21" s="92"/>
    </row>
    <row r="22" spans="1:12" x14ac:dyDescent="0.25">
      <c r="A22" s="131" t="s">
        <v>97</v>
      </c>
      <c r="B22" s="213"/>
      <c r="C22" s="94">
        <v>5366</v>
      </c>
      <c r="D22" s="94">
        <v>0</v>
      </c>
      <c r="E22" s="94">
        <v>4431</v>
      </c>
      <c r="F22" s="94">
        <v>4332</v>
      </c>
      <c r="G22" s="29">
        <f>SUM(C22:F22)</f>
        <v>14129</v>
      </c>
      <c r="H22" s="132">
        <f>IF(G22&gt;0,G22*1000/$G$18,"-")</f>
        <v>652.91549945332372</v>
      </c>
      <c r="I22" s="92"/>
      <c r="J22" s="92"/>
      <c r="K22" s="92"/>
      <c r="L22" s="92"/>
    </row>
    <row r="23" spans="1:12" x14ac:dyDescent="0.25">
      <c r="A23" s="131" t="s">
        <v>98</v>
      </c>
      <c r="B23" s="213"/>
      <c r="C23" s="94">
        <v>3765</v>
      </c>
      <c r="D23" s="94">
        <v>0</v>
      </c>
      <c r="E23" s="94">
        <v>1816</v>
      </c>
      <c r="F23" s="94">
        <v>1918</v>
      </c>
      <c r="G23" s="29">
        <f>SUM(C23:F23)</f>
        <v>7499</v>
      </c>
      <c r="H23" s="132">
        <f>IF(G23&gt;0,G23*1000/$G$18,"-")</f>
        <v>346.53643785126155</v>
      </c>
      <c r="I23" s="92"/>
      <c r="J23" s="92"/>
      <c r="K23" s="92"/>
      <c r="L23" s="92"/>
    </row>
    <row r="24" spans="1:12" x14ac:dyDescent="0.25">
      <c r="A24" s="131" t="s">
        <v>99</v>
      </c>
      <c r="B24" s="213"/>
      <c r="C24" s="94">
        <v>603</v>
      </c>
      <c r="D24" s="94">
        <v>376</v>
      </c>
      <c r="E24" s="94">
        <v>673</v>
      </c>
      <c r="F24" s="94">
        <v>705</v>
      </c>
      <c r="G24" s="29">
        <f t="shared" si="7"/>
        <v>2357</v>
      </c>
      <c r="H24" s="132">
        <f>IF(G24&gt;0,G24*1000/$G$18,"-")</f>
        <v>108.91937378522783</v>
      </c>
      <c r="I24" s="92"/>
      <c r="J24" s="92"/>
      <c r="K24" s="92"/>
      <c r="L24" s="92"/>
    </row>
    <row r="25" spans="1:12" x14ac:dyDescent="0.25">
      <c r="A25" s="131" t="s">
        <v>100</v>
      </c>
      <c r="B25" s="93" t="s">
        <v>79</v>
      </c>
      <c r="C25" s="133">
        <f>IF(C21&gt;0,1-C22/(C21+C24),"-")</f>
        <v>0.41310292026687079</v>
      </c>
      <c r="D25" s="133" t="str">
        <f>IF(D21&gt;0,1-D22/(D21+D24),"-")</f>
        <v>-</v>
      </c>
      <c r="E25" s="133">
        <f>IF(E21&gt;0,1-E22/(E21+E24),"-")</f>
        <v>0.2870474658085278</v>
      </c>
      <c r="F25" s="133">
        <f>IF(F21&gt;0,1-F22/(F21+F24),"-")</f>
        <v>0.30688000000000004</v>
      </c>
      <c r="G25" s="133">
        <f>IF(G21&gt;0,1-G22/(G21+G24),"-")</f>
        <v>0.35730531295487622</v>
      </c>
      <c r="H25" s="132"/>
      <c r="I25" s="92"/>
      <c r="J25" s="92"/>
      <c r="K25" s="92"/>
      <c r="L25" s="92"/>
    </row>
    <row r="26" spans="1:12" x14ac:dyDescent="0.25">
      <c r="A26" s="131" t="s">
        <v>101</v>
      </c>
      <c r="B26" s="219" t="s">
        <v>96</v>
      </c>
      <c r="C26" s="94"/>
      <c r="D26" s="94"/>
      <c r="E26" s="94"/>
      <c r="F26" s="94"/>
      <c r="G26" s="29">
        <f t="shared" ref="G26:G27" si="8">SUM(C26:F26)</f>
        <v>0</v>
      </c>
      <c r="H26" s="132" t="str">
        <f>IF(G26&gt;0,G26*1000/$G$18,"-")</f>
        <v>-</v>
      </c>
      <c r="I26" s="92"/>
      <c r="J26" s="92"/>
      <c r="K26" s="92"/>
      <c r="L26" s="92"/>
    </row>
    <row r="27" spans="1:12" x14ac:dyDescent="0.25">
      <c r="A27" s="131" t="s">
        <v>102</v>
      </c>
      <c r="B27" s="219"/>
      <c r="C27" s="94"/>
      <c r="D27" s="94"/>
      <c r="E27" s="94"/>
      <c r="F27" s="94"/>
      <c r="G27" s="29">
        <f t="shared" si="8"/>
        <v>0</v>
      </c>
      <c r="H27" s="132" t="str">
        <f>IF(G27&gt;0,G27*1000/$G$18,"-")</f>
        <v>-</v>
      </c>
      <c r="I27" s="92"/>
      <c r="J27" s="92"/>
      <c r="K27" s="17"/>
      <c r="L27" s="17"/>
    </row>
    <row r="28" spans="1:12" x14ac:dyDescent="0.25">
      <c r="A28" s="134" t="s">
        <v>103</v>
      </c>
      <c r="B28" s="135"/>
      <c r="C28" s="215"/>
      <c r="D28" s="215"/>
      <c r="E28" s="215"/>
      <c r="F28" s="215"/>
      <c r="G28" s="216" t="s">
        <v>104</v>
      </c>
      <c r="H28" s="217"/>
      <c r="I28" s="92"/>
      <c r="J28" s="92"/>
      <c r="K28" s="92"/>
      <c r="L28" s="17"/>
    </row>
    <row r="29" spans="1:12" x14ac:dyDescent="0.25">
      <c r="A29" s="3"/>
      <c r="B29" s="114"/>
      <c r="C29" s="115"/>
      <c r="D29" s="115"/>
      <c r="E29" s="115"/>
      <c r="F29" s="115"/>
      <c r="G29" s="31"/>
      <c r="H29" s="115"/>
      <c r="I29" s="92"/>
      <c r="J29" s="92"/>
      <c r="K29" s="92"/>
      <c r="L29" s="17"/>
    </row>
    <row r="30" spans="1:12" x14ac:dyDescent="0.25">
      <c r="A30" s="9" t="s">
        <v>105</v>
      </c>
      <c r="B30" s="136" t="s">
        <v>73</v>
      </c>
      <c r="C30" s="127" t="s">
        <v>74</v>
      </c>
      <c r="D30" s="127" t="s">
        <v>75</v>
      </c>
      <c r="E30" s="127" t="s">
        <v>76</v>
      </c>
      <c r="F30" s="127" t="s">
        <v>77</v>
      </c>
      <c r="G30" s="32" t="s">
        <v>78</v>
      </c>
      <c r="H30" s="137" t="s">
        <v>106</v>
      </c>
      <c r="I30" s="92"/>
      <c r="J30" s="92"/>
      <c r="K30" s="92"/>
      <c r="L30" s="17"/>
    </row>
    <row r="31" spans="1:12" ht="15" customHeight="1" x14ac:dyDescent="0.25">
      <c r="A31" s="129" t="s">
        <v>107</v>
      </c>
      <c r="B31" s="212" t="s">
        <v>81</v>
      </c>
      <c r="C31" s="120">
        <v>113.8</v>
      </c>
      <c r="D31" s="120">
        <v>0</v>
      </c>
      <c r="E31" s="120">
        <v>363.56</v>
      </c>
      <c r="F31" s="120">
        <v>599.41999999999996</v>
      </c>
      <c r="G31" s="28">
        <f t="shared" ref="G31:G32" si="9">SUM(C31:F31)</f>
        <v>1076.78</v>
      </c>
      <c r="H31" s="121">
        <f>IF(G31&gt;0,G31/$G$15,"-")</f>
        <v>4.9034858748932125E-2</v>
      </c>
      <c r="I31" s="92"/>
      <c r="J31" s="92"/>
      <c r="K31" s="17"/>
      <c r="L31" s="17"/>
    </row>
    <row r="32" spans="1:12" ht="15" customHeight="1" x14ac:dyDescent="0.25">
      <c r="A32" s="131" t="s">
        <v>108</v>
      </c>
      <c r="B32" s="213"/>
      <c r="C32" s="123">
        <v>395</v>
      </c>
      <c r="D32" s="123">
        <v>0</v>
      </c>
      <c r="E32" s="123">
        <v>608</v>
      </c>
      <c r="F32" s="123">
        <v>185.58</v>
      </c>
      <c r="G32" s="88">
        <f t="shared" si="9"/>
        <v>1188.58</v>
      </c>
      <c r="H32" s="124">
        <f>IF(G32&gt;0,G32/$G$15,"-")</f>
        <v>5.4126053986706425E-2</v>
      </c>
      <c r="I32" s="92"/>
      <c r="J32" s="92"/>
      <c r="K32" s="17"/>
      <c r="L32" s="17"/>
    </row>
    <row r="33" spans="1:10" ht="15" customHeight="1" x14ac:dyDescent="0.25">
      <c r="A33" s="134" t="s">
        <v>109</v>
      </c>
      <c r="B33" s="214"/>
      <c r="C33" s="138">
        <v>26.9</v>
      </c>
      <c r="D33" s="138">
        <v>0</v>
      </c>
      <c r="E33" s="138">
        <v>33.799999999999997</v>
      </c>
      <c r="F33" s="138">
        <v>27.7</v>
      </c>
      <c r="G33" s="30">
        <f t="shared" ref="G33" si="10">SUM(C33:F33)</f>
        <v>88.399999999999991</v>
      </c>
      <c r="H33" s="139">
        <f>IF(G33&gt;0,G33/$G$15,"-")</f>
        <v>4.0255962345192142E-3</v>
      </c>
      <c r="I33" s="92"/>
      <c r="J33" s="92"/>
    </row>
    <row r="34" spans="1:10" x14ac:dyDescent="0.25">
      <c r="A34" s="114"/>
      <c r="B34" s="114"/>
      <c r="C34" s="115"/>
      <c r="D34" s="115"/>
      <c r="E34" s="115"/>
      <c r="F34" s="115"/>
      <c r="G34" s="31"/>
      <c r="H34" s="115"/>
      <c r="I34" s="92"/>
      <c r="J34" s="92"/>
    </row>
    <row r="35" spans="1:10" x14ac:dyDescent="0.25">
      <c r="A35" s="9" t="s">
        <v>110</v>
      </c>
      <c r="B35" s="140" t="s">
        <v>73</v>
      </c>
      <c r="C35" s="117" t="s">
        <v>74</v>
      </c>
      <c r="D35" s="117" t="s">
        <v>75</v>
      </c>
      <c r="E35" s="117" t="s">
        <v>76</v>
      </c>
      <c r="F35" s="117" t="s">
        <v>77</v>
      </c>
      <c r="G35" s="27" t="s">
        <v>78</v>
      </c>
      <c r="H35" s="128" t="s">
        <v>111</v>
      </c>
      <c r="I35" s="92"/>
      <c r="J35" s="92"/>
    </row>
    <row r="36" spans="1:10" ht="15.6" customHeight="1" x14ac:dyDescent="0.25">
      <c r="A36" s="129" t="s">
        <v>112</v>
      </c>
      <c r="B36" s="93" t="s">
        <v>113</v>
      </c>
      <c r="C36" s="120">
        <v>9682</v>
      </c>
      <c r="D36" s="120">
        <v>6131</v>
      </c>
      <c r="E36" s="120">
        <v>10870</v>
      </c>
      <c r="F36" s="120">
        <v>7241</v>
      </c>
      <c r="G36" s="28">
        <f t="shared" ref="G36:G43" si="11">SUM(C36:F36)</f>
        <v>33924</v>
      </c>
      <c r="H36" s="141">
        <f>IF(G36&gt;0,G36/$G$15,"-")</f>
        <v>1.5448453242062199</v>
      </c>
      <c r="I36" s="92"/>
      <c r="J36" s="92"/>
    </row>
    <row r="37" spans="1:10" x14ac:dyDescent="0.25">
      <c r="A37" s="131" t="s">
        <v>114</v>
      </c>
      <c r="B37" s="93" t="s">
        <v>115</v>
      </c>
      <c r="C37" s="123">
        <v>0</v>
      </c>
      <c r="D37" s="123">
        <v>0</v>
      </c>
      <c r="E37" s="123">
        <v>0</v>
      </c>
      <c r="F37" s="123">
        <v>0</v>
      </c>
      <c r="G37" s="88">
        <f t="shared" si="11"/>
        <v>0</v>
      </c>
      <c r="H37" s="141" t="str">
        <f>IF(G37&gt;0,G37/$G$15,"-")</f>
        <v>-</v>
      </c>
      <c r="I37" s="92"/>
      <c r="J37" s="92"/>
    </row>
    <row r="38" spans="1:10" ht="15.6" customHeight="1" x14ac:dyDescent="0.25">
      <c r="A38" s="131" t="s">
        <v>116</v>
      </c>
      <c r="B38" s="93" t="s">
        <v>117</v>
      </c>
      <c r="C38" s="123">
        <v>0</v>
      </c>
      <c r="D38" s="123">
        <v>0</v>
      </c>
      <c r="E38" s="123">
        <v>0</v>
      </c>
      <c r="F38" s="123">
        <v>0</v>
      </c>
      <c r="G38" s="88">
        <f t="shared" si="11"/>
        <v>0</v>
      </c>
      <c r="H38" s="141" t="str">
        <f>IF(G38&gt;0,G38/$G$15,"-")</f>
        <v>-</v>
      </c>
      <c r="I38" s="92"/>
      <c r="J38" s="92"/>
    </row>
    <row r="39" spans="1:10" ht="15.6" customHeight="1" x14ac:dyDescent="0.25">
      <c r="A39" s="131" t="s">
        <v>118</v>
      </c>
      <c r="B39" s="93" t="s">
        <v>117</v>
      </c>
      <c r="C39" s="123">
        <v>16630</v>
      </c>
      <c r="D39" s="123">
        <v>0</v>
      </c>
      <c r="E39" s="123">
        <v>11850</v>
      </c>
      <c r="F39" s="123">
        <v>2000</v>
      </c>
      <c r="G39" s="88">
        <f t="shared" ref="G39" si="12">SUM(C39:F39)</f>
        <v>30480</v>
      </c>
      <c r="H39" s="141">
        <f>IF(G39&gt;0,G39/$G$15,"-")</f>
        <v>1.3880110093681635</v>
      </c>
      <c r="I39" s="92"/>
      <c r="J39" s="92"/>
    </row>
    <row r="40" spans="1:10" x14ac:dyDescent="0.25">
      <c r="A40" s="131" t="s">
        <v>119</v>
      </c>
      <c r="B40" s="93" t="s">
        <v>117</v>
      </c>
      <c r="C40" s="123">
        <v>0</v>
      </c>
      <c r="D40" s="123">
        <v>0</v>
      </c>
      <c r="E40" s="123">
        <v>797</v>
      </c>
      <c r="F40" s="123">
        <v>648</v>
      </c>
      <c r="G40" s="88">
        <f t="shared" si="11"/>
        <v>1445</v>
      </c>
      <c r="H40" s="141">
        <f t="shared" ref="H40:H42" si="13">IF(G40&gt;0,G40/$G$15,"-")</f>
        <v>6.58030153719487E-2</v>
      </c>
      <c r="I40" s="92"/>
      <c r="J40" s="92"/>
    </row>
    <row r="41" spans="1:10" x14ac:dyDescent="0.25">
      <c r="A41" s="131" t="s">
        <v>120</v>
      </c>
      <c r="B41" s="93" t="s">
        <v>117</v>
      </c>
      <c r="C41" s="123">
        <v>183000</v>
      </c>
      <c r="D41" s="123"/>
      <c r="E41" s="123">
        <v>113000</v>
      </c>
      <c r="F41" s="123">
        <v>128000</v>
      </c>
      <c r="G41" s="88">
        <f t="shared" si="11"/>
        <v>424000</v>
      </c>
      <c r="H41" s="141">
        <f t="shared" si="13"/>
        <v>19.308289631630622</v>
      </c>
      <c r="I41" s="92"/>
      <c r="J41" s="92"/>
    </row>
    <row r="42" spans="1:10" x14ac:dyDescent="0.25">
      <c r="A42" s="131" t="s">
        <v>121</v>
      </c>
      <c r="B42" s="93" t="s">
        <v>115</v>
      </c>
      <c r="C42" s="123">
        <v>666113</v>
      </c>
      <c r="D42" s="123">
        <v>0</v>
      </c>
      <c r="E42" s="123">
        <v>893920</v>
      </c>
      <c r="F42" s="123">
        <v>347423</v>
      </c>
      <c r="G42" s="88">
        <f t="shared" si="11"/>
        <v>1907456</v>
      </c>
      <c r="H42" s="141">
        <f t="shared" si="13"/>
        <v>86.862530442433069</v>
      </c>
      <c r="I42" s="92"/>
      <c r="J42" s="92"/>
    </row>
    <row r="43" spans="1:10" x14ac:dyDescent="0.25">
      <c r="A43" s="134" t="s">
        <v>122</v>
      </c>
      <c r="B43" s="142" t="s">
        <v>123</v>
      </c>
      <c r="C43" s="138">
        <v>0</v>
      </c>
      <c r="D43" s="138">
        <v>0</v>
      </c>
      <c r="E43" s="138">
        <v>0</v>
      </c>
      <c r="F43" s="138">
        <v>0</v>
      </c>
      <c r="G43" s="30">
        <f t="shared" si="11"/>
        <v>0</v>
      </c>
      <c r="H43" s="143"/>
      <c r="I43" s="92"/>
      <c r="J43" s="92"/>
    </row>
    <row r="44" spans="1:10" x14ac:dyDescent="0.25">
      <c r="A44" s="114"/>
      <c r="B44" s="114"/>
      <c r="C44" s="115"/>
      <c r="D44" s="115"/>
      <c r="E44" s="115"/>
      <c r="F44" s="115"/>
      <c r="G44" s="31"/>
      <c r="H44" s="115"/>
      <c r="I44" s="92"/>
      <c r="J44" s="92"/>
    </row>
    <row r="45" spans="1:10" x14ac:dyDescent="0.25">
      <c r="A45" s="9" t="s">
        <v>124</v>
      </c>
      <c r="B45" s="144" t="s">
        <v>125</v>
      </c>
      <c r="C45" s="127" t="s">
        <v>74</v>
      </c>
      <c r="D45" s="127" t="s">
        <v>75</v>
      </c>
      <c r="E45" s="127" t="s">
        <v>76</v>
      </c>
      <c r="F45" s="127" t="s">
        <v>77</v>
      </c>
      <c r="G45" s="32" t="s">
        <v>78</v>
      </c>
      <c r="H45" s="128"/>
      <c r="I45" s="92"/>
      <c r="J45" s="85" t="s">
        <v>126</v>
      </c>
    </row>
    <row r="46" spans="1:10" ht="14.25" customHeight="1" x14ac:dyDescent="0.25">
      <c r="A46" s="145" t="s">
        <v>127</v>
      </c>
      <c r="B46" s="127">
        <f>+B5</f>
        <v>1</v>
      </c>
      <c r="C46" s="120">
        <v>932</v>
      </c>
      <c r="D46" s="120">
        <v>0</v>
      </c>
      <c r="E46" s="120">
        <v>585</v>
      </c>
      <c r="F46" s="120">
        <v>574</v>
      </c>
      <c r="G46" s="28">
        <f>SUM(C46:F46)</f>
        <v>2091</v>
      </c>
      <c r="H46" s="121">
        <f>(G46/J46)</f>
        <v>0.23869863013698631</v>
      </c>
      <c r="I46" s="92"/>
      <c r="J46" s="87">
        <v>8760</v>
      </c>
    </row>
    <row r="47" spans="1:10" ht="14.25" customHeight="1" x14ac:dyDescent="0.25">
      <c r="A47" s="131" t="s">
        <v>128</v>
      </c>
      <c r="B47" s="115"/>
      <c r="C47" s="123"/>
      <c r="D47" s="123"/>
      <c r="E47" s="123"/>
      <c r="F47" s="123"/>
      <c r="G47" s="29">
        <f>AVERAGE(G46)</f>
        <v>2091</v>
      </c>
      <c r="H47" s="86">
        <f>(G47/J46)</f>
        <v>0.23869863013698631</v>
      </c>
      <c r="I47" s="92"/>
      <c r="J47" s="92"/>
    </row>
    <row r="48" spans="1:10" ht="14.25" customHeight="1" x14ac:dyDescent="0.25">
      <c r="A48" s="131" t="s">
        <v>129</v>
      </c>
      <c r="B48" s="115">
        <v>1</v>
      </c>
      <c r="C48" s="123">
        <v>932</v>
      </c>
      <c r="D48" s="123">
        <v>0</v>
      </c>
      <c r="E48" s="123">
        <v>585</v>
      </c>
      <c r="F48" s="123">
        <v>574</v>
      </c>
      <c r="G48" s="29">
        <f t="shared" ref="G48:G53" si="14">SUM(C48:F48)</f>
        <v>2091</v>
      </c>
      <c r="H48" s="124">
        <f>(G48/J46)</f>
        <v>0.23869863013698631</v>
      </c>
      <c r="I48" s="92"/>
      <c r="J48" s="92"/>
    </row>
    <row r="49" spans="1:8" x14ac:dyDescent="0.25">
      <c r="A49" s="131" t="s">
        <v>130</v>
      </c>
      <c r="B49" s="115"/>
      <c r="C49" s="94"/>
      <c r="D49" s="94"/>
      <c r="E49" s="94"/>
      <c r="F49" s="94"/>
      <c r="G49" s="29">
        <f t="shared" si="14"/>
        <v>0</v>
      </c>
      <c r="H49" s="124" t="str">
        <f>IF(B49&gt;0,#REF!/J46,"n/a")</f>
        <v>n/a</v>
      </c>
    </row>
    <row r="50" spans="1:8" x14ac:dyDescent="0.25">
      <c r="A50" s="131" t="s">
        <v>131</v>
      </c>
      <c r="B50" s="115" t="s">
        <v>132</v>
      </c>
      <c r="C50" s="94">
        <v>14</v>
      </c>
      <c r="D50" s="94" t="s">
        <v>133</v>
      </c>
      <c r="E50" s="94">
        <v>17.399999999999999</v>
      </c>
      <c r="F50" s="94">
        <v>13.7</v>
      </c>
      <c r="G50" s="29"/>
      <c r="H50" s="146" t="s">
        <v>133</v>
      </c>
    </row>
    <row r="51" spans="1:8" x14ac:dyDescent="0.25">
      <c r="A51" s="131" t="s">
        <v>134</v>
      </c>
      <c r="B51" s="115" t="s">
        <v>135</v>
      </c>
      <c r="C51" s="94">
        <v>0</v>
      </c>
      <c r="D51" s="94">
        <v>0</v>
      </c>
      <c r="E51" s="94">
        <v>0</v>
      </c>
      <c r="F51" s="94">
        <v>0</v>
      </c>
      <c r="G51" s="29">
        <v>0</v>
      </c>
      <c r="H51" s="132" t="str">
        <f>IF(G51&gt;0,"yes","no")</f>
        <v>no</v>
      </c>
    </row>
    <row r="52" spans="1:8" x14ac:dyDescent="0.25">
      <c r="A52" s="131" t="s">
        <v>136</v>
      </c>
      <c r="B52" s="115" t="s">
        <v>137</v>
      </c>
      <c r="C52" s="94">
        <v>0</v>
      </c>
      <c r="D52" s="94">
        <v>0</v>
      </c>
      <c r="E52" s="94">
        <v>0</v>
      </c>
      <c r="F52" s="94">
        <v>0</v>
      </c>
      <c r="G52" s="29">
        <f t="shared" si="14"/>
        <v>0</v>
      </c>
      <c r="H52" s="147">
        <f>+(G52)/J46</f>
        <v>0</v>
      </c>
    </row>
    <row r="53" spans="1:8" x14ac:dyDescent="0.25">
      <c r="A53" s="134" t="s">
        <v>138</v>
      </c>
      <c r="B53" s="148" t="s">
        <v>135</v>
      </c>
      <c r="C53" s="138">
        <v>0</v>
      </c>
      <c r="D53" s="138">
        <v>0</v>
      </c>
      <c r="E53" s="138">
        <v>4</v>
      </c>
      <c r="F53" s="138">
        <v>0</v>
      </c>
      <c r="G53" s="30">
        <f t="shared" si="14"/>
        <v>4</v>
      </c>
      <c r="H53" s="149" t="str">
        <f>IF(G53&gt;0,"yes","no")</f>
        <v>yes</v>
      </c>
    </row>
    <row r="66" spans="6:6" x14ac:dyDescent="0.25">
      <c r="F66" s="3"/>
    </row>
  </sheetData>
  <mergeCells count="9">
    <mergeCell ref="K6:K7"/>
    <mergeCell ref="K8:K16"/>
    <mergeCell ref="B31:B33"/>
    <mergeCell ref="C28:F28"/>
    <mergeCell ref="G28:H28"/>
    <mergeCell ref="B4:C4"/>
    <mergeCell ref="B8:B17"/>
    <mergeCell ref="B21:B24"/>
    <mergeCell ref="B26:B27"/>
  </mergeCells>
  <phoneticPr fontId="25" type="noConversion"/>
  <pageMargins left="0.7" right="0.7" top="0.75" bottom="0.75" header="0.3" footer="0.3"/>
  <pageSetup paperSize="9" scale="82" orientation="portrait" r:id="rId1"/>
  <headerFooter scaleWithDoc="0">
    <oddFooter>&amp;C&amp;"Arial,Regular"Page &amp;P</oddFooter>
  </headerFooter>
  <ignoredErrors>
    <ignoredError sqref="G48"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zoomScaleNormal="100" workbookViewId="0">
      <selection activeCell="A31" sqref="A31:I52"/>
    </sheetView>
  </sheetViews>
  <sheetFormatPr defaultColWidth="9.33203125" defaultRowHeight="15" x14ac:dyDescent="0.25"/>
  <cols>
    <col min="1" max="1" width="9.33203125" style="2" customWidth="1"/>
    <col min="2" max="2" width="25.44140625" style="2"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
        <v>8</v>
      </c>
      <c r="F1" s="92"/>
      <c r="G1" s="92"/>
      <c r="H1" s="92"/>
      <c r="I1" s="92"/>
      <c r="J1" s="92"/>
      <c r="K1" s="92"/>
      <c r="L1" s="92"/>
      <c r="M1" s="92"/>
      <c r="N1" s="92"/>
    </row>
    <row r="3" spans="1:14" ht="15.6" x14ac:dyDescent="0.3">
      <c r="A3" s="51" t="s">
        <v>139</v>
      </c>
      <c r="B3" s="109"/>
      <c r="C3" s="109"/>
      <c r="D3" s="109"/>
      <c r="E3" s="109"/>
      <c r="F3" s="109"/>
      <c r="G3" s="109"/>
      <c r="H3" s="109"/>
      <c r="I3" s="110"/>
      <c r="J3" s="92"/>
      <c r="K3" s="80" t="s">
        <v>3</v>
      </c>
      <c r="L3" s="92"/>
      <c r="M3" s="92"/>
      <c r="N3" s="92"/>
    </row>
    <row r="4" spans="1:14" x14ac:dyDescent="0.25">
      <c r="A4" s="111"/>
      <c r="B4" s="112"/>
      <c r="C4" s="112"/>
      <c r="D4" s="112"/>
      <c r="E4" s="112"/>
      <c r="F4" s="112"/>
      <c r="G4" s="112"/>
      <c r="H4" s="112"/>
      <c r="I4" s="113"/>
      <c r="J4" s="92"/>
      <c r="K4" s="92"/>
      <c r="L4" s="92"/>
      <c r="M4" s="92"/>
      <c r="N4" s="92"/>
    </row>
    <row r="5" spans="1:14" ht="15.75" customHeight="1" x14ac:dyDescent="0.25">
      <c r="A5" s="222" t="s">
        <v>140</v>
      </c>
      <c r="B5" s="223"/>
      <c r="C5" s="223"/>
      <c r="D5" s="223"/>
      <c r="E5" s="223"/>
      <c r="F5" s="223"/>
      <c r="G5" s="223"/>
      <c r="H5" s="223"/>
      <c r="I5" s="224"/>
      <c r="J5" s="92"/>
      <c r="K5" s="211" t="s">
        <v>141</v>
      </c>
      <c r="L5" s="211"/>
      <c r="M5" s="211"/>
      <c r="N5" s="211"/>
    </row>
    <row r="6" spans="1:14" x14ac:dyDescent="0.25">
      <c r="A6" s="225"/>
      <c r="B6" s="226"/>
      <c r="C6" s="226"/>
      <c r="D6" s="226"/>
      <c r="E6" s="226"/>
      <c r="F6" s="226"/>
      <c r="G6" s="226"/>
      <c r="H6" s="226"/>
      <c r="I6" s="227"/>
      <c r="J6" s="92"/>
      <c r="K6" s="211"/>
      <c r="L6" s="211"/>
      <c r="M6" s="211"/>
      <c r="N6" s="211"/>
    </row>
    <row r="7" spans="1:14" x14ac:dyDescent="0.25">
      <c r="A7" s="225"/>
      <c r="B7" s="226"/>
      <c r="C7" s="226"/>
      <c r="D7" s="226"/>
      <c r="E7" s="226"/>
      <c r="F7" s="226"/>
      <c r="G7" s="226"/>
      <c r="H7" s="226"/>
      <c r="I7" s="227"/>
      <c r="J7" s="92"/>
      <c r="K7" s="211"/>
      <c r="L7" s="211"/>
      <c r="M7" s="211"/>
      <c r="N7" s="211"/>
    </row>
    <row r="8" spans="1:14" ht="15.75" customHeight="1" x14ac:dyDescent="0.25">
      <c r="A8" s="225"/>
      <c r="B8" s="226"/>
      <c r="C8" s="226"/>
      <c r="D8" s="226"/>
      <c r="E8" s="226"/>
      <c r="F8" s="226"/>
      <c r="G8" s="226"/>
      <c r="H8" s="226"/>
      <c r="I8" s="227"/>
      <c r="J8" s="92"/>
      <c r="K8" s="211"/>
      <c r="L8" s="211"/>
      <c r="M8" s="211"/>
      <c r="N8" s="211"/>
    </row>
    <row r="9" spans="1:14" ht="15.75" customHeight="1" x14ac:dyDescent="0.25">
      <c r="A9" s="225"/>
      <c r="B9" s="226"/>
      <c r="C9" s="226"/>
      <c r="D9" s="226"/>
      <c r="E9" s="226"/>
      <c r="F9" s="226"/>
      <c r="G9" s="226"/>
      <c r="H9" s="226"/>
      <c r="I9" s="227"/>
      <c r="J9" s="92"/>
      <c r="K9" s="211"/>
      <c r="L9" s="211"/>
      <c r="M9" s="211"/>
      <c r="N9" s="211"/>
    </row>
    <row r="10" spans="1:14" ht="15.75" customHeight="1" x14ac:dyDescent="0.25">
      <c r="A10" s="225"/>
      <c r="B10" s="226"/>
      <c r="C10" s="226"/>
      <c r="D10" s="226"/>
      <c r="E10" s="226"/>
      <c r="F10" s="226"/>
      <c r="G10" s="226"/>
      <c r="H10" s="226"/>
      <c r="I10" s="227"/>
      <c r="J10" s="92"/>
      <c r="K10" s="211"/>
      <c r="L10" s="211"/>
      <c r="M10" s="211"/>
      <c r="N10" s="211"/>
    </row>
    <row r="11" spans="1:14" ht="15.75" customHeight="1" x14ac:dyDescent="0.25">
      <c r="A11" s="225"/>
      <c r="B11" s="226"/>
      <c r="C11" s="226"/>
      <c r="D11" s="226"/>
      <c r="E11" s="226"/>
      <c r="F11" s="226"/>
      <c r="G11" s="226"/>
      <c r="H11" s="226"/>
      <c r="I11" s="227"/>
      <c r="J11" s="92"/>
      <c r="K11" s="211"/>
      <c r="L11" s="211"/>
      <c r="M11" s="211"/>
      <c r="N11" s="211"/>
    </row>
    <row r="12" spans="1:14" ht="15.75" customHeight="1" x14ac:dyDescent="0.25">
      <c r="A12" s="225"/>
      <c r="B12" s="226"/>
      <c r="C12" s="226"/>
      <c r="D12" s="226"/>
      <c r="E12" s="226"/>
      <c r="F12" s="226"/>
      <c r="G12" s="226"/>
      <c r="H12" s="226"/>
      <c r="I12" s="227"/>
      <c r="J12" s="92"/>
      <c r="K12" s="211"/>
      <c r="L12" s="211"/>
      <c r="M12" s="211"/>
      <c r="N12" s="211"/>
    </row>
    <row r="13" spans="1:14" ht="15.75" customHeight="1" x14ac:dyDescent="0.25">
      <c r="A13" s="225"/>
      <c r="B13" s="226"/>
      <c r="C13" s="226"/>
      <c r="D13" s="226"/>
      <c r="E13" s="226"/>
      <c r="F13" s="226"/>
      <c r="G13" s="226"/>
      <c r="H13" s="226"/>
      <c r="I13" s="227"/>
      <c r="J13" s="92"/>
      <c r="K13" s="211"/>
      <c r="L13" s="211"/>
      <c r="M13" s="211"/>
      <c r="N13" s="211"/>
    </row>
    <row r="14" spans="1:14" ht="15.75" customHeight="1" x14ac:dyDescent="0.25">
      <c r="A14" s="225"/>
      <c r="B14" s="226"/>
      <c r="C14" s="226"/>
      <c r="D14" s="226"/>
      <c r="E14" s="226"/>
      <c r="F14" s="226"/>
      <c r="G14" s="226"/>
      <c r="H14" s="226"/>
      <c r="I14" s="227"/>
      <c r="J14" s="92"/>
      <c r="K14" s="211"/>
      <c r="L14" s="211"/>
      <c r="M14" s="211"/>
      <c r="N14" s="211"/>
    </row>
    <row r="15" spans="1:14" ht="15.75" customHeight="1" x14ac:dyDescent="0.25">
      <c r="A15" s="225"/>
      <c r="B15" s="226"/>
      <c r="C15" s="226"/>
      <c r="D15" s="226"/>
      <c r="E15" s="226"/>
      <c r="F15" s="226"/>
      <c r="G15" s="226"/>
      <c r="H15" s="226"/>
      <c r="I15" s="227"/>
      <c r="J15" s="92"/>
      <c r="K15" s="92"/>
      <c r="L15" s="92"/>
      <c r="M15" s="92"/>
      <c r="N15" s="92"/>
    </row>
    <row r="16" spans="1:14" ht="15.75" customHeight="1" x14ac:dyDescent="0.25">
      <c r="A16" s="225"/>
      <c r="B16" s="226"/>
      <c r="C16" s="226"/>
      <c r="D16" s="226"/>
      <c r="E16" s="226"/>
      <c r="F16" s="226"/>
      <c r="G16" s="226"/>
      <c r="H16" s="226"/>
      <c r="I16" s="227"/>
      <c r="J16" s="92"/>
      <c r="K16" s="92"/>
      <c r="L16" s="92"/>
      <c r="M16" s="92"/>
      <c r="N16" s="92"/>
    </row>
    <row r="17" spans="1:14" ht="15.75" customHeight="1" x14ac:dyDescent="0.25">
      <c r="A17" s="225"/>
      <c r="B17" s="226"/>
      <c r="C17" s="226"/>
      <c r="D17" s="226"/>
      <c r="E17" s="226"/>
      <c r="F17" s="226"/>
      <c r="G17" s="226"/>
      <c r="H17" s="226"/>
      <c r="I17" s="227"/>
      <c r="J17" s="92"/>
      <c r="K17" s="92"/>
      <c r="L17" s="92"/>
      <c r="M17" s="92"/>
      <c r="N17" s="92"/>
    </row>
    <row r="18" spans="1:14" x14ac:dyDescent="0.25">
      <c r="A18" s="225"/>
      <c r="B18" s="226"/>
      <c r="C18" s="226"/>
      <c r="D18" s="226"/>
      <c r="E18" s="226"/>
      <c r="F18" s="226"/>
      <c r="G18" s="226"/>
      <c r="H18" s="226"/>
      <c r="I18" s="227"/>
      <c r="J18" s="92"/>
      <c r="K18" s="92"/>
      <c r="L18" s="92"/>
      <c r="M18" s="92"/>
      <c r="N18" s="92"/>
    </row>
    <row r="19" spans="1:14" x14ac:dyDescent="0.25">
      <c r="A19" s="225"/>
      <c r="B19" s="226"/>
      <c r="C19" s="226"/>
      <c r="D19" s="226"/>
      <c r="E19" s="226"/>
      <c r="F19" s="226"/>
      <c r="G19" s="226"/>
      <c r="H19" s="226"/>
      <c r="I19" s="227"/>
      <c r="J19" s="92"/>
      <c r="K19" s="92"/>
      <c r="L19" s="92"/>
      <c r="M19" s="92"/>
      <c r="N19" s="92"/>
    </row>
    <row r="20" spans="1:14" x14ac:dyDescent="0.25">
      <c r="A20" s="225"/>
      <c r="B20" s="226"/>
      <c r="C20" s="226"/>
      <c r="D20" s="226"/>
      <c r="E20" s="226"/>
      <c r="F20" s="226"/>
      <c r="G20" s="226"/>
      <c r="H20" s="226"/>
      <c r="I20" s="227"/>
      <c r="J20" s="92"/>
      <c r="K20" s="92"/>
      <c r="L20" s="92"/>
      <c r="M20" s="92"/>
      <c r="N20" s="92"/>
    </row>
    <row r="21" spans="1:14" x14ac:dyDescent="0.25">
      <c r="A21" s="225"/>
      <c r="B21" s="226"/>
      <c r="C21" s="226"/>
      <c r="D21" s="226"/>
      <c r="E21" s="226"/>
      <c r="F21" s="226"/>
      <c r="G21" s="226"/>
      <c r="H21" s="226"/>
      <c r="I21" s="227"/>
      <c r="J21" s="92"/>
      <c r="K21" s="92"/>
      <c r="L21" s="92"/>
      <c r="M21" s="92"/>
      <c r="N21" s="92"/>
    </row>
    <row r="22" spans="1:14" ht="15.45" customHeight="1" x14ac:dyDescent="0.25">
      <c r="A22" s="225"/>
      <c r="B22" s="226"/>
      <c r="C22" s="226"/>
      <c r="D22" s="226"/>
      <c r="E22" s="226"/>
      <c r="F22" s="226"/>
      <c r="G22" s="226"/>
      <c r="H22" s="226"/>
      <c r="I22" s="227"/>
      <c r="J22" s="92"/>
      <c r="K22" s="150"/>
      <c r="L22" s="150"/>
      <c r="M22" s="150"/>
      <c r="N22" s="150"/>
    </row>
    <row r="23" spans="1:14" x14ac:dyDescent="0.25">
      <c r="A23" s="225"/>
      <c r="B23" s="226"/>
      <c r="C23" s="226"/>
      <c r="D23" s="226"/>
      <c r="E23" s="226"/>
      <c r="F23" s="226"/>
      <c r="G23" s="226"/>
      <c r="H23" s="226"/>
      <c r="I23" s="227"/>
      <c r="J23" s="92"/>
      <c r="K23" s="150"/>
      <c r="L23" s="150"/>
      <c r="M23" s="150"/>
      <c r="N23" s="150"/>
    </row>
    <row r="24" spans="1:14" x14ac:dyDescent="0.25">
      <c r="A24" s="225"/>
      <c r="B24" s="226"/>
      <c r="C24" s="226"/>
      <c r="D24" s="226"/>
      <c r="E24" s="226"/>
      <c r="F24" s="226"/>
      <c r="G24" s="226"/>
      <c r="H24" s="226"/>
      <c r="I24" s="227"/>
      <c r="J24" s="92"/>
      <c r="K24" s="150"/>
      <c r="L24" s="150"/>
      <c r="M24" s="150"/>
      <c r="N24" s="150"/>
    </row>
    <row r="25" spans="1:14" x14ac:dyDescent="0.25">
      <c r="A25" s="225"/>
      <c r="B25" s="226"/>
      <c r="C25" s="226"/>
      <c r="D25" s="226"/>
      <c r="E25" s="226"/>
      <c r="F25" s="226"/>
      <c r="G25" s="226"/>
      <c r="H25" s="226"/>
      <c r="I25" s="227"/>
      <c r="J25" s="92"/>
      <c r="K25" s="150"/>
      <c r="L25" s="150"/>
      <c r="M25" s="150"/>
      <c r="N25" s="150"/>
    </row>
    <row r="26" spans="1:14" x14ac:dyDescent="0.25">
      <c r="A26" s="225"/>
      <c r="B26" s="226"/>
      <c r="C26" s="226"/>
      <c r="D26" s="226"/>
      <c r="E26" s="226"/>
      <c r="F26" s="226"/>
      <c r="G26" s="226"/>
      <c r="H26" s="226"/>
      <c r="I26" s="227"/>
      <c r="J26" s="92"/>
      <c r="K26" s="150"/>
      <c r="L26" s="150"/>
      <c r="M26" s="150"/>
      <c r="N26" s="150"/>
    </row>
    <row r="27" spans="1:14" x14ac:dyDescent="0.25">
      <c r="A27" s="228"/>
      <c r="B27" s="229"/>
      <c r="C27" s="229"/>
      <c r="D27" s="229"/>
      <c r="E27" s="229"/>
      <c r="F27" s="229"/>
      <c r="G27" s="229"/>
      <c r="H27" s="229"/>
      <c r="I27" s="230"/>
      <c r="J27" s="92"/>
      <c r="K27" s="150"/>
      <c r="L27" s="150"/>
      <c r="M27" s="150"/>
      <c r="N27" s="150"/>
    </row>
    <row r="28" spans="1:14" x14ac:dyDescent="0.25">
      <c r="A28" s="92"/>
      <c r="B28" s="92"/>
      <c r="C28" s="92"/>
      <c r="D28" s="92"/>
      <c r="E28" s="92"/>
      <c r="F28" s="92"/>
      <c r="G28" s="92"/>
      <c r="H28" s="92"/>
      <c r="I28" s="92"/>
      <c r="J28" s="92"/>
      <c r="K28" s="150"/>
      <c r="L28" s="150"/>
      <c r="M28" s="150"/>
      <c r="N28" s="150"/>
    </row>
    <row r="29" spans="1:14" x14ac:dyDescent="0.25">
      <c r="A29" s="51" t="s">
        <v>142</v>
      </c>
      <c r="B29" s="109"/>
      <c r="C29" s="109"/>
      <c r="D29" s="109"/>
      <c r="E29" s="109"/>
      <c r="F29" s="109"/>
      <c r="G29" s="109"/>
      <c r="H29" s="109"/>
      <c r="I29" s="110"/>
      <c r="J29" s="92"/>
      <c r="K29" s="150"/>
      <c r="L29" s="150"/>
      <c r="M29" s="150"/>
      <c r="N29" s="150"/>
    </row>
    <row r="30" spans="1:14" x14ac:dyDescent="0.25">
      <c r="A30" s="111"/>
      <c r="B30" s="112"/>
      <c r="C30" s="112"/>
      <c r="D30" s="112"/>
      <c r="E30" s="112"/>
      <c r="F30" s="112"/>
      <c r="G30" s="112"/>
      <c r="H30" s="112"/>
      <c r="I30" s="113"/>
      <c r="J30" s="92"/>
      <c r="K30" s="150"/>
      <c r="L30" s="150"/>
      <c r="M30" s="150"/>
      <c r="N30" s="150"/>
    </row>
    <row r="31" spans="1:14" x14ac:dyDescent="0.25">
      <c r="A31" s="222" t="s">
        <v>143</v>
      </c>
      <c r="B31" s="231"/>
      <c r="C31" s="231"/>
      <c r="D31" s="231"/>
      <c r="E31" s="231"/>
      <c r="F31" s="231"/>
      <c r="G31" s="231"/>
      <c r="H31" s="231"/>
      <c r="I31" s="232"/>
      <c r="J31" s="92"/>
      <c r="K31" s="211" t="s">
        <v>144</v>
      </c>
      <c r="L31" s="211"/>
      <c r="M31" s="211"/>
      <c r="N31" s="211"/>
    </row>
    <row r="32" spans="1:14" x14ac:dyDescent="0.25">
      <c r="A32" s="233"/>
      <c r="B32" s="234"/>
      <c r="C32" s="234"/>
      <c r="D32" s="234"/>
      <c r="E32" s="234"/>
      <c r="F32" s="234"/>
      <c r="G32" s="234"/>
      <c r="H32" s="234"/>
      <c r="I32" s="235"/>
      <c r="J32" s="92"/>
      <c r="K32" s="211"/>
      <c r="L32" s="211"/>
      <c r="M32" s="211"/>
      <c r="N32" s="211"/>
    </row>
    <row r="33" spans="1:14" x14ac:dyDescent="0.25">
      <c r="A33" s="233"/>
      <c r="B33" s="234"/>
      <c r="C33" s="234"/>
      <c r="D33" s="234"/>
      <c r="E33" s="234"/>
      <c r="F33" s="234"/>
      <c r="G33" s="234"/>
      <c r="H33" s="234"/>
      <c r="I33" s="235"/>
      <c r="J33" s="92"/>
      <c r="K33" s="211"/>
      <c r="L33" s="211"/>
      <c r="M33" s="211"/>
      <c r="N33" s="211"/>
    </row>
    <row r="34" spans="1:14" x14ac:dyDescent="0.25">
      <c r="A34" s="233"/>
      <c r="B34" s="234"/>
      <c r="C34" s="234"/>
      <c r="D34" s="234"/>
      <c r="E34" s="234"/>
      <c r="F34" s="234"/>
      <c r="G34" s="234"/>
      <c r="H34" s="234"/>
      <c r="I34" s="235"/>
      <c r="J34" s="92"/>
      <c r="K34" s="211"/>
      <c r="L34" s="211"/>
      <c r="M34" s="211"/>
      <c r="N34" s="211"/>
    </row>
    <row r="35" spans="1:14" x14ac:dyDescent="0.25">
      <c r="A35" s="233"/>
      <c r="B35" s="234"/>
      <c r="C35" s="234"/>
      <c r="D35" s="234"/>
      <c r="E35" s="234"/>
      <c r="F35" s="234"/>
      <c r="G35" s="234"/>
      <c r="H35" s="234"/>
      <c r="I35" s="235"/>
      <c r="J35" s="92"/>
      <c r="K35" s="211"/>
      <c r="L35" s="211"/>
      <c r="M35" s="211"/>
      <c r="N35" s="211"/>
    </row>
    <row r="36" spans="1:14" x14ac:dyDescent="0.25">
      <c r="A36" s="233"/>
      <c r="B36" s="234"/>
      <c r="C36" s="234"/>
      <c r="D36" s="234"/>
      <c r="E36" s="234"/>
      <c r="F36" s="234"/>
      <c r="G36" s="234"/>
      <c r="H36" s="234"/>
      <c r="I36" s="235"/>
      <c r="J36" s="92"/>
      <c r="K36" s="211"/>
      <c r="L36" s="211"/>
      <c r="M36" s="211"/>
      <c r="N36" s="211"/>
    </row>
    <row r="37" spans="1:14" x14ac:dyDescent="0.25">
      <c r="A37" s="233"/>
      <c r="B37" s="234"/>
      <c r="C37" s="234"/>
      <c r="D37" s="234"/>
      <c r="E37" s="234"/>
      <c r="F37" s="234"/>
      <c r="G37" s="234"/>
      <c r="H37" s="234"/>
      <c r="I37" s="235"/>
      <c r="J37" s="92"/>
      <c r="K37" s="211"/>
      <c r="L37" s="211"/>
      <c r="M37" s="211"/>
      <c r="N37" s="211"/>
    </row>
    <row r="38" spans="1:14" ht="14.25" customHeight="1" x14ac:dyDescent="0.25">
      <c r="A38" s="233"/>
      <c r="B38" s="234"/>
      <c r="C38" s="234"/>
      <c r="D38" s="234"/>
      <c r="E38" s="234"/>
      <c r="F38" s="234"/>
      <c r="G38" s="234"/>
      <c r="H38" s="234"/>
      <c r="I38" s="235"/>
      <c r="J38" s="92"/>
      <c r="K38" s="211"/>
      <c r="L38" s="211"/>
      <c r="M38" s="211"/>
      <c r="N38" s="211"/>
    </row>
    <row r="39" spans="1:14" x14ac:dyDescent="0.25">
      <c r="A39" s="233"/>
      <c r="B39" s="234"/>
      <c r="C39" s="234"/>
      <c r="D39" s="234"/>
      <c r="E39" s="234"/>
      <c r="F39" s="234"/>
      <c r="G39" s="234"/>
      <c r="H39" s="234"/>
      <c r="I39" s="235"/>
      <c r="J39" s="92"/>
      <c r="K39" s="211"/>
      <c r="L39" s="211"/>
      <c r="M39" s="211"/>
      <c r="N39" s="211"/>
    </row>
    <row r="40" spans="1:14" x14ac:dyDescent="0.25">
      <c r="A40" s="233"/>
      <c r="B40" s="234"/>
      <c r="C40" s="234"/>
      <c r="D40" s="234"/>
      <c r="E40" s="234"/>
      <c r="F40" s="234"/>
      <c r="G40" s="234"/>
      <c r="H40" s="234"/>
      <c r="I40" s="235"/>
      <c r="J40" s="92"/>
      <c r="K40" s="211"/>
      <c r="L40" s="211"/>
      <c r="M40" s="211"/>
      <c r="N40" s="211"/>
    </row>
    <row r="41" spans="1:14" x14ac:dyDescent="0.25">
      <c r="A41" s="233"/>
      <c r="B41" s="234"/>
      <c r="C41" s="234"/>
      <c r="D41" s="234"/>
      <c r="E41" s="234"/>
      <c r="F41" s="234"/>
      <c r="G41" s="234"/>
      <c r="H41" s="234"/>
      <c r="I41" s="235"/>
      <c r="J41" s="92"/>
      <c r="K41" s="92"/>
      <c r="L41" s="92"/>
      <c r="M41" s="92"/>
      <c r="N41" s="92"/>
    </row>
    <row r="42" spans="1:14" x14ac:dyDescent="0.25">
      <c r="A42" s="233"/>
      <c r="B42" s="234"/>
      <c r="C42" s="234"/>
      <c r="D42" s="234"/>
      <c r="E42" s="234"/>
      <c r="F42" s="234"/>
      <c r="G42" s="234"/>
      <c r="H42" s="234"/>
      <c r="I42" s="235"/>
      <c r="J42" s="92"/>
      <c r="K42" s="92"/>
      <c r="L42" s="92"/>
      <c r="M42" s="92"/>
      <c r="N42" s="92"/>
    </row>
    <row r="43" spans="1:14" x14ac:dyDescent="0.25">
      <c r="A43" s="233"/>
      <c r="B43" s="234"/>
      <c r="C43" s="234"/>
      <c r="D43" s="234"/>
      <c r="E43" s="234"/>
      <c r="F43" s="234"/>
      <c r="G43" s="234"/>
      <c r="H43" s="234"/>
      <c r="I43" s="235"/>
      <c r="J43" s="92"/>
      <c r="K43" s="92"/>
      <c r="L43" s="92"/>
      <c r="M43" s="92"/>
      <c r="N43" s="92"/>
    </row>
    <row r="44" spans="1:14" x14ac:dyDescent="0.25">
      <c r="A44" s="233"/>
      <c r="B44" s="234"/>
      <c r="C44" s="234"/>
      <c r="D44" s="234"/>
      <c r="E44" s="234"/>
      <c r="F44" s="234"/>
      <c r="G44" s="234"/>
      <c r="H44" s="234"/>
      <c r="I44" s="235"/>
      <c r="J44" s="92"/>
      <c r="K44" s="92"/>
      <c r="L44" s="92"/>
      <c r="M44" s="92"/>
      <c r="N44" s="92"/>
    </row>
    <row r="45" spans="1:14" x14ac:dyDescent="0.25">
      <c r="A45" s="233"/>
      <c r="B45" s="234"/>
      <c r="C45" s="234"/>
      <c r="D45" s="234"/>
      <c r="E45" s="234"/>
      <c r="F45" s="234"/>
      <c r="G45" s="234"/>
      <c r="H45" s="234"/>
      <c r="I45" s="235"/>
      <c r="J45" s="92"/>
      <c r="K45" s="92"/>
      <c r="L45" s="92"/>
      <c r="M45" s="92"/>
      <c r="N45" s="92"/>
    </row>
    <row r="46" spans="1:14" x14ac:dyDescent="0.25">
      <c r="A46" s="233"/>
      <c r="B46" s="234"/>
      <c r="C46" s="234"/>
      <c r="D46" s="234"/>
      <c r="E46" s="234"/>
      <c r="F46" s="234"/>
      <c r="G46" s="234"/>
      <c r="H46" s="234"/>
      <c r="I46" s="235"/>
      <c r="J46" s="92"/>
      <c r="K46" s="92"/>
      <c r="L46" s="92"/>
      <c r="M46" s="92"/>
      <c r="N46" s="92"/>
    </row>
    <row r="47" spans="1:14" x14ac:dyDescent="0.25">
      <c r="A47" s="233"/>
      <c r="B47" s="234"/>
      <c r="C47" s="234"/>
      <c r="D47" s="234"/>
      <c r="E47" s="234"/>
      <c r="F47" s="234"/>
      <c r="G47" s="234"/>
      <c r="H47" s="234"/>
      <c r="I47" s="235"/>
      <c r="J47" s="92"/>
      <c r="K47" s="92"/>
      <c r="L47" s="92"/>
      <c r="M47" s="92"/>
      <c r="N47" s="92"/>
    </row>
    <row r="48" spans="1:14" x14ac:dyDescent="0.25">
      <c r="A48" s="233"/>
      <c r="B48" s="234"/>
      <c r="C48" s="234"/>
      <c r="D48" s="234"/>
      <c r="E48" s="234"/>
      <c r="F48" s="234"/>
      <c r="G48" s="234"/>
      <c r="H48" s="234"/>
      <c r="I48" s="235"/>
      <c r="J48" s="92"/>
      <c r="K48" s="92"/>
      <c r="L48" s="92"/>
      <c r="M48" s="92"/>
      <c r="N48" s="92"/>
    </row>
    <row r="49" spans="1:9" x14ac:dyDescent="0.25">
      <c r="A49" s="233"/>
      <c r="B49" s="234"/>
      <c r="C49" s="234"/>
      <c r="D49" s="234"/>
      <c r="E49" s="234"/>
      <c r="F49" s="234"/>
      <c r="G49" s="234"/>
      <c r="H49" s="234"/>
      <c r="I49" s="235"/>
    </row>
    <row r="50" spans="1:9" x14ac:dyDescent="0.25">
      <c r="A50" s="233"/>
      <c r="B50" s="234"/>
      <c r="C50" s="234"/>
      <c r="D50" s="234"/>
      <c r="E50" s="234"/>
      <c r="F50" s="234"/>
      <c r="G50" s="234"/>
      <c r="H50" s="234"/>
      <c r="I50" s="235"/>
    </row>
    <row r="51" spans="1:9" x14ac:dyDescent="0.25">
      <c r="A51" s="233"/>
      <c r="B51" s="234"/>
      <c r="C51" s="234"/>
      <c r="D51" s="234"/>
      <c r="E51" s="234"/>
      <c r="F51" s="234"/>
      <c r="G51" s="234"/>
      <c r="H51" s="234"/>
      <c r="I51" s="235"/>
    </row>
    <row r="52" spans="1:9" x14ac:dyDescent="0.25">
      <c r="A52" s="236"/>
      <c r="B52" s="237"/>
      <c r="C52" s="237"/>
      <c r="D52" s="237"/>
      <c r="E52" s="237"/>
      <c r="F52" s="237"/>
      <c r="G52" s="237"/>
      <c r="H52" s="237"/>
      <c r="I52" s="238"/>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view="pageBreakPreview" zoomScale="60" zoomScaleNormal="100" workbookViewId="0">
      <selection activeCell="A40" sqref="A40:J41"/>
    </sheetView>
  </sheetViews>
  <sheetFormatPr defaultColWidth="9.33203125" defaultRowHeight="15" x14ac:dyDescent="0.25"/>
  <cols>
    <col min="1" max="16384" width="9.33203125" style="2"/>
  </cols>
  <sheetData>
    <row r="1" spans="1:10" ht="15.6" x14ac:dyDescent="0.3">
      <c r="A1" s="33">
        <f>+'Cover Page'!C39</f>
        <v>2022</v>
      </c>
      <c r="B1" s="34" t="s">
        <v>145</v>
      </c>
      <c r="C1" s="34"/>
      <c r="D1" s="34"/>
      <c r="E1" s="34"/>
      <c r="F1" s="34"/>
      <c r="G1" s="34"/>
      <c r="H1" s="34"/>
      <c r="I1" s="34"/>
      <c r="J1" s="34"/>
    </row>
    <row r="2" spans="1:10" ht="8.25" customHeight="1" x14ac:dyDescent="0.25">
      <c r="A2" s="92"/>
      <c r="B2" s="92"/>
      <c r="C2" s="92"/>
      <c r="D2" s="92"/>
      <c r="E2" s="92"/>
      <c r="F2" s="92"/>
      <c r="G2" s="92"/>
      <c r="H2" s="92"/>
      <c r="I2" s="92"/>
      <c r="J2" s="92"/>
    </row>
    <row r="3" spans="1:10" s="3" customFormat="1" ht="13.8" x14ac:dyDescent="0.25">
      <c r="A3" s="243" t="str">
        <f>+'Cover Page'!B31</f>
        <v>Permit EPR/UP3131DF</v>
      </c>
      <c r="B3" s="243"/>
      <c r="C3" s="243"/>
      <c r="D3" s="243"/>
      <c r="E3" s="243"/>
      <c r="F3" s="3" t="s">
        <v>146</v>
      </c>
      <c r="G3" s="244">
        <f>+'Cover Page'!B37:I37</f>
        <v>0</v>
      </c>
      <c r="H3" s="244"/>
      <c r="I3" s="244"/>
    </row>
    <row r="4" spans="1:10" s="3" customFormat="1" ht="13.8" x14ac:dyDescent="0.25">
      <c r="A4" s="3" t="s">
        <v>147</v>
      </c>
      <c r="B4" s="243" t="str">
        <f>+'Cover Page'!B33:I33</f>
        <v>Boston Energy Production Facility</v>
      </c>
      <c r="C4" s="243"/>
      <c r="D4" s="243"/>
      <c r="E4" s="243"/>
      <c r="F4" s="3" t="s">
        <v>148</v>
      </c>
      <c r="G4" s="3" t="s">
        <v>149</v>
      </c>
    </row>
    <row r="5" spans="1:10" s="3" customFormat="1" ht="6.75" customHeight="1" x14ac:dyDescent="0.25"/>
    <row r="6" spans="1:10" s="3" customFormat="1" ht="15.75" customHeight="1" x14ac:dyDescent="0.25">
      <c r="A6" s="3" t="s">
        <v>150</v>
      </c>
      <c r="D6" s="245">
        <v>44562</v>
      </c>
      <c r="E6" s="245"/>
      <c r="F6" s="35" t="s">
        <v>151</v>
      </c>
      <c r="G6" s="245">
        <v>44926</v>
      </c>
      <c r="H6" s="245"/>
    </row>
    <row r="7" spans="1:10" s="3" customFormat="1" ht="7.5" customHeight="1" x14ac:dyDescent="0.25"/>
    <row r="8" spans="1:10" s="3" customFormat="1" ht="15.6" x14ac:dyDescent="0.3">
      <c r="A8" s="9">
        <f>+A1</f>
        <v>2022</v>
      </c>
      <c r="B8" s="34" t="s">
        <v>152</v>
      </c>
      <c r="C8"/>
      <c r="D8"/>
      <c r="E8"/>
      <c r="F8"/>
      <c r="G8"/>
    </row>
    <row r="9" spans="1:10" s="3" customFormat="1" ht="28.5" customHeight="1" x14ac:dyDescent="0.25">
      <c r="A9" s="246" t="s">
        <v>153</v>
      </c>
      <c r="B9" s="246"/>
      <c r="C9" s="246" t="s">
        <v>154</v>
      </c>
      <c r="D9" s="246"/>
      <c r="E9" s="246" t="s">
        <v>155</v>
      </c>
      <c r="F9" s="246"/>
      <c r="G9" s="246" t="s">
        <v>156</v>
      </c>
      <c r="H9" s="246"/>
      <c r="I9" s="246" t="s">
        <v>157</v>
      </c>
      <c r="J9" s="246"/>
    </row>
    <row r="10" spans="1:10" s="3" customFormat="1" ht="14.25" customHeight="1" x14ac:dyDescent="0.25">
      <c r="A10" s="239" t="s">
        <v>158</v>
      </c>
      <c r="B10" s="239"/>
      <c r="C10" s="239"/>
      <c r="D10" s="239"/>
      <c r="E10" s="239"/>
      <c r="F10" s="239"/>
      <c r="G10" s="239"/>
      <c r="H10" s="239"/>
      <c r="I10" s="239"/>
      <c r="J10" s="239"/>
    </row>
    <row r="11" spans="1:10" s="3" customFormat="1" ht="14.25" customHeight="1" x14ac:dyDescent="0.25">
      <c r="A11" s="239" t="s">
        <v>159</v>
      </c>
      <c r="B11" s="239"/>
      <c r="C11" s="240"/>
      <c r="D11" s="240"/>
      <c r="E11" s="241">
        <v>1077</v>
      </c>
      <c r="F11" s="241"/>
      <c r="G11" s="241">
        <v>0</v>
      </c>
      <c r="H11" s="241"/>
      <c r="I11" s="242">
        <f>IF((E11+G11)&gt;0,(E11+G11)/'Operational Data'!$G$18, "-")</f>
        <v>4.9769268377891543E-2</v>
      </c>
      <c r="J11" s="242"/>
    </row>
    <row r="12" spans="1:10" s="3" customFormat="1" ht="14.25" customHeight="1" x14ac:dyDescent="0.25">
      <c r="A12" s="239" t="s">
        <v>160</v>
      </c>
      <c r="B12" s="239"/>
      <c r="C12" s="240"/>
      <c r="D12" s="240"/>
      <c r="E12" s="241">
        <v>1189</v>
      </c>
      <c r="F12" s="241"/>
      <c r="G12" s="241">
        <v>0</v>
      </c>
      <c r="H12" s="241"/>
      <c r="I12" s="242">
        <f>IF((E12+G12)&gt;0,(E12+G12)/'Operational Data'!$G$18, "-")</f>
        <v>5.494490260103347E-2</v>
      </c>
      <c r="J12" s="242"/>
    </row>
    <row r="13" spans="1:10" s="3" customFormat="1" ht="14.25" customHeight="1" x14ac:dyDescent="0.25">
      <c r="A13" s="247"/>
      <c r="B13" s="247"/>
      <c r="C13" s="240"/>
      <c r="D13" s="240"/>
      <c r="E13" s="241"/>
      <c r="F13" s="241"/>
      <c r="G13" s="241"/>
      <c r="H13" s="241"/>
      <c r="I13" s="242" t="str">
        <f>IF((E13+G13)&gt;0,(E13+G13)/'Operational Data'!$G$18, "-")</f>
        <v>-</v>
      </c>
      <c r="J13" s="242"/>
    </row>
    <row r="14" spans="1:10" s="3" customFormat="1" ht="14.25" customHeight="1" x14ac:dyDescent="0.25">
      <c r="A14" s="247"/>
      <c r="B14" s="247"/>
      <c r="C14" s="240"/>
      <c r="D14" s="240"/>
      <c r="E14" s="241"/>
      <c r="F14" s="241"/>
      <c r="G14" s="241"/>
      <c r="H14" s="241"/>
      <c r="I14" s="242" t="str">
        <f>IF((E14+G14)&gt;0,(E14+G14)/'Operational Data'!$G$18, "-")</f>
        <v>-</v>
      </c>
      <c r="J14" s="242"/>
    </row>
    <row r="15" spans="1:10" s="3" customFormat="1" ht="14.25" customHeight="1" x14ac:dyDescent="0.25">
      <c r="A15" s="254" t="s">
        <v>161</v>
      </c>
      <c r="B15" s="254"/>
      <c r="C15" s="254"/>
      <c r="D15" s="254"/>
      <c r="E15" s="255">
        <f>SUM(E11:F14)</f>
        <v>2266</v>
      </c>
      <c r="F15" s="255"/>
      <c r="G15" s="255">
        <f>SUM(G11:H14)</f>
        <v>0</v>
      </c>
      <c r="H15" s="255"/>
      <c r="I15" s="242">
        <f>IF((E15+G15)&gt;0,(E15+G15)/'Operational Data'!$G$18, "-")</f>
        <v>0.10471417097892502</v>
      </c>
      <c r="J15" s="242"/>
    </row>
    <row r="16" spans="1:10" s="3" customFormat="1" ht="14.25" customHeight="1" x14ac:dyDescent="0.25">
      <c r="A16" s="248"/>
      <c r="B16" s="249"/>
      <c r="C16" s="249"/>
      <c r="D16" s="249"/>
      <c r="E16" s="250"/>
      <c r="F16" s="250"/>
      <c r="G16" s="250"/>
      <c r="H16" s="250"/>
      <c r="I16" s="251"/>
      <c r="J16" s="252"/>
    </row>
    <row r="17" spans="1:10" s="3" customFormat="1" ht="14.25" customHeight="1" x14ac:dyDescent="0.25">
      <c r="A17" s="253" t="s">
        <v>162</v>
      </c>
      <c r="B17" s="253"/>
      <c r="C17" s="253"/>
      <c r="D17" s="253"/>
      <c r="E17" s="253"/>
      <c r="F17" s="253"/>
      <c r="G17" s="253"/>
      <c r="H17" s="253"/>
      <c r="I17" s="253"/>
      <c r="J17" s="253"/>
    </row>
    <row r="18" spans="1:10" ht="14.25" customHeight="1" x14ac:dyDescent="0.25">
      <c r="A18" s="239" t="s">
        <v>160</v>
      </c>
      <c r="B18" s="239"/>
      <c r="C18" s="240"/>
      <c r="D18" s="240"/>
      <c r="E18" s="241">
        <v>0</v>
      </c>
      <c r="F18" s="241"/>
      <c r="G18" s="241">
        <v>0</v>
      </c>
      <c r="H18" s="241"/>
      <c r="I18" s="242" t="str">
        <f>IF((E18+G18)&gt;0,(E18+G18)/'Operational Data'!$G$18, "-")</f>
        <v>-</v>
      </c>
      <c r="J18" s="242"/>
    </row>
    <row r="19" spans="1:10" s="3" customFormat="1" ht="14.25" customHeight="1" x14ac:dyDescent="0.25">
      <c r="A19" s="239" t="s">
        <v>163</v>
      </c>
      <c r="B19" s="239"/>
      <c r="C19" s="240"/>
      <c r="D19" s="240"/>
      <c r="E19" s="241">
        <v>0</v>
      </c>
      <c r="F19" s="241"/>
      <c r="G19" s="241">
        <v>88</v>
      </c>
      <c r="H19" s="241"/>
      <c r="I19" s="242">
        <f>IF((E19+G19)&gt;0,(E19+G19)/'Operational Data'!$G$18, "-")</f>
        <v>4.0665697467543692E-3</v>
      </c>
      <c r="J19" s="242"/>
    </row>
    <row r="20" spans="1:10" s="3" customFormat="1" ht="14.25" customHeight="1" x14ac:dyDescent="0.25">
      <c r="A20" s="239" t="s">
        <v>164</v>
      </c>
      <c r="B20" s="239"/>
      <c r="C20" s="240"/>
      <c r="D20" s="240"/>
      <c r="E20" s="241">
        <v>0</v>
      </c>
      <c r="F20" s="241"/>
      <c r="G20" s="241">
        <v>0</v>
      </c>
      <c r="H20" s="241"/>
      <c r="I20" s="242" t="str">
        <f>IF((E20+G20)&gt;0,(E20+G20)/'Operational Data'!$G$18, "-")</f>
        <v>-</v>
      </c>
      <c r="J20" s="242"/>
    </row>
    <row r="21" spans="1:10" s="3" customFormat="1" ht="14.25" customHeight="1" x14ac:dyDescent="0.25">
      <c r="A21" s="256"/>
      <c r="B21" s="256"/>
      <c r="C21" s="240"/>
      <c r="D21" s="240"/>
      <c r="E21" s="241"/>
      <c r="F21" s="241"/>
      <c r="G21" s="241"/>
      <c r="H21" s="241"/>
      <c r="I21" s="242" t="str">
        <f>IF((E21+G21)&gt;0,(E21+G21)/'Operational Data'!$G$18, "-")</f>
        <v>-</v>
      </c>
      <c r="J21" s="242"/>
    </row>
    <row r="22" spans="1:10" s="3" customFormat="1" ht="14.25" customHeight="1" x14ac:dyDescent="0.25">
      <c r="A22" s="256"/>
      <c r="B22" s="256"/>
      <c r="C22" s="240"/>
      <c r="D22" s="240"/>
      <c r="E22" s="241"/>
      <c r="F22" s="241"/>
      <c r="G22" s="241"/>
      <c r="H22" s="241"/>
      <c r="I22" s="242" t="str">
        <f>IF((E22+G22)&gt;0,(E22+G22)/'Operational Data'!$G$18, "-")</f>
        <v>-</v>
      </c>
      <c r="J22" s="242"/>
    </row>
    <row r="23" spans="1:10" s="3" customFormat="1" ht="14.25" customHeight="1" x14ac:dyDescent="0.25">
      <c r="A23" s="257" t="s">
        <v>165</v>
      </c>
      <c r="B23" s="257"/>
      <c r="C23" s="257"/>
      <c r="D23" s="257"/>
      <c r="E23" s="255">
        <f>SUM(E18:F22)</f>
        <v>0</v>
      </c>
      <c r="F23" s="255"/>
      <c r="G23" s="255">
        <f>SUM(G18:H22)</f>
        <v>88</v>
      </c>
      <c r="H23" s="255"/>
      <c r="I23" s="242">
        <f>IF((E23+G23)&gt;0,(E23+G23)/'Operational Data'!$G$18, "-")</f>
        <v>4.0665697467543692E-3</v>
      </c>
      <c r="J23" s="242"/>
    </row>
    <row r="24" spans="1:10" s="3" customFormat="1" ht="14.25" customHeight="1" x14ac:dyDescent="0.25">
      <c r="A24" s="267" t="s">
        <v>166</v>
      </c>
      <c r="B24" s="267"/>
      <c r="C24" s="267"/>
      <c r="D24" s="267"/>
      <c r="E24" s="268">
        <f>+E23+E15</f>
        <v>2266</v>
      </c>
      <c r="F24" s="268"/>
      <c r="G24" s="268">
        <f>+G23+G15</f>
        <v>88</v>
      </c>
      <c r="H24" s="268"/>
      <c r="I24" s="269">
        <f>IF((E24+G24)&gt;0,(E24+G24)/'Operational Data'!$G$18, "-")</f>
        <v>0.10878074072567939</v>
      </c>
      <c r="J24" s="269"/>
    </row>
    <row r="25" spans="1:10" s="3" customFormat="1" ht="8.25" customHeight="1" x14ac:dyDescent="0.3">
      <c r="A25" s="151"/>
      <c r="B25"/>
      <c r="C25"/>
      <c r="D25"/>
      <c r="E25"/>
      <c r="F25"/>
      <c r="G25"/>
    </row>
    <row r="26" spans="1:10" s="3" customFormat="1" ht="14.25" customHeight="1" x14ac:dyDescent="0.25">
      <c r="A26" s="270" t="s">
        <v>167</v>
      </c>
      <c r="B26" s="270"/>
      <c r="C26" s="270"/>
      <c r="D26" s="270"/>
      <c r="E26" s="270"/>
      <c r="F26" s="270"/>
      <c r="G26" s="270"/>
      <c r="H26" s="270"/>
      <c r="I26" s="270"/>
      <c r="J26" s="270"/>
    </row>
    <row r="27" spans="1:10" s="3" customFormat="1" ht="14.25" customHeight="1" x14ac:dyDescent="0.25">
      <c r="A27" s="271"/>
      <c r="B27" s="271"/>
      <c r="C27" s="271"/>
      <c r="D27" s="271"/>
      <c r="E27" s="271"/>
      <c r="F27" s="271"/>
      <c r="G27" s="271"/>
      <c r="H27" s="271"/>
      <c r="I27" s="271"/>
      <c r="J27" s="271"/>
    </row>
    <row r="28" spans="1:10" s="3" customFormat="1" ht="14.25" customHeight="1" x14ac:dyDescent="0.25">
      <c r="A28" s="271"/>
      <c r="B28" s="271"/>
      <c r="C28" s="271"/>
      <c r="D28" s="271"/>
      <c r="E28" s="271"/>
      <c r="F28" s="271"/>
      <c r="G28" s="271"/>
      <c r="H28" s="271"/>
      <c r="I28" s="271"/>
      <c r="J28" s="271"/>
    </row>
    <row r="29" spans="1:10" s="3" customFormat="1" ht="14.25" customHeight="1" x14ac:dyDescent="0.25">
      <c r="A29" s="271"/>
      <c r="B29" s="271"/>
      <c r="C29" s="271"/>
      <c r="D29" s="271"/>
      <c r="E29" s="271"/>
      <c r="F29" s="271"/>
      <c r="G29" s="271"/>
      <c r="H29" s="271"/>
      <c r="I29" s="271"/>
      <c r="J29" s="271"/>
    </row>
    <row r="30" spans="1:10" s="3" customFormat="1" ht="14.25" customHeight="1" x14ac:dyDescent="0.3">
      <c r="A30" s="151"/>
      <c r="B30"/>
      <c r="C30"/>
      <c r="D30"/>
      <c r="E30"/>
      <c r="F30"/>
      <c r="G30"/>
    </row>
    <row r="31" spans="1:10" s="3" customFormat="1" ht="14.25" customHeight="1" x14ac:dyDescent="0.3">
      <c r="A31" s="1">
        <f>+A1</f>
        <v>2022</v>
      </c>
      <c r="B31" s="34" t="s">
        <v>168</v>
      </c>
      <c r="C31" s="34"/>
      <c r="D31" s="34"/>
      <c r="E31" s="34"/>
      <c r="F31" s="34"/>
    </row>
    <row r="32" spans="1:10" s="3" customFormat="1" ht="24.75" customHeight="1" x14ac:dyDescent="0.25">
      <c r="A32" s="258" t="s">
        <v>169</v>
      </c>
      <c r="B32" s="259"/>
      <c r="C32" s="259"/>
      <c r="D32" s="260"/>
      <c r="E32" s="38" t="s">
        <v>170</v>
      </c>
      <c r="F32" s="39"/>
      <c r="G32" s="40" t="s">
        <v>73</v>
      </c>
      <c r="H32" s="261" t="s">
        <v>171</v>
      </c>
      <c r="I32" s="262"/>
      <c r="J32" s="41" t="s">
        <v>73</v>
      </c>
    </row>
    <row r="33" spans="1:10" s="3" customFormat="1" ht="14.25" customHeight="1" x14ac:dyDescent="0.25">
      <c r="A33" s="248" t="s">
        <v>112</v>
      </c>
      <c r="B33" s="249"/>
      <c r="C33" s="249"/>
      <c r="D33" s="263"/>
      <c r="E33" s="264">
        <f>+'Operational Data'!G36</f>
        <v>33924</v>
      </c>
      <c r="F33" s="252"/>
      <c r="G33" s="152" t="s">
        <v>172</v>
      </c>
      <c r="H33" s="265">
        <f>IF(E33&gt;0,E33/'Operational Data'!$G$18,"-")</f>
        <v>1.5676626373738094</v>
      </c>
      <c r="I33" s="266"/>
      <c r="J33" s="152" t="s">
        <v>173</v>
      </c>
    </row>
    <row r="34" spans="1:10" s="3" customFormat="1" ht="14.25" customHeight="1" x14ac:dyDescent="0.25">
      <c r="A34" s="248" t="s">
        <v>174</v>
      </c>
      <c r="B34" s="249"/>
      <c r="C34" s="249"/>
      <c r="D34" s="263"/>
      <c r="E34" s="264">
        <f>+'Operational Data'!G37+'Operational Data'!G36</f>
        <v>33924</v>
      </c>
      <c r="F34" s="252"/>
      <c r="G34" s="152" t="s">
        <v>172</v>
      </c>
      <c r="H34" s="265">
        <f>IF(E34&gt;0,E34/'Operational Data'!$G$18,"-")</f>
        <v>1.5676626373738094</v>
      </c>
      <c r="I34" s="266"/>
      <c r="J34" s="152" t="s">
        <v>173</v>
      </c>
    </row>
    <row r="35" spans="1:10" s="3" customFormat="1" ht="14.25" customHeight="1" x14ac:dyDescent="0.25">
      <c r="A35" s="248" t="s">
        <v>175</v>
      </c>
      <c r="B35" s="249"/>
      <c r="C35" s="249"/>
      <c r="D35" s="263"/>
      <c r="E35" s="264">
        <f>+'Operational Data'!G39</f>
        <v>30480</v>
      </c>
      <c r="F35" s="252"/>
      <c r="G35" s="152" t="s">
        <v>176</v>
      </c>
      <c r="H35" s="265">
        <f>IF(E35&gt;0,E35/'Operational Data'!$G$18,"-")</f>
        <v>1.4085118850121954</v>
      </c>
      <c r="I35" s="266"/>
      <c r="J35" s="152" t="s">
        <v>177</v>
      </c>
    </row>
    <row r="36" spans="1:10" s="3" customFormat="1" ht="14.25" customHeight="1" x14ac:dyDescent="0.25">
      <c r="A36" s="248" t="s">
        <v>119</v>
      </c>
      <c r="B36" s="249"/>
      <c r="C36" s="249"/>
      <c r="D36" s="263"/>
      <c r="E36" s="264">
        <f>+'Operational Data'!G40</f>
        <v>1445</v>
      </c>
      <c r="F36" s="252"/>
      <c r="G36" s="152" t="s">
        <v>176</v>
      </c>
      <c r="H36" s="265">
        <f>IF(E36&gt;0,E36/'Operational Data'!$G$18,"-")</f>
        <v>6.6774923682500723E-2</v>
      </c>
      <c r="I36" s="266"/>
      <c r="J36" s="152" t="s">
        <v>177</v>
      </c>
    </row>
    <row r="37" spans="1:10" s="3" customFormat="1" ht="14.25" customHeight="1" x14ac:dyDescent="0.25">
      <c r="A37" s="248" t="s">
        <v>178</v>
      </c>
      <c r="B37" s="249"/>
      <c r="C37" s="249"/>
      <c r="D37" s="263"/>
      <c r="E37" s="264">
        <f>+'Operational Data'!G41</f>
        <v>424000</v>
      </c>
      <c r="F37" s="252"/>
      <c r="G37" s="152" t="s">
        <v>176</v>
      </c>
      <c r="H37" s="265">
        <f>IF(E37&gt;0,E37/'Operational Data'!$G$18,"-")</f>
        <v>19.593472416180145</v>
      </c>
      <c r="I37" s="266"/>
      <c r="J37" s="152" t="s">
        <v>177</v>
      </c>
    </row>
    <row r="38" spans="1:10" s="3" customFormat="1" ht="14.25" customHeight="1" x14ac:dyDescent="0.25">
      <c r="A38" s="272"/>
      <c r="B38" s="273"/>
      <c r="C38" s="273"/>
      <c r="D38" s="274"/>
      <c r="E38" s="275"/>
      <c r="F38" s="276"/>
      <c r="G38" s="153"/>
      <c r="H38" s="277"/>
      <c r="I38" s="278"/>
      <c r="J38" s="153"/>
    </row>
    <row r="39" spans="1:10" s="3" customFormat="1" ht="14.25" customHeight="1" x14ac:dyDescent="0.25">
      <c r="A39" s="270" t="s">
        <v>167</v>
      </c>
      <c r="B39" s="270"/>
      <c r="C39" s="270"/>
      <c r="D39" s="270"/>
      <c r="E39" s="270"/>
      <c r="F39" s="270"/>
      <c r="G39" s="270"/>
      <c r="H39" s="270"/>
      <c r="I39" s="270"/>
      <c r="J39" s="270"/>
    </row>
    <row r="40" spans="1:10" s="3" customFormat="1" ht="14.25" customHeight="1" x14ac:dyDescent="0.25">
      <c r="A40" s="271"/>
      <c r="B40" s="271"/>
      <c r="C40" s="271"/>
      <c r="D40" s="271"/>
      <c r="E40" s="271"/>
      <c r="F40" s="271"/>
      <c r="G40" s="271"/>
      <c r="H40" s="271"/>
      <c r="I40" s="271"/>
      <c r="J40" s="271"/>
    </row>
    <row r="41" spans="1:10" s="3" customFormat="1" ht="14.25" customHeight="1" x14ac:dyDescent="0.25">
      <c r="A41" s="271"/>
      <c r="B41" s="271"/>
      <c r="C41" s="271"/>
      <c r="D41" s="271"/>
      <c r="E41" s="271"/>
      <c r="F41" s="271"/>
      <c r="G41" s="271"/>
      <c r="H41" s="271"/>
      <c r="I41" s="271"/>
      <c r="J41" s="271"/>
    </row>
    <row r="42" spans="1:10" s="3" customFormat="1" ht="14.25" customHeight="1" x14ac:dyDescent="0.25">
      <c r="A42" s="42"/>
      <c r="B42" s="42"/>
      <c r="C42" s="42"/>
      <c r="D42" s="42"/>
      <c r="E42" s="42"/>
      <c r="F42" s="42"/>
      <c r="G42" s="42"/>
      <c r="H42" s="42"/>
      <c r="I42" s="42"/>
      <c r="J42" s="42"/>
    </row>
    <row r="43" spans="1:10" s="3" customFormat="1" ht="14.25" customHeight="1" x14ac:dyDescent="0.25">
      <c r="A43" s="34">
        <f>+A31</f>
        <v>2022</v>
      </c>
      <c r="B43" s="34" t="s">
        <v>179</v>
      </c>
      <c r="C43" s="34"/>
      <c r="D43" s="34"/>
      <c r="E43" s="34"/>
      <c r="F43" s="34"/>
      <c r="G43" s="92"/>
    </row>
    <row r="44" spans="1:10" ht="14.25" customHeight="1" x14ac:dyDescent="0.25">
      <c r="A44" s="279" t="s">
        <v>180</v>
      </c>
      <c r="B44" s="279"/>
      <c r="C44" s="279" t="s">
        <v>181</v>
      </c>
      <c r="D44" s="279"/>
      <c r="E44" s="279"/>
      <c r="F44" s="279"/>
      <c r="G44" s="279"/>
      <c r="H44" s="279"/>
      <c r="I44" s="279"/>
      <c r="J44" s="279"/>
    </row>
    <row r="45" spans="1:10" ht="14.25" customHeight="1" x14ac:dyDescent="0.25">
      <c r="A45" s="43"/>
      <c r="B45" s="43"/>
      <c r="C45" s="36" t="s">
        <v>182</v>
      </c>
      <c r="D45" s="36"/>
      <c r="E45" s="36"/>
      <c r="F45" s="36"/>
      <c r="G45" s="36"/>
      <c r="H45" s="36"/>
      <c r="I45" s="36" t="s">
        <v>183</v>
      </c>
      <c r="J45" s="36"/>
    </row>
    <row r="46" spans="1:10" ht="31.5" customHeight="1" x14ac:dyDescent="0.25">
      <c r="A46" s="239" t="s">
        <v>184</v>
      </c>
      <c r="B46" s="239"/>
      <c r="C46" s="154">
        <v>2091</v>
      </c>
      <c r="D46" s="154"/>
      <c r="E46" s="154"/>
      <c r="F46" s="155"/>
      <c r="G46" s="155"/>
      <c r="H46" s="155"/>
      <c r="I46" s="155">
        <v>2091</v>
      </c>
      <c r="J46" s="155"/>
    </row>
    <row r="47" spans="1:10" ht="43.5" customHeight="1" x14ac:dyDescent="0.25">
      <c r="A47" s="239" t="s">
        <v>185</v>
      </c>
      <c r="B47" s="239"/>
      <c r="C47" s="154">
        <v>0</v>
      </c>
      <c r="D47" s="154"/>
      <c r="E47" s="154"/>
      <c r="F47" s="155"/>
      <c r="G47" s="155"/>
      <c r="H47" s="155"/>
      <c r="I47" s="155">
        <v>0</v>
      </c>
      <c r="J47" s="155"/>
    </row>
    <row r="48" spans="1:10" ht="42.75" customHeight="1" x14ac:dyDescent="0.25">
      <c r="A48" s="239" t="s">
        <v>186</v>
      </c>
      <c r="B48" s="239"/>
      <c r="C48" s="154">
        <v>0</v>
      </c>
      <c r="D48" s="154"/>
      <c r="E48" s="154"/>
      <c r="F48" s="155"/>
      <c r="G48" s="155"/>
      <c r="H48" s="155"/>
      <c r="I48" s="155">
        <v>0</v>
      </c>
      <c r="J48" s="155"/>
    </row>
    <row r="49" spans="1:10" ht="8.25" customHeight="1" x14ac:dyDescent="0.25">
      <c r="A49" s="92"/>
      <c r="B49" s="92"/>
      <c r="C49" s="92"/>
      <c r="D49" s="92"/>
      <c r="E49" s="92"/>
      <c r="F49" s="92"/>
      <c r="G49" s="92"/>
      <c r="H49" s="92"/>
      <c r="I49" s="92"/>
      <c r="J49" s="92"/>
    </row>
    <row r="50" spans="1:10" x14ac:dyDescent="0.25">
      <c r="A50" s="270" t="s">
        <v>167</v>
      </c>
      <c r="B50" s="270"/>
      <c r="C50" s="270"/>
      <c r="D50" s="270"/>
      <c r="E50" s="270"/>
      <c r="F50" s="270"/>
      <c r="G50" s="270"/>
      <c r="H50" s="270"/>
      <c r="I50" s="270"/>
      <c r="J50" s="270"/>
    </row>
    <row r="51" spans="1:10" x14ac:dyDescent="0.25">
      <c r="A51" s="271"/>
      <c r="B51" s="271"/>
      <c r="C51" s="271"/>
      <c r="D51" s="271"/>
      <c r="E51" s="271"/>
      <c r="F51" s="271"/>
      <c r="G51" s="271"/>
      <c r="H51" s="271"/>
      <c r="I51" s="271"/>
      <c r="J51" s="271"/>
    </row>
    <row r="52" spans="1:10" x14ac:dyDescent="0.25">
      <c r="A52" s="271"/>
      <c r="B52" s="271"/>
      <c r="C52" s="271"/>
      <c r="D52" s="271"/>
      <c r="E52" s="271"/>
      <c r="F52" s="271"/>
      <c r="G52" s="271"/>
      <c r="H52" s="271"/>
      <c r="I52" s="271"/>
      <c r="J52" s="271"/>
    </row>
    <row r="54" spans="1:10" x14ac:dyDescent="0.25">
      <c r="A54" s="3" t="s">
        <v>187</v>
      </c>
      <c r="B54" s="44"/>
      <c r="C54" s="44"/>
      <c r="D54" s="44"/>
      <c r="E54" s="44"/>
      <c r="F54" s="3"/>
      <c r="G54" s="3" t="s">
        <v>188</v>
      </c>
      <c r="H54" s="44"/>
      <c r="I54" s="44"/>
      <c r="J54" s="92"/>
    </row>
    <row r="62" spans="1:10" x14ac:dyDescent="0.25">
      <c r="A62" s="92"/>
      <c r="B62" s="92"/>
      <c r="C62" s="92"/>
      <c r="D62" s="92"/>
      <c r="E62" s="92"/>
      <c r="F62" s="3"/>
      <c r="G62" s="92"/>
      <c r="H62" s="92"/>
      <c r="I62" s="92"/>
      <c r="J62" s="92"/>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4"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view="pageBreakPreview" zoomScale="60" zoomScaleNormal="100" workbookViewId="0">
      <selection activeCell="C41" sqref="C41:I41"/>
    </sheetView>
  </sheetViews>
  <sheetFormatPr defaultColWidth="9.33203125" defaultRowHeight="15" x14ac:dyDescent="0.25"/>
  <cols>
    <col min="1" max="1" width="9.44140625" style="2" bestFit="1" customWidth="1"/>
    <col min="2" max="16384" width="9.33203125" style="2"/>
  </cols>
  <sheetData>
    <row r="1" spans="1:10" ht="15.6" x14ac:dyDescent="0.3">
      <c r="A1" s="33">
        <f>+'Cover Page'!C39</f>
        <v>2022</v>
      </c>
      <c r="B1" s="34" t="s">
        <v>189</v>
      </c>
      <c r="C1" s="34"/>
      <c r="D1" s="34"/>
      <c r="E1" s="34"/>
      <c r="F1" s="34"/>
      <c r="G1" s="34"/>
      <c r="H1" s="34"/>
      <c r="I1" s="34"/>
      <c r="J1" s="34"/>
    </row>
    <row r="3" spans="1:10" s="3" customFormat="1" ht="15" customHeight="1" x14ac:dyDescent="0.25">
      <c r="A3" s="3" t="str">
        <f>+'Cover Page'!B31</f>
        <v>Permit EPR/UP3131DF</v>
      </c>
      <c r="F3" s="3" t="s">
        <v>146</v>
      </c>
      <c r="G3" s="280">
        <f>+'Cover Page'!B37:I37</f>
        <v>0</v>
      </c>
      <c r="H3" s="280"/>
      <c r="I3" s="280"/>
    </row>
    <row r="4" spans="1:10" s="3" customFormat="1" ht="13.8" x14ac:dyDescent="0.25"/>
    <row r="5" spans="1:10" s="3" customFormat="1" ht="13.8" x14ac:dyDescent="0.25">
      <c r="A5" s="3" t="s">
        <v>147</v>
      </c>
      <c r="B5" s="243" t="str">
        <f>+'Cover Page'!B33:I33</f>
        <v>Boston Energy Production Facility</v>
      </c>
      <c r="C5" s="243"/>
      <c r="D5" s="243"/>
      <c r="E5" s="243"/>
      <c r="F5" s="3" t="s">
        <v>148</v>
      </c>
      <c r="G5" s="3" t="s">
        <v>190</v>
      </c>
    </row>
    <row r="6" spans="1:10" s="3" customFormat="1" ht="13.8" x14ac:dyDescent="0.25"/>
    <row r="7" spans="1:10" s="3" customFormat="1" ht="15.75" customHeight="1" x14ac:dyDescent="0.25">
      <c r="A7" s="3" t="s">
        <v>150</v>
      </c>
      <c r="D7" s="281">
        <f>+'Perf. Form 1'!D6:E6</f>
        <v>44562</v>
      </c>
      <c r="E7" s="281"/>
      <c r="F7" s="35" t="s">
        <v>151</v>
      </c>
      <c r="G7" s="281">
        <f>+'Perf. Form 1'!G6:H6</f>
        <v>44926</v>
      </c>
      <c r="H7" s="281"/>
    </row>
    <row r="8" spans="1:10" s="3" customFormat="1" ht="14.4" x14ac:dyDescent="0.3">
      <c r="B8"/>
      <c r="C8"/>
      <c r="D8"/>
    </row>
    <row r="9" spans="1:10" s="3" customFormat="1" ht="37.5" customHeight="1" x14ac:dyDescent="0.25">
      <c r="A9" s="279" t="s">
        <v>191</v>
      </c>
      <c r="B9" s="279"/>
      <c r="C9" s="279"/>
      <c r="D9" s="246" t="s">
        <v>192</v>
      </c>
      <c r="E9" s="246"/>
      <c r="F9" s="36" t="s">
        <v>73</v>
      </c>
      <c r="G9" s="279" t="s">
        <v>193</v>
      </c>
      <c r="H9" s="279"/>
      <c r="I9" s="279"/>
    </row>
    <row r="10" spans="1:10" s="3" customFormat="1" ht="24.75" customHeight="1" x14ac:dyDescent="0.25">
      <c r="A10" s="239" t="s">
        <v>194</v>
      </c>
      <c r="B10" s="239"/>
      <c r="C10" s="239"/>
      <c r="D10" s="282">
        <f>+'Operational Data'!G21</f>
        <v>19627</v>
      </c>
      <c r="E10" s="282"/>
      <c r="F10" s="156" t="s">
        <v>96</v>
      </c>
      <c r="G10" s="283">
        <f>+'Operational Data'!H21</f>
        <v>906.98368658577283</v>
      </c>
      <c r="H10" s="283"/>
      <c r="I10" s="283"/>
    </row>
    <row r="11" spans="1:10" s="3" customFormat="1" ht="24.75" customHeight="1" x14ac:dyDescent="0.25">
      <c r="A11" s="239" t="s">
        <v>195</v>
      </c>
      <c r="B11" s="239"/>
      <c r="C11" s="239"/>
      <c r="D11" s="284">
        <f>+'Operational Data'!G24</f>
        <v>2357</v>
      </c>
      <c r="E11" s="284"/>
      <c r="F11" s="156" t="s">
        <v>96</v>
      </c>
      <c r="G11" s="283">
        <f>+'Operational Data'!H24</f>
        <v>108.91937378522783</v>
      </c>
      <c r="H11" s="283"/>
      <c r="I11" s="283"/>
    </row>
    <row r="12" spans="1:10" s="3" customFormat="1" ht="24.75" customHeight="1" x14ac:dyDescent="0.25">
      <c r="A12" s="239" t="s">
        <v>196</v>
      </c>
      <c r="B12" s="239"/>
      <c r="C12" s="239"/>
      <c r="D12" s="282">
        <f>+'Operational Data'!G22</f>
        <v>14129</v>
      </c>
      <c r="E12" s="282"/>
      <c r="F12" s="156" t="s">
        <v>96</v>
      </c>
      <c r="G12" s="283">
        <f>+'Operational Data'!H22</f>
        <v>652.91549945332372</v>
      </c>
      <c r="H12" s="283"/>
      <c r="I12" s="283"/>
    </row>
    <row r="13" spans="1:10" s="3" customFormat="1" ht="24.75" customHeight="1" x14ac:dyDescent="0.25">
      <c r="A13" s="239" t="s">
        <v>197</v>
      </c>
      <c r="B13" s="239"/>
      <c r="C13" s="239"/>
      <c r="D13" s="285"/>
      <c r="E13" s="285"/>
      <c r="F13" s="156" t="s">
        <v>81</v>
      </c>
      <c r="G13" s="286"/>
      <c r="H13" s="286"/>
      <c r="I13" s="286"/>
    </row>
    <row r="14" spans="1:10" s="3" customFormat="1" ht="24.75" customHeight="1" x14ac:dyDescent="0.25">
      <c r="A14" s="239" t="s">
        <v>198</v>
      </c>
      <c r="B14" s="239"/>
      <c r="C14" s="239"/>
      <c r="D14" s="282">
        <f>+'Operational Data'!G27</f>
        <v>0</v>
      </c>
      <c r="E14" s="282"/>
      <c r="F14" s="156" t="s">
        <v>199</v>
      </c>
      <c r="G14" s="283" t="str">
        <f>+'Operational Data'!H27</f>
        <v>-</v>
      </c>
      <c r="H14" s="283"/>
      <c r="I14" s="283"/>
    </row>
    <row r="15" spans="1:10" s="3" customFormat="1" ht="24.75" customHeight="1" x14ac:dyDescent="0.25">
      <c r="A15" s="247"/>
      <c r="B15" s="247"/>
      <c r="C15" s="247"/>
      <c r="D15" s="247"/>
      <c r="E15" s="247"/>
      <c r="F15" s="157"/>
      <c r="G15" s="183"/>
      <c r="H15" s="183"/>
      <c r="I15" s="183"/>
    </row>
    <row r="16" spans="1:10" s="3" customFormat="1" ht="24.75" customHeight="1" x14ac:dyDescent="0.25">
      <c r="A16" s="247"/>
      <c r="B16" s="247"/>
      <c r="C16" s="247"/>
      <c r="D16" s="247"/>
      <c r="E16" s="247"/>
      <c r="F16" s="157"/>
      <c r="G16" s="183"/>
      <c r="H16" s="183"/>
      <c r="I16" s="183"/>
    </row>
    <row r="17" spans="1:9" s="3" customFormat="1" ht="14.4" x14ac:dyDescent="0.3">
      <c r="A17" s="45"/>
      <c r="B17"/>
      <c r="C17"/>
      <c r="D17"/>
    </row>
    <row r="18" spans="1:9" s="3" customFormat="1" ht="24" customHeight="1" x14ac:dyDescent="0.25">
      <c r="A18" s="270" t="s">
        <v>167</v>
      </c>
      <c r="B18" s="270"/>
      <c r="C18" s="270"/>
      <c r="D18" s="270"/>
      <c r="E18" s="270"/>
      <c r="F18" s="270"/>
      <c r="G18" s="270"/>
      <c r="H18" s="270"/>
      <c r="I18" s="270"/>
    </row>
    <row r="19" spans="1:9" s="3" customFormat="1" ht="13.8" x14ac:dyDescent="0.25">
      <c r="A19" s="287"/>
      <c r="B19" s="287"/>
      <c r="C19" s="287"/>
      <c r="D19" s="287"/>
      <c r="E19" s="287"/>
      <c r="F19" s="287"/>
      <c r="G19" s="287"/>
      <c r="H19" s="287"/>
      <c r="I19" s="287"/>
    </row>
    <row r="20" spans="1:9" s="3" customFormat="1" ht="13.8" x14ac:dyDescent="0.25">
      <c r="A20" s="287"/>
      <c r="B20" s="287"/>
      <c r="C20" s="287"/>
      <c r="D20" s="287"/>
      <c r="E20" s="287"/>
      <c r="F20" s="287"/>
      <c r="G20" s="287"/>
      <c r="H20" s="287"/>
      <c r="I20" s="287"/>
    </row>
    <row r="21" spans="1:9" s="3" customFormat="1" ht="13.8" x14ac:dyDescent="0.25">
      <c r="A21" s="287"/>
      <c r="B21" s="287"/>
      <c r="C21" s="287"/>
      <c r="D21" s="287"/>
      <c r="E21" s="287"/>
      <c r="F21" s="287"/>
      <c r="G21" s="287"/>
      <c r="H21" s="287"/>
      <c r="I21" s="287"/>
    </row>
    <row r="22" spans="1:9" s="3" customFormat="1" ht="13.8" x14ac:dyDescent="0.25">
      <c r="A22" s="287"/>
      <c r="B22" s="287"/>
      <c r="C22" s="287"/>
      <c r="D22" s="287"/>
      <c r="E22" s="287"/>
      <c r="F22" s="287"/>
      <c r="G22" s="287"/>
      <c r="H22" s="287"/>
      <c r="I22" s="287"/>
    </row>
    <row r="23" spans="1:9" s="3" customFormat="1" ht="13.8" x14ac:dyDescent="0.25">
      <c r="A23" s="287"/>
      <c r="B23" s="287"/>
      <c r="C23" s="287"/>
      <c r="D23" s="287"/>
      <c r="E23" s="287"/>
      <c r="F23" s="287"/>
      <c r="G23" s="287"/>
      <c r="H23" s="287"/>
      <c r="I23" s="287"/>
    </row>
    <row r="24" spans="1:9" s="3" customFormat="1" ht="13.8" x14ac:dyDescent="0.25">
      <c r="A24" s="287"/>
      <c r="B24" s="287"/>
      <c r="C24" s="287"/>
      <c r="D24" s="287"/>
      <c r="E24" s="287"/>
      <c r="F24" s="287"/>
      <c r="G24" s="287"/>
      <c r="H24" s="287"/>
      <c r="I24" s="287"/>
    </row>
    <row r="25" spans="1:9" s="3" customFormat="1" ht="13.8" x14ac:dyDescent="0.25">
      <c r="A25" s="287"/>
      <c r="B25" s="287"/>
      <c r="C25" s="287"/>
      <c r="D25" s="287"/>
      <c r="E25" s="287"/>
      <c r="F25" s="287"/>
      <c r="G25" s="287"/>
      <c r="H25" s="287"/>
      <c r="I25" s="287"/>
    </row>
    <row r="26" spans="1:9" s="3" customFormat="1" ht="13.8" x14ac:dyDescent="0.25">
      <c r="A26" s="42"/>
      <c r="B26" s="42"/>
      <c r="C26" s="42"/>
      <c r="D26" s="42"/>
      <c r="E26" s="42"/>
      <c r="F26" s="42"/>
      <c r="G26" s="42"/>
      <c r="H26" s="42"/>
      <c r="I26" s="42"/>
    </row>
    <row r="27" spans="1:9" s="3" customFormat="1" ht="13.8" x14ac:dyDescent="0.25"/>
    <row r="28" spans="1:9" s="3" customFormat="1" ht="13.8" x14ac:dyDescent="0.25"/>
    <row r="29" spans="1:9" s="3" customFormat="1" ht="13.8" x14ac:dyDescent="0.25">
      <c r="A29" s="3" t="s">
        <v>187</v>
      </c>
      <c r="B29" s="44"/>
      <c r="C29" s="44"/>
      <c r="D29" s="44"/>
      <c r="E29" s="44"/>
      <c r="G29" s="3" t="s">
        <v>188</v>
      </c>
      <c r="H29" s="44"/>
      <c r="I29" s="44"/>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2"/>
      <c r="B34" s="92"/>
      <c r="C34" s="92"/>
      <c r="D34" s="92"/>
      <c r="E34" s="92"/>
      <c r="F34" s="92"/>
      <c r="G34" s="92"/>
      <c r="H34" s="92"/>
      <c r="I34" s="92"/>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6"/>
  <sheetViews>
    <sheetView showGridLines="0" view="pageBreakPreview" zoomScale="60" zoomScaleNormal="100" workbookViewId="0">
      <selection activeCell="C41" sqref="C41:I41"/>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8" width="9.33203125" style="2"/>
    <col min="9" max="9" width="8.6640625" style="2" customWidth="1"/>
    <col min="10" max="10" width="9.33203125" style="2" hidden="1" customWidth="1"/>
    <col min="11" max="11" width="10.6640625" style="2" bestFit="1" customWidth="1"/>
    <col min="12" max="12" width="31.6640625" style="2" customWidth="1"/>
    <col min="13" max="16384" width="9.33203125" style="2"/>
  </cols>
  <sheetData>
    <row r="1" spans="1:15" x14ac:dyDescent="0.25">
      <c r="A1" s="92" t="str">
        <f>+'Cover Page'!$B$29</f>
        <v>Annual Performance Report 2022</v>
      </c>
      <c r="B1" s="92"/>
      <c r="C1" s="92"/>
      <c r="D1" s="92"/>
      <c r="E1" s="92" t="str">
        <f>+'Cover Page'!$B$33</f>
        <v>Boston Energy Production Facility</v>
      </c>
      <c r="F1" s="92"/>
      <c r="G1" s="92"/>
      <c r="H1" s="92"/>
      <c r="I1" s="92"/>
      <c r="J1" s="92"/>
      <c r="K1" s="92"/>
      <c r="L1" s="92"/>
      <c r="M1" s="92"/>
      <c r="N1" s="92"/>
      <c r="O1" s="92"/>
    </row>
    <row r="3" spans="1:15" ht="15.6" x14ac:dyDescent="0.3">
      <c r="A3" s="1" t="s">
        <v>200</v>
      </c>
      <c r="B3" s="92"/>
      <c r="C3" s="92"/>
      <c r="D3" s="92"/>
      <c r="E3" s="92"/>
      <c r="F3" s="92"/>
      <c r="G3" s="92"/>
      <c r="H3" s="92"/>
      <c r="I3" s="92"/>
      <c r="J3" s="92"/>
      <c r="K3" s="92"/>
      <c r="L3" s="92"/>
      <c r="M3" s="92"/>
      <c r="N3" s="92"/>
      <c r="O3" s="92"/>
    </row>
    <row r="4" spans="1:15" ht="15.6" x14ac:dyDescent="0.3">
      <c r="A4" s="1"/>
      <c r="B4" s="92"/>
      <c r="C4" s="92"/>
      <c r="D4" s="92"/>
      <c r="E4" s="92"/>
      <c r="F4" s="92"/>
      <c r="G4" s="92"/>
      <c r="H4" s="92"/>
      <c r="I4" s="92"/>
      <c r="J4" s="92"/>
      <c r="K4" s="92"/>
      <c r="L4" s="92"/>
      <c r="M4" s="92"/>
      <c r="N4" s="92"/>
      <c r="O4" s="92"/>
    </row>
    <row r="5" spans="1:15" x14ac:dyDescent="0.25">
      <c r="A5" s="9" t="s">
        <v>201</v>
      </c>
      <c r="B5" s="92"/>
      <c r="C5" s="92"/>
      <c r="D5" s="92"/>
      <c r="E5" s="92"/>
      <c r="F5" s="92"/>
      <c r="G5" s="92"/>
      <c r="H5" s="92"/>
      <c r="I5" s="92"/>
      <c r="J5" s="92"/>
      <c r="K5" s="92"/>
      <c r="L5" s="92"/>
      <c r="M5" s="92"/>
      <c r="N5" s="92"/>
      <c r="O5" s="92"/>
    </row>
    <row r="6" spans="1:15" x14ac:dyDescent="0.25">
      <c r="A6" s="9"/>
      <c r="B6" s="92"/>
      <c r="C6" s="92"/>
      <c r="D6" s="92"/>
      <c r="E6" s="92"/>
      <c r="F6" s="92"/>
      <c r="G6" s="92"/>
      <c r="H6" s="92"/>
      <c r="I6" s="92"/>
      <c r="J6" s="92"/>
      <c r="K6" s="92"/>
      <c r="L6" s="92"/>
      <c r="M6" s="92"/>
      <c r="N6" s="92"/>
      <c r="O6" s="92"/>
    </row>
    <row r="7" spans="1:15" x14ac:dyDescent="0.25">
      <c r="A7" s="114" t="s">
        <v>202</v>
      </c>
      <c r="B7" s="92"/>
      <c r="C7" s="92"/>
      <c r="D7" s="92"/>
      <c r="E7" s="92"/>
      <c r="F7" s="92"/>
      <c r="G7" s="92"/>
      <c r="H7" s="92"/>
      <c r="I7" s="92"/>
      <c r="J7" s="92"/>
      <c r="K7" s="92"/>
      <c r="L7" s="92"/>
      <c r="M7" s="92"/>
      <c r="N7" s="92"/>
      <c r="O7" s="92"/>
    </row>
    <row r="8" spans="1:15" s="3" customFormat="1" ht="25.5" customHeight="1" x14ac:dyDescent="0.3">
      <c r="A8" s="293" t="s">
        <v>203</v>
      </c>
      <c r="B8" s="294"/>
      <c r="C8" s="293" t="s">
        <v>204</v>
      </c>
      <c r="D8" s="295"/>
      <c r="E8" s="295"/>
      <c r="F8" s="295"/>
      <c r="G8" s="295"/>
      <c r="H8" s="295"/>
      <c r="I8" s="294"/>
      <c r="L8" s="80" t="s">
        <v>3</v>
      </c>
    </row>
    <row r="9" spans="1:15" s="3" customFormat="1" ht="22.5" customHeight="1" x14ac:dyDescent="0.25">
      <c r="A9" s="296"/>
      <c r="B9" s="297"/>
      <c r="C9" s="298" t="s">
        <v>205</v>
      </c>
      <c r="D9" s="298"/>
      <c r="E9" s="298"/>
      <c r="F9" s="298" t="s">
        <v>206</v>
      </c>
      <c r="G9" s="298"/>
      <c r="H9" s="298"/>
      <c r="I9" s="298"/>
      <c r="L9" s="211" t="s">
        <v>207</v>
      </c>
      <c r="M9" s="211"/>
      <c r="N9" s="211"/>
      <c r="O9" s="211"/>
    </row>
    <row r="10" spans="1:15" s="3" customFormat="1" ht="22.5" customHeight="1" x14ac:dyDescent="0.25">
      <c r="A10" s="289" t="s">
        <v>208</v>
      </c>
      <c r="B10" s="289"/>
      <c r="C10" s="290">
        <v>1</v>
      </c>
      <c r="D10" s="291"/>
      <c r="E10" s="291"/>
      <c r="F10" s="290">
        <v>1</v>
      </c>
      <c r="G10" s="291"/>
      <c r="H10" s="291"/>
      <c r="I10" s="291"/>
      <c r="L10" s="211"/>
      <c r="M10" s="211"/>
      <c r="N10" s="211"/>
      <c r="O10" s="211"/>
    </row>
    <row r="11" spans="1:15" s="3" customFormat="1" ht="22.5" customHeight="1" x14ac:dyDescent="0.25">
      <c r="A11" s="289" t="s">
        <v>209</v>
      </c>
      <c r="B11" s="289"/>
      <c r="C11" s="290">
        <v>1</v>
      </c>
      <c r="D11" s="291"/>
      <c r="E11" s="291"/>
      <c r="F11" s="290">
        <v>1</v>
      </c>
      <c r="G11" s="291"/>
      <c r="H11" s="291"/>
      <c r="I11" s="291"/>
      <c r="L11" s="211"/>
      <c r="M11" s="211"/>
      <c r="N11" s="211"/>
      <c r="O11" s="211"/>
    </row>
    <row r="12" spans="1:15" s="3" customFormat="1" ht="22.5" customHeight="1" x14ac:dyDescent="0.25">
      <c r="A12" s="289" t="s">
        <v>210</v>
      </c>
      <c r="B12" s="289"/>
      <c r="C12" s="290">
        <v>1</v>
      </c>
      <c r="D12" s="291"/>
      <c r="E12" s="291"/>
      <c r="F12" s="290">
        <v>1</v>
      </c>
      <c r="G12" s="291"/>
      <c r="H12" s="291"/>
      <c r="I12" s="291"/>
      <c r="L12" s="211"/>
      <c r="M12" s="211"/>
      <c r="N12" s="211"/>
      <c r="O12" s="211"/>
    </row>
    <row r="13" spans="1:15" s="3" customFormat="1" ht="22.5" customHeight="1" x14ac:dyDescent="0.25">
      <c r="A13" s="289" t="s">
        <v>211</v>
      </c>
      <c r="B13" s="289"/>
      <c r="C13" s="292">
        <v>0.99</v>
      </c>
      <c r="D13" s="291"/>
      <c r="E13" s="291"/>
      <c r="F13" s="290">
        <v>1</v>
      </c>
      <c r="G13" s="291"/>
      <c r="H13" s="291"/>
      <c r="I13" s="291"/>
      <c r="L13" s="211"/>
      <c r="M13" s="211"/>
      <c r="N13" s="211"/>
      <c r="O13" s="211"/>
    </row>
    <row r="14" spans="1:15" s="3" customFormat="1" ht="22.5" customHeight="1" x14ac:dyDescent="0.25">
      <c r="A14" s="289" t="s">
        <v>212</v>
      </c>
      <c r="B14" s="289"/>
      <c r="C14" s="290">
        <v>1</v>
      </c>
      <c r="D14" s="291"/>
      <c r="E14" s="291"/>
      <c r="F14" s="290">
        <v>1</v>
      </c>
      <c r="G14" s="291"/>
      <c r="H14" s="291"/>
      <c r="I14" s="291"/>
      <c r="L14" s="211"/>
      <c r="M14" s="211"/>
      <c r="N14" s="211"/>
      <c r="O14" s="211"/>
    </row>
    <row r="15" spans="1:15" s="3" customFormat="1" ht="22.5" customHeight="1" x14ac:dyDescent="0.25">
      <c r="A15" s="289" t="s">
        <v>213</v>
      </c>
      <c r="B15" s="289"/>
      <c r="C15" s="290">
        <v>0.9909</v>
      </c>
      <c r="D15" s="291"/>
      <c r="E15" s="291"/>
      <c r="F15" s="290">
        <v>0.99</v>
      </c>
      <c r="G15" s="291"/>
      <c r="H15" s="291"/>
      <c r="I15" s="291"/>
      <c r="L15" s="211"/>
      <c r="M15" s="211"/>
      <c r="N15" s="211"/>
      <c r="O15" s="211"/>
    </row>
    <row r="16" spans="1:15" s="3" customFormat="1" ht="22.5" customHeight="1" x14ac:dyDescent="0.25">
      <c r="A16" s="289" t="s">
        <v>214</v>
      </c>
      <c r="B16" s="289"/>
      <c r="C16" s="290">
        <v>1</v>
      </c>
      <c r="D16" s="291"/>
      <c r="E16" s="291"/>
      <c r="F16" s="290">
        <v>1</v>
      </c>
      <c r="G16" s="291"/>
      <c r="H16" s="291"/>
      <c r="I16" s="291"/>
      <c r="L16" s="211"/>
      <c r="M16" s="211"/>
      <c r="N16" s="211"/>
      <c r="O16" s="211"/>
    </row>
    <row r="17" spans="1:15" s="3" customFormat="1" ht="22.5" customHeight="1" x14ac:dyDescent="0.25">
      <c r="A17" s="299"/>
      <c r="B17" s="300"/>
      <c r="C17" s="291"/>
      <c r="D17" s="291"/>
      <c r="E17" s="291"/>
      <c r="F17" s="291"/>
      <c r="G17" s="291"/>
      <c r="H17" s="291"/>
      <c r="I17" s="291"/>
      <c r="L17" s="211"/>
      <c r="M17" s="211"/>
      <c r="N17" s="211"/>
      <c r="O17" s="211"/>
    </row>
    <row r="18" spans="1:15" s="3" customFormat="1" ht="13.8" x14ac:dyDescent="0.25">
      <c r="L18" s="211"/>
      <c r="M18" s="211"/>
      <c r="N18" s="211"/>
      <c r="O18" s="211"/>
    </row>
    <row r="19" spans="1:15" s="45" customFormat="1" ht="21.75" customHeight="1" x14ac:dyDescent="0.3">
      <c r="A19" s="304" t="s">
        <v>215</v>
      </c>
      <c r="B19" s="305"/>
      <c r="C19" s="305"/>
      <c r="D19" s="305"/>
      <c r="E19" s="305"/>
      <c r="F19" s="305"/>
      <c r="G19" s="305"/>
      <c r="H19" s="305"/>
      <c r="I19" s="305"/>
      <c r="J19" s="305"/>
      <c r="K19" s="306"/>
    </row>
    <row r="20" spans="1:15" s="3" customFormat="1" ht="38.25" customHeight="1" x14ac:dyDescent="0.25">
      <c r="A20" s="46" t="s">
        <v>51</v>
      </c>
      <c r="B20" s="301" t="s">
        <v>216</v>
      </c>
      <c r="C20" s="301"/>
      <c r="D20" s="301"/>
      <c r="E20" s="301" t="s">
        <v>217</v>
      </c>
      <c r="F20" s="301"/>
      <c r="G20" s="301"/>
      <c r="H20" s="301" t="s">
        <v>218</v>
      </c>
      <c r="I20" s="301"/>
      <c r="J20" s="302"/>
      <c r="K20" s="72"/>
    </row>
    <row r="21" spans="1:15" s="3" customFormat="1" ht="45" customHeight="1" x14ac:dyDescent="0.25">
      <c r="A21" s="158">
        <v>44752</v>
      </c>
      <c r="B21" s="247" t="s">
        <v>219</v>
      </c>
      <c r="C21" s="247"/>
      <c r="D21" s="247"/>
      <c r="E21" s="247" t="s">
        <v>220</v>
      </c>
      <c r="F21" s="247"/>
      <c r="G21" s="247"/>
      <c r="H21" s="247" t="s">
        <v>221</v>
      </c>
      <c r="I21" s="247"/>
      <c r="J21" s="272"/>
      <c r="K21" s="72"/>
    </row>
    <row r="22" spans="1:15" s="3" customFormat="1" ht="60.6" customHeight="1" x14ac:dyDescent="0.25">
      <c r="A22" s="158">
        <v>44756</v>
      </c>
      <c r="B22" s="247" t="s">
        <v>222</v>
      </c>
      <c r="C22" s="247"/>
      <c r="D22" s="247"/>
      <c r="E22" s="247" t="s">
        <v>223</v>
      </c>
      <c r="F22" s="247"/>
      <c r="G22" s="247"/>
      <c r="H22" s="247" t="s">
        <v>224</v>
      </c>
      <c r="I22" s="247"/>
      <c r="J22" s="272"/>
      <c r="K22" s="72"/>
    </row>
    <row r="23" spans="1:15" s="3" customFormat="1" ht="72" customHeight="1" x14ac:dyDescent="0.25">
      <c r="A23" s="158">
        <v>44825</v>
      </c>
      <c r="B23" s="247" t="s">
        <v>225</v>
      </c>
      <c r="C23" s="247"/>
      <c r="D23" s="247"/>
      <c r="E23" s="247" t="s">
        <v>226</v>
      </c>
      <c r="F23" s="247"/>
      <c r="G23" s="247"/>
      <c r="H23" s="247" t="s">
        <v>227</v>
      </c>
      <c r="I23" s="247"/>
      <c r="J23" s="272"/>
      <c r="K23" s="72"/>
    </row>
    <row r="24" spans="1:15" s="3" customFormat="1" ht="34.200000000000003" customHeight="1" x14ac:dyDescent="0.25">
      <c r="A24" s="158">
        <v>44825</v>
      </c>
      <c r="B24" s="307" t="s">
        <v>228</v>
      </c>
      <c r="C24" s="307"/>
      <c r="D24" s="307"/>
      <c r="E24" s="247" t="s">
        <v>229</v>
      </c>
      <c r="F24" s="247"/>
      <c r="G24" s="247"/>
      <c r="H24" s="247" t="s">
        <v>230</v>
      </c>
      <c r="I24" s="247"/>
      <c r="J24" s="272"/>
      <c r="K24" s="72"/>
    </row>
    <row r="25" spans="1:15" s="3" customFormat="1" ht="13.8" x14ac:dyDescent="0.25"/>
    <row r="26" spans="1:15" s="45" customFormat="1" ht="22.5" customHeight="1" x14ac:dyDescent="0.3">
      <c r="A26" s="304" t="s">
        <v>231</v>
      </c>
      <c r="B26" s="305"/>
      <c r="C26" s="305"/>
      <c r="D26" s="305"/>
      <c r="E26" s="305"/>
      <c r="F26" s="305"/>
      <c r="G26" s="305"/>
      <c r="H26" s="305"/>
      <c r="I26" s="305"/>
      <c r="J26" s="305"/>
      <c r="K26" s="306"/>
    </row>
    <row r="27" spans="1:15" s="3" customFormat="1" ht="39" customHeight="1" x14ac:dyDescent="0.25">
      <c r="A27" s="46" t="s">
        <v>51</v>
      </c>
      <c r="B27" s="301" t="s">
        <v>232</v>
      </c>
      <c r="C27" s="301"/>
      <c r="D27" s="301"/>
      <c r="E27" s="301" t="s">
        <v>233</v>
      </c>
      <c r="F27" s="301"/>
      <c r="G27" s="301"/>
      <c r="H27" s="301" t="s">
        <v>218</v>
      </c>
      <c r="I27" s="301"/>
      <c r="J27" s="302"/>
      <c r="K27" s="72"/>
    </row>
    <row r="28" spans="1:15" s="3" customFormat="1" ht="13.8" x14ac:dyDescent="0.25">
      <c r="A28" s="99"/>
      <c r="B28" s="183" t="s">
        <v>234</v>
      </c>
      <c r="C28" s="183"/>
      <c r="D28" s="183"/>
      <c r="E28" s="183"/>
      <c r="F28" s="183"/>
      <c r="G28" s="183"/>
      <c r="H28" s="183"/>
      <c r="I28" s="183"/>
      <c r="J28" s="303"/>
      <c r="K28" s="72"/>
    </row>
    <row r="29" spans="1:15" s="3" customFormat="1" ht="13.8" x14ac:dyDescent="0.25">
      <c r="A29" s="99"/>
      <c r="B29" s="183"/>
      <c r="C29" s="183"/>
      <c r="D29" s="183"/>
      <c r="E29" s="183"/>
      <c r="F29" s="183"/>
      <c r="G29" s="183"/>
      <c r="H29" s="183"/>
      <c r="I29" s="183"/>
      <c r="J29" s="303"/>
      <c r="K29" s="72"/>
    </row>
    <row r="30" spans="1:15" ht="14.25" customHeight="1" x14ac:dyDescent="0.25">
      <c r="A30" s="99"/>
      <c r="B30" s="183"/>
      <c r="C30" s="183"/>
      <c r="D30" s="183"/>
      <c r="E30" s="183"/>
      <c r="F30" s="183"/>
      <c r="G30" s="183"/>
      <c r="H30" s="183"/>
      <c r="I30" s="183"/>
      <c r="J30" s="303"/>
      <c r="K30" s="72"/>
      <c r="L30" s="92"/>
      <c r="M30" s="92"/>
      <c r="N30" s="92"/>
      <c r="O30" s="92"/>
    </row>
    <row r="31" spans="1:15" s="3" customFormat="1" ht="13.8" x14ac:dyDescent="0.25">
      <c r="A31" s="99"/>
      <c r="B31" s="183"/>
      <c r="C31" s="183"/>
      <c r="D31" s="183"/>
      <c r="E31" s="183"/>
      <c r="F31" s="183"/>
      <c r="G31" s="183"/>
      <c r="H31" s="183"/>
      <c r="I31" s="183"/>
      <c r="J31" s="303"/>
      <c r="K31" s="72"/>
    </row>
    <row r="32" spans="1:15" s="3" customFormat="1" ht="13.8" x14ac:dyDescent="0.25">
      <c r="A32" s="99"/>
      <c r="B32" s="183"/>
      <c r="C32" s="183"/>
      <c r="D32" s="183"/>
      <c r="E32" s="183"/>
      <c r="F32" s="183"/>
      <c r="G32" s="183"/>
      <c r="H32" s="183"/>
      <c r="I32" s="183"/>
      <c r="J32" s="303"/>
      <c r="K32" s="72"/>
    </row>
    <row r="33" spans="1:10" s="3" customFormat="1" ht="29.25" customHeight="1" x14ac:dyDescent="0.25">
      <c r="A33" s="114"/>
      <c r="E33" s="288" t="s">
        <v>235</v>
      </c>
      <c r="F33" s="288"/>
      <c r="G33" s="288"/>
      <c r="H33" s="288"/>
      <c r="I33" s="288"/>
      <c r="J33" s="114"/>
    </row>
    <row r="66" spans="6:6" x14ac:dyDescent="0.25">
      <c r="F66" s="3"/>
    </row>
  </sheetData>
  <mergeCells count="66">
    <mergeCell ref="A26:K26"/>
    <mergeCell ref="A19:K19"/>
    <mergeCell ref="B31:D31"/>
    <mergeCell ref="E31:G31"/>
    <mergeCell ref="H31:J31"/>
    <mergeCell ref="B27:D27"/>
    <mergeCell ref="E27:G27"/>
    <mergeCell ref="H27:J27"/>
    <mergeCell ref="B28:D28"/>
    <mergeCell ref="E28:G28"/>
    <mergeCell ref="H28:J28"/>
    <mergeCell ref="B24:D24"/>
    <mergeCell ref="E24:G24"/>
    <mergeCell ref="H24:J24"/>
    <mergeCell ref="B22:D22"/>
    <mergeCell ref="E22:G22"/>
    <mergeCell ref="B32:D32"/>
    <mergeCell ref="E32:G32"/>
    <mergeCell ref="H32:J32"/>
    <mergeCell ref="B29:D29"/>
    <mergeCell ref="E29:G29"/>
    <mergeCell ref="H29:J29"/>
    <mergeCell ref="B30:D30"/>
    <mergeCell ref="E30:G30"/>
    <mergeCell ref="H30:J30"/>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3:I33"/>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2"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view="pageBreakPreview" topLeftCell="A6" zoomScale="60" zoomScaleNormal="100" workbookViewId="0">
      <selection activeCell="A39" sqref="A39:J48"/>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2" t="str">
        <f>+'Cover Page'!$B$29</f>
        <v>Annual Performance Report 2022</v>
      </c>
      <c r="B1" s="92"/>
      <c r="C1" s="92"/>
      <c r="D1" s="92"/>
      <c r="E1" s="92" t="str">
        <f>+'Cover Page'!$B$33</f>
        <v>Boston Energy Production Facility</v>
      </c>
      <c r="F1" s="92"/>
      <c r="G1" s="92"/>
      <c r="H1" s="92"/>
      <c r="I1" s="92"/>
      <c r="J1" s="92"/>
    </row>
    <row r="3" spans="1:10" ht="15.6" x14ac:dyDescent="0.3">
      <c r="A3" s="1" t="s">
        <v>236</v>
      </c>
      <c r="B3" s="92"/>
      <c r="C3" s="92"/>
      <c r="D3" s="92"/>
      <c r="E3" s="92"/>
      <c r="F3" s="92"/>
      <c r="G3" s="92"/>
      <c r="H3" s="92"/>
      <c r="I3" s="92"/>
      <c r="J3" s="92"/>
    </row>
    <row r="4" spans="1:10" ht="15.6" x14ac:dyDescent="0.3">
      <c r="A4" s="1"/>
      <c r="B4" s="92"/>
      <c r="C4" s="92"/>
      <c r="D4" s="92"/>
      <c r="E4" s="92"/>
      <c r="F4" s="92"/>
      <c r="G4" s="92"/>
      <c r="H4" s="92"/>
      <c r="I4" s="92"/>
      <c r="J4" s="92"/>
    </row>
    <row r="5" spans="1:10" s="3" customFormat="1" ht="13.8" x14ac:dyDescent="0.25">
      <c r="A5" s="320" t="s">
        <v>237</v>
      </c>
      <c r="B5" s="321"/>
      <c r="C5" s="321"/>
      <c r="D5" s="321"/>
      <c r="E5" s="321"/>
      <c r="F5" s="321"/>
      <c r="G5" s="321"/>
      <c r="H5" s="321"/>
      <c r="I5" s="321"/>
      <c r="J5" s="322"/>
    </row>
    <row r="6" spans="1:10" s="3" customFormat="1" ht="15.75" customHeight="1" x14ac:dyDescent="0.25">
      <c r="A6" s="194" t="s">
        <v>238</v>
      </c>
      <c r="B6" s="195"/>
      <c r="C6" s="195"/>
      <c r="D6" s="195"/>
      <c r="E6" s="195"/>
      <c r="F6" s="195"/>
      <c r="G6" s="195"/>
      <c r="H6" s="195"/>
      <c r="I6" s="195"/>
      <c r="J6" s="196"/>
    </row>
    <row r="7" spans="1:10" s="3" customFormat="1" ht="15.75" customHeight="1" x14ac:dyDescent="0.25">
      <c r="A7" s="197"/>
      <c r="B7" s="198"/>
      <c r="C7" s="198"/>
      <c r="D7" s="198"/>
      <c r="E7" s="198"/>
      <c r="F7" s="198"/>
      <c r="G7" s="198"/>
      <c r="H7" s="198"/>
      <c r="I7" s="198"/>
      <c r="J7" s="199"/>
    </row>
    <row r="8" spans="1:10" s="3" customFormat="1" ht="15.75" customHeight="1" x14ac:dyDescent="0.25">
      <c r="A8" s="197"/>
      <c r="B8" s="198"/>
      <c r="C8" s="198"/>
      <c r="D8" s="198"/>
      <c r="E8" s="198"/>
      <c r="F8" s="198"/>
      <c r="G8" s="198"/>
      <c r="H8" s="198"/>
      <c r="I8" s="198"/>
      <c r="J8" s="199"/>
    </row>
    <row r="9" spans="1:10" s="3" customFormat="1" ht="15.75" customHeight="1" x14ac:dyDescent="0.25">
      <c r="A9" s="197"/>
      <c r="B9" s="198"/>
      <c r="C9" s="198"/>
      <c r="D9" s="198"/>
      <c r="E9" s="198"/>
      <c r="F9" s="198"/>
      <c r="G9" s="198"/>
      <c r="H9" s="198"/>
      <c r="I9" s="198"/>
      <c r="J9" s="199"/>
    </row>
    <row r="10" spans="1:10" s="3" customFormat="1" ht="15.75" customHeight="1" x14ac:dyDescent="0.25">
      <c r="A10" s="197"/>
      <c r="B10" s="198"/>
      <c r="C10" s="198"/>
      <c r="D10" s="198"/>
      <c r="E10" s="198"/>
      <c r="F10" s="198"/>
      <c r="G10" s="198"/>
      <c r="H10" s="198"/>
      <c r="I10" s="198"/>
      <c r="J10" s="199"/>
    </row>
    <row r="11" spans="1:10" s="3" customFormat="1" ht="15.75" customHeight="1" x14ac:dyDescent="0.25">
      <c r="A11" s="197"/>
      <c r="B11" s="198"/>
      <c r="C11" s="198"/>
      <c r="D11" s="198"/>
      <c r="E11" s="198"/>
      <c r="F11" s="198"/>
      <c r="G11" s="198"/>
      <c r="H11" s="198"/>
      <c r="I11" s="198"/>
      <c r="J11" s="199"/>
    </row>
    <row r="12" spans="1:10" s="3" customFormat="1" ht="15.75" customHeight="1" x14ac:dyDescent="0.25">
      <c r="A12" s="197"/>
      <c r="B12" s="198"/>
      <c r="C12" s="198"/>
      <c r="D12" s="198"/>
      <c r="E12" s="198"/>
      <c r="F12" s="198"/>
      <c r="G12" s="198"/>
      <c r="H12" s="198"/>
      <c r="I12" s="198"/>
      <c r="J12" s="199"/>
    </row>
    <row r="13" spans="1:10" s="3" customFormat="1" ht="15.75" customHeight="1" x14ac:dyDescent="0.25">
      <c r="A13" s="197"/>
      <c r="B13" s="198"/>
      <c r="C13" s="198"/>
      <c r="D13" s="198"/>
      <c r="E13" s="198"/>
      <c r="F13" s="198"/>
      <c r="G13" s="198"/>
      <c r="H13" s="198"/>
      <c r="I13" s="198"/>
      <c r="J13" s="199"/>
    </row>
    <row r="14" spans="1:10" s="3" customFormat="1" ht="15.75" customHeight="1" x14ac:dyDescent="0.25">
      <c r="A14" s="200"/>
      <c r="B14" s="201"/>
      <c r="C14" s="201"/>
      <c r="D14" s="201"/>
      <c r="E14" s="201"/>
      <c r="F14" s="201"/>
      <c r="G14" s="201"/>
      <c r="H14" s="201"/>
      <c r="I14" s="201"/>
      <c r="J14" s="202"/>
    </row>
    <row r="15" spans="1:10" s="3" customFormat="1" ht="13.8" x14ac:dyDescent="0.25"/>
    <row r="16" spans="1:10" s="47" customFormat="1" ht="33.75" customHeight="1" x14ac:dyDescent="0.3">
      <c r="A16" s="308" t="s">
        <v>239</v>
      </c>
      <c r="B16" s="309"/>
      <c r="C16" s="309"/>
      <c r="D16" s="309"/>
      <c r="E16" s="309"/>
      <c r="F16" s="309"/>
      <c r="G16" s="309"/>
      <c r="H16" s="309"/>
      <c r="I16" s="309"/>
      <c r="J16" s="310"/>
    </row>
    <row r="17" spans="1:10" ht="15.75" customHeight="1" x14ac:dyDescent="0.25">
      <c r="A17" s="194" t="s">
        <v>240</v>
      </c>
      <c r="B17" s="203"/>
      <c r="C17" s="203"/>
      <c r="D17" s="203"/>
      <c r="E17" s="203"/>
      <c r="F17" s="203"/>
      <c r="G17" s="203"/>
      <c r="H17" s="203"/>
      <c r="I17" s="203"/>
      <c r="J17" s="204"/>
    </row>
    <row r="18" spans="1:10" ht="15.75" customHeight="1" x14ac:dyDescent="0.25">
      <c r="A18" s="205"/>
      <c r="B18" s="206"/>
      <c r="C18" s="206"/>
      <c r="D18" s="206"/>
      <c r="E18" s="206"/>
      <c r="F18" s="206"/>
      <c r="G18" s="206"/>
      <c r="H18" s="206"/>
      <c r="I18" s="206"/>
      <c r="J18" s="207"/>
    </row>
    <row r="19" spans="1:10" ht="15.75" customHeight="1" x14ac:dyDescent="0.25">
      <c r="A19" s="205"/>
      <c r="B19" s="206"/>
      <c r="C19" s="206"/>
      <c r="D19" s="206"/>
      <c r="E19" s="206"/>
      <c r="F19" s="206"/>
      <c r="G19" s="206"/>
      <c r="H19" s="206"/>
      <c r="I19" s="206"/>
      <c r="J19" s="207"/>
    </row>
    <row r="20" spans="1:10" ht="15.75" customHeight="1" x14ac:dyDescent="0.25">
      <c r="A20" s="205"/>
      <c r="B20" s="206"/>
      <c r="C20" s="206"/>
      <c r="D20" s="206"/>
      <c r="E20" s="206"/>
      <c r="F20" s="206"/>
      <c r="G20" s="206"/>
      <c r="H20" s="206"/>
      <c r="I20" s="206"/>
      <c r="J20" s="207"/>
    </row>
    <row r="21" spans="1:10" ht="15.75" customHeight="1" x14ac:dyDescent="0.25">
      <c r="A21" s="205"/>
      <c r="B21" s="206"/>
      <c r="C21" s="206"/>
      <c r="D21" s="206"/>
      <c r="E21" s="206"/>
      <c r="F21" s="206"/>
      <c r="G21" s="206"/>
      <c r="H21" s="206"/>
      <c r="I21" s="206"/>
      <c r="J21" s="207"/>
    </row>
    <row r="22" spans="1:10" ht="15.75" customHeight="1" x14ac:dyDescent="0.25">
      <c r="A22" s="205"/>
      <c r="B22" s="206"/>
      <c r="C22" s="206"/>
      <c r="D22" s="206"/>
      <c r="E22" s="206"/>
      <c r="F22" s="206"/>
      <c r="G22" s="206"/>
      <c r="H22" s="206"/>
      <c r="I22" s="206"/>
      <c r="J22" s="207"/>
    </row>
    <row r="23" spans="1:10" ht="15.75" customHeight="1" x14ac:dyDescent="0.25">
      <c r="A23" s="205"/>
      <c r="B23" s="206"/>
      <c r="C23" s="206"/>
      <c r="D23" s="206"/>
      <c r="E23" s="206"/>
      <c r="F23" s="206"/>
      <c r="G23" s="206"/>
      <c r="H23" s="206"/>
      <c r="I23" s="206"/>
      <c r="J23" s="207"/>
    </row>
    <row r="24" spans="1:10" ht="15.75" customHeight="1" x14ac:dyDescent="0.25">
      <c r="A24" s="205"/>
      <c r="B24" s="206"/>
      <c r="C24" s="206"/>
      <c r="D24" s="206"/>
      <c r="E24" s="206"/>
      <c r="F24" s="206"/>
      <c r="G24" s="206"/>
      <c r="H24" s="206"/>
      <c r="I24" s="206"/>
      <c r="J24" s="207"/>
    </row>
    <row r="25" spans="1:10" ht="15.75" customHeight="1" x14ac:dyDescent="0.25">
      <c r="A25" s="208"/>
      <c r="B25" s="209"/>
      <c r="C25" s="209"/>
      <c r="D25" s="209"/>
      <c r="E25" s="209"/>
      <c r="F25" s="209"/>
      <c r="G25" s="209"/>
      <c r="H25" s="209"/>
      <c r="I25" s="209"/>
      <c r="J25" s="210"/>
    </row>
    <row r="26" spans="1:10" ht="15.6" x14ac:dyDescent="0.3">
      <c r="A26" s="1"/>
      <c r="B26" s="92"/>
      <c r="C26" s="92"/>
      <c r="D26" s="92"/>
      <c r="E26" s="92"/>
      <c r="F26" s="92"/>
      <c r="G26" s="92"/>
      <c r="H26" s="92"/>
      <c r="I26" s="92"/>
      <c r="J26" s="92"/>
    </row>
    <row r="27" spans="1:10" ht="36.75" customHeight="1" x14ac:dyDescent="0.25">
      <c r="A27" s="308" t="s">
        <v>241</v>
      </c>
      <c r="B27" s="309"/>
      <c r="C27" s="309"/>
      <c r="D27" s="309"/>
      <c r="E27" s="309"/>
      <c r="F27" s="309"/>
      <c r="G27" s="309"/>
      <c r="H27" s="309"/>
      <c r="I27" s="309"/>
      <c r="J27" s="310"/>
    </row>
    <row r="28" spans="1:10" ht="15.75" customHeight="1" x14ac:dyDescent="0.25">
      <c r="A28" s="323" t="s">
        <v>242</v>
      </c>
      <c r="B28" s="203"/>
      <c r="C28" s="203"/>
      <c r="D28" s="203"/>
      <c r="E28" s="203"/>
      <c r="F28" s="203"/>
      <c r="G28" s="203"/>
      <c r="H28" s="203"/>
      <c r="I28" s="203"/>
      <c r="J28" s="204"/>
    </row>
    <row r="29" spans="1:10" ht="15.75" customHeight="1" x14ac:dyDescent="0.25">
      <c r="A29" s="205"/>
      <c r="B29" s="206"/>
      <c r="C29" s="206"/>
      <c r="D29" s="206"/>
      <c r="E29" s="206"/>
      <c r="F29" s="206"/>
      <c r="G29" s="206"/>
      <c r="H29" s="206"/>
      <c r="I29" s="206"/>
      <c r="J29" s="207"/>
    </row>
    <row r="30" spans="1:10" ht="15.75" customHeight="1" x14ac:dyDescent="0.25">
      <c r="A30" s="205"/>
      <c r="B30" s="206"/>
      <c r="C30" s="206"/>
      <c r="D30" s="206"/>
      <c r="E30" s="206"/>
      <c r="F30" s="206"/>
      <c r="G30" s="206"/>
      <c r="H30" s="206"/>
      <c r="I30" s="206"/>
      <c r="J30" s="207"/>
    </row>
    <row r="31" spans="1:10" ht="15.75" customHeight="1" x14ac:dyDescent="0.25">
      <c r="A31" s="205"/>
      <c r="B31" s="206"/>
      <c r="C31" s="206"/>
      <c r="D31" s="206"/>
      <c r="E31" s="206"/>
      <c r="F31" s="206"/>
      <c r="G31" s="206"/>
      <c r="H31" s="206"/>
      <c r="I31" s="206"/>
      <c r="J31" s="207"/>
    </row>
    <row r="32" spans="1:10" ht="15.75" customHeight="1" x14ac:dyDescent="0.25">
      <c r="A32" s="205"/>
      <c r="B32" s="206"/>
      <c r="C32" s="206"/>
      <c r="D32" s="206"/>
      <c r="E32" s="206"/>
      <c r="F32" s="206"/>
      <c r="G32" s="206"/>
      <c r="H32" s="206"/>
      <c r="I32" s="206"/>
      <c r="J32" s="207"/>
    </row>
    <row r="33" spans="1:10" ht="15.75" customHeight="1" x14ac:dyDescent="0.25">
      <c r="A33" s="205"/>
      <c r="B33" s="206"/>
      <c r="C33" s="206"/>
      <c r="D33" s="206"/>
      <c r="E33" s="206"/>
      <c r="F33" s="206"/>
      <c r="G33" s="206"/>
      <c r="H33" s="206"/>
      <c r="I33" s="206"/>
      <c r="J33" s="207"/>
    </row>
    <row r="34" spans="1:10" ht="15.75" customHeight="1" x14ac:dyDescent="0.25">
      <c r="A34" s="205"/>
      <c r="B34" s="206"/>
      <c r="C34" s="206"/>
      <c r="D34" s="206"/>
      <c r="E34" s="206"/>
      <c r="F34" s="206"/>
      <c r="G34" s="206"/>
      <c r="H34" s="206"/>
      <c r="I34" s="206"/>
      <c r="J34" s="207"/>
    </row>
    <row r="35" spans="1:10" ht="15.75" customHeight="1" x14ac:dyDescent="0.25">
      <c r="A35" s="205"/>
      <c r="B35" s="206"/>
      <c r="C35" s="206"/>
      <c r="D35" s="206"/>
      <c r="E35" s="206"/>
      <c r="F35" s="206"/>
      <c r="G35" s="206"/>
      <c r="H35" s="206"/>
      <c r="I35" s="206"/>
      <c r="J35" s="207"/>
    </row>
    <row r="36" spans="1:10" ht="15.75" customHeight="1" x14ac:dyDescent="0.25">
      <c r="A36" s="208"/>
      <c r="B36" s="209"/>
      <c r="C36" s="209"/>
      <c r="D36" s="209"/>
      <c r="E36" s="209"/>
      <c r="F36" s="209"/>
      <c r="G36" s="209"/>
      <c r="H36" s="209"/>
      <c r="I36" s="209"/>
      <c r="J36" s="210"/>
    </row>
    <row r="38" spans="1:10" ht="33" customHeight="1" x14ac:dyDescent="0.25">
      <c r="A38" s="308" t="s">
        <v>243</v>
      </c>
      <c r="B38" s="309"/>
      <c r="C38" s="309"/>
      <c r="D38" s="309"/>
      <c r="E38" s="309"/>
      <c r="F38" s="309"/>
      <c r="G38" s="309"/>
      <c r="H38" s="309"/>
      <c r="I38" s="309"/>
      <c r="J38" s="310"/>
    </row>
    <row r="39" spans="1:10" ht="15.75" customHeight="1" x14ac:dyDescent="0.25">
      <c r="A39" s="311" t="s">
        <v>244</v>
      </c>
      <c r="B39" s="312"/>
      <c r="C39" s="312"/>
      <c r="D39" s="312"/>
      <c r="E39" s="312"/>
      <c r="F39" s="312"/>
      <c r="G39" s="312"/>
      <c r="H39" s="312"/>
      <c r="I39" s="312"/>
      <c r="J39" s="313"/>
    </row>
    <row r="40" spans="1:10" ht="15.75" customHeight="1" x14ac:dyDescent="0.25">
      <c r="A40" s="314"/>
      <c r="B40" s="315"/>
      <c r="C40" s="315"/>
      <c r="D40" s="315"/>
      <c r="E40" s="315"/>
      <c r="F40" s="315"/>
      <c r="G40" s="315"/>
      <c r="H40" s="315"/>
      <c r="I40" s="315"/>
      <c r="J40" s="316"/>
    </row>
    <row r="41" spans="1:10" ht="15.75" customHeight="1" x14ac:dyDescent="0.25">
      <c r="A41" s="314"/>
      <c r="B41" s="315"/>
      <c r="C41" s="315"/>
      <c r="D41" s="315"/>
      <c r="E41" s="315"/>
      <c r="F41" s="315"/>
      <c r="G41" s="315"/>
      <c r="H41" s="315"/>
      <c r="I41" s="315"/>
      <c r="J41" s="316"/>
    </row>
    <row r="42" spans="1:10" ht="15.75" customHeight="1" x14ac:dyDescent="0.25">
      <c r="A42" s="314"/>
      <c r="B42" s="315"/>
      <c r="C42" s="315"/>
      <c r="D42" s="315"/>
      <c r="E42" s="315"/>
      <c r="F42" s="315"/>
      <c r="G42" s="315"/>
      <c r="H42" s="315"/>
      <c r="I42" s="315"/>
      <c r="J42" s="316"/>
    </row>
    <row r="43" spans="1:10" ht="15.75" customHeight="1" x14ac:dyDescent="0.25">
      <c r="A43" s="314"/>
      <c r="B43" s="315"/>
      <c r="C43" s="315"/>
      <c r="D43" s="315"/>
      <c r="E43" s="315"/>
      <c r="F43" s="315"/>
      <c r="G43" s="315"/>
      <c r="H43" s="315"/>
      <c r="I43" s="315"/>
      <c r="J43" s="316"/>
    </row>
    <row r="44" spans="1:10" ht="15.75" customHeight="1" x14ac:dyDescent="0.25">
      <c r="A44" s="314"/>
      <c r="B44" s="315"/>
      <c r="C44" s="315"/>
      <c r="D44" s="315"/>
      <c r="E44" s="315"/>
      <c r="F44" s="315"/>
      <c r="G44" s="315"/>
      <c r="H44" s="315"/>
      <c r="I44" s="315"/>
      <c r="J44" s="316"/>
    </row>
    <row r="45" spans="1:10" ht="15.75" customHeight="1" x14ac:dyDescent="0.25">
      <c r="A45" s="314"/>
      <c r="B45" s="315"/>
      <c r="C45" s="315"/>
      <c r="D45" s="315"/>
      <c r="E45" s="315"/>
      <c r="F45" s="315"/>
      <c r="G45" s="315"/>
      <c r="H45" s="315"/>
      <c r="I45" s="315"/>
      <c r="J45" s="316"/>
    </row>
    <row r="46" spans="1:10" ht="15.75" customHeight="1" x14ac:dyDescent="0.25">
      <c r="A46" s="314"/>
      <c r="B46" s="315"/>
      <c r="C46" s="315"/>
      <c r="D46" s="315"/>
      <c r="E46" s="315"/>
      <c r="F46" s="315"/>
      <c r="G46" s="315"/>
      <c r="H46" s="315"/>
      <c r="I46" s="315"/>
      <c r="J46" s="316"/>
    </row>
    <row r="47" spans="1:10" ht="15.75" customHeight="1" x14ac:dyDescent="0.25">
      <c r="A47" s="314"/>
      <c r="B47" s="315"/>
      <c r="C47" s="315"/>
      <c r="D47" s="315"/>
      <c r="E47" s="315"/>
      <c r="F47" s="315"/>
      <c r="G47" s="315"/>
      <c r="H47" s="315"/>
      <c r="I47" s="315"/>
      <c r="J47" s="316"/>
    </row>
    <row r="48" spans="1:10" ht="15.75" customHeight="1" x14ac:dyDescent="0.25">
      <c r="A48" s="317"/>
      <c r="B48" s="318"/>
      <c r="C48" s="318"/>
      <c r="D48" s="318"/>
      <c r="E48" s="318"/>
      <c r="F48" s="318"/>
      <c r="G48" s="318"/>
      <c r="H48" s="318"/>
      <c r="I48" s="318"/>
      <c r="J48" s="319"/>
    </row>
    <row r="66" spans="6:6" x14ac:dyDescent="0.25">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79"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view="pageBreakPreview" zoomScale="60" zoomScaleNormal="100" workbookViewId="0">
      <selection activeCell="C41" sqref="C41:I4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2" t="str">
        <f>+'Cover Page'!$B$29</f>
        <v>Annual Performance Report 2022</v>
      </c>
      <c r="B1" s="92"/>
      <c r="C1" s="92"/>
      <c r="D1" s="92"/>
      <c r="E1" s="92" t="str">
        <f>+'Cover Page'!$B$33</f>
        <v>Boston Energy Production Facility</v>
      </c>
      <c r="F1" s="92"/>
      <c r="G1" s="92"/>
      <c r="H1" s="92"/>
      <c r="I1" s="92"/>
      <c r="J1" s="92"/>
    </row>
    <row r="3" spans="1:10" ht="15.6" x14ac:dyDescent="0.3">
      <c r="A3" s="1" t="s">
        <v>245</v>
      </c>
      <c r="B3" s="92"/>
      <c r="C3" s="92"/>
      <c r="D3" s="92"/>
      <c r="E3" s="92"/>
      <c r="F3" s="92"/>
      <c r="G3" s="92"/>
      <c r="H3" s="92"/>
      <c r="I3" s="92"/>
      <c r="J3" s="92"/>
    </row>
    <row r="4" spans="1:10" ht="15.6" x14ac:dyDescent="0.3">
      <c r="A4" s="1"/>
      <c r="B4" s="92"/>
      <c r="C4" s="92"/>
      <c r="D4" s="92"/>
      <c r="E4" s="92"/>
      <c r="F4" s="92"/>
      <c r="G4" s="92"/>
      <c r="H4" s="92"/>
      <c r="I4" s="92"/>
      <c r="J4" s="92"/>
    </row>
    <row r="5" spans="1:10" s="3" customFormat="1" ht="28.5" customHeight="1" x14ac:dyDescent="0.25">
      <c r="A5" s="48" t="s">
        <v>246</v>
      </c>
      <c r="B5" s="49"/>
      <c r="C5" s="49"/>
      <c r="D5" s="49"/>
      <c r="E5" s="49"/>
      <c r="F5" s="49"/>
      <c r="G5" s="49"/>
      <c r="H5" s="49"/>
      <c r="I5" s="49"/>
      <c r="J5" s="50"/>
    </row>
    <row r="6" spans="1:10" s="3" customFormat="1" ht="15.75" customHeight="1" x14ac:dyDescent="0.25">
      <c r="A6" s="320" t="s">
        <v>51</v>
      </c>
      <c r="B6" s="322"/>
      <c r="C6" s="320" t="s">
        <v>247</v>
      </c>
      <c r="D6" s="321"/>
      <c r="E6" s="321"/>
      <c r="F6" s="321"/>
      <c r="G6" s="321"/>
      <c r="H6" s="321"/>
      <c r="I6" s="321"/>
      <c r="J6" s="322"/>
    </row>
    <row r="7" spans="1:10" s="3" customFormat="1" ht="15.75" customHeight="1" x14ac:dyDescent="0.25">
      <c r="A7" s="323" t="s">
        <v>234</v>
      </c>
      <c r="B7" s="204"/>
      <c r="C7" s="323"/>
      <c r="D7" s="203"/>
      <c r="E7" s="203"/>
      <c r="F7" s="203"/>
      <c r="G7" s="203"/>
      <c r="H7" s="203"/>
      <c r="I7" s="203"/>
      <c r="J7" s="204"/>
    </row>
    <row r="8" spans="1:10" s="3" customFormat="1" ht="15.75" customHeight="1" x14ac:dyDescent="0.25">
      <c r="A8" s="208"/>
      <c r="B8" s="210"/>
      <c r="C8" s="208"/>
      <c r="D8" s="209"/>
      <c r="E8" s="209"/>
      <c r="F8" s="209"/>
      <c r="G8" s="209"/>
      <c r="H8" s="209"/>
      <c r="I8" s="209"/>
      <c r="J8" s="210"/>
    </row>
    <row r="9" spans="1:10" s="3" customFormat="1" ht="15.75" customHeight="1" x14ac:dyDescent="0.25">
      <c r="A9" s="323"/>
      <c r="B9" s="204"/>
      <c r="C9" s="323"/>
      <c r="D9" s="203"/>
      <c r="E9" s="203"/>
      <c r="F9" s="203"/>
      <c r="G9" s="203"/>
      <c r="H9" s="203"/>
      <c r="I9" s="203"/>
      <c r="J9" s="204"/>
    </row>
    <row r="10" spans="1:10" s="3" customFormat="1" ht="15.75" customHeight="1" x14ac:dyDescent="0.25">
      <c r="A10" s="208"/>
      <c r="B10" s="210"/>
      <c r="C10" s="208"/>
      <c r="D10" s="209"/>
      <c r="E10" s="209"/>
      <c r="F10" s="209"/>
      <c r="G10" s="209"/>
      <c r="H10" s="209"/>
      <c r="I10" s="209"/>
      <c r="J10" s="210"/>
    </row>
    <row r="11" spans="1:10" s="3" customFormat="1" ht="15.75" customHeight="1" x14ac:dyDescent="0.25">
      <c r="A11" s="323"/>
      <c r="B11" s="204"/>
      <c r="C11" s="323"/>
      <c r="D11" s="203"/>
      <c r="E11" s="203"/>
      <c r="F11" s="203"/>
      <c r="G11" s="203"/>
      <c r="H11" s="203"/>
      <c r="I11" s="203"/>
      <c r="J11" s="204"/>
    </row>
    <row r="12" spans="1:10" s="3" customFormat="1" ht="15.75" customHeight="1" x14ac:dyDescent="0.25">
      <c r="A12" s="208"/>
      <c r="B12" s="210"/>
      <c r="C12" s="208"/>
      <c r="D12" s="209"/>
      <c r="E12" s="209"/>
      <c r="F12" s="209"/>
      <c r="G12" s="209"/>
      <c r="H12" s="209"/>
      <c r="I12" s="209"/>
      <c r="J12" s="210"/>
    </row>
    <row r="13" spans="1:10" s="3" customFormat="1" ht="15.75" customHeight="1" x14ac:dyDescent="0.25">
      <c r="A13" s="323"/>
      <c r="B13" s="204"/>
      <c r="C13" s="323"/>
      <c r="D13" s="203"/>
      <c r="E13" s="203"/>
      <c r="F13" s="203"/>
      <c r="G13" s="203"/>
      <c r="H13" s="203"/>
      <c r="I13" s="203"/>
      <c r="J13" s="204"/>
    </row>
    <row r="14" spans="1:10" s="3" customFormat="1" ht="15.75" customHeight="1" x14ac:dyDescent="0.25">
      <c r="A14" s="208"/>
      <c r="B14" s="210"/>
      <c r="C14" s="208"/>
      <c r="D14" s="209"/>
      <c r="E14" s="209"/>
      <c r="F14" s="209"/>
      <c r="G14" s="209"/>
      <c r="H14" s="209"/>
      <c r="I14" s="209"/>
      <c r="J14" s="210"/>
    </row>
    <row r="15" spans="1:10" s="3" customFormat="1" ht="13.8" x14ac:dyDescent="0.25"/>
    <row r="16" spans="1:10" s="47" customFormat="1" ht="33.75" customHeight="1" x14ac:dyDescent="0.3">
      <c r="A16" s="308" t="s">
        <v>248</v>
      </c>
      <c r="B16" s="309"/>
      <c r="C16" s="309"/>
      <c r="D16" s="309"/>
      <c r="E16" s="309"/>
      <c r="F16" s="309"/>
      <c r="G16" s="309"/>
      <c r="H16" s="309"/>
      <c r="I16" s="309"/>
      <c r="J16" s="310"/>
    </row>
    <row r="17" spans="1:10" ht="15.75" customHeight="1" x14ac:dyDescent="0.25">
      <c r="A17" s="320" t="s">
        <v>51</v>
      </c>
      <c r="B17" s="322"/>
      <c r="C17" s="320" t="s">
        <v>247</v>
      </c>
      <c r="D17" s="321"/>
      <c r="E17" s="321"/>
      <c r="F17" s="321"/>
      <c r="G17" s="321"/>
      <c r="H17" s="321"/>
      <c r="I17" s="321"/>
      <c r="J17" s="321"/>
    </row>
    <row r="18" spans="1:10" ht="15.75" customHeight="1" x14ac:dyDescent="0.25">
      <c r="A18" s="323">
        <v>2023</v>
      </c>
      <c r="B18" s="204"/>
      <c r="C18" s="323" t="s">
        <v>249</v>
      </c>
      <c r="D18" s="203"/>
      <c r="E18" s="203"/>
      <c r="F18" s="203"/>
      <c r="G18" s="203"/>
      <c r="H18" s="203"/>
      <c r="I18" s="203"/>
      <c r="J18" s="204"/>
    </row>
    <row r="19" spans="1:10" ht="15.75" customHeight="1" x14ac:dyDescent="0.25">
      <c r="A19" s="208"/>
      <c r="B19" s="210"/>
      <c r="C19" s="208"/>
      <c r="D19" s="209"/>
      <c r="E19" s="209"/>
      <c r="F19" s="209"/>
      <c r="G19" s="209"/>
      <c r="H19" s="209"/>
      <c r="I19" s="209"/>
      <c r="J19" s="210"/>
    </row>
    <row r="20" spans="1:10" ht="15.75" customHeight="1" x14ac:dyDescent="0.25">
      <c r="A20" s="323"/>
      <c r="B20" s="204"/>
      <c r="C20" s="323"/>
      <c r="D20" s="203"/>
      <c r="E20" s="203"/>
      <c r="F20" s="203"/>
      <c r="G20" s="203"/>
      <c r="H20" s="203"/>
      <c r="I20" s="203"/>
      <c r="J20" s="204"/>
    </row>
    <row r="21" spans="1:10" ht="15.75" customHeight="1" x14ac:dyDescent="0.25">
      <c r="A21" s="208"/>
      <c r="B21" s="210"/>
      <c r="C21" s="208"/>
      <c r="D21" s="209"/>
      <c r="E21" s="209"/>
      <c r="F21" s="209"/>
      <c r="G21" s="209"/>
      <c r="H21" s="209"/>
      <c r="I21" s="209"/>
      <c r="J21" s="210"/>
    </row>
    <row r="22" spans="1:10" ht="15.75" customHeight="1" x14ac:dyDescent="0.25">
      <c r="A22" s="323"/>
      <c r="B22" s="204"/>
      <c r="C22" s="323"/>
      <c r="D22" s="203"/>
      <c r="E22" s="203"/>
      <c r="F22" s="203"/>
      <c r="G22" s="203"/>
      <c r="H22" s="203"/>
      <c r="I22" s="203"/>
      <c r="J22" s="204"/>
    </row>
    <row r="23" spans="1:10" ht="15.75" customHeight="1" x14ac:dyDescent="0.25">
      <c r="A23" s="208"/>
      <c r="B23" s="210"/>
      <c r="C23" s="208"/>
      <c r="D23" s="209"/>
      <c r="E23" s="209"/>
      <c r="F23" s="209"/>
      <c r="G23" s="209"/>
      <c r="H23" s="209"/>
      <c r="I23" s="209"/>
      <c r="J23" s="210"/>
    </row>
    <row r="24" spans="1:10" ht="15.75" customHeight="1" x14ac:dyDescent="0.25">
      <c r="A24" s="323"/>
      <c r="B24" s="204"/>
      <c r="C24" s="323"/>
      <c r="D24" s="203"/>
      <c r="E24" s="203"/>
      <c r="F24" s="203"/>
      <c r="G24" s="203"/>
      <c r="H24" s="203"/>
      <c r="I24" s="203"/>
      <c r="J24" s="204"/>
    </row>
    <row r="25" spans="1:10" ht="15.75" customHeight="1" x14ac:dyDescent="0.25">
      <c r="A25" s="208"/>
      <c r="B25" s="210"/>
      <c r="C25" s="208"/>
      <c r="D25" s="209"/>
      <c r="E25" s="209"/>
      <c r="F25" s="209"/>
      <c r="G25" s="209"/>
      <c r="H25" s="209"/>
      <c r="I25" s="209"/>
      <c r="J25" s="210"/>
    </row>
    <row r="26" spans="1:10" ht="15.75" customHeight="1" x14ac:dyDescent="0.25">
      <c r="A26" s="323"/>
      <c r="B26" s="204"/>
      <c r="C26" s="323"/>
      <c r="D26" s="203"/>
      <c r="E26" s="203"/>
      <c r="F26" s="203"/>
      <c r="G26" s="203"/>
      <c r="H26" s="203"/>
      <c r="I26" s="203"/>
      <c r="J26" s="204"/>
    </row>
    <row r="27" spans="1:10" ht="15.75" customHeight="1" x14ac:dyDescent="0.25">
      <c r="A27" s="208"/>
      <c r="B27" s="210"/>
      <c r="C27" s="208"/>
      <c r="D27" s="209"/>
      <c r="E27" s="209"/>
      <c r="F27" s="209"/>
      <c r="G27" s="209"/>
      <c r="H27" s="209"/>
      <c r="I27" s="209"/>
      <c r="J27" s="210"/>
    </row>
    <row r="28" spans="1:10" ht="15.6" x14ac:dyDescent="0.3">
      <c r="A28" s="1"/>
      <c r="B28" s="92"/>
      <c r="C28" s="92"/>
      <c r="D28" s="92"/>
      <c r="E28" s="92"/>
      <c r="F28" s="92"/>
      <c r="G28" s="92"/>
      <c r="H28" s="92"/>
      <c r="I28" s="92"/>
      <c r="J28" s="92"/>
    </row>
    <row r="29" spans="1:10" ht="36.75" customHeight="1" x14ac:dyDescent="0.25">
      <c r="A29" s="308" t="s">
        <v>250</v>
      </c>
      <c r="B29" s="309"/>
      <c r="C29" s="309"/>
      <c r="D29" s="309"/>
      <c r="E29" s="309"/>
      <c r="F29" s="309"/>
      <c r="G29" s="309"/>
      <c r="H29" s="309"/>
      <c r="I29" s="309"/>
      <c r="J29" s="310"/>
    </row>
    <row r="66" spans="6:6" x14ac:dyDescent="0.25">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6"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view="pageBreakPreview" zoomScale="60" zoomScaleNormal="100" workbookViewId="0">
      <selection activeCell="C41" sqref="C41:I41"/>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2" t="str">
        <f>+'Cover Page'!$B$29</f>
        <v>Annual Performance Report 2022</v>
      </c>
      <c r="B1" s="92"/>
      <c r="C1" s="92"/>
      <c r="D1" s="92"/>
      <c r="E1" s="92" t="str">
        <f>+'Cover Page'!$B$33</f>
        <v>Boston Energy Production Facility</v>
      </c>
      <c r="F1" s="92"/>
      <c r="G1" s="92"/>
    </row>
    <row r="3" spans="1:7" ht="15.6" x14ac:dyDescent="0.3">
      <c r="A3" s="1" t="s">
        <v>251</v>
      </c>
      <c r="B3" s="92"/>
      <c r="C3" s="92"/>
      <c r="D3" s="92"/>
      <c r="E3" s="92"/>
      <c r="F3" s="92"/>
      <c r="G3" s="92"/>
    </row>
    <row r="4" spans="1:7" ht="15.6" x14ac:dyDescent="0.3">
      <c r="A4" s="1"/>
      <c r="B4" s="92"/>
      <c r="C4" s="92"/>
      <c r="D4" s="92"/>
      <c r="E4" s="92"/>
      <c r="F4" s="92"/>
      <c r="G4" s="92"/>
    </row>
    <row r="5" spans="1:7" s="3" customFormat="1" ht="21.75" customHeight="1" x14ac:dyDescent="0.25">
      <c r="A5" s="48" t="s">
        <v>252</v>
      </c>
      <c r="B5" s="49"/>
      <c r="C5" s="49"/>
      <c r="D5" s="49"/>
      <c r="E5" s="49"/>
      <c r="F5" s="49"/>
      <c r="G5" s="50"/>
    </row>
    <row r="6" spans="1:7" s="3" customFormat="1" ht="15.75" customHeight="1" x14ac:dyDescent="0.25">
      <c r="A6" s="194" t="s">
        <v>253</v>
      </c>
      <c r="B6" s="203"/>
      <c r="C6" s="203"/>
      <c r="D6" s="203"/>
      <c r="E6" s="203"/>
      <c r="F6" s="203"/>
      <c r="G6" s="204"/>
    </row>
    <row r="7" spans="1:7" s="3" customFormat="1" ht="15.75" customHeight="1" x14ac:dyDescent="0.25">
      <c r="A7" s="208"/>
      <c r="B7" s="209"/>
      <c r="C7" s="209"/>
      <c r="D7" s="209"/>
      <c r="E7" s="209"/>
      <c r="F7" s="209"/>
      <c r="G7" s="210"/>
    </row>
    <row r="8" spans="1:7" s="3" customFormat="1" ht="15.75" customHeight="1" x14ac:dyDescent="0.25">
      <c r="A8" s="194"/>
      <c r="B8" s="195"/>
      <c r="C8" s="195"/>
      <c r="D8" s="195"/>
      <c r="E8" s="195"/>
      <c r="F8" s="195"/>
      <c r="G8" s="196"/>
    </row>
    <row r="9" spans="1:7" s="3" customFormat="1" ht="15.75" customHeight="1" x14ac:dyDescent="0.25">
      <c r="A9" s="200"/>
      <c r="B9" s="201"/>
      <c r="C9" s="201"/>
      <c r="D9" s="201"/>
      <c r="E9" s="201"/>
      <c r="F9" s="201"/>
      <c r="G9" s="202"/>
    </row>
    <row r="10" spans="1:7" s="3" customFormat="1" ht="15.75" customHeight="1" x14ac:dyDescent="0.25">
      <c r="A10" s="194"/>
      <c r="B10" s="195"/>
      <c r="C10" s="195"/>
      <c r="D10" s="195"/>
      <c r="E10" s="195"/>
      <c r="F10" s="195"/>
      <c r="G10" s="196"/>
    </row>
    <row r="11" spans="1:7" s="3" customFormat="1" ht="15.75" customHeight="1" x14ac:dyDescent="0.25">
      <c r="A11" s="200"/>
      <c r="B11" s="201"/>
      <c r="C11" s="201"/>
      <c r="D11" s="201"/>
      <c r="E11" s="201"/>
      <c r="F11" s="201"/>
      <c r="G11" s="202"/>
    </row>
    <row r="12" spans="1:7" s="3" customFormat="1" ht="13.8" x14ac:dyDescent="0.25"/>
    <row r="13" spans="1:7" s="47" customFormat="1" ht="33.75" customHeight="1" x14ac:dyDescent="0.3">
      <c r="A13" s="308" t="s">
        <v>254</v>
      </c>
      <c r="B13" s="309"/>
      <c r="C13" s="309"/>
      <c r="D13" s="309"/>
      <c r="E13" s="309"/>
      <c r="F13" s="309"/>
      <c r="G13" s="310"/>
    </row>
    <row r="14" spans="1:7" ht="15.75" customHeight="1" x14ac:dyDescent="0.25">
      <c r="A14" s="320" t="s">
        <v>255</v>
      </c>
      <c r="B14" s="322"/>
      <c r="C14" s="320" t="s">
        <v>247</v>
      </c>
      <c r="D14" s="321"/>
      <c r="E14" s="321"/>
      <c r="F14" s="321"/>
      <c r="G14" s="321"/>
    </row>
    <row r="15" spans="1:7" ht="15.75" customHeight="1" x14ac:dyDescent="0.25">
      <c r="A15" s="194"/>
      <c r="B15" s="196"/>
      <c r="C15" s="323"/>
      <c r="D15" s="203"/>
      <c r="E15" s="203"/>
      <c r="F15" s="203"/>
      <c r="G15" s="204"/>
    </row>
    <row r="16" spans="1:7" ht="15.75" customHeight="1" x14ac:dyDescent="0.25">
      <c r="A16" s="200"/>
      <c r="B16" s="202"/>
      <c r="C16" s="208"/>
      <c r="D16" s="209"/>
      <c r="E16" s="209"/>
      <c r="F16" s="209"/>
      <c r="G16" s="210"/>
    </row>
    <row r="17" spans="1:11" ht="15.75" customHeight="1" x14ac:dyDescent="0.25">
      <c r="A17" s="323"/>
      <c r="B17" s="204"/>
      <c r="C17" s="323"/>
      <c r="D17" s="203"/>
      <c r="E17" s="203"/>
      <c r="F17" s="203"/>
      <c r="G17" s="204"/>
      <c r="H17" s="92"/>
      <c r="I17" s="92"/>
      <c r="J17" s="92"/>
      <c r="K17" s="92"/>
    </row>
    <row r="18" spans="1:11" ht="15.75" customHeight="1" x14ac:dyDescent="0.25">
      <c r="A18" s="208"/>
      <c r="B18" s="210"/>
      <c r="C18" s="208"/>
      <c r="D18" s="209"/>
      <c r="E18" s="209"/>
      <c r="F18" s="209"/>
      <c r="G18" s="210"/>
      <c r="H18" s="92"/>
      <c r="I18" s="92"/>
      <c r="J18" s="92"/>
      <c r="K18" s="92"/>
    </row>
    <row r="19" spans="1:11" ht="15.75" customHeight="1" x14ac:dyDescent="0.25">
      <c r="A19" s="323"/>
      <c r="B19" s="204"/>
      <c r="C19" s="323"/>
      <c r="D19" s="203"/>
      <c r="E19" s="203"/>
      <c r="F19" s="203"/>
      <c r="G19" s="204"/>
      <c r="H19" s="92"/>
      <c r="I19" s="92"/>
      <c r="J19" s="92"/>
      <c r="K19" s="92"/>
    </row>
    <row r="20" spans="1:11" ht="15.75" customHeight="1" x14ac:dyDescent="0.25">
      <c r="A20" s="208"/>
      <c r="B20" s="210"/>
      <c r="C20" s="208"/>
      <c r="D20" s="209"/>
      <c r="E20" s="209"/>
      <c r="F20" s="209"/>
      <c r="G20" s="210"/>
      <c r="H20" s="92"/>
      <c r="I20" s="92"/>
      <c r="J20" s="92"/>
      <c r="K20" s="92"/>
    </row>
    <row r="21" spans="1:11" ht="15.75" customHeight="1" x14ac:dyDescent="0.25">
      <c r="A21" s="323"/>
      <c r="B21" s="204"/>
      <c r="C21" s="323"/>
      <c r="D21" s="203"/>
      <c r="E21" s="203"/>
      <c r="F21" s="203"/>
      <c r="G21" s="204"/>
      <c r="H21" s="92"/>
      <c r="I21" s="92"/>
      <c r="J21" s="92"/>
      <c r="K21" s="92"/>
    </row>
    <row r="22" spans="1:11" ht="15.75" customHeight="1" x14ac:dyDescent="0.25">
      <c r="A22" s="208"/>
      <c r="B22" s="210"/>
      <c r="C22" s="208"/>
      <c r="D22" s="209"/>
      <c r="E22" s="209"/>
      <c r="F22" s="209"/>
      <c r="G22" s="210"/>
      <c r="H22" s="92"/>
      <c r="I22" s="92"/>
      <c r="J22" s="92"/>
      <c r="K22" s="92"/>
    </row>
    <row r="23" spans="1:11" ht="15.75" customHeight="1" x14ac:dyDescent="0.25">
      <c r="A23" s="323"/>
      <c r="B23" s="204"/>
      <c r="C23" s="323"/>
      <c r="D23" s="203"/>
      <c r="E23" s="203"/>
      <c r="F23" s="203"/>
      <c r="G23" s="204"/>
      <c r="H23" s="92"/>
      <c r="I23" s="92"/>
      <c r="J23" s="92"/>
      <c r="K23" s="92"/>
    </row>
    <row r="24" spans="1:11" ht="15.75" customHeight="1" x14ac:dyDescent="0.25">
      <c r="A24" s="208"/>
      <c r="B24" s="210"/>
      <c r="C24" s="208"/>
      <c r="D24" s="209"/>
      <c r="E24" s="209"/>
      <c r="F24" s="209"/>
      <c r="G24" s="210"/>
      <c r="H24" s="92"/>
      <c r="I24" s="92"/>
      <c r="J24" s="92"/>
      <c r="K24" s="92"/>
    </row>
    <row r="26" spans="1:11" x14ac:dyDescent="0.25">
      <c r="A26" s="114"/>
      <c r="B26" s="114"/>
      <c r="C26" s="114"/>
      <c r="D26" s="114"/>
      <c r="E26" s="114"/>
      <c r="F26" s="114"/>
      <c r="G26" s="114"/>
      <c r="H26" s="92"/>
      <c r="I26" s="92"/>
      <c r="J26" s="92"/>
      <c r="K26" s="92"/>
    </row>
    <row r="27" spans="1:11" s="56" customFormat="1" ht="16.5" customHeight="1" x14ac:dyDescent="0.25">
      <c r="A27" s="324" t="s">
        <v>256</v>
      </c>
      <c r="B27" s="324"/>
      <c r="C27" s="324"/>
      <c r="D27" s="324"/>
      <c r="E27" s="324"/>
      <c r="F27" s="324"/>
      <c r="G27" s="324"/>
    </row>
    <row r="28" spans="1:11" s="12" customFormat="1" ht="17.25" customHeight="1" x14ac:dyDescent="0.25">
      <c r="A28" s="326" t="s">
        <v>257</v>
      </c>
      <c r="B28" s="326"/>
      <c r="C28" s="301" t="s">
        <v>258</v>
      </c>
      <c r="D28" s="301" t="s">
        <v>259</v>
      </c>
      <c r="E28" s="301"/>
      <c r="F28" s="301"/>
      <c r="G28" s="301"/>
      <c r="H28" s="114"/>
      <c r="I28" s="114"/>
      <c r="J28" s="114"/>
      <c r="K28" s="114"/>
    </row>
    <row r="29" spans="1:11" s="12" customFormat="1" ht="17.25" customHeight="1" x14ac:dyDescent="0.25">
      <c r="A29" s="326"/>
      <c r="B29" s="326"/>
      <c r="C29" s="301"/>
      <c r="D29" s="301" t="s">
        <v>260</v>
      </c>
      <c r="E29" s="301"/>
      <c r="F29" s="301" t="s">
        <v>159</v>
      </c>
      <c r="G29" s="301"/>
      <c r="H29" s="114"/>
      <c r="I29" s="114"/>
      <c r="J29" s="114"/>
      <c r="K29" s="114"/>
    </row>
    <row r="30" spans="1:11" s="37" customFormat="1" ht="38.1" customHeight="1" x14ac:dyDescent="0.25">
      <c r="A30" s="239" t="s">
        <v>261</v>
      </c>
      <c r="B30" s="239"/>
      <c r="C30" s="159" t="s">
        <v>262</v>
      </c>
      <c r="D30" s="285" t="s">
        <v>263</v>
      </c>
      <c r="E30" s="285"/>
      <c r="F30" s="327"/>
      <c r="G30" s="328"/>
      <c r="H30" s="151"/>
      <c r="I30" s="151"/>
      <c r="J30" s="114"/>
      <c r="K30" s="114"/>
    </row>
    <row r="31" spans="1:11" s="37" customFormat="1" ht="38.1" customHeight="1" x14ac:dyDescent="0.25">
      <c r="A31" s="239" t="s">
        <v>264</v>
      </c>
      <c r="B31" s="239"/>
      <c r="C31" s="156" t="s">
        <v>265</v>
      </c>
      <c r="D31" s="285">
        <v>0.44</v>
      </c>
      <c r="E31" s="285"/>
      <c r="F31" s="327"/>
      <c r="G31" s="328"/>
      <c r="H31" s="151"/>
      <c r="I31" s="151"/>
      <c r="J31" s="114"/>
      <c r="K31" s="114"/>
    </row>
    <row r="32" spans="1:11" s="37" customFormat="1" ht="38.1" customHeight="1" x14ac:dyDescent="0.25">
      <c r="A32" s="239" t="s">
        <v>266</v>
      </c>
      <c r="B32" s="239"/>
      <c r="C32" s="156" t="s">
        <v>267</v>
      </c>
      <c r="D32" s="285">
        <v>11</v>
      </c>
      <c r="E32" s="285"/>
      <c r="F32" s="329">
        <v>5</v>
      </c>
      <c r="G32" s="330"/>
      <c r="H32" s="151"/>
      <c r="I32" s="151"/>
      <c r="J32" s="114"/>
      <c r="K32" s="114"/>
    </row>
    <row r="33" spans="1:7" s="37" customFormat="1" ht="38.1" customHeight="1" x14ac:dyDescent="0.3">
      <c r="A33" s="239" t="s">
        <v>268</v>
      </c>
      <c r="B33" s="239"/>
      <c r="C33" s="156" t="s">
        <v>267</v>
      </c>
      <c r="D33" s="285">
        <v>0</v>
      </c>
      <c r="E33" s="285"/>
      <c r="F33" s="327"/>
      <c r="G33" s="328"/>
    </row>
    <row r="35" spans="1:7" x14ac:dyDescent="0.25">
      <c r="A35" s="270" t="s">
        <v>269</v>
      </c>
      <c r="B35" s="270"/>
      <c r="C35" s="270"/>
      <c r="D35" s="270"/>
      <c r="E35" s="270"/>
      <c r="F35" s="270"/>
      <c r="G35" s="270"/>
    </row>
    <row r="36" spans="1:7" x14ac:dyDescent="0.25">
      <c r="A36" s="325"/>
      <c r="B36" s="325"/>
      <c r="C36" s="325"/>
      <c r="D36" s="325"/>
      <c r="E36" s="325"/>
      <c r="F36" s="325"/>
      <c r="G36" s="325"/>
    </row>
    <row r="37" spans="1:7" x14ac:dyDescent="0.25">
      <c r="A37" s="325"/>
      <c r="B37" s="325"/>
      <c r="C37" s="325"/>
      <c r="D37" s="325"/>
      <c r="E37" s="325"/>
      <c r="F37" s="325"/>
      <c r="G37" s="325"/>
    </row>
    <row r="38" spans="1:7" x14ac:dyDescent="0.25">
      <c r="A38" s="325"/>
      <c r="B38" s="325"/>
      <c r="C38" s="325"/>
      <c r="D38" s="325"/>
      <c r="E38" s="325"/>
      <c r="F38" s="325"/>
      <c r="G38" s="325"/>
    </row>
    <row r="39" spans="1:7" x14ac:dyDescent="0.25">
      <c r="A39" s="325"/>
      <c r="B39" s="325"/>
      <c r="C39" s="325"/>
      <c r="D39" s="325"/>
      <c r="E39" s="325"/>
      <c r="F39" s="325"/>
      <c r="G39" s="325"/>
    </row>
    <row r="40" spans="1:7" x14ac:dyDescent="0.25">
      <c r="A40" s="325"/>
      <c r="B40" s="325"/>
      <c r="C40" s="325"/>
      <c r="D40" s="325"/>
      <c r="E40" s="325"/>
      <c r="F40" s="325"/>
      <c r="G40" s="325"/>
    </row>
    <row r="41" spans="1:7" x14ac:dyDescent="0.25">
      <c r="A41" s="325"/>
      <c r="B41" s="325"/>
      <c r="C41" s="325"/>
      <c r="D41" s="325"/>
      <c r="E41" s="325"/>
      <c r="F41" s="325"/>
      <c r="G41" s="325"/>
    </row>
    <row r="56" spans="6:6" x14ac:dyDescent="0.25">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view="pageBreakPreview" zoomScale="60" zoomScaleNormal="100" workbookViewId="0">
      <selection activeCell="C41" sqref="C41:I4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2" t="str">
        <f>+'Cover Page'!$B$29</f>
        <v>Annual Performance Report 2022</v>
      </c>
      <c r="B1" s="92"/>
      <c r="C1" s="92"/>
      <c r="D1" s="92"/>
      <c r="E1" s="92" t="str">
        <f>+'Cover Page'!$B$33</f>
        <v>Boston Energy Production Facility</v>
      </c>
      <c r="F1" s="92"/>
      <c r="G1" s="92"/>
      <c r="H1" s="92"/>
      <c r="I1" s="92"/>
      <c r="J1" s="92"/>
    </row>
    <row r="3" spans="1:10" ht="15.6" x14ac:dyDescent="0.3">
      <c r="A3" s="1" t="s">
        <v>39</v>
      </c>
      <c r="B3" s="92"/>
      <c r="C3" s="92"/>
      <c r="D3" s="92"/>
      <c r="E3" s="92"/>
      <c r="F3" s="92"/>
      <c r="G3" s="92"/>
      <c r="H3" s="92"/>
      <c r="I3" s="92"/>
      <c r="J3" s="92"/>
    </row>
    <row r="4" spans="1:10" ht="15.6" x14ac:dyDescent="0.3">
      <c r="A4" s="1"/>
      <c r="B4" s="92"/>
      <c r="C4" s="92"/>
      <c r="D4" s="92"/>
      <c r="E4" s="92"/>
      <c r="F4" s="92"/>
      <c r="G4" s="92"/>
      <c r="H4" s="92"/>
      <c r="I4" s="92"/>
      <c r="J4" s="92"/>
    </row>
    <row r="5" spans="1:10" s="3" customFormat="1" ht="21.75" customHeight="1" x14ac:dyDescent="0.25">
      <c r="A5" s="48" t="s">
        <v>252</v>
      </c>
      <c r="B5" s="49"/>
      <c r="C5" s="49"/>
      <c r="D5" s="49"/>
      <c r="E5" s="49"/>
      <c r="F5" s="49"/>
      <c r="G5" s="49"/>
      <c r="H5" s="49"/>
      <c r="I5" s="49"/>
      <c r="J5" s="50"/>
    </row>
    <row r="6" spans="1:10" s="3" customFormat="1" ht="15.75" customHeight="1" x14ac:dyDescent="0.25">
      <c r="A6" s="323" t="s">
        <v>234</v>
      </c>
      <c r="B6" s="203"/>
      <c r="C6" s="203"/>
      <c r="D6" s="203"/>
      <c r="E6" s="203"/>
      <c r="F6" s="203"/>
      <c r="G6" s="203"/>
      <c r="H6" s="203"/>
      <c r="I6" s="203"/>
      <c r="J6" s="204"/>
    </row>
    <row r="7" spans="1:10" s="3" customFormat="1" ht="15.75" customHeight="1" x14ac:dyDescent="0.25">
      <c r="A7" s="208"/>
      <c r="B7" s="209"/>
      <c r="C7" s="209"/>
      <c r="D7" s="209"/>
      <c r="E7" s="209"/>
      <c r="F7" s="209"/>
      <c r="G7" s="209"/>
      <c r="H7" s="209"/>
      <c r="I7" s="209"/>
      <c r="J7" s="210"/>
    </row>
    <row r="8" spans="1:10" s="3" customFormat="1" ht="15.75" customHeight="1" x14ac:dyDescent="0.25">
      <c r="A8" s="194"/>
      <c r="B8" s="195"/>
      <c r="C8" s="195"/>
      <c r="D8" s="195"/>
      <c r="E8" s="195"/>
      <c r="F8" s="195"/>
      <c r="G8" s="195"/>
      <c r="H8" s="195"/>
      <c r="I8" s="195"/>
      <c r="J8" s="196"/>
    </row>
    <row r="9" spans="1:10" s="3" customFormat="1" ht="15.75" customHeight="1" x14ac:dyDescent="0.25">
      <c r="A9" s="200"/>
      <c r="B9" s="201"/>
      <c r="C9" s="201"/>
      <c r="D9" s="201"/>
      <c r="E9" s="201"/>
      <c r="F9" s="201"/>
      <c r="G9" s="201"/>
      <c r="H9" s="201"/>
      <c r="I9" s="201"/>
      <c r="J9" s="202"/>
    </row>
    <row r="10" spans="1:10" s="3" customFormat="1" ht="15.75" customHeight="1" x14ac:dyDescent="0.25">
      <c r="A10" s="194"/>
      <c r="B10" s="195"/>
      <c r="C10" s="195"/>
      <c r="D10" s="195"/>
      <c r="E10" s="195"/>
      <c r="F10" s="195"/>
      <c r="G10" s="195"/>
      <c r="H10" s="195"/>
      <c r="I10" s="195"/>
      <c r="J10" s="196"/>
    </row>
    <row r="11" spans="1:10" s="3" customFormat="1" ht="15.75" customHeight="1" x14ac:dyDescent="0.25">
      <c r="A11" s="200"/>
      <c r="B11" s="201"/>
      <c r="C11" s="201"/>
      <c r="D11" s="201"/>
      <c r="E11" s="201"/>
      <c r="F11" s="201"/>
      <c r="G11" s="201"/>
      <c r="H11" s="201"/>
      <c r="I11" s="201"/>
      <c r="J11" s="202"/>
    </row>
    <row r="12" spans="1:10" s="3" customFormat="1" ht="13.8" x14ac:dyDescent="0.25"/>
    <row r="13" spans="1:10" s="47" customFormat="1" ht="33.75" customHeight="1" x14ac:dyDescent="0.3">
      <c r="A13" s="308" t="s">
        <v>254</v>
      </c>
      <c r="B13" s="309"/>
      <c r="C13" s="309"/>
      <c r="D13" s="309"/>
      <c r="E13" s="309"/>
      <c r="F13" s="309"/>
      <c r="G13" s="309"/>
      <c r="H13" s="309"/>
      <c r="I13" s="309"/>
      <c r="J13" s="310"/>
    </row>
    <row r="14" spans="1:10" ht="15.75" customHeight="1" x14ac:dyDescent="0.25">
      <c r="A14" s="320" t="s">
        <v>255</v>
      </c>
      <c r="B14" s="322"/>
      <c r="C14" s="320" t="s">
        <v>247</v>
      </c>
      <c r="D14" s="321"/>
      <c r="E14" s="321"/>
      <c r="F14" s="321"/>
      <c r="G14" s="321"/>
      <c r="H14" s="321"/>
      <c r="I14" s="321"/>
      <c r="J14" s="321"/>
    </row>
    <row r="15" spans="1:10" ht="15.75" customHeight="1" x14ac:dyDescent="0.25">
      <c r="A15" s="194"/>
      <c r="B15" s="196"/>
      <c r="C15" s="323"/>
      <c r="D15" s="203"/>
      <c r="E15" s="203"/>
      <c r="F15" s="203"/>
      <c r="G15" s="203"/>
      <c r="H15" s="203"/>
      <c r="I15" s="203"/>
      <c r="J15" s="204"/>
    </row>
    <row r="16" spans="1:10" ht="15.75" customHeight="1" x14ac:dyDescent="0.25">
      <c r="A16" s="200"/>
      <c r="B16" s="202"/>
      <c r="C16" s="208"/>
      <c r="D16" s="209"/>
      <c r="E16" s="209"/>
      <c r="F16" s="209"/>
      <c r="G16" s="209"/>
      <c r="H16" s="209"/>
      <c r="I16" s="209"/>
      <c r="J16" s="210"/>
    </row>
    <row r="17" spans="1:10" ht="15.75" customHeight="1" x14ac:dyDescent="0.25">
      <c r="A17" s="323"/>
      <c r="B17" s="204"/>
      <c r="C17" s="323"/>
      <c r="D17" s="203"/>
      <c r="E17" s="203"/>
      <c r="F17" s="203"/>
      <c r="G17" s="203"/>
      <c r="H17" s="203"/>
      <c r="I17" s="203"/>
      <c r="J17" s="204"/>
    </row>
    <row r="18" spans="1:10" ht="15.75" customHeight="1" x14ac:dyDescent="0.25">
      <c r="A18" s="208"/>
      <c r="B18" s="210"/>
      <c r="C18" s="208"/>
      <c r="D18" s="209"/>
      <c r="E18" s="209"/>
      <c r="F18" s="209"/>
      <c r="G18" s="209"/>
      <c r="H18" s="209"/>
      <c r="I18" s="209"/>
      <c r="J18" s="210"/>
    </row>
    <row r="19" spans="1:10" ht="15.75" customHeight="1" x14ac:dyDescent="0.25">
      <c r="A19" s="323"/>
      <c r="B19" s="204"/>
      <c r="C19" s="323"/>
      <c r="D19" s="203"/>
      <c r="E19" s="203"/>
      <c r="F19" s="203"/>
      <c r="G19" s="203"/>
      <c r="H19" s="203"/>
      <c r="I19" s="203"/>
      <c r="J19" s="204"/>
    </row>
    <row r="20" spans="1:10" ht="15.75" customHeight="1" x14ac:dyDescent="0.25">
      <c r="A20" s="208"/>
      <c r="B20" s="210"/>
      <c r="C20" s="208"/>
      <c r="D20" s="209"/>
      <c r="E20" s="209"/>
      <c r="F20" s="209"/>
      <c r="G20" s="209"/>
      <c r="H20" s="209"/>
      <c r="I20" s="209"/>
      <c r="J20" s="210"/>
    </row>
    <row r="22" spans="1:10" ht="22.5" customHeight="1" x14ac:dyDescent="0.25">
      <c r="A22" s="331" t="s">
        <v>270</v>
      </c>
      <c r="B22" s="332"/>
      <c r="C22" s="332"/>
      <c r="D22" s="332"/>
      <c r="E22" s="332"/>
      <c r="F22" s="332"/>
      <c r="G22" s="332"/>
      <c r="H22" s="332"/>
      <c r="I22" s="332"/>
      <c r="J22" s="332"/>
    </row>
    <row r="23" spans="1:10" ht="19.5" customHeight="1" x14ac:dyDescent="0.25">
      <c r="A23" s="333" t="s">
        <v>180</v>
      </c>
      <c r="B23" s="334"/>
      <c r="C23" s="335"/>
      <c r="D23" s="336" t="s">
        <v>271</v>
      </c>
      <c r="E23" s="337"/>
      <c r="F23" s="338"/>
      <c r="G23" s="54" t="s">
        <v>258</v>
      </c>
      <c r="H23" s="54" t="s">
        <v>272</v>
      </c>
      <c r="I23" s="54" t="s">
        <v>273</v>
      </c>
      <c r="J23" s="54" t="s">
        <v>274</v>
      </c>
    </row>
    <row r="24" spans="1:10" x14ac:dyDescent="0.25">
      <c r="A24" s="339"/>
      <c r="B24" s="340"/>
      <c r="C24" s="341"/>
      <c r="D24" s="342"/>
      <c r="E24" s="343"/>
      <c r="F24" s="344"/>
      <c r="G24" s="101"/>
      <c r="H24" s="101"/>
      <c r="I24" s="101"/>
      <c r="J24" s="101"/>
    </row>
    <row r="25" spans="1:10" x14ac:dyDescent="0.25">
      <c r="A25" s="339"/>
      <c r="B25" s="340"/>
      <c r="C25" s="341"/>
      <c r="D25" s="342"/>
      <c r="E25" s="343"/>
      <c r="F25" s="344"/>
      <c r="G25" s="101"/>
      <c r="H25" s="101"/>
      <c r="I25" s="101"/>
      <c r="J25" s="101"/>
    </row>
    <row r="26" spans="1:10" x14ac:dyDescent="0.25">
      <c r="A26" s="339"/>
      <c r="B26" s="340"/>
      <c r="C26" s="341"/>
      <c r="D26" s="342"/>
      <c r="E26" s="343"/>
      <c r="F26" s="344"/>
      <c r="G26" s="101"/>
      <c r="H26" s="101"/>
      <c r="I26" s="101"/>
      <c r="J26" s="101"/>
    </row>
    <row r="27" spans="1:10" x14ac:dyDescent="0.25">
      <c r="A27" s="339"/>
      <c r="B27" s="340"/>
      <c r="C27" s="341"/>
      <c r="D27" s="342"/>
      <c r="E27" s="343"/>
      <c r="F27" s="344"/>
      <c r="G27" s="101"/>
      <c r="H27" s="101"/>
      <c r="I27" s="101"/>
      <c r="J27" s="101"/>
    </row>
    <row r="28" spans="1:10" x14ac:dyDescent="0.25">
      <c r="A28" s="339"/>
      <c r="B28" s="340"/>
      <c r="C28" s="341"/>
      <c r="D28" s="342"/>
      <c r="E28" s="343"/>
      <c r="F28" s="344"/>
      <c r="G28" s="101"/>
      <c r="H28" s="101"/>
      <c r="I28" s="101"/>
      <c r="J28" s="101"/>
    </row>
    <row r="29" spans="1:10" x14ac:dyDescent="0.25">
      <c r="A29" s="339"/>
      <c r="B29" s="340"/>
      <c r="C29" s="341"/>
      <c r="D29" s="342"/>
      <c r="E29" s="343"/>
      <c r="F29" s="344"/>
      <c r="G29" s="101"/>
      <c r="H29" s="101"/>
      <c r="I29" s="101"/>
      <c r="J29" s="101"/>
    </row>
    <row r="30" spans="1:10" x14ac:dyDescent="0.25">
      <c r="A30" s="345"/>
      <c r="B30" s="345"/>
      <c r="C30" s="345"/>
      <c r="D30" s="342"/>
      <c r="E30" s="343"/>
      <c r="F30" s="344"/>
      <c r="G30" s="101"/>
      <c r="H30" s="101"/>
      <c r="I30" s="101"/>
      <c r="J30" s="101"/>
    </row>
    <row r="31" spans="1:10" x14ac:dyDescent="0.25">
      <c r="A31" s="114"/>
      <c r="B31" s="114"/>
      <c r="C31" s="114"/>
      <c r="D31" s="114"/>
      <c r="E31" s="114"/>
      <c r="F31" s="114"/>
      <c r="G31" s="114"/>
      <c r="H31" s="114"/>
      <c r="I31" s="114"/>
      <c r="J31" s="114"/>
    </row>
    <row r="32" spans="1:10" x14ac:dyDescent="0.25">
      <c r="A32" s="114"/>
      <c r="B32" s="114"/>
      <c r="C32" s="114"/>
      <c r="D32" s="114"/>
      <c r="E32" s="114"/>
      <c r="F32" s="114"/>
      <c r="G32" s="114"/>
      <c r="H32" s="114"/>
      <c r="I32" s="114"/>
      <c r="J32" s="114"/>
    </row>
    <row r="33" spans="1:10" x14ac:dyDescent="0.25">
      <c r="A33" s="114"/>
      <c r="B33" s="114"/>
      <c r="C33" s="114"/>
      <c r="D33" s="114"/>
      <c r="E33" s="114"/>
      <c r="F33" s="114"/>
      <c r="G33" s="114"/>
      <c r="H33" s="114"/>
      <c r="I33" s="114"/>
      <c r="J33" s="114"/>
    </row>
    <row r="66" spans="6:6" x14ac:dyDescent="0.25">
      <c r="F66" s="3"/>
    </row>
  </sheetData>
  <mergeCells count="29">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s>
  <pageMargins left="0.7" right="0.7" top="0.75" bottom="0.75" header="0.3" footer="0.3"/>
  <pageSetup paperSize="9" scale="86"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view="pageBreakPreview" zoomScale="60" zoomScaleNormal="100" workbookViewId="0">
      <selection activeCell="C41" sqref="C41:I41"/>
    </sheetView>
  </sheetViews>
  <sheetFormatPr defaultColWidth="9.33203125" defaultRowHeight="15" x14ac:dyDescent="0.25"/>
  <cols>
    <col min="1" max="1" width="9.33203125" style="2" customWidth="1"/>
    <col min="2" max="2" width="14.5546875" style="2" bestFit="1" customWidth="1"/>
    <col min="3" max="9" width="9.33203125" style="2"/>
    <col min="10" max="10" width="10.44140625" style="2" customWidth="1"/>
    <col min="11" max="16384" width="9.33203125" style="2"/>
  </cols>
  <sheetData>
    <row r="1" spans="1:16" x14ac:dyDescent="0.25">
      <c r="A1" s="92" t="str">
        <f>+'Cover Page'!$B$29</f>
        <v>Annual Performance Report 2022</v>
      </c>
      <c r="B1" s="92"/>
      <c r="C1" s="92"/>
      <c r="D1" s="92"/>
      <c r="E1" s="92" t="str">
        <f>+'Cover Page'!$B$33</f>
        <v>Boston Energy Production Facility</v>
      </c>
      <c r="F1" s="92"/>
      <c r="G1" s="92"/>
      <c r="H1" s="92"/>
      <c r="I1" s="92"/>
      <c r="J1" s="92"/>
      <c r="K1" s="92"/>
      <c r="L1" s="92"/>
      <c r="M1" s="92"/>
      <c r="N1" s="92"/>
      <c r="O1" s="92"/>
      <c r="P1" s="92"/>
    </row>
    <row r="2" spans="1:16" ht="7.5" customHeight="1" x14ac:dyDescent="0.25">
      <c r="A2" s="92"/>
      <c r="B2" s="92"/>
      <c r="C2" s="92"/>
      <c r="D2" s="92"/>
      <c r="E2" s="92"/>
      <c r="F2" s="92"/>
      <c r="G2" s="92"/>
      <c r="H2" s="92"/>
      <c r="I2" s="92"/>
      <c r="J2" s="92"/>
      <c r="K2" s="92"/>
      <c r="L2" s="92"/>
      <c r="M2" s="92"/>
      <c r="N2" s="92"/>
      <c r="O2" s="92"/>
      <c r="P2" s="92"/>
    </row>
    <row r="3" spans="1:16" ht="15.6" x14ac:dyDescent="0.3">
      <c r="A3" s="1" t="s">
        <v>40</v>
      </c>
      <c r="B3" s="92"/>
      <c r="C3" s="92"/>
      <c r="D3" s="92"/>
      <c r="E3" s="92"/>
      <c r="F3" s="92"/>
      <c r="G3" s="92"/>
      <c r="H3" s="92"/>
      <c r="I3" s="92"/>
      <c r="J3" s="92"/>
      <c r="K3" s="92"/>
      <c r="L3" s="92"/>
      <c r="M3" s="92"/>
      <c r="N3" s="92"/>
      <c r="O3" s="92"/>
      <c r="P3" s="92"/>
    </row>
    <row r="4" spans="1:16" ht="9.75" customHeight="1" x14ac:dyDescent="0.3">
      <c r="A4" s="1"/>
      <c r="B4" s="92"/>
      <c r="C4" s="92"/>
      <c r="D4" s="92"/>
      <c r="E4" s="92"/>
      <c r="F4" s="92"/>
      <c r="G4" s="92"/>
      <c r="H4" s="92"/>
      <c r="I4" s="92"/>
      <c r="J4" s="92"/>
      <c r="K4" s="92"/>
      <c r="L4" s="92"/>
      <c r="M4" s="92"/>
      <c r="N4" s="92"/>
      <c r="O4" s="92"/>
      <c r="P4" s="92"/>
    </row>
    <row r="5" spans="1:16" s="3" customFormat="1" ht="21.75" customHeight="1" x14ac:dyDescent="0.3">
      <c r="A5" s="48" t="s">
        <v>275</v>
      </c>
      <c r="B5" s="49"/>
      <c r="C5" s="49"/>
      <c r="D5" s="49"/>
      <c r="E5" s="49"/>
      <c r="F5" s="49"/>
      <c r="G5" s="49"/>
      <c r="H5" s="49"/>
      <c r="I5" s="49"/>
      <c r="J5" s="50"/>
      <c r="M5" s="81" t="s">
        <v>3</v>
      </c>
    </row>
    <row r="6" spans="1:16" s="3" customFormat="1" ht="15.75" customHeight="1" x14ac:dyDescent="0.25">
      <c r="A6" s="194" t="s">
        <v>276</v>
      </c>
      <c r="B6" s="195"/>
      <c r="C6" s="195"/>
      <c r="D6" s="195"/>
      <c r="E6" s="195"/>
      <c r="F6" s="195"/>
      <c r="G6" s="195"/>
      <c r="H6" s="195"/>
      <c r="I6" s="195"/>
      <c r="J6" s="196"/>
      <c r="M6" s="346" t="s">
        <v>277</v>
      </c>
      <c r="N6" s="346"/>
      <c r="O6" s="346"/>
      <c r="P6" s="346"/>
    </row>
    <row r="7" spans="1:16" s="3" customFormat="1" ht="15.75" customHeight="1" x14ac:dyDescent="0.25">
      <c r="A7" s="200"/>
      <c r="B7" s="201"/>
      <c r="C7" s="201"/>
      <c r="D7" s="201"/>
      <c r="E7" s="201"/>
      <c r="F7" s="201"/>
      <c r="G7" s="201"/>
      <c r="H7" s="201"/>
      <c r="I7" s="201"/>
      <c r="J7" s="202"/>
      <c r="M7" s="346"/>
      <c r="N7" s="346"/>
      <c r="O7" s="346"/>
      <c r="P7" s="346"/>
    </row>
    <row r="8" spans="1:16" s="3" customFormat="1" ht="13.8" x14ac:dyDescent="0.25">
      <c r="M8" s="346"/>
      <c r="N8" s="346"/>
      <c r="O8" s="346"/>
      <c r="P8" s="346"/>
    </row>
    <row r="9" spans="1:16" s="56" customFormat="1" ht="16.5" customHeight="1" x14ac:dyDescent="0.25">
      <c r="A9" s="324" t="s">
        <v>278</v>
      </c>
      <c r="B9" s="324"/>
      <c r="C9" s="324"/>
      <c r="D9" s="324"/>
      <c r="E9" s="324"/>
      <c r="F9" s="324"/>
      <c r="G9" s="324"/>
      <c r="H9" s="324"/>
      <c r="I9" s="324"/>
      <c r="J9" s="324"/>
      <c r="M9" s="346"/>
      <c r="N9" s="346"/>
      <c r="O9" s="346"/>
      <c r="P9" s="346"/>
    </row>
    <row r="10" spans="1:16" s="56" customFormat="1" ht="16.5" customHeight="1" x14ac:dyDescent="0.25">
      <c r="A10" s="347" t="s">
        <v>203</v>
      </c>
      <c r="B10" s="348"/>
      <c r="C10" s="358" t="s">
        <v>279</v>
      </c>
      <c r="D10" s="354" t="s">
        <v>280</v>
      </c>
      <c r="E10" s="355"/>
      <c r="F10" s="351" t="s">
        <v>274</v>
      </c>
      <c r="G10" s="352"/>
      <c r="H10" s="352"/>
      <c r="I10" s="352"/>
      <c r="J10" s="353"/>
      <c r="M10" s="346" t="s">
        <v>281</v>
      </c>
      <c r="N10" s="346"/>
      <c r="O10" s="346"/>
      <c r="P10" s="346"/>
    </row>
    <row r="11" spans="1:16" s="12" customFormat="1" ht="17.25" customHeight="1" x14ac:dyDescent="0.25">
      <c r="A11" s="349"/>
      <c r="B11" s="350"/>
      <c r="C11" s="359"/>
      <c r="D11" s="356"/>
      <c r="E11" s="357"/>
      <c r="F11" s="46" t="s">
        <v>182</v>
      </c>
      <c r="G11" s="46"/>
      <c r="H11" s="46"/>
      <c r="I11" s="46"/>
      <c r="J11" s="46"/>
      <c r="K11" s="114"/>
      <c r="L11" s="114"/>
      <c r="M11" s="346"/>
      <c r="N11" s="346"/>
      <c r="O11" s="346"/>
      <c r="P11" s="346"/>
    </row>
    <row r="12" spans="1:16" s="12" customFormat="1" ht="23.25" customHeight="1" x14ac:dyDescent="0.25">
      <c r="A12" s="239" t="s">
        <v>214</v>
      </c>
      <c r="B12" s="239"/>
      <c r="C12" s="160" t="s">
        <v>282</v>
      </c>
      <c r="D12" s="284" t="s">
        <v>283</v>
      </c>
      <c r="E12" s="284"/>
      <c r="F12" s="101"/>
      <c r="G12" s="101"/>
      <c r="H12" s="101"/>
      <c r="I12" s="101"/>
      <c r="J12" s="101"/>
      <c r="K12" s="114"/>
      <c r="L12" s="114"/>
      <c r="M12" s="346"/>
      <c r="N12" s="346"/>
      <c r="O12" s="346"/>
      <c r="P12" s="346"/>
    </row>
    <row r="13" spans="1:16" s="12" customFormat="1" ht="23.25" customHeight="1" x14ac:dyDescent="0.25">
      <c r="A13" s="239" t="s">
        <v>284</v>
      </c>
      <c r="B13" s="239"/>
      <c r="C13" s="160" t="s">
        <v>285</v>
      </c>
      <c r="D13" s="284" t="s">
        <v>286</v>
      </c>
      <c r="E13" s="284"/>
      <c r="F13" s="101"/>
      <c r="G13" s="101"/>
      <c r="H13" s="101"/>
      <c r="I13" s="101"/>
      <c r="J13" s="101"/>
      <c r="K13" s="114"/>
      <c r="L13" s="114"/>
      <c r="M13" s="114"/>
      <c r="N13" s="114"/>
      <c r="O13" s="114"/>
      <c r="P13" s="114"/>
    </row>
    <row r="14" spans="1:16" s="12" customFormat="1" ht="23.25" customHeight="1" x14ac:dyDescent="0.25">
      <c r="A14" s="239" t="s">
        <v>287</v>
      </c>
      <c r="B14" s="239"/>
      <c r="C14" s="160" t="s">
        <v>285</v>
      </c>
      <c r="D14" s="284" t="s">
        <v>286</v>
      </c>
      <c r="E14" s="284"/>
      <c r="F14" s="101"/>
      <c r="G14" s="101"/>
      <c r="H14" s="101"/>
      <c r="I14" s="101"/>
      <c r="J14" s="101"/>
      <c r="K14" s="114"/>
      <c r="L14" s="114"/>
      <c r="M14" s="114"/>
      <c r="N14" s="114"/>
      <c r="O14" s="114"/>
      <c r="P14" s="114"/>
    </row>
    <row r="15" spans="1:16" s="12" customFormat="1" ht="23.25" customHeight="1" x14ac:dyDescent="0.25">
      <c r="A15" s="239" t="s">
        <v>288</v>
      </c>
      <c r="B15" s="239"/>
      <c r="C15" s="160" t="s">
        <v>285</v>
      </c>
      <c r="D15" s="284" t="s">
        <v>289</v>
      </c>
      <c r="E15" s="284"/>
      <c r="F15" s="101"/>
      <c r="G15" s="101"/>
      <c r="H15" s="101"/>
      <c r="I15" s="101"/>
      <c r="J15" s="101"/>
      <c r="K15" s="114"/>
      <c r="L15" s="114"/>
      <c r="M15" s="114"/>
      <c r="N15" s="114"/>
      <c r="O15" s="114"/>
      <c r="P15" s="114"/>
    </row>
    <row r="16" spans="1:16" s="12" customFormat="1" ht="23.25" customHeight="1" x14ac:dyDescent="0.25">
      <c r="A16" s="239" t="s">
        <v>290</v>
      </c>
      <c r="B16" s="239"/>
      <c r="C16" s="160" t="s">
        <v>285</v>
      </c>
      <c r="D16" s="284" t="s">
        <v>291</v>
      </c>
      <c r="E16" s="284"/>
      <c r="F16" s="101"/>
      <c r="G16" s="101"/>
      <c r="H16" s="101"/>
      <c r="I16" s="101"/>
      <c r="J16" s="101"/>
      <c r="K16" s="114"/>
      <c r="L16" s="114"/>
      <c r="M16" s="114"/>
      <c r="N16" s="114"/>
      <c r="O16" s="114"/>
      <c r="P16" s="114"/>
    </row>
    <row r="17" spans="1:10" s="12" customFormat="1" ht="23.25" customHeight="1" x14ac:dyDescent="0.25">
      <c r="A17" s="239" t="s">
        <v>292</v>
      </c>
      <c r="B17" s="239"/>
      <c r="C17" s="160" t="s">
        <v>285</v>
      </c>
      <c r="D17" s="284" t="s">
        <v>293</v>
      </c>
      <c r="E17" s="284"/>
      <c r="F17" s="101"/>
      <c r="G17" s="101"/>
      <c r="H17" s="101"/>
      <c r="I17" s="101"/>
      <c r="J17" s="101"/>
    </row>
    <row r="18" spans="1:10" s="12" customFormat="1" ht="23.25" customHeight="1" x14ac:dyDescent="0.25">
      <c r="A18" s="239" t="s">
        <v>294</v>
      </c>
      <c r="B18" s="239"/>
      <c r="C18" s="160" t="s">
        <v>285</v>
      </c>
      <c r="D18" s="284" t="s">
        <v>293</v>
      </c>
      <c r="E18" s="284"/>
      <c r="F18" s="101"/>
      <c r="G18" s="101"/>
      <c r="H18" s="101"/>
      <c r="I18" s="101"/>
      <c r="J18" s="101"/>
    </row>
    <row r="19" spans="1:10" s="12" customFormat="1" ht="23.25" customHeight="1" x14ac:dyDescent="0.25">
      <c r="A19" s="239" t="s">
        <v>295</v>
      </c>
      <c r="B19" s="239"/>
      <c r="C19" s="160" t="s">
        <v>285</v>
      </c>
      <c r="D19" s="284" t="s">
        <v>293</v>
      </c>
      <c r="E19" s="284"/>
      <c r="F19" s="101"/>
      <c r="G19" s="101"/>
      <c r="H19" s="101"/>
      <c r="I19" s="101"/>
      <c r="J19" s="101"/>
    </row>
    <row r="20" spans="1:10" s="12" customFormat="1" ht="23.25" customHeight="1" x14ac:dyDescent="0.25">
      <c r="A20" s="239" t="s">
        <v>296</v>
      </c>
      <c r="B20" s="239"/>
      <c r="C20" s="160" t="s">
        <v>285</v>
      </c>
      <c r="D20" s="284" t="s">
        <v>293</v>
      </c>
      <c r="E20" s="284"/>
      <c r="F20" s="101"/>
      <c r="G20" s="101"/>
      <c r="H20" s="101"/>
      <c r="I20" s="101"/>
      <c r="J20" s="101"/>
    </row>
    <row r="21" spans="1:10" s="12" customFormat="1" ht="23.25" customHeight="1" x14ac:dyDescent="0.25">
      <c r="A21" s="239" t="s">
        <v>297</v>
      </c>
      <c r="B21" s="239"/>
      <c r="C21" s="160" t="s">
        <v>285</v>
      </c>
      <c r="D21" s="284" t="s">
        <v>293</v>
      </c>
      <c r="E21" s="284"/>
      <c r="F21" s="101"/>
      <c r="G21" s="101"/>
      <c r="H21" s="101"/>
      <c r="I21" s="101"/>
      <c r="J21" s="101"/>
    </row>
    <row r="22" spans="1:10" s="12" customFormat="1" ht="23.25" customHeight="1" x14ac:dyDescent="0.25">
      <c r="A22" s="239" t="s">
        <v>298</v>
      </c>
      <c r="B22" s="239"/>
      <c r="C22" s="160" t="s">
        <v>285</v>
      </c>
      <c r="D22" s="284" t="s">
        <v>293</v>
      </c>
      <c r="E22" s="284"/>
      <c r="F22" s="101"/>
      <c r="G22" s="101"/>
      <c r="H22" s="101"/>
      <c r="I22" s="101"/>
      <c r="J22" s="101"/>
    </row>
    <row r="23" spans="1:10" s="12" customFormat="1" ht="23.25" customHeight="1" x14ac:dyDescent="0.25">
      <c r="A23" s="239" t="s">
        <v>299</v>
      </c>
      <c r="B23" s="239"/>
      <c r="C23" s="160" t="s">
        <v>285</v>
      </c>
      <c r="D23" s="284" t="s">
        <v>300</v>
      </c>
      <c r="E23" s="284"/>
      <c r="F23" s="101"/>
      <c r="G23" s="101"/>
      <c r="H23" s="101"/>
      <c r="I23" s="101"/>
      <c r="J23" s="101"/>
    </row>
    <row r="24" spans="1:10" s="12" customFormat="1" ht="23.25" customHeight="1" x14ac:dyDescent="0.25">
      <c r="A24" s="239" t="s">
        <v>301</v>
      </c>
      <c r="B24" s="239"/>
      <c r="C24" s="160" t="s">
        <v>285</v>
      </c>
      <c r="D24" s="284" t="s">
        <v>300</v>
      </c>
      <c r="E24" s="284"/>
      <c r="F24" s="101"/>
      <c r="G24" s="101"/>
      <c r="H24" s="101"/>
      <c r="I24" s="101"/>
      <c r="J24" s="101"/>
    </row>
    <row r="25" spans="1:10" s="12" customFormat="1" ht="23.25" customHeight="1" x14ac:dyDescent="0.25">
      <c r="A25" s="239" t="s">
        <v>302</v>
      </c>
      <c r="B25" s="239"/>
      <c r="C25" s="160" t="s">
        <v>285</v>
      </c>
      <c r="D25" s="284" t="s">
        <v>300</v>
      </c>
      <c r="E25" s="284"/>
      <c r="F25" s="101"/>
      <c r="G25" s="101"/>
      <c r="H25" s="101"/>
      <c r="I25" s="101"/>
      <c r="J25" s="101"/>
    </row>
    <row r="26" spans="1:10" s="12" customFormat="1" ht="23.25" customHeight="1" x14ac:dyDescent="0.25">
      <c r="A26" s="239" t="s">
        <v>303</v>
      </c>
      <c r="B26" s="239"/>
      <c r="C26" s="160" t="s">
        <v>285</v>
      </c>
      <c r="D26" s="284" t="s">
        <v>300</v>
      </c>
      <c r="E26" s="284"/>
      <c r="F26" s="101"/>
      <c r="G26" s="101"/>
      <c r="H26" s="101"/>
      <c r="I26" s="101"/>
      <c r="J26" s="101"/>
    </row>
    <row r="27" spans="1:10" s="12" customFormat="1" ht="23.25" customHeight="1" x14ac:dyDescent="0.25">
      <c r="A27" s="239" t="s">
        <v>304</v>
      </c>
      <c r="B27" s="239"/>
      <c r="C27" s="160" t="s">
        <v>285</v>
      </c>
      <c r="D27" s="284" t="s">
        <v>300</v>
      </c>
      <c r="E27" s="284"/>
      <c r="F27" s="101"/>
      <c r="G27" s="101"/>
      <c r="H27" s="101"/>
      <c r="I27" s="101"/>
      <c r="J27" s="101"/>
    </row>
    <row r="28" spans="1:10" s="12" customFormat="1" ht="23.25" customHeight="1" x14ac:dyDescent="0.25">
      <c r="A28" s="239" t="s">
        <v>305</v>
      </c>
      <c r="B28" s="239"/>
      <c r="C28" s="160" t="s">
        <v>285</v>
      </c>
      <c r="D28" s="284" t="s">
        <v>300</v>
      </c>
      <c r="E28" s="284"/>
      <c r="F28" s="101"/>
      <c r="G28" s="101"/>
      <c r="H28" s="101"/>
      <c r="I28" s="101"/>
      <c r="J28" s="101"/>
    </row>
    <row r="29" spans="1:10" s="12" customFormat="1" ht="23.25" customHeight="1" x14ac:dyDescent="0.25">
      <c r="A29" s="239" t="s">
        <v>306</v>
      </c>
      <c r="B29" s="239"/>
      <c r="C29" s="160" t="s">
        <v>285</v>
      </c>
      <c r="D29" s="284" t="s">
        <v>300</v>
      </c>
      <c r="E29" s="284"/>
      <c r="F29" s="101"/>
      <c r="G29" s="101"/>
      <c r="H29" s="101"/>
      <c r="I29" s="101"/>
      <c r="J29" s="101"/>
    </row>
    <row r="30" spans="1:10" s="12" customFormat="1" ht="23.25" customHeight="1" x14ac:dyDescent="0.25">
      <c r="A30" s="239" t="s">
        <v>307</v>
      </c>
      <c r="B30" s="239"/>
      <c r="C30" s="160" t="s">
        <v>285</v>
      </c>
      <c r="D30" s="284" t="s">
        <v>300</v>
      </c>
      <c r="E30" s="284"/>
      <c r="F30" s="101"/>
      <c r="G30" s="101"/>
      <c r="H30" s="101"/>
      <c r="I30" s="101"/>
      <c r="J30" s="101"/>
    </row>
    <row r="31" spans="1:10" s="12" customFormat="1" ht="23.25" customHeight="1" x14ac:dyDescent="0.25">
      <c r="A31" s="239" t="s">
        <v>308</v>
      </c>
      <c r="B31" s="239"/>
      <c r="C31" s="160" t="s">
        <v>285</v>
      </c>
      <c r="D31" s="284" t="s">
        <v>300</v>
      </c>
      <c r="E31" s="284"/>
      <c r="F31" s="101"/>
      <c r="G31" s="101"/>
      <c r="H31" s="101"/>
      <c r="I31" s="101"/>
      <c r="J31" s="101"/>
    </row>
    <row r="32" spans="1:10" s="12" customFormat="1" ht="23.25" customHeight="1" x14ac:dyDescent="0.25">
      <c r="A32" s="239" t="s">
        <v>309</v>
      </c>
      <c r="B32" s="239"/>
      <c r="C32" s="160" t="s">
        <v>285</v>
      </c>
      <c r="D32" s="284" t="s">
        <v>300</v>
      </c>
      <c r="E32" s="284"/>
      <c r="F32" s="101"/>
      <c r="G32" s="101"/>
      <c r="H32" s="101"/>
      <c r="I32" s="101"/>
      <c r="J32" s="101"/>
    </row>
    <row r="33" spans="1:10" s="12" customFormat="1" ht="23.25" customHeight="1" x14ac:dyDescent="0.25">
      <c r="A33" s="239" t="s">
        <v>310</v>
      </c>
      <c r="B33" s="239"/>
      <c r="C33" s="160" t="s">
        <v>285</v>
      </c>
      <c r="D33" s="284" t="s">
        <v>300</v>
      </c>
      <c r="E33" s="284"/>
      <c r="F33" s="101"/>
      <c r="G33" s="101"/>
      <c r="H33" s="101"/>
      <c r="I33" s="101"/>
      <c r="J33" s="101"/>
    </row>
    <row r="34" spans="1:10" s="12" customFormat="1" ht="23.25" customHeight="1" x14ac:dyDescent="0.25">
      <c r="A34" s="239" t="s">
        <v>311</v>
      </c>
      <c r="B34" s="239"/>
      <c r="C34" s="160" t="s">
        <v>285</v>
      </c>
      <c r="D34" s="284" t="s">
        <v>300</v>
      </c>
      <c r="E34" s="284"/>
      <c r="F34" s="101"/>
      <c r="G34" s="101"/>
      <c r="H34" s="101"/>
      <c r="I34" s="101"/>
      <c r="J34" s="101"/>
    </row>
    <row r="35" spans="1:10" s="12" customFormat="1" ht="23.25" customHeight="1" x14ac:dyDescent="0.25">
      <c r="A35" s="239" t="s">
        <v>312</v>
      </c>
      <c r="B35" s="239"/>
      <c r="C35" s="160" t="s">
        <v>285</v>
      </c>
      <c r="D35" s="284" t="s">
        <v>300</v>
      </c>
      <c r="E35" s="284"/>
      <c r="F35" s="101"/>
      <c r="G35" s="101"/>
      <c r="H35" s="101"/>
      <c r="I35" s="101"/>
      <c r="J35" s="101"/>
    </row>
    <row r="36" spans="1:10" s="12" customFormat="1" ht="23.25" customHeight="1" x14ac:dyDescent="0.25">
      <c r="A36" s="239" t="s">
        <v>313</v>
      </c>
      <c r="B36" s="239"/>
      <c r="C36" s="160" t="s">
        <v>285</v>
      </c>
      <c r="D36" s="284" t="s">
        <v>300</v>
      </c>
      <c r="E36" s="284"/>
      <c r="F36" s="101"/>
      <c r="G36" s="101"/>
      <c r="H36" s="101"/>
      <c r="I36" s="101"/>
      <c r="J36" s="101"/>
    </row>
    <row r="37" spans="1:10" s="12" customFormat="1" ht="23.25" customHeight="1" x14ac:dyDescent="0.25">
      <c r="A37" s="239" t="s">
        <v>314</v>
      </c>
      <c r="B37" s="239"/>
      <c r="C37" s="160" t="s">
        <v>285</v>
      </c>
      <c r="D37" s="284" t="s">
        <v>300</v>
      </c>
      <c r="E37" s="284"/>
      <c r="F37" s="101"/>
      <c r="G37" s="101"/>
      <c r="H37" s="101"/>
      <c r="I37" s="101"/>
      <c r="J37" s="101"/>
    </row>
    <row r="38" spans="1:10" s="12" customFormat="1" ht="23.25" customHeight="1" x14ac:dyDescent="0.25">
      <c r="A38" s="239" t="s">
        <v>315</v>
      </c>
      <c r="B38" s="239"/>
      <c r="C38" s="160" t="s">
        <v>285</v>
      </c>
      <c r="D38" s="284" t="s">
        <v>300</v>
      </c>
      <c r="E38" s="284"/>
      <c r="F38" s="101"/>
      <c r="G38" s="101"/>
      <c r="H38" s="101"/>
      <c r="I38" s="101"/>
      <c r="J38" s="101"/>
    </row>
    <row r="39" spans="1:10" x14ac:dyDescent="0.25">
      <c r="A39" s="270" t="s">
        <v>269</v>
      </c>
      <c r="B39" s="270"/>
      <c r="C39" s="270"/>
      <c r="D39" s="270"/>
      <c r="E39" s="270"/>
      <c r="F39" s="270"/>
      <c r="G39" s="270"/>
      <c r="H39" s="270"/>
      <c r="I39" s="270"/>
      <c r="J39" s="270"/>
    </row>
    <row r="40" spans="1:10" x14ac:dyDescent="0.25">
      <c r="A40" s="325"/>
      <c r="B40" s="325"/>
      <c r="C40" s="325"/>
      <c r="D40" s="325"/>
      <c r="E40" s="325"/>
      <c r="F40" s="325"/>
      <c r="G40" s="325"/>
      <c r="H40" s="325"/>
      <c r="I40" s="325"/>
      <c r="J40" s="325"/>
    </row>
    <row r="41" spans="1:10" x14ac:dyDescent="0.25">
      <c r="A41" s="325"/>
      <c r="B41" s="325"/>
      <c r="C41" s="325"/>
      <c r="D41" s="325"/>
      <c r="E41" s="325"/>
      <c r="F41" s="325"/>
      <c r="G41" s="325"/>
      <c r="H41" s="325"/>
      <c r="I41" s="325"/>
      <c r="J41" s="325"/>
    </row>
    <row r="64" spans="6:6" x14ac:dyDescent="0.25">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6"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showGridLines="0" view="pageBreakPreview" zoomScale="60" zoomScaleNormal="100" workbookViewId="0">
      <selection activeCell="C41" sqref="C41:I41"/>
    </sheetView>
  </sheetViews>
  <sheetFormatPr defaultColWidth="9.33203125" defaultRowHeight="15" x14ac:dyDescent="0.25"/>
  <cols>
    <col min="1" max="1" width="21.33203125" style="2" customWidth="1"/>
    <col min="2" max="2" width="13.6640625" style="2" customWidth="1"/>
    <col min="3" max="3" width="16.33203125" style="2" customWidth="1"/>
    <col min="4" max="4" width="12.5546875" style="2" bestFit="1" customWidth="1"/>
    <col min="5" max="5" width="11.6640625" style="2" bestFit="1" customWidth="1"/>
    <col min="6" max="12" width="9.33203125" style="2"/>
    <col min="13" max="13" width="10.44140625" style="2" customWidth="1"/>
    <col min="14" max="16384" width="9.33203125" style="2"/>
  </cols>
  <sheetData>
    <row r="1" spans="1:16" x14ac:dyDescent="0.25">
      <c r="A1" s="92" t="str">
        <f>+'Cover Page'!$B$29</f>
        <v>Annual Performance Report 2022</v>
      </c>
      <c r="B1" s="92"/>
      <c r="C1" s="92"/>
      <c r="D1" s="92"/>
      <c r="E1" s="92"/>
      <c r="F1" s="92"/>
      <c r="G1" s="92"/>
      <c r="H1" s="92"/>
      <c r="I1" s="92" t="str">
        <f>+'Cover Page'!$B$33</f>
        <v>Boston Energy Production Facility</v>
      </c>
      <c r="J1" s="92"/>
      <c r="K1" s="92"/>
      <c r="L1" s="92"/>
      <c r="M1" s="92"/>
      <c r="N1" s="92"/>
      <c r="O1" s="92"/>
      <c r="P1" s="92"/>
    </row>
    <row r="3" spans="1:16" ht="15.6" x14ac:dyDescent="0.3">
      <c r="A3" s="1" t="s">
        <v>316</v>
      </c>
      <c r="B3" s="92"/>
      <c r="C3" s="92"/>
      <c r="D3" s="92"/>
      <c r="E3" s="92"/>
      <c r="F3" s="92"/>
      <c r="G3" s="92"/>
      <c r="H3" s="92"/>
      <c r="I3" s="92"/>
      <c r="J3" s="92"/>
      <c r="K3" s="92"/>
      <c r="L3" s="92"/>
      <c r="M3" s="92"/>
      <c r="N3" s="92"/>
      <c r="O3" s="92"/>
      <c r="P3" s="92"/>
    </row>
    <row r="4" spans="1:16" ht="15.6" x14ac:dyDescent="0.3">
      <c r="A4" s="1"/>
      <c r="B4" s="92"/>
      <c r="C4" s="92"/>
      <c r="D4" s="92"/>
      <c r="E4" s="92"/>
      <c r="F4" s="92"/>
      <c r="G4" s="92"/>
      <c r="H4" s="92"/>
      <c r="I4" s="92"/>
      <c r="J4" s="92"/>
      <c r="K4" s="92"/>
      <c r="L4" s="92"/>
      <c r="M4" s="92"/>
      <c r="N4" s="92"/>
      <c r="O4" s="92"/>
      <c r="P4" s="73" t="s">
        <v>3</v>
      </c>
    </row>
    <row r="5" spans="1:16" s="3" customFormat="1" ht="21.75" customHeight="1" x14ac:dyDescent="0.3">
      <c r="A5" s="48" t="s">
        <v>275</v>
      </c>
      <c r="B5" s="49"/>
      <c r="C5" s="49"/>
      <c r="D5" s="49"/>
      <c r="E5" s="49"/>
      <c r="F5" s="49"/>
      <c r="G5" s="49"/>
      <c r="H5" s="49"/>
      <c r="I5" s="49"/>
      <c r="J5" s="49"/>
      <c r="K5" s="49"/>
      <c r="L5" s="49"/>
      <c r="M5" s="50"/>
      <c r="P5" s="74" t="s">
        <v>317</v>
      </c>
    </row>
    <row r="6" spans="1:16" s="3" customFormat="1" ht="15.75" customHeight="1" x14ac:dyDescent="0.25">
      <c r="A6" s="323" t="s">
        <v>318</v>
      </c>
      <c r="B6" s="203"/>
      <c r="C6" s="203"/>
      <c r="D6" s="203"/>
      <c r="E6" s="203"/>
      <c r="F6" s="203"/>
      <c r="G6" s="203"/>
      <c r="H6" s="203"/>
      <c r="I6" s="203"/>
      <c r="J6" s="203"/>
      <c r="K6" s="203"/>
      <c r="L6" s="203"/>
      <c r="M6" s="204"/>
      <c r="P6" s="3" t="s">
        <v>319</v>
      </c>
    </row>
    <row r="7" spans="1:16" s="3" customFormat="1" ht="15.75" customHeight="1" x14ac:dyDescent="0.25">
      <c r="A7" s="208"/>
      <c r="B7" s="209"/>
      <c r="C7" s="209"/>
      <c r="D7" s="209"/>
      <c r="E7" s="209"/>
      <c r="F7" s="209"/>
      <c r="G7" s="209"/>
      <c r="H7" s="209"/>
      <c r="I7" s="209"/>
      <c r="J7" s="209"/>
      <c r="K7" s="209"/>
      <c r="L7" s="209"/>
      <c r="M7" s="210"/>
    </row>
    <row r="8" spans="1:16" s="3" customFormat="1" ht="15.75" customHeight="1" x14ac:dyDescent="0.25">
      <c r="A8" s="194"/>
      <c r="B8" s="195"/>
      <c r="C8" s="195"/>
      <c r="D8" s="195"/>
      <c r="E8" s="195"/>
      <c r="F8" s="195"/>
      <c r="G8" s="195"/>
      <c r="H8" s="195"/>
      <c r="I8" s="195"/>
      <c r="J8" s="195"/>
      <c r="K8" s="195"/>
      <c r="L8" s="195"/>
      <c r="M8" s="196"/>
    </row>
    <row r="9" spans="1:16" s="3" customFormat="1" ht="15.75" customHeight="1" x14ac:dyDescent="0.25">
      <c r="A9" s="200"/>
      <c r="B9" s="201"/>
      <c r="C9" s="201"/>
      <c r="D9" s="201"/>
      <c r="E9" s="201"/>
      <c r="F9" s="201"/>
      <c r="G9" s="201"/>
      <c r="H9" s="201"/>
      <c r="I9" s="201"/>
      <c r="J9" s="201"/>
      <c r="K9" s="201"/>
      <c r="L9" s="201"/>
      <c r="M9" s="202"/>
    </row>
    <row r="10" spans="1:16" s="3" customFormat="1" ht="13.8" x14ac:dyDescent="0.25"/>
    <row r="11" spans="1:16" s="56" customFormat="1" ht="16.5" customHeight="1" x14ac:dyDescent="0.25">
      <c r="A11" s="324" t="s">
        <v>320</v>
      </c>
      <c r="B11" s="324"/>
      <c r="C11" s="324"/>
      <c r="D11" s="324"/>
      <c r="E11" s="324"/>
      <c r="F11" s="324"/>
      <c r="G11" s="324"/>
      <c r="H11" s="324"/>
      <c r="I11" s="324"/>
      <c r="J11" s="324"/>
      <c r="K11" s="324"/>
      <c r="L11" s="324"/>
      <c r="M11" s="324"/>
    </row>
    <row r="12" spans="1:16" s="56" customFormat="1" ht="16.5" customHeight="1" x14ac:dyDescent="0.25">
      <c r="A12" s="364" t="s">
        <v>203</v>
      </c>
      <c r="B12" s="358" t="s">
        <v>321</v>
      </c>
      <c r="C12" s="301" t="s">
        <v>280</v>
      </c>
      <c r="D12" s="302" t="s">
        <v>182</v>
      </c>
      <c r="E12" s="366"/>
      <c r="F12" s="367"/>
      <c r="G12" s="368"/>
      <c r="H12" s="367"/>
      <c r="I12" s="368"/>
      <c r="J12" s="367"/>
      <c r="K12" s="368"/>
      <c r="L12" s="367"/>
      <c r="M12" s="368"/>
    </row>
    <row r="13" spans="1:16" s="12" customFormat="1" ht="17.25" customHeight="1" x14ac:dyDescent="0.25">
      <c r="A13" s="364"/>
      <c r="B13" s="365"/>
      <c r="C13" s="301"/>
      <c r="D13" s="46" t="s">
        <v>273</v>
      </c>
      <c r="E13" s="57" t="s">
        <v>322</v>
      </c>
      <c r="F13" s="95"/>
      <c r="G13" s="96"/>
      <c r="H13" s="95"/>
      <c r="I13" s="96"/>
      <c r="J13" s="95"/>
      <c r="K13" s="96"/>
      <c r="L13" s="95"/>
      <c r="M13" s="96"/>
      <c r="N13" s="114"/>
      <c r="O13" s="114"/>
      <c r="P13" s="114"/>
    </row>
    <row r="14" spans="1:16" s="12" customFormat="1" ht="23.25" customHeight="1" x14ac:dyDescent="0.25">
      <c r="A14" s="239" t="s">
        <v>209</v>
      </c>
      <c r="B14" s="156" t="s">
        <v>323</v>
      </c>
      <c r="C14" s="156" t="s">
        <v>324</v>
      </c>
      <c r="D14" s="161">
        <f>NOx!O19</f>
        <v>169</v>
      </c>
      <c r="E14" s="161">
        <f>NOx!N19</f>
        <v>75.512500000000003</v>
      </c>
      <c r="F14" s="101"/>
      <c r="G14" s="101"/>
      <c r="H14" s="101"/>
      <c r="I14" s="101"/>
      <c r="J14" s="101"/>
      <c r="K14" s="101"/>
      <c r="L14" s="101"/>
      <c r="M14" s="101"/>
      <c r="N14" s="114"/>
      <c r="O14" s="114"/>
      <c r="P14" s="114"/>
    </row>
    <row r="15" spans="1:16" s="12" customFormat="1" ht="23.25" customHeight="1" x14ac:dyDescent="0.25">
      <c r="A15" s="239"/>
      <c r="B15" s="156" t="s">
        <v>325</v>
      </c>
      <c r="C15" s="156" t="s">
        <v>326</v>
      </c>
      <c r="D15" s="161">
        <f>NOx!M19</f>
        <v>246</v>
      </c>
      <c r="E15" s="161">
        <f>NOx!L19</f>
        <v>75.666666666666671</v>
      </c>
      <c r="F15" s="101"/>
      <c r="G15" s="101"/>
      <c r="H15" s="101"/>
      <c r="I15" s="101"/>
      <c r="J15" s="101"/>
      <c r="K15" s="101"/>
      <c r="L15" s="101"/>
      <c r="M15" s="101"/>
      <c r="N15" s="114"/>
      <c r="O15" s="114"/>
      <c r="P15" s="114"/>
    </row>
    <row r="16" spans="1:16" s="12" customFormat="1" ht="23.25" customHeight="1" x14ac:dyDescent="0.25">
      <c r="A16" s="100" t="s">
        <v>208</v>
      </c>
      <c r="B16" s="162" t="s">
        <v>323</v>
      </c>
      <c r="C16" s="156" t="s">
        <v>327</v>
      </c>
      <c r="D16" s="161">
        <f>Particulates!O19</f>
        <v>1</v>
      </c>
      <c r="E16" s="161">
        <f>Particulates!N19</f>
        <v>0.16666666666666666</v>
      </c>
      <c r="F16" s="101"/>
      <c r="G16" s="101"/>
      <c r="H16" s="101"/>
      <c r="I16" s="101"/>
      <c r="J16" s="101"/>
      <c r="K16" s="101"/>
      <c r="L16" s="101"/>
      <c r="M16" s="101"/>
      <c r="N16" s="114"/>
      <c r="O16" s="114"/>
      <c r="P16" s="114"/>
    </row>
    <row r="17" spans="1:13" s="12" customFormat="1" ht="23.25" customHeight="1" x14ac:dyDescent="0.25">
      <c r="A17" s="100"/>
      <c r="B17" s="156" t="s">
        <v>325</v>
      </c>
      <c r="C17" s="156" t="s">
        <v>328</v>
      </c>
      <c r="D17" s="161">
        <f>Particulates!M19</f>
        <v>5</v>
      </c>
      <c r="E17" s="161">
        <f>Particulates!L19</f>
        <v>0.16666666666666666</v>
      </c>
      <c r="F17" s="101"/>
      <c r="G17" s="101"/>
      <c r="H17" s="101"/>
      <c r="I17" s="101"/>
      <c r="J17" s="101"/>
      <c r="K17" s="101"/>
      <c r="L17" s="101"/>
      <c r="M17" s="101"/>
    </row>
    <row r="18" spans="1:13" s="12" customFormat="1" ht="23.25" customHeight="1" x14ac:dyDescent="0.25">
      <c r="A18" s="100" t="s">
        <v>329</v>
      </c>
      <c r="B18" s="156" t="s">
        <v>323</v>
      </c>
      <c r="C18" s="156" t="s">
        <v>330</v>
      </c>
      <c r="D18" s="161">
        <f>TOC!O19</f>
        <v>2</v>
      </c>
      <c r="E18" s="161">
        <f>TOC!N19</f>
        <v>0</v>
      </c>
      <c r="F18" s="101"/>
      <c r="G18" s="101"/>
      <c r="H18" s="101"/>
      <c r="I18" s="101"/>
      <c r="J18" s="101"/>
      <c r="K18" s="101"/>
      <c r="L18" s="101"/>
      <c r="M18" s="101"/>
    </row>
    <row r="19" spans="1:13" s="12" customFormat="1" ht="23.25" customHeight="1" x14ac:dyDescent="0.25">
      <c r="A19" s="100"/>
      <c r="B19" s="156" t="s">
        <v>325</v>
      </c>
      <c r="C19" s="156" t="s">
        <v>331</v>
      </c>
      <c r="D19" s="161">
        <f>TOC!M19</f>
        <v>21</v>
      </c>
      <c r="E19" s="161">
        <f>TOC!L19</f>
        <v>0</v>
      </c>
      <c r="F19" s="101"/>
      <c r="G19" s="101"/>
      <c r="H19" s="101"/>
      <c r="I19" s="101"/>
      <c r="J19" s="101"/>
      <c r="K19" s="101"/>
      <c r="L19" s="101"/>
      <c r="M19" s="101"/>
    </row>
    <row r="20" spans="1:13" s="12" customFormat="1" ht="23.25" customHeight="1" x14ac:dyDescent="0.25">
      <c r="A20" s="100" t="s">
        <v>332</v>
      </c>
      <c r="B20" s="156" t="s">
        <v>323</v>
      </c>
      <c r="C20" s="156" t="s">
        <v>330</v>
      </c>
      <c r="D20" s="161">
        <f>HCl!O19</f>
        <v>15</v>
      </c>
      <c r="E20" s="161">
        <f>HCl!N19</f>
        <v>3.8016666666666672</v>
      </c>
      <c r="F20" s="101"/>
      <c r="G20" s="101"/>
      <c r="H20" s="101"/>
      <c r="I20" s="101"/>
      <c r="J20" s="101"/>
      <c r="K20" s="101"/>
      <c r="L20" s="101"/>
      <c r="M20" s="101"/>
    </row>
    <row r="21" spans="1:13" s="12" customFormat="1" ht="23.25" customHeight="1" x14ac:dyDescent="0.25">
      <c r="A21" s="100"/>
      <c r="B21" s="156" t="s">
        <v>325</v>
      </c>
      <c r="C21" s="156" t="s">
        <v>333</v>
      </c>
      <c r="D21" s="161">
        <f>HCl!M19</f>
        <v>66</v>
      </c>
      <c r="E21" s="161">
        <f>HCl!L19</f>
        <v>3.75</v>
      </c>
      <c r="F21" s="101"/>
      <c r="G21" s="101"/>
      <c r="H21" s="101"/>
      <c r="I21" s="101"/>
      <c r="J21" s="101"/>
      <c r="K21" s="101"/>
      <c r="L21" s="101"/>
      <c r="M21" s="101"/>
    </row>
    <row r="22" spans="1:13" s="12" customFormat="1" ht="23.25" customHeight="1" x14ac:dyDescent="0.25">
      <c r="A22" s="100" t="s">
        <v>210</v>
      </c>
      <c r="B22" s="156" t="s">
        <v>323</v>
      </c>
      <c r="C22" s="156" t="s">
        <v>334</v>
      </c>
      <c r="D22" s="161">
        <f>'SO2'!O19</f>
        <v>34</v>
      </c>
      <c r="E22" s="161">
        <f>'SO2'!N19</f>
        <v>6.060833333333334</v>
      </c>
      <c r="F22" s="101"/>
      <c r="G22" s="101"/>
      <c r="H22" s="101"/>
      <c r="I22" s="101"/>
      <c r="J22" s="101"/>
      <c r="K22" s="101"/>
      <c r="L22" s="101"/>
      <c r="M22" s="101"/>
    </row>
    <row r="23" spans="1:13" s="12" customFormat="1" ht="23.25" customHeight="1" x14ac:dyDescent="0.25">
      <c r="A23" s="100"/>
      <c r="B23" s="156" t="s">
        <v>325</v>
      </c>
      <c r="C23" s="156" t="s">
        <v>324</v>
      </c>
      <c r="D23" s="161">
        <f>'SO2'!M19</f>
        <v>152</v>
      </c>
      <c r="E23" s="161">
        <f>'SO2'!L19</f>
        <v>6.083333333333333</v>
      </c>
      <c r="F23" s="101"/>
      <c r="G23" s="101"/>
      <c r="H23" s="101"/>
      <c r="I23" s="101"/>
      <c r="J23" s="101"/>
      <c r="K23" s="101"/>
      <c r="L23" s="101"/>
      <c r="M23" s="101"/>
    </row>
    <row r="24" spans="1:13" s="12" customFormat="1" ht="23.25" customHeight="1" x14ac:dyDescent="0.25">
      <c r="A24" s="100" t="s">
        <v>335</v>
      </c>
      <c r="B24" s="156" t="s">
        <v>323</v>
      </c>
      <c r="C24" s="156" t="s">
        <v>334</v>
      </c>
      <c r="D24" s="161">
        <f>'CO 0.5hourly'!O19</f>
        <v>23</v>
      </c>
      <c r="E24" s="161">
        <f>'CO 0.5hourly'!N19</f>
        <v>4.03</v>
      </c>
      <c r="F24" s="101"/>
      <c r="G24" s="101"/>
      <c r="H24" s="101"/>
      <c r="I24" s="101"/>
      <c r="J24" s="101"/>
      <c r="K24" s="101"/>
      <c r="L24" s="101"/>
      <c r="M24" s="101"/>
    </row>
    <row r="25" spans="1:13" s="12" customFormat="1" ht="23.25" customHeight="1" x14ac:dyDescent="0.25">
      <c r="A25" s="100"/>
      <c r="B25" s="101" t="s">
        <v>336</v>
      </c>
      <c r="C25" s="101" t="s">
        <v>337</v>
      </c>
      <c r="D25" s="161">
        <f>'CO 0.5hourly'!M19</f>
        <v>175</v>
      </c>
      <c r="E25" s="161">
        <f>'CO 0.5hourly'!L19</f>
        <v>4</v>
      </c>
      <c r="F25" s="101"/>
      <c r="G25" s="101"/>
      <c r="H25" s="101"/>
      <c r="I25" s="101"/>
      <c r="J25" s="101"/>
      <c r="K25" s="101"/>
      <c r="L25" s="101"/>
      <c r="M25" s="101"/>
    </row>
    <row r="26" spans="1:13" s="12" customFormat="1" ht="23.25" customHeight="1" x14ac:dyDescent="0.25">
      <c r="A26" s="163" t="s">
        <v>338</v>
      </c>
      <c r="B26" s="164" t="s">
        <v>323</v>
      </c>
      <c r="C26" s="164" t="s">
        <v>339</v>
      </c>
      <c r="D26" s="165">
        <f>'NH3'!O19</f>
        <v>5</v>
      </c>
      <c r="E26" s="165">
        <f>'NH3'!N19</f>
        <v>0.3725</v>
      </c>
      <c r="F26" s="166"/>
      <c r="G26" s="166"/>
      <c r="H26" s="166"/>
      <c r="I26" s="166"/>
      <c r="J26" s="166"/>
      <c r="K26" s="166"/>
      <c r="L26" s="166"/>
      <c r="M26" s="166"/>
    </row>
    <row r="27" spans="1:13" x14ac:dyDescent="0.25">
      <c r="A27" s="360" t="s">
        <v>340</v>
      </c>
      <c r="B27" s="361"/>
      <c r="C27" s="361"/>
      <c r="D27" s="361"/>
      <c r="E27" s="361"/>
      <c r="F27" s="361"/>
      <c r="G27" s="361"/>
      <c r="H27" s="361"/>
      <c r="I27" s="361"/>
      <c r="J27" s="361"/>
      <c r="K27" s="361"/>
      <c r="L27" s="361"/>
      <c r="M27" s="362"/>
    </row>
    <row r="28" spans="1:13" x14ac:dyDescent="0.25">
      <c r="A28" s="82" t="s">
        <v>269</v>
      </c>
      <c r="B28" s="83"/>
      <c r="C28" s="83"/>
      <c r="D28" s="83"/>
      <c r="E28" s="83"/>
      <c r="F28" s="83"/>
      <c r="G28" s="83"/>
      <c r="H28" s="83"/>
      <c r="I28" s="83"/>
      <c r="J28" s="83"/>
      <c r="K28" s="83"/>
      <c r="L28" s="83"/>
      <c r="M28" s="84"/>
    </row>
    <row r="29" spans="1:13" x14ac:dyDescent="0.25">
      <c r="A29" s="363"/>
      <c r="B29" s="363"/>
      <c r="C29" s="363"/>
      <c r="D29" s="363"/>
      <c r="E29" s="363"/>
      <c r="F29" s="363"/>
      <c r="G29" s="363"/>
      <c r="H29" s="363"/>
      <c r="I29" s="363"/>
      <c r="J29" s="363"/>
      <c r="K29" s="363"/>
      <c r="L29" s="363"/>
      <c r="M29" s="363"/>
    </row>
    <row r="30" spans="1:13" x14ac:dyDescent="0.25">
      <c r="A30" s="325"/>
      <c r="B30" s="325"/>
      <c r="C30" s="325"/>
      <c r="D30" s="325"/>
      <c r="E30" s="325"/>
      <c r="F30" s="325"/>
      <c r="G30" s="325"/>
      <c r="H30" s="325"/>
      <c r="I30" s="325"/>
      <c r="J30" s="325"/>
      <c r="K30" s="325"/>
      <c r="L30" s="325"/>
      <c r="M30" s="325"/>
    </row>
    <row r="67" spans="6:6" x14ac:dyDescent="0.25">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6"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view="pageBreakPreview" zoomScale="60" zoomScaleNormal="100" workbookViewId="0">
      <selection activeCell="C41" sqref="C41:I41"/>
    </sheetView>
  </sheetViews>
  <sheetFormatPr defaultRowHeight="13.8" x14ac:dyDescent="0.25"/>
  <cols>
    <col min="1" max="1" width="14" style="3" customWidth="1"/>
    <col min="2"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Boston Energy Production Facility</v>
      </c>
      <c r="F1" s="92"/>
      <c r="G1" s="92"/>
    </row>
    <row r="3" spans="1:19" ht="14.4" x14ac:dyDescent="0.3">
      <c r="A3" s="60" t="s">
        <v>341</v>
      </c>
      <c r="D3" s="76" t="s">
        <v>342</v>
      </c>
      <c r="G3" s="79" t="s">
        <v>343</v>
      </c>
      <c r="J3" s="9" t="str">
        <f>+A3</f>
        <v>Monitoring of Hydrogen Chloride emissions</v>
      </c>
      <c r="L3" s="9"/>
      <c r="N3" s="9" t="s">
        <v>344</v>
      </c>
      <c r="Q3" s="78" t="s">
        <v>3</v>
      </c>
      <c r="R3" s="74"/>
      <c r="S3" s="74"/>
    </row>
    <row r="4" spans="1:19" ht="13.95" customHeight="1" x14ac:dyDescent="0.25">
      <c r="Q4" s="346" t="s">
        <v>345</v>
      </c>
      <c r="R4" s="346"/>
      <c r="S4" s="346"/>
    </row>
    <row r="5" spans="1:19" ht="16.2" x14ac:dyDescent="0.25">
      <c r="A5" s="68" t="s">
        <v>346</v>
      </c>
      <c r="B5" s="372" t="s">
        <v>347</v>
      </c>
      <c r="C5" s="372"/>
      <c r="D5" s="372"/>
      <c r="E5" s="372" t="s">
        <v>348</v>
      </c>
      <c r="F5" s="372"/>
      <c r="G5" s="372"/>
      <c r="J5" s="371"/>
      <c r="K5" s="371"/>
      <c r="L5" s="371"/>
      <c r="M5" s="371"/>
      <c r="N5" s="371"/>
      <c r="O5" s="371"/>
      <c r="Q5" s="346"/>
      <c r="R5" s="346"/>
      <c r="S5" s="346"/>
    </row>
    <row r="6" spans="1:19" s="58" customFormat="1" ht="37.5" customHeight="1" x14ac:dyDescent="0.3">
      <c r="A6" s="65">
        <f>+'Cover Page'!C39</f>
        <v>2022</v>
      </c>
      <c r="B6" s="55" t="s">
        <v>349</v>
      </c>
      <c r="C6" s="55" t="s">
        <v>350</v>
      </c>
      <c r="D6" s="55" t="s">
        <v>351</v>
      </c>
      <c r="E6" s="55" t="s">
        <v>352</v>
      </c>
      <c r="F6" s="55" t="s">
        <v>353</v>
      </c>
      <c r="G6" s="55" t="s">
        <v>354</v>
      </c>
      <c r="H6" s="59"/>
      <c r="J6" s="61">
        <f>+A6</f>
        <v>2022</v>
      </c>
      <c r="K6" s="61" t="s">
        <v>355</v>
      </c>
      <c r="L6" s="67" t="s">
        <v>350</v>
      </c>
      <c r="M6" s="67" t="s">
        <v>356</v>
      </c>
      <c r="N6" s="67" t="s">
        <v>353</v>
      </c>
      <c r="O6" s="67" t="s">
        <v>357</v>
      </c>
      <c r="Q6" s="346"/>
      <c r="R6" s="346"/>
      <c r="S6" s="346"/>
    </row>
    <row r="7" spans="1:19" ht="13.95" customHeight="1" x14ac:dyDescent="0.25">
      <c r="A7" s="66" t="s">
        <v>358</v>
      </c>
      <c r="B7" s="63">
        <v>60</v>
      </c>
      <c r="C7" s="64">
        <f>L7</f>
        <v>1</v>
      </c>
      <c r="D7" s="64">
        <f>M7</f>
        <v>5</v>
      </c>
      <c r="E7" s="63">
        <v>10</v>
      </c>
      <c r="F7" s="98">
        <f>N7</f>
        <v>0.64</v>
      </c>
      <c r="G7" s="64">
        <f>O7</f>
        <v>2</v>
      </c>
      <c r="J7" s="370" t="s">
        <v>182</v>
      </c>
      <c r="K7" s="66" t="s">
        <v>358</v>
      </c>
      <c r="L7" s="64">
        <v>1</v>
      </c>
      <c r="M7" s="64">
        <v>5</v>
      </c>
      <c r="N7" s="64">
        <v>0.64</v>
      </c>
      <c r="O7" s="64">
        <v>2</v>
      </c>
      <c r="Q7" s="346"/>
      <c r="R7" s="346"/>
      <c r="S7" s="346"/>
    </row>
    <row r="8" spans="1:19" x14ac:dyDescent="0.25">
      <c r="A8" s="66" t="s">
        <v>359</v>
      </c>
      <c r="B8" s="63">
        <v>60</v>
      </c>
      <c r="C8" s="64">
        <f t="shared" ref="C8:C18" si="0">L8</f>
        <v>5</v>
      </c>
      <c r="D8" s="64">
        <f t="shared" ref="D8:D18" si="1">M8</f>
        <v>23</v>
      </c>
      <c r="E8" s="63">
        <v>10</v>
      </c>
      <c r="F8" s="98">
        <f t="shared" ref="F8:F18" si="2">N8</f>
        <v>5.04</v>
      </c>
      <c r="G8" s="64">
        <f t="shared" ref="G8:G18" si="3">O8</f>
        <v>10</v>
      </c>
      <c r="J8" s="370"/>
      <c r="K8" s="66" t="s">
        <v>359</v>
      </c>
      <c r="L8" s="64">
        <v>5</v>
      </c>
      <c r="M8" s="64">
        <v>23</v>
      </c>
      <c r="N8" s="64">
        <v>5.04</v>
      </c>
      <c r="O8" s="64">
        <v>10</v>
      </c>
      <c r="Q8" s="346"/>
      <c r="R8" s="346"/>
      <c r="S8" s="346"/>
    </row>
    <row r="9" spans="1:19" x14ac:dyDescent="0.25">
      <c r="A9" s="66" t="s">
        <v>360</v>
      </c>
      <c r="B9" s="63">
        <v>60</v>
      </c>
      <c r="C9" s="64">
        <f t="shared" si="0"/>
        <v>3</v>
      </c>
      <c r="D9" s="64">
        <f t="shared" si="1"/>
        <v>12</v>
      </c>
      <c r="E9" s="63">
        <v>10</v>
      </c>
      <c r="F9" s="98">
        <f t="shared" si="2"/>
        <v>2.95</v>
      </c>
      <c r="G9" s="64">
        <f t="shared" si="3"/>
        <v>8</v>
      </c>
      <c r="J9" s="370"/>
      <c r="K9" s="66" t="s">
        <v>360</v>
      </c>
      <c r="L9" s="64">
        <v>3</v>
      </c>
      <c r="M9" s="64">
        <v>12</v>
      </c>
      <c r="N9" s="64">
        <v>2.95</v>
      </c>
      <c r="O9" s="64">
        <v>8</v>
      </c>
      <c r="Q9" s="77" t="s">
        <v>361</v>
      </c>
    </row>
    <row r="10" spans="1:19" ht="13.95" customHeight="1" x14ac:dyDescent="0.25">
      <c r="A10" s="66" t="s">
        <v>362</v>
      </c>
      <c r="B10" s="63">
        <v>60</v>
      </c>
      <c r="C10" s="64">
        <f t="shared" si="0"/>
        <v>0</v>
      </c>
      <c r="D10" s="64">
        <f t="shared" si="1"/>
        <v>0</v>
      </c>
      <c r="E10" s="63">
        <v>10</v>
      </c>
      <c r="F10" s="98">
        <f t="shared" si="2"/>
        <v>0</v>
      </c>
      <c r="G10" s="64">
        <f t="shared" si="3"/>
        <v>0</v>
      </c>
      <c r="J10" s="370"/>
      <c r="K10" s="66" t="s">
        <v>362</v>
      </c>
      <c r="L10" s="64">
        <v>0</v>
      </c>
      <c r="M10" s="64">
        <v>0</v>
      </c>
      <c r="N10" s="64">
        <v>0</v>
      </c>
      <c r="O10" s="64">
        <v>0</v>
      </c>
      <c r="Q10" s="369" t="s">
        <v>363</v>
      </c>
      <c r="R10" s="369"/>
      <c r="S10" s="369"/>
    </row>
    <row r="11" spans="1:19" x14ac:dyDescent="0.25">
      <c r="A11" s="66" t="s">
        <v>364</v>
      </c>
      <c r="B11" s="63">
        <v>60</v>
      </c>
      <c r="C11" s="64">
        <f t="shared" si="0"/>
        <v>0</v>
      </c>
      <c r="D11" s="64">
        <f t="shared" si="1"/>
        <v>0</v>
      </c>
      <c r="E11" s="63">
        <v>10</v>
      </c>
      <c r="F11" s="98">
        <f t="shared" si="2"/>
        <v>0</v>
      </c>
      <c r="G11" s="64">
        <f t="shared" si="3"/>
        <v>0</v>
      </c>
      <c r="J11" s="370"/>
      <c r="K11" s="66" t="s">
        <v>364</v>
      </c>
      <c r="L11" s="64">
        <v>0</v>
      </c>
      <c r="M11" s="64">
        <v>0</v>
      </c>
      <c r="N11" s="64">
        <v>0</v>
      </c>
      <c r="O11" s="64">
        <v>0</v>
      </c>
      <c r="Q11" s="369"/>
      <c r="R11" s="369"/>
      <c r="S11" s="369"/>
    </row>
    <row r="12" spans="1:19" x14ac:dyDescent="0.25">
      <c r="A12" s="66" t="s">
        <v>365</v>
      </c>
      <c r="B12" s="63">
        <v>60</v>
      </c>
      <c r="C12" s="64">
        <f t="shared" si="0"/>
        <v>0</v>
      </c>
      <c r="D12" s="64">
        <f t="shared" si="1"/>
        <v>0</v>
      </c>
      <c r="E12" s="63">
        <v>10</v>
      </c>
      <c r="F12" s="98">
        <f t="shared" si="2"/>
        <v>0</v>
      </c>
      <c r="G12" s="64">
        <f t="shared" si="3"/>
        <v>0</v>
      </c>
      <c r="J12" s="370"/>
      <c r="K12" s="66" t="s">
        <v>365</v>
      </c>
      <c r="L12" s="64">
        <v>0</v>
      </c>
      <c r="M12" s="64">
        <v>0</v>
      </c>
      <c r="N12" s="64">
        <v>0</v>
      </c>
      <c r="O12" s="64">
        <v>0</v>
      </c>
      <c r="Q12" s="369"/>
      <c r="R12" s="369"/>
      <c r="S12" s="369"/>
    </row>
    <row r="13" spans="1:19" ht="13.95" customHeight="1" x14ac:dyDescent="0.25">
      <c r="A13" s="66" t="s">
        <v>366</v>
      </c>
      <c r="B13" s="63">
        <v>60</v>
      </c>
      <c r="C13" s="64">
        <f t="shared" si="0"/>
        <v>6</v>
      </c>
      <c r="D13" s="64">
        <f t="shared" si="1"/>
        <v>66</v>
      </c>
      <c r="E13" s="63">
        <v>10</v>
      </c>
      <c r="F13" s="98">
        <f t="shared" si="2"/>
        <v>5.84</v>
      </c>
      <c r="G13" s="64">
        <f t="shared" si="3"/>
        <v>15</v>
      </c>
      <c r="J13" s="370"/>
      <c r="K13" s="66" t="s">
        <v>366</v>
      </c>
      <c r="L13" s="64">
        <v>6</v>
      </c>
      <c r="M13" s="64">
        <v>66</v>
      </c>
      <c r="N13" s="64">
        <v>5.84</v>
      </c>
      <c r="O13" s="64">
        <v>15</v>
      </c>
      <c r="Q13" s="369" t="s">
        <v>367</v>
      </c>
      <c r="R13" s="369"/>
      <c r="S13" s="369"/>
    </row>
    <row r="14" spans="1:19" x14ac:dyDescent="0.25">
      <c r="A14" s="66" t="s">
        <v>368</v>
      </c>
      <c r="B14" s="63">
        <v>60</v>
      </c>
      <c r="C14" s="64">
        <f t="shared" si="0"/>
        <v>6</v>
      </c>
      <c r="D14" s="64">
        <f t="shared" si="1"/>
        <v>42</v>
      </c>
      <c r="E14" s="63">
        <v>10</v>
      </c>
      <c r="F14" s="98">
        <f t="shared" si="2"/>
        <v>6.23</v>
      </c>
      <c r="G14" s="64">
        <f t="shared" si="3"/>
        <v>10</v>
      </c>
      <c r="J14" s="370"/>
      <c r="K14" s="66" t="s">
        <v>368</v>
      </c>
      <c r="L14" s="64">
        <v>6</v>
      </c>
      <c r="M14" s="64">
        <v>42</v>
      </c>
      <c r="N14" s="64">
        <v>6.23</v>
      </c>
      <c r="O14" s="64">
        <v>10</v>
      </c>
      <c r="Q14" s="369"/>
      <c r="R14" s="369"/>
      <c r="S14" s="369"/>
    </row>
    <row r="15" spans="1:19" x14ac:dyDescent="0.25">
      <c r="A15" s="66" t="s">
        <v>369</v>
      </c>
      <c r="B15" s="63">
        <v>60</v>
      </c>
      <c r="C15" s="64">
        <f t="shared" si="0"/>
        <v>5</v>
      </c>
      <c r="D15" s="64">
        <f t="shared" si="1"/>
        <v>22</v>
      </c>
      <c r="E15" s="63">
        <v>10</v>
      </c>
      <c r="F15" s="98">
        <f t="shared" si="2"/>
        <v>5</v>
      </c>
      <c r="G15" s="64">
        <f t="shared" si="3"/>
        <v>7</v>
      </c>
      <c r="J15" s="370"/>
      <c r="K15" s="66" t="s">
        <v>369</v>
      </c>
      <c r="L15" s="64">
        <v>5</v>
      </c>
      <c r="M15" s="64">
        <v>22</v>
      </c>
      <c r="N15" s="64">
        <v>5</v>
      </c>
      <c r="O15" s="64">
        <v>7</v>
      </c>
      <c r="Q15" s="369"/>
      <c r="R15" s="369"/>
      <c r="S15" s="369"/>
    </row>
    <row r="16" spans="1:19" x14ac:dyDescent="0.25">
      <c r="A16" s="66" t="s">
        <v>370</v>
      </c>
      <c r="B16" s="63">
        <v>60</v>
      </c>
      <c r="C16" s="64">
        <f t="shared" si="0"/>
        <v>5</v>
      </c>
      <c r="D16" s="64">
        <f t="shared" si="1"/>
        <v>43</v>
      </c>
      <c r="E16" s="63">
        <v>10</v>
      </c>
      <c r="F16" s="98">
        <f t="shared" si="2"/>
        <v>5.15</v>
      </c>
      <c r="G16" s="64">
        <f t="shared" si="3"/>
        <v>10</v>
      </c>
      <c r="J16" s="370"/>
      <c r="K16" s="66" t="s">
        <v>370</v>
      </c>
      <c r="L16" s="64">
        <v>5</v>
      </c>
      <c r="M16" s="64">
        <v>43</v>
      </c>
      <c r="N16" s="64">
        <v>5.15</v>
      </c>
      <c r="O16" s="64">
        <v>10</v>
      </c>
      <c r="Q16" s="369"/>
      <c r="R16" s="369"/>
      <c r="S16" s="369"/>
    </row>
    <row r="17" spans="1:15" x14ac:dyDescent="0.25">
      <c r="A17" s="66" t="s">
        <v>371</v>
      </c>
      <c r="B17" s="63">
        <v>60</v>
      </c>
      <c r="C17" s="64">
        <f t="shared" si="0"/>
        <v>6</v>
      </c>
      <c r="D17" s="64">
        <f t="shared" si="1"/>
        <v>18</v>
      </c>
      <c r="E17" s="63">
        <v>10</v>
      </c>
      <c r="F17" s="98">
        <f t="shared" si="2"/>
        <v>6.35</v>
      </c>
      <c r="G17" s="64">
        <f t="shared" si="3"/>
        <v>7</v>
      </c>
      <c r="J17" s="370"/>
      <c r="K17" s="66" t="s">
        <v>371</v>
      </c>
      <c r="L17" s="64">
        <v>6</v>
      </c>
      <c r="M17" s="64">
        <v>18</v>
      </c>
      <c r="N17" s="64">
        <v>6.35</v>
      </c>
      <c r="O17" s="64">
        <v>7</v>
      </c>
    </row>
    <row r="18" spans="1:15" x14ac:dyDescent="0.25">
      <c r="A18" s="66" t="s">
        <v>372</v>
      </c>
      <c r="B18" s="63">
        <v>60</v>
      </c>
      <c r="C18" s="64">
        <f t="shared" si="0"/>
        <v>8</v>
      </c>
      <c r="D18" s="64">
        <f t="shared" si="1"/>
        <v>21</v>
      </c>
      <c r="E18" s="63">
        <v>10</v>
      </c>
      <c r="F18" s="98">
        <f t="shared" si="2"/>
        <v>8.42</v>
      </c>
      <c r="G18" s="64">
        <f t="shared" si="3"/>
        <v>10</v>
      </c>
      <c r="J18" s="370"/>
      <c r="K18" s="66" t="s">
        <v>372</v>
      </c>
      <c r="L18" s="64">
        <v>8</v>
      </c>
      <c r="M18" s="64">
        <v>21</v>
      </c>
      <c r="N18" s="64">
        <v>8.42</v>
      </c>
      <c r="O18" s="64">
        <v>10</v>
      </c>
    </row>
    <row r="19" spans="1:15" x14ac:dyDescent="0.25">
      <c r="J19" s="370"/>
      <c r="K19" s="62" t="s">
        <v>373</v>
      </c>
      <c r="L19" s="62">
        <f>AVERAGE(L7:L18)</f>
        <v>3.75</v>
      </c>
      <c r="M19" s="62">
        <f>MAX(M7:M18)</f>
        <v>66</v>
      </c>
      <c r="N19" s="97">
        <f>AVERAGE(N7:N18)</f>
        <v>3.8016666666666672</v>
      </c>
      <c r="O19" s="62">
        <f>MAX(O7:O18)</f>
        <v>15</v>
      </c>
    </row>
    <row r="21" spans="1:15" x14ac:dyDescent="0.25">
      <c r="J21" s="61"/>
      <c r="K21" s="61"/>
      <c r="L21" s="67"/>
      <c r="M21" s="67"/>
      <c r="N21" s="67"/>
      <c r="O21" s="67"/>
    </row>
    <row r="22" spans="1:15" x14ac:dyDescent="0.25">
      <c r="J22" s="370"/>
      <c r="K22" s="66"/>
      <c r="L22" s="64"/>
      <c r="M22" s="64"/>
      <c r="N22" s="64"/>
      <c r="O22" s="64"/>
    </row>
    <row r="23" spans="1:15" x14ac:dyDescent="0.25">
      <c r="J23" s="370"/>
      <c r="K23" s="66"/>
      <c r="L23" s="64"/>
      <c r="M23" s="64"/>
      <c r="N23" s="64"/>
      <c r="O23" s="64"/>
    </row>
    <row r="24" spans="1:15" x14ac:dyDescent="0.25">
      <c r="J24" s="370"/>
      <c r="K24" s="66"/>
      <c r="L24" s="64"/>
      <c r="M24" s="64"/>
      <c r="N24" s="64"/>
      <c r="O24" s="64"/>
    </row>
    <row r="25" spans="1:15" x14ac:dyDescent="0.25">
      <c r="J25" s="370"/>
      <c r="K25" s="66"/>
      <c r="L25" s="64"/>
      <c r="M25" s="64"/>
      <c r="N25" s="64"/>
      <c r="O25" s="64"/>
    </row>
    <row r="26" spans="1:15" x14ac:dyDescent="0.25">
      <c r="J26" s="370"/>
      <c r="K26" s="66"/>
      <c r="L26" s="64"/>
      <c r="M26" s="64"/>
      <c r="N26" s="64"/>
      <c r="O26" s="64"/>
    </row>
    <row r="27" spans="1:15" x14ac:dyDescent="0.25">
      <c r="J27" s="370"/>
      <c r="K27" s="66"/>
      <c r="L27" s="64"/>
      <c r="M27" s="64"/>
      <c r="N27" s="64"/>
      <c r="O27" s="64"/>
    </row>
    <row r="28" spans="1:15" x14ac:dyDescent="0.25">
      <c r="J28" s="370"/>
      <c r="K28" s="66"/>
      <c r="L28" s="64"/>
      <c r="M28" s="64"/>
      <c r="N28" s="64"/>
      <c r="O28" s="64"/>
    </row>
    <row r="29" spans="1:15" x14ac:dyDescent="0.25">
      <c r="J29" s="370"/>
      <c r="K29" s="66"/>
      <c r="L29" s="64"/>
      <c r="M29" s="64"/>
      <c r="N29" s="64"/>
      <c r="O29" s="64"/>
    </row>
    <row r="30" spans="1:15" x14ac:dyDescent="0.25">
      <c r="J30" s="370"/>
      <c r="K30" s="66"/>
      <c r="L30" s="64"/>
      <c r="M30" s="64"/>
      <c r="N30" s="64"/>
      <c r="O30" s="64"/>
    </row>
    <row r="31" spans="1:15" x14ac:dyDescent="0.25">
      <c r="J31" s="370"/>
      <c r="K31" s="66"/>
      <c r="L31" s="64"/>
      <c r="M31" s="64"/>
      <c r="N31" s="64"/>
      <c r="O31" s="64"/>
    </row>
    <row r="32" spans="1:15" x14ac:dyDescent="0.25">
      <c r="J32" s="370"/>
      <c r="K32" s="66"/>
      <c r="L32" s="64"/>
      <c r="M32" s="64"/>
      <c r="N32" s="64"/>
      <c r="O32" s="64"/>
    </row>
    <row r="33" spans="1:15" x14ac:dyDescent="0.25">
      <c r="J33" s="370"/>
      <c r="K33" s="66"/>
      <c r="L33" s="64"/>
      <c r="M33" s="64"/>
      <c r="N33" s="64"/>
      <c r="O33" s="64"/>
    </row>
    <row r="34" spans="1:15" x14ac:dyDescent="0.25">
      <c r="J34" s="370"/>
      <c r="K34" s="62"/>
      <c r="L34" s="62"/>
      <c r="M34" s="62"/>
      <c r="N34" s="62"/>
      <c r="O34" s="62"/>
    </row>
    <row r="36" spans="1:15" x14ac:dyDescent="0.25">
      <c r="J36" s="61"/>
      <c r="K36" s="61"/>
      <c r="L36" s="67"/>
      <c r="M36" s="67"/>
      <c r="N36" s="67"/>
      <c r="O36" s="67"/>
    </row>
    <row r="37" spans="1:15" x14ac:dyDescent="0.25">
      <c r="J37" s="370"/>
      <c r="K37" s="66"/>
      <c r="L37" s="64"/>
      <c r="M37" s="64"/>
      <c r="N37" s="64"/>
      <c r="O37" s="64"/>
    </row>
    <row r="38" spans="1:15" x14ac:dyDescent="0.25">
      <c r="J38" s="370"/>
      <c r="K38" s="66"/>
      <c r="L38" s="64"/>
      <c r="M38" s="64"/>
      <c r="N38" s="64"/>
      <c r="O38" s="64"/>
    </row>
    <row r="39" spans="1:15" x14ac:dyDescent="0.25">
      <c r="J39" s="370"/>
      <c r="K39" s="66"/>
      <c r="L39" s="64"/>
      <c r="M39" s="64"/>
      <c r="N39" s="64"/>
      <c r="O39" s="64"/>
    </row>
    <row r="40" spans="1:15" x14ac:dyDescent="0.25">
      <c r="J40" s="370"/>
      <c r="K40" s="66"/>
      <c r="L40" s="64"/>
      <c r="M40" s="64"/>
      <c r="N40" s="64"/>
      <c r="O40" s="64"/>
    </row>
    <row r="41" spans="1:15" x14ac:dyDescent="0.25">
      <c r="J41" s="370"/>
      <c r="K41" s="66"/>
      <c r="L41" s="64"/>
      <c r="M41" s="64"/>
      <c r="N41" s="64"/>
      <c r="O41" s="64"/>
    </row>
    <row r="42" spans="1:15" x14ac:dyDescent="0.25">
      <c r="J42" s="370"/>
      <c r="K42" s="66"/>
      <c r="L42" s="64"/>
      <c r="M42" s="64"/>
      <c r="N42" s="64"/>
      <c r="O42" s="64"/>
    </row>
    <row r="43" spans="1:15" x14ac:dyDescent="0.25">
      <c r="J43" s="370"/>
      <c r="K43" s="66"/>
      <c r="L43" s="64"/>
      <c r="M43" s="64"/>
      <c r="N43" s="64"/>
      <c r="O43" s="64"/>
    </row>
    <row r="44" spans="1:15" x14ac:dyDescent="0.25">
      <c r="J44" s="370"/>
      <c r="K44" s="66"/>
      <c r="L44" s="64"/>
      <c r="M44" s="64"/>
      <c r="N44" s="64"/>
      <c r="O44" s="64"/>
    </row>
    <row r="45" spans="1:15" x14ac:dyDescent="0.25">
      <c r="J45" s="370"/>
      <c r="K45" s="66"/>
      <c r="L45" s="64"/>
      <c r="M45" s="64"/>
      <c r="N45" s="64"/>
      <c r="O45" s="64"/>
    </row>
    <row r="46" spans="1:15" x14ac:dyDescent="0.25">
      <c r="J46" s="370"/>
      <c r="K46" s="66"/>
      <c r="L46" s="64"/>
      <c r="M46" s="64"/>
      <c r="N46" s="64"/>
      <c r="O46" s="64"/>
    </row>
    <row r="47" spans="1:15" x14ac:dyDescent="0.25">
      <c r="J47" s="370"/>
      <c r="K47" s="66"/>
      <c r="L47" s="64"/>
      <c r="M47" s="64"/>
      <c r="N47" s="64"/>
      <c r="O47" s="64"/>
    </row>
    <row r="48" spans="1:15" x14ac:dyDescent="0.25">
      <c r="A48" s="382" t="s">
        <v>269</v>
      </c>
      <c r="B48" s="383"/>
      <c r="C48" s="383"/>
      <c r="D48" s="383"/>
      <c r="E48" s="383"/>
      <c r="F48" s="383"/>
      <c r="G48" s="384"/>
      <c r="J48" s="370"/>
      <c r="K48" s="66"/>
      <c r="L48" s="64"/>
      <c r="M48" s="64"/>
      <c r="N48" s="64"/>
      <c r="O48" s="64"/>
    </row>
    <row r="49" spans="1:15" x14ac:dyDescent="0.25">
      <c r="A49" s="373"/>
      <c r="B49" s="374"/>
      <c r="C49" s="374"/>
      <c r="D49" s="374"/>
      <c r="E49" s="374"/>
      <c r="F49" s="374"/>
      <c r="G49" s="375"/>
      <c r="J49" s="370"/>
      <c r="K49" s="62"/>
      <c r="L49" s="62"/>
      <c r="M49" s="62"/>
      <c r="N49" s="62"/>
      <c r="O49" s="62"/>
    </row>
    <row r="50" spans="1:15" x14ac:dyDescent="0.25">
      <c r="A50" s="376"/>
      <c r="B50" s="377"/>
      <c r="C50" s="377"/>
      <c r="D50" s="377"/>
      <c r="E50" s="377"/>
      <c r="F50" s="377"/>
      <c r="G50" s="378"/>
    </row>
    <row r="51" spans="1:15" x14ac:dyDescent="0.25">
      <c r="A51" s="376"/>
      <c r="B51" s="377"/>
      <c r="C51" s="377"/>
      <c r="D51" s="377"/>
      <c r="E51" s="377"/>
      <c r="F51" s="377"/>
      <c r="G51" s="378"/>
      <c r="J51" s="61"/>
      <c r="K51" s="61"/>
      <c r="L51" s="67"/>
      <c r="M51" s="67"/>
      <c r="N51" s="67"/>
      <c r="O51" s="67"/>
    </row>
    <row r="52" spans="1:15" x14ac:dyDescent="0.25">
      <c r="A52" s="379"/>
      <c r="B52" s="380"/>
      <c r="C52" s="380"/>
      <c r="D52" s="380"/>
      <c r="E52" s="380"/>
      <c r="F52" s="380"/>
      <c r="G52" s="381"/>
      <c r="J52" s="370"/>
      <c r="K52" s="66"/>
      <c r="L52" s="64"/>
      <c r="M52" s="64"/>
      <c r="N52" s="64"/>
      <c r="O52" s="64"/>
    </row>
    <row r="53" spans="1:15" x14ac:dyDescent="0.25">
      <c r="J53" s="370"/>
      <c r="K53" s="66"/>
      <c r="L53" s="64"/>
      <c r="M53" s="64"/>
      <c r="N53" s="64"/>
      <c r="O53" s="64"/>
    </row>
    <row r="54" spans="1:15" x14ac:dyDescent="0.25">
      <c r="J54" s="370"/>
      <c r="K54" s="66"/>
      <c r="L54" s="64"/>
      <c r="M54" s="64"/>
      <c r="N54" s="64"/>
      <c r="O54" s="64"/>
    </row>
    <row r="55" spans="1:15" x14ac:dyDescent="0.25">
      <c r="J55" s="370"/>
      <c r="K55" s="66"/>
      <c r="L55" s="64"/>
      <c r="M55" s="64"/>
      <c r="N55" s="64"/>
      <c r="O55" s="64"/>
    </row>
    <row r="56" spans="1:15" x14ac:dyDescent="0.25">
      <c r="J56" s="370"/>
      <c r="K56" s="66"/>
      <c r="L56" s="64"/>
      <c r="M56" s="64"/>
      <c r="N56" s="64"/>
      <c r="O56" s="64"/>
    </row>
    <row r="57" spans="1:15" x14ac:dyDescent="0.25">
      <c r="J57" s="370"/>
      <c r="K57" s="66"/>
      <c r="L57" s="64"/>
      <c r="M57" s="64"/>
      <c r="N57" s="64"/>
      <c r="O57" s="64"/>
    </row>
    <row r="58" spans="1:15" x14ac:dyDescent="0.25">
      <c r="J58" s="370"/>
      <c r="K58" s="66"/>
      <c r="L58" s="64"/>
      <c r="M58" s="64"/>
      <c r="N58" s="64"/>
      <c r="O58" s="64"/>
    </row>
    <row r="59" spans="1:15" x14ac:dyDescent="0.25">
      <c r="J59" s="370"/>
      <c r="K59" s="66"/>
      <c r="L59" s="64"/>
      <c r="M59" s="64"/>
      <c r="N59" s="64"/>
      <c r="O59" s="64"/>
    </row>
    <row r="60" spans="1:15" x14ac:dyDescent="0.25">
      <c r="J60" s="370"/>
      <c r="K60" s="66"/>
      <c r="L60" s="64"/>
      <c r="M60" s="64"/>
      <c r="N60" s="64"/>
      <c r="O60" s="64"/>
    </row>
    <row r="61" spans="1:15" x14ac:dyDescent="0.25">
      <c r="J61" s="370"/>
      <c r="K61" s="66"/>
      <c r="L61" s="64"/>
      <c r="M61" s="64"/>
      <c r="N61" s="64"/>
      <c r="O61" s="64"/>
    </row>
    <row r="62" spans="1:15" x14ac:dyDescent="0.25">
      <c r="J62" s="370"/>
      <c r="K62" s="66"/>
      <c r="L62" s="64"/>
      <c r="M62" s="64"/>
      <c r="N62" s="64"/>
      <c r="O62" s="64"/>
    </row>
    <row r="63" spans="1:15" x14ac:dyDescent="0.25">
      <c r="J63" s="370"/>
      <c r="K63" s="66"/>
      <c r="L63" s="64"/>
      <c r="M63" s="64"/>
      <c r="N63" s="64"/>
      <c r="O63" s="64"/>
    </row>
    <row r="64" spans="1:15" x14ac:dyDescent="0.25">
      <c r="J64" s="370"/>
      <c r="K64" s="62"/>
      <c r="L64" s="62"/>
      <c r="M64" s="62"/>
      <c r="N64" s="62"/>
      <c r="O64" s="62"/>
    </row>
    <row r="66" spans="10:15" x14ac:dyDescent="0.25">
      <c r="J66" s="61"/>
      <c r="K66" s="61"/>
      <c r="L66" s="67"/>
      <c r="M66" s="67"/>
      <c r="N66" s="67"/>
      <c r="O66" s="67"/>
    </row>
    <row r="67" spans="10:15" x14ac:dyDescent="0.25">
      <c r="J67" s="370"/>
      <c r="K67" s="66"/>
      <c r="L67" s="64"/>
      <c r="M67" s="64"/>
      <c r="N67" s="64"/>
      <c r="O67" s="64"/>
    </row>
    <row r="68" spans="10:15" x14ac:dyDescent="0.25">
      <c r="J68" s="370"/>
      <c r="K68" s="66"/>
      <c r="L68" s="64"/>
      <c r="M68" s="64"/>
      <c r="N68" s="64"/>
      <c r="O68" s="64"/>
    </row>
    <row r="69" spans="10:15" x14ac:dyDescent="0.25">
      <c r="J69" s="370"/>
      <c r="K69" s="66"/>
      <c r="L69" s="64"/>
      <c r="M69" s="64"/>
      <c r="N69" s="64"/>
      <c r="O69" s="64"/>
    </row>
    <row r="70" spans="10:15" x14ac:dyDescent="0.25">
      <c r="J70" s="370"/>
      <c r="K70" s="66"/>
      <c r="L70" s="64"/>
      <c r="M70" s="64"/>
      <c r="N70" s="64"/>
      <c r="O70" s="64"/>
    </row>
    <row r="71" spans="10:15" x14ac:dyDescent="0.25">
      <c r="J71" s="370"/>
      <c r="K71" s="66"/>
      <c r="L71" s="64"/>
      <c r="M71" s="64"/>
      <c r="N71" s="64"/>
      <c r="O71" s="64"/>
    </row>
    <row r="72" spans="10:15" x14ac:dyDescent="0.25">
      <c r="J72" s="370"/>
      <c r="K72" s="66"/>
      <c r="L72" s="64"/>
      <c r="M72" s="64"/>
      <c r="N72" s="64"/>
      <c r="O72" s="64"/>
    </row>
    <row r="73" spans="10:15" x14ac:dyDescent="0.25">
      <c r="J73" s="370"/>
      <c r="K73" s="66"/>
      <c r="L73" s="64"/>
      <c r="M73" s="64"/>
      <c r="N73" s="64"/>
      <c r="O73" s="64"/>
    </row>
    <row r="74" spans="10:15" x14ac:dyDescent="0.25">
      <c r="J74" s="370"/>
      <c r="K74" s="66"/>
      <c r="L74" s="64"/>
      <c r="M74" s="64"/>
      <c r="N74" s="64"/>
      <c r="O74" s="64"/>
    </row>
    <row r="75" spans="10:15" x14ac:dyDescent="0.25">
      <c r="J75" s="370"/>
      <c r="K75" s="66"/>
      <c r="L75" s="64"/>
      <c r="M75" s="64"/>
      <c r="N75" s="64"/>
      <c r="O75" s="64"/>
    </row>
    <row r="76" spans="10:15" x14ac:dyDescent="0.25">
      <c r="J76" s="370"/>
      <c r="K76" s="66"/>
      <c r="L76" s="64"/>
      <c r="M76" s="64"/>
      <c r="N76" s="64"/>
      <c r="O76" s="64"/>
    </row>
    <row r="77" spans="10:15" x14ac:dyDescent="0.25">
      <c r="J77" s="370"/>
      <c r="K77" s="66"/>
      <c r="L77" s="64"/>
      <c r="M77" s="64"/>
      <c r="N77" s="64"/>
      <c r="O77" s="64"/>
    </row>
    <row r="78" spans="10:15" x14ac:dyDescent="0.25">
      <c r="J78" s="370"/>
      <c r="K78" s="66"/>
      <c r="L78" s="64"/>
      <c r="M78" s="64"/>
      <c r="N78" s="64"/>
      <c r="O78" s="64"/>
    </row>
    <row r="79" spans="10:15" x14ac:dyDescent="0.25">
      <c r="J79" s="370"/>
      <c r="K79" s="62"/>
      <c r="L79" s="62"/>
      <c r="M79" s="62"/>
      <c r="N79" s="62"/>
      <c r="O79" s="62"/>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view="pageBreakPreview" zoomScale="60" zoomScaleNormal="100" workbookViewId="0">
      <selection activeCell="C41" sqref="C41:I4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Boston Energy Production Facility</v>
      </c>
      <c r="F1" s="92"/>
      <c r="G1" s="92"/>
    </row>
    <row r="3" spans="1:19" ht="14.4" x14ac:dyDescent="0.3">
      <c r="A3" s="60" t="s">
        <v>374</v>
      </c>
      <c r="D3" s="76" t="s">
        <v>342</v>
      </c>
      <c r="G3" s="79" t="s">
        <v>343</v>
      </c>
      <c r="J3" s="9" t="str">
        <f>+A3</f>
        <v>Monitoring of Sulphur dioxide emissions</v>
      </c>
      <c r="L3" s="9"/>
      <c r="N3" s="9" t="s">
        <v>344</v>
      </c>
      <c r="Q3" s="78" t="s">
        <v>3</v>
      </c>
      <c r="R3" s="74"/>
      <c r="S3" s="74"/>
    </row>
    <row r="4" spans="1:19" ht="13.95" customHeight="1" x14ac:dyDescent="0.25">
      <c r="Q4" s="346" t="s">
        <v>345</v>
      </c>
      <c r="R4" s="346"/>
      <c r="S4" s="346"/>
    </row>
    <row r="5" spans="1:19" ht="16.2" x14ac:dyDescent="0.25">
      <c r="A5" s="68" t="s">
        <v>346</v>
      </c>
      <c r="B5" s="372" t="s">
        <v>347</v>
      </c>
      <c r="C5" s="372"/>
      <c r="D5" s="372"/>
      <c r="E5" s="372" t="s">
        <v>348</v>
      </c>
      <c r="F5" s="372"/>
      <c r="G5" s="372"/>
      <c r="J5" s="371"/>
      <c r="K5" s="371"/>
      <c r="L5" s="371"/>
      <c r="M5" s="371"/>
      <c r="N5" s="371"/>
      <c r="O5" s="371"/>
      <c r="Q5" s="346"/>
      <c r="R5" s="346"/>
      <c r="S5" s="346"/>
    </row>
    <row r="6" spans="1:19" s="58" customFormat="1" ht="37.5" customHeight="1" x14ac:dyDescent="0.3">
      <c r="A6" s="65">
        <f>+'Cover Page'!C39</f>
        <v>2022</v>
      </c>
      <c r="B6" s="55" t="s">
        <v>375</v>
      </c>
      <c r="C6" s="55" t="s">
        <v>350</v>
      </c>
      <c r="D6" s="55" t="s">
        <v>351</v>
      </c>
      <c r="E6" s="55" t="s">
        <v>376</v>
      </c>
      <c r="F6" s="55" t="s">
        <v>353</v>
      </c>
      <c r="G6" s="55" t="s">
        <v>354</v>
      </c>
      <c r="H6" s="59"/>
      <c r="J6" s="61">
        <f>+A6</f>
        <v>2022</v>
      </c>
      <c r="K6" s="61" t="s">
        <v>355</v>
      </c>
      <c r="L6" s="67" t="s">
        <v>350</v>
      </c>
      <c r="M6" s="67" t="s">
        <v>356</v>
      </c>
      <c r="N6" s="67" t="s">
        <v>353</v>
      </c>
      <c r="O6" s="67" t="s">
        <v>357</v>
      </c>
      <c r="Q6" s="346"/>
      <c r="R6" s="346"/>
      <c r="S6" s="346"/>
    </row>
    <row r="7" spans="1:19" x14ac:dyDescent="0.25">
      <c r="A7" s="66" t="s">
        <v>358</v>
      </c>
      <c r="B7" s="63">
        <v>200</v>
      </c>
      <c r="C7" s="64">
        <f>L7</f>
        <v>8</v>
      </c>
      <c r="D7" s="64">
        <f>M7</f>
        <v>16</v>
      </c>
      <c r="E7" s="63">
        <v>50</v>
      </c>
      <c r="F7" s="98">
        <f>N7</f>
        <v>7.71</v>
      </c>
      <c r="G7" s="64">
        <f>O7</f>
        <v>10</v>
      </c>
      <c r="J7" s="370" t="s">
        <v>182</v>
      </c>
      <c r="K7" s="66" t="s">
        <v>358</v>
      </c>
      <c r="L7" s="64">
        <v>8</v>
      </c>
      <c r="M7" s="64">
        <v>16</v>
      </c>
      <c r="N7" s="64">
        <v>7.71</v>
      </c>
      <c r="O7" s="64">
        <v>10</v>
      </c>
      <c r="Q7" s="346"/>
      <c r="R7" s="346"/>
      <c r="S7" s="346"/>
    </row>
    <row r="8" spans="1:19" x14ac:dyDescent="0.25">
      <c r="A8" s="66" t="s">
        <v>359</v>
      </c>
      <c r="B8" s="63">
        <v>200</v>
      </c>
      <c r="C8" s="64">
        <f t="shared" ref="C8:C18" si="0">L8</f>
        <v>10</v>
      </c>
      <c r="D8" s="64">
        <f t="shared" ref="D8:D18" si="1">M8</f>
        <v>27</v>
      </c>
      <c r="E8" s="63">
        <v>50</v>
      </c>
      <c r="F8" s="98">
        <f t="shared" ref="F8:F18" si="2">N8</f>
        <v>10.039999999999999</v>
      </c>
      <c r="G8" s="64">
        <f t="shared" ref="G8:G18" si="3">O8</f>
        <v>14</v>
      </c>
      <c r="J8" s="370"/>
      <c r="K8" s="66" t="s">
        <v>359</v>
      </c>
      <c r="L8" s="64">
        <v>10</v>
      </c>
      <c r="M8" s="64">
        <v>27</v>
      </c>
      <c r="N8" s="64">
        <v>10.039999999999999</v>
      </c>
      <c r="O8" s="64">
        <v>14</v>
      </c>
      <c r="Q8" s="346"/>
      <c r="R8" s="346"/>
      <c r="S8" s="346"/>
    </row>
    <row r="9" spans="1:19" x14ac:dyDescent="0.25">
      <c r="A9" s="66" t="s">
        <v>360</v>
      </c>
      <c r="B9" s="63">
        <v>200</v>
      </c>
      <c r="C9" s="64">
        <f t="shared" si="0"/>
        <v>7</v>
      </c>
      <c r="D9" s="64">
        <f t="shared" si="1"/>
        <v>9</v>
      </c>
      <c r="E9" s="63">
        <v>50</v>
      </c>
      <c r="F9" s="98">
        <f t="shared" si="2"/>
        <v>7.5</v>
      </c>
      <c r="G9" s="64">
        <f t="shared" si="3"/>
        <v>8</v>
      </c>
      <c r="J9" s="370"/>
      <c r="K9" s="66" t="s">
        <v>360</v>
      </c>
      <c r="L9" s="64">
        <v>7</v>
      </c>
      <c r="M9" s="64">
        <v>9</v>
      </c>
      <c r="N9" s="64">
        <v>7.5</v>
      </c>
      <c r="O9" s="64">
        <v>8</v>
      </c>
      <c r="Q9" s="77" t="s">
        <v>361</v>
      </c>
    </row>
    <row r="10" spans="1:19" ht="14.25" customHeight="1" x14ac:dyDescent="0.25">
      <c r="A10" s="66" t="s">
        <v>362</v>
      </c>
      <c r="B10" s="63">
        <v>200</v>
      </c>
      <c r="C10" s="64">
        <f t="shared" si="0"/>
        <v>0</v>
      </c>
      <c r="D10" s="64">
        <f t="shared" si="1"/>
        <v>0</v>
      </c>
      <c r="E10" s="63">
        <v>50</v>
      </c>
      <c r="F10" s="98">
        <f t="shared" si="2"/>
        <v>0</v>
      </c>
      <c r="G10" s="64">
        <f t="shared" si="3"/>
        <v>0</v>
      </c>
      <c r="J10" s="370"/>
      <c r="K10" s="66" t="s">
        <v>362</v>
      </c>
      <c r="L10" s="64">
        <v>0</v>
      </c>
      <c r="M10" s="64">
        <v>0</v>
      </c>
      <c r="N10" s="64">
        <v>0</v>
      </c>
      <c r="O10" s="64">
        <v>0</v>
      </c>
      <c r="Q10" s="369" t="s">
        <v>363</v>
      </c>
      <c r="R10" s="369"/>
      <c r="S10" s="369"/>
    </row>
    <row r="11" spans="1:19" x14ac:dyDescent="0.25">
      <c r="A11" s="66" t="s">
        <v>364</v>
      </c>
      <c r="B11" s="63">
        <v>200</v>
      </c>
      <c r="C11" s="64">
        <f t="shared" si="0"/>
        <v>0</v>
      </c>
      <c r="D11" s="64">
        <f t="shared" si="1"/>
        <v>0</v>
      </c>
      <c r="E11" s="63">
        <v>50</v>
      </c>
      <c r="F11" s="98">
        <f t="shared" si="2"/>
        <v>0</v>
      </c>
      <c r="G11" s="64">
        <f t="shared" si="3"/>
        <v>0</v>
      </c>
      <c r="J11" s="370"/>
      <c r="K11" s="66" t="s">
        <v>364</v>
      </c>
      <c r="L11" s="64">
        <v>0</v>
      </c>
      <c r="M11" s="64">
        <v>0</v>
      </c>
      <c r="N11" s="64">
        <v>0</v>
      </c>
      <c r="O11" s="64">
        <v>0</v>
      </c>
      <c r="Q11" s="369"/>
      <c r="R11" s="369"/>
      <c r="S11" s="369"/>
    </row>
    <row r="12" spans="1:19" x14ac:dyDescent="0.25">
      <c r="A12" s="66" t="s">
        <v>365</v>
      </c>
      <c r="B12" s="63">
        <v>200</v>
      </c>
      <c r="C12" s="64">
        <f t="shared" si="0"/>
        <v>0</v>
      </c>
      <c r="D12" s="64">
        <f t="shared" si="1"/>
        <v>0</v>
      </c>
      <c r="E12" s="63">
        <v>50</v>
      </c>
      <c r="F12" s="98">
        <f t="shared" si="2"/>
        <v>0</v>
      </c>
      <c r="G12" s="64">
        <f t="shared" si="3"/>
        <v>0</v>
      </c>
      <c r="J12" s="370"/>
      <c r="K12" s="66" t="s">
        <v>365</v>
      </c>
      <c r="L12" s="64">
        <v>0</v>
      </c>
      <c r="M12" s="64">
        <v>0</v>
      </c>
      <c r="N12" s="64">
        <v>0</v>
      </c>
      <c r="O12" s="64">
        <v>0</v>
      </c>
      <c r="Q12" s="369"/>
      <c r="R12" s="369"/>
      <c r="S12" s="369"/>
    </row>
    <row r="13" spans="1:19" ht="14.25" customHeight="1" x14ac:dyDescent="0.25">
      <c r="A13" s="66" t="s">
        <v>366</v>
      </c>
      <c r="B13" s="63">
        <v>200</v>
      </c>
      <c r="C13" s="64">
        <f t="shared" si="0"/>
        <v>16</v>
      </c>
      <c r="D13" s="64">
        <f t="shared" si="1"/>
        <v>152</v>
      </c>
      <c r="E13" s="63">
        <v>50</v>
      </c>
      <c r="F13" s="98">
        <f t="shared" si="2"/>
        <v>15.46</v>
      </c>
      <c r="G13" s="64">
        <f t="shared" si="3"/>
        <v>34</v>
      </c>
      <c r="J13" s="370"/>
      <c r="K13" s="66" t="s">
        <v>366</v>
      </c>
      <c r="L13" s="64">
        <v>16</v>
      </c>
      <c r="M13" s="64">
        <v>152</v>
      </c>
      <c r="N13" s="64">
        <v>15.46</v>
      </c>
      <c r="O13" s="64">
        <v>34</v>
      </c>
      <c r="Q13" s="369" t="s">
        <v>367</v>
      </c>
      <c r="R13" s="369"/>
      <c r="S13" s="369"/>
    </row>
    <row r="14" spans="1:19" x14ac:dyDescent="0.25">
      <c r="A14" s="66" t="s">
        <v>368</v>
      </c>
      <c r="B14" s="63">
        <v>200</v>
      </c>
      <c r="C14" s="64">
        <f t="shared" si="0"/>
        <v>8</v>
      </c>
      <c r="D14" s="64">
        <f t="shared" si="1"/>
        <v>36</v>
      </c>
      <c r="E14" s="63">
        <v>50</v>
      </c>
      <c r="F14" s="98">
        <f t="shared" si="2"/>
        <v>7.76</v>
      </c>
      <c r="G14" s="64">
        <f t="shared" si="3"/>
        <v>12</v>
      </c>
      <c r="J14" s="370"/>
      <c r="K14" s="66" t="s">
        <v>368</v>
      </c>
      <c r="L14" s="64">
        <v>8</v>
      </c>
      <c r="M14" s="64">
        <v>36</v>
      </c>
      <c r="N14" s="64">
        <v>7.76</v>
      </c>
      <c r="O14" s="64">
        <v>12</v>
      </c>
      <c r="Q14" s="369"/>
      <c r="R14" s="369"/>
      <c r="S14" s="369"/>
    </row>
    <row r="15" spans="1:19" x14ac:dyDescent="0.25">
      <c r="A15" s="66" t="s">
        <v>369</v>
      </c>
      <c r="B15" s="63">
        <v>200</v>
      </c>
      <c r="C15" s="64">
        <f t="shared" si="0"/>
        <v>6</v>
      </c>
      <c r="D15" s="64">
        <f t="shared" si="1"/>
        <v>13</v>
      </c>
      <c r="E15" s="63">
        <v>50</v>
      </c>
      <c r="F15" s="98">
        <f t="shared" si="2"/>
        <v>6.23</v>
      </c>
      <c r="G15" s="64">
        <f t="shared" si="3"/>
        <v>7</v>
      </c>
      <c r="J15" s="370"/>
      <c r="K15" s="66" t="s">
        <v>369</v>
      </c>
      <c r="L15" s="64">
        <v>6</v>
      </c>
      <c r="M15" s="64">
        <v>13</v>
      </c>
      <c r="N15" s="64">
        <v>6.23</v>
      </c>
      <c r="O15" s="64">
        <v>7</v>
      </c>
      <c r="Q15" s="369"/>
      <c r="R15" s="369"/>
      <c r="S15" s="369"/>
    </row>
    <row r="16" spans="1:19" x14ac:dyDescent="0.25">
      <c r="A16" s="66" t="s">
        <v>370</v>
      </c>
      <c r="B16" s="63">
        <v>200</v>
      </c>
      <c r="C16" s="64">
        <f t="shared" si="0"/>
        <v>6</v>
      </c>
      <c r="D16" s="64">
        <f t="shared" si="1"/>
        <v>8</v>
      </c>
      <c r="E16" s="63">
        <v>50</v>
      </c>
      <c r="F16" s="98">
        <f t="shared" si="2"/>
        <v>5.92</v>
      </c>
      <c r="G16" s="64">
        <f t="shared" si="3"/>
        <v>7</v>
      </c>
      <c r="J16" s="370"/>
      <c r="K16" s="66" t="s">
        <v>370</v>
      </c>
      <c r="L16" s="64">
        <v>6</v>
      </c>
      <c r="M16" s="64">
        <v>8</v>
      </c>
      <c r="N16" s="64">
        <v>5.92</v>
      </c>
      <c r="O16" s="64">
        <v>7</v>
      </c>
      <c r="Q16" s="369"/>
      <c r="R16" s="369"/>
      <c r="S16" s="369"/>
    </row>
    <row r="17" spans="1:15" x14ac:dyDescent="0.25">
      <c r="A17" s="66" t="s">
        <v>371</v>
      </c>
      <c r="B17" s="63">
        <v>200</v>
      </c>
      <c r="C17" s="64">
        <f t="shared" si="0"/>
        <v>6</v>
      </c>
      <c r="D17" s="64">
        <f t="shared" si="1"/>
        <v>25</v>
      </c>
      <c r="E17" s="63">
        <v>50</v>
      </c>
      <c r="F17" s="98">
        <f t="shared" si="2"/>
        <v>6.11</v>
      </c>
      <c r="G17" s="64">
        <f t="shared" si="3"/>
        <v>10</v>
      </c>
      <c r="J17" s="370"/>
      <c r="K17" s="66" t="s">
        <v>371</v>
      </c>
      <c r="L17" s="64">
        <v>6</v>
      </c>
      <c r="M17" s="64">
        <v>25</v>
      </c>
      <c r="N17" s="64">
        <v>6.11</v>
      </c>
      <c r="O17" s="64">
        <v>10</v>
      </c>
    </row>
    <row r="18" spans="1:15" x14ac:dyDescent="0.25">
      <c r="A18" s="66" t="s">
        <v>372</v>
      </c>
      <c r="B18" s="63">
        <v>200</v>
      </c>
      <c r="C18" s="64">
        <f t="shared" si="0"/>
        <v>6</v>
      </c>
      <c r="D18" s="64">
        <f t="shared" si="1"/>
        <v>14</v>
      </c>
      <c r="E18" s="63">
        <v>50</v>
      </c>
      <c r="F18" s="98">
        <f t="shared" si="2"/>
        <v>6</v>
      </c>
      <c r="G18" s="64">
        <f t="shared" si="3"/>
        <v>8</v>
      </c>
      <c r="J18" s="370"/>
      <c r="K18" s="66" t="s">
        <v>372</v>
      </c>
      <c r="L18" s="64">
        <v>6</v>
      </c>
      <c r="M18" s="64">
        <v>14</v>
      </c>
      <c r="N18" s="64">
        <v>6</v>
      </c>
      <c r="O18" s="64">
        <v>8</v>
      </c>
    </row>
    <row r="19" spans="1:15" x14ac:dyDescent="0.25">
      <c r="J19" s="370"/>
      <c r="K19" s="62" t="s">
        <v>373</v>
      </c>
      <c r="L19" s="97">
        <f>AVERAGE(L7:L18)</f>
        <v>6.083333333333333</v>
      </c>
      <c r="M19" s="62">
        <f>MAX(M7:M18)</f>
        <v>152</v>
      </c>
      <c r="N19" s="97">
        <f>AVERAGE(N7:N18)</f>
        <v>6.060833333333334</v>
      </c>
      <c r="O19" s="62">
        <f>MAX(O7:O18)</f>
        <v>34</v>
      </c>
    </row>
    <row r="21" spans="1:15" x14ac:dyDescent="0.25">
      <c r="J21" s="61"/>
      <c r="K21" s="61"/>
      <c r="L21" s="67"/>
      <c r="M21" s="67"/>
      <c r="N21" s="67"/>
      <c r="O21" s="67"/>
    </row>
    <row r="22" spans="1:15" x14ac:dyDescent="0.25">
      <c r="J22" s="370"/>
      <c r="K22" s="66"/>
      <c r="L22" s="64"/>
      <c r="M22" s="64"/>
      <c r="N22" s="64"/>
      <c r="O22" s="64"/>
    </row>
    <row r="23" spans="1:15" x14ac:dyDescent="0.25">
      <c r="J23" s="370"/>
      <c r="K23" s="66"/>
      <c r="L23" s="64"/>
      <c r="M23" s="64"/>
      <c r="N23" s="64"/>
      <c r="O23" s="64"/>
    </row>
    <row r="24" spans="1:15" x14ac:dyDescent="0.25">
      <c r="J24" s="370"/>
      <c r="K24" s="66"/>
      <c r="L24" s="64"/>
      <c r="M24" s="64"/>
      <c r="N24" s="64"/>
      <c r="O24" s="64"/>
    </row>
    <row r="25" spans="1:15" x14ac:dyDescent="0.25">
      <c r="J25" s="370"/>
      <c r="K25" s="66"/>
      <c r="L25" s="64"/>
      <c r="M25" s="64"/>
      <c r="N25" s="64"/>
      <c r="O25" s="64"/>
    </row>
    <row r="26" spans="1:15" x14ac:dyDescent="0.25">
      <c r="J26" s="370"/>
      <c r="K26" s="66"/>
      <c r="L26" s="64"/>
      <c r="M26" s="64"/>
      <c r="N26" s="64"/>
      <c r="O26" s="64"/>
    </row>
    <row r="27" spans="1:15" x14ac:dyDescent="0.25">
      <c r="J27" s="370"/>
      <c r="K27" s="66"/>
      <c r="L27" s="64"/>
      <c r="M27" s="64"/>
      <c r="N27" s="64"/>
      <c r="O27" s="64"/>
    </row>
    <row r="28" spans="1:15" x14ac:dyDescent="0.25">
      <c r="J28" s="370"/>
      <c r="K28" s="66"/>
      <c r="L28" s="64"/>
      <c r="M28" s="64"/>
      <c r="N28" s="64"/>
      <c r="O28" s="64"/>
    </row>
    <row r="29" spans="1:15" x14ac:dyDescent="0.25">
      <c r="J29" s="370"/>
      <c r="K29" s="66"/>
      <c r="L29" s="64"/>
      <c r="M29" s="64"/>
      <c r="N29" s="64"/>
      <c r="O29" s="64"/>
    </row>
    <row r="30" spans="1:15" x14ac:dyDescent="0.25">
      <c r="J30" s="370"/>
      <c r="K30" s="66"/>
      <c r="L30" s="64"/>
      <c r="M30" s="64"/>
      <c r="N30" s="64"/>
      <c r="O30" s="64"/>
    </row>
    <row r="31" spans="1:15" x14ac:dyDescent="0.25">
      <c r="J31" s="370"/>
      <c r="K31" s="66"/>
      <c r="L31" s="64"/>
      <c r="M31" s="64"/>
      <c r="N31" s="64"/>
      <c r="O31" s="64"/>
    </row>
    <row r="32" spans="1:15" x14ac:dyDescent="0.25">
      <c r="J32" s="370"/>
      <c r="K32" s="66"/>
      <c r="L32" s="64"/>
      <c r="M32" s="64"/>
      <c r="N32" s="64"/>
      <c r="O32" s="64"/>
    </row>
    <row r="33" spans="1:15" x14ac:dyDescent="0.25">
      <c r="J33" s="370"/>
      <c r="K33" s="66"/>
      <c r="L33" s="64"/>
      <c r="M33" s="64"/>
      <c r="N33" s="64"/>
      <c r="O33" s="64"/>
    </row>
    <row r="34" spans="1:15" x14ac:dyDescent="0.25">
      <c r="J34" s="370"/>
      <c r="K34" s="62"/>
      <c r="L34" s="62"/>
      <c r="M34" s="62"/>
      <c r="N34" s="62"/>
      <c r="O34" s="62"/>
    </row>
    <row r="36" spans="1:15" x14ac:dyDescent="0.25">
      <c r="J36" s="61"/>
      <c r="K36" s="61"/>
      <c r="L36" s="67"/>
      <c r="M36" s="67"/>
      <c r="N36" s="67"/>
      <c r="O36" s="67"/>
    </row>
    <row r="37" spans="1:15" x14ac:dyDescent="0.25">
      <c r="J37" s="370"/>
      <c r="K37" s="66"/>
      <c r="L37" s="64"/>
      <c r="M37" s="64"/>
      <c r="N37" s="64"/>
      <c r="O37" s="64"/>
    </row>
    <row r="38" spans="1:15" x14ac:dyDescent="0.25">
      <c r="J38" s="370"/>
      <c r="K38" s="66"/>
      <c r="L38" s="64"/>
      <c r="M38" s="64"/>
      <c r="N38" s="64"/>
      <c r="O38" s="64"/>
    </row>
    <row r="39" spans="1:15" x14ac:dyDescent="0.25">
      <c r="J39" s="370"/>
      <c r="K39" s="66"/>
      <c r="L39" s="64"/>
      <c r="M39" s="64"/>
      <c r="N39" s="64"/>
      <c r="O39" s="64"/>
    </row>
    <row r="40" spans="1:15" x14ac:dyDescent="0.25">
      <c r="J40" s="370"/>
      <c r="K40" s="66"/>
      <c r="L40" s="64"/>
      <c r="M40" s="64"/>
      <c r="N40" s="64"/>
      <c r="O40" s="64"/>
    </row>
    <row r="41" spans="1:15" x14ac:dyDescent="0.25">
      <c r="J41" s="370"/>
      <c r="K41" s="66"/>
      <c r="L41" s="64"/>
      <c r="M41" s="64"/>
      <c r="N41" s="64"/>
      <c r="O41" s="64"/>
    </row>
    <row r="42" spans="1:15" x14ac:dyDescent="0.25">
      <c r="J42" s="370"/>
      <c r="K42" s="66"/>
      <c r="L42" s="64"/>
      <c r="M42" s="64"/>
      <c r="N42" s="64"/>
      <c r="O42" s="64"/>
    </row>
    <row r="43" spans="1:15" x14ac:dyDescent="0.25">
      <c r="J43" s="370"/>
      <c r="K43" s="66"/>
      <c r="L43" s="64"/>
      <c r="M43" s="64"/>
      <c r="N43" s="64"/>
      <c r="O43" s="64"/>
    </row>
    <row r="44" spans="1:15" x14ac:dyDescent="0.25">
      <c r="J44" s="370"/>
      <c r="K44" s="66"/>
      <c r="L44" s="64"/>
      <c r="M44" s="64"/>
      <c r="N44" s="64"/>
      <c r="O44" s="64"/>
    </row>
    <row r="45" spans="1:15" x14ac:dyDescent="0.25">
      <c r="J45" s="370"/>
      <c r="K45" s="66"/>
      <c r="L45" s="64"/>
      <c r="M45" s="64"/>
      <c r="N45" s="64"/>
      <c r="O45" s="64"/>
    </row>
    <row r="46" spans="1:15" x14ac:dyDescent="0.25">
      <c r="J46" s="370"/>
      <c r="K46" s="66"/>
      <c r="L46" s="64"/>
      <c r="M46" s="64"/>
      <c r="N46" s="64"/>
      <c r="O46" s="64"/>
    </row>
    <row r="47" spans="1:15" x14ac:dyDescent="0.25">
      <c r="J47" s="370"/>
      <c r="K47" s="66"/>
      <c r="L47" s="64"/>
      <c r="M47" s="64"/>
      <c r="N47" s="64"/>
      <c r="O47" s="64"/>
    </row>
    <row r="48" spans="1:15" x14ac:dyDescent="0.25">
      <c r="A48" s="382" t="s">
        <v>269</v>
      </c>
      <c r="B48" s="383"/>
      <c r="C48" s="383"/>
      <c r="D48" s="383"/>
      <c r="E48" s="383"/>
      <c r="F48" s="383"/>
      <c r="G48" s="384"/>
      <c r="J48" s="370"/>
      <c r="K48" s="66"/>
      <c r="L48" s="64"/>
      <c r="M48" s="64"/>
      <c r="N48" s="64"/>
      <c r="O48" s="64"/>
    </row>
    <row r="49" spans="1:15" x14ac:dyDescent="0.25">
      <c r="A49" s="373"/>
      <c r="B49" s="374"/>
      <c r="C49" s="374"/>
      <c r="D49" s="374"/>
      <c r="E49" s="374"/>
      <c r="F49" s="374"/>
      <c r="G49" s="375"/>
      <c r="J49" s="370"/>
      <c r="K49" s="62"/>
      <c r="L49" s="62"/>
      <c r="M49" s="62"/>
      <c r="N49" s="62"/>
      <c r="O49" s="62"/>
    </row>
    <row r="50" spans="1:15" x14ac:dyDescent="0.25">
      <c r="A50" s="376"/>
      <c r="B50" s="377"/>
      <c r="C50" s="377"/>
      <c r="D50" s="377"/>
      <c r="E50" s="377"/>
      <c r="F50" s="377"/>
      <c r="G50" s="378"/>
    </row>
    <row r="51" spans="1:15" x14ac:dyDescent="0.25">
      <c r="A51" s="376"/>
      <c r="B51" s="377"/>
      <c r="C51" s="377"/>
      <c r="D51" s="377"/>
      <c r="E51" s="377"/>
      <c r="F51" s="377"/>
      <c r="G51" s="378"/>
      <c r="J51" s="61"/>
      <c r="K51" s="61"/>
      <c r="L51" s="67"/>
      <c r="M51" s="67"/>
      <c r="N51" s="67"/>
      <c r="O51" s="67"/>
    </row>
    <row r="52" spans="1:15" x14ac:dyDescent="0.25">
      <c r="A52" s="379"/>
      <c r="B52" s="380"/>
      <c r="C52" s="380"/>
      <c r="D52" s="380"/>
      <c r="E52" s="380"/>
      <c r="F52" s="380"/>
      <c r="G52" s="381"/>
      <c r="J52" s="370"/>
      <c r="K52" s="66"/>
      <c r="L52" s="64"/>
      <c r="M52" s="64"/>
      <c r="N52" s="64"/>
      <c r="O52" s="64"/>
    </row>
    <row r="53" spans="1:15" x14ac:dyDescent="0.25">
      <c r="J53" s="370"/>
      <c r="K53" s="66"/>
      <c r="L53" s="64"/>
      <c r="M53" s="64"/>
      <c r="N53" s="64"/>
      <c r="O53" s="64"/>
    </row>
    <row r="54" spans="1:15" x14ac:dyDescent="0.25">
      <c r="J54" s="370"/>
      <c r="K54" s="66"/>
      <c r="L54" s="64"/>
      <c r="M54" s="64"/>
      <c r="N54" s="64"/>
      <c r="O54" s="64"/>
    </row>
    <row r="55" spans="1:15" x14ac:dyDescent="0.25">
      <c r="J55" s="370"/>
      <c r="K55" s="66"/>
      <c r="L55" s="64"/>
      <c r="M55" s="64"/>
      <c r="N55" s="64"/>
      <c r="O55" s="64"/>
    </row>
    <row r="56" spans="1:15" x14ac:dyDescent="0.25">
      <c r="J56" s="370"/>
      <c r="K56" s="66"/>
      <c r="L56" s="64"/>
      <c r="M56" s="64"/>
      <c r="N56" s="64"/>
      <c r="O56" s="64"/>
    </row>
    <row r="57" spans="1:15" x14ac:dyDescent="0.25">
      <c r="J57" s="370"/>
      <c r="K57" s="66"/>
      <c r="L57" s="64"/>
      <c r="M57" s="64"/>
      <c r="N57" s="64"/>
      <c r="O57" s="64"/>
    </row>
    <row r="58" spans="1:15" x14ac:dyDescent="0.25">
      <c r="J58" s="370"/>
      <c r="K58" s="66"/>
      <c r="L58" s="64"/>
      <c r="M58" s="64"/>
      <c r="N58" s="64"/>
      <c r="O58" s="64"/>
    </row>
    <row r="59" spans="1:15" x14ac:dyDescent="0.25">
      <c r="J59" s="370"/>
      <c r="K59" s="66"/>
      <c r="L59" s="64"/>
      <c r="M59" s="64"/>
      <c r="N59" s="64"/>
      <c r="O59" s="64"/>
    </row>
    <row r="60" spans="1:15" x14ac:dyDescent="0.25">
      <c r="J60" s="370"/>
      <c r="K60" s="66"/>
      <c r="L60" s="64"/>
      <c r="M60" s="64"/>
      <c r="N60" s="64"/>
      <c r="O60" s="64"/>
    </row>
    <row r="61" spans="1:15" x14ac:dyDescent="0.25">
      <c r="J61" s="370"/>
      <c r="K61" s="66"/>
      <c r="L61" s="64"/>
      <c r="M61" s="64"/>
      <c r="N61" s="64"/>
      <c r="O61" s="64"/>
    </row>
    <row r="62" spans="1:15" x14ac:dyDescent="0.25">
      <c r="J62" s="370"/>
      <c r="K62" s="66"/>
      <c r="L62" s="64"/>
      <c r="M62" s="64"/>
      <c r="N62" s="64"/>
      <c r="O62" s="64"/>
    </row>
    <row r="63" spans="1:15" x14ac:dyDescent="0.25">
      <c r="J63" s="370"/>
      <c r="K63" s="66"/>
      <c r="L63" s="64"/>
      <c r="M63" s="64"/>
      <c r="N63" s="64"/>
      <c r="O63" s="64"/>
    </row>
    <row r="64" spans="1:15" x14ac:dyDescent="0.25">
      <c r="J64" s="370"/>
      <c r="K64" s="62"/>
      <c r="L64" s="62"/>
      <c r="M64" s="62"/>
      <c r="N64" s="62"/>
      <c r="O64" s="62"/>
    </row>
    <row r="66" spans="10:15" x14ac:dyDescent="0.25">
      <c r="J66" s="61"/>
      <c r="K66" s="61"/>
      <c r="L66" s="67"/>
      <c r="M66" s="67"/>
      <c r="N66" s="67"/>
      <c r="O66" s="67"/>
    </row>
    <row r="67" spans="10:15" x14ac:dyDescent="0.25">
      <c r="J67" s="370"/>
      <c r="K67" s="66"/>
      <c r="L67" s="64"/>
      <c r="M67" s="64"/>
      <c r="N67" s="64"/>
      <c r="O67" s="64"/>
    </row>
    <row r="68" spans="10:15" x14ac:dyDescent="0.25">
      <c r="J68" s="370"/>
      <c r="K68" s="66"/>
      <c r="L68" s="64"/>
      <c r="M68" s="64"/>
      <c r="N68" s="64"/>
      <c r="O68" s="64"/>
    </row>
    <row r="69" spans="10:15" x14ac:dyDescent="0.25">
      <c r="J69" s="370"/>
      <c r="K69" s="66"/>
      <c r="L69" s="64"/>
      <c r="M69" s="64"/>
      <c r="N69" s="64"/>
      <c r="O69" s="64"/>
    </row>
    <row r="70" spans="10:15" x14ac:dyDescent="0.25">
      <c r="J70" s="370"/>
      <c r="K70" s="66"/>
      <c r="L70" s="64"/>
      <c r="M70" s="64"/>
      <c r="N70" s="64"/>
      <c r="O70" s="64"/>
    </row>
    <row r="71" spans="10:15" x14ac:dyDescent="0.25">
      <c r="J71" s="370"/>
      <c r="K71" s="66"/>
      <c r="L71" s="64"/>
      <c r="M71" s="64"/>
      <c r="N71" s="64"/>
      <c r="O71" s="64"/>
    </row>
    <row r="72" spans="10:15" x14ac:dyDescent="0.25">
      <c r="J72" s="370"/>
      <c r="K72" s="66"/>
      <c r="L72" s="64"/>
      <c r="M72" s="64"/>
      <c r="N72" s="64"/>
      <c r="O72" s="64"/>
    </row>
    <row r="73" spans="10:15" x14ac:dyDescent="0.25">
      <c r="J73" s="370"/>
      <c r="K73" s="66"/>
      <c r="L73" s="64"/>
      <c r="M73" s="64"/>
      <c r="N73" s="64"/>
      <c r="O73" s="64"/>
    </row>
    <row r="74" spans="10:15" x14ac:dyDescent="0.25">
      <c r="J74" s="370"/>
      <c r="K74" s="66"/>
      <c r="L74" s="64"/>
      <c r="M74" s="64"/>
      <c r="N74" s="64"/>
      <c r="O74" s="64"/>
    </row>
    <row r="75" spans="10:15" x14ac:dyDescent="0.25">
      <c r="J75" s="370"/>
      <c r="K75" s="66"/>
      <c r="L75" s="64"/>
      <c r="M75" s="64"/>
      <c r="N75" s="64"/>
      <c r="O75" s="64"/>
    </row>
    <row r="76" spans="10:15" x14ac:dyDescent="0.25">
      <c r="J76" s="370"/>
      <c r="K76" s="66"/>
      <c r="L76" s="64"/>
      <c r="M76" s="64"/>
      <c r="N76" s="64"/>
      <c r="O76" s="64"/>
    </row>
    <row r="77" spans="10:15" x14ac:dyDescent="0.25">
      <c r="J77" s="370"/>
      <c r="K77" s="66"/>
      <c r="L77" s="64"/>
      <c r="M77" s="64"/>
      <c r="N77" s="64"/>
      <c r="O77" s="64"/>
    </row>
    <row r="78" spans="10:15" x14ac:dyDescent="0.25">
      <c r="J78" s="370"/>
      <c r="K78" s="66"/>
      <c r="L78" s="64"/>
      <c r="M78" s="64"/>
      <c r="N78" s="64"/>
      <c r="O78" s="64"/>
    </row>
    <row r="79" spans="10:15" x14ac:dyDescent="0.25">
      <c r="J79" s="370"/>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view="pageBreakPreview" zoomScale="60" zoomScaleNormal="100" workbookViewId="0">
      <selection activeCell="C41" sqref="C41:I4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Boston Energy Production Facility</v>
      </c>
      <c r="F1" s="92"/>
    </row>
    <row r="3" spans="1:19" ht="14.4" x14ac:dyDescent="0.3">
      <c r="A3" s="60" t="s">
        <v>377</v>
      </c>
      <c r="D3" s="76" t="s">
        <v>342</v>
      </c>
      <c r="G3" s="79" t="s">
        <v>343</v>
      </c>
      <c r="J3" s="9" t="str">
        <f>+A3</f>
        <v>Monitoring of Oxides of Nitrogen emissions</v>
      </c>
      <c r="L3" s="9"/>
      <c r="N3" s="9" t="s">
        <v>344</v>
      </c>
      <c r="Q3" s="78" t="s">
        <v>3</v>
      </c>
      <c r="R3" s="74"/>
      <c r="S3" s="74"/>
    </row>
    <row r="4" spans="1:19" ht="13.95" customHeight="1" x14ac:dyDescent="0.25">
      <c r="Q4" s="346" t="s">
        <v>345</v>
      </c>
      <c r="R4" s="346"/>
      <c r="S4" s="346"/>
    </row>
    <row r="5" spans="1:19" ht="16.2" x14ac:dyDescent="0.25">
      <c r="A5" s="68" t="s">
        <v>346</v>
      </c>
      <c r="B5" s="372" t="s">
        <v>347</v>
      </c>
      <c r="C5" s="372"/>
      <c r="D5" s="372"/>
      <c r="E5" s="372" t="s">
        <v>348</v>
      </c>
      <c r="F5" s="372"/>
      <c r="G5" s="372"/>
      <c r="J5" s="371"/>
      <c r="K5" s="371"/>
      <c r="L5" s="371"/>
      <c r="M5" s="371"/>
      <c r="N5" s="371"/>
      <c r="O5" s="371"/>
      <c r="Q5" s="346"/>
      <c r="R5" s="346"/>
      <c r="S5" s="346"/>
    </row>
    <row r="6" spans="1:19" s="58" customFormat="1" ht="37.5" customHeight="1" x14ac:dyDescent="0.3">
      <c r="A6" s="65">
        <f>+'Cover Page'!C39</f>
        <v>2022</v>
      </c>
      <c r="B6" s="55" t="s">
        <v>378</v>
      </c>
      <c r="C6" s="55" t="s">
        <v>350</v>
      </c>
      <c r="D6" s="55" t="s">
        <v>351</v>
      </c>
      <c r="E6" s="55" t="s">
        <v>379</v>
      </c>
      <c r="F6" s="55" t="s">
        <v>353</v>
      </c>
      <c r="G6" s="55" t="s">
        <v>354</v>
      </c>
      <c r="H6" s="59"/>
      <c r="J6" s="61">
        <f>+A6</f>
        <v>2022</v>
      </c>
      <c r="K6" s="61" t="s">
        <v>355</v>
      </c>
      <c r="L6" s="67" t="s">
        <v>350</v>
      </c>
      <c r="M6" s="67" t="s">
        <v>356</v>
      </c>
      <c r="N6" s="67" t="s">
        <v>353</v>
      </c>
      <c r="O6" s="67" t="s">
        <v>357</v>
      </c>
      <c r="Q6" s="346"/>
      <c r="R6" s="346"/>
      <c r="S6" s="346"/>
    </row>
    <row r="7" spans="1:19" x14ac:dyDescent="0.25">
      <c r="A7" s="66" t="s">
        <v>358</v>
      </c>
      <c r="B7" s="63">
        <v>400</v>
      </c>
      <c r="C7" s="64">
        <f>L7</f>
        <v>67</v>
      </c>
      <c r="D7" s="64">
        <f>M7</f>
        <v>94</v>
      </c>
      <c r="E7" s="63">
        <v>200</v>
      </c>
      <c r="F7" s="98">
        <f>N7</f>
        <v>66.5</v>
      </c>
      <c r="G7" s="64">
        <f>O7</f>
        <v>80</v>
      </c>
      <c r="J7" s="370" t="s">
        <v>182</v>
      </c>
      <c r="K7" s="66" t="s">
        <v>358</v>
      </c>
      <c r="L7" s="64">
        <v>67</v>
      </c>
      <c r="M7" s="64">
        <v>94</v>
      </c>
      <c r="N7" s="64">
        <v>66.5</v>
      </c>
      <c r="O7" s="64">
        <v>80</v>
      </c>
      <c r="Q7" s="346"/>
      <c r="R7" s="346"/>
      <c r="S7" s="346"/>
    </row>
    <row r="8" spans="1:19" x14ac:dyDescent="0.25">
      <c r="A8" s="66" t="s">
        <v>359</v>
      </c>
      <c r="B8" s="63">
        <v>400</v>
      </c>
      <c r="C8" s="64">
        <f t="shared" ref="C8:C18" si="0">L8</f>
        <v>73</v>
      </c>
      <c r="D8" s="64">
        <f t="shared" ref="D8:D18" si="1">M8</f>
        <v>90</v>
      </c>
      <c r="E8" s="63">
        <v>200</v>
      </c>
      <c r="F8" s="98">
        <f t="shared" ref="F8:F18" si="2">N8</f>
        <v>72.72</v>
      </c>
      <c r="G8" s="64">
        <f t="shared" ref="G8:G18" si="3">O8</f>
        <v>83</v>
      </c>
      <c r="J8" s="370"/>
      <c r="K8" s="66" t="s">
        <v>359</v>
      </c>
      <c r="L8" s="64">
        <v>73</v>
      </c>
      <c r="M8" s="64">
        <v>90</v>
      </c>
      <c r="N8" s="64">
        <v>72.72</v>
      </c>
      <c r="O8" s="64">
        <v>83</v>
      </c>
      <c r="Q8" s="346"/>
      <c r="R8" s="346"/>
      <c r="S8" s="346"/>
    </row>
    <row r="9" spans="1:19" x14ac:dyDescent="0.25">
      <c r="A9" s="66" t="s">
        <v>360</v>
      </c>
      <c r="B9" s="63">
        <v>400</v>
      </c>
      <c r="C9" s="64">
        <f t="shared" si="0"/>
        <v>63</v>
      </c>
      <c r="D9" s="64">
        <f t="shared" si="1"/>
        <v>86</v>
      </c>
      <c r="E9" s="63">
        <v>200</v>
      </c>
      <c r="F9" s="98">
        <f t="shared" si="2"/>
        <v>63.18</v>
      </c>
      <c r="G9" s="64">
        <f t="shared" si="3"/>
        <v>74</v>
      </c>
      <c r="J9" s="370"/>
      <c r="K9" s="66" t="s">
        <v>360</v>
      </c>
      <c r="L9" s="64">
        <v>63</v>
      </c>
      <c r="M9" s="64">
        <v>86</v>
      </c>
      <c r="N9" s="64">
        <v>63.18</v>
      </c>
      <c r="O9" s="64">
        <v>74</v>
      </c>
      <c r="Q9" s="77" t="s">
        <v>361</v>
      </c>
    </row>
    <row r="10" spans="1:19" ht="14.25" customHeight="1" x14ac:dyDescent="0.25">
      <c r="A10" s="66" t="s">
        <v>362</v>
      </c>
      <c r="B10" s="63">
        <v>400</v>
      </c>
      <c r="C10" s="64">
        <f t="shared" si="0"/>
        <v>0</v>
      </c>
      <c r="D10" s="64">
        <f t="shared" si="1"/>
        <v>0</v>
      </c>
      <c r="E10" s="63">
        <v>200</v>
      </c>
      <c r="F10" s="98">
        <f t="shared" si="2"/>
        <v>0</v>
      </c>
      <c r="G10" s="64">
        <f t="shared" si="3"/>
        <v>0</v>
      </c>
      <c r="J10" s="370"/>
      <c r="K10" s="66" t="s">
        <v>362</v>
      </c>
      <c r="L10" s="64">
        <v>0</v>
      </c>
      <c r="M10" s="64">
        <v>0</v>
      </c>
      <c r="N10" s="64">
        <v>0</v>
      </c>
      <c r="O10" s="64">
        <v>0</v>
      </c>
      <c r="Q10" s="369" t="s">
        <v>363</v>
      </c>
      <c r="R10" s="369"/>
      <c r="S10" s="369"/>
    </row>
    <row r="11" spans="1:19" x14ac:dyDescent="0.25">
      <c r="A11" s="66" t="s">
        <v>364</v>
      </c>
      <c r="B11" s="63">
        <v>400</v>
      </c>
      <c r="C11" s="64">
        <f t="shared" si="0"/>
        <v>0</v>
      </c>
      <c r="D11" s="64">
        <f t="shared" si="1"/>
        <v>0</v>
      </c>
      <c r="E11" s="63">
        <v>200</v>
      </c>
      <c r="F11" s="98">
        <f t="shared" si="2"/>
        <v>0</v>
      </c>
      <c r="G11" s="64">
        <f t="shared" si="3"/>
        <v>0</v>
      </c>
      <c r="J11" s="370"/>
      <c r="K11" s="66" t="s">
        <v>364</v>
      </c>
      <c r="L11" s="64">
        <v>0</v>
      </c>
      <c r="M11" s="64">
        <v>0</v>
      </c>
      <c r="N11" s="64">
        <v>0</v>
      </c>
      <c r="O11" s="64">
        <v>0</v>
      </c>
      <c r="Q11" s="369"/>
      <c r="R11" s="369"/>
      <c r="S11" s="369"/>
    </row>
    <row r="12" spans="1:19" x14ac:dyDescent="0.25">
      <c r="A12" s="66" t="s">
        <v>365</v>
      </c>
      <c r="B12" s="63">
        <v>400</v>
      </c>
      <c r="C12" s="64">
        <f t="shared" si="0"/>
        <v>0</v>
      </c>
      <c r="D12" s="64">
        <f t="shared" si="1"/>
        <v>0</v>
      </c>
      <c r="E12" s="63">
        <v>200</v>
      </c>
      <c r="F12" s="98">
        <f t="shared" si="2"/>
        <v>0</v>
      </c>
      <c r="G12" s="64">
        <f t="shared" si="3"/>
        <v>0</v>
      </c>
      <c r="J12" s="370"/>
      <c r="K12" s="66" t="s">
        <v>365</v>
      </c>
      <c r="L12" s="64">
        <v>0</v>
      </c>
      <c r="M12" s="64">
        <v>0</v>
      </c>
      <c r="N12" s="64">
        <v>0</v>
      </c>
      <c r="O12" s="64">
        <v>0</v>
      </c>
      <c r="Q12" s="369"/>
      <c r="R12" s="369"/>
      <c r="S12" s="369"/>
    </row>
    <row r="13" spans="1:19" ht="14.25" customHeight="1" x14ac:dyDescent="0.25">
      <c r="A13" s="66" t="s">
        <v>366</v>
      </c>
      <c r="B13" s="63">
        <v>400</v>
      </c>
      <c r="C13" s="64">
        <f t="shared" si="0"/>
        <v>145</v>
      </c>
      <c r="D13" s="64">
        <f t="shared" si="1"/>
        <v>246</v>
      </c>
      <c r="E13" s="63">
        <v>200</v>
      </c>
      <c r="F13" s="98">
        <f t="shared" si="2"/>
        <v>144.53</v>
      </c>
      <c r="G13" s="64">
        <f t="shared" si="3"/>
        <v>169</v>
      </c>
      <c r="J13" s="370"/>
      <c r="K13" s="66" t="s">
        <v>366</v>
      </c>
      <c r="L13" s="64">
        <v>145</v>
      </c>
      <c r="M13" s="64">
        <v>246</v>
      </c>
      <c r="N13" s="64">
        <v>144.53</v>
      </c>
      <c r="O13" s="64">
        <v>169</v>
      </c>
      <c r="Q13" s="369" t="s">
        <v>367</v>
      </c>
      <c r="R13" s="369"/>
      <c r="S13" s="369"/>
    </row>
    <row r="14" spans="1:19" x14ac:dyDescent="0.25">
      <c r="A14" s="66" t="s">
        <v>368</v>
      </c>
      <c r="B14" s="63">
        <v>400</v>
      </c>
      <c r="C14" s="64">
        <f t="shared" si="0"/>
        <v>86</v>
      </c>
      <c r="D14" s="64">
        <f t="shared" si="1"/>
        <v>162</v>
      </c>
      <c r="E14" s="63">
        <v>200</v>
      </c>
      <c r="F14" s="98">
        <f t="shared" si="2"/>
        <v>86.23</v>
      </c>
      <c r="G14" s="64">
        <f t="shared" si="3"/>
        <v>114</v>
      </c>
      <c r="J14" s="370"/>
      <c r="K14" s="66" t="s">
        <v>368</v>
      </c>
      <c r="L14" s="64">
        <v>86</v>
      </c>
      <c r="M14" s="64">
        <v>162</v>
      </c>
      <c r="N14" s="64">
        <v>86.23</v>
      </c>
      <c r="O14" s="64">
        <v>114</v>
      </c>
      <c r="Q14" s="369"/>
      <c r="R14" s="369"/>
      <c r="S14" s="369"/>
    </row>
    <row r="15" spans="1:19" x14ac:dyDescent="0.25">
      <c r="A15" s="66" t="s">
        <v>369</v>
      </c>
      <c r="B15" s="63">
        <v>400</v>
      </c>
      <c r="C15" s="64">
        <f t="shared" si="0"/>
        <v>96</v>
      </c>
      <c r="D15" s="64">
        <f t="shared" si="1"/>
        <v>169</v>
      </c>
      <c r="E15" s="63">
        <v>200</v>
      </c>
      <c r="F15" s="98">
        <f t="shared" si="2"/>
        <v>95.58</v>
      </c>
      <c r="G15" s="64">
        <f t="shared" si="3"/>
        <v>154</v>
      </c>
      <c r="J15" s="370"/>
      <c r="K15" s="66" t="s">
        <v>369</v>
      </c>
      <c r="L15" s="64">
        <v>96</v>
      </c>
      <c r="M15" s="64">
        <v>169</v>
      </c>
      <c r="N15" s="64">
        <v>95.58</v>
      </c>
      <c r="O15" s="64">
        <v>154</v>
      </c>
      <c r="Q15" s="369"/>
      <c r="R15" s="369"/>
      <c r="S15" s="369"/>
    </row>
    <row r="16" spans="1:19" x14ac:dyDescent="0.25">
      <c r="A16" s="66" t="s">
        <v>370</v>
      </c>
      <c r="B16" s="63">
        <v>400</v>
      </c>
      <c r="C16" s="64">
        <f t="shared" si="0"/>
        <v>117</v>
      </c>
      <c r="D16" s="64">
        <f t="shared" si="1"/>
        <v>182</v>
      </c>
      <c r="E16" s="63">
        <v>200</v>
      </c>
      <c r="F16" s="98">
        <f t="shared" si="2"/>
        <v>116.61</v>
      </c>
      <c r="G16" s="64">
        <f t="shared" si="3"/>
        <v>138</v>
      </c>
      <c r="J16" s="370"/>
      <c r="K16" s="66" t="s">
        <v>370</v>
      </c>
      <c r="L16" s="64">
        <v>117</v>
      </c>
      <c r="M16" s="64">
        <v>182</v>
      </c>
      <c r="N16" s="64">
        <v>116.61</v>
      </c>
      <c r="O16" s="64">
        <v>138</v>
      </c>
      <c r="Q16" s="369"/>
      <c r="R16" s="369"/>
      <c r="S16" s="369"/>
    </row>
    <row r="17" spans="1:15" x14ac:dyDescent="0.25">
      <c r="A17" s="66" t="s">
        <v>371</v>
      </c>
      <c r="B17" s="63">
        <v>400</v>
      </c>
      <c r="C17" s="64">
        <f t="shared" si="0"/>
        <v>127</v>
      </c>
      <c r="D17" s="64">
        <f t="shared" si="1"/>
        <v>200</v>
      </c>
      <c r="E17" s="63">
        <v>200</v>
      </c>
      <c r="F17" s="98">
        <f t="shared" si="2"/>
        <v>127.23</v>
      </c>
      <c r="G17" s="64">
        <f t="shared" si="3"/>
        <v>145</v>
      </c>
      <c r="J17" s="370"/>
      <c r="K17" s="66" t="s">
        <v>371</v>
      </c>
      <c r="L17" s="64">
        <v>127</v>
      </c>
      <c r="M17" s="64">
        <v>200</v>
      </c>
      <c r="N17" s="64">
        <v>127.23</v>
      </c>
      <c r="O17" s="64">
        <v>145</v>
      </c>
    </row>
    <row r="18" spans="1:15" x14ac:dyDescent="0.25">
      <c r="A18" s="66" t="s">
        <v>372</v>
      </c>
      <c r="B18" s="63">
        <v>400</v>
      </c>
      <c r="C18" s="64">
        <f t="shared" si="0"/>
        <v>134</v>
      </c>
      <c r="D18" s="64">
        <f t="shared" si="1"/>
        <v>193</v>
      </c>
      <c r="E18" s="63">
        <v>200</v>
      </c>
      <c r="F18" s="98">
        <f t="shared" si="2"/>
        <v>133.57</v>
      </c>
      <c r="G18" s="64">
        <f t="shared" si="3"/>
        <v>169</v>
      </c>
      <c r="J18" s="370"/>
      <c r="K18" s="66" t="s">
        <v>372</v>
      </c>
      <c r="L18" s="64">
        <v>134</v>
      </c>
      <c r="M18" s="64">
        <v>193</v>
      </c>
      <c r="N18" s="64">
        <v>133.57</v>
      </c>
      <c r="O18" s="64">
        <v>169</v>
      </c>
    </row>
    <row r="19" spans="1:15" x14ac:dyDescent="0.25">
      <c r="J19" s="370"/>
      <c r="K19" s="62" t="s">
        <v>373</v>
      </c>
      <c r="L19" s="97">
        <f>AVERAGE(L7:L18)</f>
        <v>75.666666666666671</v>
      </c>
      <c r="M19" s="62">
        <f>MAX(M7:M18)</f>
        <v>246</v>
      </c>
      <c r="N19" s="97">
        <f>AVERAGE(N7:N18)</f>
        <v>75.512500000000003</v>
      </c>
      <c r="O19" s="62">
        <f>MAX(O7:O18)</f>
        <v>169</v>
      </c>
    </row>
    <row r="21" spans="1:15" x14ac:dyDescent="0.25">
      <c r="J21" s="61"/>
      <c r="K21" s="61"/>
      <c r="L21" s="67"/>
      <c r="M21" s="67"/>
      <c r="N21" s="67"/>
      <c r="O21" s="67"/>
    </row>
    <row r="22" spans="1:15" x14ac:dyDescent="0.25">
      <c r="J22" s="370"/>
      <c r="K22" s="66"/>
      <c r="L22" s="64"/>
      <c r="M22" s="64"/>
      <c r="N22" s="64"/>
      <c r="O22" s="64"/>
    </row>
    <row r="23" spans="1:15" x14ac:dyDescent="0.25">
      <c r="J23" s="370"/>
      <c r="K23" s="66"/>
      <c r="L23" s="64"/>
      <c r="M23" s="64"/>
      <c r="N23" s="64"/>
      <c r="O23" s="64"/>
    </row>
    <row r="24" spans="1:15" x14ac:dyDescent="0.25">
      <c r="J24" s="370"/>
      <c r="K24" s="66"/>
      <c r="L24" s="64"/>
      <c r="M24" s="64"/>
      <c r="N24" s="64"/>
      <c r="O24" s="64"/>
    </row>
    <row r="25" spans="1:15" x14ac:dyDescent="0.25">
      <c r="J25" s="370"/>
      <c r="K25" s="66"/>
      <c r="L25" s="64"/>
      <c r="M25" s="64"/>
      <c r="N25" s="64"/>
      <c r="O25" s="64"/>
    </row>
    <row r="26" spans="1:15" x14ac:dyDescent="0.25">
      <c r="J26" s="370"/>
      <c r="K26" s="66"/>
      <c r="L26" s="64"/>
      <c r="M26" s="64"/>
      <c r="N26" s="64"/>
      <c r="O26" s="64"/>
    </row>
    <row r="27" spans="1:15" x14ac:dyDescent="0.25">
      <c r="J27" s="370"/>
      <c r="K27" s="66"/>
      <c r="L27" s="64"/>
      <c r="M27" s="64"/>
      <c r="N27" s="64"/>
      <c r="O27" s="64"/>
    </row>
    <row r="28" spans="1:15" x14ac:dyDescent="0.25">
      <c r="J28" s="370"/>
      <c r="K28" s="66"/>
      <c r="L28" s="64"/>
      <c r="M28" s="64"/>
      <c r="N28" s="64"/>
      <c r="O28" s="64"/>
    </row>
    <row r="29" spans="1:15" x14ac:dyDescent="0.25">
      <c r="J29" s="370"/>
      <c r="K29" s="66"/>
      <c r="L29" s="64"/>
      <c r="M29" s="64"/>
      <c r="N29" s="64"/>
      <c r="O29" s="64"/>
    </row>
    <row r="30" spans="1:15" x14ac:dyDescent="0.25">
      <c r="J30" s="370"/>
      <c r="K30" s="66"/>
      <c r="L30" s="64"/>
      <c r="M30" s="64"/>
      <c r="N30" s="64"/>
      <c r="O30" s="64"/>
    </row>
    <row r="31" spans="1:15" x14ac:dyDescent="0.25">
      <c r="J31" s="370"/>
      <c r="K31" s="66"/>
      <c r="L31" s="64"/>
      <c r="M31" s="64"/>
      <c r="N31" s="64"/>
      <c r="O31" s="64"/>
    </row>
    <row r="32" spans="1:15" x14ac:dyDescent="0.25">
      <c r="J32" s="370"/>
      <c r="K32" s="66"/>
      <c r="L32" s="64"/>
      <c r="M32" s="64"/>
      <c r="N32" s="64"/>
      <c r="O32" s="64"/>
    </row>
    <row r="33" spans="1:15" x14ac:dyDescent="0.25">
      <c r="J33" s="370"/>
      <c r="K33" s="66"/>
      <c r="L33" s="64"/>
      <c r="M33" s="64"/>
      <c r="N33" s="64"/>
      <c r="O33" s="64"/>
    </row>
    <row r="34" spans="1:15" x14ac:dyDescent="0.25">
      <c r="J34" s="370"/>
      <c r="K34" s="62"/>
      <c r="L34" s="62"/>
      <c r="M34" s="62"/>
      <c r="N34" s="62"/>
      <c r="O34" s="62"/>
    </row>
    <row r="36" spans="1:15" x14ac:dyDescent="0.25">
      <c r="J36" s="61"/>
      <c r="K36" s="61"/>
      <c r="L36" s="67"/>
      <c r="M36" s="67"/>
      <c r="N36" s="67"/>
      <c r="O36" s="67"/>
    </row>
    <row r="37" spans="1:15" x14ac:dyDescent="0.25">
      <c r="J37" s="370"/>
      <c r="K37" s="66"/>
      <c r="L37" s="64"/>
      <c r="M37" s="64"/>
      <c r="N37" s="64"/>
      <c r="O37" s="64"/>
    </row>
    <row r="38" spans="1:15" x14ac:dyDescent="0.25">
      <c r="J38" s="370"/>
      <c r="K38" s="66"/>
      <c r="L38" s="64"/>
      <c r="M38" s="64"/>
      <c r="N38" s="64"/>
      <c r="O38" s="64"/>
    </row>
    <row r="39" spans="1:15" x14ac:dyDescent="0.25">
      <c r="J39" s="370"/>
      <c r="K39" s="66"/>
      <c r="L39" s="64"/>
      <c r="M39" s="64"/>
      <c r="N39" s="64"/>
      <c r="O39" s="64"/>
    </row>
    <row r="40" spans="1:15" x14ac:dyDescent="0.25">
      <c r="J40" s="370"/>
      <c r="K40" s="66"/>
      <c r="L40" s="64"/>
      <c r="M40" s="64"/>
      <c r="N40" s="64"/>
      <c r="O40" s="64"/>
    </row>
    <row r="41" spans="1:15" x14ac:dyDescent="0.25">
      <c r="J41" s="370"/>
      <c r="K41" s="66"/>
      <c r="L41" s="64"/>
      <c r="M41" s="64"/>
      <c r="N41" s="64"/>
      <c r="O41" s="64"/>
    </row>
    <row r="42" spans="1:15" x14ac:dyDescent="0.25">
      <c r="J42" s="370"/>
      <c r="K42" s="66"/>
      <c r="L42" s="64"/>
      <c r="M42" s="64"/>
      <c r="N42" s="64"/>
      <c r="O42" s="64"/>
    </row>
    <row r="43" spans="1:15" x14ac:dyDescent="0.25">
      <c r="J43" s="370"/>
      <c r="K43" s="66"/>
      <c r="L43" s="64"/>
      <c r="M43" s="64"/>
      <c r="N43" s="64"/>
      <c r="O43" s="64"/>
    </row>
    <row r="44" spans="1:15" x14ac:dyDescent="0.25">
      <c r="J44" s="370"/>
      <c r="K44" s="66"/>
      <c r="L44" s="64"/>
      <c r="M44" s="64"/>
      <c r="N44" s="64"/>
      <c r="O44" s="64"/>
    </row>
    <row r="45" spans="1:15" x14ac:dyDescent="0.25">
      <c r="J45" s="370"/>
      <c r="K45" s="66"/>
      <c r="L45" s="64"/>
      <c r="M45" s="64"/>
      <c r="N45" s="64"/>
      <c r="O45" s="64"/>
    </row>
    <row r="46" spans="1:15" x14ac:dyDescent="0.25">
      <c r="J46" s="370"/>
      <c r="K46" s="66"/>
      <c r="L46" s="64"/>
      <c r="M46" s="64"/>
      <c r="N46" s="64"/>
      <c r="O46" s="64"/>
    </row>
    <row r="47" spans="1:15" x14ac:dyDescent="0.25">
      <c r="J47" s="370"/>
      <c r="K47" s="66"/>
      <c r="L47" s="64"/>
      <c r="M47" s="64"/>
      <c r="N47" s="64"/>
      <c r="O47" s="64"/>
    </row>
    <row r="48" spans="1:15" x14ac:dyDescent="0.25">
      <c r="A48" s="382" t="s">
        <v>269</v>
      </c>
      <c r="B48" s="383"/>
      <c r="C48" s="383"/>
      <c r="D48" s="383"/>
      <c r="E48" s="383"/>
      <c r="F48" s="383"/>
      <c r="G48" s="384"/>
      <c r="J48" s="370"/>
      <c r="K48" s="66"/>
      <c r="L48" s="64"/>
      <c r="M48" s="64"/>
      <c r="N48" s="64"/>
      <c r="O48" s="64"/>
    </row>
    <row r="49" spans="1:15" x14ac:dyDescent="0.25">
      <c r="A49" s="373"/>
      <c r="B49" s="374"/>
      <c r="C49" s="374"/>
      <c r="D49" s="374"/>
      <c r="E49" s="374"/>
      <c r="F49" s="374"/>
      <c r="G49" s="375"/>
      <c r="J49" s="370"/>
      <c r="K49" s="62"/>
      <c r="L49" s="62"/>
      <c r="M49" s="62"/>
      <c r="N49" s="62"/>
      <c r="O49" s="62"/>
    </row>
    <row r="50" spans="1:15" x14ac:dyDescent="0.25">
      <c r="A50" s="376"/>
      <c r="B50" s="377"/>
      <c r="C50" s="377"/>
      <c r="D50" s="377"/>
      <c r="E50" s="377"/>
      <c r="F50" s="377"/>
      <c r="G50" s="378"/>
    </row>
    <row r="51" spans="1:15" x14ac:dyDescent="0.25">
      <c r="A51" s="376"/>
      <c r="B51" s="377"/>
      <c r="C51" s="377"/>
      <c r="D51" s="377"/>
      <c r="E51" s="377"/>
      <c r="F51" s="377"/>
      <c r="G51" s="378"/>
      <c r="J51" s="61"/>
      <c r="K51" s="61"/>
      <c r="L51" s="67"/>
      <c r="M51" s="67"/>
      <c r="N51" s="67"/>
      <c r="O51" s="67"/>
    </row>
    <row r="52" spans="1:15" x14ac:dyDescent="0.25">
      <c r="A52" s="379"/>
      <c r="B52" s="380"/>
      <c r="C52" s="380"/>
      <c r="D52" s="380"/>
      <c r="E52" s="380"/>
      <c r="F52" s="380"/>
      <c r="G52" s="381"/>
      <c r="J52" s="370"/>
      <c r="K52" s="66"/>
      <c r="L52" s="64"/>
      <c r="M52" s="64"/>
      <c r="N52" s="64"/>
      <c r="O52" s="64"/>
    </row>
    <row r="53" spans="1:15" x14ac:dyDescent="0.25">
      <c r="J53" s="370"/>
      <c r="K53" s="66"/>
      <c r="L53" s="64"/>
      <c r="M53" s="64"/>
      <c r="N53" s="64"/>
      <c r="O53" s="64"/>
    </row>
    <row r="54" spans="1:15" x14ac:dyDescent="0.25">
      <c r="J54" s="370"/>
      <c r="K54" s="66"/>
      <c r="L54" s="64"/>
      <c r="M54" s="64"/>
      <c r="N54" s="64"/>
      <c r="O54" s="64"/>
    </row>
    <row r="55" spans="1:15" x14ac:dyDescent="0.25">
      <c r="J55" s="370"/>
      <c r="K55" s="66"/>
      <c r="L55" s="64"/>
      <c r="M55" s="64"/>
      <c r="N55" s="64"/>
      <c r="O55" s="64"/>
    </row>
    <row r="56" spans="1:15" x14ac:dyDescent="0.25">
      <c r="J56" s="370"/>
      <c r="K56" s="66"/>
      <c r="L56" s="64"/>
      <c r="M56" s="64"/>
      <c r="N56" s="64"/>
      <c r="O56" s="64"/>
    </row>
    <row r="57" spans="1:15" x14ac:dyDescent="0.25">
      <c r="J57" s="370"/>
      <c r="K57" s="66"/>
      <c r="L57" s="64"/>
      <c r="M57" s="64"/>
      <c r="N57" s="64"/>
      <c r="O57" s="64"/>
    </row>
    <row r="58" spans="1:15" x14ac:dyDescent="0.25">
      <c r="J58" s="370"/>
      <c r="K58" s="66"/>
      <c r="L58" s="64"/>
      <c r="M58" s="64"/>
      <c r="N58" s="64"/>
      <c r="O58" s="64"/>
    </row>
    <row r="59" spans="1:15" x14ac:dyDescent="0.25">
      <c r="J59" s="370"/>
      <c r="K59" s="66"/>
      <c r="L59" s="64"/>
      <c r="M59" s="64"/>
      <c r="N59" s="64"/>
      <c r="O59" s="64"/>
    </row>
    <row r="60" spans="1:15" x14ac:dyDescent="0.25">
      <c r="J60" s="370"/>
      <c r="K60" s="66"/>
      <c r="L60" s="64"/>
      <c r="M60" s="64"/>
      <c r="N60" s="64"/>
      <c r="O60" s="64"/>
    </row>
    <row r="61" spans="1:15" x14ac:dyDescent="0.25">
      <c r="J61" s="370"/>
      <c r="K61" s="66"/>
      <c r="L61" s="64"/>
      <c r="M61" s="64"/>
      <c r="N61" s="64"/>
      <c r="O61" s="64"/>
    </row>
    <row r="62" spans="1:15" x14ac:dyDescent="0.25">
      <c r="J62" s="370"/>
      <c r="K62" s="66"/>
      <c r="L62" s="64"/>
      <c r="M62" s="64"/>
      <c r="N62" s="64"/>
      <c r="O62" s="64"/>
    </row>
    <row r="63" spans="1:15" x14ac:dyDescent="0.25">
      <c r="J63" s="370"/>
      <c r="K63" s="66"/>
      <c r="L63" s="64"/>
      <c r="M63" s="64"/>
      <c r="N63" s="64"/>
      <c r="O63" s="64"/>
    </row>
    <row r="64" spans="1:15" x14ac:dyDescent="0.25">
      <c r="J64" s="370"/>
      <c r="K64" s="62"/>
      <c r="L64" s="62"/>
      <c r="M64" s="62"/>
      <c r="N64" s="62"/>
      <c r="O64" s="62"/>
    </row>
    <row r="66" spans="10:15" x14ac:dyDescent="0.25">
      <c r="J66" s="61"/>
      <c r="K66" s="61"/>
      <c r="L66" s="67"/>
      <c r="M66" s="67"/>
      <c r="N66" s="67"/>
      <c r="O66" s="67"/>
    </row>
    <row r="67" spans="10:15" x14ac:dyDescent="0.25">
      <c r="J67" s="370"/>
      <c r="K67" s="66"/>
      <c r="L67" s="64"/>
      <c r="M67" s="64"/>
      <c r="N67" s="64"/>
      <c r="O67" s="64"/>
    </row>
    <row r="68" spans="10:15" x14ac:dyDescent="0.25">
      <c r="J68" s="370"/>
      <c r="K68" s="66"/>
      <c r="L68" s="64"/>
      <c r="M68" s="64"/>
      <c r="N68" s="64"/>
      <c r="O68" s="64"/>
    </row>
    <row r="69" spans="10:15" x14ac:dyDescent="0.25">
      <c r="J69" s="370"/>
      <c r="K69" s="66"/>
      <c r="L69" s="64"/>
      <c r="M69" s="64"/>
      <c r="N69" s="64"/>
      <c r="O69" s="64"/>
    </row>
    <row r="70" spans="10:15" x14ac:dyDescent="0.25">
      <c r="J70" s="370"/>
      <c r="K70" s="66"/>
      <c r="L70" s="64"/>
      <c r="M70" s="64"/>
      <c r="N70" s="64"/>
      <c r="O70" s="64"/>
    </row>
    <row r="71" spans="10:15" x14ac:dyDescent="0.25">
      <c r="J71" s="370"/>
      <c r="K71" s="66"/>
      <c r="L71" s="64"/>
      <c r="M71" s="64"/>
      <c r="N71" s="64"/>
      <c r="O71" s="64"/>
    </row>
    <row r="72" spans="10:15" x14ac:dyDescent="0.25">
      <c r="J72" s="370"/>
      <c r="K72" s="66"/>
      <c r="L72" s="64"/>
      <c r="M72" s="64"/>
      <c r="N72" s="64"/>
      <c r="O72" s="64"/>
    </row>
    <row r="73" spans="10:15" x14ac:dyDescent="0.25">
      <c r="J73" s="370"/>
      <c r="K73" s="66"/>
      <c r="L73" s="64"/>
      <c r="M73" s="64"/>
      <c r="N73" s="64"/>
      <c r="O73" s="64"/>
    </row>
    <row r="74" spans="10:15" x14ac:dyDescent="0.25">
      <c r="J74" s="370"/>
      <c r="K74" s="66"/>
      <c r="L74" s="64"/>
      <c r="M74" s="64"/>
      <c r="N74" s="64"/>
      <c r="O74" s="64"/>
    </row>
    <row r="75" spans="10:15" x14ac:dyDescent="0.25">
      <c r="J75" s="370"/>
      <c r="K75" s="66"/>
      <c r="L75" s="64"/>
      <c r="M75" s="64"/>
      <c r="N75" s="64"/>
      <c r="O75" s="64"/>
    </row>
    <row r="76" spans="10:15" x14ac:dyDescent="0.25">
      <c r="J76" s="370"/>
      <c r="K76" s="66"/>
      <c r="L76" s="64"/>
      <c r="M76" s="64"/>
      <c r="N76" s="64"/>
      <c r="O76" s="64"/>
    </row>
    <row r="77" spans="10:15" x14ac:dyDescent="0.25">
      <c r="J77" s="370"/>
      <c r="K77" s="66"/>
      <c r="L77" s="64"/>
      <c r="M77" s="64"/>
      <c r="N77" s="64"/>
      <c r="O77" s="64"/>
    </row>
    <row r="78" spans="10:15" x14ac:dyDescent="0.25">
      <c r="J78" s="370"/>
      <c r="K78" s="66"/>
      <c r="L78" s="64"/>
      <c r="M78" s="64"/>
      <c r="N78" s="64"/>
      <c r="O78" s="64"/>
    </row>
    <row r="79" spans="10:15" x14ac:dyDescent="0.25">
      <c r="J79" s="370"/>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view="pageBreakPreview" zoomScale="60" zoomScaleNormal="100" workbookViewId="0">
      <selection activeCell="C41" sqref="C41:I4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Boston Energy Production Facility</v>
      </c>
    </row>
    <row r="3" spans="1:19" ht="14.4" x14ac:dyDescent="0.3">
      <c r="A3" s="60" t="s">
        <v>380</v>
      </c>
      <c r="D3" s="76" t="s">
        <v>342</v>
      </c>
      <c r="G3" s="79" t="s">
        <v>343</v>
      </c>
      <c r="J3" s="9" t="str">
        <f>+A3</f>
        <v>Monitoring of Total organic carbon emissions</v>
      </c>
      <c r="L3" s="9"/>
      <c r="N3" s="9" t="s">
        <v>344</v>
      </c>
      <c r="Q3" s="78" t="s">
        <v>3</v>
      </c>
      <c r="R3" s="74"/>
      <c r="S3" s="74"/>
    </row>
    <row r="4" spans="1:19" ht="13.95" customHeight="1" x14ac:dyDescent="0.25">
      <c r="Q4" s="346" t="s">
        <v>345</v>
      </c>
      <c r="R4" s="346"/>
      <c r="S4" s="346"/>
    </row>
    <row r="5" spans="1:19" ht="16.2" x14ac:dyDescent="0.25">
      <c r="A5" s="68" t="s">
        <v>346</v>
      </c>
      <c r="B5" s="372" t="s">
        <v>347</v>
      </c>
      <c r="C5" s="372"/>
      <c r="D5" s="372"/>
      <c r="E5" s="372" t="s">
        <v>348</v>
      </c>
      <c r="F5" s="372"/>
      <c r="G5" s="372"/>
      <c r="J5" s="371"/>
      <c r="K5" s="371"/>
      <c r="L5" s="371"/>
      <c r="M5" s="371"/>
      <c r="N5" s="371"/>
      <c r="O5" s="371"/>
      <c r="Q5" s="346"/>
      <c r="R5" s="346"/>
      <c r="S5" s="346"/>
    </row>
    <row r="6" spans="1:19" s="58" customFormat="1" ht="37.5" customHeight="1" x14ac:dyDescent="0.3">
      <c r="A6" s="65">
        <f>+'Cover Page'!C39</f>
        <v>2022</v>
      </c>
      <c r="B6" s="55" t="s">
        <v>381</v>
      </c>
      <c r="C6" s="55" t="s">
        <v>350</v>
      </c>
      <c r="D6" s="55" t="s">
        <v>351</v>
      </c>
      <c r="E6" s="55" t="s">
        <v>382</v>
      </c>
      <c r="F6" s="55" t="s">
        <v>353</v>
      </c>
      <c r="G6" s="55" t="s">
        <v>354</v>
      </c>
      <c r="H6" s="59"/>
      <c r="J6" s="61">
        <f>+A6</f>
        <v>2022</v>
      </c>
      <c r="K6" s="61" t="s">
        <v>355</v>
      </c>
      <c r="L6" s="67" t="s">
        <v>350</v>
      </c>
      <c r="M6" s="67" t="s">
        <v>356</v>
      </c>
      <c r="N6" s="67" t="s">
        <v>353</v>
      </c>
      <c r="O6" s="67" t="s">
        <v>357</v>
      </c>
      <c r="Q6" s="346"/>
      <c r="R6" s="346"/>
      <c r="S6" s="346"/>
    </row>
    <row r="7" spans="1:19" x14ac:dyDescent="0.25">
      <c r="A7" s="66" t="s">
        <v>358</v>
      </c>
      <c r="B7" s="63">
        <v>20</v>
      </c>
      <c r="C7" s="64">
        <f>L7</f>
        <v>0</v>
      </c>
      <c r="D7" s="64">
        <f>M7</f>
        <v>1</v>
      </c>
      <c r="E7" s="63">
        <v>10</v>
      </c>
      <c r="F7" s="64">
        <f>N7</f>
        <v>0</v>
      </c>
      <c r="G7" s="64">
        <f>O7</f>
        <v>0</v>
      </c>
      <c r="J7" s="370" t="s">
        <v>182</v>
      </c>
      <c r="K7" s="66" t="s">
        <v>358</v>
      </c>
      <c r="L7" s="64">
        <v>0</v>
      </c>
      <c r="M7" s="64">
        <v>1</v>
      </c>
      <c r="N7" s="64">
        <v>0</v>
      </c>
      <c r="O7" s="64">
        <v>0</v>
      </c>
      <c r="Q7" s="346"/>
      <c r="R7" s="346"/>
      <c r="S7" s="346"/>
    </row>
    <row r="8" spans="1:19" x14ac:dyDescent="0.25">
      <c r="A8" s="66" t="s">
        <v>359</v>
      </c>
      <c r="B8" s="63">
        <v>20</v>
      </c>
      <c r="C8" s="64">
        <f t="shared" ref="C8:C18" si="0">L8</f>
        <v>0</v>
      </c>
      <c r="D8" s="64">
        <f t="shared" ref="D8:D18" si="1">M8</f>
        <v>0</v>
      </c>
      <c r="E8" s="63">
        <v>10</v>
      </c>
      <c r="F8" s="64">
        <f t="shared" ref="F8:F18" si="2">N8</f>
        <v>0</v>
      </c>
      <c r="G8" s="64">
        <f t="shared" ref="G8:G18" si="3">O8</f>
        <v>0</v>
      </c>
      <c r="J8" s="370"/>
      <c r="K8" s="66" t="s">
        <v>359</v>
      </c>
      <c r="L8" s="64">
        <v>0</v>
      </c>
      <c r="M8" s="64">
        <v>0</v>
      </c>
      <c r="N8" s="64">
        <v>0</v>
      </c>
      <c r="O8" s="64">
        <v>0</v>
      </c>
      <c r="Q8" s="346"/>
      <c r="R8" s="346"/>
      <c r="S8" s="346"/>
    </row>
    <row r="9" spans="1:19" x14ac:dyDescent="0.25">
      <c r="A9" s="66" t="s">
        <v>360</v>
      </c>
      <c r="B9" s="63">
        <v>20</v>
      </c>
      <c r="C9" s="64">
        <f t="shared" si="0"/>
        <v>0</v>
      </c>
      <c r="D9" s="64">
        <f t="shared" si="1"/>
        <v>0</v>
      </c>
      <c r="E9" s="63">
        <v>10</v>
      </c>
      <c r="F9" s="64">
        <f t="shared" si="2"/>
        <v>0</v>
      </c>
      <c r="G9" s="64">
        <f t="shared" si="3"/>
        <v>0</v>
      </c>
      <c r="J9" s="370"/>
      <c r="K9" s="66" t="s">
        <v>360</v>
      </c>
      <c r="L9" s="64">
        <v>0</v>
      </c>
      <c r="M9" s="64">
        <v>0</v>
      </c>
      <c r="N9" s="64">
        <v>0</v>
      </c>
      <c r="O9" s="64">
        <v>0</v>
      </c>
      <c r="Q9" s="77" t="s">
        <v>361</v>
      </c>
    </row>
    <row r="10" spans="1:19" ht="14.25" customHeight="1" x14ac:dyDescent="0.25">
      <c r="A10" s="66" t="s">
        <v>362</v>
      </c>
      <c r="B10" s="63">
        <v>20</v>
      </c>
      <c r="C10" s="64">
        <f t="shared" si="0"/>
        <v>0</v>
      </c>
      <c r="D10" s="64">
        <f t="shared" si="1"/>
        <v>0</v>
      </c>
      <c r="E10" s="63">
        <v>10</v>
      </c>
      <c r="F10" s="64">
        <f t="shared" si="2"/>
        <v>0</v>
      </c>
      <c r="G10" s="64">
        <f t="shared" si="3"/>
        <v>0</v>
      </c>
      <c r="J10" s="370"/>
      <c r="K10" s="66" t="s">
        <v>362</v>
      </c>
      <c r="L10" s="64">
        <v>0</v>
      </c>
      <c r="M10" s="64">
        <v>0</v>
      </c>
      <c r="N10" s="64">
        <v>0</v>
      </c>
      <c r="O10" s="64">
        <v>0</v>
      </c>
      <c r="Q10" s="369" t="s">
        <v>363</v>
      </c>
      <c r="R10" s="369"/>
      <c r="S10" s="369"/>
    </row>
    <row r="11" spans="1:19" x14ac:dyDescent="0.25">
      <c r="A11" s="66" t="s">
        <v>364</v>
      </c>
      <c r="B11" s="63">
        <v>20</v>
      </c>
      <c r="C11" s="64">
        <f t="shared" si="0"/>
        <v>0</v>
      </c>
      <c r="D11" s="64">
        <f t="shared" si="1"/>
        <v>0</v>
      </c>
      <c r="E11" s="63">
        <v>10</v>
      </c>
      <c r="F11" s="64">
        <f t="shared" si="2"/>
        <v>0</v>
      </c>
      <c r="G11" s="64">
        <f t="shared" si="3"/>
        <v>0</v>
      </c>
      <c r="J11" s="370"/>
      <c r="K11" s="66" t="s">
        <v>364</v>
      </c>
      <c r="L11" s="64">
        <v>0</v>
      </c>
      <c r="M11" s="64">
        <v>0</v>
      </c>
      <c r="N11" s="64">
        <v>0</v>
      </c>
      <c r="O11" s="64">
        <v>0</v>
      </c>
      <c r="Q11" s="369"/>
      <c r="R11" s="369"/>
      <c r="S11" s="369"/>
    </row>
    <row r="12" spans="1:19" x14ac:dyDescent="0.25">
      <c r="A12" s="66" t="s">
        <v>365</v>
      </c>
      <c r="B12" s="63">
        <v>20</v>
      </c>
      <c r="C12" s="64">
        <f t="shared" si="0"/>
        <v>0</v>
      </c>
      <c r="D12" s="64">
        <f t="shared" si="1"/>
        <v>0</v>
      </c>
      <c r="E12" s="63">
        <v>10</v>
      </c>
      <c r="F12" s="64">
        <f t="shared" si="2"/>
        <v>0</v>
      </c>
      <c r="G12" s="64">
        <f t="shared" si="3"/>
        <v>0</v>
      </c>
      <c r="J12" s="370"/>
      <c r="K12" s="66" t="s">
        <v>365</v>
      </c>
      <c r="L12" s="64">
        <v>0</v>
      </c>
      <c r="M12" s="64">
        <v>0</v>
      </c>
      <c r="N12" s="64">
        <v>0</v>
      </c>
      <c r="O12" s="64">
        <v>0</v>
      </c>
      <c r="Q12" s="369"/>
      <c r="R12" s="369"/>
      <c r="S12" s="369"/>
    </row>
    <row r="13" spans="1:19" ht="14.25" customHeight="1" x14ac:dyDescent="0.25">
      <c r="A13" s="66" t="s">
        <v>366</v>
      </c>
      <c r="B13" s="63">
        <v>20</v>
      </c>
      <c r="C13" s="64">
        <f t="shared" si="0"/>
        <v>0</v>
      </c>
      <c r="D13" s="64">
        <f t="shared" si="1"/>
        <v>3</v>
      </c>
      <c r="E13" s="63">
        <v>10</v>
      </c>
      <c r="F13" s="64">
        <f t="shared" si="2"/>
        <v>0</v>
      </c>
      <c r="G13" s="64">
        <f t="shared" si="3"/>
        <v>2</v>
      </c>
      <c r="J13" s="370"/>
      <c r="K13" s="66" t="s">
        <v>366</v>
      </c>
      <c r="L13" s="64">
        <v>0</v>
      </c>
      <c r="M13" s="64">
        <v>3</v>
      </c>
      <c r="N13" s="64">
        <v>0</v>
      </c>
      <c r="O13" s="64">
        <v>2</v>
      </c>
      <c r="Q13" s="369" t="s">
        <v>367</v>
      </c>
      <c r="R13" s="369"/>
      <c r="S13" s="369"/>
    </row>
    <row r="14" spans="1:19" x14ac:dyDescent="0.25">
      <c r="A14" s="66" t="s">
        <v>368</v>
      </c>
      <c r="B14" s="63">
        <v>20</v>
      </c>
      <c r="C14" s="64">
        <f t="shared" si="0"/>
        <v>0</v>
      </c>
      <c r="D14" s="64">
        <f t="shared" si="1"/>
        <v>3</v>
      </c>
      <c r="E14" s="63">
        <v>10</v>
      </c>
      <c r="F14" s="64">
        <f t="shared" si="2"/>
        <v>0</v>
      </c>
      <c r="G14" s="64">
        <f t="shared" si="3"/>
        <v>1</v>
      </c>
      <c r="J14" s="370"/>
      <c r="K14" s="66" t="s">
        <v>368</v>
      </c>
      <c r="L14" s="64">
        <v>0</v>
      </c>
      <c r="M14" s="64">
        <v>3</v>
      </c>
      <c r="N14" s="64">
        <v>0</v>
      </c>
      <c r="O14" s="64">
        <v>1</v>
      </c>
      <c r="Q14" s="369"/>
      <c r="R14" s="369"/>
      <c r="S14" s="369"/>
    </row>
    <row r="15" spans="1:19" x14ac:dyDescent="0.25">
      <c r="A15" s="66" t="s">
        <v>369</v>
      </c>
      <c r="B15" s="63">
        <v>20</v>
      </c>
      <c r="C15" s="64">
        <f t="shared" si="0"/>
        <v>0</v>
      </c>
      <c r="D15" s="64">
        <f t="shared" si="1"/>
        <v>21</v>
      </c>
      <c r="E15" s="63">
        <v>10</v>
      </c>
      <c r="F15" s="64">
        <f t="shared" si="2"/>
        <v>0</v>
      </c>
      <c r="G15" s="64">
        <f t="shared" si="3"/>
        <v>1</v>
      </c>
      <c r="J15" s="370"/>
      <c r="K15" s="66" t="s">
        <v>369</v>
      </c>
      <c r="L15" s="64">
        <v>0</v>
      </c>
      <c r="M15" s="64">
        <v>21</v>
      </c>
      <c r="N15" s="64">
        <v>0</v>
      </c>
      <c r="O15" s="64">
        <v>1</v>
      </c>
      <c r="Q15" s="369"/>
      <c r="R15" s="369"/>
      <c r="S15" s="369"/>
    </row>
    <row r="16" spans="1:19" x14ac:dyDescent="0.25">
      <c r="A16" s="66" t="s">
        <v>370</v>
      </c>
      <c r="B16" s="63">
        <v>20</v>
      </c>
      <c r="C16" s="64">
        <f t="shared" si="0"/>
        <v>0</v>
      </c>
      <c r="D16" s="64">
        <f t="shared" si="1"/>
        <v>7</v>
      </c>
      <c r="E16" s="63">
        <v>10</v>
      </c>
      <c r="F16" s="64">
        <f t="shared" si="2"/>
        <v>0</v>
      </c>
      <c r="G16" s="64">
        <f t="shared" si="3"/>
        <v>1</v>
      </c>
      <c r="J16" s="370"/>
      <c r="K16" s="66" t="s">
        <v>370</v>
      </c>
      <c r="L16" s="64">
        <v>0</v>
      </c>
      <c r="M16" s="64">
        <v>7</v>
      </c>
      <c r="N16" s="64">
        <v>0</v>
      </c>
      <c r="O16" s="64">
        <v>1</v>
      </c>
      <c r="Q16" s="369"/>
      <c r="R16" s="369"/>
      <c r="S16" s="369"/>
    </row>
    <row r="17" spans="1:15" x14ac:dyDescent="0.25">
      <c r="A17" s="66" t="s">
        <v>371</v>
      </c>
      <c r="B17" s="63">
        <v>20</v>
      </c>
      <c r="C17" s="64">
        <f t="shared" si="0"/>
        <v>0</v>
      </c>
      <c r="D17" s="64">
        <f t="shared" si="1"/>
        <v>3</v>
      </c>
      <c r="E17" s="63">
        <v>10</v>
      </c>
      <c r="F17" s="64">
        <f t="shared" si="2"/>
        <v>0</v>
      </c>
      <c r="G17" s="64">
        <f t="shared" si="3"/>
        <v>1</v>
      </c>
      <c r="J17" s="370"/>
      <c r="K17" s="66" t="s">
        <v>371</v>
      </c>
      <c r="L17" s="64">
        <v>0</v>
      </c>
      <c r="M17" s="64">
        <v>3</v>
      </c>
      <c r="N17" s="64">
        <v>0</v>
      </c>
      <c r="O17" s="64">
        <v>1</v>
      </c>
    </row>
    <row r="18" spans="1:15" x14ac:dyDescent="0.25">
      <c r="A18" s="66" t="s">
        <v>372</v>
      </c>
      <c r="B18" s="63">
        <v>20</v>
      </c>
      <c r="C18" s="64">
        <f t="shared" si="0"/>
        <v>0</v>
      </c>
      <c r="D18" s="64">
        <f t="shared" si="1"/>
        <v>1</v>
      </c>
      <c r="E18" s="63">
        <v>10</v>
      </c>
      <c r="F18" s="64">
        <f t="shared" si="2"/>
        <v>0</v>
      </c>
      <c r="G18" s="64">
        <f t="shared" si="3"/>
        <v>1</v>
      </c>
      <c r="J18" s="370"/>
      <c r="K18" s="66" t="s">
        <v>372</v>
      </c>
      <c r="L18" s="64">
        <v>0</v>
      </c>
      <c r="M18" s="64">
        <v>1</v>
      </c>
      <c r="N18" s="64">
        <v>0</v>
      </c>
      <c r="O18" s="64">
        <v>1</v>
      </c>
    </row>
    <row r="19" spans="1:15" x14ac:dyDescent="0.25">
      <c r="J19" s="370"/>
      <c r="K19" s="62" t="s">
        <v>373</v>
      </c>
      <c r="L19" s="62">
        <f>AVERAGE(L7:L18)</f>
        <v>0</v>
      </c>
      <c r="M19" s="62">
        <f>MAX(M7:M18)</f>
        <v>21</v>
      </c>
      <c r="N19" s="62">
        <f>AVERAGE(N7:N18)</f>
        <v>0</v>
      </c>
      <c r="O19" s="62">
        <f>MAX(O7:O18)</f>
        <v>2</v>
      </c>
    </row>
    <row r="21" spans="1:15" x14ac:dyDescent="0.25">
      <c r="J21" s="61"/>
      <c r="K21" s="61"/>
      <c r="L21" s="67"/>
      <c r="M21" s="67"/>
      <c r="N21" s="67"/>
      <c r="O21" s="67"/>
    </row>
    <row r="22" spans="1:15" x14ac:dyDescent="0.25">
      <c r="J22" s="370"/>
      <c r="K22" s="66"/>
      <c r="L22" s="64"/>
      <c r="M22" s="64"/>
      <c r="N22" s="64"/>
      <c r="O22" s="64"/>
    </row>
    <row r="23" spans="1:15" x14ac:dyDescent="0.25">
      <c r="J23" s="370"/>
      <c r="K23" s="66"/>
      <c r="L23" s="64"/>
      <c r="M23" s="64"/>
      <c r="N23" s="64"/>
      <c r="O23" s="64"/>
    </row>
    <row r="24" spans="1:15" x14ac:dyDescent="0.25">
      <c r="J24" s="370"/>
      <c r="K24" s="66"/>
      <c r="L24" s="64"/>
      <c r="M24" s="64"/>
      <c r="N24" s="64"/>
      <c r="O24" s="64"/>
    </row>
    <row r="25" spans="1:15" x14ac:dyDescent="0.25">
      <c r="J25" s="370"/>
      <c r="K25" s="66"/>
      <c r="L25" s="64"/>
      <c r="M25" s="64"/>
      <c r="N25" s="64"/>
      <c r="O25" s="64"/>
    </row>
    <row r="26" spans="1:15" x14ac:dyDescent="0.25">
      <c r="J26" s="370"/>
      <c r="K26" s="66"/>
      <c r="L26" s="64"/>
      <c r="M26" s="64"/>
      <c r="N26" s="64"/>
      <c r="O26" s="64"/>
    </row>
    <row r="27" spans="1:15" x14ac:dyDescent="0.25">
      <c r="J27" s="370"/>
      <c r="K27" s="66"/>
      <c r="L27" s="64"/>
      <c r="M27" s="64"/>
      <c r="N27" s="64"/>
      <c r="O27" s="64"/>
    </row>
    <row r="28" spans="1:15" x14ac:dyDescent="0.25">
      <c r="J28" s="370"/>
      <c r="K28" s="66"/>
      <c r="L28" s="64"/>
      <c r="M28" s="64"/>
      <c r="N28" s="64"/>
      <c r="O28" s="64"/>
    </row>
    <row r="29" spans="1:15" x14ac:dyDescent="0.25">
      <c r="J29" s="370"/>
      <c r="K29" s="66"/>
      <c r="L29" s="64"/>
      <c r="M29" s="64"/>
      <c r="N29" s="64"/>
      <c r="O29" s="64"/>
    </row>
    <row r="30" spans="1:15" x14ac:dyDescent="0.25">
      <c r="J30" s="370"/>
      <c r="K30" s="66"/>
      <c r="L30" s="64"/>
      <c r="M30" s="64"/>
      <c r="N30" s="64"/>
      <c r="O30" s="64"/>
    </row>
    <row r="31" spans="1:15" x14ac:dyDescent="0.25">
      <c r="J31" s="370"/>
      <c r="K31" s="66"/>
      <c r="L31" s="64"/>
      <c r="M31" s="64"/>
      <c r="N31" s="64"/>
      <c r="O31" s="64"/>
    </row>
    <row r="32" spans="1:15" x14ac:dyDescent="0.25">
      <c r="J32" s="370"/>
      <c r="K32" s="66"/>
      <c r="L32" s="64"/>
      <c r="M32" s="64"/>
      <c r="N32" s="64"/>
      <c r="O32" s="64"/>
    </row>
    <row r="33" spans="1:15" x14ac:dyDescent="0.25">
      <c r="J33" s="370"/>
      <c r="K33" s="66"/>
      <c r="L33" s="64"/>
      <c r="M33" s="64"/>
      <c r="N33" s="64"/>
      <c r="O33" s="64"/>
    </row>
    <row r="34" spans="1:15" x14ac:dyDescent="0.25">
      <c r="J34" s="370"/>
      <c r="K34" s="62"/>
      <c r="L34" s="62"/>
      <c r="M34" s="62"/>
      <c r="N34" s="62"/>
      <c r="O34" s="62"/>
    </row>
    <row r="36" spans="1:15" x14ac:dyDescent="0.25">
      <c r="J36" s="61"/>
      <c r="K36" s="61"/>
      <c r="L36" s="67"/>
      <c r="M36" s="67"/>
      <c r="N36" s="67"/>
      <c r="O36" s="67"/>
    </row>
    <row r="37" spans="1:15" x14ac:dyDescent="0.25">
      <c r="J37" s="370"/>
      <c r="K37" s="66"/>
      <c r="L37" s="64"/>
      <c r="M37" s="64"/>
      <c r="N37" s="64"/>
      <c r="O37" s="64"/>
    </row>
    <row r="38" spans="1:15" x14ac:dyDescent="0.25">
      <c r="J38" s="370"/>
      <c r="K38" s="66"/>
      <c r="L38" s="64"/>
      <c r="M38" s="64"/>
      <c r="N38" s="64"/>
      <c r="O38" s="64"/>
    </row>
    <row r="39" spans="1:15" x14ac:dyDescent="0.25">
      <c r="J39" s="370"/>
      <c r="K39" s="66"/>
      <c r="L39" s="64"/>
      <c r="M39" s="64"/>
      <c r="N39" s="64"/>
      <c r="O39" s="64"/>
    </row>
    <row r="40" spans="1:15" x14ac:dyDescent="0.25">
      <c r="J40" s="370"/>
      <c r="K40" s="66"/>
      <c r="L40" s="64"/>
      <c r="M40" s="64"/>
      <c r="N40" s="64"/>
      <c r="O40" s="64"/>
    </row>
    <row r="41" spans="1:15" x14ac:dyDescent="0.25">
      <c r="J41" s="370"/>
      <c r="K41" s="66"/>
      <c r="L41" s="64"/>
      <c r="M41" s="64"/>
      <c r="N41" s="64"/>
      <c r="O41" s="64"/>
    </row>
    <row r="42" spans="1:15" x14ac:dyDescent="0.25">
      <c r="J42" s="370"/>
      <c r="K42" s="66"/>
      <c r="L42" s="64"/>
      <c r="M42" s="64"/>
      <c r="N42" s="64"/>
      <c r="O42" s="64"/>
    </row>
    <row r="43" spans="1:15" x14ac:dyDescent="0.25">
      <c r="J43" s="370"/>
      <c r="K43" s="66"/>
      <c r="L43" s="64"/>
      <c r="M43" s="64"/>
      <c r="N43" s="64"/>
      <c r="O43" s="64"/>
    </row>
    <row r="44" spans="1:15" x14ac:dyDescent="0.25">
      <c r="J44" s="370"/>
      <c r="K44" s="66"/>
      <c r="L44" s="64"/>
      <c r="M44" s="64"/>
      <c r="N44" s="64"/>
      <c r="O44" s="64"/>
    </row>
    <row r="45" spans="1:15" x14ac:dyDescent="0.25">
      <c r="J45" s="370"/>
      <c r="K45" s="66"/>
      <c r="L45" s="64"/>
      <c r="M45" s="64"/>
      <c r="N45" s="64"/>
      <c r="O45" s="64"/>
    </row>
    <row r="46" spans="1:15" x14ac:dyDescent="0.25">
      <c r="J46" s="370"/>
      <c r="K46" s="66"/>
      <c r="L46" s="64"/>
      <c r="M46" s="64"/>
      <c r="N46" s="64"/>
      <c r="O46" s="64"/>
    </row>
    <row r="47" spans="1:15" x14ac:dyDescent="0.25">
      <c r="J47" s="370"/>
      <c r="K47" s="66"/>
      <c r="L47" s="64"/>
      <c r="M47" s="64"/>
      <c r="N47" s="64"/>
      <c r="O47" s="64"/>
    </row>
    <row r="48" spans="1:15" x14ac:dyDescent="0.25">
      <c r="A48" s="382" t="s">
        <v>269</v>
      </c>
      <c r="B48" s="383"/>
      <c r="C48" s="383"/>
      <c r="D48" s="383"/>
      <c r="E48" s="383"/>
      <c r="F48" s="383"/>
      <c r="G48" s="384"/>
      <c r="J48" s="370"/>
      <c r="K48" s="66"/>
      <c r="L48" s="64"/>
      <c r="M48" s="64"/>
      <c r="N48" s="64"/>
      <c r="O48" s="64"/>
    </row>
    <row r="49" spans="1:15" x14ac:dyDescent="0.25">
      <c r="A49" s="373"/>
      <c r="B49" s="374"/>
      <c r="C49" s="374"/>
      <c r="D49" s="374"/>
      <c r="E49" s="374"/>
      <c r="F49" s="374"/>
      <c r="G49" s="375"/>
      <c r="J49" s="370"/>
      <c r="K49" s="62"/>
      <c r="L49" s="62"/>
      <c r="M49" s="62"/>
      <c r="N49" s="62"/>
      <c r="O49" s="62"/>
    </row>
    <row r="50" spans="1:15" x14ac:dyDescent="0.25">
      <c r="A50" s="376"/>
      <c r="B50" s="377"/>
      <c r="C50" s="377"/>
      <c r="D50" s="377"/>
      <c r="E50" s="377"/>
      <c r="F50" s="377"/>
      <c r="G50" s="378"/>
    </row>
    <row r="51" spans="1:15" x14ac:dyDescent="0.25">
      <c r="A51" s="376"/>
      <c r="B51" s="377"/>
      <c r="C51" s="377"/>
      <c r="D51" s="377"/>
      <c r="E51" s="377"/>
      <c r="F51" s="377"/>
      <c r="G51" s="378"/>
      <c r="J51" s="61"/>
      <c r="K51" s="61"/>
      <c r="L51" s="67"/>
      <c r="M51" s="67"/>
      <c r="N51" s="67"/>
      <c r="O51" s="67"/>
    </row>
    <row r="52" spans="1:15" x14ac:dyDescent="0.25">
      <c r="A52" s="379"/>
      <c r="B52" s="380"/>
      <c r="C52" s="380"/>
      <c r="D52" s="380"/>
      <c r="E52" s="380"/>
      <c r="F52" s="380"/>
      <c r="G52" s="381"/>
      <c r="J52" s="370"/>
      <c r="K52" s="66"/>
      <c r="L52" s="64"/>
      <c r="M52" s="64"/>
      <c r="N52" s="64"/>
      <c r="O52" s="64"/>
    </row>
    <row r="53" spans="1:15" x14ac:dyDescent="0.25">
      <c r="J53" s="370"/>
      <c r="K53" s="66"/>
      <c r="L53" s="64"/>
      <c r="M53" s="64"/>
      <c r="N53" s="64"/>
      <c r="O53" s="64"/>
    </row>
    <row r="54" spans="1:15" x14ac:dyDescent="0.25">
      <c r="J54" s="370"/>
      <c r="K54" s="66"/>
      <c r="L54" s="64"/>
      <c r="M54" s="64"/>
      <c r="N54" s="64"/>
      <c r="O54" s="64"/>
    </row>
    <row r="55" spans="1:15" x14ac:dyDescent="0.25">
      <c r="J55" s="370"/>
      <c r="K55" s="66"/>
      <c r="L55" s="64"/>
      <c r="M55" s="64"/>
      <c r="N55" s="64"/>
      <c r="O55" s="64"/>
    </row>
    <row r="56" spans="1:15" x14ac:dyDescent="0.25">
      <c r="J56" s="370"/>
      <c r="K56" s="66"/>
      <c r="L56" s="64"/>
      <c r="M56" s="64"/>
      <c r="N56" s="64"/>
      <c r="O56" s="64"/>
    </row>
    <row r="57" spans="1:15" x14ac:dyDescent="0.25">
      <c r="J57" s="370"/>
      <c r="K57" s="66"/>
      <c r="L57" s="64"/>
      <c r="M57" s="64"/>
      <c r="N57" s="64"/>
      <c r="O57" s="64"/>
    </row>
    <row r="58" spans="1:15" x14ac:dyDescent="0.25">
      <c r="J58" s="370"/>
      <c r="K58" s="66"/>
      <c r="L58" s="64"/>
      <c r="M58" s="64"/>
      <c r="N58" s="64"/>
      <c r="O58" s="64"/>
    </row>
    <row r="59" spans="1:15" x14ac:dyDescent="0.25">
      <c r="J59" s="370"/>
      <c r="K59" s="66"/>
      <c r="L59" s="64"/>
      <c r="M59" s="64"/>
      <c r="N59" s="64"/>
      <c r="O59" s="64"/>
    </row>
    <row r="60" spans="1:15" x14ac:dyDescent="0.25">
      <c r="J60" s="370"/>
      <c r="K60" s="66"/>
      <c r="L60" s="64"/>
      <c r="M60" s="64"/>
      <c r="N60" s="64"/>
      <c r="O60" s="64"/>
    </row>
    <row r="61" spans="1:15" x14ac:dyDescent="0.25">
      <c r="J61" s="370"/>
      <c r="K61" s="66"/>
      <c r="L61" s="64"/>
      <c r="M61" s="64"/>
      <c r="N61" s="64"/>
      <c r="O61" s="64"/>
    </row>
    <row r="62" spans="1:15" x14ac:dyDescent="0.25">
      <c r="J62" s="370"/>
      <c r="K62" s="66"/>
      <c r="L62" s="64"/>
      <c r="M62" s="64"/>
      <c r="N62" s="64"/>
      <c r="O62" s="64"/>
    </row>
    <row r="63" spans="1:15" x14ac:dyDescent="0.25">
      <c r="J63" s="370"/>
      <c r="K63" s="66"/>
      <c r="L63" s="64"/>
      <c r="M63" s="64"/>
      <c r="N63" s="64"/>
      <c r="O63" s="64"/>
    </row>
    <row r="64" spans="1:15" x14ac:dyDescent="0.25">
      <c r="J64" s="370"/>
      <c r="K64" s="62"/>
      <c r="L64" s="62"/>
      <c r="M64" s="62"/>
      <c r="N64" s="62"/>
      <c r="O64" s="62"/>
    </row>
    <row r="66" spans="10:15" x14ac:dyDescent="0.25">
      <c r="J66" s="61"/>
      <c r="K66" s="61"/>
      <c r="L66" s="67"/>
      <c r="M66" s="67"/>
      <c r="N66" s="67"/>
      <c r="O66" s="67"/>
    </row>
    <row r="67" spans="10:15" x14ac:dyDescent="0.25">
      <c r="J67" s="370"/>
      <c r="K67" s="66"/>
      <c r="L67" s="64"/>
      <c r="M67" s="64"/>
      <c r="N67" s="64"/>
      <c r="O67" s="64"/>
    </row>
    <row r="68" spans="10:15" x14ac:dyDescent="0.25">
      <c r="J68" s="370"/>
      <c r="K68" s="66"/>
      <c r="L68" s="64"/>
      <c r="M68" s="64"/>
      <c r="N68" s="64"/>
      <c r="O68" s="64"/>
    </row>
    <row r="69" spans="10:15" x14ac:dyDescent="0.25">
      <c r="J69" s="370"/>
      <c r="K69" s="66"/>
      <c r="L69" s="64"/>
      <c r="M69" s="64"/>
      <c r="N69" s="64"/>
      <c r="O69" s="64"/>
    </row>
    <row r="70" spans="10:15" x14ac:dyDescent="0.25">
      <c r="J70" s="370"/>
      <c r="K70" s="66"/>
      <c r="L70" s="64"/>
      <c r="M70" s="64"/>
      <c r="N70" s="64"/>
      <c r="O70" s="64"/>
    </row>
    <row r="71" spans="10:15" x14ac:dyDescent="0.25">
      <c r="J71" s="370"/>
      <c r="K71" s="66"/>
      <c r="L71" s="64"/>
      <c r="M71" s="64"/>
      <c r="N71" s="64"/>
      <c r="O71" s="64"/>
    </row>
    <row r="72" spans="10:15" x14ac:dyDescent="0.25">
      <c r="J72" s="370"/>
      <c r="K72" s="66"/>
      <c r="L72" s="64"/>
      <c r="M72" s="64"/>
      <c r="N72" s="64"/>
      <c r="O72" s="64"/>
    </row>
    <row r="73" spans="10:15" x14ac:dyDescent="0.25">
      <c r="J73" s="370"/>
      <c r="K73" s="66"/>
      <c r="L73" s="64"/>
      <c r="M73" s="64"/>
      <c r="N73" s="64"/>
      <c r="O73" s="64"/>
    </row>
    <row r="74" spans="10:15" x14ac:dyDescent="0.25">
      <c r="J74" s="370"/>
      <c r="K74" s="66"/>
      <c r="L74" s="64"/>
      <c r="M74" s="64"/>
      <c r="N74" s="64"/>
      <c r="O74" s="64"/>
    </row>
    <row r="75" spans="10:15" x14ac:dyDescent="0.25">
      <c r="J75" s="370"/>
      <c r="K75" s="66"/>
      <c r="L75" s="64"/>
      <c r="M75" s="64"/>
      <c r="N75" s="64"/>
      <c r="O75" s="64"/>
    </row>
    <row r="76" spans="10:15" x14ac:dyDescent="0.25">
      <c r="J76" s="370"/>
      <c r="K76" s="66"/>
      <c r="L76" s="64"/>
      <c r="M76" s="64"/>
      <c r="N76" s="64"/>
      <c r="O76" s="64"/>
    </row>
    <row r="77" spans="10:15" x14ac:dyDescent="0.25">
      <c r="J77" s="370"/>
      <c r="K77" s="66"/>
      <c r="L77" s="64"/>
      <c r="M77" s="64"/>
      <c r="N77" s="64"/>
      <c r="O77" s="64"/>
    </row>
    <row r="78" spans="10:15" x14ac:dyDescent="0.25">
      <c r="J78" s="370"/>
      <c r="K78" s="66"/>
      <c r="L78" s="64"/>
      <c r="M78" s="64"/>
      <c r="N78" s="64"/>
      <c r="O78" s="64"/>
    </row>
    <row r="79" spans="10:15" x14ac:dyDescent="0.25">
      <c r="J79" s="370"/>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view="pageBreakPreview" zoomScale="60" zoomScaleNormal="100" workbookViewId="0">
      <selection activeCell="C41" sqref="C41:I4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Boston Energy Production Facility</v>
      </c>
    </row>
    <row r="3" spans="1:19" ht="14.4" x14ac:dyDescent="0.3">
      <c r="A3" s="60" t="s">
        <v>383</v>
      </c>
      <c r="D3" s="76" t="s">
        <v>342</v>
      </c>
      <c r="G3" s="79" t="s">
        <v>343</v>
      </c>
      <c r="J3" s="9" t="str">
        <f>+A3</f>
        <v>Monitoring of Particulate matter emissions</v>
      </c>
      <c r="L3" s="9"/>
      <c r="N3" s="9" t="s">
        <v>344</v>
      </c>
      <c r="Q3" s="78" t="s">
        <v>3</v>
      </c>
      <c r="R3" s="74"/>
      <c r="S3" s="74"/>
    </row>
    <row r="4" spans="1:19" ht="13.95" customHeight="1" x14ac:dyDescent="0.25">
      <c r="Q4" s="346" t="s">
        <v>345</v>
      </c>
      <c r="R4" s="346"/>
      <c r="S4" s="346"/>
    </row>
    <row r="5" spans="1:19" ht="16.2" x14ac:dyDescent="0.25">
      <c r="A5" s="68" t="s">
        <v>346</v>
      </c>
      <c r="B5" s="372" t="s">
        <v>347</v>
      </c>
      <c r="C5" s="372"/>
      <c r="D5" s="372"/>
      <c r="E5" s="372" t="s">
        <v>348</v>
      </c>
      <c r="F5" s="372"/>
      <c r="G5" s="372"/>
      <c r="J5" s="371"/>
      <c r="K5" s="371"/>
      <c r="L5" s="371"/>
      <c r="M5" s="371"/>
      <c r="N5" s="371"/>
      <c r="O5" s="371"/>
      <c r="Q5" s="346"/>
      <c r="R5" s="346"/>
      <c r="S5" s="346"/>
    </row>
    <row r="6" spans="1:19" s="58" customFormat="1" ht="37.5" customHeight="1" x14ac:dyDescent="0.3">
      <c r="A6" s="65">
        <f>+'Cover Page'!C39</f>
        <v>2022</v>
      </c>
      <c r="B6" s="55" t="s">
        <v>384</v>
      </c>
      <c r="C6" s="55" t="s">
        <v>350</v>
      </c>
      <c r="D6" s="55" t="s">
        <v>351</v>
      </c>
      <c r="E6" s="55" t="s">
        <v>385</v>
      </c>
      <c r="F6" s="55" t="s">
        <v>353</v>
      </c>
      <c r="G6" s="55" t="s">
        <v>354</v>
      </c>
      <c r="H6" s="59"/>
      <c r="J6" s="61">
        <f>+A6</f>
        <v>2022</v>
      </c>
      <c r="K6" s="61" t="s">
        <v>355</v>
      </c>
      <c r="L6" s="67" t="s">
        <v>350</v>
      </c>
      <c r="M6" s="67" t="s">
        <v>356</v>
      </c>
      <c r="N6" s="67" t="s">
        <v>353</v>
      </c>
      <c r="O6" s="67" t="s">
        <v>357</v>
      </c>
      <c r="Q6" s="346"/>
      <c r="R6" s="346"/>
      <c r="S6" s="346"/>
    </row>
    <row r="7" spans="1:19" x14ac:dyDescent="0.25">
      <c r="A7" s="66" t="s">
        <v>358</v>
      </c>
      <c r="B7" s="63">
        <v>30</v>
      </c>
      <c r="C7" s="64">
        <f>L7</f>
        <v>0</v>
      </c>
      <c r="D7" s="64">
        <f>M7</f>
        <v>2</v>
      </c>
      <c r="E7" s="63">
        <v>10</v>
      </c>
      <c r="F7" s="64">
        <f>N7</f>
        <v>0</v>
      </c>
      <c r="G7" s="64">
        <f>O7</f>
        <v>1</v>
      </c>
      <c r="J7" s="370" t="s">
        <v>182</v>
      </c>
      <c r="K7" s="66" t="s">
        <v>358</v>
      </c>
      <c r="L7" s="64">
        <v>0</v>
      </c>
      <c r="M7" s="64">
        <v>2</v>
      </c>
      <c r="N7" s="64">
        <v>0</v>
      </c>
      <c r="O7" s="64">
        <v>1</v>
      </c>
      <c r="Q7" s="346"/>
      <c r="R7" s="346"/>
      <c r="S7" s="346"/>
    </row>
    <row r="8" spans="1:19" x14ac:dyDescent="0.25">
      <c r="A8" s="66" t="s">
        <v>359</v>
      </c>
      <c r="B8" s="63">
        <v>30</v>
      </c>
      <c r="C8" s="64">
        <f t="shared" ref="C8:C18" si="0">L8</f>
        <v>0</v>
      </c>
      <c r="D8" s="64">
        <f t="shared" ref="D8:D18" si="1">M8</f>
        <v>1</v>
      </c>
      <c r="E8" s="63">
        <v>10</v>
      </c>
      <c r="F8" s="64">
        <f t="shared" ref="F8:F18" si="2">N8</f>
        <v>0</v>
      </c>
      <c r="G8" s="64">
        <f t="shared" ref="G8:G18" si="3">O8</f>
        <v>1</v>
      </c>
      <c r="J8" s="370"/>
      <c r="K8" s="66" t="s">
        <v>359</v>
      </c>
      <c r="L8" s="64">
        <v>0</v>
      </c>
      <c r="M8" s="64">
        <v>1</v>
      </c>
      <c r="N8" s="64">
        <v>0</v>
      </c>
      <c r="O8" s="64">
        <v>1</v>
      </c>
      <c r="Q8" s="346"/>
      <c r="R8" s="346"/>
      <c r="S8" s="346"/>
    </row>
    <row r="9" spans="1:19" x14ac:dyDescent="0.25">
      <c r="A9" s="66" t="s">
        <v>360</v>
      </c>
      <c r="B9" s="63">
        <v>30</v>
      </c>
      <c r="C9" s="64">
        <f t="shared" si="0"/>
        <v>0</v>
      </c>
      <c r="D9" s="64">
        <f t="shared" si="1"/>
        <v>4</v>
      </c>
      <c r="E9" s="63">
        <v>10</v>
      </c>
      <c r="F9" s="64">
        <f t="shared" si="2"/>
        <v>0</v>
      </c>
      <c r="G9" s="64">
        <f t="shared" si="3"/>
        <v>1</v>
      </c>
      <c r="J9" s="370"/>
      <c r="K9" s="66" t="s">
        <v>360</v>
      </c>
      <c r="L9" s="64">
        <v>0</v>
      </c>
      <c r="M9" s="64">
        <v>4</v>
      </c>
      <c r="N9" s="64">
        <v>0</v>
      </c>
      <c r="O9" s="64">
        <v>1</v>
      </c>
      <c r="Q9" s="77" t="s">
        <v>361</v>
      </c>
    </row>
    <row r="10" spans="1:19" ht="14.25" customHeight="1" x14ac:dyDescent="0.25">
      <c r="A10" s="66" t="s">
        <v>362</v>
      </c>
      <c r="B10" s="63">
        <v>30</v>
      </c>
      <c r="C10" s="64">
        <f t="shared" si="0"/>
        <v>0</v>
      </c>
      <c r="D10" s="64">
        <f t="shared" si="1"/>
        <v>0</v>
      </c>
      <c r="E10" s="63">
        <v>10</v>
      </c>
      <c r="F10" s="64">
        <f t="shared" si="2"/>
        <v>0</v>
      </c>
      <c r="G10" s="64">
        <f t="shared" si="3"/>
        <v>0</v>
      </c>
      <c r="J10" s="370"/>
      <c r="K10" s="66" t="s">
        <v>362</v>
      </c>
      <c r="L10" s="64">
        <v>0</v>
      </c>
      <c r="M10" s="64">
        <v>0</v>
      </c>
      <c r="N10" s="64">
        <v>0</v>
      </c>
      <c r="O10" s="64">
        <v>0</v>
      </c>
      <c r="Q10" s="369" t="s">
        <v>363</v>
      </c>
      <c r="R10" s="369"/>
      <c r="S10" s="369"/>
    </row>
    <row r="11" spans="1:19" x14ac:dyDescent="0.25">
      <c r="A11" s="66" t="s">
        <v>364</v>
      </c>
      <c r="B11" s="63">
        <v>30</v>
      </c>
      <c r="C11" s="64">
        <f t="shared" si="0"/>
        <v>0</v>
      </c>
      <c r="D11" s="64">
        <f t="shared" si="1"/>
        <v>0</v>
      </c>
      <c r="E11" s="63">
        <v>10</v>
      </c>
      <c r="F11" s="64">
        <f t="shared" si="2"/>
        <v>0</v>
      </c>
      <c r="G11" s="64">
        <f t="shared" si="3"/>
        <v>0</v>
      </c>
      <c r="J11" s="370"/>
      <c r="K11" s="66" t="s">
        <v>364</v>
      </c>
      <c r="L11" s="64">
        <v>0</v>
      </c>
      <c r="M11" s="64">
        <v>0</v>
      </c>
      <c r="N11" s="64">
        <v>0</v>
      </c>
      <c r="O11" s="64">
        <v>0</v>
      </c>
      <c r="Q11" s="369"/>
      <c r="R11" s="369"/>
      <c r="S11" s="369"/>
    </row>
    <row r="12" spans="1:19" x14ac:dyDescent="0.25">
      <c r="A12" s="66" t="s">
        <v>365</v>
      </c>
      <c r="B12" s="63">
        <v>30</v>
      </c>
      <c r="C12" s="64">
        <f t="shared" si="0"/>
        <v>0</v>
      </c>
      <c r="D12" s="64">
        <f t="shared" si="1"/>
        <v>0</v>
      </c>
      <c r="E12" s="63">
        <v>10</v>
      </c>
      <c r="F12" s="64">
        <f t="shared" si="2"/>
        <v>0</v>
      </c>
      <c r="G12" s="64">
        <f t="shared" si="3"/>
        <v>0</v>
      </c>
      <c r="J12" s="370"/>
      <c r="K12" s="66" t="s">
        <v>365</v>
      </c>
      <c r="L12" s="64">
        <v>0</v>
      </c>
      <c r="M12" s="64">
        <v>0</v>
      </c>
      <c r="N12" s="64">
        <v>0</v>
      </c>
      <c r="O12" s="64">
        <v>0</v>
      </c>
      <c r="Q12" s="369"/>
      <c r="R12" s="369"/>
      <c r="S12" s="369"/>
    </row>
    <row r="13" spans="1:19" ht="14.25" customHeight="1" x14ac:dyDescent="0.25">
      <c r="A13" s="66" t="s">
        <v>366</v>
      </c>
      <c r="B13" s="63">
        <v>30</v>
      </c>
      <c r="C13" s="64">
        <f t="shared" si="0"/>
        <v>0</v>
      </c>
      <c r="D13" s="64">
        <f t="shared" si="1"/>
        <v>2</v>
      </c>
      <c r="E13" s="63">
        <v>10</v>
      </c>
      <c r="F13" s="64">
        <f t="shared" si="2"/>
        <v>0</v>
      </c>
      <c r="G13" s="64">
        <f t="shared" si="3"/>
        <v>0</v>
      </c>
      <c r="J13" s="370"/>
      <c r="K13" s="66" t="s">
        <v>366</v>
      </c>
      <c r="L13" s="64">
        <v>0</v>
      </c>
      <c r="M13" s="64">
        <v>2</v>
      </c>
      <c r="N13" s="64">
        <v>0</v>
      </c>
      <c r="O13" s="64">
        <v>0</v>
      </c>
      <c r="Q13" s="369" t="s">
        <v>367</v>
      </c>
      <c r="R13" s="369"/>
      <c r="S13" s="369"/>
    </row>
    <row r="14" spans="1:19" x14ac:dyDescent="0.25">
      <c r="A14" s="66" t="s">
        <v>368</v>
      </c>
      <c r="B14" s="63">
        <v>30</v>
      </c>
      <c r="C14" s="64">
        <f t="shared" si="0"/>
        <v>0</v>
      </c>
      <c r="D14" s="64">
        <f t="shared" si="1"/>
        <v>2</v>
      </c>
      <c r="E14" s="63">
        <v>10</v>
      </c>
      <c r="F14" s="64">
        <f t="shared" si="2"/>
        <v>0</v>
      </c>
      <c r="G14" s="64">
        <f t="shared" si="3"/>
        <v>1</v>
      </c>
      <c r="J14" s="370"/>
      <c r="K14" s="66" t="s">
        <v>368</v>
      </c>
      <c r="L14" s="64">
        <v>0</v>
      </c>
      <c r="M14" s="64">
        <v>2</v>
      </c>
      <c r="N14" s="64">
        <v>0</v>
      </c>
      <c r="O14" s="64">
        <v>1</v>
      </c>
      <c r="Q14" s="369"/>
      <c r="R14" s="369"/>
      <c r="S14" s="369"/>
    </row>
    <row r="15" spans="1:19" x14ac:dyDescent="0.25">
      <c r="A15" s="66" t="s">
        <v>369</v>
      </c>
      <c r="B15" s="63">
        <v>30</v>
      </c>
      <c r="C15" s="64">
        <f t="shared" si="0"/>
        <v>0</v>
      </c>
      <c r="D15" s="64">
        <f t="shared" si="1"/>
        <v>2</v>
      </c>
      <c r="E15" s="63">
        <v>10</v>
      </c>
      <c r="F15" s="64">
        <f t="shared" si="2"/>
        <v>0</v>
      </c>
      <c r="G15" s="64">
        <f t="shared" si="3"/>
        <v>1</v>
      </c>
      <c r="J15" s="370"/>
      <c r="K15" s="66" t="s">
        <v>369</v>
      </c>
      <c r="L15" s="64">
        <v>0</v>
      </c>
      <c r="M15" s="64">
        <v>2</v>
      </c>
      <c r="N15" s="64">
        <v>0</v>
      </c>
      <c r="O15" s="64">
        <v>1</v>
      </c>
      <c r="Q15" s="369"/>
      <c r="R15" s="369"/>
      <c r="S15" s="369"/>
    </row>
    <row r="16" spans="1:19" x14ac:dyDescent="0.25">
      <c r="A16" s="66" t="s">
        <v>370</v>
      </c>
      <c r="B16" s="63">
        <v>30</v>
      </c>
      <c r="C16" s="64">
        <f t="shared" si="0"/>
        <v>1</v>
      </c>
      <c r="D16" s="64">
        <f t="shared" si="1"/>
        <v>1</v>
      </c>
      <c r="E16" s="63">
        <v>10</v>
      </c>
      <c r="F16" s="64">
        <f t="shared" si="2"/>
        <v>1</v>
      </c>
      <c r="G16" s="64">
        <f t="shared" si="3"/>
        <v>1</v>
      </c>
      <c r="J16" s="370"/>
      <c r="K16" s="66" t="s">
        <v>370</v>
      </c>
      <c r="L16" s="64">
        <v>1</v>
      </c>
      <c r="M16" s="64">
        <v>1</v>
      </c>
      <c r="N16" s="64">
        <v>1</v>
      </c>
      <c r="O16" s="64">
        <v>1</v>
      </c>
      <c r="Q16" s="369"/>
      <c r="R16" s="369"/>
      <c r="S16" s="369"/>
    </row>
    <row r="17" spans="1:15" x14ac:dyDescent="0.25">
      <c r="A17" s="66" t="s">
        <v>371</v>
      </c>
      <c r="B17" s="63">
        <v>30</v>
      </c>
      <c r="C17" s="64">
        <f t="shared" si="0"/>
        <v>0</v>
      </c>
      <c r="D17" s="64">
        <f t="shared" si="1"/>
        <v>5</v>
      </c>
      <c r="E17" s="63">
        <v>10</v>
      </c>
      <c r="F17" s="64">
        <f t="shared" si="2"/>
        <v>0</v>
      </c>
      <c r="G17" s="64">
        <f t="shared" si="3"/>
        <v>1</v>
      </c>
      <c r="J17" s="370"/>
      <c r="K17" s="66" t="s">
        <v>371</v>
      </c>
      <c r="L17" s="64">
        <v>0</v>
      </c>
      <c r="M17" s="64">
        <v>5</v>
      </c>
      <c r="N17" s="64">
        <v>0</v>
      </c>
      <c r="O17" s="64">
        <v>1</v>
      </c>
    </row>
    <row r="18" spans="1:15" x14ac:dyDescent="0.25">
      <c r="A18" s="66" t="s">
        <v>372</v>
      </c>
      <c r="B18" s="63">
        <v>30</v>
      </c>
      <c r="C18" s="64">
        <f t="shared" si="0"/>
        <v>1</v>
      </c>
      <c r="D18" s="64">
        <f t="shared" si="1"/>
        <v>2</v>
      </c>
      <c r="E18" s="63">
        <v>10</v>
      </c>
      <c r="F18" s="64">
        <f t="shared" si="2"/>
        <v>1</v>
      </c>
      <c r="G18" s="64">
        <f t="shared" si="3"/>
        <v>1</v>
      </c>
      <c r="J18" s="370"/>
      <c r="K18" s="66" t="s">
        <v>372</v>
      </c>
      <c r="L18" s="64">
        <v>1</v>
      </c>
      <c r="M18" s="64">
        <v>2</v>
      </c>
      <c r="N18" s="64">
        <v>1</v>
      </c>
      <c r="O18" s="64">
        <v>1</v>
      </c>
    </row>
    <row r="19" spans="1:15" x14ac:dyDescent="0.25">
      <c r="J19" s="370"/>
      <c r="K19" s="62" t="s">
        <v>373</v>
      </c>
      <c r="L19" s="97">
        <f>AVERAGE(L7:L18)</f>
        <v>0.16666666666666666</v>
      </c>
      <c r="M19" s="62">
        <f>MAX(M7:M18)</f>
        <v>5</v>
      </c>
      <c r="N19" s="97">
        <f>AVERAGE(N7:N18)</f>
        <v>0.16666666666666666</v>
      </c>
      <c r="O19" s="62">
        <f>MAX(O7:O18)</f>
        <v>1</v>
      </c>
    </row>
    <row r="21" spans="1:15" x14ac:dyDescent="0.25">
      <c r="J21" s="61"/>
      <c r="K21" s="61"/>
      <c r="L21" s="67"/>
      <c r="M21" s="67"/>
      <c r="N21" s="67"/>
      <c r="O21" s="67"/>
    </row>
    <row r="22" spans="1:15" x14ac:dyDescent="0.25">
      <c r="J22" s="370"/>
      <c r="K22" s="66"/>
      <c r="L22" s="64"/>
      <c r="M22" s="64"/>
      <c r="N22" s="64"/>
      <c r="O22" s="64"/>
    </row>
    <row r="23" spans="1:15" x14ac:dyDescent="0.25">
      <c r="J23" s="370"/>
      <c r="K23" s="66"/>
      <c r="L23" s="64"/>
      <c r="M23" s="64"/>
      <c r="N23" s="64"/>
      <c r="O23" s="64"/>
    </row>
    <row r="24" spans="1:15" x14ac:dyDescent="0.25">
      <c r="J24" s="370"/>
      <c r="K24" s="66"/>
      <c r="L24" s="64"/>
      <c r="M24" s="64"/>
      <c r="N24" s="64"/>
      <c r="O24" s="64"/>
    </row>
    <row r="25" spans="1:15" x14ac:dyDescent="0.25">
      <c r="J25" s="370"/>
      <c r="K25" s="66"/>
      <c r="L25" s="64"/>
      <c r="M25" s="64"/>
      <c r="N25" s="64"/>
      <c r="O25" s="64"/>
    </row>
    <row r="26" spans="1:15" x14ac:dyDescent="0.25">
      <c r="J26" s="370"/>
      <c r="K26" s="66"/>
      <c r="L26" s="64"/>
      <c r="M26" s="64"/>
      <c r="N26" s="64"/>
      <c r="O26" s="64"/>
    </row>
    <row r="27" spans="1:15" x14ac:dyDescent="0.25">
      <c r="J27" s="370"/>
      <c r="K27" s="66"/>
      <c r="L27" s="64"/>
      <c r="M27" s="64"/>
      <c r="N27" s="64"/>
      <c r="O27" s="64"/>
    </row>
    <row r="28" spans="1:15" x14ac:dyDescent="0.25">
      <c r="J28" s="370"/>
      <c r="K28" s="66"/>
      <c r="L28" s="64"/>
      <c r="M28" s="64"/>
      <c r="N28" s="64"/>
      <c r="O28" s="64"/>
    </row>
    <row r="29" spans="1:15" x14ac:dyDescent="0.25">
      <c r="J29" s="370"/>
      <c r="K29" s="66"/>
      <c r="L29" s="64"/>
      <c r="M29" s="64"/>
      <c r="N29" s="64"/>
      <c r="O29" s="64"/>
    </row>
    <row r="30" spans="1:15" x14ac:dyDescent="0.25">
      <c r="J30" s="370"/>
      <c r="K30" s="66"/>
      <c r="L30" s="64"/>
      <c r="M30" s="64"/>
      <c r="N30" s="64"/>
      <c r="O30" s="64"/>
    </row>
    <row r="31" spans="1:15" x14ac:dyDescent="0.25">
      <c r="J31" s="370"/>
      <c r="K31" s="66"/>
      <c r="L31" s="64"/>
      <c r="M31" s="64"/>
      <c r="N31" s="64"/>
      <c r="O31" s="64"/>
    </row>
    <row r="32" spans="1:15" x14ac:dyDescent="0.25">
      <c r="J32" s="370"/>
      <c r="K32" s="66"/>
      <c r="L32" s="64"/>
      <c r="M32" s="64"/>
      <c r="N32" s="64"/>
      <c r="O32" s="64"/>
    </row>
    <row r="33" spans="1:15" x14ac:dyDescent="0.25">
      <c r="J33" s="370"/>
      <c r="K33" s="66"/>
      <c r="L33" s="64"/>
      <c r="M33" s="64"/>
      <c r="N33" s="64"/>
      <c r="O33" s="64"/>
    </row>
    <row r="34" spans="1:15" x14ac:dyDescent="0.25">
      <c r="J34" s="370"/>
      <c r="K34" s="62"/>
      <c r="L34" s="62"/>
      <c r="M34" s="62"/>
      <c r="N34" s="62"/>
      <c r="O34" s="62"/>
    </row>
    <row r="36" spans="1:15" x14ac:dyDescent="0.25">
      <c r="J36" s="61"/>
      <c r="K36" s="61"/>
      <c r="L36" s="67"/>
      <c r="M36" s="67"/>
      <c r="N36" s="67"/>
      <c r="O36" s="67"/>
    </row>
    <row r="37" spans="1:15" x14ac:dyDescent="0.25">
      <c r="J37" s="370"/>
      <c r="K37" s="66"/>
      <c r="L37" s="64"/>
      <c r="M37" s="64"/>
      <c r="N37" s="64"/>
      <c r="O37" s="64"/>
    </row>
    <row r="38" spans="1:15" x14ac:dyDescent="0.25">
      <c r="J38" s="370"/>
      <c r="K38" s="66"/>
      <c r="L38" s="64"/>
      <c r="M38" s="64"/>
      <c r="N38" s="64"/>
      <c r="O38" s="64"/>
    </row>
    <row r="39" spans="1:15" x14ac:dyDescent="0.25">
      <c r="J39" s="370"/>
      <c r="K39" s="66"/>
      <c r="L39" s="64"/>
      <c r="M39" s="64"/>
      <c r="N39" s="64"/>
      <c r="O39" s="64"/>
    </row>
    <row r="40" spans="1:15" x14ac:dyDescent="0.25">
      <c r="J40" s="370"/>
      <c r="K40" s="66"/>
      <c r="L40" s="64"/>
      <c r="M40" s="64"/>
      <c r="N40" s="64"/>
      <c r="O40" s="64"/>
    </row>
    <row r="41" spans="1:15" x14ac:dyDescent="0.25">
      <c r="J41" s="370"/>
      <c r="K41" s="66"/>
      <c r="L41" s="64"/>
      <c r="M41" s="64"/>
      <c r="N41" s="64"/>
      <c r="O41" s="64"/>
    </row>
    <row r="42" spans="1:15" x14ac:dyDescent="0.25">
      <c r="J42" s="370"/>
      <c r="K42" s="66"/>
      <c r="L42" s="64"/>
      <c r="M42" s="64"/>
      <c r="N42" s="64"/>
      <c r="O42" s="64"/>
    </row>
    <row r="43" spans="1:15" x14ac:dyDescent="0.25">
      <c r="J43" s="370"/>
      <c r="K43" s="66"/>
      <c r="L43" s="64"/>
      <c r="M43" s="64"/>
      <c r="N43" s="64"/>
      <c r="O43" s="64"/>
    </row>
    <row r="44" spans="1:15" x14ac:dyDescent="0.25">
      <c r="J44" s="370"/>
      <c r="K44" s="66"/>
      <c r="L44" s="64"/>
      <c r="M44" s="64"/>
      <c r="N44" s="64"/>
      <c r="O44" s="64"/>
    </row>
    <row r="45" spans="1:15" x14ac:dyDescent="0.25">
      <c r="J45" s="370"/>
      <c r="K45" s="66"/>
      <c r="L45" s="64"/>
      <c r="M45" s="64"/>
      <c r="N45" s="64"/>
      <c r="O45" s="64"/>
    </row>
    <row r="46" spans="1:15" x14ac:dyDescent="0.25">
      <c r="J46" s="370"/>
      <c r="K46" s="66"/>
      <c r="L46" s="64"/>
      <c r="M46" s="64"/>
      <c r="N46" s="64"/>
      <c r="O46" s="64"/>
    </row>
    <row r="47" spans="1:15" x14ac:dyDescent="0.25">
      <c r="J47" s="370"/>
      <c r="K47" s="66"/>
      <c r="L47" s="64"/>
      <c r="M47" s="64"/>
      <c r="N47" s="64"/>
      <c r="O47" s="64"/>
    </row>
    <row r="48" spans="1:15" x14ac:dyDescent="0.25">
      <c r="A48" s="382" t="s">
        <v>269</v>
      </c>
      <c r="B48" s="383"/>
      <c r="C48" s="383"/>
      <c r="D48" s="383"/>
      <c r="E48" s="383"/>
      <c r="F48" s="383"/>
      <c r="G48" s="384"/>
      <c r="J48" s="370"/>
      <c r="K48" s="66"/>
      <c r="L48" s="64"/>
      <c r="M48" s="64"/>
      <c r="N48" s="64"/>
      <c r="O48" s="64"/>
    </row>
    <row r="49" spans="1:15" x14ac:dyDescent="0.25">
      <c r="A49" s="373"/>
      <c r="B49" s="374"/>
      <c r="C49" s="374"/>
      <c r="D49" s="374"/>
      <c r="E49" s="374"/>
      <c r="F49" s="374"/>
      <c r="G49" s="375"/>
      <c r="J49" s="370"/>
      <c r="K49" s="62"/>
      <c r="L49" s="62"/>
      <c r="M49" s="62"/>
      <c r="N49" s="62"/>
      <c r="O49" s="62"/>
    </row>
    <row r="50" spans="1:15" x14ac:dyDescent="0.25">
      <c r="A50" s="376"/>
      <c r="B50" s="377"/>
      <c r="C50" s="377"/>
      <c r="D50" s="377"/>
      <c r="E50" s="377"/>
      <c r="F50" s="377"/>
      <c r="G50" s="378"/>
    </row>
    <row r="51" spans="1:15" x14ac:dyDescent="0.25">
      <c r="A51" s="376"/>
      <c r="B51" s="377"/>
      <c r="C51" s="377"/>
      <c r="D51" s="377"/>
      <c r="E51" s="377"/>
      <c r="F51" s="377"/>
      <c r="G51" s="378"/>
      <c r="J51" s="61"/>
      <c r="K51" s="61"/>
      <c r="L51" s="67"/>
      <c r="M51" s="67"/>
      <c r="N51" s="67"/>
      <c r="O51" s="67"/>
    </row>
    <row r="52" spans="1:15" x14ac:dyDescent="0.25">
      <c r="A52" s="379"/>
      <c r="B52" s="380"/>
      <c r="C52" s="380"/>
      <c r="D52" s="380"/>
      <c r="E52" s="380"/>
      <c r="F52" s="380"/>
      <c r="G52" s="381"/>
      <c r="J52" s="370"/>
      <c r="K52" s="66"/>
      <c r="L52" s="64"/>
      <c r="M52" s="64"/>
      <c r="N52" s="64"/>
      <c r="O52" s="64"/>
    </row>
    <row r="53" spans="1:15" x14ac:dyDescent="0.25">
      <c r="J53" s="370"/>
      <c r="K53" s="66"/>
      <c r="L53" s="64"/>
      <c r="M53" s="64"/>
      <c r="N53" s="64"/>
      <c r="O53" s="64"/>
    </row>
    <row r="54" spans="1:15" x14ac:dyDescent="0.25">
      <c r="J54" s="370"/>
      <c r="K54" s="66"/>
      <c r="L54" s="64"/>
      <c r="M54" s="64"/>
      <c r="N54" s="64"/>
      <c r="O54" s="64"/>
    </row>
    <row r="55" spans="1:15" x14ac:dyDescent="0.25">
      <c r="J55" s="370"/>
      <c r="K55" s="66"/>
      <c r="L55" s="64"/>
      <c r="M55" s="64"/>
      <c r="N55" s="64"/>
      <c r="O55" s="64"/>
    </row>
    <row r="56" spans="1:15" x14ac:dyDescent="0.25">
      <c r="J56" s="370"/>
      <c r="K56" s="66"/>
      <c r="L56" s="64"/>
      <c r="M56" s="64"/>
      <c r="N56" s="64"/>
      <c r="O56" s="64"/>
    </row>
    <row r="57" spans="1:15" x14ac:dyDescent="0.25">
      <c r="J57" s="370"/>
      <c r="K57" s="66"/>
      <c r="L57" s="64"/>
      <c r="M57" s="64"/>
      <c r="N57" s="64"/>
      <c r="O57" s="64"/>
    </row>
    <row r="58" spans="1:15" x14ac:dyDescent="0.25">
      <c r="J58" s="370"/>
      <c r="K58" s="66"/>
      <c r="L58" s="64"/>
      <c r="M58" s="64"/>
      <c r="N58" s="64"/>
      <c r="O58" s="64"/>
    </row>
    <row r="59" spans="1:15" x14ac:dyDescent="0.25">
      <c r="J59" s="370"/>
      <c r="K59" s="66"/>
      <c r="L59" s="64"/>
      <c r="M59" s="64"/>
      <c r="N59" s="64"/>
      <c r="O59" s="64"/>
    </row>
    <row r="60" spans="1:15" x14ac:dyDescent="0.25">
      <c r="J60" s="370"/>
      <c r="K60" s="66"/>
      <c r="L60" s="64"/>
      <c r="M60" s="64"/>
      <c r="N60" s="64"/>
      <c r="O60" s="64"/>
    </row>
    <row r="61" spans="1:15" x14ac:dyDescent="0.25">
      <c r="J61" s="370"/>
      <c r="K61" s="66"/>
      <c r="L61" s="64"/>
      <c r="M61" s="64"/>
      <c r="N61" s="64"/>
      <c r="O61" s="64"/>
    </row>
    <row r="62" spans="1:15" x14ac:dyDescent="0.25">
      <c r="J62" s="370"/>
      <c r="K62" s="66"/>
      <c r="L62" s="64"/>
      <c r="M62" s="64"/>
      <c r="N62" s="64"/>
      <c r="O62" s="64"/>
    </row>
    <row r="63" spans="1:15" x14ac:dyDescent="0.25">
      <c r="J63" s="370"/>
      <c r="K63" s="66"/>
      <c r="L63" s="64"/>
      <c r="M63" s="64"/>
      <c r="N63" s="64"/>
      <c r="O63" s="64"/>
    </row>
    <row r="64" spans="1:15" x14ac:dyDescent="0.25">
      <c r="J64" s="370"/>
      <c r="K64" s="62"/>
      <c r="L64" s="62"/>
      <c r="M64" s="62"/>
      <c r="N64" s="62"/>
      <c r="O64" s="62"/>
    </row>
    <row r="66" spans="10:15" x14ac:dyDescent="0.25">
      <c r="J66" s="61"/>
      <c r="K66" s="61"/>
      <c r="L66" s="67"/>
      <c r="M66" s="67"/>
      <c r="N66" s="67"/>
      <c r="O66" s="67"/>
    </row>
    <row r="67" spans="10:15" x14ac:dyDescent="0.25">
      <c r="J67" s="370"/>
      <c r="K67" s="66"/>
      <c r="L67" s="64"/>
      <c r="M67" s="64"/>
      <c r="N67" s="64"/>
      <c r="O67" s="64"/>
    </row>
    <row r="68" spans="10:15" x14ac:dyDescent="0.25">
      <c r="J68" s="370"/>
      <c r="K68" s="66"/>
      <c r="L68" s="64"/>
      <c r="M68" s="64"/>
      <c r="N68" s="64"/>
      <c r="O68" s="64"/>
    </row>
    <row r="69" spans="10:15" x14ac:dyDescent="0.25">
      <c r="J69" s="370"/>
      <c r="K69" s="66"/>
      <c r="L69" s="64"/>
      <c r="M69" s="64"/>
      <c r="N69" s="64"/>
      <c r="O69" s="64"/>
    </row>
    <row r="70" spans="10:15" x14ac:dyDescent="0.25">
      <c r="J70" s="370"/>
      <c r="K70" s="66"/>
      <c r="L70" s="64"/>
      <c r="M70" s="64"/>
      <c r="N70" s="64"/>
      <c r="O70" s="64"/>
    </row>
    <row r="71" spans="10:15" x14ac:dyDescent="0.25">
      <c r="J71" s="370"/>
      <c r="K71" s="66"/>
      <c r="L71" s="64"/>
      <c r="M71" s="64"/>
      <c r="N71" s="64"/>
      <c r="O71" s="64"/>
    </row>
    <row r="72" spans="10:15" x14ac:dyDescent="0.25">
      <c r="J72" s="370"/>
      <c r="K72" s="66"/>
      <c r="L72" s="64"/>
      <c r="M72" s="64"/>
      <c r="N72" s="64"/>
      <c r="O72" s="64"/>
    </row>
    <row r="73" spans="10:15" x14ac:dyDescent="0.25">
      <c r="J73" s="370"/>
      <c r="K73" s="66"/>
      <c r="L73" s="64"/>
      <c r="M73" s="64"/>
      <c r="N73" s="64"/>
      <c r="O73" s="64"/>
    </row>
    <row r="74" spans="10:15" x14ac:dyDescent="0.25">
      <c r="J74" s="370"/>
      <c r="K74" s="66"/>
      <c r="L74" s="64"/>
      <c r="M74" s="64"/>
      <c r="N74" s="64"/>
      <c r="O74" s="64"/>
    </row>
    <row r="75" spans="10:15" x14ac:dyDescent="0.25">
      <c r="J75" s="370"/>
      <c r="K75" s="66"/>
      <c r="L75" s="64"/>
      <c r="M75" s="64"/>
      <c r="N75" s="64"/>
      <c r="O75" s="64"/>
    </row>
    <row r="76" spans="10:15" x14ac:dyDescent="0.25">
      <c r="J76" s="370"/>
      <c r="K76" s="66"/>
      <c r="L76" s="64"/>
      <c r="M76" s="64"/>
      <c r="N76" s="64"/>
      <c r="O76" s="64"/>
    </row>
    <row r="77" spans="10:15" x14ac:dyDescent="0.25">
      <c r="J77" s="370"/>
      <c r="K77" s="66"/>
      <c r="L77" s="64"/>
      <c r="M77" s="64"/>
      <c r="N77" s="64"/>
      <c r="O77" s="64"/>
    </row>
    <row r="78" spans="10:15" x14ac:dyDescent="0.25">
      <c r="J78" s="370"/>
      <c r="K78" s="66"/>
      <c r="L78" s="64"/>
      <c r="M78" s="64"/>
      <c r="N78" s="64"/>
      <c r="O78" s="64"/>
    </row>
    <row r="79" spans="10:15" x14ac:dyDescent="0.25">
      <c r="J79" s="370"/>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view="pageBreakPreview" zoomScale="60" zoomScaleNormal="100" workbookViewId="0">
      <selection activeCell="C41" sqref="C41:I4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Boston Energy Production Facility</v>
      </c>
    </row>
    <row r="3" spans="1:19" ht="14.4" x14ac:dyDescent="0.3">
      <c r="A3" s="60" t="s">
        <v>386</v>
      </c>
      <c r="D3" s="76" t="s">
        <v>342</v>
      </c>
      <c r="G3" s="79" t="s">
        <v>343</v>
      </c>
      <c r="J3" s="9" t="str">
        <f>+A3</f>
        <v>Monitoring of Carbon Monoxide (half hourly)</v>
      </c>
      <c r="L3" s="9"/>
      <c r="N3" s="9" t="s">
        <v>344</v>
      </c>
      <c r="Q3" s="78" t="s">
        <v>3</v>
      </c>
      <c r="R3" s="74"/>
      <c r="S3" s="74"/>
    </row>
    <row r="4" spans="1:19" ht="13.95" customHeight="1" x14ac:dyDescent="0.25">
      <c r="Q4" s="346" t="s">
        <v>345</v>
      </c>
      <c r="R4" s="346"/>
      <c r="S4" s="346"/>
    </row>
    <row r="5" spans="1:19" ht="16.2" x14ac:dyDescent="0.25">
      <c r="A5" s="68" t="s">
        <v>346</v>
      </c>
      <c r="B5" s="372" t="s">
        <v>347</v>
      </c>
      <c r="C5" s="372"/>
      <c r="D5" s="372"/>
      <c r="E5" s="372" t="s">
        <v>348</v>
      </c>
      <c r="F5" s="372"/>
      <c r="G5" s="372"/>
      <c r="J5" s="371"/>
      <c r="K5" s="371"/>
      <c r="L5" s="371"/>
      <c r="M5" s="371"/>
      <c r="N5" s="371"/>
      <c r="O5" s="371"/>
      <c r="Q5" s="346"/>
      <c r="R5" s="346"/>
      <c r="S5" s="346"/>
    </row>
    <row r="6" spans="1:19" s="58" customFormat="1" ht="37.5" customHeight="1" x14ac:dyDescent="0.3">
      <c r="A6" s="65">
        <f>+'Cover Page'!C39</f>
        <v>2022</v>
      </c>
      <c r="B6" s="55" t="s">
        <v>387</v>
      </c>
      <c r="C6" s="55" t="s">
        <v>350</v>
      </c>
      <c r="D6" s="55" t="s">
        <v>351</v>
      </c>
      <c r="E6" s="55" t="s">
        <v>388</v>
      </c>
      <c r="F6" s="55" t="s">
        <v>353</v>
      </c>
      <c r="G6" s="55" t="s">
        <v>354</v>
      </c>
      <c r="H6" s="59"/>
      <c r="J6" s="61">
        <f>+A6</f>
        <v>2022</v>
      </c>
      <c r="K6" s="61" t="s">
        <v>355</v>
      </c>
      <c r="L6" s="67" t="s">
        <v>350</v>
      </c>
      <c r="M6" s="67" t="s">
        <v>356</v>
      </c>
      <c r="N6" s="67" t="s">
        <v>353</v>
      </c>
      <c r="O6" s="67" t="s">
        <v>357</v>
      </c>
      <c r="Q6" s="346"/>
      <c r="R6" s="346"/>
      <c r="S6" s="346"/>
    </row>
    <row r="7" spans="1:19" x14ac:dyDescent="0.25">
      <c r="A7" s="66" t="s">
        <v>358</v>
      </c>
      <c r="B7" s="69">
        <v>100</v>
      </c>
      <c r="C7" s="64">
        <f>L7</f>
        <v>3</v>
      </c>
      <c r="D7" s="64">
        <f>M7</f>
        <v>14</v>
      </c>
      <c r="E7" s="69">
        <v>50</v>
      </c>
      <c r="F7" s="98">
        <f>N7</f>
        <v>3.5</v>
      </c>
      <c r="G7" s="64">
        <f>O7</f>
        <v>5</v>
      </c>
      <c r="J7" s="370" t="s">
        <v>182</v>
      </c>
      <c r="K7" s="66" t="s">
        <v>358</v>
      </c>
      <c r="L7" s="64">
        <v>3</v>
      </c>
      <c r="M7" s="64">
        <v>14</v>
      </c>
      <c r="N7" s="64">
        <v>3.5</v>
      </c>
      <c r="O7" s="64">
        <v>5</v>
      </c>
      <c r="Q7" s="346"/>
      <c r="R7" s="346"/>
      <c r="S7" s="346"/>
    </row>
    <row r="8" spans="1:19" x14ac:dyDescent="0.25">
      <c r="A8" s="66" t="s">
        <v>359</v>
      </c>
      <c r="B8" s="63">
        <f>+B7</f>
        <v>100</v>
      </c>
      <c r="C8" s="64">
        <f t="shared" ref="C8:C18" si="0">L8</f>
        <v>4</v>
      </c>
      <c r="D8" s="64">
        <f t="shared" ref="D8:D18" si="1">M8</f>
        <v>9</v>
      </c>
      <c r="E8" s="63">
        <f>+E7</f>
        <v>50</v>
      </c>
      <c r="F8" s="98">
        <f t="shared" ref="F8:F18" si="2">N8</f>
        <v>4.3600000000000003</v>
      </c>
      <c r="G8" s="64">
        <f t="shared" ref="G8:G18" si="3">O8</f>
        <v>6</v>
      </c>
      <c r="J8" s="370"/>
      <c r="K8" s="66" t="s">
        <v>359</v>
      </c>
      <c r="L8" s="64">
        <v>4</v>
      </c>
      <c r="M8" s="64">
        <v>9</v>
      </c>
      <c r="N8" s="64">
        <v>4.3600000000000003</v>
      </c>
      <c r="O8" s="64">
        <v>6</v>
      </c>
      <c r="Q8" s="346"/>
      <c r="R8" s="346"/>
      <c r="S8" s="346"/>
    </row>
    <row r="9" spans="1:19" x14ac:dyDescent="0.25">
      <c r="A9" s="66" t="s">
        <v>360</v>
      </c>
      <c r="B9" s="63">
        <f t="shared" ref="B9:B18" si="4">+B8</f>
        <v>100</v>
      </c>
      <c r="C9" s="64">
        <f t="shared" si="0"/>
        <v>4</v>
      </c>
      <c r="D9" s="64">
        <f t="shared" si="1"/>
        <v>10</v>
      </c>
      <c r="E9" s="63">
        <f t="shared" ref="E9:E18" si="5">+E8</f>
        <v>50</v>
      </c>
      <c r="F9" s="98">
        <f t="shared" si="2"/>
        <v>3.95</v>
      </c>
      <c r="G9" s="64">
        <f t="shared" si="3"/>
        <v>5</v>
      </c>
      <c r="J9" s="370"/>
      <c r="K9" s="66" t="s">
        <v>360</v>
      </c>
      <c r="L9" s="64">
        <v>4</v>
      </c>
      <c r="M9" s="64">
        <v>10</v>
      </c>
      <c r="N9" s="64">
        <v>3.95</v>
      </c>
      <c r="O9" s="64">
        <v>5</v>
      </c>
      <c r="Q9" s="77" t="s">
        <v>361</v>
      </c>
    </row>
    <row r="10" spans="1:19" ht="14.25" customHeight="1" x14ac:dyDescent="0.25">
      <c r="A10" s="66" t="s">
        <v>362</v>
      </c>
      <c r="B10" s="63">
        <f t="shared" si="4"/>
        <v>100</v>
      </c>
      <c r="C10" s="64">
        <f t="shared" si="0"/>
        <v>0</v>
      </c>
      <c r="D10" s="64">
        <f t="shared" si="1"/>
        <v>0</v>
      </c>
      <c r="E10" s="63">
        <f t="shared" si="5"/>
        <v>50</v>
      </c>
      <c r="F10" s="98">
        <f t="shared" si="2"/>
        <v>0</v>
      </c>
      <c r="G10" s="64">
        <f t="shared" si="3"/>
        <v>0</v>
      </c>
      <c r="J10" s="370"/>
      <c r="K10" s="66" t="s">
        <v>362</v>
      </c>
      <c r="L10" s="64">
        <v>0</v>
      </c>
      <c r="M10" s="64">
        <v>0</v>
      </c>
      <c r="N10" s="64">
        <v>0</v>
      </c>
      <c r="O10" s="64">
        <v>0</v>
      </c>
      <c r="Q10" s="369" t="s">
        <v>363</v>
      </c>
      <c r="R10" s="369"/>
      <c r="S10" s="369"/>
    </row>
    <row r="11" spans="1:19" x14ac:dyDescent="0.25">
      <c r="A11" s="66" t="s">
        <v>364</v>
      </c>
      <c r="B11" s="63">
        <f t="shared" si="4"/>
        <v>100</v>
      </c>
      <c r="C11" s="64">
        <f t="shared" si="0"/>
        <v>0</v>
      </c>
      <c r="D11" s="64">
        <f t="shared" si="1"/>
        <v>0</v>
      </c>
      <c r="E11" s="63">
        <f t="shared" si="5"/>
        <v>50</v>
      </c>
      <c r="F11" s="98">
        <f t="shared" si="2"/>
        <v>0</v>
      </c>
      <c r="G11" s="64">
        <f t="shared" si="3"/>
        <v>0</v>
      </c>
      <c r="J11" s="370"/>
      <c r="K11" s="66" t="s">
        <v>364</v>
      </c>
      <c r="L11" s="64">
        <v>0</v>
      </c>
      <c r="M11" s="64">
        <v>0</v>
      </c>
      <c r="N11" s="64">
        <v>0</v>
      </c>
      <c r="O11" s="64">
        <v>0</v>
      </c>
      <c r="Q11" s="369"/>
      <c r="R11" s="369"/>
      <c r="S11" s="369"/>
    </row>
    <row r="12" spans="1:19" x14ac:dyDescent="0.25">
      <c r="A12" s="66" t="s">
        <v>365</v>
      </c>
      <c r="B12" s="63">
        <f t="shared" si="4"/>
        <v>100</v>
      </c>
      <c r="C12" s="64">
        <f t="shared" si="0"/>
        <v>0</v>
      </c>
      <c r="D12" s="64">
        <f t="shared" si="1"/>
        <v>0</v>
      </c>
      <c r="E12" s="63">
        <f t="shared" si="5"/>
        <v>50</v>
      </c>
      <c r="F12" s="98">
        <f t="shared" si="2"/>
        <v>0</v>
      </c>
      <c r="G12" s="64">
        <f t="shared" si="3"/>
        <v>0</v>
      </c>
      <c r="J12" s="370"/>
      <c r="K12" s="66" t="s">
        <v>365</v>
      </c>
      <c r="L12" s="64">
        <v>0</v>
      </c>
      <c r="M12" s="64">
        <v>0</v>
      </c>
      <c r="N12" s="64">
        <v>0</v>
      </c>
      <c r="O12" s="64">
        <v>0</v>
      </c>
      <c r="Q12" s="369"/>
      <c r="R12" s="369"/>
      <c r="S12" s="369"/>
    </row>
    <row r="13" spans="1:19" ht="14.25" customHeight="1" x14ac:dyDescent="0.25">
      <c r="A13" s="66" t="s">
        <v>366</v>
      </c>
      <c r="B13" s="63">
        <f t="shared" si="4"/>
        <v>100</v>
      </c>
      <c r="C13" s="64">
        <f t="shared" si="0"/>
        <v>5</v>
      </c>
      <c r="D13" s="64">
        <f t="shared" si="1"/>
        <v>63</v>
      </c>
      <c r="E13" s="63">
        <f t="shared" si="5"/>
        <v>50</v>
      </c>
      <c r="F13" s="98">
        <f t="shared" si="2"/>
        <v>4.53</v>
      </c>
      <c r="G13" s="64">
        <f t="shared" si="3"/>
        <v>9</v>
      </c>
      <c r="J13" s="370"/>
      <c r="K13" s="66" t="s">
        <v>366</v>
      </c>
      <c r="L13" s="64">
        <v>5</v>
      </c>
      <c r="M13" s="64">
        <v>63</v>
      </c>
      <c r="N13" s="64">
        <v>4.53</v>
      </c>
      <c r="O13" s="64">
        <v>9</v>
      </c>
      <c r="Q13" s="369" t="s">
        <v>367</v>
      </c>
      <c r="R13" s="369"/>
      <c r="S13" s="369"/>
    </row>
    <row r="14" spans="1:19" x14ac:dyDescent="0.25">
      <c r="A14" s="66" t="s">
        <v>368</v>
      </c>
      <c r="B14" s="63">
        <f t="shared" si="4"/>
        <v>100</v>
      </c>
      <c r="C14" s="64">
        <f t="shared" si="0"/>
        <v>10</v>
      </c>
      <c r="D14" s="64">
        <f t="shared" si="1"/>
        <v>123</v>
      </c>
      <c r="E14" s="63">
        <f t="shared" si="5"/>
        <v>50</v>
      </c>
      <c r="F14" s="98">
        <f t="shared" si="2"/>
        <v>9.76</v>
      </c>
      <c r="G14" s="64">
        <f t="shared" si="3"/>
        <v>23</v>
      </c>
      <c r="J14" s="370"/>
      <c r="K14" s="66" t="s">
        <v>368</v>
      </c>
      <c r="L14" s="64">
        <v>10</v>
      </c>
      <c r="M14" s="64">
        <v>123</v>
      </c>
      <c r="N14" s="64">
        <v>9.76</v>
      </c>
      <c r="O14" s="64">
        <v>23</v>
      </c>
      <c r="Q14" s="369"/>
      <c r="R14" s="369"/>
      <c r="S14" s="369"/>
    </row>
    <row r="15" spans="1:19" x14ac:dyDescent="0.25">
      <c r="A15" s="66" t="s">
        <v>369</v>
      </c>
      <c r="B15" s="63">
        <f t="shared" si="4"/>
        <v>100</v>
      </c>
      <c r="C15" s="64">
        <f t="shared" si="0"/>
        <v>8</v>
      </c>
      <c r="D15" s="64">
        <f t="shared" si="1"/>
        <v>175</v>
      </c>
      <c r="E15" s="63">
        <f t="shared" si="5"/>
        <v>50</v>
      </c>
      <c r="F15" s="98">
        <f t="shared" si="2"/>
        <v>7.76</v>
      </c>
      <c r="G15" s="64">
        <f t="shared" si="3"/>
        <v>23</v>
      </c>
      <c r="J15" s="370"/>
      <c r="K15" s="66" t="s">
        <v>369</v>
      </c>
      <c r="L15" s="64">
        <v>8</v>
      </c>
      <c r="M15" s="64">
        <v>175</v>
      </c>
      <c r="N15" s="64">
        <v>7.76</v>
      </c>
      <c r="O15" s="64">
        <v>23</v>
      </c>
      <c r="Q15" s="369"/>
      <c r="R15" s="369"/>
      <c r="S15" s="369"/>
    </row>
    <row r="16" spans="1:19" x14ac:dyDescent="0.25">
      <c r="A16" s="66" t="s">
        <v>370</v>
      </c>
      <c r="B16" s="63">
        <f t="shared" si="4"/>
        <v>100</v>
      </c>
      <c r="C16" s="64">
        <f t="shared" si="0"/>
        <v>6</v>
      </c>
      <c r="D16" s="64">
        <f t="shared" si="1"/>
        <v>169</v>
      </c>
      <c r="E16" s="63">
        <f t="shared" si="5"/>
        <v>50</v>
      </c>
      <c r="F16" s="98">
        <f t="shared" si="2"/>
        <v>6.38</v>
      </c>
      <c r="G16" s="64">
        <f t="shared" si="3"/>
        <v>16</v>
      </c>
      <c r="J16" s="370"/>
      <c r="K16" s="66" t="s">
        <v>370</v>
      </c>
      <c r="L16" s="64">
        <v>6</v>
      </c>
      <c r="M16" s="64">
        <v>169</v>
      </c>
      <c r="N16" s="64">
        <v>6.38</v>
      </c>
      <c r="O16" s="64">
        <v>16</v>
      </c>
      <c r="Q16" s="369"/>
      <c r="R16" s="369"/>
      <c r="S16" s="369"/>
    </row>
    <row r="17" spans="1:15" x14ac:dyDescent="0.25">
      <c r="A17" s="66" t="s">
        <v>371</v>
      </c>
      <c r="B17" s="63">
        <f t="shared" si="4"/>
        <v>100</v>
      </c>
      <c r="C17" s="64">
        <f t="shared" si="0"/>
        <v>5</v>
      </c>
      <c r="D17" s="64">
        <f t="shared" si="1"/>
        <v>72</v>
      </c>
      <c r="E17" s="63">
        <f t="shared" si="5"/>
        <v>50</v>
      </c>
      <c r="F17" s="98">
        <f t="shared" si="2"/>
        <v>4.7</v>
      </c>
      <c r="G17" s="64">
        <f t="shared" si="3"/>
        <v>10</v>
      </c>
      <c r="J17" s="370"/>
      <c r="K17" s="66" t="s">
        <v>371</v>
      </c>
      <c r="L17" s="64">
        <v>5</v>
      </c>
      <c r="M17" s="64">
        <v>72</v>
      </c>
      <c r="N17" s="64">
        <v>4.7</v>
      </c>
      <c r="O17" s="64">
        <v>10</v>
      </c>
    </row>
    <row r="18" spans="1:15" x14ac:dyDescent="0.25">
      <c r="A18" s="66" t="s">
        <v>372</v>
      </c>
      <c r="B18" s="63">
        <f t="shared" si="4"/>
        <v>100</v>
      </c>
      <c r="C18" s="64">
        <f t="shared" si="0"/>
        <v>3</v>
      </c>
      <c r="D18" s="64">
        <f t="shared" si="1"/>
        <v>24</v>
      </c>
      <c r="E18" s="63">
        <f t="shared" si="5"/>
        <v>50</v>
      </c>
      <c r="F18" s="98">
        <f t="shared" si="2"/>
        <v>3.42</v>
      </c>
      <c r="G18" s="64">
        <f t="shared" si="3"/>
        <v>5</v>
      </c>
      <c r="J18" s="370"/>
      <c r="K18" s="66" t="s">
        <v>372</v>
      </c>
      <c r="L18" s="64">
        <v>3</v>
      </c>
      <c r="M18" s="64">
        <v>24</v>
      </c>
      <c r="N18" s="64">
        <v>3.42</v>
      </c>
      <c r="O18" s="64">
        <v>5</v>
      </c>
    </row>
    <row r="19" spans="1:15" x14ac:dyDescent="0.25">
      <c r="J19" s="370"/>
      <c r="K19" s="62" t="s">
        <v>373</v>
      </c>
      <c r="L19" s="62">
        <f>AVERAGE(L7:L18)</f>
        <v>4</v>
      </c>
      <c r="M19" s="62">
        <f>MAX(M7:M18)</f>
        <v>175</v>
      </c>
      <c r="N19" s="62">
        <f>AVERAGE(N7:N18)</f>
        <v>4.03</v>
      </c>
      <c r="O19" s="62">
        <f>MAX(O7:O18)</f>
        <v>23</v>
      </c>
    </row>
    <row r="21" spans="1:15" x14ac:dyDescent="0.25">
      <c r="J21" s="61"/>
      <c r="K21" s="61"/>
      <c r="L21" s="67"/>
      <c r="M21" s="67"/>
      <c r="N21" s="67"/>
      <c r="O21" s="67"/>
    </row>
    <row r="22" spans="1:15" x14ac:dyDescent="0.25">
      <c r="J22" s="370"/>
      <c r="K22" s="66"/>
      <c r="L22" s="64"/>
      <c r="M22" s="64"/>
      <c r="N22" s="64"/>
      <c r="O22" s="64"/>
    </row>
    <row r="23" spans="1:15" x14ac:dyDescent="0.25">
      <c r="J23" s="370"/>
      <c r="K23" s="66"/>
      <c r="L23" s="64"/>
      <c r="M23" s="64"/>
      <c r="N23" s="64"/>
      <c r="O23" s="64"/>
    </row>
    <row r="24" spans="1:15" x14ac:dyDescent="0.25">
      <c r="J24" s="370"/>
      <c r="K24" s="66"/>
      <c r="L24" s="64"/>
      <c r="M24" s="64"/>
      <c r="N24" s="64"/>
      <c r="O24" s="64"/>
    </row>
    <row r="25" spans="1:15" x14ac:dyDescent="0.25">
      <c r="J25" s="370"/>
      <c r="K25" s="66"/>
      <c r="L25" s="64"/>
      <c r="M25" s="64"/>
      <c r="N25" s="64"/>
      <c r="O25" s="64"/>
    </row>
    <row r="26" spans="1:15" x14ac:dyDescent="0.25">
      <c r="J26" s="370"/>
      <c r="K26" s="66"/>
      <c r="L26" s="64"/>
      <c r="M26" s="64"/>
      <c r="N26" s="64"/>
      <c r="O26" s="64"/>
    </row>
    <row r="27" spans="1:15" x14ac:dyDescent="0.25">
      <c r="J27" s="370"/>
      <c r="K27" s="66"/>
      <c r="L27" s="64"/>
      <c r="M27" s="64"/>
      <c r="N27" s="64"/>
      <c r="O27" s="64"/>
    </row>
    <row r="28" spans="1:15" x14ac:dyDescent="0.25">
      <c r="J28" s="370"/>
      <c r="K28" s="66"/>
      <c r="L28" s="64"/>
      <c r="M28" s="64"/>
      <c r="N28" s="64"/>
      <c r="O28" s="64"/>
    </row>
    <row r="29" spans="1:15" x14ac:dyDescent="0.25">
      <c r="J29" s="370"/>
      <c r="K29" s="66"/>
      <c r="L29" s="64"/>
      <c r="M29" s="64"/>
      <c r="N29" s="64"/>
      <c r="O29" s="64"/>
    </row>
    <row r="30" spans="1:15" x14ac:dyDescent="0.25">
      <c r="J30" s="370"/>
      <c r="K30" s="66"/>
      <c r="L30" s="64"/>
      <c r="M30" s="64"/>
      <c r="N30" s="64"/>
      <c r="O30" s="64"/>
    </row>
    <row r="31" spans="1:15" x14ac:dyDescent="0.25">
      <c r="J31" s="370"/>
      <c r="K31" s="66"/>
      <c r="L31" s="64"/>
      <c r="M31" s="64"/>
      <c r="N31" s="64"/>
      <c r="O31" s="64"/>
    </row>
    <row r="32" spans="1:15" x14ac:dyDescent="0.25">
      <c r="J32" s="370"/>
      <c r="K32" s="66"/>
      <c r="L32" s="64"/>
      <c r="M32" s="64"/>
      <c r="N32" s="64"/>
      <c r="O32" s="64"/>
    </row>
    <row r="33" spans="1:15" x14ac:dyDescent="0.25">
      <c r="J33" s="370"/>
      <c r="K33" s="66"/>
      <c r="L33" s="64"/>
      <c r="M33" s="64"/>
      <c r="N33" s="64"/>
      <c r="O33" s="64"/>
    </row>
    <row r="34" spans="1:15" x14ac:dyDescent="0.25">
      <c r="J34" s="370"/>
      <c r="K34" s="62"/>
      <c r="L34" s="62"/>
      <c r="M34" s="62"/>
      <c r="N34" s="62"/>
      <c r="O34" s="62"/>
    </row>
    <row r="36" spans="1:15" x14ac:dyDescent="0.25">
      <c r="J36" s="61"/>
      <c r="K36" s="61"/>
      <c r="L36" s="67"/>
      <c r="M36" s="67"/>
      <c r="N36" s="67"/>
      <c r="O36" s="67"/>
    </row>
    <row r="37" spans="1:15" x14ac:dyDescent="0.25">
      <c r="J37" s="370"/>
      <c r="K37" s="66"/>
      <c r="L37" s="64"/>
      <c r="M37" s="64"/>
      <c r="N37" s="64"/>
      <c r="O37" s="64"/>
    </row>
    <row r="38" spans="1:15" x14ac:dyDescent="0.25">
      <c r="J38" s="370"/>
      <c r="K38" s="66"/>
      <c r="L38" s="64"/>
      <c r="M38" s="64"/>
      <c r="N38" s="64"/>
      <c r="O38" s="64"/>
    </row>
    <row r="39" spans="1:15" x14ac:dyDescent="0.25">
      <c r="J39" s="370"/>
      <c r="K39" s="66"/>
      <c r="L39" s="64"/>
      <c r="M39" s="64"/>
      <c r="N39" s="64"/>
      <c r="O39" s="64"/>
    </row>
    <row r="40" spans="1:15" x14ac:dyDescent="0.25">
      <c r="J40" s="370"/>
      <c r="K40" s="66"/>
      <c r="L40" s="64"/>
      <c r="M40" s="64"/>
      <c r="N40" s="64"/>
      <c r="O40" s="64"/>
    </row>
    <row r="41" spans="1:15" x14ac:dyDescent="0.25">
      <c r="J41" s="370"/>
      <c r="K41" s="66"/>
      <c r="L41" s="64"/>
      <c r="M41" s="64"/>
      <c r="N41" s="64"/>
      <c r="O41" s="64"/>
    </row>
    <row r="42" spans="1:15" x14ac:dyDescent="0.25">
      <c r="J42" s="370"/>
      <c r="K42" s="66"/>
      <c r="L42" s="64"/>
      <c r="M42" s="64"/>
      <c r="N42" s="64"/>
      <c r="O42" s="64"/>
    </row>
    <row r="43" spans="1:15" x14ac:dyDescent="0.25">
      <c r="J43" s="370"/>
      <c r="K43" s="66"/>
      <c r="L43" s="64"/>
      <c r="M43" s="64"/>
      <c r="N43" s="64"/>
      <c r="O43" s="64"/>
    </row>
    <row r="44" spans="1:15" x14ac:dyDescent="0.25">
      <c r="J44" s="370"/>
      <c r="K44" s="66"/>
      <c r="L44" s="64"/>
      <c r="M44" s="64"/>
      <c r="N44" s="64"/>
      <c r="O44" s="64"/>
    </row>
    <row r="45" spans="1:15" x14ac:dyDescent="0.25">
      <c r="J45" s="370"/>
      <c r="K45" s="66"/>
      <c r="L45" s="64"/>
      <c r="M45" s="64"/>
      <c r="N45" s="64"/>
      <c r="O45" s="64"/>
    </row>
    <row r="46" spans="1:15" x14ac:dyDescent="0.25">
      <c r="J46" s="370"/>
      <c r="K46" s="66"/>
      <c r="L46" s="64"/>
      <c r="M46" s="64"/>
      <c r="N46" s="64"/>
      <c r="O46" s="64"/>
    </row>
    <row r="47" spans="1:15" x14ac:dyDescent="0.25">
      <c r="J47" s="370"/>
      <c r="K47" s="66"/>
      <c r="L47" s="64"/>
      <c r="M47" s="64"/>
      <c r="N47" s="64"/>
      <c r="O47" s="64"/>
    </row>
    <row r="48" spans="1:15" x14ac:dyDescent="0.25">
      <c r="A48" s="382" t="s">
        <v>269</v>
      </c>
      <c r="B48" s="383"/>
      <c r="C48" s="383"/>
      <c r="D48" s="383"/>
      <c r="E48" s="383"/>
      <c r="F48" s="383"/>
      <c r="G48" s="384"/>
      <c r="J48" s="370"/>
      <c r="K48" s="66"/>
      <c r="L48" s="64"/>
      <c r="M48" s="64"/>
      <c r="N48" s="64"/>
      <c r="O48" s="64"/>
    </row>
    <row r="49" spans="1:15" x14ac:dyDescent="0.25">
      <c r="A49" s="373"/>
      <c r="B49" s="374"/>
      <c r="C49" s="374"/>
      <c r="D49" s="374"/>
      <c r="E49" s="374"/>
      <c r="F49" s="374"/>
      <c r="G49" s="375"/>
      <c r="J49" s="370"/>
      <c r="K49" s="62"/>
      <c r="L49" s="62"/>
      <c r="M49" s="62"/>
      <c r="N49" s="62"/>
      <c r="O49" s="62"/>
    </row>
    <row r="50" spans="1:15" x14ac:dyDescent="0.25">
      <c r="A50" s="376"/>
      <c r="B50" s="377"/>
      <c r="C50" s="377"/>
      <c r="D50" s="377"/>
      <c r="E50" s="377"/>
      <c r="F50" s="377"/>
      <c r="G50" s="378"/>
    </row>
    <row r="51" spans="1:15" x14ac:dyDescent="0.25">
      <c r="A51" s="376"/>
      <c r="B51" s="377"/>
      <c r="C51" s="377"/>
      <c r="D51" s="377"/>
      <c r="E51" s="377"/>
      <c r="F51" s="377"/>
      <c r="G51" s="378"/>
      <c r="J51" s="61"/>
      <c r="K51" s="61"/>
      <c r="L51" s="67"/>
      <c r="M51" s="67"/>
      <c r="N51" s="67"/>
      <c r="O51" s="67"/>
    </row>
    <row r="52" spans="1:15" x14ac:dyDescent="0.25">
      <c r="A52" s="379"/>
      <c r="B52" s="380"/>
      <c r="C52" s="380"/>
      <c r="D52" s="380"/>
      <c r="E52" s="380"/>
      <c r="F52" s="380"/>
      <c r="G52" s="381"/>
      <c r="J52" s="370"/>
      <c r="K52" s="66"/>
      <c r="L52" s="64"/>
      <c r="M52" s="64"/>
      <c r="N52" s="64"/>
      <c r="O52" s="64"/>
    </row>
    <row r="53" spans="1:15" x14ac:dyDescent="0.25">
      <c r="J53" s="370"/>
      <c r="K53" s="66"/>
      <c r="L53" s="64"/>
      <c r="M53" s="64"/>
      <c r="N53" s="64"/>
      <c r="O53" s="64"/>
    </row>
    <row r="54" spans="1:15" x14ac:dyDescent="0.25">
      <c r="J54" s="370"/>
      <c r="K54" s="66"/>
      <c r="L54" s="64"/>
      <c r="M54" s="64"/>
      <c r="N54" s="64"/>
      <c r="O54" s="64"/>
    </row>
    <row r="55" spans="1:15" x14ac:dyDescent="0.25">
      <c r="J55" s="370"/>
      <c r="K55" s="66"/>
      <c r="L55" s="64"/>
      <c r="M55" s="64"/>
      <c r="N55" s="64"/>
      <c r="O55" s="64"/>
    </row>
    <row r="56" spans="1:15" x14ac:dyDescent="0.25">
      <c r="J56" s="370"/>
      <c r="K56" s="66"/>
      <c r="L56" s="64"/>
      <c r="M56" s="64"/>
      <c r="N56" s="64"/>
      <c r="O56" s="64"/>
    </row>
    <row r="57" spans="1:15" x14ac:dyDescent="0.25">
      <c r="J57" s="370"/>
      <c r="K57" s="66"/>
      <c r="L57" s="64"/>
      <c r="M57" s="64"/>
      <c r="N57" s="64"/>
      <c r="O57" s="64"/>
    </row>
    <row r="58" spans="1:15" x14ac:dyDescent="0.25">
      <c r="J58" s="370"/>
      <c r="K58" s="66"/>
      <c r="L58" s="64"/>
      <c r="M58" s="64"/>
      <c r="N58" s="64"/>
      <c r="O58" s="64"/>
    </row>
    <row r="59" spans="1:15" x14ac:dyDescent="0.25">
      <c r="J59" s="370"/>
      <c r="K59" s="66"/>
      <c r="L59" s="64"/>
      <c r="M59" s="64"/>
      <c r="N59" s="64"/>
      <c r="O59" s="64"/>
    </row>
    <row r="60" spans="1:15" x14ac:dyDescent="0.25">
      <c r="J60" s="370"/>
      <c r="K60" s="66"/>
      <c r="L60" s="64"/>
      <c r="M60" s="64"/>
      <c r="N60" s="64"/>
      <c r="O60" s="64"/>
    </row>
    <row r="61" spans="1:15" x14ac:dyDescent="0.25">
      <c r="J61" s="370"/>
      <c r="K61" s="66"/>
      <c r="L61" s="64"/>
      <c r="M61" s="64"/>
      <c r="N61" s="64"/>
      <c r="O61" s="64"/>
    </row>
    <row r="62" spans="1:15" x14ac:dyDescent="0.25">
      <c r="J62" s="370"/>
      <c r="K62" s="66"/>
      <c r="L62" s="64"/>
      <c r="M62" s="64"/>
      <c r="N62" s="64"/>
      <c r="O62" s="64"/>
    </row>
    <row r="63" spans="1:15" x14ac:dyDescent="0.25">
      <c r="J63" s="370"/>
      <c r="K63" s="66"/>
      <c r="L63" s="64"/>
      <c r="M63" s="64"/>
      <c r="N63" s="64"/>
      <c r="O63" s="64"/>
    </row>
    <row r="64" spans="1:15" x14ac:dyDescent="0.25">
      <c r="J64" s="370"/>
      <c r="K64" s="62"/>
      <c r="L64" s="62"/>
      <c r="M64" s="62"/>
      <c r="N64" s="62"/>
      <c r="O64" s="62"/>
    </row>
    <row r="66" spans="10:15" x14ac:dyDescent="0.25">
      <c r="J66" s="61"/>
      <c r="K66" s="61"/>
      <c r="L66" s="67"/>
      <c r="M66" s="67"/>
      <c r="N66" s="67"/>
      <c r="O66" s="67"/>
    </row>
    <row r="67" spans="10:15" x14ac:dyDescent="0.25">
      <c r="J67" s="370"/>
      <c r="K67" s="66"/>
      <c r="L67" s="64"/>
      <c r="M67" s="64"/>
      <c r="N67" s="64"/>
      <c r="O67" s="64"/>
    </row>
    <row r="68" spans="10:15" x14ac:dyDescent="0.25">
      <c r="J68" s="370"/>
      <c r="K68" s="66"/>
      <c r="L68" s="64"/>
      <c r="M68" s="64"/>
      <c r="N68" s="64"/>
      <c r="O68" s="64"/>
    </row>
    <row r="69" spans="10:15" x14ac:dyDescent="0.25">
      <c r="J69" s="370"/>
      <c r="K69" s="66"/>
      <c r="L69" s="64"/>
      <c r="M69" s="64"/>
      <c r="N69" s="64"/>
      <c r="O69" s="64"/>
    </row>
    <row r="70" spans="10:15" x14ac:dyDescent="0.25">
      <c r="J70" s="370"/>
      <c r="K70" s="66"/>
      <c r="L70" s="64"/>
      <c r="M70" s="64"/>
      <c r="N70" s="64"/>
      <c r="O70" s="64"/>
    </row>
    <row r="71" spans="10:15" x14ac:dyDescent="0.25">
      <c r="J71" s="370"/>
      <c r="K71" s="66"/>
      <c r="L71" s="64"/>
      <c r="M71" s="64"/>
      <c r="N71" s="64"/>
      <c r="O71" s="64"/>
    </row>
    <row r="72" spans="10:15" x14ac:dyDescent="0.25">
      <c r="J72" s="370"/>
      <c r="K72" s="66"/>
      <c r="L72" s="64"/>
      <c r="M72" s="64"/>
      <c r="N72" s="64"/>
      <c r="O72" s="64"/>
    </row>
    <row r="73" spans="10:15" x14ac:dyDescent="0.25">
      <c r="J73" s="370"/>
      <c r="K73" s="66"/>
      <c r="L73" s="64"/>
      <c r="M73" s="64"/>
      <c r="N73" s="64"/>
      <c r="O73" s="64"/>
    </row>
    <row r="74" spans="10:15" x14ac:dyDescent="0.25">
      <c r="J74" s="370"/>
      <c r="K74" s="66"/>
      <c r="L74" s="64"/>
      <c r="M74" s="64"/>
      <c r="N74" s="64"/>
      <c r="O74" s="64"/>
    </row>
    <row r="75" spans="10:15" x14ac:dyDescent="0.25">
      <c r="J75" s="370"/>
      <c r="K75" s="66"/>
      <c r="L75" s="64"/>
      <c r="M75" s="64"/>
      <c r="N75" s="64"/>
      <c r="O75" s="64"/>
    </row>
    <row r="76" spans="10:15" x14ac:dyDescent="0.25">
      <c r="J76" s="370"/>
      <c r="K76" s="66"/>
      <c r="L76" s="64"/>
      <c r="M76" s="64"/>
      <c r="N76" s="64"/>
      <c r="O76" s="64"/>
    </row>
    <row r="77" spans="10:15" x14ac:dyDescent="0.25">
      <c r="J77" s="370"/>
      <c r="K77" s="66"/>
      <c r="L77" s="64"/>
      <c r="M77" s="64"/>
      <c r="N77" s="64"/>
      <c r="O77" s="64"/>
    </row>
    <row r="78" spans="10:15" x14ac:dyDescent="0.25">
      <c r="J78" s="370"/>
      <c r="K78" s="66"/>
      <c r="L78" s="64"/>
      <c r="M78" s="64"/>
      <c r="N78" s="64"/>
      <c r="O78" s="64"/>
    </row>
    <row r="79" spans="10:15" x14ac:dyDescent="0.25">
      <c r="J79" s="370"/>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view="pageBreakPreview" zoomScale="60" zoomScaleNormal="100" workbookViewId="0">
      <selection activeCell="C41" sqref="C41:I4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Boston Energy Production Facility</v>
      </c>
    </row>
    <row r="3" spans="1:19" ht="14.4" x14ac:dyDescent="0.3">
      <c r="A3" s="60" t="s">
        <v>389</v>
      </c>
      <c r="D3" s="76" t="s">
        <v>342</v>
      </c>
      <c r="G3" s="79" t="s">
        <v>343</v>
      </c>
      <c r="J3" s="9" t="str">
        <f>+A3</f>
        <v xml:space="preserve">Monitoring of Ammnonia emissions </v>
      </c>
      <c r="L3" s="9"/>
      <c r="N3" s="9" t="s">
        <v>344</v>
      </c>
      <c r="Q3" s="78" t="s">
        <v>3</v>
      </c>
      <c r="R3" s="74"/>
      <c r="S3" s="74"/>
    </row>
    <row r="4" spans="1:19" ht="13.95" customHeight="1" x14ac:dyDescent="0.25">
      <c r="Q4" s="346" t="s">
        <v>345</v>
      </c>
      <c r="R4" s="346"/>
      <c r="S4" s="346"/>
    </row>
    <row r="5" spans="1:19" ht="16.2" x14ac:dyDescent="0.25">
      <c r="A5" s="68" t="s">
        <v>346</v>
      </c>
      <c r="B5" s="372" t="s">
        <v>347</v>
      </c>
      <c r="C5" s="372"/>
      <c r="D5" s="372"/>
      <c r="E5" s="372" t="s">
        <v>348</v>
      </c>
      <c r="F5" s="372"/>
      <c r="G5" s="372"/>
      <c r="J5" s="371"/>
      <c r="K5" s="371"/>
      <c r="L5" s="371"/>
      <c r="M5" s="371"/>
      <c r="N5" s="371"/>
      <c r="O5" s="371"/>
      <c r="Q5" s="346"/>
      <c r="R5" s="346"/>
      <c r="S5" s="346"/>
    </row>
    <row r="6" spans="1:19" s="58" customFormat="1" ht="37.5" customHeight="1" x14ac:dyDescent="0.3">
      <c r="A6" s="65">
        <f>+'Cover Page'!C39</f>
        <v>2022</v>
      </c>
      <c r="B6" s="55" t="s">
        <v>390</v>
      </c>
      <c r="C6" s="55" t="s">
        <v>350</v>
      </c>
      <c r="D6" s="55" t="s">
        <v>351</v>
      </c>
      <c r="E6" s="55" t="s">
        <v>391</v>
      </c>
      <c r="F6" s="55" t="s">
        <v>353</v>
      </c>
      <c r="G6" s="55" t="s">
        <v>354</v>
      </c>
      <c r="H6" s="59"/>
      <c r="J6" s="61">
        <f>+A6</f>
        <v>2022</v>
      </c>
      <c r="K6" s="61" t="s">
        <v>355</v>
      </c>
      <c r="L6" s="67" t="s">
        <v>350</v>
      </c>
      <c r="M6" s="67" t="s">
        <v>356</v>
      </c>
      <c r="N6" s="67" t="s">
        <v>353</v>
      </c>
      <c r="O6" s="67" t="s">
        <v>357</v>
      </c>
      <c r="Q6" s="346"/>
      <c r="R6" s="346"/>
      <c r="S6" s="346"/>
    </row>
    <row r="7" spans="1:19" x14ac:dyDescent="0.25">
      <c r="A7" s="66" t="s">
        <v>358</v>
      </c>
      <c r="B7" s="69">
        <v>0</v>
      </c>
      <c r="C7" s="64">
        <f>L7</f>
        <v>0</v>
      </c>
      <c r="D7" s="64">
        <f>M7</f>
        <v>0</v>
      </c>
      <c r="E7" s="69">
        <v>10</v>
      </c>
      <c r="F7" s="98">
        <f>N7</f>
        <v>0</v>
      </c>
      <c r="G7" s="64">
        <f>O7</f>
        <v>0</v>
      </c>
      <c r="J7" s="370" t="s">
        <v>182</v>
      </c>
      <c r="K7" s="66" t="s">
        <v>358</v>
      </c>
      <c r="L7" s="64">
        <v>0</v>
      </c>
      <c r="M7" s="64">
        <v>0</v>
      </c>
      <c r="N7" s="64">
        <v>0</v>
      </c>
      <c r="O7" s="64">
        <v>0</v>
      </c>
      <c r="Q7" s="346"/>
      <c r="R7" s="346"/>
      <c r="S7" s="346"/>
    </row>
    <row r="8" spans="1:19" x14ac:dyDescent="0.25">
      <c r="A8" s="66" t="s">
        <v>359</v>
      </c>
      <c r="B8" s="63">
        <f>+B7</f>
        <v>0</v>
      </c>
      <c r="C8" s="64">
        <f t="shared" ref="C8:C18" si="0">L8</f>
        <v>0</v>
      </c>
      <c r="D8" s="64">
        <f t="shared" ref="D8:D18" si="1">M8</f>
        <v>1</v>
      </c>
      <c r="E8" s="63">
        <f>+E7</f>
        <v>10</v>
      </c>
      <c r="F8" s="98">
        <f t="shared" ref="F8:F18" si="2">N8</f>
        <v>0</v>
      </c>
      <c r="G8" s="64">
        <f t="shared" ref="G8:G18" si="3">O8</f>
        <v>1</v>
      </c>
      <c r="J8" s="370"/>
      <c r="K8" s="66" t="s">
        <v>359</v>
      </c>
      <c r="L8" s="64">
        <v>0</v>
      </c>
      <c r="M8" s="64">
        <v>1</v>
      </c>
      <c r="N8" s="64">
        <v>0</v>
      </c>
      <c r="O8" s="64">
        <v>1</v>
      </c>
      <c r="Q8" s="346"/>
      <c r="R8" s="346"/>
      <c r="S8" s="346"/>
    </row>
    <row r="9" spans="1:19" x14ac:dyDescent="0.25">
      <c r="A9" s="66" t="s">
        <v>360</v>
      </c>
      <c r="B9" s="63">
        <f t="shared" ref="B9:B18" si="4">+B8</f>
        <v>0</v>
      </c>
      <c r="C9" s="64">
        <f t="shared" si="0"/>
        <v>0</v>
      </c>
      <c r="D9" s="64">
        <f t="shared" si="1"/>
        <v>0</v>
      </c>
      <c r="E9" s="63">
        <f t="shared" ref="E9:E18" si="5">+E8</f>
        <v>10</v>
      </c>
      <c r="F9" s="98">
        <f t="shared" si="2"/>
        <v>0</v>
      </c>
      <c r="G9" s="64">
        <f t="shared" si="3"/>
        <v>0</v>
      </c>
      <c r="J9" s="370"/>
      <c r="K9" s="66" t="s">
        <v>360</v>
      </c>
      <c r="L9" s="64">
        <v>0</v>
      </c>
      <c r="M9" s="64">
        <v>0</v>
      </c>
      <c r="N9" s="64">
        <v>0</v>
      </c>
      <c r="O9" s="64">
        <v>0</v>
      </c>
      <c r="Q9" s="77" t="s">
        <v>361</v>
      </c>
    </row>
    <row r="10" spans="1:19" ht="14.25" customHeight="1" x14ac:dyDescent="0.25">
      <c r="A10" s="66" t="s">
        <v>362</v>
      </c>
      <c r="B10" s="63">
        <f t="shared" si="4"/>
        <v>0</v>
      </c>
      <c r="C10" s="64">
        <f t="shared" si="0"/>
        <v>0</v>
      </c>
      <c r="D10" s="64">
        <f t="shared" si="1"/>
        <v>0</v>
      </c>
      <c r="E10" s="63">
        <f t="shared" si="5"/>
        <v>10</v>
      </c>
      <c r="F10" s="98">
        <f t="shared" si="2"/>
        <v>0</v>
      </c>
      <c r="G10" s="64">
        <f t="shared" si="3"/>
        <v>0</v>
      </c>
      <c r="J10" s="370"/>
      <c r="K10" s="66" t="s">
        <v>362</v>
      </c>
      <c r="L10" s="64">
        <v>0</v>
      </c>
      <c r="M10" s="64">
        <v>0</v>
      </c>
      <c r="N10" s="64">
        <v>0</v>
      </c>
      <c r="O10" s="64">
        <v>0</v>
      </c>
      <c r="Q10" s="369" t="s">
        <v>363</v>
      </c>
      <c r="R10" s="369"/>
      <c r="S10" s="369"/>
    </row>
    <row r="11" spans="1:19" x14ac:dyDescent="0.25">
      <c r="A11" s="66" t="s">
        <v>364</v>
      </c>
      <c r="B11" s="63">
        <f t="shared" si="4"/>
        <v>0</v>
      </c>
      <c r="C11" s="64">
        <f t="shared" si="0"/>
        <v>0</v>
      </c>
      <c r="D11" s="64">
        <f t="shared" si="1"/>
        <v>0</v>
      </c>
      <c r="E11" s="63">
        <f t="shared" si="5"/>
        <v>10</v>
      </c>
      <c r="F11" s="98">
        <f t="shared" si="2"/>
        <v>0</v>
      </c>
      <c r="G11" s="64">
        <f t="shared" si="3"/>
        <v>0</v>
      </c>
      <c r="J11" s="370"/>
      <c r="K11" s="66" t="s">
        <v>364</v>
      </c>
      <c r="L11" s="64">
        <v>0</v>
      </c>
      <c r="M11" s="64">
        <v>0</v>
      </c>
      <c r="N11" s="64">
        <v>0</v>
      </c>
      <c r="O11" s="64">
        <v>0</v>
      </c>
      <c r="Q11" s="369"/>
      <c r="R11" s="369"/>
      <c r="S11" s="369"/>
    </row>
    <row r="12" spans="1:19" x14ac:dyDescent="0.25">
      <c r="A12" s="66" t="s">
        <v>365</v>
      </c>
      <c r="B12" s="63">
        <f t="shared" si="4"/>
        <v>0</v>
      </c>
      <c r="C12" s="64">
        <f t="shared" si="0"/>
        <v>0</v>
      </c>
      <c r="D12" s="64">
        <f t="shared" si="1"/>
        <v>0</v>
      </c>
      <c r="E12" s="63">
        <f t="shared" si="5"/>
        <v>10</v>
      </c>
      <c r="F12" s="98">
        <f t="shared" si="2"/>
        <v>0</v>
      </c>
      <c r="G12" s="64">
        <f t="shared" si="3"/>
        <v>0</v>
      </c>
      <c r="J12" s="370"/>
      <c r="K12" s="66" t="s">
        <v>365</v>
      </c>
      <c r="L12" s="64">
        <v>0</v>
      </c>
      <c r="M12" s="64">
        <v>0</v>
      </c>
      <c r="N12" s="64">
        <v>0</v>
      </c>
      <c r="O12" s="64">
        <v>0</v>
      </c>
      <c r="Q12" s="369"/>
      <c r="R12" s="369"/>
      <c r="S12" s="369"/>
    </row>
    <row r="13" spans="1:19" ht="14.25" customHeight="1" x14ac:dyDescent="0.25">
      <c r="A13" s="66" t="s">
        <v>366</v>
      </c>
      <c r="B13" s="63">
        <f t="shared" si="4"/>
        <v>0</v>
      </c>
      <c r="C13" s="64">
        <f t="shared" si="0"/>
        <v>0</v>
      </c>
      <c r="D13" s="64">
        <f t="shared" si="1"/>
        <v>1</v>
      </c>
      <c r="E13" s="63">
        <f t="shared" si="5"/>
        <v>10</v>
      </c>
      <c r="F13" s="98">
        <f t="shared" si="2"/>
        <v>0</v>
      </c>
      <c r="G13" s="64">
        <f t="shared" si="3"/>
        <v>0</v>
      </c>
      <c r="J13" s="370"/>
      <c r="K13" s="66" t="s">
        <v>366</v>
      </c>
      <c r="L13" s="64">
        <v>0</v>
      </c>
      <c r="M13" s="64">
        <v>1</v>
      </c>
      <c r="N13" s="64">
        <v>0</v>
      </c>
      <c r="O13" s="64">
        <v>0</v>
      </c>
      <c r="Q13" s="369" t="s">
        <v>367</v>
      </c>
      <c r="R13" s="369"/>
      <c r="S13" s="369"/>
    </row>
    <row r="14" spans="1:19" x14ac:dyDescent="0.25">
      <c r="A14" s="66" t="s">
        <v>368</v>
      </c>
      <c r="B14" s="63">
        <f t="shared" si="4"/>
        <v>0</v>
      </c>
      <c r="C14" s="64">
        <f t="shared" si="0"/>
        <v>2</v>
      </c>
      <c r="D14" s="64">
        <f t="shared" si="1"/>
        <v>11</v>
      </c>
      <c r="E14" s="63">
        <f t="shared" si="5"/>
        <v>10</v>
      </c>
      <c r="F14" s="98">
        <f t="shared" si="2"/>
        <v>2.0699999999999998</v>
      </c>
      <c r="G14" s="64">
        <f t="shared" si="3"/>
        <v>5</v>
      </c>
      <c r="J14" s="370"/>
      <c r="K14" s="66" t="s">
        <v>368</v>
      </c>
      <c r="L14" s="64">
        <v>2</v>
      </c>
      <c r="M14" s="64">
        <v>11</v>
      </c>
      <c r="N14" s="64">
        <v>2.0699999999999998</v>
      </c>
      <c r="O14" s="64">
        <v>5</v>
      </c>
      <c r="Q14" s="369"/>
      <c r="R14" s="369"/>
      <c r="S14" s="369"/>
    </row>
    <row r="15" spans="1:19" x14ac:dyDescent="0.25">
      <c r="A15" s="66" t="s">
        <v>369</v>
      </c>
      <c r="B15" s="63">
        <f t="shared" si="4"/>
        <v>0</v>
      </c>
      <c r="C15" s="64">
        <f t="shared" si="0"/>
        <v>1</v>
      </c>
      <c r="D15" s="64">
        <f t="shared" si="1"/>
        <v>7</v>
      </c>
      <c r="E15" s="63">
        <f t="shared" si="5"/>
        <v>10</v>
      </c>
      <c r="F15" s="98">
        <f t="shared" si="2"/>
        <v>0.7</v>
      </c>
      <c r="G15" s="64">
        <f t="shared" si="3"/>
        <v>2</v>
      </c>
      <c r="J15" s="370"/>
      <c r="K15" s="66" t="s">
        <v>369</v>
      </c>
      <c r="L15" s="64">
        <v>1</v>
      </c>
      <c r="M15" s="64">
        <v>7</v>
      </c>
      <c r="N15" s="64">
        <v>0.7</v>
      </c>
      <c r="O15" s="64">
        <v>2</v>
      </c>
      <c r="Q15" s="369"/>
      <c r="R15" s="369"/>
      <c r="S15" s="369"/>
    </row>
    <row r="16" spans="1:19" x14ac:dyDescent="0.25">
      <c r="A16" s="66" t="s">
        <v>370</v>
      </c>
      <c r="B16" s="63">
        <f t="shared" si="4"/>
        <v>0</v>
      </c>
      <c r="C16" s="64">
        <f t="shared" si="0"/>
        <v>0</v>
      </c>
      <c r="D16" s="64">
        <f t="shared" si="1"/>
        <v>2</v>
      </c>
      <c r="E16" s="63">
        <f t="shared" si="5"/>
        <v>10</v>
      </c>
      <c r="F16" s="98">
        <f t="shared" si="2"/>
        <v>0.23</v>
      </c>
      <c r="G16" s="64">
        <f t="shared" si="3"/>
        <v>2</v>
      </c>
      <c r="J16" s="370"/>
      <c r="K16" s="66" t="s">
        <v>370</v>
      </c>
      <c r="L16" s="64">
        <v>0</v>
      </c>
      <c r="M16" s="64">
        <v>2</v>
      </c>
      <c r="N16" s="64">
        <v>0.23</v>
      </c>
      <c r="O16" s="64">
        <v>2</v>
      </c>
      <c r="Q16" s="369"/>
      <c r="R16" s="369"/>
      <c r="S16" s="369"/>
    </row>
    <row r="17" spans="1:15" x14ac:dyDescent="0.25">
      <c r="A17" s="66" t="s">
        <v>371</v>
      </c>
      <c r="B17" s="63">
        <f t="shared" si="4"/>
        <v>0</v>
      </c>
      <c r="C17" s="64">
        <f t="shared" si="0"/>
        <v>0</v>
      </c>
      <c r="D17" s="64">
        <f t="shared" si="1"/>
        <v>4</v>
      </c>
      <c r="E17" s="63">
        <f t="shared" si="5"/>
        <v>10</v>
      </c>
      <c r="F17" s="98">
        <f t="shared" si="2"/>
        <v>0.47</v>
      </c>
      <c r="G17" s="64">
        <f t="shared" si="3"/>
        <v>2</v>
      </c>
      <c r="J17" s="370"/>
      <c r="K17" s="66" t="s">
        <v>371</v>
      </c>
      <c r="L17" s="64">
        <v>0</v>
      </c>
      <c r="M17" s="64">
        <v>4</v>
      </c>
      <c r="N17" s="64">
        <v>0.47</v>
      </c>
      <c r="O17" s="64">
        <v>2</v>
      </c>
    </row>
    <row r="18" spans="1:15" x14ac:dyDescent="0.25">
      <c r="A18" s="66" t="s">
        <v>372</v>
      </c>
      <c r="B18" s="63">
        <f t="shared" si="4"/>
        <v>0</v>
      </c>
      <c r="C18" s="64">
        <f t="shared" si="0"/>
        <v>1</v>
      </c>
      <c r="D18" s="64">
        <f t="shared" si="1"/>
        <v>16</v>
      </c>
      <c r="E18" s="63">
        <f t="shared" si="5"/>
        <v>10</v>
      </c>
      <c r="F18" s="98">
        <f t="shared" si="2"/>
        <v>1</v>
      </c>
      <c r="G18" s="64">
        <f t="shared" si="3"/>
        <v>4</v>
      </c>
      <c r="J18" s="370"/>
      <c r="K18" s="66" t="s">
        <v>372</v>
      </c>
      <c r="L18" s="64">
        <v>1</v>
      </c>
      <c r="M18" s="64">
        <v>16</v>
      </c>
      <c r="N18" s="64">
        <v>1</v>
      </c>
      <c r="O18" s="64">
        <v>4</v>
      </c>
    </row>
    <row r="19" spans="1:15" x14ac:dyDescent="0.25">
      <c r="J19" s="370"/>
      <c r="K19" s="62" t="s">
        <v>373</v>
      </c>
      <c r="L19" s="97">
        <f>AVERAGE(L7:L18)</f>
        <v>0.33333333333333331</v>
      </c>
      <c r="M19" s="62">
        <f>MAX(M7:M18)</f>
        <v>16</v>
      </c>
      <c r="N19" s="97">
        <f>AVERAGE(N7:N18)</f>
        <v>0.3725</v>
      </c>
      <c r="O19" s="62">
        <f>MAX(O7:O18)</f>
        <v>5</v>
      </c>
    </row>
    <row r="21" spans="1:15" x14ac:dyDescent="0.25">
      <c r="J21" s="61"/>
      <c r="K21" s="61"/>
      <c r="L21" s="67"/>
      <c r="M21" s="67"/>
      <c r="N21" s="67"/>
      <c r="O21" s="67"/>
    </row>
    <row r="22" spans="1:15" x14ac:dyDescent="0.25">
      <c r="J22" s="370"/>
      <c r="K22" s="66"/>
      <c r="L22" s="64"/>
      <c r="M22" s="64"/>
      <c r="N22" s="64"/>
      <c r="O22" s="64"/>
    </row>
    <row r="23" spans="1:15" x14ac:dyDescent="0.25">
      <c r="J23" s="370"/>
      <c r="K23" s="66"/>
      <c r="L23" s="64"/>
      <c r="M23" s="64"/>
      <c r="N23" s="64"/>
      <c r="O23" s="64"/>
    </row>
    <row r="24" spans="1:15" x14ac:dyDescent="0.25">
      <c r="J24" s="370"/>
      <c r="K24" s="66"/>
      <c r="L24" s="64"/>
      <c r="M24" s="64"/>
      <c r="N24" s="64"/>
      <c r="O24" s="64"/>
    </row>
    <row r="25" spans="1:15" x14ac:dyDescent="0.25">
      <c r="J25" s="370"/>
      <c r="K25" s="66"/>
      <c r="L25" s="64"/>
      <c r="M25" s="64"/>
      <c r="N25" s="64"/>
      <c r="O25" s="64"/>
    </row>
    <row r="26" spans="1:15" x14ac:dyDescent="0.25">
      <c r="J26" s="370"/>
      <c r="K26" s="66"/>
      <c r="L26" s="64"/>
      <c r="M26" s="64"/>
      <c r="N26" s="64"/>
      <c r="O26" s="64"/>
    </row>
    <row r="27" spans="1:15" x14ac:dyDescent="0.25">
      <c r="J27" s="370"/>
      <c r="K27" s="66"/>
      <c r="L27" s="64"/>
      <c r="M27" s="64"/>
      <c r="N27" s="64"/>
      <c r="O27" s="64"/>
    </row>
    <row r="28" spans="1:15" x14ac:dyDescent="0.25">
      <c r="J28" s="370"/>
      <c r="K28" s="66"/>
      <c r="L28" s="64"/>
      <c r="M28" s="64"/>
      <c r="N28" s="64"/>
      <c r="O28" s="64"/>
    </row>
    <row r="29" spans="1:15" x14ac:dyDescent="0.25">
      <c r="J29" s="370"/>
      <c r="K29" s="66"/>
      <c r="L29" s="64"/>
      <c r="M29" s="64"/>
      <c r="N29" s="64"/>
      <c r="O29" s="64"/>
    </row>
    <row r="30" spans="1:15" x14ac:dyDescent="0.25">
      <c r="J30" s="370"/>
      <c r="K30" s="66"/>
      <c r="L30" s="64"/>
      <c r="M30" s="64"/>
      <c r="N30" s="64"/>
      <c r="O30" s="64"/>
    </row>
    <row r="31" spans="1:15" x14ac:dyDescent="0.25">
      <c r="J31" s="370"/>
      <c r="K31" s="66"/>
      <c r="L31" s="64"/>
      <c r="M31" s="64"/>
      <c r="N31" s="64"/>
      <c r="O31" s="64"/>
    </row>
    <row r="32" spans="1:15" x14ac:dyDescent="0.25">
      <c r="J32" s="370"/>
      <c r="K32" s="66"/>
      <c r="L32" s="64"/>
      <c r="M32" s="64"/>
      <c r="N32" s="64"/>
      <c r="O32" s="64"/>
    </row>
    <row r="33" spans="1:15" x14ac:dyDescent="0.25">
      <c r="J33" s="370"/>
      <c r="K33" s="66"/>
      <c r="L33" s="64"/>
      <c r="M33" s="64"/>
      <c r="N33" s="64"/>
      <c r="O33" s="64"/>
    </row>
    <row r="34" spans="1:15" x14ac:dyDescent="0.25">
      <c r="J34" s="370"/>
      <c r="K34" s="62"/>
      <c r="L34" s="62"/>
      <c r="M34" s="62"/>
      <c r="N34" s="62"/>
      <c r="O34" s="62"/>
    </row>
    <row r="36" spans="1:15" x14ac:dyDescent="0.25">
      <c r="J36" s="61"/>
      <c r="K36" s="61"/>
      <c r="L36" s="67"/>
      <c r="M36" s="67"/>
      <c r="N36" s="67"/>
      <c r="O36" s="67"/>
    </row>
    <row r="37" spans="1:15" x14ac:dyDescent="0.25">
      <c r="J37" s="370"/>
      <c r="K37" s="66"/>
      <c r="L37" s="64"/>
      <c r="M37" s="64"/>
      <c r="N37" s="64"/>
      <c r="O37" s="64"/>
    </row>
    <row r="38" spans="1:15" x14ac:dyDescent="0.25">
      <c r="J38" s="370"/>
      <c r="K38" s="66"/>
      <c r="L38" s="64"/>
      <c r="M38" s="64"/>
      <c r="N38" s="64"/>
      <c r="O38" s="64"/>
    </row>
    <row r="39" spans="1:15" x14ac:dyDescent="0.25">
      <c r="J39" s="370"/>
      <c r="K39" s="66"/>
      <c r="L39" s="64"/>
      <c r="M39" s="64"/>
      <c r="N39" s="64"/>
      <c r="O39" s="64"/>
    </row>
    <row r="40" spans="1:15" x14ac:dyDescent="0.25">
      <c r="J40" s="370"/>
      <c r="K40" s="66"/>
      <c r="L40" s="64"/>
      <c r="M40" s="64"/>
      <c r="N40" s="64"/>
      <c r="O40" s="64"/>
    </row>
    <row r="41" spans="1:15" x14ac:dyDescent="0.25">
      <c r="J41" s="370"/>
      <c r="K41" s="66"/>
      <c r="L41" s="64"/>
      <c r="M41" s="64"/>
      <c r="N41" s="64"/>
      <c r="O41" s="64"/>
    </row>
    <row r="42" spans="1:15" x14ac:dyDescent="0.25">
      <c r="J42" s="370"/>
      <c r="K42" s="66"/>
      <c r="L42" s="64"/>
      <c r="M42" s="64"/>
      <c r="N42" s="64"/>
      <c r="O42" s="64"/>
    </row>
    <row r="43" spans="1:15" x14ac:dyDescent="0.25">
      <c r="J43" s="370"/>
      <c r="K43" s="66"/>
      <c r="L43" s="64"/>
      <c r="M43" s="64"/>
      <c r="N43" s="64"/>
      <c r="O43" s="64"/>
    </row>
    <row r="44" spans="1:15" x14ac:dyDescent="0.25">
      <c r="J44" s="370"/>
      <c r="K44" s="66"/>
      <c r="L44" s="64"/>
      <c r="M44" s="64"/>
      <c r="N44" s="64"/>
      <c r="O44" s="64"/>
    </row>
    <row r="45" spans="1:15" x14ac:dyDescent="0.25">
      <c r="J45" s="370"/>
      <c r="K45" s="66"/>
      <c r="L45" s="64"/>
      <c r="M45" s="64"/>
      <c r="N45" s="64"/>
      <c r="O45" s="64"/>
    </row>
    <row r="46" spans="1:15" x14ac:dyDescent="0.25">
      <c r="J46" s="370"/>
      <c r="K46" s="66"/>
      <c r="L46" s="64"/>
      <c r="M46" s="64"/>
      <c r="N46" s="64"/>
      <c r="O46" s="64"/>
    </row>
    <row r="47" spans="1:15" x14ac:dyDescent="0.25">
      <c r="J47" s="370"/>
      <c r="K47" s="66"/>
      <c r="L47" s="64"/>
      <c r="M47" s="64"/>
      <c r="N47" s="64"/>
      <c r="O47" s="64"/>
    </row>
    <row r="48" spans="1:15" x14ac:dyDescent="0.25">
      <c r="A48" s="382" t="s">
        <v>269</v>
      </c>
      <c r="B48" s="383"/>
      <c r="C48" s="383"/>
      <c r="D48" s="383"/>
      <c r="E48" s="383"/>
      <c r="F48" s="383"/>
      <c r="G48" s="384"/>
      <c r="J48" s="370"/>
      <c r="K48" s="66"/>
      <c r="L48" s="64"/>
      <c r="M48" s="64"/>
      <c r="N48" s="64"/>
      <c r="O48" s="64"/>
    </row>
    <row r="49" spans="1:15" x14ac:dyDescent="0.25">
      <c r="A49" s="373" t="s">
        <v>392</v>
      </c>
      <c r="B49" s="374"/>
      <c r="C49" s="374"/>
      <c r="D49" s="374"/>
      <c r="E49" s="374"/>
      <c r="F49" s="374"/>
      <c r="G49" s="375"/>
      <c r="J49" s="370"/>
      <c r="K49" s="62"/>
      <c r="L49" s="62"/>
      <c r="M49" s="62"/>
      <c r="N49" s="62"/>
      <c r="O49" s="62"/>
    </row>
    <row r="50" spans="1:15" x14ac:dyDescent="0.25">
      <c r="A50" s="376"/>
      <c r="B50" s="377"/>
      <c r="C50" s="377"/>
      <c r="D50" s="377"/>
      <c r="E50" s="377"/>
      <c r="F50" s="377"/>
      <c r="G50" s="378"/>
    </row>
    <row r="51" spans="1:15" x14ac:dyDescent="0.25">
      <c r="A51" s="376"/>
      <c r="B51" s="377"/>
      <c r="C51" s="377"/>
      <c r="D51" s="377"/>
      <c r="E51" s="377"/>
      <c r="F51" s="377"/>
      <c r="G51" s="378"/>
      <c r="J51" s="61"/>
      <c r="K51" s="61"/>
      <c r="L51" s="67"/>
      <c r="M51" s="67"/>
      <c r="N51" s="67"/>
      <c r="O51" s="67"/>
    </row>
    <row r="52" spans="1:15" x14ac:dyDescent="0.25">
      <c r="A52" s="379"/>
      <c r="B52" s="380"/>
      <c r="C52" s="380"/>
      <c r="D52" s="380"/>
      <c r="E52" s="380"/>
      <c r="F52" s="380"/>
      <c r="G52" s="381"/>
      <c r="J52" s="370"/>
      <c r="K52" s="66"/>
      <c r="L52" s="64"/>
      <c r="M52" s="64"/>
      <c r="N52" s="64"/>
      <c r="O52" s="64"/>
    </row>
    <row r="53" spans="1:15" x14ac:dyDescent="0.25">
      <c r="J53" s="370"/>
      <c r="K53" s="66"/>
      <c r="L53" s="64"/>
      <c r="M53" s="64"/>
      <c r="N53" s="64"/>
      <c r="O53" s="64"/>
    </row>
    <row r="54" spans="1:15" x14ac:dyDescent="0.25">
      <c r="J54" s="370"/>
      <c r="K54" s="66"/>
      <c r="L54" s="64"/>
      <c r="M54" s="64"/>
      <c r="N54" s="64"/>
      <c r="O54" s="64"/>
    </row>
    <row r="55" spans="1:15" x14ac:dyDescent="0.25">
      <c r="J55" s="370"/>
      <c r="K55" s="66"/>
      <c r="L55" s="64"/>
      <c r="M55" s="64"/>
      <c r="N55" s="64"/>
      <c r="O55" s="64"/>
    </row>
    <row r="56" spans="1:15" x14ac:dyDescent="0.25">
      <c r="J56" s="370"/>
      <c r="K56" s="66"/>
      <c r="L56" s="64"/>
      <c r="M56" s="64"/>
      <c r="N56" s="64"/>
      <c r="O56" s="64"/>
    </row>
    <row r="57" spans="1:15" x14ac:dyDescent="0.25">
      <c r="J57" s="370"/>
      <c r="K57" s="66"/>
      <c r="L57" s="64"/>
      <c r="M57" s="64"/>
      <c r="N57" s="64"/>
      <c r="O57" s="64"/>
    </row>
    <row r="58" spans="1:15" x14ac:dyDescent="0.25">
      <c r="J58" s="370"/>
      <c r="K58" s="66"/>
      <c r="L58" s="64"/>
      <c r="M58" s="64"/>
      <c r="N58" s="64"/>
      <c r="O58" s="64"/>
    </row>
    <row r="59" spans="1:15" x14ac:dyDescent="0.25">
      <c r="J59" s="370"/>
      <c r="K59" s="66"/>
      <c r="L59" s="64"/>
      <c r="M59" s="64"/>
      <c r="N59" s="64"/>
      <c r="O59" s="64"/>
    </row>
    <row r="60" spans="1:15" x14ac:dyDescent="0.25">
      <c r="J60" s="370"/>
      <c r="K60" s="66"/>
      <c r="L60" s="64"/>
      <c r="M60" s="64"/>
      <c r="N60" s="64"/>
      <c r="O60" s="64"/>
    </row>
    <row r="61" spans="1:15" x14ac:dyDescent="0.25">
      <c r="J61" s="370"/>
      <c r="K61" s="66"/>
      <c r="L61" s="64"/>
      <c r="M61" s="64"/>
      <c r="N61" s="64"/>
      <c r="O61" s="64"/>
    </row>
    <row r="62" spans="1:15" x14ac:dyDescent="0.25">
      <c r="J62" s="370"/>
      <c r="K62" s="66"/>
      <c r="L62" s="64"/>
      <c r="M62" s="64"/>
      <c r="N62" s="64"/>
      <c r="O62" s="64"/>
    </row>
    <row r="63" spans="1:15" x14ac:dyDescent="0.25">
      <c r="J63" s="370"/>
      <c r="K63" s="66"/>
      <c r="L63" s="64"/>
      <c r="M63" s="64"/>
      <c r="N63" s="64"/>
      <c r="O63" s="64"/>
    </row>
    <row r="64" spans="1:15" x14ac:dyDescent="0.25">
      <c r="J64" s="370"/>
      <c r="K64" s="62"/>
      <c r="L64" s="62"/>
      <c r="M64" s="62"/>
      <c r="N64" s="62"/>
      <c r="O64" s="62"/>
    </row>
    <row r="66" spans="10:15" x14ac:dyDescent="0.25">
      <c r="J66" s="61"/>
      <c r="K66" s="61"/>
      <c r="L66" s="67"/>
      <c r="M66" s="67"/>
      <c r="N66" s="67"/>
      <c r="O66" s="67"/>
    </row>
    <row r="67" spans="10:15" x14ac:dyDescent="0.25">
      <c r="J67" s="370"/>
      <c r="K67" s="66"/>
      <c r="L67" s="64"/>
      <c r="M67" s="64"/>
      <c r="N67" s="64"/>
      <c r="O67" s="64"/>
    </row>
    <row r="68" spans="10:15" x14ac:dyDescent="0.25">
      <c r="J68" s="370"/>
      <c r="K68" s="66"/>
      <c r="L68" s="64"/>
      <c r="M68" s="64"/>
      <c r="N68" s="64"/>
      <c r="O68" s="64"/>
    </row>
    <row r="69" spans="10:15" x14ac:dyDescent="0.25">
      <c r="J69" s="370"/>
      <c r="K69" s="66"/>
      <c r="L69" s="64"/>
      <c r="M69" s="64"/>
      <c r="N69" s="64"/>
      <c r="O69" s="64"/>
    </row>
    <row r="70" spans="10:15" x14ac:dyDescent="0.25">
      <c r="J70" s="370"/>
      <c r="K70" s="66"/>
      <c r="L70" s="64"/>
      <c r="M70" s="64"/>
      <c r="N70" s="64"/>
      <c r="O70" s="64"/>
    </row>
    <row r="71" spans="10:15" x14ac:dyDescent="0.25">
      <c r="J71" s="370"/>
      <c r="K71" s="66"/>
      <c r="L71" s="64"/>
      <c r="M71" s="64"/>
      <c r="N71" s="64"/>
      <c r="O71" s="64"/>
    </row>
    <row r="72" spans="10:15" x14ac:dyDescent="0.25">
      <c r="J72" s="370"/>
      <c r="K72" s="66"/>
      <c r="L72" s="64"/>
      <c r="M72" s="64"/>
      <c r="N72" s="64"/>
      <c r="O72" s="64"/>
    </row>
    <row r="73" spans="10:15" x14ac:dyDescent="0.25">
      <c r="J73" s="370"/>
      <c r="K73" s="66"/>
      <c r="L73" s="64"/>
      <c r="M73" s="64"/>
      <c r="N73" s="64"/>
      <c r="O73" s="64"/>
    </row>
    <row r="74" spans="10:15" x14ac:dyDescent="0.25">
      <c r="J74" s="370"/>
      <c r="K74" s="66"/>
      <c r="L74" s="64"/>
      <c r="M74" s="64"/>
      <c r="N74" s="64"/>
      <c r="O74" s="64"/>
    </row>
    <row r="75" spans="10:15" x14ac:dyDescent="0.25">
      <c r="J75" s="370"/>
      <c r="K75" s="66"/>
      <c r="L75" s="64"/>
      <c r="M75" s="64"/>
      <c r="N75" s="64"/>
      <c r="O75" s="64"/>
    </row>
    <row r="76" spans="10:15" x14ac:dyDescent="0.25">
      <c r="J76" s="370"/>
      <c r="K76" s="66"/>
      <c r="L76" s="64"/>
      <c r="M76" s="64"/>
      <c r="N76" s="64"/>
      <c r="O76" s="64"/>
    </row>
    <row r="77" spans="10:15" x14ac:dyDescent="0.25">
      <c r="J77" s="370"/>
      <c r="K77" s="66"/>
      <c r="L77" s="64"/>
      <c r="M77" s="64"/>
      <c r="N77" s="64"/>
      <c r="O77" s="64"/>
    </row>
    <row r="78" spans="10:15" x14ac:dyDescent="0.25">
      <c r="J78" s="370"/>
      <c r="K78" s="66"/>
      <c r="L78" s="64"/>
      <c r="M78" s="64"/>
      <c r="N78" s="64"/>
      <c r="O78" s="64"/>
    </row>
    <row r="79" spans="10:15" x14ac:dyDescent="0.25">
      <c r="J79" s="370"/>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2.xml><?xml version="1.0" encoding="utf-8"?>
<ds:datastoreItem xmlns:ds="http://schemas.openxmlformats.org/officeDocument/2006/customXml" ds:itemID="{91CA9790-1426-4CB2-A2C2-1FAD01F50D4E}">
  <ds:schemaRefs>
    <ds:schemaRef ds:uri="Microsoft.SharePoint.Taxonomy.ContentTypeSync"/>
  </ds:schemaRefs>
</ds:datastoreItem>
</file>

<file path=customXml/itemProps3.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4.xml><?xml version="1.0" encoding="utf-8"?>
<ds:datastoreItem xmlns:ds="http://schemas.openxmlformats.org/officeDocument/2006/customXml" ds:itemID="{EFFFDE1C-3C92-4DD2-BA69-7C128D5252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21</vt:i4>
      </vt:variant>
    </vt:vector>
  </HeadingPairs>
  <TitlesOfParts>
    <vt:vector size="42"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Residue Quality </vt:lpstr>
      <vt:lpstr>Water</vt:lpstr>
      <vt:lpstr>Air (periodic)</vt:lpstr>
      <vt:lpstr>Air (CEMS)</vt:lpstr>
      <vt:lpstr>HCl</vt:lpstr>
      <vt:lpstr>SO2</vt:lpstr>
      <vt:lpstr>NOx</vt:lpstr>
      <vt:lpstr>TOC</vt:lpstr>
      <vt:lpstr>Particulates</vt:lpstr>
      <vt:lpstr>CO 0.5hourly</vt:lpstr>
      <vt:lpstr>NH3</vt:lpstr>
      <vt:lpstr>'Air (CEMS)'!Print_Area</vt:lpstr>
      <vt:lpstr>'Air (periodic)'!Print_Area</vt:lpstr>
      <vt:lpstr>'CO 0.5hourly'!Print_Area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2023-03-22T17:23:10Z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