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vbaProject.bin" ContentType="application/vnd.ms-office.vbaProject"/>
  <Override PartName="/xl/charts/chart8.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worksheets/sheet1.xml" ContentType="application/vnd.openxmlformats-officedocument.spreadsheetml.workshee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worksheets/sheet20.xml" ContentType="application/vnd.openxmlformats-officedocument.spreadsheetml.worksheet+xml"/>
  <Override PartName="/xl/worksheets/sheet19.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harts/chart2.xml" ContentType="application/vnd.openxmlformats-officedocument.drawingml.char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14.xml" ContentType="application/vnd.openxmlformats-officedocument.spreadsheetml.worksheet+xml"/>
  <Override PartName="/xl/worksheets/sheet15.xml" ContentType="application/vnd.openxmlformats-officedocument.spreadsheetml.worksheet+xml"/>
  <Override PartName="/xl/worksheets/sheet12.xml" ContentType="application/vnd.openxmlformats-officedocument.spreadsheetml.worksheet+xml"/>
  <Override PartName="/xl/worksheets/sheet5.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drawings/drawing3.xml" ContentType="application/vnd.openxmlformats-officedocument.drawing+xml"/>
  <Override PartName="/xl/worksheets/sheet6.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xl/ctrlProps/ctrlProp2.xml" ContentType="application/vnd.ms-excel.controlproperties+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3.xml" ContentType="application/vnd.openxmlformats-officedocument.customXm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T:\Team Folders\Environmental Services\Incinerator\Annual Reporting\2022\"/>
    </mc:Choice>
  </mc:AlternateContent>
  <bookViews>
    <workbookView xWindow="-27600" yWindow="465" windowWidth="22635" windowHeight="13680" tabRatio="9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Residue Quality " sheetId="21" r:id="rId11"/>
    <sheet name="Water" sheetId="22" r:id="rId12"/>
    <sheet name="Air (periodic)" sheetId="23" r:id="rId13"/>
    <sheet name="Air (CEMS)" sheetId="24" r:id="rId14"/>
    <sheet name="TOC" sheetId="27" r:id="rId15"/>
    <sheet name="HCl" sheetId="13" r:id="rId16"/>
    <sheet name="SO2" sheetId="25" r:id="rId17"/>
    <sheet name="NOx" sheetId="26" r:id="rId18"/>
    <sheet name="Particulates" sheetId="28" r:id="rId19"/>
    <sheet name="CO 0.5hourly" sheetId="29" r:id="rId20"/>
    <sheet name="CO 95% 10 min" sheetId="30" r:id="rId21"/>
    <sheet name="NH3" sheetId="31" r:id="rId22"/>
  </sheets>
  <definedNames>
    <definedName name="_xlnm.Print_Area" localSheetId="13">'Air (CEMS)'!$A$1:$M$31</definedName>
    <definedName name="_xlnm.Print_Area" localSheetId="12">'Air (periodic)'!$A$1:$J$41</definedName>
    <definedName name="_xlnm.Print_Area" localSheetId="19">'CO 0.5hourly'!$A$1:$G$52</definedName>
    <definedName name="_xlnm.Print_Area" localSheetId="20">'CO 95% 10 min'!$A$1:$H$52</definedName>
    <definedName name="_xlnm.Print_Area" localSheetId="1">Contents!$A$1:$J$47</definedName>
    <definedName name="_xlnm.Print_Area" localSheetId="0">'Cover Page'!$A$1:$J$55</definedName>
    <definedName name="_xlnm.Print_Area" localSheetId="6">'Energy Form 1'!$A$1:$I$29</definedName>
    <definedName name="_xlnm.Print_Area" localSheetId="2">'Facility Info'!$B$1:$J$54</definedName>
    <definedName name="_xlnm.Print_Area" localSheetId="15">HCl!$A$1:$G$52</definedName>
    <definedName name="_xlnm.Print_Area" localSheetId="8">Improvements!$A$1:$J$48</definedName>
    <definedName name="_xlnm.Print_Area" localSheetId="21">'NH3'!$A$1:$G$52</definedName>
    <definedName name="_xlnm.Print_Area" localSheetId="17">NOx!$A$1:$G$52</definedName>
    <definedName name="_xlnm.Print_Area" localSheetId="3">'Operational Data'!$A$1:$H$61</definedName>
    <definedName name="_xlnm.Print_Area" localSheetId="4">'Operational Summary'!$A$1:$I$52</definedName>
    <definedName name="_xlnm.Print_Area" localSheetId="18">Particulates!$A$1:$G$52</definedName>
    <definedName name="_xlnm.Print_Area" localSheetId="5">'Perf. Form 1'!$A$1:$J$55</definedName>
    <definedName name="_xlnm.Print_Area" localSheetId="7">'Permit Compliance'!$A$1:$J$48</definedName>
    <definedName name="_xlnm.Print_Area" localSheetId="9">'Public Liasion'!$A$1:$J$29</definedName>
    <definedName name="_xlnm.Print_Area" localSheetId="10">'Residue Quality '!$A$1:$G$41</definedName>
    <definedName name="_xlnm.Print_Area" localSheetId="16">'SO2'!$A$1:$G$52</definedName>
    <definedName name="_xlnm.Print_Area" localSheetId="14">TOC!$A$1:$G$52</definedName>
    <definedName name="_xlnm.Print_Area" localSheetId="11">Water!$A$1:$J$30</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2" i="7" l="1"/>
  <c r="E11" i="7"/>
  <c r="F58" i="6" l="1"/>
  <c r="E58" i="6"/>
  <c r="D58" i="6"/>
  <c r="C58" i="6"/>
  <c r="M19" i="13" l="1"/>
  <c r="A1" i="13" l="1"/>
  <c r="G3" i="7" l="1"/>
  <c r="J3" i="31" l="1"/>
  <c r="J3" i="30"/>
  <c r="J3" i="29"/>
  <c r="J3" i="28"/>
  <c r="J3" i="27"/>
  <c r="J3" i="26"/>
  <c r="J3" i="25"/>
  <c r="J3" i="13"/>
  <c r="G19" i="6" l="1"/>
  <c r="H19" i="6" s="1"/>
  <c r="G55" i="6" l="1"/>
  <c r="G56" i="6" l="1"/>
  <c r="G61" i="6"/>
  <c r="G60" i="6"/>
  <c r="G59" i="6"/>
  <c r="G58" i="6"/>
  <c r="G51" i="6"/>
  <c r="C46" i="7" s="1"/>
  <c r="G52" i="6"/>
  <c r="D46" i="7" s="1"/>
  <c r="G53" i="6"/>
  <c r="G54" i="6"/>
  <c r="G57" i="6"/>
  <c r="D18" i="6" l="1"/>
  <c r="E18" i="6"/>
  <c r="F18" i="6"/>
  <c r="C18" i="6"/>
  <c r="E1" i="31" l="1"/>
  <c r="A1" i="31"/>
  <c r="E1" i="30"/>
  <c r="A1" i="30"/>
  <c r="E1" i="29"/>
  <c r="A1" i="29"/>
  <c r="E1" i="28"/>
  <c r="A1" i="28"/>
  <c r="E1" i="27"/>
  <c r="A1" i="27"/>
  <c r="E1" i="26"/>
  <c r="A1" i="26"/>
  <c r="E1" i="25"/>
  <c r="A1" i="25"/>
  <c r="E1" i="13"/>
  <c r="I1" i="24"/>
  <c r="A1" i="24"/>
  <c r="E1" i="23"/>
  <c r="A1" i="23"/>
  <c r="E1" i="22"/>
  <c r="A1" i="22"/>
  <c r="E1" i="21"/>
  <c r="A1" i="21"/>
  <c r="E1" i="11"/>
  <c r="A1" i="11"/>
  <c r="E1" i="10"/>
  <c r="A1" i="10"/>
  <c r="E1" i="9"/>
  <c r="A1" i="9"/>
  <c r="E1" i="6"/>
  <c r="A1" i="6"/>
  <c r="E1" i="5"/>
  <c r="A1" i="5"/>
  <c r="F1" i="4"/>
  <c r="B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J66" i="29"/>
  <c r="O79" i="28"/>
  <c r="N79" i="28"/>
  <c r="M79" i="28"/>
  <c r="L79" i="28"/>
  <c r="O64" i="28"/>
  <c r="N64" i="28"/>
  <c r="M64" i="28"/>
  <c r="L64" i="28"/>
  <c r="O49" i="28"/>
  <c r="N49" i="28"/>
  <c r="M49" i="28"/>
  <c r="L49" i="28"/>
  <c r="O34" i="28"/>
  <c r="N34" i="28"/>
  <c r="M34" i="28"/>
  <c r="L34" i="28"/>
  <c r="O19" i="28"/>
  <c r="N19" i="28"/>
  <c r="M19" i="28"/>
  <c r="L19" i="28"/>
  <c r="J66" i="28"/>
  <c r="O79" i="27"/>
  <c r="N79" i="27"/>
  <c r="M79" i="27"/>
  <c r="L79" i="27"/>
  <c r="O64" i="27"/>
  <c r="N64" i="27"/>
  <c r="M64" i="27"/>
  <c r="L64" i="27"/>
  <c r="O49" i="27"/>
  <c r="N49" i="27"/>
  <c r="M49" i="27"/>
  <c r="L49" i="27"/>
  <c r="O34" i="27"/>
  <c r="N34" i="27"/>
  <c r="M34" i="27"/>
  <c r="L34" i="27"/>
  <c r="O19" i="27"/>
  <c r="N19" i="27"/>
  <c r="M19" i="27"/>
  <c r="L19" i="27"/>
  <c r="J66" i="27"/>
  <c r="O79" i="26"/>
  <c r="N79" i="26"/>
  <c r="M79" i="26"/>
  <c r="L79" i="26"/>
  <c r="O64" i="26"/>
  <c r="N64" i="26"/>
  <c r="M64" i="26"/>
  <c r="L64" i="26"/>
  <c r="O49" i="26"/>
  <c r="N49" i="26"/>
  <c r="M49" i="26"/>
  <c r="L49" i="26"/>
  <c r="O34" i="26"/>
  <c r="N34" i="26"/>
  <c r="M34" i="26"/>
  <c r="L34" i="26"/>
  <c r="O19" i="26"/>
  <c r="N19" i="26"/>
  <c r="M19" i="26"/>
  <c r="L19" i="26"/>
  <c r="J66" i="26"/>
  <c r="O79" i="25"/>
  <c r="N79" i="25"/>
  <c r="M79" i="25"/>
  <c r="L79" i="25"/>
  <c r="O64" i="25"/>
  <c r="N64" i="25"/>
  <c r="M64" i="25"/>
  <c r="L64" i="25"/>
  <c r="O49" i="25"/>
  <c r="N49" i="25"/>
  <c r="M49" i="25"/>
  <c r="L49" i="25"/>
  <c r="O34" i="25"/>
  <c r="N34" i="25"/>
  <c r="M34" i="25"/>
  <c r="L34" i="25"/>
  <c r="O19" i="25"/>
  <c r="N19" i="25"/>
  <c r="M19" i="25"/>
  <c r="L19" i="25"/>
  <c r="J66" i="25"/>
  <c r="O79" i="13"/>
  <c r="N79" i="13"/>
  <c r="M79" i="13"/>
  <c r="L79" i="13"/>
  <c r="O64" i="13"/>
  <c r="N64" i="13"/>
  <c r="M64" i="13"/>
  <c r="L64" i="13"/>
  <c r="O49" i="13"/>
  <c r="N49" i="13"/>
  <c r="M49" i="13"/>
  <c r="L49" i="13"/>
  <c r="O34" i="13"/>
  <c r="N34" i="13"/>
  <c r="M34" i="13"/>
  <c r="L34" i="13"/>
  <c r="O19" i="13"/>
  <c r="N19" i="13"/>
  <c r="L19" i="13"/>
  <c r="J66" i="13"/>
  <c r="J36" i="27" l="1"/>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I22" i="7"/>
  <c r="I21" i="7"/>
  <c r="I20" i="7"/>
  <c r="I19" i="7"/>
  <c r="I18" i="7"/>
  <c r="I13" i="7"/>
  <c r="I14" i="7"/>
  <c r="D27" i="6"/>
  <c r="E27" i="6"/>
  <c r="F27" i="6"/>
  <c r="C27" i="6"/>
  <c r="G7" i="8"/>
  <c r="D7" i="8"/>
  <c r="B5" i="8"/>
  <c r="A3" i="8"/>
  <c r="G23" i="7"/>
  <c r="E23" i="7"/>
  <c r="I23" i="7" s="1"/>
  <c r="G15" i="7"/>
  <c r="E15" i="7"/>
  <c r="B4" i="7"/>
  <c r="A3" i="7"/>
  <c r="A8" i="7"/>
  <c r="H61" i="6"/>
  <c r="H60" i="6"/>
  <c r="H59" i="6"/>
  <c r="H58" i="6"/>
  <c r="G48" i="6"/>
  <c r="G47" i="6"/>
  <c r="G46" i="6"/>
  <c r="H46" i="6" s="1"/>
  <c r="G45" i="6"/>
  <c r="G44" i="6"/>
  <c r="G43" i="6"/>
  <c r="E35" i="7" s="1"/>
  <c r="H35" i="7" s="1"/>
  <c r="G42" i="6"/>
  <c r="H42" i="6" s="1"/>
  <c r="G41" i="6"/>
  <c r="G38" i="6"/>
  <c r="H38" i="6" s="1"/>
  <c r="G37" i="6"/>
  <c r="H37" i="6" s="1"/>
  <c r="G36" i="6"/>
  <c r="H36" i="6" s="1"/>
  <c r="G35" i="6"/>
  <c r="G34" i="6"/>
  <c r="G33" i="6"/>
  <c r="G29" i="6"/>
  <c r="G28" i="6"/>
  <c r="D14" i="8" s="1"/>
  <c r="G26" i="6"/>
  <c r="G25" i="6"/>
  <c r="D11" i="8" s="1"/>
  <c r="G24" i="6"/>
  <c r="D12" i="8" s="1"/>
  <c r="G23" i="6"/>
  <c r="H23" i="6" s="1"/>
  <c r="G20" i="6"/>
  <c r="H20" i="6" s="1"/>
  <c r="G15" i="6"/>
  <c r="H15" i="6" s="1"/>
  <c r="G14" i="6"/>
  <c r="H14" i="6" s="1"/>
  <c r="G13" i="6"/>
  <c r="G12" i="6"/>
  <c r="H12" i="6" s="1"/>
  <c r="G11" i="6"/>
  <c r="G10" i="6"/>
  <c r="G9" i="6"/>
  <c r="G8" i="6"/>
  <c r="E34" i="7" l="1"/>
  <c r="E33" i="7"/>
  <c r="H45" i="6"/>
  <c r="H24" i="6"/>
  <c r="G24" i="7"/>
  <c r="G18" i="6"/>
  <c r="H28" i="6" s="1"/>
  <c r="H26" i="6"/>
  <c r="H29" i="6"/>
  <c r="G27" i="6"/>
  <c r="H43" i="6"/>
  <c r="E24" i="7"/>
  <c r="H8" i="6"/>
  <c r="D10" i="8"/>
  <c r="G10" i="8"/>
  <c r="A31" i="7"/>
  <c r="A43" i="7" s="1"/>
  <c r="H25" i="6" l="1"/>
  <c r="G11" i="8" s="1"/>
  <c r="H33" i="7"/>
  <c r="H37" i="7"/>
  <c r="H48" i="6"/>
  <c r="H41" i="6"/>
  <c r="H34" i="7"/>
  <c r="H36" i="7"/>
  <c r="H47" i="6"/>
  <c r="H44" i="6"/>
  <c r="H18" i="6"/>
  <c r="I12" i="7"/>
  <c r="I11" i="7"/>
  <c r="I15" i="7"/>
  <c r="I24" i="7"/>
  <c r="H35" i="6"/>
  <c r="H33" i="6"/>
  <c r="H10" i="6"/>
  <c r="G12" i="8"/>
  <c r="H13" i="6"/>
  <c r="G14" i="8"/>
  <c r="H11" i="6"/>
  <c r="H9" i="6"/>
  <c r="H34" i="6"/>
</calcChain>
</file>

<file path=xl/sharedStrings.xml><?xml version="1.0" encoding="utf-8"?>
<sst xmlns="http://schemas.openxmlformats.org/spreadsheetml/2006/main" count="1589" uniqueCount="439">
  <si>
    <t>Section</t>
  </si>
  <si>
    <t>Subject</t>
  </si>
  <si>
    <t xml:space="preserve">Page </t>
  </si>
  <si>
    <t>Information</t>
  </si>
  <si>
    <t>Date</t>
  </si>
  <si>
    <t>Copy</t>
  </si>
  <si>
    <t>Name, Role</t>
  </si>
  <si>
    <t>No.</t>
  </si>
  <si>
    <t>Add company logo</t>
  </si>
  <si>
    <t>Add photo</t>
  </si>
  <si>
    <t>Year:</t>
  </si>
  <si>
    <t>Address:</t>
  </si>
  <si>
    <t xml:space="preserve">Tel: </t>
  </si>
  <si>
    <t xml:space="preserve">Email: </t>
  </si>
  <si>
    <t>Prepared by:</t>
  </si>
  <si>
    <t>Approved by:</t>
  </si>
  <si>
    <t>Version:</t>
  </si>
  <si>
    <t>Issue Date:</t>
  </si>
  <si>
    <t>Contents</t>
  </si>
  <si>
    <t>Version Control</t>
  </si>
  <si>
    <t>Distribution</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</si>
  <si>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</si>
  <si>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</si>
  <si>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Summary of Operational Processes and Procedures</t>
  </si>
  <si>
    <t>Summary of Plant Operations and Maintenance during the reporting year</t>
  </si>
  <si>
    <t>Operational Summary</t>
  </si>
  <si>
    <t>Plant Size</t>
  </si>
  <si>
    <t>tonnes pa</t>
  </si>
  <si>
    <t>MWth</t>
  </si>
  <si>
    <t>MWe</t>
  </si>
  <si>
    <t>No. of combustion lines</t>
  </si>
  <si>
    <t>No. of Turbines:</t>
  </si>
  <si>
    <t>Waste types received</t>
  </si>
  <si>
    <t>Unit</t>
  </si>
  <si>
    <t>Q1</t>
  </si>
  <si>
    <t>Q2</t>
  </si>
  <si>
    <t>Q3</t>
  </si>
  <si>
    <t>Q4</t>
  </si>
  <si>
    <t>Year Total</t>
  </si>
  <si>
    <t>%</t>
  </si>
  <si>
    <t>tonnes</t>
  </si>
  <si>
    <t xml:space="preserve">Commercial &amp; Industrial </t>
  </si>
  <si>
    <t xml:space="preserve">Hazardous </t>
  </si>
  <si>
    <t>Clinical</t>
  </si>
  <si>
    <t xml:space="preserve">Waste wood (biomass) </t>
  </si>
  <si>
    <t xml:space="preserve">Refuse derived fuel </t>
  </si>
  <si>
    <t xml:space="preserve">Solid recovered fuel </t>
  </si>
  <si>
    <t>Total waste received</t>
  </si>
  <si>
    <t xml:space="preserve">Rejected Waste </t>
  </si>
  <si>
    <t>Energy Useage / Export</t>
  </si>
  <si>
    <t>KWh/te</t>
  </si>
  <si>
    <t>Power Generated</t>
  </si>
  <si>
    <t>MWh</t>
  </si>
  <si>
    <t>Power Exported</t>
  </si>
  <si>
    <t>Power Used on site</t>
  </si>
  <si>
    <t>Power Imported</t>
  </si>
  <si>
    <t>Parasitic Load</t>
  </si>
  <si>
    <t>Thermal Energy Produced</t>
  </si>
  <si>
    <t>GWh</t>
  </si>
  <si>
    <t>Thermal Energy Exported</t>
  </si>
  <si>
    <t>R1 value</t>
  </si>
  <si>
    <t>Design / Operational / n/a</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</si>
  <si>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</si>
  <si>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</si>
  <si>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</si>
  <si>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</si>
  <si>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</si>
  <si>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</si>
  <si>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</si>
  <si>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</si>
  <si>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</si>
  <si>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</si>
  <si>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</si>
  <si>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Activated Carbon</t>
  </si>
  <si>
    <t>Lime / hydrated lime</t>
  </si>
  <si>
    <t>Fuel oil</t>
  </si>
  <si>
    <t>ltrs</t>
  </si>
  <si>
    <t>Gas</t>
  </si>
  <si>
    <t>cf</t>
  </si>
  <si>
    <t>Summary of Hours</t>
  </si>
  <si>
    <t>Hours of waste combustion, total</t>
  </si>
  <si>
    <t>Hours of turbine operations, total</t>
  </si>
  <si>
    <t>Hours of heat / steam export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</si>
  <si>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</si>
  <si>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</si>
  <si>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</si>
  <si>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</si>
  <si>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</si>
  <si>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</si>
  <si>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</si>
  <si>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</si>
  <si>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</si>
  <si>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</si>
  <si>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</si>
  <si>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</si>
  <si>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</si>
  <si>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</si>
  <si>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</si>
  <si>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</si>
  <si>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</si>
  <si>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</si>
  <si>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</si>
  <si>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</si>
  <si>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</si>
  <si>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</si>
  <si>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</si>
  <si>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</si>
  <si>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</si>
  <si>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</si>
  <si>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</si>
  <si>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</si>
  <si>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</si>
  <si>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</si>
  <si>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</si>
  <si>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</si>
  <si>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</si>
  <si>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</si>
  <si>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</si>
  <si>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</si>
  <si>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</si>
  <si>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 xml:space="preserve">Annual Reporting of other performance indicators </t>
  </si>
  <si>
    <t>Parameter</t>
  </si>
  <si>
    <t>A1</t>
  </si>
  <si>
    <t>A2</t>
  </si>
  <si>
    <t>A3</t>
  </si>
  <si>
    <t>A4</t>
  </si>
  <si>
    <t>A5</t>
  </si>
  <si>
    <t>Turbine 1</t>
  </si>
  <si>
    <t>Turbine 2</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</si>
  <si>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</si>
  <si>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</si>
  <si>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</si>
  <si>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</si>
  <si>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</si>
  <si>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</si>
  <si>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</si>
  <si>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</si>
  <si>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</si>
  <si>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</si>
  <si>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</si>
  <si>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</si>
  <si>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</si>
  <si>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</si>
  <si>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</si>
  <si>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</si>
  <si>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</si>
  <si>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</si>
  <si>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</si>
  <si>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</si>
  <si>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</si>
  <si>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</si>
  <si>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</si>
  <si>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</si>
  <si>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</si>
  <si>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</si>
  <si>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</si>
  <si>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</si>
  <si>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</si>
  <si>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 xml:space="preserve">Reason </t>
  </si>
  <si>
    <t>Measures taken to prevent reoccurrence</t>
  </si>
  <si>
    <t>Summary of any complaints received and actions to taken to resolve them.</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</si>
  <si>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</si>
  <si>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</si>
  <si>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</si>
  <si>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</si>
  <si>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</si>
  <si>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</si>
  <si>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</si>
  <si>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</si>
  <si>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</si>
  <si>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</si>
  <si>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</si>
  <si>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</si>
  <si>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1/2 hourly HCl ELV</t>
  </si>
  <si>
    <t>Monthly 1/2 hourly mean</t>
  </si>
  <si>
    <t>Monthly 1/2 hourly maximum</t>
  </si>
  <si>
    <t>Daily HCl ELV</t>
  </si>
  <si>
    <t>Monthly daily mean</t>
  </si>
  <si>
    <t>Monthly daily maximum</t>
  </si>
  <si>
    <t>Jan</t>
  </si>
  <si>
    <t>Feb</t>
  </si>
  <si>
    <t>Mar</t>
  </si>
  <si>
    <t>Apr</t>
  </si>
  <si>
    <t>May</t>
  </si>
  <si>
    <t>Jun</t>
  </si>
  <si>
    <t>Jul</t>
  </si>
  <si>
    <t>Aug</t>
  </si>
  <si>
    <t>Sep</t>
  </si>
  <si>
    <t>Oct</t>
  </si>
  <si>
    <t>Nov</t>
  </si>
  <si>
    <t>Dec</t>
  </si>
  <si>
    <t>1/2 hourly SO2 ELV</t>
  </si>
  <si>
    <t>Daily SO2 ELV</t>
  </si>
  <si>
    <t>1/2 hourly NOx ELV</t>
  </si>
  <si>
    <t>Daily NOx ELV</t>
  </si>
  <si>
    <t>1/2 hourly TOC ELV</t>
  </si>
  <si>
    <t>Daily TOC ELV</t>
  </si>
  <si>
    <t>1/2 hourly PM ELV</t>
  </si>
  <si>
    <t>Daily PM ELV</t>
  </si>
  <si>
    <t xml:space="preserve">Carbon monoxide </t>
  </si>
  <si>
    <t>1/2 hourly CO ELV</t>
  </si>
  <si>
    <t>Daily CO ELV</t>
  </si>
  <si>
    <t>1/2 hourly NH3 ELV</t>
  </si>
  <si>
    <t>Daily NH3 ELV</t>
  </si>
  <si>
    <t>Operating hours for the year, hours</t>
  </si>
  <si>
    <t>Summary of Residue Handling for the reporting year</t>
  </si>
  <si>
    <t>Emissions to Water</t>
  </si>
  <si>
    <t>Summary of monitoring undertaken and compliance</t>
  </si>
  <si>
    <t>Commentary on any specific events</t>
  </si>
  <si>
    <t>Monitoring Frequency</t>
  </si>
  <si>
    <t>Limit</t>
  </si>
  <si>
    <t>Target</t>
  </si>
  <si>
    <t>Average</t>
  </si>
  <si>
    <t>Max.</t>
  </si>
  <si>
    <t>Residue Quality Monitoring Requirements</t>
  </si>
  <si>
    <t>Date &amp; Event</t>
  </si>
  <si>
    <t xml:space="preserve">Normal Operation </t>
  </si>
  <si>
    <t xml:space="preserve">Bottom ash  </t>
  </si>
  <si>
    <t>---</t>
  </si>
  <si>
    <t xml:space="preserve">Parameter (unit) </t>
  </si>
  <si>
    <t>&lt;5%</t>
  </si>
  <si>
    <t>Loss on Ignition (%)</t>
  </si>
  <si>
    <t>Residue Quality Monitoring Results</t>
  </si>
  <si>
    <t>Comments :</t>
  </si>
  <si>
    <t>Emissions to Air (periodically monitored)</t>
  </si>
  <si>
    <t>Results of emissions to air that are periodically monitored</t>
  </si>
  <si>
    <t>Cd and Th and their compounds</t>
  </si>
  <si>
    <t>Hg and its compounds</t>
  </si>
  <si>
    <t>Sb, As, Pb, Cr, Co, Cu, Mn, Ni, V and their compounds</t>
  </si>
  <si>
    <t>Dioxins &amp; Furans (I-TEQ)</t>
  </si>
  <si>
    <t>PCBs (WHO-TEQ Humans / Mammals)</t>
  </si>
  <si>
    <t>PCBs (WHO-TEQ Fish)</t>
  </si>
  <si>
    <t>PCBs (WHO-TEQ Birds)</t>
  </si>
  <si>
    <t>Dioxins &amp; Furans (WHO-TEQ Humans / Mammals)</t>
  </si>
  <si>
    <t>Dioxins &amp; Furans (WHO-TEQ Fish)</t>
  </si>
  <si>
    <t>Dioxins &amp; Furans (WHO-TEQ Birds)</t>
  </si>
  <si>
    <t>Benzo(ghi)perylene</t>
  </si>
  <si>
    <t>Benzo(k)fluoranthene</t>
  </si>
  <si>
    <t>Cholanthrene</t>
  </si>
  <si>
    <t>Chrysene</t>
  </si>
  <si>
    <t>Cyclopenta(cd)pyrene</t>
  </si>
  <si>
    <t>Dibenzo(ai)pyrene</t>
  </si>
  <si>
    <t>Dibenzo(ah)anthracene</t>
  </si>
  <si>
    <t>Fluoranthene</t>
  </si>
  <si>
    <t>Indeno(123-cd) pyrene</t>
  </si>
  <si>
    <t>Naphthalene</t>
  </si>
  <si>
    <t>1 hr</t>
  </si>
  <si>
    <r>
      <t>2 mg/m</t>
    </r>
    <r>
      <rPr>
        <vertAlign val="superscript"/>
        <sz val="10"/>
        <color theme="1"/>
        <rFont val="Arial"/>
        <family val="2"/>
      </rPr>
      <t>3</t>
    </r>
  </si>
  <si>
    <r>
      <t>0.05 mg/m</t>
    </r>
    <r>
      <rPr>
        <vertAlign val="superscript"/>
        <sz val="10"/>
        <color theme="1"/>
        <rFont val="Arial"/>
        <family val="2"/>
      </rPr>
      <t>3</t>
    </r>
  </si>
  <si>
    <r>
      <t>0.5 mg/m</t>
    </r>
    <r>
      <rPr>
        <vertAlign val="superscript"/>
        <sz val="10"/>
        <color theme="1"/>
        <rFont val="Arial"/>
        <family val="2"/>
      </rPr>
      <t>3</t>
    </r>
  </si>
  <si>
    <r>
      <t>0.1 ng/m</t>
    </r>
    <r>
      <rPr>
        <vertAlign val="superscript"/>
        <sz val="10"/>
        <color theme="1"/>
        <rFont val="Arial"/>
        <family val="2"/>
      </rPr>
      <t>3</t>
    </r>
  </si>
  <si>
    <r>
      <t>None set ng/m</t>
    </r>
    <r>
      <rPr>
        <vertAlign val="superscript"/>
        <sz val="10"/>
        <color theme="1"/>
        <rFont val="Arial"/>
        <family val="2"/>
      </rPr>
      <t>3</t>
    </r>
  </si>
  <si>
    <r>
      <t>None set µg/m</t>
    </r>
    <r>
      <rPr>
        <vertAlign val="superscript"/>
        <sz val="10"/>
        <color theme="1"/>
        <rFont val="Arial"/>
        <family val="2"/>
      </rPr>
      <t>3</t>
    </r>
  </si>
  <si>
    <t>Emission Limit Value</t>
  </si>
  <si>
    <t>Ref. Period</t>
  </si>
  <si>
    <t>Summary of monitoring undertaken, standards used and compliance</t>
  </si>
  <si>
    <t>Emissions to Air (continously monitored)</t>
  </si>
  <si>
    <t>Avg.</t>
  </si>
  <si>
    <t>Daily mean</t>
  </si>
  <si>
    <t>½ hourly mean</t>
  </si>
  <si>
    <t xml:space="preserve">Hydrogen chloride </t>
  </si>
  <si>
    <t xml:space="preserve"> Ammonia</t>
  </si>
  <si>
    <t>No limit set</t>
  </si>
  <si>
    <r>
      <t>200 mg/m</t>
    </r>
    <r>
      <rPr>
        <vertAlign val="superscript"/>
        <sz val="10"/>
        <color theme="1"/>
        <rFont val="Arial"/>
        <family val="2"/>
      </rPr>
      <t>3</t>
    </r>
    <r>
      <rPr>
        <sz val="10"/>
        <color theme="1"/>
        <rFont val="Arial"/>
        <family val="2"/>
      </rPr>
      <t xml:space="preserve"> </t>
    </r>
  </si>
  <si>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</si>
  <si>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</si>
  <si>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</si>
  <si>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</si>
  <si>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</si>
  <si>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</si>
  <si>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</si>
  <si>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Total Organic Carbon </t>
  </si>
  <si>
    <t>Reference Period</t>
  </si>
  <si>
    <t>Daily Reference Periods</t>
  </si>
  <si>
    <t>1/2 Hourly Reference Periods</t>
  </si>
  <si>
    <t>mg/Nm3</t>
  </si>
  <si>
    <r>
      <t>mg/Nm</t>
    </r>
    <r>
      <rPr>
        <b/>
        <vertAlign val="superscript"/>
        <sz val="11"/>
        <color theme="1"/>
        <rFont val="Arial"/>
        <family val="2"/>
      </rPr>
      <t>3</t>
    </r>
  </si>
  <si>
    <t>Annual</t>
  </si>
  <si>
    <t>Monitoring of Sulphur dioxide emissions</t>
  </si>
  <si>
    <t>Monitoring of Oxides of Nitrogen emissions</t>
  </si>
  <si>
    <t>Monitoring of Total organic carbon emissions</t>
  </si>
  <si>
    <t>Monitoring of Particulate matter emissions</t>
  </si>
  <si>
    <t xml:space="preserve">Monitoring of Ammnonia emissions </t>
  </si>
  <si>
    <t>Facility Information</t>
  </si>
  <si>
    <t>Operational Data</t>
  </si>
  <si>
    <t>Performance Form 1</t>
  </si>
  <si>
    <t>Energy Form 1</t>
  </si>
  <si>
    <t>Permit Compliance</t>
  </si>
  <si>
    <t>Improvements</t>
  </si>
  <si>
    <t>Public Liasion</t>
  </si>
  <si>
    <t>Emissions to Air (continuously monitored)</t>
  </si>
  <si>
    <t>Hydrogen Chloride emissions</t>
  </si>
  <si>
    <t>Sulphur Dioxdie emsissions</t>
  </si>
  <si>
    <t>Oxides of Notrigen emissions</t>
  </si>
  <si>
    <t>Total Organic Carbon emissions</t>
  </si>
  <si>
    <t>Carbon Monoxide emissions</t>
  </si>
  <si>
    <t>Ammonia emissions</t>
  </si>
  <si>
    <t>Particulate Matter emissions</t>
  </si>
  <si>
    <t>Household / Local Authority</t>
  </si>
  <si>
    <t>Ammonia / Urea</t>
  </si>
  <si>
    <t>Other [Please specify]</t>
  </si>
  <si>
    <t>Results of emissions to air that are continuously monitored</t>
  </si>
  <si>
    <t>kgs</t>
  </si>
  <si>
    <t>Summary of notification or non-compliance [including Line/Reference]</t>
  </si>
  <si>
    <t>Summary of complaint [including Line/Reference]</t>
  </si>
  <si>
    <t xml:space="preserve"> x %</t>
  </si>
  <si>
    <t>x %</t>
  </si>
  <si>
    <t>Line/Unit</t>
  </si>
  <si>
    <t>Residue Quality - Optional</t>
  </si>
  <si>
    <t>6-8hrs</t>
  </si>
  <si>
    <t>ToC (%)</t>
  </si>
  <si>
    <t>&lt;3%</t>
  </si>
  <si>
    <t>No. of Assessments Undertaken</t>
  </si>
  <si>
    <t>No. of Hazardous Assessments</t>
  </si>
  <si>
    <t>Waste transferred out</t>
  </si>
  <si>
    <t>Notes:</t>
  </si>
  <si>
    <t>Template may require adjustment for any bespoke monitoring requirements of permit</t>
  </si>
  <si>
    <t>Section references and Page nos. to be inserted</t>
  </si>
  <si>
    <t>Sections and Subjects may require adjustment by individual operators to meet specific reporting requirements as defined in the sites Permit(s)</t>
  </si>
  <si>
    <t>This template may require adjustments by individual operators to meet specific reporting requirements as defined in the site Permit(s)</t>
  </si>
  <si>
    <t>Whole Installation</t>
  </si>
  <si>
    <t>Per Combustion Line</t>
  </si>
  <si>
    <t>Monitoring of Hydrogen Chloride emissions</t>
  </si>
  <si>
    <t>Monitoring of Carbon Monoxide (half hourly)</t>
  </si>
  <si>
    <t>Emissions to Water / Sewer</t>
  </si>
  <si>
    <t>Results by Line</t>
  </si>
  <si>
    <t>User to add logic to complete Whole installation, Table A5:G18. From the data in Per Combustion Line, Table J6:O79, subject to No. of lines installed</t>
  </si>
  <si>
    <t>Whole Installation table A5:G18:</t>
  </si>
  <si>
    <t>See  Notes in Cell Q3</t>
  </si>
  <si>
    <t>User to add logic to complete Whole installation, Table A5:H18. From the data in Per Combustion Line, Table K6:Q79, subject to No. of lines installed</t>
  </si>
  <si>
    <t>Whole Installation table A5:H18:</t>
  </si>
  <si>
    <t>See  Notes in Cell S3</t>
  </si>
  <si>
    <t xml:space="preserve">Include summary of key operational and/or mainteanance activity undertaken in the year, such as any major component upgrades and/or replacements </t>
  </si>
  <si>
    <t xml:space="preserve">Include in here a summary of residue handling regimes and destinations </t>
  </si>
  <si>
    <t xml:space="preserve">Template may require adjustment for any bespoke monitoring requirements of permit. </t>
  </si>
  <si>
    <t>User to add additional tables as necessary, depending on whether quarterly or bi-annual reporting is required for the compliance year</t>
  </si>
  <si>
    <t>½ hourly mean *</t>
  </si>
  <si>
    <r>
      <t>100 mg/m</t>
    </r>
    <r>
      <rPr>
        <vertAlign val="superscript"/>
        <sz val="10"/>
        <color theme="1"/>
        <rFont val="Arial"/>
        <family val="2"/>
      </rPr>
      <t>3</t>
    </r>
    <r>
      <rPr>
        <sz val="10"/>
        <color theme="1"/>
        <rFont val="Arial"/>
        <family val="2"/>
      </rPr>
      <t xml:space="preserve"> *</t>
    </r>
  </si>
  <si>
    <r>
      <t>150 mg/m</t>
    </r>
    <r>
      <rPr>
        <vertAlign val="superscript"/>
        <sz val="10"/>
        <color theme="1"/>
        <rFont val="Arial"/>
        <family val="2"/>
      </rPr>
      <t>3</t>
    </r>
    <r>
      <rPr>
        <sz val="10"/>
        <color theme="1"/>
        <rFont val="Arial"/>
        <family val="2"/>
      </rPr>
      <t xml:space="preserve"> *</t>
    </r>
  </si>
  <si>
    <t>* = delete or amend as appropriate</t>
  </si>
  <si>
    <t>Highest 1/2 hourly maximum</t>
  </si>
  <si>
    <t>Highest daily maximum</t>
  </si>
  <si>
    <t>95%ile 10-min avg CO ELV</t>
  </si>
  <si>
    <t>10-minute Reference Periods</t>
  </si>
  <si>
    <t xml:space="preserve">Include summary of plant design, design capacity, no. of combustion lines, electrical and heat capacity and any other general information that descibes the facility, its location and purpose </t>
  </si>
  <si>
    <t>Include summary of key processes and procedures such as (but not limited to); waste reception, control rooms, grate, bed and bolier, energy &amp; heat  generation, cooling systems, residue management, emission controls, health and safety systems, maintenance</t>
  </si>
  <si>
    <t>95%ile 10-min avg *</t>
  </si>
  <si>
    <r>
      <rPr>
        <b/>
        <sz val="11"/>
        <color theme="1"/>
        <rFont val="Arial"/>
        <family val="2"/>
      </rPr>
      <t>Mean</t>
    </r>
    <r>
      <rPr>
        <sz val="11"/>
        <color theme="1"/>
        <rFont val="Arial"/>
        <family val="2"/>
      </rPr>
      <t>: for 1/2 hourly and daily periods calculate mean of values across all operational combustion lines for the month</t>
    </r>
  </si>
  <si>
    <t>Monthly CO 10-min avg mean</t>
  </si>
  <si>
    <t>Monitoring of Carbon Monoxide (10-minute avg)</t>
  </si>
  <si>
    <t>95%ile 10-min avg maximum</t>
  </si>
  <si>
    <t>10-min avg maximum</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</si>
  <si>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</si>
  <si>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</si>
  <si>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</si>
  <si>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An indicated ELV value of zero in the table above means that no ammonia limit is set in the permit.  </t>
  </si>
  <si>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</si>
  <si>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Version 2.1 11/11/19</t>
  </si>
  <si>
    <t>Particulate Matter</t>
  </si>
  <si>
    <t>1hr</t>
  </si>
  <si>
    <r>
      <t>20 mg/m</t>
    </r>
    <r>
      <rPr>
        <vertAlign val="superscript"/>
        <sz val="10"/>
        <color theme="1"/>
        <rFont val="Arial"/>
        <family val="2"/>
      </rPr>
      <t>3</t>
    </r>
  </si>
  <si>
    <r>
      <t>30 mg/m</t>
    </r>
    <r>
      <rPr>
        <vertAlign val="superscript"/>
        <sz val="10"/>
        <color theme="1"/>
        <rFont val="Arial"/>
        <family val="2"/>
      </rPr>
      <t>3</t>
    </r>
  </si>
  <si>
    <r>
      <t>100 mg/m</t>
    </r>
    <r>
      <rPr>
        <vertAlign val="superscript"/>
        <sz val="10"/>
        <color theme="1"/>
        <rFont val="Arial"/>
        <family val="2"/>
      </rPr>
      <t>3</t>
    </r>
  </si>
  <si>
    <r>
      <t>200 mg/m</t>
    </r>
    <r>
      <rPr>
        <vertAlign val="superscript"/>
        <sz val="10"/>
        <color theme="1"/>
        <rFont val="Arial"/>
        <family val="2"/>
      </rPr>
      <t>3</t>
    </r>
  </si>
  <si>
    <r>
      <t>400 mg/m</t>
    </r>
    <r>
      <rPr>
        <vertAlign val="superscript"/>
        <sz val="10"/>
        <color theme="1"/>
        <rFont val="Arial"/>
        <family val="2"/>
      </rPr>
      <t>3</t>
    </r>
  </si>
  <si>
    <t>VOC as TOC</t>
  </si>
  <si>
    <t>Hydrogen Chloride</t>
  </si>
  <si>
    <t>Carbon Monoxide</t>
  </si>
  <si>
    <t>4hrs</t>
  </si>
  <si>
    <t>Sulphur Dioxide</t>
  </si>
  <si>
    <t>Oxides of Nitrogen as NO2</t>
  </si>
  <si>
    <t>Permit EPR/WP3935SM</t>
  </si>
  <si>
    <t>Addenbrooke's Hospital  Incinerator</t>
  </si>
  <si>
    <t>Hills Road, Cambridge, CB2 0QQ</t>
  </si>
  <si>
    <t>01223 217193</t>
  </si>
  <si>
    <t>Environmental Services Manager</t>
  </si>
  <si>
    <t>Bicarb</t>
  </si>
  <si>
    <t>The plant comrises two small moving grate incinerators, each burning up to 0.25 tonnes per hour of hazardous and non hazardous wastes.
Ancilliary to these is materials handling equipment, two waste heat recovery boilers; which generate steam to provide heating and hot water for the hospital site.
Gas cleaning equipment and automatic ash handling equipment.
The maximum throughput is 0.5 tonnes per hour, and up to 3,500 tonnes per annum</t>
  </si>
  <si>
    <t>Cambridge University Hospitals NHS Foundation Trust</t>
  </si>
  <si>
    <t>D05</t>
  </si>
  <si>
    <t>D09</t>
  </si>
  <si>
    <t>None</t>
  </si>
  <si>
    <t>Cambridge University Hospitals NHS Trust</t>
  </si>
  <si>
    <t>n/a</t>
  </si>
  <si>
    <t>All ash samples taken are within M4 Guidance</t>
  </si>
  <si>
    <t>100% under &lt;3%</t>
  </si>
  <si>
    <t>1/4 ly TOC as per Permit on both APC and IBA</t>
  </si>
  <si>
    <t>Sodium Bicarb.</t>
  </si>
  <si>
    <t>100% or 
xx% 95% of 10-min averages</t>
  </si>
  <si>
    <t>Not required</t>
  </si>
  <si>
    <t>Uncertainty has been taken into account on Dioxin results</t>
  </si>
  <si>
    <t>as above</t>
  </si>
  <si>
    <t>As an existing plant our Daily Mean for Nitrogen Dioxide is 400mg/m3</t>
  </si>
  <si>
    <t xml:space="preserve">Duncan |Beaumont </t>
  </si>
  <si>
    <t>Vs 1 17.01.22</t>
  </si>
  <si>
    <t>17.01.22</t>
  </si>
  <si>
    <t>Eddie Bell</t>
  </si>
  <si>
    <t xml:space="preserve">The incinerators are served by emissions abatement plant comprising a dry reaction tower where a blend of powdered bicarbonate and activated carbon is injected into the exhaust gases to neutralise acids and remove metals, mercury and dioxins.
Ceramic filters provide a reaction surface for the absorption and adsorption of acid gases, dioxins, heavy metals and particulate matter before exhaust gases discharge to a 71m multi flue stack.
Surface water is discharged to the main Hospital surface water drainage system.
Trade effluent which includes container washings, floor washings, and blow down pit from the waste heat boilers is discharged via the Hospitls foul drainage system into public sewer
The incinerator reception is located within the Hospital Main Service Yard, gates are closed at night, and access restricted 24/7 which is monitored by Security
The incinerator control room is located on level 2 along with 2 heat recovery boilers from A1 and A2 plants.
The site is monitored by CCTV 24/7
</t>
  </si>
  <si>
    <t>APC Residue motors to have dedicated PLC Continuous monitoring of vibration and motor perameters to monitor condition and reduce possibility of break down, which could result in fugitive emissions.</t>
  </si>
  <si>
    <t>17.01.2022</t>
  </si>
  <si>
    <t>08.02.22</t>
  </si>
  <si>
    <t>Power Cuts</t>
  </si>
  <si>
    <t>26.03.22</t>
  </si>
  <si>
    <t>Cause Unknown</t>
  </si>
  <si>
    <t>19.04.22</t>
  </si>
  <si>
    <t>On Start Up</t>
  </si>
  <si>
    <t>08.05.22</t>
  </si>
  <si>
    <t>19.05.22</t>
  </si>
  <si>
    <t>17.05.22</t>
  </si>
  <si>
    <t>28.05.22</t>
  </si>
  <si>
    <t>Power Cut</t>
  </si>
  <si>
    <t>Suspect Memory Effect</t>
  </si>
  <si>
    <t>Annual Performance Report 2022</t>
  </si>
  <si>
    <t>12.07.22</t>
  </si>
  <si>
    <t>A1 &amp; A2:- Pt C 2.5 hrs each</t>
  </si>
  <si>
    <t>A1:- CO 0.5 hrs</t>
  </si>
  <si>
    <t>A1:- TOC 0.5 hrs</t>
  </si>
  <si>
    <t>A1:- Dioxins</t>
  </si>
  <si>
    <t>A2:- Dioxins</t>
  </si>
  <si>
    <t>A1 &amp; A2:- Pt C 0.5 hrs each</t>
  </si>
  <si>
    <t>25.07.22</t>
  </si>
  <si>
    <t>04.08.22</t>
  </si>
  <si>
    <t>26.08.22</t>
  </si>
  <si>
    <t>07.09.22</t>
  </si>
  <si>
    <t>A2:- TOC 0.5 hrs</t>
  </si>
  <si>
    <t>22.10.22</t>
  </si>
  <si>
    <t>29.10.22</t>
  </si>
  <si>
    <t>Flare Up as plant shut in</t>
  </si>
  <si>
    <t xml:space="preserve">Second Spike </t>
  </si>
  <si>
    <t>Suspect Waste Mix</t>
  </si>
  <si>
    <t>Start Up - No CO</t>
  </si>
  <si>
    <t>01.01.2022</t>
  </si>
  <si>
    <t>31.12.2022</t>
  </si>
  <si>
    <t>Confirmed that the new boost burners installed the previous year have contributed to significant (circa 30%) lower gas usage.</t>
  </si>
  <si>
    <t>Steve Rackley</t>
  </si>
  <si>
    <t>Head of Estates Building &amp; Maintenance Services</t>
  </si>
  <si>
    <t>Jonathan Paman</t>
  </si>
  <si>
    <t>Jonathan.patman@nhs.net</t>
  </si>
  <si>
    <t xml:space="preserve">
Plant A1 had had it's second pass tubes replaced. Last replaced in 2008.
Both plants have had refactory maintenance on a 6 monthly service plan incluiding the rebuild of the incinerator 'throat', side rams and loading chute roof.
Staff trained on critical monitoring equipment which monitors key equipment such as ID fan motors and bearings..A Portable monitor is also available for remote equipment.
All burners serviced at beginning of the year.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</si>
</sst>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2" x14ac:knownFonts="1">
    <font>
      <sz val="11"/>
      <color theme="1"/>
      <name val="Calibri"/>
      <family val="2"/>
      <scheme val="minor"/>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b/>
      <sz val="12"/>
      <color rgb="FF00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u/>
      <sz val="11"/>
      <color theme="10"/>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2"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cellStyleXfs>
  <cellXfs count="375">
    <xf numFmtId="0" fontId="0" fillId="0" borderId="0" xfId="0"/>
    <xf numFmtId="0" fontId="3" fillId="0" borderId="0" xfId="0" applyFont="1"/>
    <xf numFmtId="0" fontId="4" fillId="0" borderId="0" xfId="0" applyFont="1"/>
    <xf numFmtId="0" fontId="5" fillId="0" borderId="0" xfId="0" applyFont="1"/>
    <xf numFmtId="0" fontId="5" fillId="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7" fillId="0" borderId="0" xfId="0" applyFont="1"/>
    <xf numFmtId="0" fontId="8" fillId="0" borderId="0" xfId="0" applyFont="1"/>
    <xf numFmtId="0" fontId="4" fillId="2" borderId="0" xfId="0" applyFont="1" applyFill="1"/>
    <xf numFmtId="0" fontId="4" fillId="0" borderId="0" xfId="0" applyFont="1" applyAlignment="1">
      <alignment horizontal="left"/>
    </xf>
    <xf numFmtId="0" fontId="6" fillId="0" borderId="0" xfId="0" applyFont="1"/>
    <xf numFmtId="0" fontId="9" fillId="0" borderId="2" xfId="0" applyFont="1" applyBorder="1" applyAlignment="1">
      <alignment horizontal="center"/>
    </xf>
    <xf numFmtId="0" fontId="9" fillId="0" borderId="2" xfId="0" applyFont="1" applyBorder="1"/>
    <xf numFmtId="0" fontId="10" fillId="2" borderId="2" xfId="0" applyFont="1" applyFill="1" applyBorder="1" applyAlignment="1">
      <alignment horizontal="center"/>
    </xf>
    <xf numFmtId="0" fontId="10" fillId="2" borderId="2" xfId="0" applyFont="1" applyFill="1" applyBorder="1" applyAlignment="1">
      <alignment horizontal="left"/>
    </xf>
    <xf numFmtId="0" fontId="10" fillId="0" borderId="0" xfId="0" applyFont="1"/>
    <xf numFmtId="0" fontId="9" fillId="0" borderId="2" xfId="0" applyFont="1" applyBorder="1" applyAlignment="1">
      <alignment horizontal="center" vertical="top"/>
    </xf>
    <xf numFmtId="0" fontId="9" fillId="0" borderId="2" xfId="0" applyFont="1" applyBorder="1" applyAlignment="1">
      <alignment vertical="top"/>
    </xf>
    <xf numFmtId="0" fontId="10" fillId="2" borderId="2" xfId="0" applyFont="1" applyFill="1" applyBorder="1" applyAlignment="1">
      <alignment horizontal="center" vertical="top"/>
    </xf>
    <xf numFmtId="0" fontId="9" fillId="0" borderId="0" xfId="0" applyFont="1"/>
    <xf numFmtId="0" fontId="10" fillId="0" borderId="0" xfId="0" applyFont="1" applyAlignment="1">
      <alignment horizontal="center"/>
    </xf>
    <xf numFmtId="0" fontId="11" fillId="0" borderId="0" xfId="0" applyFont="1"/>
    <xf numFmtId="0" fontId="5" fillId="0" borderId="6" xfId="0" applyFont="1" applyBorder="1"/>
    <xf numFmtId="164" fontId="5" fillId="2" borderId="7" xfId="1" applyNumberFormat="1" applyFont="1" applyFill="1" applyBorder="1"/>
    <xf numFmtId="0" fontId="5" fillId="3" borderId="7" xfId="0" applyFont="1" applyFill="1" applyBorder="1" applyAlignment="1">
      <alignment vertical="center"/>
    </xf>
    <xf numFmtId="0" fontId="5" fillId="0" borderId="11" xfId="0" applyFont="1" applyBorder="1"/>
    <xf numFmtId="0" fontId="5" fillId="2" borderId="12" xfId="0" applyFont="1" applyFill="1" applyBorder="1" applyAlignment="1">
      <alignment horizontal="center" vertical="center"/>
    </xf>
    <xf numFmtId="0" fontId="5" fillId="0" borderId="12" xfId="0" applyFont="1" applyBorder="1"/>
    <xf numFmtId="0" fontId="5" fillId="2" borderId="12" xfId="0" applyFont="1" applyFill="1" applyBorder="1" applyAlignment="1">
      <alignment horizontal="center"/>
    </xf>
    <xf numFmtId="0" fontId="6" fillId="0" borderId="12" xfId="0" applyFont="1" applyBorder="1"/>
    <xf numFmtId="0" fontId="5" fillId="0" borderId="13" xfId="0" applyFont="1" applyBorder="1" applyAlignment="1">
      <alignment horizontal="center"/>
    </xf>
    <xf numFmtId="0" fontId="10" fillId="0" borderId="3" xfId="0" applyFont="1" applyBorder="1"/>
    <xf numFmtId="0" fontId="10" fillId="0" borderId="4" xfId="0" applyFont="1" applyBorder="1" applyAlignment="1">
      <alignment horizontal="center"/>
    </xf>
    <xf numFmtId="0" fontId="9" fillId="0" borderId="4" xfId="0" applyFont="1" applyBorder="1" applyAlignment="1">
      <alignment horizontal="center"/>
    </xf>
    <xf numFmtId="0" fontId="10" fillId="0" borderId="5" xfId="0" applyFont="1" applyBorder="1" applyAlignment="1">
      <alignment horizontal="center"/>
    </xf>
    <xf numFmtId="0" fontId="10" fillId="0" borderId="6" xfId="0" applyFont="1" applyBorder="1" applyAlignment="1">
      <alignment vertical="center"/>
    </xf>
    <xf numFmtId="164" fontId="10" fillId="2" borderId="7" xfId="1" applyNumberFormat="1" applyFont="1" applyFill="1" applyBorder="1" applyAlignment="1">
      <alignment horizontal="center"/>
    </xf>
    <xf numFmtId="164" fontId="9" fillId="0" borderId="7" xfId="1" applyNumberFormat="1" applyFont="1" applyBorder="1" applyAlignment="1">
      <alignment horizontal="center"/>
    </xf>
    <xf numFmtId="165" fontId="10" fillId="0" borderId="10" xfId="2" applyNumberFormat="1" applyFont="1" applyBorder="1" applyAlignment="1">
      <alignment horizontal="center"/>
    </xf>
    <xf numFmtId="0" fontId="10" fillId="0" borderId="9" xfId="0" applyFont="1" applyBorder="1" applyAlignment="1">
      <alignment vertical="center"/>
    </xf>
    <xf numFmtId="164" fontId="10" fillId="2" borderId="0" xfId="1" applyNumberFormat="1" applyFont="1" applyFill="1" applyAlignment="1">
      <alignment horizontal="center"/>
    </xf>
    <xf numFmtId="164" fontId="9" fillId="0" borderId="0" xfId="1" applyNumberFormat="1" applyFont="1" applyAlignment="1">
      <alignment horizontal="center"/>
    </xf>
    <xf numFmtId="0" fontId="9" fillId="0" borderId="9" xfId="0" applyFont="1" applyBorder="1" applyAlignment="1">
      <alignment vertical="center"/>
    </xf>
    <xf numFmtId="0" fontId="10" fillId="0" borderId="11" xfId="0" applyFont="1" applyBorder="1" applyAlignment="1">
      <alignment vertical="center"/>
    </xf>
    <xf numFmtId="164" fontId="10" fillId="2" borderId="12" xfId="1" applyNumberFormat="1" applyFont="1" applyFill="1" applyBorder="1" applyAlignment="1">
      <alignment horizontal="center"/>
    </xf>
    <xf numFmtId="164" fontId="9" fillId="0" borderId="12" xfId="1" applyNumberFormat="1" applyFont="1" applyBorder="1" applyAlignment="1">
      <alignment horizontal="center"/>
    </xf>
    <xf numFmtId="0" fontId="9" fillId="0" borderId="0" xfId="0" applyFont="1" applyAlignment="1">
      <alignment horizontal="center"/>
    </xf>
    <xf numFmtId="0" fontId="10" fillId="0" borderId="7" xfId="0" applyFont="1" applyBorder="1" applyAlignment="1">
      <alignment horizontal="center"/>
    </xf>
    <xf numFmtId="0" fontId="9" fillId="0" borderId="7" xfId="0" applyFont="1" applyBorder="1" applyAlignment="1">
      <alignment horizontal="center"/>
    </xf>
    <xf numFmtId="0" fontId="10" fillId="0" borderId="8" xfId="0" applyFont="1" applyBorder="1" applyAlignment="1">
      <alignment horizontal="center"/>
    </xf>
    <xf numFmtId="0" fontId="10" fillId="0" borderId="6" xfId="0" applyFont="1" applyBorder="1"/>
    <xf numFmtId="164" fontId="10" fillId="0" borderId="8" xfId="0" applyNumberFormat="1" applyFont="1" applyBorder="1" applyAlignment="1">
      <alignment horizontal="center"/>
    </xf>
    <xf numFmtId="0" fontId="10" fillId="0" borderId="9" xfId="0" applyFont="1" applyBorder="1"/>
    <xf numFmtId="164" fontId="10" fillId="0" borderId="10" xfId="0" applyNumberFormat="1" applyFont="1" applyBorder="1" applyAlignment="1">
      <alignment horizontal="center"/>
    </xf>
    <xf numFmtId="0" fontId="10" fillId="0" borderId="0" xfId="0" applyFont="1" applyAlignment="1">
      <alignment horizontal="center" vertical="center"/>
    </xf>
    <xf numFmtId="165" fontId="10" fillId="0" borderId="0" xfId="2" applyNumberFormat="1" applyFont="1" applyAlignment="1">
      <alignment horizontal="center" vertical="center"/>
    </xf>
    <xf numFmtId="0" fontId="10" fillId="0" borderId="11" xfId="0" applyFont="1" applyBorder="1"/>
    <xf numFmtId="0" fontId="10" fillId="0" borderId="12" xfId="0" applyFont="1" applyBorder="1"/>
    <xf numFmtId="0" fontId="10" fillId="0" borderId="6" xfId="0" applyFont="1" applyBorder="1" applyAlignment="1">
      <alignment horizontal="center" vertical="center"/>
    </xf>
    <xf numFmtId="0" fontId="10" fillId="0" borderId="8" xfId="0" quotePrefix="1" applyFont="1" applyBorder="1" applyAlignment="1">
      <alignment horizontal="center"/>
    </xf>
    <xf numFmtId="165" fontId="10" fillId="0" borderId="8" xfId="2" applyNumberFormat="1" applyFont="1" applyBorder="1" applyAlignment="1">
      <alignment horizontal="center"/>
    </xf>
    <xf numFmtId="0" fontId="10" fillId="2" borderId="9" xfId="0" applyFont="1" applyFill="1" applyBorder="1"/>
    <xf numFmtId="0" fontId="10" fillId="2" borderId="11" xfId="0" applyFont="1" applyFill="1" applyBorder="1"/>
    <xf numFmtId="165" fontId="10" fillId="0" borderId="13" xfId="2" applyNumberFormat="1" applyFont="1" applyBorder="1" applyAlignment="1">
      <alignment horizontal="center"/>
    </xf>
    <xf numFmtId="0" fontId="10" fillId="0" borderId="3" xfId="0" applyFont="1" applyBorder="1" applyAlignment="1">
      <alignment horizontal="center" vertical="center"/>
    </xf>
    <xf numFmtId="43" fontId="10" fillId="0" borderId="10" xfId="0" applyNumberFormat="1" applyFont="1" applyBorder="1" applyAlignment="1">
      <alignment horizontal="center" vertical="center"/>
    </xf>
    <xf numFmtId="0" fontId="10" fillId="2" borderId="12" xfId="0" applyFont="1" applyFill="1" applyBorder="1" applyAlignment="1">
      <alignment horizontal="center" vertical="center"/>
    </xf>
    <xf numFmtId="43" fontId="10" fillId="0" borderId="13" xfId="0" applyNumberFormat="1" applyFont="1" applyBorder="1" applyAlignment="1">
      <alignment horizontal="center" vertical="center"/>
    </xf>
    <xf numFmtId="0" fontId="10" fillId="0" borderId="6" xfId="0" applyFont="1" applyBorder="1" applyAlignment="1">
      <alignment horizontal="center"/>
    </xf>
    <xf numFmtId="10" fontId="10" fillId="0" borderId="10" xfId="2" applyNumberFormat="1" applyFont="1" applyBorder="1" applyAlignment="1">
      <alignment horizontal="center"/>
    </xf>
    <xf numFmtId="0" fontId="10" fillId="0" borderId="12" xfId="0" applyFont="1" applyBorder="1" applyAlignment="1">
      <alignment horizontal="center"/>
    </xf>
    <xf numFmtId="164" fontId="10" fillId="0" borderId="13" xfId="0" applyNumberFormat="1" applyFont="1" applyBorder="1" applyAlignment="1">
      <alignment horizontal="center"/>
    </xf>
    <xf numFmtId="0" fontId="3" fillId="0" borderId="0" xfId="0" applyFont="1" applyAlignment="1">
      <alignment horizontal="right"/>
    </xf>
    <xf numFmtId="0" fontId="3" fillId="0" borderId="0" xfId="0" applyFont="1" applyAlignment="1">
      <alignment vertical="center"/>
    </xf>
    <xf numFmtId="0" fontId="5" fillId="0" borderId="0" xfId="0" applyFont="1" applyAlignment="1">
      <alignment horizontal="center"/>
    </xf>
    <xf numFmtId="0" fontId="13" fillId="4" borderId="2" xfId="0" applyFont="1" applyFill="1" applyBorder="1" applyAlignment="1">
      <alignment horizontal="center" vertical="center" wrapText="1"/>
    </xf>
    <xf numFmtId="0" fontId="10" fillId="0" borderId="2" xfId="0" applyFont="1" applyBorder="1" applyAlignment="1">
      <alignment horizontal="left" vertical="center" wrapText="1"/>
    </xf>
    <xf numFmtId="0" fontId="10" fillId="2" borderId="2" xfId="0" applyFont="1" applyFill="1" applyBorder="1" applyAlignment="1">
      <alignment horizontal="center" vertical="center" wrapText="1"/>
    </xf>
    <xf numFmtId="0" fontId="10" fillId="2" borderId="2" xfId="0" applyFont="1" applyFill="1" applyBorder="1" applyAlignment="1">
      <alignment vertical="center" wrapText="1"/>
    </xf>
    <xf numFmtId="0" fontId="10" fillId="0" borderId="2" xfId="0" applyFont="1" applyBorder="1" applyAlignment="1">
      <alignment vertical="center" wrapText="1"/>
    </xf>
    <xf numFmtId="0" fontId="10" fillId="0" borderId="0" xfId="0" applyFont="1" applyAlignment="1">
      <alignment vertical="center"/>
    </xf>
    <xf numFmtId="0" fontId="13" fillId="4" borderId="6" xfId="0" applyFont="1" applyFill="1" applyBorder="1" applyAlignment="1">
      <alignment vertical="center" wrapText="1"/>
    </xf>
    <xf numFmtId="0" fontId="13" fillId="4" borderId="8" xfId="0" applyFont="1" applyFill="1" applyBorder="1" applyAlignment="1">
      <alignment vertical="center" wrapText="1"/>
    </xf>
    <xf numFmtId="0" fontId="13" fillId="4" borderId="1" xfId="0" applyFont="1" applyFill="1" applyBorder="1" applyAlignment="1">
      <alignment horizontal="center" vertical="center" wrapText="1"/>
    </xf>
    <xf numFmtId="0" fontId="13" fillId="4" borderId="1" xfId="0" applyFont="1" applyFill="1" applyBorder="1" applyAlignment="1">
      <alignment vertical="center" wrapText="1"/>
    </xf>
    <xf numFmtId="4" fontId="10" fillId="0" borderId="2" xfId="0" applyNumberFormat="1" applyFont="1" applyBorder="1" applyAlignment="1">
      <alignment horizontal="center" vertical="center" wrapText="1"/>
    </xf>
    <xf numFmtId="4" fontId="10" fillId="2" borderId="2" xfId="0" applyNumberFormat="1" applyFont="1" applyFill="1" applyBorder="1" applyAlignment="1">
      <alignment horizontal="center" vertical="center" wrapText="1"/>
    </xf>
    <xf numFmtId="0" fontId="5" fillId="0" borderId="0" xfId="0" applyFont="1" applyAlignment="1">
      <alignment horizontal="left" vertical="top" wrapText="1"/>
    </xf>
    <xf numFmtId="0" fontId="13" fillId="4" borderId="2" xfId="0" applyFont="1" applyFill="1" applyBorder="1" applyAlignment="1">
      <alignment vertical="center" wrapText="1"/>
    </xf>
    <xf numFmtId="0" fontId="4" fillId="2" borderId="2" xfId="0" applyFont="1" applyFill="1" applyBorder="1"/>
    <xf numFmtId="0" fontId="14" fillId="0" borderId="12" xfId="0" applyFont="1" applyBorder="1"/>
    <xf numFmtId="0" fontId="5" fillId="0" borderId="0" xfId="0" applyFont="1" applyAlignment="1">
      <alignment vertical="center"/>
    </xf>
    <xf numFmtId="0" fontId="9" fillId="0" borderId="2" xfId="0" applyFont="1" applyBorder="1" applyAlignment="1">
      <alignment horizontal="center" vertical="center" wrapText="1"/>
    </xf>
    <xf numFmtId="14" fontId="10" fillId="2" borderId="2" xfId="0" applyNumberFormat="1" applyFont="1" applyFill="1" applyBorder="1" applyAlignment="1">
      <alignment horizontal="left"/>
    </xf>
    <xf numFmtId="0" fontId="4" fillId="0" borderId="0" xfId="0" applyFont="1" applyAlignment="1">
      <alignment horizontal="left" vertical="center" wrapText="1"/>
    </xf>
    <xf numFmtId="0" fontId="6" fillId="0" borderId="3" xfId="0" applyFont="1" applyBorder="1" applyAlignment="1">
      <alignment vertical="center"/>
    </xf>
    <xf numFmtId="0" fontId="6" fillId="0" borderId="4" xfId="0" applyFont="1" applyBorder="1" applyAlignment="1">
      <alignment vertical="center"/>
    </xf>
    <xf numFmtId="0" fontId="6" fillId="0" borderId="5" xfId="0" applyFont="1" applyBorder="1" applyAlignment="1">
      <alignment vertical="center"/>
    </xf>
    <xf numFmtId="0" fontId="6" fillId="0" borderId="6" xfId="0" applyFont="1" applyBorder="1"/>
    <xf numFmtId="0" fontId="4" fillId="0" borderId="7" xfId="0" applyFont="1" applyBorder="1"/>
    <xf numFmtId="0" fontId="4" fillId="0" borderId="8" xfId="0" applyFont="1" applyBorder="1"/>
    <xf numFmtId="0" fontId="4" fillId="0" borderId="11" xfId="0" applyFont="1" applyBorder="1"/>
    <xf numFmtId="0" fontId="4" fillId="0" borderId="12" xfId="0" applyFont="1" applyBorder="1"/>
    <xf numFmtId="0" fontId="4" fillId="0" borderId="13" xfId="0" applyFont="1" applyBorder="1"/>
    <xf numFmtId="0" fontId="6" fillId="0" borderId="3" xfId="0" applyFont="1" applyBorder="1"/>
    <xf numFmtId="0" fontId="4" fillId="0" borderId="4" xfId="0" applyFont="1" applyBorder="1"/>
    <xf numFmtId="0" fontId="4" fillId="0" borderId="5" xfId="0" applyFont="1" applyBorder="1"/>
    <xf numFmtId="0" fontId="3" fillId="0" borderId="3" xfId="0" applyFont="1" applyBorder="1"/>
    <xf numFmtId="0" fontId="10" fillId="0" borderId="2" xfId="0" applyFont="1" applyBorder="1" applyAlignment="1">
      <alignment horizontal="center"/>
    </xf>
    <xf numFmtId="0" fontId="9" fillId="0" borderId="2" xfId="0" applyFont="1" applyBorder="1" applyAlignment="1">
      <alignment horizontal="center" vertical="center"/>
    </xf>
    <xf numFmtId="0" fontId="10" fillId="0" borderId="2" xfId="0" applyFont="1" applyBorder="1" applyAlignment="1">
      <alignment horizontal="center" vertical="center" wrapText="1"/>
    </xf>
    <xf numFmtId="0" fontId="10" fillId="5" borderId="2" xfId="0" applyFont="1" applyFill="1" applyBorder="1" applyAlignment="1">
      <alignment horizontal="center" vertical="center" wrapText="1"/>
    </xf>
    <xf numFmtId="0" fontId="6" fillId="0" borderId="2" xfId="0" applyFont="1" applyBorder="1" applyAlignment="1">
      <alignment horizontal="center" vertical="center" wrapText="1"/>
    </xf>
    <xf numFmtId="0" fontId="15" fillId="0" borderId="0" xfId="0" applyFont="1"/>
    <xf numFmtId="9" fontId="10" fillId="0" borderId="2" xfId="0" applyNumberFormat="1" applyFont="1" applyBorder="1" applyAlignment="1">
      <alignment horizontal="center" vertical="center" wrapText="1"/>
    </xf>
    <xf numFmtId="0" fontId="16" fillId="0" borderId="2"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6" fillId="0" borderId="0" xfId="0" applyFont="1" applyAlignment="1">
      <alignment vertical="top"/>
    </xf>
    <xf numFmtId="0" fontId="6" fillId="0" borderId="2" xfId="0" applyFont="1" applyBorder="1" applyAlignment="1">
      <alignment horizontal="center" vertical="center"/>
    </xf>
    <xf numFmtId="0" fontId="5" fillId="0" borderId="2" xfId="0" applyFont="1" applyBorder="1"/>
    <xf numFmtId="0" fontId="18" fillId="0" borderId="2" xfId="0" applyFont="1" applyBorder="1" applyAlignment="1">
      <alignment horizontal="center"/>
    </xf>
    <xf numFmtId="0" fontId="5" fillId="5" borderId="2" xfId="0" applyFont="1" applyFill="1" applyBorder="1" applyAlignment="1">
      <alignment horizontal="center"/>
    </xf>
    <xf numFmtId="0" fontId="6" fillId="0" borderId="2" xfId="0" applyFont="1" applyBorder="1" applyAlignment="1">
      <alignment horizontal="left" vertical="center"/>
    </xf>
    <xf numFmtId="0" fontId="5" fillId="0" borderId="2" xfId="0" applyFont="1" applyBorder="1" applyAlignment="1">
      <alignment horizontal="left"/>
    </xf>
    <xf numFmtId="0" fontId="6" fillId="0" borderId="1" xfId="0" applyFont="1" applyBorder="1" applyAlignment="1">
      <alignment horizontal="center" vertical="center" wrapText="1"/>
    </xf>
    <xf numFmtId="0" fontId="6" fillId="0" borderId="0" xfId="0" applyFont="1" applyAlignment="1">
      <alignment vertical="center"/>
    </xf>
    <xf numFmtId="0" fontId="18" fillId="5" borderId="2" xfId="0" applyFont="1" applyFill="1" applyBorder="1" applyAlignment="1">
      <alignment horizontal="center"/>
    </xf>
    <xf numFmtId="0" fontId="5" fillId="0" borderId="8" xfId="0" applyFont="1" applyBorder="1" applyAlignment="1">
      <alignment horizontal="left"/>
    </xf>
    <xf numFmtId="0" fontId="20" fillId="0" borderId="0" xfId="0" applyFont="1"/>
    <xf numFmtId="0" fontId="10" fillId="0" borderId="0" xfId="0" applyFont="1" applyBorder="1" applyAlignment="1">
      <alignment horizontal="center"/>
    </xf>
    <xf numFmtId="164" fontId="10" fillId="2" borderId="0" xfId="1" applyNumberFormat="1" applyFont="1" applyFill="1" applyBorder="1" applyAlignment="1">
      <alignment horizontal="center"/>
    </xf>
    <xf numFmtId="43" fontId="10" fillId="0" borderId="8" xfId="0" applyNumberFormat="1" applyFont="1" applyBorder="1" applyAlignment="1">
      <alignment horizontal="center" vertical="center"/>
    </xf>
    <xf numFmtId="0" fontId="10" fillId="7" borderId="9" xfId="0" applyFont="1" applyFill="1" applyBorder="1" applyAlignment="1">
      <alignment vertical="center"/>
    </xf>
    <xf numFmtId="0" fontId="10" fillId="0" borderId="2" xfId="0" applyFont="1" applyBorder="1" applyAlignment="1">
      <alignment horizontal="center" vertical="center" wrapText="1"/>
    </xf>
    <xf numFmtId="0" fontId="5" fillId="0" borderId="0" xfId="0" applyFont="1" applyBorder="1"/>
    <xf numFmtId="0" fontId="5" fillId="0" borderId="9" xfId="0" applyFont="1" applyBorder="1"/>
    <xf numFmtId="0" fontId="22" fillId="0" borderId="0" xfId="0" applyFont="1"/>
    <xf numFmtId="0" fontId="23" fillId="0" borderId="0" xfId="0" applyFont="1"/>
    <xf numFmtId="0" fontId="24" fillId="0" borderId="0" xfId="0" applyFont="1"/>
    <xf numFmtId="0" fontId="10" fillId="0" borderId="7" xfId="0" applyFont="1" applyBorder="1" applyAlignment="1">
      <alignment horizontal="center" vertical="center"/>
    </xf>
    <xf numFmtId="0" fontId="10" fillId="0" borderId="0" xfId="0" applyFont="1" applyBorder="1" applyAlignment="1">
      <alignment horizontal="center" vertical="center"/>
    </xf>
    <xf numFmtId="0" fontId="10" fillId="0" borderId="2" xfId="0" applyFont="1" applyBorder="1" applyAlignment="1">
      <alignment horizontal="left" vertical="center" wrapText="1"/>
    </xf>
    <xf numFmtId="0" fontId="10" fillId="5" borderId="2" xfId="0" applyFont="1" applyFill="1" applyBorder="1" applyAlignment="1">
      <alignment horizontal="center" vertical="center" wrapText="1"/>
    </xf>
    <xf numFmtId="0" fontId="6"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4" fillId="0" borderId="0" xfId="0" applyFont="1" applyAlignment="1">
      <alignment vertical="top" wrapText="1"/>
    </xf>
    <xf numFmtId="0" fontId="30" fillId="0" borderId="0" xfId="0" applyFont="1"/>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10" fillId="5" borderId="1" xfId="0" applyFont="1" applyFill="1" applyBorder="1" applyAlignment="1">
      <alignment horizontal="center" vertical="center"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6" fillId="0" borderId="13" xfId="0" applyFont="1" applyBorder="1" applyAlignment="1">
      <alignment horizontal="left" vertical="top" wrapText="1"/>
    </xf>
    <xf numFmtId="0" fontId="1" fillId="0" borderId="0" xfId="0" applyFont="1"/>
    <xf numFmtId="17" fontId="4" fillId="0" borderId="0" xfId="0" applyNumberFormat="1" applyFont="1"/>
    <xf numFmtId="0" fontId="31" fillId="0" borderId="0" xfId="3"/>
    <xf numFmtId="0" fontId="4" fillId="2" borderId="0" xfId="0" applyFont="1" applyFill="1" applyAlignment="1"/>
    <xf numFmtId="0" fontId="1" fillId="0" borderId="0" xfId="0" applyFont="1" applyAlignment="1">
      <alignment horizontal="left"/>
    </xf>
    <xf numFmtId="0" fontId="10" fillId="2" borderId="2" xfId="0" applyFont="1" applyFill="1" applyBorder="1" applyAlignment="1">
      <alignment horizontal="left"/>
    </xf>
    <xf numFmtId="0" fontId="10" fillId="2" borderId="3" xfId="0" applyFont="1" applyFill="1" applyBorder="1" applyAlignment="1">
      <alignment horizontal="left"/>
    </xf>
    <xf numFmtId="0" fontId="10" fillId="3" borderId="6" xfId="0" applyFont="1" applyFill="1" applyBorder="1"/>
    <xf numFmtId="0" fontId="10" fillId="3" borderId="9" xfId="0" applyFont="1" applyFill="1" applyBorder="1"/>
    <xf numFmtId="0" fontId="10" fillId="5" borderId="9" xfId="0" applyFont="1" applyFill="1" applyBorder="1"/>
    <xf numFmtId="0" fontId="10" fillId="2" borderId="2" xfId="0" applyFont="1" applyFill="1" applyBorder="1" applyAlignment="1">
      <alignment horizontal="left"/>
    </xf>
    <xf numFmtId="0" fontId="10" fillId="2" borderId="2" xfId="0" applyFont="1" applyFill="1" applyBorder="1" applyAlignment="1">
      <alignment horizontal="left"/>
    </xf>
    <xf numFmtId="0" fontId="10" fillId="2" borderId="2" xfId="0" applyFont="1" applyFill="1" applyBorder="1" applyAlignment="1">
      <alignment horizontal="left"/>
    </xf>
    <xf numFmtId="0" fontId="1" fillId="2" borderId="0" xfId="0" applyFont="1" applyFill="1" applyAlignment="1">
      <alignment horizontal="center"/>
    </xf>
    <xf numFmtId="0" fontId="4" fillId="2" borderId="0" xfId="0" applyFont="1" applyFill="1" applyAlignment="1">
      <alignment horizontal="center"/>
    </xf>
    <xf numFmtId="0" fontId="7" fillId="2" borderId="0" xfId="0" applyFont="1" applyFill="1" applyAlignment="1">
      <alignment horizontal="left"/>
    </xf>
    <xf numFmtId="0" fontId="1" fillId="2" borderId="0" xfId="0" applyFont="1" applyFill="1" applyAlignment="1">
      <alignment horizontal="right"/>
    </xf>
    <xf numFmtId="0" fontId="4" fillId="2" borderId="0" xfId="0" applyFont="1" applyFill="1" applyAlignment="1">
      <alignment horizontal="right"/>
    </xf>
    <xf numFmtId="0" fontId="22" fillId="0" borderId="0" xfId="0" applyFont="1" applyAlignment="1">
      <alignment horizontal="left" wrapText="1"/>
    </xf>
    <xf numFmtId="0" fontId="7" fillId="2" borderId="0" xfId="0" applyFont="1" applyFill="1" applyAlignment="1">
      <alignment horizontal="center"/>
    </xf>
    <xf numFmtId="0" fontId="4" fillId="2" borderId="0" xfId="0" applyFont="1" applyFill="1" applyAlignment="1">
      <alignment horizontal="center" vertical="center"/>
    </xf>
    <xf numFmtId="0" fontId="10" fillId="0" borderId="6" xfId="0" applyFont="1" applyBorder="1" applyAlignment="1">
      <alignment horizontal="left" vertical="top" wrapText="1"/>
    </xf>
    <xf numFmtId="0" fontId="10" fillId="0" borderId="7" xfId="0" applyFont="1" applyBorder="1" applyAlignment="1">
      <alignment horizontal="left" vertical="top" wrapText="1"/>
    </xf>
    <xf numFmtId="0" fontId="10" fillId="0" borderId="8" xfId="0" applyFont="1" applyBorder="1" applyAlignment="1">
      <alignment horizontal="left" vertical="top" wrapText="1"/>
    </xf>
    <xf numFmtId="0" fontId="10" fillId="0" borderId="9" xfId="0" applyFont="1" applyBorder="1" applyAlignment="1">
      <alignment horizontal="left" vertical="top" wrapText="1"/>
    </xf>
    <xf numFmtId="0" fontId="10" fillId="0" borderId="0" xfId="0" applyFont="1" applyAlignment="1">
      <alignment horizontal="left" vertical="top" wrapText="1"/>
    </xf>
    <xf numFmtId="0" fontId="10" fillId="0" borderId="10"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10" fillId="2" borderId="2" xfId="0" applyFont="1" applyFill="1" applyBorder="1" applyAlignment="1">
      <alignment horizontal="left" vertical="top"/>
    </xf>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5" xfId="0" applyFont="1" applyFill="1" applyBorder="1" applyAlignment="1">
      <alignment horizontal="left"/>
    </xf>
    <xf numFmtId="0" fontId="5" fillId="2" borderId="2" xfId="0" applyFont="1" applyFill="1" applyBorder="1" applyAlignment="1">
      <alignment horizontal="left"/>
    </xf>
    <xf numFmtId="0" fontId="9" fillId="0" borderId="2" xfId="0" applyFont="1" applyBorder="1" applyAlignment="1">
      <alignment horizontal="left"/>
    </xf>
    <xf numFmtId="0" fontId="10" fillId="2" borderId="2" xfId="0" applyFont="1" applyFill="1" applyBorder="1" applyAlignment="1">
      <alignment horizontal="left"/>
    </xf>
    <xf numFmtId="0" fontId="9" fillId="0" borderId="2" xfId="0" applyFont="1" applyBorder="1" applyAlignment="1">
      <alignment horizontal="left" vertical="top"/>
    </xf>
    <xf numFmtId="0" fontId="5" fillId="3" borderId="2" xfId="0" applyFont="1" applyFill="1" applyBorder="1" applyAlignment="1">
      <alignment horizontal="left"/>
    </xf>
    <xf numFmtId="0" fontId="6" fillId="0" borderId="2" xfId="0" applyFont="1" applyBorder="1" applyAlignment="1">
      <alignment horizontal="left"/>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4" fillId="0" borderId="0" xfId="0" applyFont="1" applyAlignment="1">
      <alignment horizontal="left" vertical="top" wrapText="1"/>
    </xf>
    <xf numFmtId="0" fontId="10" fillId="0" borderId="7" xfId="0" applyFont="1" applyBorder="1" applyAlignment="1">
      <alignment horizontal="center" vertical="center" textRotation="90"/>
    </xf>
    <xf numFmtId="0" fontId="10" fillId="0" borderId="0" xfId="0" applyFont="1" applyAlignment="1">
      <alignment horizontal="center" vertical="center" textRotation="90"/>
    </xf>
    <xf numFmtId="0" fontId="10" fillId="0" borderId="12" xfId="0" applyFont="1" applyBorder="1" applyAlignment="1">
      <alignment horizontal="center" vertical="center" textRotation="90"/>
    </xf>
    <xf numFmtId="43" fontId="10" fillId="2" borderId="12" xfId="1" applyFont="1" applyFill="1" applyBorder="1" applyAlignment="1">
      <alignment horizontal="center"/>
    </xf>
    <xf numFmtId="166" fontId="10" fillId="2" borderId="12" xfId="0" applyNumberFormat="1" applyFont="1" applyFill="1" applyBorder="1" applyAlignment="1">
      <alignment horizontal="center"/>
    </xf>
    <xf numFmtId="166" fontId="10" fillId="2" borderId="13" xfId="0" applyNumberFormat="1" applyFont="1" applyFill="1" applyBorder="1" applyAlignment="1">
      <alignment horizontal="center"/>
    </xf>
    <xf numFmtId="164" fontId="5" fillId="2" borderId="7" xfId="1" applyNumberFormat="1" applyFont="1" applyFill="1" applyBorder="1"/>
    <xf numFmtId="0" fontId="10" fillId="0" borderId="0" xfId="0" applyFont="1" applyAlignment="1">
      <alignment horizontal="center" textRotation="90"/>
    </xf>
    <xf numFmtId="0" fontId="10" fillId="0" borderId="2" xfId="0" applyFont="1" applyBorder="1" applyAlignment="1">
      <alignment horizontal="left" vertical="center" wrapText="1"/>
    </xf>
    <xf numFmtId="0" fontId="6" fillId="0" borderId="2" xfId="0" applyFont="1" applyBorder="1" applyAlignment="1">
      <alignment horizontal="left" vertical="top" wrapText="1"/>
    </xf>
    <xf numFmtId="0" fontId="5" fillId="2" borderId="2" xfId="0" applyFont="1" applyFill="1" applyBorder="1" applyAlignment="1">
      <alignment horizontal="left" vertical="top" wrapText="1"/>
    </xf>
    <xf numFmtId="0" fontId="13" fillId="4" borderId="2" xfId="0" applyFont="1" applyFill="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3" xfId="0" applyFont="1" applyBorder="1" applyAlignment="1">
      <alignment horizontal="center" vertical="center" wrapText="1"/>
    </xf>
    <xf numFmtId="0" fontId="10" fillId="0" borderId="5" xfId="0" applyFont="1" applyBorder="1" applyAlignment="1">
      <alignment horizontal="center" vertical="center" wrapText="1"/>
    </xf>
    <xf numFmtId="4" fontId="10" fillId="0" borderId="3" xfId="0" applyNumberFormat="1" applyFont="1" applyBorder="1" applyAlignment="1">
      <alignment horizontal="center" vertical="center" wrapText="1"/>
    </xf>
    <xf numFmtId="4" fontId="10" fillId="0" borderId="5" xfId="0" applyNumberFormat="1" applyFont="1" applyBorder="1" applyAlignment="1">
      <alignment horizontal="center" vertical="center" wrapText="1"/>
    </xf>
    <xf numFmtId="0" fontId="10" fillId="2" borderId="3" xfId="0" applyFont="1" applyFill="1" applyBorder="1" applyAlignment="1">
      <alignment horizontal="left" vertical="center" wrapText="1"/>
    </xf>
    <xf numFmtId="0" fontId="10" fillId="2" borderId="4"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0" fillId="2" borderId="3" xfId="0" applyFont="1" applyFill="1" applyBorder="1" applyAlignment="1">
      <alignment horizontal="center" vertical="center" wrapText="1"/>
    </xf>
    <xf numFmtId="0" fontId="10" fillId="2" borderId="5" xfId="0" applyFont="1" applyFill="1" applyBorder="1" applyAlignment="1">
      <alignment horizontal="center" vertical="center" wrapText="1"/>
    </xf>
    <xf numFmtId="4" fontId="10" fillId="2" borderId="3" xfId="0" applyNumberFormat="1" applyFont="1" applyFill="1" applyBorder="1" applyAlignment="1">
      <alignment horizontal="center" vertical="center" wrapText="1"/>
    </xf>
    <xf numFmtId="4" fontId="10" fillId="2" borderId="5" xfId="0" applyNumberFormat="1" applyFont="1" applyFill="1" applyBorder="1" applyAlignment="1">
      <alignment horizontal="center" vertical="center" wrapText="1"/>
    </xf>
    <xf numFmtId="0" fontId="13" fillId="4" borderId="9" xfId="0" applyFont="1" applyFill="1" applyBorder="1" applyAlignment="1">
      <alignment horizontal="center" vertical="center" wrapText="1"/>
    </xf>
    <xf numFmtId="0" fontId="13" fillId="4" borderId="0" xfId="0" applyFont="1" applyFill="1" applyAlignment="1">
      <alignment horizontal="center" vertical="center" wrapText="1"/>
    </xf>
    <xf numFmtId="0" fontId="13" fillId="4" borderId="10" xfId="0" applyFont="1" applyFill="1" applyBorder="1" applyAlignment="1">
      <alignment horizontal="center" vertical="center" wrapText="1"/>
    </xf>
    <xf numFmtId="0" fontId="13" fillId="4" borderId="6"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10" fillId="3" borderId="3" xfId="0" applyFont="1" applyFill="1" applyBorder="1" applyAlignment="1">
      <alignment horizontal="left" vertical="center" wrapText="1"/>
    </xf>
    <xf numFmtId="0" fontId="10" fillId="3" borderId="4" xfId="0" applyFont="1" applyFill="1" applyBorder="1" applyAlignment="1">
      <alignment horizontal="left" vertical="center" wrapText="1"/>
    </xf>
    <xf numFmtId="0" fontId="10" fillId="3" borderId="5" xfId="0" applyFont="1" applyFill="1" applyBorder="1" applyAlignment="1">
      <alignment horizontal="left" vertical="center" wrapText="1"/>
    </xf>
    <xf numFmtId="0" fontId="9" fillId="0" borderId="2" xfId="0" applyFont="1" applyBorder="1" applyAlignment="1">
      <alignment vertical="center" wrapText="1"/>
    </xf>
    <xf numFmtId="168" fontId="9" fillId="0" borderId="2" xfId="0" applyNumberFormat="1" applyFont="1" applyBorder="1" applyAlignment="1">
      <alignment horizontal="center" vertical="center" wrapText="1"/>
    </xf>
    <xf numFmtId="165" fontId="10" fillId="0" borderId="2" xfId="2" applyNumberFormat="1" applyFont="1" applyBorder="1" applyAlignment="1">
      <alignment horizontal="center" vertical="center" wrapText="1"/>
    </xf>
    <xf numFmtId="0" fontId="10" fillId="2" borderId="2" xfId="0" applyFont="1" applyFill="1" applyBorder="1" applyAlignment="1">
      <alignment vertical="center" wrapText="1"/>
    </xf>
    <xf numFmtId="0" fontId="10" fillId="2" borderId="2" xfId="0" applyFont="1" applyFill="1" applyBorder="1" applyAlignment="1">
      <alignment horizontal="center" vertical="center" wrapText="1"/>
    </xf>
    <xf numFmtId="168" fontId="10" fillId="2" borderId="1" xfId="0" applyNumberFormat="1" applyFont="1" applyFill="1" applyBorder="1" applyAlignment="1">
      <alignment horizontal="center" vertical="center" wrapText="1"/>
    </xf>
    <xf numFmtId="165" fontId="10" fillId="0" borderId="1" xfId="2" applyNumberFormat="1" applyFont="1" applyBorder="1" applyAlignment="1">
      <alignment horizontal="center" vertical="center" wrapText="1"/>
    </xf>
    <xf numFmtId="0" fontId="10" fillId="0" borderId="2" xfId="0" applyFont="1" applyBorder="1" applyAlignment="1">
      <alignment vertical="center" wrapText="1"/>
    </xf>
    <xf numFmtId="168" fontId="10" fillId="0" borderId="1" xfId="0" applyNumberFormat="1" applyFont="1" applyBorder="1" applyAlignment="1">
      <alignment horizontal="center" vertical="center" wrapText="1"/>
    </xf>
    <xf numFmtId="4" fontId="10" fillId="0" borderId="4" xfId="0" applyNumberFormat="1" applyFont="1" applyBorder="1" applyAlignment="1">
      <alignment horizontal="center" vertical="center" wrapText="1"/>
    </xf>
    <xf numFmtId="0" fontId="10" fillId="0" borderId="4" xfId="0" applyFont="1" applyBorder="1" applyAlignment="1">
      <alignment horizontal="center" vertical="center" wrapText="1"/>
    </xf>
    <xf numFmtId="0" fontId="10" fillId="0" borderId="14" xfId="0" applyFont="1" applyBorder="1" applyAlignment="1">
      <alignment vertical="center" wrapText="1"/>
    </xf>
    <xf numFmtId="0" fontId="10" fillId="2" borderId="2" xfId="0" applyFont="1" applyFill="1" applyBorder="1" applyAlignment="1">
      <alignment horizontal="left" vertical="center" wrapText="1"/>
    </xf>
    <xf numFmtId="0" fontId="10" fillId="0" borderId="1" xfId="0" applyFont="1" applyBorder="1" applyAlignment="1">
      <alignment vertical="center" wrapText="1"/>
    </xf>
    <xf numFmtId="168" fontId="10" fillId="0" borderId="1" xfId="0" applyNumberFormat="1" applyFont="1" applyFill="1" applyBorder="1" applyAlignment="1">
      <alignment horizontal="center" vertical="center" wrapText="1"/>
    </xf>
    <xf numFmtId="0" fontId="5" fillId="0" borderId="0" xfId="0" applyFont="1" applyAlignment="1">
      <alignment horizontal="left"/>
    </xf>
    <xf numFmtId="0" fontId="5" fillId="0" borderId="0" xfId="0" applyFont="1" applyAlignment="1">
      <alignment horizontal="left" vertical="top"/>
    </xf>
    <xf numFmtId="167" fontId="5" fillId="2" borderId="0" xfId="0" applyNumberFormat="1" applyFont="1" applyFill="1" applyAlignment="1">
      <alignment horizontal="center" vertical="top"/>
    </xf>
    <xf numFmtId="0" fontId="13" fillId="4" borderId="2" xfId="0" applyFont="1" applyFill="1" applyBorder="1" applyAlignment="1">
      <alignment horizontal="center" vertical="center" wrapText="1"/>
    </xf>
    <xf numFmtId="0" fontId="10" fillId="2" borderId="2" xfId="0" applyFont="1" applyFill="1" applyBorder="1" applyAlignment="1">
      <alignment horizontal="left" vertical="top" wrapText="1"/>
    </xf>
    <xf numFmtId="3" fontId="10" fillId="0" borderId="2" xfId="0" applyNumberFormat="1" applyFont="1" applyBorder="1" applyAlignment="1">
      <alignment horizontal="center" vertical="center" wrapText="1"/>
    </xf>
    <xf numFmtId="1" fontId="10" fillId="0" borderId="2" xfId="0" applyNumberFormat="1" applyFont="1" applyBorder="1" applyAlignment="1">
      <alignment horizontal="center" vertical="center"/>
    </xf>
    <xf numFmtId="0" fontId="10" fillId="5" borderId="2" xfId="0" applyFont="1" applyFill="1" applyBorder="1" applyAlignment="1">
      <alignment horizontal="center" vertical="center" wrapText="1"/>
    </xf>
    <xf numFmtId="0" fontId="10" fillId="0" borderId="2" xfId="0" applyFont="1" applyBorder="1" applyAlignment="1">
      <alignment horizontal="left"/>
    </xf>
    <xf numFmtId="0" fontId="10" fillId="0" borderId="2" xfId="0" applyFont="1" applyBorder="1" applyAlignment="1">
      <alignment horizontal="center" vertical="center" wrapText="1"/>
    </xf>
    <xf numFmtId="0" fontId="5" fillId="0" borderId="0" xfId="0" applyFont="1" applyAlignment="1">
      <alignment horizontal="center" vertical="top"/>
    </xf>
    <xf numFmtId="167" fontId="5" fillId="0" borderId="0" xfId="0" applyNumberFormat="1" applyFont="1" applyAlignment="1">
      <alignment horizontal="center" vertical="top"/>
    </xf>
    <xf numFmtId="0" fontId="10" fillId="2" borderId="3" xfId="0" applyFont="1" applyFill="1" applyBorder="1" applyAlignment="1">
      <alignment horizontal="left"/>
    </xf>
    <xf numFmtId="0" fontId="6" fillId="0" borderId="9" xfId="0" applyFont="1" applyBorder="1" applyAlignment="1">
      <alignment horizontal="center" vertical="center"/>
    </xf>
    <xf numFmtId="0" fontId="6" fillId="0" borderId="0" xfId="0" applyFont="1" applyBorder="1" applyAlignment="1">
      <alignment horizontal="center" vertical="center"/>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9" fillId="0" borderId="2" xfId="0" applyFont="1" applyBorder="1" applyAlignment="1">
      <alignment horizontal="center" vertical="center" wrapText="1"/>
    </xf>
    <xf numFmtId="0" fontId="9" fillId="0" borderId="3" xfId="0" applyFont="1" applyBorder="1" applyAlignment="1">
      <alignment horizontal="center" vertical="center" wrapText="1"/>
    </xf>
    <xf numFmtId="0" fontId="10" fillId="2" borderId="4" xfId="0" applyFont="1" applyFill="1" applyBorder="1" applyAlignment="1">
      <alignment horizontal="left"/>
    </xf>
    <xf numFmtId="0" fontId="10" fillId="2" borderId="5" xfId="0" applyFont="1" applyFill="1" applyBorder="1" applyAlignment="1">
      <alignment horizontal="left"/>
    </xf>
    <xf numFmtId="9" fontId="10" fillId="2" borderId="2" xfId="0" applyNumberFormat="1" applyFont="1" applyFill="1" applyBorder="1" applyAlignment="1">
      <alignment horizontal="center" vertical="center"/>
    </xf>
    <xf numFmtId="0" fontId="10" fillId="2" borderId="2" xfId="0" applyFont="1" applyFill="1" applyBorder="1" applyAlignment="1">
      <alignment horizontal="center" vertical="center"/>
    </xf>
    <xf numFmtId="0" fontId="6" fillId="0" borderId="2" xfId="0" applyFont="1" applyBorder="1" applyAlignment="1">
      <alignment horizontal="left" vertical="center" wrapText="1"/>
    </xf>
    <xf numFmtId="0" fontId="5" fillId="7" borderId="3" xfId="0" applyFont="1" applyFill="1" applyBorder="1" applyAlignment="1">
      <alignment horizontal="center"/>
    </xf>
    <xf numFmtId="0" fontId="5" fillId="7" borderId="5" xfId="0" applyFont="1" applyFill="1" applyBorder="1" applyAlignment="1">
      <alignment horizontal="center"/>
    </xf>
    <xf numFmtId="10" fontId="10" fillId="2" borderId="2" xfId="0" applyNumberFormat="1" applyFont="1" applyFill="1" applyBorder="1" applyAlignment="1">
      <alignment horizontal="center" vertical="center"/>
    </xf>
    <xf numFmtId="0" fontId="9" fillId="0" borderId="7" xfId="0" applyFont="1" applyBorder="1" applyAlignment="1">
      <alignment horizontal="center" wrapText="1"/>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4"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6" fillId="3" borderId="2" xfId="0" applyFont="1" applyFill="1" applyBorder="1" applyAlignment="1">
      <alignment horizontal="center" vertical="center"/>
    </xf>
    <xf numFmtId="0" fontId="6" fillId="0" borderId="3" xfId="0" applyFont="1" applyBorder="1" applyAlignment="1">
      <alignment horizontal="left" vertical="center" wrapText="1"/>
    </xf>
    <xf numFmtId="0" fontId="6" fillId="0" borderId="4" xfId="0" applyFont="1" applyBorder="1" applyAlignment="1">
      <alignment horizontal="left" vertical="center" wrapText="1"/>
    </xf>
    <xf numFmtId="0" fontId="6" fillId="0" borderId="5" xfId="0" applyFont="1" applyBorder="1" applyAlignment="1">
      <alignment horizontal="left" vertical="center" wrapText="1"/>
    </xf>
    <xf numFmtId="0" fontId="6" fillId="0" borderId="3" xfId="0" applyFont="1" applyBorder="1" applyAlignment="1">
      <alignment horizontal="left" vertical="center"/>
    </xf>
    <xf numFmtId="0" fontId="6" fillId="0" borderId="4" xfId="0" applyFont="1" applyBorder="1" applyAlignment="1">
      <alignment horizontal="left" vertical="center"/>
    </xf>
    <xf numFmtId="0" fontId="6" fillId="0" borderId="5" xfId="0" applyFont="1" applyBorder="1" applyAlignment="1">
      <alignment horizontal="left" vertical="center"/>
    </xf>
    <xf numFmtId="0" fontId="10" fillId="2" borderId="6" xfId="0" applyFont="1" applyFill="1" applyBorder="1" applyAlignment="1">
      <alignment horizontal="left" vertical="top"/>
    </xf>
    <xf numFmtId="0" fontId="5" fillId="2" borderId="2" xfId="0" applyFont="1" applyFill="1" applyBorder="1" applyAlignment="1">
      <alignment horizontal="left" vertical="top"/>
    </xf>
    <xf numFmtId="0" fontId="9" fillId="3" borderId="2" xfId="0" applyFont="1" applyFill="1" applyBorder="1" applyAlignment="1">
      <alignment horizontal="left" vertical="center" wrapText="1"/>
    </xf>
    <xf numFmtId="0" fontId="10" fillId="6" borderId="16" xfId="0" applyFont="1" applyFill="1" applyBorder="1" applyAlignment="1">
      <alignment horizontal="center" vertical="center" wrapText="1"/>
    </xf>
    <xf numFmtId="0" fontId="10" fillId="6" borderId="17"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5" borderId="5" xfId="0" applyFont="1" applyFill="1" applyBorder="1" applyAlignment="1">
      <alignment horizontal="center" vertical="center" wrapText="1"/>
    </xf>
    <xf numFmtId="0" fontId="17" fillId="0" borderId="2" xfId="0" applyFont="1" applyBorder="1" applyAlignment="1">
      <alignment horizontal="left" vertical="center" wrapText="1"/>
    </xf>
    <xf numFmtId="0" fontId="10" fillId="5" borderId="2" xfId="0" applyFont="1" applyFill="1" applyBorder="1" applyAlignment="1">
      <alignment horizontal="left" vertical="center" wrapText="1"/>
    </xf>
    <xf numFmtId="0" fontId="10" fillId="5" borderId="3" xfId="0" applyFont="1" applyFill="1" applyBorder="1" applyAlignment="1">
      <alignment horizontal="left" vertical="center" wrapText="1"/>
    </xf>
    <xf numFmtId="0" fontId="10" fillId="5" borderId="4" xfId="0" applyFont="1" applyFill="1" applyBorder="1" applyAlignment="1">
      <alignment horizontal="left" vertical="center" wrapText="1"/>
    </xf>
    <xf numFmtId="0" fontId="10" fillId="5" borderId="5" xfId="0" applyFont="1" applyFill="1" applyBorder="1" applyAlignment="1">
      <alignment horizontal="left" vertical="center" wrapText="1"/>
    </xf>
    <xf numFmtId="0" fontId="10" fillId="5" borderId="6" xfId="0" applyFont="1" applyFill="1" applyBorder="1" applyAlignment="1">
      <alignment horizontal="left" vertical="center" wrapText="1"/>
    </xf>
    <xf numFmtId="0" fontId="10" fillId="5" borderId="7" xfId="0" applyFont="1" applyFill="1" applyBorder="1" applyAlignment="1">
      <alignment horizontal="left" vertical="center" wrapText="1"/>
    </xf>
    <xf numFmtId="0" fontId="10" fillId="5" borderId="8" xfId="0" applyFont="1" applyFill="1" applyBorder="1" applyAlignment="1">
      <alignment horizontal="left" vertical="center" wrapText="1"/>
    </xf>
    <xf numFmtId="0" fontId="6" fillId="0" borderId="11" xfId="0" applyFont="1" applyBorder="1" applyAlignment="1">
      <alignment horizontal="left" vertical="center" wrapText="1"/>
    </xf>
    <xf numFmtId="0" fontId="6" fillId="0" borderId="12" xfId="0" applyFont="1" applyBorder="1" applyAlignment="1">
      <alignment horizontal="left" vertical="center" wrapText="1"/>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9" fillId="0" borderId="6"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9" fillId="0" borderId="10" xfId="0" applyFont="1" applyBorder="1" applyAlignment="1">
      <alignment horizontal="left"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6" xfId="0" applyFont="1" applyBorder="1" applyAlignment="1">
      <alignment horizontal="center" vertical="center" wrapText="1"/>
    </xf>
    <xf numFmtId="0" fontId="9" fillId="0" borderId="8"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5" xfId="0" applyFont="1" applyBorder="1" applyAlignment="1">
      <alignment horizontal="center" vertical="center" wrapText="1"/>
    </xf>
    <xf numFmtId="0" fontId="23" fillId="0" borderId="0" xfId="0" applyFont="1" applyAlignment="1">
      <alignment horizontal="left" vertical="top" wrapText="1"/>
    </xf>
    <xf numFmtId="0" fontId="11" fillId="0" borderId="6" xfId="0" applyFont="1" applyBorder="1" applyAlignment="1">
      <alignment horizontal="right" vertical="top" wrapText="1"/>
    </xf>
    <xf numFmtId="0" fontId="11" fillId="0" borderId="7" xfId="0" applyFont="1" applyBorder="1" applyAlignment="1">
      <alignment horizontal="right" vertical="top" wrapText="1"/>
    </xf>
    <xf numFmtId="0" fontId="11" fillId="0" borderId="8" xfId="0" applyFont="1" applyBorder="1" applyAlignment="1">
      <alignment horizontal="right" vertical="top" wrapText="1"/>
    </xf>
    <xf numFmtId="0" fontId="5" fillId="2" borderId="14" xfId="0" applyFont="1" applyFill="1" applyBorder="1" applyAlignment="1">
      <alignment horizontal="left" vertical="top"/>
    </xf>
    <xf numFmtId="0" fontId="9" fillId="0" borderId="2" xfId="0" applyFont="1" applyBorder="1" applyAlignment="1">
      <alignment horizontal="left" vertical="center" wrapText="1"/>
    </xf>
    <xf numFmtId="0" fontId="9" fillId="0" borderId="14" xfId="0" applyFont="1" applyBorder="1" applyAlignment="1">
      <alignment horizontal="center" vertical="center" wrapText="1"/>
    </xf>
    <xf numFmtId="0" fontId="9" fillId="0" borderId="5" xfId="0" applyFont="1" applyBorder="1" applyAlignment="1">
      <alignment horizontal="center" vertical="center" wrapText="1"/>
    </xf>
    <xf numFmtId="0" fontId="5" fillId="0" borderId="0" xfId="0" applyFont="1" applyAlignment="1">
      <alignment horizontal="left" wrapText="1"/>
    </xf>
    <xf numFmtId="0" fontId="5" fillId="0" borderId="2" xfId="0" applyFont="1" applyBorder="1" applyAlignment="1">
      <alignment horizontal="center" vertical="center"/>
    </xf>
    <xf numFmtId="0" fontId="6" fillId="0" borderId="2" xfId="0" applyFont="1" applyBorder="1" applyAlignment="1">
      <alignment horizontal="center"/>
    </xf>
    <xf numFmtId="0" fontId="6" fillId="0" borderId="12" xfId="0" applyFont="1" applyBorder="1" applyAlignment="1">
      <alignment horizontal="center"/>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5" fillId="2" borderId="6" xfId="0" applyFont="1" applyFill="1" applyBorder="1" applyAlignment="1">
      <alignment horizontal="left" vertical="top"/>
    </xf>
    <xf numFmtId="0" fontId="5" fillId="2" borderId="7" xfId="0" applyFont="1" applyFill="1" applyBorder="1" applyAlignment="1">
      <alignment horizontal="left" vertical="top"/>
    </xf>
    <xf numFmtId="0" fontId="5" fillId="2" borderId="8" xfId="0" applyFont="1" applyFill="1" applyBorder="1" applyAlignment="1">
      <alignment horizontal="left" vertical="top"/>
    </xf>
    <xf numFmtId="0" fontId="5" fillId="2" borderId="9" xfId="0" applyFont="1" applyFill="1" applyBorder="1" applyAlignment="1">
      <alignment horizontal="left" vertical="top"/>
    </xf>
    <xf numFmtId="0" fontId="5" fillId="2" borderId="0" xfId="0" applyFont="1" applyFill="1" applyAlignment="1">
      <alignment horizontal="left" vertical="top"/>
    </xf>
    <xf numFmtId="0" fontId="5" fillId="2" borderId="10" xfId="0" applyFont="1" applyFill="1" applyBorder="1" applyAlignment="1">
      <alignment horizontal="left" vertical="top"/>
    </xf>
    <xf numFmtId="0" fontId="5" fillId="2" borderId="11" xfId="0" applyFont="1" applyFill="1" applyBorder="1" applyAlignment="1">
      <alignment horizontal="left" vertical="top"/>
    </xf>
    <xf numFmtId="0" fontId="5" fillId="2" borderId="12" xfId="0" applyFont="1" applyFill="1" applyBorder="1" applyAlignment="1">
      <alignment horizontal="left" vertical="top"/>
    </xf>
    <xf numFmtId="0" fontId="5" fillId="2" borderId="13" xfId="0" applyFont="1" applyFill="1" applyBorder="1" applyAlignment="1">
      <alignment horizontal="left" vertical="top"/>
    </xf>
    <xf numFmtId="0" fontId="5" fillId="2" borderId="6" xfId="0" applyFont="1" applyFill="1" applyBorder="1" applyAlignment="1">
      <alignment horizontal="left" vertical="top" wrapText="1"/>
    </xf>
    <xf numFmtId="0" fontId="5" fillId="2" borderId="7" xfId="0" applyFont="1" applyFill="1" applyBorder="1" applyAlignment="1">
      <alignment horizontal="left" vertical="top" wrapText="1"/>
    </xf>
    <xf numFmtId="0" fontId="5" fillId="2" borderId="8"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2" borderId="0" xfId="0" applyFont="1" applyFill="1" applyAlignment="1">
      <alignment horizontal="left" vertical="top" wrapText="1"/>
    </xf>
    <xf numFmtId="0" fontId="5" fillId="2" borderId="10"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2" borderId="12" xfId="0" applyFont="1" applyFill="1" applyBorder="1" applyAlignment="1">
      <alignment horizontal="left" vertical="top" wrapText="1"/>
    </xf>
    <xf numFmtId="0" fontId="5"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1.65</c:v>
                </c:pt>
                <c:pt idx="1">
                  <c:v>1.75</c:v>
                </c:pt>
                <c:pt idx="2">
                  <c:v>2.15</c:v>
                </c:pt>
                <c:pt idx="3">
                  <c:v>2.35</c:v>
                </c:pt>
                <c:pt idx="4">
                  <c:v>2</c:v>
                </c:pt>
                <c:pt idx="5">
                  <c:v>1.7</c:v>
                </c:pt>
                <c:pt idx="6">
                  <c:v>2</c:v>
                </c:pt>
                <c:pt idx="7">
                  <c:v>2</c:v>
                </c:pt>
                <c:pt idx="8">
                  <c:v>1.9</c:v>
                </c:pt>
                <c:pt idx="9">
                  <c:v>2.2000000000000002</c:v>
                </c:pt>
                <c:pt idx="10">
                  <c:v>1.75</c:v>
                </c:pt>
                <c:pt idx="11">
                  <c:v>1.7</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5.3</c:v>
                </c:pt>
                <c:pt idx="1">
                  <c:v>16.2</c:v>
                </c:pt>
                <c:pt idx="2">
                  <c:v>13.6</c:v>
                </c:pt>
                <c:pt idx="3">
                  <c:v>24.1</c:v>
                </c:pt>
                <c:pt idx="4">
                  <c:v>12.5</c:v>
                </c:pt>
                <c:pt idx="5">
                  <c:v>11.5</c:v>
                </c:pt>
                <c:pt idx="6">
                  <c:v>7.6</c:v>
                </c:pt>
                <c:pt idx="7">
                  <c:v>12.9</c:v>
                </c:pt>
                <c:pt idx="8">
                  <c:v>21.2</c:v>
                </c:pt>
                <c:pt idx="9">
                  <c:v>13.9</c:v>
                </c:pt>
                <c:pt idx="10">
                  <c:v>8.8000000000000007</c:v>
                </c:pt>
                <c:pt idx="11">
                  <c:v>12.6</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1.55</c:v>
                </c:pt>
                <c:pt idx="1">
                  <c:v>1.7</c:v>
                </c:pt>
                <c:pt idx="2">
                  <c:v>2.1</c:v>
                </c:pt>
                <c:pt idx="3">
                  <c:v>2.2999999999999998</c:v>
                </c:pt>
                <c:pt idx="4">
                  <c:v>1.85</c:v>
                </c:pt>
                <c:pt idx="5">
                  <c:v>1.6</c:v>
                </c:pt>
                <c:pt idx="6">
                  <c:v>2</c:v>
                </c:pt>
                <c:pt idx="7">
                  <c:v>1.9</c:v>
                </c:pt>
                <c:pt idx="8">
                  <c:v>1.85</c:v>
                </c:pt>
                <c:pt idx="9">
                  <c:v>2.15</c:v>
                </c:pt>
                <c:pt idx="10">
                  <c:v>1.7</c:v>
                </c:pt>
                <c:pt idx="11">
                  <c:v>1.65</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2.1</c:v>
                </c:pt>
                <c:pt idx="1">
                  <c:v>4</c:v>
                </c:pt>
                <c:pt idx="2">
                  <c:v>3.6</c:v>
                </c:pt>
                <c:pt idx="3">
                  <c:v>3.6</c:v>
                </c:pt>
                <c:pt idx="4">
                  <c:v>3.5</c:v>
                </c:pt>
                <c:pt idx="5">
                  <c:v>3</c:v>
                </c:pt>
                <c:pt idx="6">
                  <c:v>3.4</c:v>
                </c:pt>
                <c:pt idx="7">
                  <c:v>3.2</c:v>
                </c:pt>
                <c:pt idx="8">
                  <c:v>2.7</c:v>
                </c:pt>
                <c:pt idx="9">
                  <c:v>4.3</c:v>
                </c:pt>
                <c:pt idx="10">
                  <c:v>2.8</c:v>
                </c:pt>
                <c:pt idx="11">
                  <c:v>2.2999999999999998</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155101824"/>
        <c:axId val="155103616"/>
      </c:lineChart>
      <c:catAx>
        <c:axId val="155101824"/>
        <c:scaling>
          <c:orientation val="minMax"/>
        </c:scaling>
        <c:delete val="0"/>
        <c:axPos val="b"/>
        <c:numFmt formatCode="General" sourceLinked="1"/>
        <c:majorTickMark val="out"/>
        <c:minorTickMark val="none"/>
        <c:tickLblPos val="nextTo"/>
        <c:crossAx val="155103616"/>
        <c:crosses val="autoZero"/>
        <c:auto val="1"/>
        <c:lblAlgn val="ctr"/>
        <c:lblOffset val="100"/>
        <c:noMultiLvlLbl val="0"/>
      </c:catAx>
      <c:valAx>
        <c:axId val="15510361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15510182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1.2</c:v>
                </c:pt>
                <c:pt idx="1">
                  <c:v>1.25</c:v>
                </c:pt>
                <c:pt idx="2">
                  <c:v>1.55</c:v>
                </c:pt>
                <c:pt idx="3">
                  <c:v>1.35</c:v>
                </c:pt>
                <c:pt idx="4">
                  <c:v>1</c:v>
                </c:pt>
                <c:pt idx="5">
                  <c:v>1</c:v>
                </c:pt>
                <c:pt idx="6">
                  <c:v>0.65</c:v>
                </c:pt>
                <c:pt idx="7">
                  <c:v>0.95</c:v>
                </c:pt>
                <c:pt idx="8">
                  <c:v>0.6</c:v>
                </c:pt>
                <c:pt idx="9">
                  <c:v>0.55000000000000004</c:v>
                </c:pt>
                <c:pt idx="10">
                  <c:v>1</c:v>
                </c:pt>
                <c:pt idx="11">
                  <c:v>1.05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23.4</c:v>
                </c:pt>
                <c:pt idx="1">
                  <c:v>20.2</c:v>
                </c:pt>
                <c:pt idx="2">
                  <c:v>36.4</c:v>
                </c:pt>
                <c:pt idx="3">
                  <c:v>14.3</c:v>
                </c:pt>
                <c:pt idx="4">
                  <c:v>34.200000000000003</c:v>
                </c:pt>
                <c:pt idx="5">
                  <c:v>13.1</c:v>
                </c:pt>
                <c:pt idx="6">
                  <c:v>15.8</c:v>
                </c:pt>
                <c:pt idx="7">
                  <c:v>14.2</c:v>
                </c:pt>
                <c:pt idx="8">
                  <c:v>6.2</c:v>
                </c:pt>
                <c:pt idx="9">
                  <c:v>12</c:v>
                </c:pt>
                <c:pt idx="10">
                  <c:v>31.7</c:v>
                </c:pt>
                <c:pt idx="11">
                  <c:v>16.399999999999999</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1.1499999999999999</c:v>
                </c:pt>
                <c:pt idx="1">
                  <c:v>1.25</c:v>
                </c:pt>
                <c:pt idx="2">
                  <c:v>1.5</c:v>
                </c:pt>
                <c:pt idx="3">
                  <c:v>1.25</c:v>
                </c:pt>
                <c:pt idx="4">
                  <c:v>0.95</c:v>
                </c:pt>
                <c:pt idx="5">
                  <c:v>1</c:v>
                </c:pt>
                <c:pt idx="6">
                  <c:v>0.6</c:v>
                </c:pt>
                <c:pt idx="7">
                  <c:v>0.85</c:v>
                </c:pt>
                <c:pt idx="8">
                  <c:v>0.6</c:v>
                </c:pt>
                <c:pt idx="9">
                  <c:v>0.5</c:v>
                </c:pt>
                <c:pt idx="10">
                  <c:v>0.95</c:v>
                </c:pt>
                <c:pt idx="11">
                  <c:v>1</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4.3</c:v>
                </c:pt>
                <c:pt idx="1">
                  <c:v>3.8</c:v>
                </c:pt>
                <c:pt idx="2">
                  <c:v>4.2</c:v>
                </c:pt>
                <c:pt idx="3">
                  <c:v>3.1</c:v>
                </c:pt>
                <c:pt idx="4">
                  <c:v>2.8</c:v>
                </c:pt>
                <c:pt idx="5">
                  <c:v>2.6</c:v>
                </c:pt>
                <c:pt idx="6">
                  <c:v>2.8</c:v>
                </c:pt>
                <c:pt idx="7">
                  <c:v>2.5</c:v>
                </c:pt>
                <c:pt idx="8">
                  <c:v>1.6</c:v>
                </c:pt>
                <c:pt idx="9">
                  <c:v>1.6</c:v>
                </c:pt>
                <c:pt idx="10">
                  <c:v>7.1</c:v>
                </c:pt>
                <c:pt idx="11">
                  <c:v>2.2999999999999998</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130826624"/>
        <c:axId val="130828160"/>
      </c:lineChart>
      <c:catAx>
        <c:axId val="130826624"/>
        <c:scaling>
          <c:orientation val="minMax"/>
        </c:scaling>
        <c:delete val="0"/>
        <c:axPos val="b"/>
        <c:numFmt formatCode="General" sourceLinked="1"/>
        <c:majorTickMark val="out"/>
        <c:minorTickMark val="none"/>
        <c:tickLblPos val="nextTo"/>
        <c:crossAx val="130828160"/>
        <c:crosses val="autoZero"/>
        <c:auto val="1"/>
        <c:lblAlgn val="ctr"/>
        <c:lblOffset val="100"/>
        <c:noMultiLvlLbl val="0"/>
      </c:catAx>
      <c:valAx>
        <c:axId val="1308281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13082662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7</c:v>
                </c:pt>
                <c:pt idx="1">
                  <c:v>7.65</c:v>
                </c:pt>
                <c:pt idx="2">
                  <c:v>8.1999999999999993</c:v>
                </c:pt>
                <c:pt idx="3">
                  <c:v>7.75</c:v>
                </c:pt>
                <c:pt idx="4">
                  <c:v>7.05</c:v>
                </c:pt>
                <c:pt idx="5">
                  <c:v>7</c:v>
                </c:pt>
                <c:pt idx="6">
                  <c:v>6.5</c:v>
                </c:pt>
                <c:pt idx="7">
                  <c:v>6.8</c:v>
                </c:pt>
                <c:pt idx="8">
                  <c:v>6.15</c:v>
                </c:pt>
                <c:pt idx="9">
                  <c:v>10.85</c:v>
                </c:pt>
                <c:pt idx="10">
                  <c:v>14.45</c:v>
                </c:pt>
                <c:pt idx="11">
                  <c:v>15.3</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25.5</c:v>
                </c:pt>
                <c:pt idx="1">
                  <c:v>26.5</c:v>
                </c:pt>
                <c:pt idx="2">
                  <c:v>57.8</c:v>
                </c:pt>
                <c:pt idx="3">
                  <c:v>43.7</c:v>
                </c:pt>
                <c:pt idx="4">
                  <c:v>48.9</c:v>
                </c:pt>
                <c:pt idx="5">
                  <c:v>30.9</c:v>
                </c:pt>
                <c:pt idx="6">
                  <c:v>22</c:v>
                </c:pt>
                <c:pt idx="7">
                  <c:v>23.5</c:v>
                </c:pt>
                <c:pt idx="8">
                  <c:v>20.3</c:v>
                </c:pt>
                <c:pt idx="9">
                  <c:v>38.700000000000003</c:v>
                </c:pt>
                <c:pt idx="10">
                  <c:v>41.3</c:v>
                </c:pt>
                <c:pt idx="11">
                  <c:v>50.4</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6.95</c:v>
                </c:pt>
                <c:pt idx="1">
                  <c:v>7.65</c:v>
                </c:pt>
                <c:pt idx="2">
                  <c:v>8</c:v>
                </c:pt>
                <c:pt idx="3">
                  <c:v>7.55</c:v>
                </c:pt>
                <c:pt idx="4">
                  <c:v>6.9</c:v>
                </c:pt>
                <c:pt idx="5">
                  <c:v>7</c:v>
                </c:pt>
                <c:pt idx="6">
                  <c:v>6.4</c:v>
                </c:pt>
                <c:pt idx="7">
                  <c:v>6.8</c:v>
                </c:pt>
                <c:pt idx="8">
                  <c:v>6.15</c:v>
                </c:pt>
                <c:pt idx="9">
                  <c:v>10.8</c:v>
                </c:pt>
                <c:pt idx="10">
                  <c:v>14.4</c:v>
                </c:pt>
                <c:pt idx="11">
                  <c:v>15.2</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8.9</c:v>
                </c:pt>
                <c:pt idx="1">
                  <c:v>9.9</c:v>
                </c:pt>
                <c:pt idx="2">
                  <c:v>11.8</c:v>
                </c:pt>
                <c:pt idx="3">
                  <c:v>12</c:v>
                </c:pt>
                <c:pt idx="4">
                  <c:v>11</c:v>
                </c:pt>
                <c:pt idx="5">
                  <c:v>8.4</c:v>
                </c:pt>
                <c:pt idx="6">
                  <c:v>8.3000000000000007</c:v>
                </c:pt>
                <c:pt idx="7">
                  <c:v>10.3</c:v>
                </c:pt>
                <c:pt idx="8">
                  <c:v>8.1</c:v>
                </c:pt>
                <c:pt idx="9">
                  <c:v>26.6</c:v>
                </c:pt>
                <c:pt idx="10">
                  <c:v>27.6</c:v>
                </c:pt>
                <c:pt idx="11">
                  <c:v>32.799999999999997</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134408448"/>
        <c:axId val="135860224"/>
      </c:lineChart>
      <c:catAx>
        <c:axId val="134408448"/>
        <c:scaling>
          <c:orientation val="minMax"/>
        </c:scaling>
        <c:delete val="0"/>
        <c:axPos val="b"/>
        <c:numFmt formatCode="General" sourceLinked="1"/>
        <c:majorTickMark val="out"/>
        <c:minorTickMark val="none"/>
        <c:tickLblPos val="nextTo"/>
        <c:crossAx val="135860224"/>
        <c:crosses val="autoZero"/>
        <c:auto val="1"/>
        <c:lblAlgn val="ctr"/>
        <c:lblOffset val="100"/>
        <c:noMultiLvlLbl val="0"/>
      </c:catAx>
      <c:valAx>
        <c:axId val="13586022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13440844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181.55</c:v>
                </c:pt>
                <c:pt idx="1">
                  <c:v>185.15</c:v>
                </c:pt>
                <c:pt idx="2">
                  <c:v>184.75</c:v>
                </c:pt>
                <c:pt idx="3">
                  <c:v>190.25</c:v>
                </c:pt>
                <c:pt idx="4">
                  <c:v>185.9</c:v>
                </c:pt>
                <c:pt idx="5">
                  <c:v>169.7</c:v>
                </c:pt>
                <c:pt idx="6">
                  <c:v>183.1</c:v>
                </c:pt>
                <c:pt idx="7">
                  <c:v>182.25</c:v>
                </c:pt>
                <c:pt idx="8">
                  <c:v>190.9</c:v>
                </c:pt>
                <c:pt idx="9">
                  <c:v>176.5</c:v>
                </c:pt>
                <c:pt idx="10">
                  <c:v>156.25</c:v>
                </c:pt>
                <c:pt idx="11">
                  <c:v>157.05000000000001</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273.8</c:v>
                </c:pt>
                <c:pt idx="1">
                  <c:v>293.5</c:v>
                </c:pt>
                <c:pt idx="2">
                  <c:v>288.2</c:v>
                </c:pt>
                <c:pt idx="3">
                  <c:v>326.2</c:v>
                </c:pt>
                <c:pt idx="4">
                  <c:v>283.10000000000002</c:v>
                </c:pt>
                <c:pt idx="5">
                  <c:v>240.3</c:v>
                </c:pt>
                <c:pt idx="6">
                  <c:v>275.2</c:v>
                </c:pt>
                <c:pt idx="7">
                  <c:v>290.60000000000002</c:v>
                </c:pt>
                <c:pt idx="8">
                  <c:v>291.3</c:v>
                </c:pt>
                <c:pt idx="9">
                  <c:v>322.39999999999998</c:v>
                </c:pt>
                <c:pt idx="10">
                  <c:v>268.8</c:v>
                </c:pt>
                <c:pt idx="11">
                  <c:v>255.3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182.75</c:v>
                </c:pt>
                <c:pt idx="1">
                  <c:v>186.4</c:v>
                </c:pt>
                <c:pt idx="2">
                  <c:v>186.3</c:v>
                </c:pt>
                <c:pt idx="3">
                  <c:v>190.95</c:v>
                </c:pt>
                <c:pt idx="4">
                  <c:v>188.4</c:v>
                </c:pt>
                <c:pt idx="5">
                  <c:v>171.9</c:v>
                </c:pt>
                <c:pt idx="6">
                  <c:v>182.2</c:v>
                </c:pt>
                <c:pt idx="7">
                  <c:v>185.7</c:v>
                </c:pt>
                <c:pt idx="8">
                  <c:v>192.75</c:v>
                </c:pt>
                <c:pt idx="9">
                  <c:v>178.15</c:v>
                </c:pt>
                <c:pt idx="10">
                  <c:v>156.80000000000001</c:v>
                </c:pt>
                <c:pt idx="11">
                  <c:v>158.05000000000001</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219.1</c:v>
                </c:pt>
                <c:pt idx="1">
                  <c:v>227.8</c:v>
                </c:pt>
                <c:pt idx="2">
                  <c:v>242.1</c:v>
                </c:pt>
                <c:pt idx="3">
                  <c:v>229.4</c:v>
                </c:pt>
                <c:pt idx="4">
                  <c:v>252.4</c:v>
                </c:pt>
                <c:pt idx="5">
                  <c:v>190.9</c:v>
                </c:pt>
                <c:pt idx="6">
                  <c:v>233.4</c:v>
                </c:pt>
                <c:pt idx="7">
                  <c:v>236.7</c:v>
                </c:pt>
                <c:pt idx="8">
                  <c:v>242</c:v>
                </c:pt>
                <c:pt idx="9">
                  <c:v>281.2</c:v>
                </c:pt>
                <c:pt idx="10">
                  <c:v>220.5</c:v>
                </c:pt>
                <c:pt idx="11">
                  <c:v>216.3</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135926144"/>
        <c:axId val="135927680"/>
      </c:lineChart>
      <c:catAx>
        <c:axId val="135926144"/>
        <c:scaling>
          <c:orientation val="minMax"/>
        </c:scaling>
        <c:delete val="0"/>
        <c:axPos val="b"/>
        <c:numFmt formatCode="General" sourceLinked="1"/>
        <c:majorTickMark val="out"/>
        <c:minorTickMark val="none"/>
        <c:tickLblPos val="nextTo"/>
        <c:crossAx val="135927680"/>
        <c:crosses val="autoZero"/>
        <c:auto val="1"/>
        <c:lblAlgn val="ctr"/>
        <c:lblOffset val="100"/>
        <c:noMultiLvlLbl val="0"/>
      </c:catAx>
      <c:valAx>
        <c:axId val="13592768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1359261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0.45</c:v>
                </c:pt>
                <c:pt idx="1">
                  <c:v>0.4</c:v>
                </c:pt>
                <c:pt idx="2">
                  <c:v>0.45</c:v>
                </c:pt>
                <c:pt idx="3">
                  <c:v>0.5</c:v>
                </c:pt>
                <c:pt idx="4">
                  <c:v>0.45</c:v>
                </c:pt>
                <c:pt idx="5">
                  <c:v>1.8</c:v>
                </c:pt>
                <c:pt idx="6">
                  <c:v>2.4</c:v>
                </c:pt>
                <c:pt idx="7">
                  <c:v>1.8</c:v>
                </c:pt>
                <c:pt idx="8">
                  <c:v>1.6</c:v>
                </c:pt>
                <c:pt idx="9">
                  <c:v>1.95</c:v>
                </c:pt>
                <c:pt idx="10">
                  <c:v>1.25</c:v>
                </c:pt>
                <c:pt idx="11">
                  <c:v>0.6</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0.8</c:v>
                </c:pt>
                <c:pt idx="1">
                  <c:v>1.2</c:v>
                </c:pt>
                <c:pt idx="2">
                  <c:v>1.2</c:v>
                </c:pt>
                <c:pt idx="3">
                  <c:v>0.9</c:v>
                </c:pt>
                <c:pt idx="4">
                  <c:v>1.3</c:v>
                </c:pt>
                <c:pt idx="5">
                  <c:v>2.5</c:v>
                </c:pt>
                <c:pt idx="6">
                  <c:v>7.8</c:v>
                </c:pt>
                <c:pt idx="7">
                  <c:v>5</c:v>
                </c:pt>
                <c:pt idx="8">
                  <c:v>3.3</c:v>
                </c:pt>
                <c:pt idx="9">
                  <c:v>12.5</c:v>
                </c:pt>
                <c:pt idx="10">
                  <c:v>9.5</c:v>
                </c:pt>
                <c:pt idx="11">
                  <c:v>5.0999999999999996</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0.4</c:v>
                </c:pt>
                <c:pt idx="1">
                  <c:v>0.4</c:v>
                </c:pt>
                <c:pt idx="2">
                  <c:v>0.4</c:v>
                </c:pt>
                <c:pt idx="3">
                  <c:v>0.4</c:v>
                </c:pt>
                <c:pt idx="4">
                  <c:v>0.4</c:v>
                </c:pt>
                <c:pt idx="5">
                  <c:v>1.8</c:v>
                </c:pt>
                <c:pt idx="6">
                  <c:v>2.35</c:v>
                </c:pt>
                <c:pt idx="7">
                  <c:v>1.8</c:v>
                </c:pt>
                <c:pt idx="8">
                  <c:v>1.55</c:v>
                </c:pt>
                <c:pt idx="9">
                  <c:v>1.9</c:v>
                </c:pt>
                <c:pt idx="10">
                  <c:v>1.25</c:v>
                </c:pt>
                <c:pt idx="11">
                  <c:v>0.6</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0.6</c:v>
                </c:pt>
                <c:pt idx="1">
                  <c:v>0.7</c:v>
                </c:pt>
                <c:pt idx="2">
                  <c:v>0.7</c:v>
                </c:pt>
                <c:pt idx="3">
                  <c:v>0.7</c:v>
                </c:pt>
                <c:pt idx="4">
                  <c:v>0.7</c:v>
                </c:pt>
                <c:pt idx="5">
                  <c:v>2.1</c:v>
                </c:pt>
                <c:pt idx="6">
                  <c:v>4.7</c:v>
                </c:pt>
                <c:pt idx="7">
                  <c:v>4</c:v>
                </c:pt>
                <c:pt idx="8">
                  <c:v>2.6</c:v>
                </c:pt>
                <c:pt idx="9">
                  <c:v>5.4</c:v>
                </c:pt>
                <c:pt idx="10">
                  <c:v>4.8</c:v>
                </c:pt>
                <c:pt idx="11">
                  <c:v>2.7</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155173632"/>
        <c:axId val="155175168"/>
      </c:lineChart>
      <c:catAx>
        <c:axId val="155173632"/>
        <c:scaling>
          <c:orientation val="minMax"/>
        </c:scaling>
        <c:delete val="0"/>
        <c:axPos val="b"/>
        <c:numFmt formatCode="General" sourceLinked="1"/>
        <c:majorTickMark val="out"/>
        <c:minorTickMark val="none"/>
        <c:tickLblPos val="nextTo"/>
        <c:crossAx val="155175168"/>
        <c:crosses val="autoZero"/>
        <c:auto val="1"/>
        <c:lblAlgn val="ctr"/>
        <c:lblOffset val="100"/>
        <c:noMultiLvlLbl val="0"/>
      </c:catAx>
      <c:valAx>
        <c:axId val="15517516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15517363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3.6</c:v>
                </c:pt>
                <c:pt idx="1">
                  <c:v>3.75</c:v>
                </c:pt>
                <c:pt idx="2">
                  <c:v>4.4000000000000004</c:v>
                </c:pt>
                <c:pt idx="3">
                  <c:v>4.5</c:v>
                </c:pt>
                <c:pt idx="4">
                  <c:v>3.75</c:v>
                </c:pt>
                <c:pt idx="5">
                  <c:v>2.8</c:v>
                </c:pt>
                <c:pt idx="6">
                  <c:v>6.05</c:v>
                </c:pt>
                <c:pt idx="7">
                  <c:v>4.45</c:v>
                </c:pt>
                <c:pt idx="8">
                  <c:v>3.9</c:v>
                </c:pt>
                <c:pt idx="9">
                  <c:v>7.15</c:v>
                </c:pt>
                <c:pt idx="10">
                  <c:v>5</c:v>
                </c:pt>
                <c:pt idx="11">
                  <c:v>5.9</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85</c:v>
                </c:pt>
                <c:pt idx="1">
                  <c:v>85.9</c:v>
                </c:pt>
                <c:pt idx="2">
                  <c:v>143.69999999999999</c:v>
                </c:pt>
                <c:pt idx="3">
                  <c:v>94.5</c:v>
                </c:pt>
                <c:pt idx="4">
                  <c:v>211.4</c:v>
                </c:pt>
                <c:pt idx="5">
                  <c:v>63.9</c:v>
                </c:pt>
                <c:pt idx="6">
                  <c:v>113</c:v>
                </c:pt>
                <c:pt idx="7">
                  <c:v>130.9</c:v>
                </c:pt>
                <c:pt idx="8">
                  <c:v>80.599999999999994</c:v>
                </c:pt>
                <c:pt idx="9">
                  <c:v>118.9</c:v>
                </c:pt>
                <c:pt idx="10">
                  <c:v>73.900000000000006</c:v>
                </c:pt>
                <c:pt idx="11">
                  <c:v>147.4</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pt idx="0">
                  <c:v>3.5</c:v>
                </c:pt>
                <c:pt idx="1">
                  <c:v>3.75</c:v>
                </c:pt>
                <c:pt idx="2">
                  <c:v>4.2</c:v>
                </c:pt>
                <c:pt idx="3">
                  <c:v>4.4000000000000004</c:v>
                </c:pt>
                <c:pt idx="4">
                  <c:v>3.55</c:v>
                </c:pt>
                <c:pt idx="5">
                  <c:v>2.7</c:v>
                </c:pt>
                <c:pt idx="6">
                  <c:v>5.85</c:v>
                </c:pt>
                <c:pt idx="7">
                  <c:v>4.5</c:v>
                </c:pt>
                <c:pt idx="8">
                  <c:v>3.8</c:v>
                </c:pt>
                <c:pt idx="9">
                  <c:v>7.2</c:v>
                </c:pt>
                <c:pt idx="10">
                  <c:v>4.95</c:v>
                </c:pt>
                <c:pt idx="11">
                  <c:v>5.9</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8.4</c:v>
                </c:pt>
                <c:pt idx="1">
                  <c:v>9.3000000000000007</c:v>
                </c:pt>
                <c:pt idx="2">
                  <c:v>11</c:v>
                </c:pt>
                <c:pt idx="3">
                  <c:v>12.8</c:v>
                </c:pt>
                <c:pt idx="4">
                  <c:v>7.8</c:v>
                </c:pt>
                <c:pt idx="5">
                  <c:v>6.3</c:v>
                </c:pt>
                <c:pt idx="6">
                  <c:v>12.2</c:v>
                </c:pt>
                <c:pt idx="7">
                  <c:v>15.3</c:v>
                </c:pt>
                <c:pt idx="8">
                  <c:v>11.5</c:v>
                </c:pt>
                <c:pt idx="9">
                  <c:v>20.5</c:v>
                </c:pt>
                <c:pt idx="10">
                  <c:v>16.399999999999999</c:v>
                </c:pt>
                <c:pt idx="11">
                  <c:v>14.7</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129313024"/>
        <c:axId val="129335296"/>
      </c:lineChart>
      <c:catAx>
        <c:axId val="129313024"/>
        <c:scaling>
          <c:orientation val="minMax"/>
        </c:scaling>
        <c:delete val="0"/>
        <c:axPos val="b"/>
        <c:numFmt formatCode="General" sourceLinked="1"/>
        <c:majorTickMark val="out"/>
        <c:minorTickMark val="none"/>
        <c:tickLblPos val="nextTo"/>
        <c:crossAx val="129335296"/>
        <c:crosses val="autoZero"/>
        <c:auto val="1"/>
        <c:lblAlgn val="ctr"/>
        <c:lblOffset val="100"/>
        <c:noMultiLvlLbl val="0"/>
      </c:catAx>
      <c:valAx>
        <c:axId val="1293352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12931302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135811456"/>
        <c:axId val="135812992"/>
      </c:lineChart>
      <c:catAx>
        <c:axId val="135811456"/>
        <c:scaling>
          <c:orientation val="minMax"/>
        </c:scaling>
        <c:delete val="0"/>
        <c:axPos val="b"/>
        <c:numFmt formatCode="General" sourceLinked="1"/>
        <c:majorTickMark val="out"/>
        <c:minorTickMark val="none"/>
        <c:tickLblPos val="nextTo"/>
        <c:crossAx val="135812992"/>
        <c:crosses val="autoZero"/>
        <c:auto val="1"/>
        <c:lblAlgn val="ctr"/>
        <c:lblOffset val="100"/>
        <c:noMultiLvlLbl val="0"/>
      </c:catAx>
      <c:valAx>
        <c:axId val="13581299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13581145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156371200"/>
        <c:axId val="156372992"/>
      </c:lineChart>
      <c:catAx>
        <c:axId val="156371200"/>
        <c:scaling>
          <c:orientation val="minMax"/>
        </c:scaling>
        <c:delete val="0"/>
        <c:axPos val="b"/>
        <c:numFmt formatCode="General" sourceLinked="1"/>
        <c:majorTickMark val="out"/>
        <c:minorTickMark val="none"/>
        <c:tickLblPos val="nextTo"/>
        <c:crossAx val="156372992"/>
        <c:crosses val="autoZero"/>
        <c:auto val="1"/>
        <c:lblAlgn val="ctr"/>
        <c:lblOffset val="100"/>
        <c:noMultiLvlLbl val="0"/>
      </c:catAx>
      <c:valAx>
        <c:axId val="15637299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15637120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cid:053799e1-4884-4550-80d8-0346fc119cd6@addenbrookes.nhs.uk"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9525</xdr:rowOff>
    </xdr:from>
    <xdr:to>
      <xdr:col>9</xdr:col>
      <xdr:colOff>9524</xdr:colOff>
      <xdr:row>24</xdr:row>
      <xdr:rowOff>9525</xdr:rowOff>
    </xdr:to>
    <xdr:pic>
      <xdr:nvPicPr>
        <xdr:cNvPr id="6" name="Picture 5" descr="cid:053799e1-4884-4550-80d8-0346fc119cd6@addenbrookes.nhs.uk"/>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619125" y="1343025"/>
          <a:ext cx="5314949" cy="3248025"/>
        </a:xfrm>
        <a:prstGeom prst="rect">
          <a:avLst/>
        </a:prstGeom>
        <a:noFill/>
        <a:ln>
          <a:noFill/>
        </a:ln>
      </xdr:spPr>
    </xdr:pic>
    <xdr:clientData/>
  </xdr:twoCellAnchor>
  <xdr:twoCellAnchor editAs="oneCell">
    <xdr:from>
      <xdr:col>3</xdr:col>
      <xdr:colOff>361950</xdr:colOff>
      <xdr:row>1</xdr:row>
      <xdr:rowOff>19050</xdr:rowOff>
    </xdr:from>
    <xdr:to>
      <xdr:col>6</xdr:col>
      <xdr:colOff>447674</xdr:colOff>
      <xdr:row>4</xdr:row>
      <xdr:rowOff>47625</xdr:rowOff>
    </xdr:to>
    <xdr:pic>
      <xdr:nvPicPr>
        <xdr:cNvPr id="7" name="Picture 6"/>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71750" y="209550"/>
          <a:ext cx="1943099" cy="6000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Jonathan.patman@nhs.net"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1:P53"/>
  <sheetViews>
    <sheetView showGridLines="0" tabSelected="1" zoomScaleNormal="100" workbookViewId="0">
      <selection activeCell="K25" sqref="K25"/>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x14ac:dyDescent="0.2">
      <c r="D1" s="179" t="s">
        <v>8</v>
      </c>
      <c r="E1" s="179"/>
      <c r="F1" s="179"/>
      <c r="G1" s="179"/>
    </row>
    <row r="2" spans="2:16" x14ac:dyDescent="0.2">
      <c r="D2" s="179"/>
      <c r="E2" s="179"/>
      <c r="F2" s="179"/>
      <c r="G2" s="179"/>
      <c r="N2" s="159" t="s">
        <v>357</v>
      </c>
      <c r="P2" s="160"/>
    </row>
    <row r="3" spans="2:16" x14ac:dyDescent="0.2">
      <c r="D3" s="179"/>
      <c r="E3" s="179"/>
      <c r="F3" s="179"/>
      <c r="G3" s="179"/>
      <c r="N3" s="160"/>
    </row>
    <row r="4" spans="2:16" x14ac:dyDescent="0.2">
      <c r="D4" s="179"/>
      <c r="E4" s="179"/>
      <c r="F4" s="179"/>
      <c r="G4" s="179"/>
    </row>
    <row r="5" spans="2:16" x14ac:dyDescent="0.2">
      <c r="D5" s="179"/>
      <c r="E5" s="179"/>
      <c r="F5" s="179"/>
      <c r="G5" s="179"/>
    </row>
    <row r="6" spans="2:16" x14ac:dyDescent="0.2">
      <c r="D6" s="179"/>
      <c r="E6" s="179"/>
      <c r="F6" s="179"/>
      <c r="G6" s="179"/>
    </row>
    <row r="8" spans="2:16" ht="15.75" customHeight="1" x14ac:dyDescent="0.2">
      <c r="B8" s="179" t="s">
        <v>9</v>
      </c>
      <c r="C8" s="179"/>
      <c r="D8" s="179"/>
      <c r="E8" s="179"/>
      <c r="F8" s="179"/>
      <c r="G8" s="179"/>
      <c r="H8" s="179"/>
      <c r="I8" s="179"/>
      <c r="N8" s="130"/>
    </row>
    <row r="9" spans="2:16" x14ac:dyDescent="0.2">
      <c r="B9" s="179"/>
      <c r="C9" s="179"/>
      <c r="D9" s="179"/>
      <c r="E9" s="179"/>
      <c r="F9" s="179"/>
      <c r="G9" s="179"/>
      <c r="H9" s="179"/>
      <c r="I9" s="179"/>
    </row>
    <row r="10" spans="2:16" x14ac:dyDescent="0.2">
      <c r="B10" s="179"/>
      <c r="C10" s="179"/>
      <c r="D10" s="179"/>
      <c r="E10" s="179"/>
      <c r="F10" s="179"/>
      <c r="G10" s="179"/>
      <c r="H10" s="179"/>
      <c r="I10" s="179"/>
    </row>
    <row r="11" spans="2:16" x14ac:dyDescent="0.2">
      <c r="B11" s="179"/>
      <c r="C11" s="179"/>
      <c r="D11" s="179"/>
      <c r="E11" s="179"/>
      <c r="F11" s="179"/>
      <c r="G11" s="179"/>
      <c r="H11" s="179"/>
      <c r="I11" s="179"/>
    </row>
    <row r="12" spans="2:16" x14ac:dyDescent="0.2">
      <c r="B12" s="179"/>
      <c r="C12" s="179"/>
      <c r="D12" s="179"/>
      <c r="E12" s="179"/>
      <c r="F12" s="179"/>
      <c r="G12" s="179"/>
      <c r="H12" s="179"/>
      <c r="I12" s="179"/>
    </row>
    <row r="13" spans="2:16" x14ac:dyDescent="0.2">
      <c r="B13" s="179"/>
      <c r="C13" s="179"/>
      <c r="D13" s="179"/>
      <c r="E13" s="179"/>
      <c r="F13" s="179"/>
      <c r="G13" s="179"/>
      <c r="H13" s="179"/>
      <c r="I13" s="179"/>
      <c r="N13" s="140" t="s">
        <v>315</v>
      </c>
      <c r="O13" s="138"/>
      <c r="P13" s="138"/>
    </row>
    <row r="14" spans="2:16" ht="15.6" customHeight="1" x14ac:dyDescent="0.2">
      <c r="B14" s="179"/>
      <c r="C14" s="179"/>
      <c r="D14" s="179"/>
      <c r="E14" s="179"/>
      <c r="F14" s="179"/>
      <c r="G14" s="179"/>
      <c r="H14" s="179"/>
      <c r="I14" s="179"/>
      <c r="N14" s="177" t="s">
        <v>319</v>
      </c>
      <c r="O14" s="177"/>
      <c r="P14" s="177"/>
    </row>
    <row r="15" spans="2:16" x14ac:dyDescent="0.2">
      <c r="B15" s="179"/>
      <c r="C15" s="179"/>
      <c r="D15" s="179"/>
      <c r="E15" s="179"/>
      <c r="F15" s="179"/>
      <c r="G15" s="179"/>
      <c r="H15" s="179"/>
      <c r="I15" s="179"/>
      <c r="N15" s="177"/>
      <c r="O15" s="177"/>
      <c r="P15" s="177"/>
    </row>
    <row r="16" spans="2:16" x14ac:dyDescent="0.2">
      <c r="B16" s="179"/>
      <c r="C16" s="179"/>
      <c r="D16" s="179"/>
      <c r="E16" s="179"/>
      <c r="F16" s="179"/>
      <c r="G16" s="179"/>
      <c r="H16" s="179"/>
      <c r="I16" s="179"/>
      <c r="N16" s="177"/>
      <c r="O16" s="177"/>
      <c r="P16" s="177"/>
    </row>
    <row r="17" spans="2:16" x14ac:dyDescent="0.2">
      <c r="B17" s="179"/>
      <c r="C17" s="179"/>
      <c r="D17" s="179"/>
      <c r="E17" s="179"/>
      <c r="F17" s="179"/>
      <c r="G17" s="179"/>
      <c r="H17" s="179"/>
      <c r="I17" s="179"/>
      <c r="N17" s="177"/>
      <c r="O17" s="177"/>
      <c r="P17" s="177"/>
    </row>
    <row r="18" spans="2:16" x14ac:dyDescent="0.2">
      <c r="B18" s="179"/>
      <c r="C18" s="179"/>
      <c r="D18" s="179"/>
      <c r="E18" s="179"/>
      <c r="F18" s="179"/>
      <c r="G18" s="179"/>
      <c r="H18" s="179"/>
      <c r="I18" s="179"/>
      <c r="N18" s="177"/>
      <c r="O18" s="177"/>
      <c r="P18" s="177"/>
    </row>
    <row r="19" spans="2:16" x14ac:dyDescent="0.2">
      <c r="B19" s="179"/>
      <c r="C19" s="179"/>
      <c r="D19" s="179"/>
      <c r="E19" s="179"/>
      <c r="F19" s="179"/>
      <c r="G19" s="179"/>
      <c r="H19" s="179"/>
      <c r="I19" s="179"/>
      <c r="N19" s="177"/>
      <c r="O19" s="177"/>
      <c r="P19" s="177"/>
    </row>
    <row r="20" spans="2:16" x14ac:dyDescent="0.2">
      <c r="B20" s="179"/>
      <c r="C20" s="179"/>
      <c r="D20" s="179"/>
      <c r="E20" s="179"/>
      <c r="F20" s="179"/>
      <c r="G20" s="179"/>
      <c r="H20" s="179"/>
      <c r="I20" s="179"/>
    </row>
    <row r="21" spans="2:16" x14ac:dyDescent="0.2">
      <c r="B21" s="179"/>
      <c r="C21" s="179"/>
      <c r="D21" s="179"/>
      <c r="E21" s="179"/>
      <c r="F21" s="179"/>
      <c r="G21" s="179"/>
      <c r="H21" s="179"/>
      <c r="I21" s="179"/>
    </row>
    <row r="22" spans="2:16" x14ac:dyDescent="0.2">
      <c r="B22" s="179"/>
      <c r="C22" s="179"/>
      <c r="D22" s="179"/>
      <c r="E22" s="179"/>
      <c r="F22" s="179"/>
      <c r="G22" s="179"/>
      <c r="H22" s="179"/>
      <c r="I22" s="179"/>
    </row>
    <row r="23" spans="2:16" x14ac:dyDescent="0.2">
      <c r="B23" s="179"/>
      <c r="C23" s="179"/>
      <c r="D23" s="179"/>
      <c r="E23" s="179"/>
      <c r="F23" s="179"/>
      <c r="G23" s="179"/>
      <c r="H23" s="179"/>
      <c r="I23" s="179"/>
    </row>
    <row r="24" spans="2:16" x14ac:dyDescent="0.2">
      <c r="B24" s="179"/>
      <c r="C24" s="179"/>
      <c r="D24" s="179"/>
      <c r="E24" s="179"/>
      <c r="F24" s="179"/>
      <c r="G24" s="179"/>
      <c r="H24" s="179"/>
      <c r="I24" s="179"/>
    </row>
    <row r="29" spans="2:16" ht="18" x14ac:dyDescent="0.25">
      <c r="B29" s="178" t="s">
        <v>412</v>
      </c>
      <c r="C29" s="178"/>
      <c r="D29" s="178"/>
      <c r="E29" s="178"/>
      <c r="F29" s="178"/>
      <c r="G29" s="178"/>
      <c r="H29" s="178"/>
      <c r="I29" s="178"/>
    </row>
    <row r="30" spans="2:16" ht="18" x14ac:dyDescent="0.25">
      <c r="C30" s="7"/>
      <c r="D30" s="8"/>
      <c r="E30" s="8"/>
      <c r="F30" s="8"/>
      <c r="G30" s="8"/>
      <c r="H30" s="8"/>
      <c r="I30" s="8"/>
    </row>
    <row r="31" spans="2:16" ht="18" x14ac:dyDescent="0.25">
      <c r="B31" s="178" t="s">
        <v>371</v>
      </c>
      <c r="C31" s="178"/>
      <c r="D31" s="178"/>
      <c r="E31" s="178"/>
      <c r="F31" s="178"/>
      <c r="G31" s="178"/>
      <c r="H31" s="178"/>
      <c r="I31" s="178"/>
    </row>
    <row r="32" spans="2:16" ht="18" x14ac:dyDescent="0.25">
      <c r="C32" s="7"/>
      <c r="D32" s="8"/>
      <c r="E32" s="8"/>
      <c r="F32" s="8"/>
      <c r="G32" s="8"/>
      <c r="H32" s="8"/>
      <c r="I32" s="8"/>
    </row>
    <row r="33" spans="2:9" ht="18" x14ac:dyDescent="0.25">
      <c r="B33" s="178" t="s">
        <v>372</v>
      </c>
      <c r="C33" s="178"/>
      <c r="D33" s="178"/>
      <c r="E33" s="178"/>
      <c r="F33" s="178"/>
      <c r="G33" s="178"/>
      <c r="H33" s="178"/>
      <c r="I33" s="178"/>
    </row>
    <row r="34" spans="2:9" ht="18" x14ac:dyDescent="0.25">
      <c r="C34" s="7"/>
      <c r="D34" s="8"/>
      <c r="E34" s="8"/>
      <c r="F34" s="8"/>
      <c r="G34" s="8"/>
      <c r="H34" s="8"/>
      <c r="I34" s="8"/>
    </row>
    <row r="35" spans="2:9" ht="18" x14ac:dyDescent="0.25">
      <c r="B35" s="178"/>
      <c r="C35" s="178"/>
      <c r="D35" s="178"/>
      <c r="E35" s="178"/>
      <c r="F35" s="178"/>
      <c r="G35" s="178"/>
      <c r="H35" s="178"/>
      <c r="I35" s="178"/>
    </row>
    <row r="37" spans="2:9" ht="18" x14ac:dyDescent="0.25">
      <c r="B37" s="174" t="s">
        <v>378</v>
      </c>
      <c r="C37" s="174"/>
      <c r="D37" s="174"/>
      <c r="E37" s="174"/>
      <c r="F37" s="174"/>
      <c r="G37" s="174"/>
      <c r="H37" s="174"/>
      <c r="I37" s="174"/>
    </row>
    <row r="39" spans="2:9" x14ac:dyDescent="0.2">
      <c r="B39" s="2" t="s">
        <v>10</v>
      </c>
      <c r="F39" s="9">
        <v>2022</v>
      </c>
    </row>
    <row r="40" spans="2:9" ht="14.25" customHeight="1" x14ac:dyDescent="0.2"/>
    <row r="41" spans="2:9" x14ac:dyDescent="0.2">
      <c r="B41" s="10" t="s">
        <v>11</v>
      </c>
      <c r="C41" s="175" t="s">
        <v>373</v>
      </c>
      <c r="D41" s="176"/>
      <c r="E41" s="176"/>
      <c r="F41" s="176"/>
      <c r="G41" s="176"/>
      <c r="H41" s="176"/>
      <c r="I41" s="176"/>
    </row>
    <row r="42" spans="2:9" x14ac:dyDescent="0.2">
      <c r="B42" s="10"/>
    </row>
    <row r="43" spans="2:9" x14ac:dyDescent="0.2">
      <c r="B43" s="10" t="s">
        <v>12</v>
      </c>
      <c r="C43" s="173"/>
      <c r="D43" s="173"/>
      <c r="E43" s="173"/>
      <c r="F43" s="159" t="s">
        <v>374</v>
      </c>
    </row>
    <row r="44" spans="2:9" x14ac:dyDescent="0.2">
      <c r="B44" s="10"/>
    </row>
    <row r="45" spans="2:9" ht="15.75" x14ac:dyDescent="0.25">
      <c r="B45" s="10" t="s">
        <v>13</v>
      </c>
      <c r="C45" s="173"/>
      <c r="D45" s="173"/>
      <c r="E45" s="173"/>
      <c r="F45" s="161" t="s">
        <v>437</v>
      </c>
    </row>
    <row r="46" spans="2:9" x14ac:dyDescent="0.2">
      <c r="B46" s="10"/>
    </row>
    <row r="47" spans="2:9" x14ac:dyDescent="0.2">
      <c r="B47" s="10" t="s">
        <v>14</v>
      </c>
      <c r="C47" s="172" t="s">
        <v>436</v>
      </c>
      <c r="D47" s="173"/>
      <c r="F47" s="159" t="s">
        <v>375</v>
      </c>
      <c r="G47" s="162"/>
      <c r="H47" s="162"/>
      <c r="I47" s="162"/>
    </row>
    <row r="48" spans="2:9" x14ac:dyDescent="0.2">
      <c r="B48" s="10"/>
    </row>
    <row r="49" spans="2:9" x14ac:dyDescent="0.2">
      <c r="B49" s="10" t="s">
        <v>15</v>
      </c>
      <c r="C49" s="172" t="s">
        <v>434</v>
      </c>
      <c r="D49" s="173"/>
      <c r="F49" s="163" t="s">
        <v>435</v>
      </c>
      <c r="G49" s="162"/>
      <c r="H49" s="162"/>
      <c r="I49" s="162"/>
    </row>
    <row r="50" spans="2:9" x14ac:dyDescent="0.2">
      <c r="B50" s="10"/>
    </row>
    <row r="51" spans="2:9" x14ac:dyDescent="0.2">
      <c r="B51" s="10" t="s">
        <v>16</v>
      </c>
      <c r="C51" s="9"/>
      <c r="F51" s="2">
        <v>2021.1</v>
      </c>
    </row>
    <row r="52" spans="2:9" x14ac:dyDescent="0.2">
      <c r="B52" s="10"/>
    </row>
    <row r="53" spans="2:9" x14ac:dyDescent="0.2">
      <c r="B53" s="10" t="s">
        <v>17</v>
      </c>
      <c r="C53" s="173"/>
      <c r="D53" s="173"/>
      <c r="F53" s="159" t="s">
        <v>399</v>
      </c>
    </row>
  </sheetData>
  <mergeCells count="14">
    <mergeCell ref="N14:P19"/>
    <mergeCell ref="B35:I35"/>
    <mergeCell ref="D1:G6"/>
    <mergeCell ref="B8:I24"/>
    <mergeCell ref="B29:I29"/>
    <mergeCell ref="B31:I31"/>
    <mergeCell ref="B33:I33"/>
    <mergeCell ref="C49:D49"/>
    <mergeCell ref="C53:D53"/>
    <mergeCell ref="B37:I37"/>
    <mergeCell ref="C41:I41"/>
    <mergeCell ref="C43:E43"/>
    <mergeCell ref="C45:E45"/>
    <mergeCell ref="C47:D47"/>
  </mergeCells>
  <hyperlinks>
    <hyperlink ref="F45" r:id="rId1"/>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O65"/>
  <sheetViews>
    <sheetView showGridLines="0" zoomScaleNormal="100" workbookViewId="0">
      <selection activeCell="O27" sqref="O27"/>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5" x14ac:dyDescent="0.2">
      <c r="A1" s="2" t="str">
        <f>+'Cover Page'!$B$29</f>
        <v>Annual Performance Report 2022</v>
      </c>
      <c r="E1" s="2" t="str">
        <f>+'Cover Page'!$B$33</f>
        <v>Addenbrooke's Hospital  Incinerator</v>
      </c>
    </row>
    <row r="3" spans="1:15" ht="15.75" x14ac:dyDescent="0.25">
      <c r="A3" s="108" t="s">
        <v>18</v>
      </c>
      <c r="B3" s="106"/>
      <c r="C3" s="106"/>
      <c r="D3" s="106"/>
      <c r="E3" s="106"/>
      <c r="F3" s="106"/>
      <c r="G3" s="106"/>
      <c r="H3" s="107"/>
      <c r="K3" s="140" t="s">
        <v>315</v>
      </c>
    </row>
    <row r="4" spans="1:15" ht="15.75" x14ac:dyDescent="0.25">
      <c r="A4" s="5" t="s">
        <v>0</v>
      </c>
      <c r="B4" s="198" t="s">
        <v>1</v>
      </c>
      <c r="C4" s="198"/>
      <c r="D4" s="198"/>
      <c r="E4" s="198"/>
      <c r="F4" s="198"/>
      <c r="G4" s="198"/>
      <c r="H4" s="6" t="s">
        <v>2</v>
      </c>
      <c r="K4" s="138" t="s">
        <v>317</v>
      </c>
    </row>
    <row r="5" spans="1:15" ht="15.6" customHeight="1" x14ac:dyDescent="0.2">
      <c r="A5" s="4"/>
      <c r="B5" s="197" t="s">
        <v>283</v>
      </c>
      <c r="C5" s="197"/>
      <c r="D5" s="197"/>
      <c r="E5" s="197"/>
      <c r="F5" s="197"/>
      <c r="G5" s="197"/>
      <c r="H5" s="4">
        <v>3</v>
      </c>
      <c r="K5" s="177" t="s">
        <v>318</v>
      </c>
      <c r="L5" s="177"/>
      <c r="M5" s="177"/>
      <c r="N5" s="177"/>
      <c r="O5" s="177"/>
    </row>
    <row r="6" spans="1:15" x14ac:dyDescent="0.2">
      <c r="A6" s="4"/>
      <c r="B6" s="197" t="s">
        <v>25</v>
      </c>
      <c r="C6" s="197"/>
      <c r="D6" s="197"/>
      <c r="E6" s="197"/>
      <c r="F6" s="197"/>
      <c r="G6" s="197"/>
      <c r="H6" s="4">
        <v>5</v>
      </c>
      <c r="K6" s="177"/>
      <c r="L6" s="177"/>
      <c r="M6" s="177"/>
      <c r="N6" s="177"/>
      <c r="O6" s="177"/>
    </row>
    <row r="7" spans="1:15" ht="15.75" customHeight="1" x14ac:dyDescent="0.2">
      <c r="A7" s="4"/>
      <c r="B7" s="197" t="s">
        <v>284</v>
      </c>
      <c r="C7" s="197"/>
      <c r="D7" s="197"/>
      <c r="E7" s="197"/>
      <c r="F7" s="197"/>
      <c r="G7" s="197"/>
      <c r="H7" s="4">
        <v>4</v>
      </c>
      <c r="K7" s="177"/>
      <c r="L7" s="177"/>
      <c r="M7" s="177"/>
      <c r="N7" s="177"/>
      <c r="O7" s="177"/>
    </row>
    <row r="8" spans="1:15" x14ac:dyDescent="0.2">
      <c r="A8" s="4"/>
      <c r="B8" s="197" t="s">
        <v>285</v>
      </c>
      <c r="C8" s="197"/>
      <c r="D8" s="197"/>
      <c r="E8" s="197"/>
      <c r="F8" s="197"/>
      <c r="G8" s="197"/>
      <c r="H8" s="4">
        <v>6</v>
      </c>
      <c r="K8" s="177"/>
      <c r="L8" s="177"/>
      <c r="M8" s="177"/>
      <c r="N8" s="177"/>
      <c r="O8" s="177"/>
    </row>
    <row r="9" spans="1:15" x14ac:dyDescent="0.2">
      <c r="A9" s="4"/>
      <c r="B9" s="197" t="s">
        <v>286</v>
      </c>
      <c r="C9" s="197"/>
      <c r="D9" s="197"/>
      <c r="E9" s="197"/>
      <c r="F9" s="197"/>
      <c r="G9" s="197"/>
      <c r="H9" s="4">
        <v>7</v>
      </c>
    </row>
    <row r="10" spans="1:15" x14ac:dyDescent="0.2">
      <c r="A10" s="4"/>
      <c r="B10" s="197" t="s">
        <v>287</v>
      </c>
      <c r="C10" s="197"/>
      <c r="D10" s="197"/>
      <c r="E10" s="197"/>
      <c r="F10" s="197"/>
      <c r="G10" s="197"/>
      <c r="H10" s="4">
        <v>8</v>
      </c>
    </row>
    <row r="11" spans="1:15" x14ac:dyDescent="0.2">
      <c r="A11" s="4"/>
      <c r="B11" s="197" t="s">
        <v>288</v>
      </c>
      <c r="C11" s="197"/>
      <c r="D11" s="197"/>
      <c r="E11" s="197"/>
      <c r="F11" s="197"/>
      <c r="G11" s="197"/>
      <c r="H11" s="4">
        <v>9</v>
      </c>
    </row>
    <row r="12" spans="1:15" x14ac:dyDescent="0.2">
      <c r="A12" s="4"/>
      <c r="B12" s="197" t="s">
        <v>289</v>
      </c>
      <c r="C12" s="197"/>
      <c r="D12" s="197"/>
      <c r="E12" s="197"/>
      <c r="F12" s="197"/>
      <c r="G12" s="197"/>
      <c r="H12" s="4">
        <v>10</v>
      </c>
    </row>
    <row r="13" spans="1:15" x14ac:dyDescent="0.2">
      <c r="A13" s="4"/>
      <c r="B13" s="197" t="s">
        <v>308</v>
      </c>
      <c r="C13" s="197"/>
      <c r="D13" s="197"/>
      <c r="E13" s="197"/>
      <c r="F13" s="197"/>
      <c r="G13" s="197"/>
      <c r="H13" s="4">
        <v>11</v>
      </c>
    </row>
    <row r="14" spans="1:15" x14ac:dyDescent="0.2">
      <c r="A14" s="4"/>
      <c r="B14" s="197" t="s">
        <v>206</v>
      </c>
      <c r="C14" s="197"/>
      <c r="D14" s="197"/>
      <c r="E14" s="197"/>
      <c r="F14" s="197"/>
      <c r="G14" s="197"/>
      <c r="H14" s="4">
        <v>12</v>
      </c>
    </row>
    <row r="15" spans="1:15" x14ac:dyDescent="0.2">
      <c r="A15" s="4"/>
      <c r="B15" s="197" t="s">
        <v>224</v>
      </c>
      <c r="C15" s="197"/>
      <c r="D15" s="197"/>
      <c r="E15" s="197"/>
      <c r="F15" s="197"/>
      <c r="G15" s="197"/>
      <c r="H15" s="4">
        <v>13</v>
      </c>
    </row>
    <row r="16" spans="1:15" x14ac:dyDescent="0.2">
      <c r="A16" s="4"/>
      <c r="B16" s="197" t="s">
        <v>290</v>
      </c>
      <c r="C16" s="197"/>
      <c r="D16" s="197"/>
      <c r="E16" s="197"/>
      <c r="F16" s="197"/>
      <c r="G16" s="197"/>
      <c r="H16" s="4">
        <v>14</v>
      </c>
    </row>
    <row r="17" spans="1:8" x14ac:dyDescent="0.2">
      <c r="A17" s="4"/>
      <c r="B17" s="197" t="s">
        <v>291</v>
      </c>
      <c r="C17" s="197"/>
      <c r="D17" s="197"/>
      <c r="E17" s="197"/>
      <c r="F17" s="197"/>
      <c r="G17" s="197"/>
      <c r="H17" s="4">
        <v>15</v>
      </c>
    </row>
    <row r="18" spans="1:8" x14ac:dyDescent="0.2">
      <c r="A18" s="4"/>
      <c r="B18" s="197" t="s">
        <v>292</v>
      </c>
      <c r="C18" s="197"/>
      <c r="D18" s="197"/>
      <c r="E18" s="197"/>
      <c r="F18" s="197"/>
      <c r="G18" s="197"/>
      <c r="H18" s="4">
        <v>16</v>
      </c>
    </row>
    <row r="19" spans="1:8" x14ac:dyDescent="0.2">
      <c r="A19" s="4"/>
      <c r="B19" s="197" t="s">
        <v>293</v>
      </c>
      <c r="C19" s="197"/>
      <c r="D19" s="197"/>
      <c r="E19" s="197"/>
      <c r="F19" s="197"/>
      <c r="G19" s="197"/>
      <c r="H19" s="4">
        <v>17</v>
      </c>
    </row>
    <row r="20" spans="1:8" x14ac:dyDescent="0.2">
      <c r="A20" s="4"/>
      <c r="B20" s="197" t="s">
        <v>294</v>
      </c>
      <c r="C20" s="197"/>
      <c r="D20" s="197"/>
      <c r="E20" s="197"/>
      <c r="F20" s="197"/>
      <c r="G20" s="197"/>
      <c r="H20" s="4">
        <v>18</v>
      </c>
    </row>
    <row r="21" spans="1:8" x14ac:dyDescent="0.2">
      <c r="A21" s="4"/>
      <c r="B21" s="197" t="s">
        <v>297</v>
      </c>
      <c r="C21" s="197"/>
      <c r="D21" s="197"/>
      <c r="E21" s="197"/>
      <c r="F21" s="197"/>
      <c r="G21" s="197"/>
      <c r="H21" s="4">
        <v>19</v>
      </c>
    </row>
    <row r="22" spans="1:8" x14ac:dyDescent="0.2">
      <c r="A22" s="4"/>
      <c r="B22" s="190" t="s">
        <v>295</v>
      </c>
      <c r="C22" s="191"/>
      <c r="D22" s="191"/>
      <c r="E22" s="191"/>
      <c r="F22" s="191"/>
      <c r="G22" s="192"/>
      <c r="H22" s="4">
        <v>20</v>
      </c>
    </row>
    <row r="23" spans="1:8" x14ac:dyDescent="0.2">
      <c r="A23" s="4"/>
      <c r="B23" s="190" t="s">
        <v>296</v>
      </c>
      <c r="C23" s="191"/>
      <c r="D23" s="191"/>
      <c r="E23" s="191"/>
      <c r="F23" s="191"/>
      <c r="G23" s="192"/>
      <c r="H23" s="4" t="s">
        <v>383</v>
      </c>
    </row>
    <row r="24" spans="1:8" x14ac:dyDescent="0.2">
      <c r="A24" s="4"/>
      <c r="B24" s="193"/>
      <c r="C24" s="193"/>
      <c r="D24" s="193"/>
      <c r="E24" s="193"/>
      <c r="F24" s="193"/>
      <c r="G24" s="193"/>
      <c r="H24" s="4"/>
    </row>
    <row r="26" spans="1:8" ht="15.75" x14ac:dyDescent="0.25">
      <c r="A26" s="105" t="s">
        <v>19</v>
      </c>
      <c r="B26" s="106"/>
      <c r="C26" s="106"/>
      <c r="D26" s="106"/>
      <c r="E26" s="106"/>
      <c r="F26" s="106"/>
      <c r="G26" s="106"/>
      <c r="H26" s="107"/>
    </row>
    <row r="27" spans="1:8" x14ac:dyDescent="0.2">
      <c r="A27" s="12" t="s">
        <v>0</v>
      </c>
      <c r="B27" s="194" t="s">
        <v>3</v>
      </c>
      <c r="C27" s="194"/>
      <c r="D27" s="194"/>
      <c r="E27" s="194"/>
      <c r="F27" s="194"/>
      <c r="G27" s="194"/>
      <c r="H27" s="13" t="s">
        <v>4</v>
      </c>
    </row>
    <row r="28" spans="1:8" x14ac:dyDescent="0.2">
      <c r="A28" s="14"/>
      <c r="B28" s="195" t="s">
        <v>394</v>
      </c>
      <c r="C28" s="195"/>
      <c r="D28" s="195"/>
      <c r="E28" s="195"/>
      <c r="F28" s="195"/>
      <c r="G28" s="195"/>
      <c r="H28" s="14" t="s">
        <v>395</v>
      </c>
    </row>
    <row r="29" spans="1:8" x14ac:dyDescent="0.2">
      <c r="A29" s="14"/>
      <c r="B29" s="195"/>
      <c r="C29" s="195"/>
      <c r="D29" s="195"/>
      <c r="E29" s="195"/>
      <c r="F29" s="195"/>
      <c r="G29" s="195"/>
      <c r="H29" s="14"/>
    </row>
    <row r="30" spans="1:8" x14ac:dyDescent="0.2">
      <c r="A30" s="14"/>
      <c r="B30" s="195"/>
      <c r="C30" s="195"/>
      <c r="D30" s="195"/>
      <c r="E30" s="195"/>
      <c r="F30" s="195"/>
      <c r="G30" s="195"/>
      <c r="H30" s="14"/>
    </row>
    <row r="31" spans="1:8" x14ac:dyDescent="0.2">
      <c r="A31" s="14"/>
      <c r="B31" s="195"/>
      <c r="C31" s="195"/>
      <c r="D31" s="195"/>
      <c r="E31" s="195"/>
      <c r="F31" s="195"/>
      <c r="G31" s="195"/>
      <c r="H31" s="14"/>
    </row>
    <row r="32" spans="1:8" x14ac:dyDescent="0.2">
      <c r="A32" s="14"/>
      <c r="B32" s="195"/>
      <c r="C32" s="195"/>
      <c r="D32" s="195"/>
      <c r="E32" s="195"/>
      <c r="F32" s="195"/>
      <c r="G32" s="195"/>
      <c r="H32" s="14"/>
    </row>
    <row r="34" spans="1:10" ht="14.25" customHeight="1" x14ac:dyDescent="0.25">
      <c r="A34" s="105" t="s">
        <v>20</v>
      </c>
      <c r="B34" s="106"/>
      <c r="C34" s="106"/>
      <c r="D34" s="106"/>
      <c r="E34" s="106"/>
      <c r="F34" s="106"/>
      <c r="G34" s="106"/>
      <c r="H34" s="107"/>
    </row>
    <row r="35" spans="1:10" x14ac:dyDescent="0.2">
      <c r="A35" s="17" t="s">
        <v>5</v>
      </c>
      <c r="B35" s="196" t="s">
        <v>6</v>
      </c>
      <c r="C35" s="196"/>
      <c r="D35" s="196"/>
      <c r="E35" s="196"/>
      <c r="F35" s="196"/>
      <c r="G35" s="196"/>
      <c r="H35" s="18" t="s">
        <v>7</v>
      </c>
    </row>
    <row r="36" spans="1:10" x14ac:dyDescent="0.2">
      <c r="A36" s="19"/>
      <c r="B36" s="189" t="s">
        <v>393</v>
      </c>
      <c r="C36" s="189"/>
      <c r="D36" s="189"/>
      <c r="E36" s="189"/>
      <c r="F36" s="189"/>
      <c r="G36" s="189"/>
      <c r="H36" s="19"/>
    </row>
    <row r="37" spans="1:10" x14ac:dyDescent="0.2">
      <c r="A37" s="19"/>
      <c r="B37" s="189" t="s">
        <v>396</v>
      </c>
      <c r="C37" s="189"/>
      <c r="D37" s="189"/>
      <c r="E37" s="189"/>
      <c r="F37" s="189"/>
      <c r="G37" s="189"/>
      <c r="H37" s="19"/>
    </row>
    <row r="38" spans="1:10" x14ac:dyDescent="0.2">
      <c r="A38" s="19"/>
      <c r="B38" s="189"/>
      <c r="C38" s="189"/>
      <c r="D38" s="189"/>
      <c r="E38" s="189"/>
      <c r="F38" s="189"/>
      <c r="G38" s="189"/>
      <c r="H38" s="19"/>
    </row>
    <row r="39" spans="1:10" x14ac:dyDescent="0.2">
      <c r="A39" s="19"/>
      <c r="B39" s="189"/>
      <c r="C39" s="189"/>
      <c r="D39" s="189"/>
      <c r="E39" s="189"/>
      <c r="F39" s="189"/>
      <c r="G39" s="189"/>
      <c r="H39" s="19"/>
    </row>
    <row r="40" spans="1:10" x14ac:dyDescent="0.2">
      <c r="A40" s="19"/>
      <c r="B40" s="189"/>
      <c r="C40" s="189"/>
      <c r="D40" s="189"/>
      <c r="E40" s="189"/>
      <c r="F40" s="189"/>
      <c r="G40" s="189"/>
      <c r="H40" s="19"/>
    </row>
    <row r="41" spans="1:10" x14ac:dyDescent="0.2">
      <c r="A41" s="19"/>
      <c r="B41" s="189"/>
      <c r="C41" s="189"/>
      <c r="D41" s="189"/>
      <c r="E41" s="189"/>
      <c r="F41" s="189"/>
      <c r="G41" s="189"/>
      <c r="H41" s="19"/>
    </row>
    <row r="42" spans="1:10" x14ac:dyDescent="0.2">
      <c r="A42" s="19"/>
      <c r="B42" s="189"/>
      <c r="C42" s="189"/>
      <c r="D42" s="189"/>
      <c r="E42" s="189"/>
      <c r="F42" s="189"/>
      <c r="G42" s="189"/>
      <c r="H42" s="19"/>
    </row>
    <row r="44" spans="1:10" x14ac:dyDescent="0.2">
      <c r="A44" s="180" t="s">
        <v>21</v>
      </c>
      <c r="B44" s="181"/>
      <c r="C44" s="181"/>
      <c r="D44" s="181"/>
      <c r="E44" s="181"/>
      <c r="F44" s="181"/>
      <c r="G44" s="181"/>
      <c r="H44" s="181"/>
      <c r="I44" s="181"/>
      <c r="J44" s="182"/>
    </row>
    <row r="45" spans="1:10" x14ac:dyDescent="0.2">
      <c r="A45" s="183"/>
      <c r="B45" s="184"/>
      <c r="C45" s="184"/>
      <c r="D45" s="184"/>
      <c r="E45" s="184"/>
      <c r="F45" s="184"/>
      <c r="G45" s="184"/>
      <c r="H45" s="184"/>
      <c r="I45" s="184"/>
      <c r="J45" s="185"/>
    </row>
    <row r="46" spans="1:10" x14ac:dyDescent="0.2">
      <c r="A46" s="183"/>
      <c r="B46" s="184"/>
      <c r="C46" s="184"/>
      <c r="D46" s="184"/>
      <c r="E46" s="184"/>
      <c r="F46" s="184"/>
      <c r="G46" s="184"/>
      <c r="H46" s="184"/>
      <c r="I46" s="184"/>
      <c r="J46" s="185"/>
    </row>
    <row r="47" spans="1:10" x14ac:dyDescent="0.2">
      <c r="A47" s="186"/>
      <c r="B47" s="187"/>
      <c r="C47" s="187"/>
      <c r="D47" s="187"/>
      <c r="E47" s="187"/>
      <c r="F47" s="187"/>
      <c r="G47" s="187"/>
      <c r="H47" s="187"/>
      <c r="I47" s="187"/>
      <c r="J47" s="188"/>
    </row>
    <row r="65" spans="6:6" x14ac:dyDescent="0.2">
      <c r="F65" s="3"/>
    </row>
  </sheetData>
  <mergeCells count="37">
    <mergeCell ref="K5:O8"/>
    <mergeCell ref="B9:G9"/>
    <mergeCell ref="B4:G4"/>
    <mergeCell ref="B5:G5"/>
    <mergeCell ref="B6:G6"/>
    <mergeCell ref="B7:G7"/>
    <mergeCell ref="B8:G8"/>
    <mergeCell ref="B21:G21"/>
    <mergeCell ref="B10:G10"/>
    <mergeCell ref="B11:G11"/>
    <mergeCell ref="B12:G12"/>
    <mergeCell ref="B13:G13"/>
    <mergeCell ref="B14:G14"/>
    <mergeCell ref="B15:G15"/>
    <mergeCell ref="B16:G16"/>
    <mergeCell ref="B17:G17"/>
    <mergeCell ref="B18:G18"/>
    <mergeCell ref="B19:G19"/>
    <mergeCell ref="B20:G20"/>
    <mergeCell ref="B36:G36"/>
    <mergeCell ref="B22:G22"/>
    <mergeCell ref="B23:G23"/>
    <mergeCell ref="B24:G24"/>
    <mergeCell ref="B27:G27"/>
    <mergeCell ref="B28:G28"/>
    <mergeCell ref="B29:G29"/>
    <mergeCell ref="B30:G30"/>
    <mergeCell ref="B31:G31"/>
    <mergeCell ref="B32:G32"/>
    <mergeCell ref="B35:G35"/>
    <mergeCell ref="A44:J47"/>
    <mergeCell ref="B37:G37"/>
    <mergeCell ref="B38:G38"/>
    <mergeCell ref="B39:G39"/>
    <mergeCell ref="B40:G40"/>
    <mergeCell ref="B41:G41"/>
    <mergeCell ref="B42:G42"/>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1:O66"/>
  <sheetViews>
    <sheetView showGridLines="0" zoomScaleNormal="100" workbookViewId="0">
      <selection activeCell="O27" sqref="O27"/>
    </sheetView>
  </sheetViews>
  <sheetFormatPr defaultColWidth="9.28515625" defaultRowHeight="15" x14ac:dyDescent="0.2"/>
  <cols>
    <col min="1" max="1" width="9.28515625" style="2"/>
    <col min="2" max="2" width="9.28515625" style="2" customWidth="1"/>
    <col min="3" max="3" width="14.5703125" style="2" bestFit="1" customWidth="1"/>
    <col min="4" max="10" width="9.28515625" style="2"/>
    <col min="11" max="11" width="11.5703125" style="2" customWidth="1"/>
    <col min="12" max="16384" width="9.28515625" style="2"/>
  </cols>
  <sheetData>
    <row r="1" spans="2:15" x14ac:dyDescent="0.2">
      <c r="B1" s="2" t="str">
        <f>+'Cover Page'!$B$29</f>
        <v>Annual Performance Report 2022</v>
      </c>
      <c r="F1" s="2" t="str">
        <f>+'Cover Page'!$B$33</f>
        <v>Addenbrooke's Hospital  Incinerator</v>
      </c>
    </row>
    <row r="3" spans="2:15" ht="15.75" x14ac:dyDescent="0.25">
      <c r="B3" s="99" t="s">
        <v>22</v>
      </c>
      <c r="C3" s="100"/>
      <c r="D3" s="100"/>
      <c r="E3" s="100"/>
      <c r="F3" s="100"/>
      <c r="G3" s="100"/>
      <c r="H3" s="100"/>
      <c r="I3" s="100"/>
      <c r="J3" s="101"/>
      <c r="L3" s="150" t="s">
        <v>315</v>
      </c>
    </row>
    <row r="4" spans="2:15" x14ac:dyDescent="0.2">
      <c r="B4" s="102"/>
      <c r="C4" s="103"/>
      <c r="D4" s="103"/>
      <c r="E4" s="103"/>
      <c r="F4" s="103"/>
      <c r="G4" s="103"/>
      <c r="H4" s="103"/>
      <c r="I4" s="103"/>
      <c r="J4" s="104"/>
    </row>
    <row r="5" spans="2:15" ht="15.75" customHeight="1" x14ac:dyDescent="0.2">
      <c r="B5" s="199" t="s">
        <v>377</v>
      </c>
      <c r="C5" s="200"/>
      <c r="D5" s="200"/>
      <c r="E5" s="200"/>
      <c r="F5" s="200"/>
      <c r="G5" s="200"/>
      <c r="H5" s="200"/>
      <c r="I5" s="200"/>
      <c r="J5" s="201"/>
      <c r="L5" s="216" t="s">
        <v>344</v>
      </c>
      <c r="M5" s="216"/>
      <c r="N5" s="216"/>
      <c r="O5" s="216"/>
    </row>
    <row r="6" spans="2:15" x14ac:dyDescent="0.2">
      <c r="B6" s="202"/>
      <c r="C6" s="203"/>
      <c r="D6" s="203"/>
      <c r="E6" s="203"/>
      <c r="F6" s="203"/>
      <c r="G6" s="203"/>
      <c r="H6" s="203"/>
      <c r="I6" s="203"/>
      <c r="J6" s="204"/>
      <c r="L6" s="216"/>
      <c r="M6" s="216"/>
      <c r="N6" s="216"/>
      <c r="O6" s="216"/>
    </row>
    <row r="7" spans="2:15" x14ac:dyDescent="0.2">
      <c r="B7" s="202"/>
      <c r="C7" s="203"/>
      <c r="D7" s="203"/>
      <c r="E7" s="203"/>
      <c r="F7" s="203"/>
      <c r="G7" s="203"/>
      <c r="H7" s="203"/>
      <c r="I7" s="203"/>
      <c r="J7" s="204"/>
      <c r="L7" s="216"/>
      <c r="M7" s="216"/>
      <c r="N7" s="216"/>
      <c r="O7" s="216"/>
    </row>
    <row r="8" spans="2:15" ht="15.75" customHeight="1" x14ac:dyDescent="0.2">
      <c r="B8" s="202"/>
      <c r="C8" s="203"/>
      <c r="D8" s="203"/>
      <c r="E8" s="203"/>
      <c r="F8" s="203"/>
      <c r="G8" s="203"/>
      <c r="H8" s="203"/>
      <c r="I8" s="203"/>
      <c r="J8" s="204"/>
      <c r="L8" s="216"/>
      <c r="M8" s="216"/>
      <c r="N8" s="216"/>
      <c r="O8" s="216"/>
    </row>
    <row r="9" spans="2:15" x14ac:dyDescent="0.2">
      <c r="B9" s="202"/>
      <c r="C9" s="203"/>
      <c r="D9" s="203"/>
      <c r="E9" s="203"/>
      <c r="F9" s="203"/>
      <c r="G9" s="203"/>
      <c r="H9" s="203"/>
      <c r="I9" s="203"/>
      <c r="J9" s="204"/>
      <c r="L9" s="216"/>
      <c r="M9" s="216"/>
      <c r="N9" s="216"/>
      <c r="O9" s="216"/>
    </row>
    <row r="10" spans="2:15" x14ac:dyDescent="0.2">
      <c r="B10" s="202"/>
      <c r="C10" s="203"/>
      <c r="D10" s="203"/>
      <c r="E10" s="203"/>
      <c r="F10" s="203"/>
      <c r="G10" s="203"/>
      <c r="H10" s="203"/>
      <c r="I10" s="203"/>
      <c r="J10" s="204"/>
      <c r="L10" s="216"/>
      <c r="M10" s="216"/>
      <c r="N10" s="216"/>
      <c r="O10" s="216"/>
    </row>
    <row r="11" spans="2:15" x14ac:dyDescent="0.2">
      <c r="B11" s="202"/>
      <c r="C11" s="203"/>
      <c r="D11" s="203"/>
      <c r="E11" s="203"/>
      <c r="F11" s="203"/>
      <c r="G11" s="203"/>
      <c r="H11" s="203"/>
      <c r="I11" s="203"/>
      <c r="J11" s="204"/>
      <c r="L11" s="216"/>
      <c r="M11" s="216"/>
      <c r="N11" s="216"/>
      <c r="O11" s="216"/>
    </row>
    <row r="12" spans="2:15" x14ac:dyDescent="0.2">
      <c r="B12" s="202"/>
      <c r="C12" s="203"/>
      <c r="D12" s="203"/>
      <c r="E12" s="203"/>
      <c r="F12" s="203"/>
      <c r="G12" s="203"/>
      <c r="H12" s="203"/>
      <c r="I12" s="203"/>
      <c r="J12" s="204"/>
      <c r="L12" s="216"/>
      <c r="M12" s="216"/>
      <c r="N12" s="216"/>
      <c r="O12" s="216"/>
    </row>
    <row r="13" spans="2:15" x14ac:dyDescent="0.2">
      <c r="B13" s="202"/>
      <c r="C13" s="203"/>
      <c r="D13" s="203"/>
      <c r="E13" s="203"/>
      <c r="F13" s="203"/>
      <c r="G13" s="203"/>
      <c r="H13" s="203"/>
      <c r="I13" s="203"/>
      <c r="J13" s="204"/>
      <c r="L13" s="216"/>
      <c r="M13" s="216"/>
      <c r="N13" s="216"/>
      <c r="O13" s="216"/>
    </row>
    <row r="14" spans="2:15" x14ac:dyDescent="0.2">
      <c r="B14" s="202"/>
      <c r="C14" s="203"/>
      <c r="D14" s="203"/>
      <c r="E14" s="203"/>
      <c r="F14" s="203"/>
      <c r="G14" s="203"/>
      <c r="H14" s="203"/>
      <c r="I14" s="203"/>
      <c r="J14" s="204"/>
      <c r="L14" s="216"/>
      <c r="M14" s="216"/>
      <c r="N14" s="216"/>
      <c r="O14" s="216"/>
    </row>
    <row r="15" spans="2:15" x14ac:dyDescent="0.2">
      <c r="B15" s="202"/>
      <c r="C15" s="203"/>
      <c r="D15" s="203"/>
      <c r="E15" s="203"/>
      <c r="F15" s="203"/>
      <c r="G15" s="203"/>
      <c r="H15" s="203"/>
      <c r="I15" s="203"/>
      <c r="J15" s="204"/>
    </row>
    <row r="16" spans="2:15" x14ac:dyDescent="0.2">
      <c r="B16" s="202"/>
      <c r="C16" s="203"/>
      <c r="D16" s="203"/>
      <c r="E16" s="203"/>
      <c r="F16" s="203"/>
      <c r="G16" s="203"/>
      <c r="H16" s="203"/>
      <c r="I16" s="203"/>
      <c r="J16" s="204"/>
    </row>
    <row r="17" spans="2:15" x14ac:dyDescent="0.2">
      <c r="B17" s="202"/>
      <c r="C17" s="203"/>
      <c r="D17" s="203"/>
      <c r="E17" s="203"/>
      <c r="F17" s="203"/>
      <c r="G17" s="203"/>
      <c r="H17" s="203"/>
      <c r="I17" s="203"/>
      <c r="J17" s="204"/>
    </row>
    <row r="18" spans="2:15" x14ac:dyDescent="0.2">
      <c r="B18" s="205"/>
      <c r="C18" s="206"/>
      <c r="D18" s="206"/>
      <c r="E18" s="206"/>
      <c r="F18" s="206"/>
      <c r="G18" s="206"/>
      <c r="H18" s="206"/>
      <c r="I18" s="206"/>
      <c r="J18" s="207"/>
    </row>
    <row r="20" spans="2:15" ht="15.75" x14ac:dyDescent="0.25">
      <c r="B20" s="99" t="s">
        <v>23</v>
      </c>
      <c r="C20" s="100"/>
      <c r="D20" s="100"/>
      <c r="E20" s="100"/>
      <c r="F20" s="100"/>
      <c r="G20" s="100"/>
      <c r="H20" s="100"/>
      <c r="I20" s="100"/>
      <c r="J20" s="101"/>
    </row>
    <row r="21" spans="2:15" x14ac:dyDescent="0.2">
      <c r="B21" s="102"/>
      <c r="C21" s="103"/>
      <c r="D21" s="103"/>
      <c r="E21" s="103"/>
      <c r="F21" s="103"/>
      <c r="G21" s="103"/>
      <c r="H21" s="103"/>
      <c r="I21" s="103"/>
      <c r="J21" s="104"/>
    </row>
    <row r="22" spans="2:15" ht="15" customHeight="1" x14ac:dyDescent="0.2">
      <c r="B22" s="199" t="s">
        <v>397</v>
      </c>
      <c r="C22" s="208"/>
      <c r="D22" s="208"/>
      <c r="E22" s="208"/>
      <c r="F22" s="208"/>
      <c r="G22" s="208"/>
      <c r="H22" s="208"/>
      <c r="I22" s="208"/>
      <c r="J22" s="209"/>
      <c r="L22" s="216" t="s">
        <v>345</v>
      </c>
      <c r="M22" s="216"/>
      <c r="N22" s="216"/>
      <c r="O22" s="216"/>
    </row>
    <row r="23" spans="2:15" x14ac:dyDescent="0.2">
      <c r="B23" s="210"/>
      <c r="C23" s="211"/>
      <c r="D23" s="211"/>
      <c r="E23" s="211"/>
      <c r="F23" s="211"/>
      <c r="G23" s="211"/>
      <c r="H23" s="211"/>
      <c r="I23" s="211"/>
      <c r="J23" s="212"/>
      <c r="L23" s="216"/>
      <c r="M23" s="216"/>
      <c r="N23" s="216"/>
      <c r="O23" s="216"/>
    </row>
    <row r="24" spans="2:15" x14ac:dyDescent="0.2">
      <c r="B24" s="210"/>
      <c r="C24" s="211"/>
      <c r="D24" s="211"/>
      <c r="E24" s="211"/>
      <c r="F24" s="211"/>
      <c r="G24" s="211"/>
      <c r="H24" s="211"/>
      <c r="I24" s="211"/>
      <c r="J24" s="212"/>
      <c r="L24" s="216"/>
      <c r="M24" s="216"/>
      <c r="N24" s="216"/>
      <c r="O24" s="216"/>
    </row>
    <row r="25" spans="2:15" x14ac:dyDescent="0.2">
      <c r="B25" s="210"/>
      <c r="C25" s="211"/>
      <c r="D25" s="211"/>
      <c r="E25" s="211"/>
      <c r="F25" s="211"/>
      <c r="G25" s="211"/>
      <c r="H25" s="211"/>
      <c r="I25" s="211"/>
      <c r="J25" s="212"/>
      <c r="L25" s="216"/>
      <c r="M25" s="216"/>
      <c r="N25" s="216"/>
      <c r="O25" s="216"/>
    </row>
    <row r="26" spans="2:15" x14ac:dyDescent="0.2">
      <c r="B26" s="210"/>
      <c r="C26" s="211"/>
      <c r="D26" s="211"/>
      <c r="E26" s="211"/>
      <c r="F26" s="211"/>
      <c r="G26" s="211"/>
      <c r="H26" s="211"/>
      <c r="I26" s="211"/>
      <c r="J26" s="212"/>
      <c r="L26" s="216"/>
      <c r="M26" s="216"/>
      <c r="N26" s="216"/>
      <c r="O26" s="216"/>
    </row>
    <row r="27" spans="2:15" x14ac:dyDescent="0.2">
      <c r="B27" s="210"/>
      <c r="C27" s="211"/>
      <c r="D27" s="211"/>
      <c r="E27" s="211"/>
      <c r="F27" s="211"/>
      <c r="G27" s="211"/>
      <c r="H27" s="211"/>
      <c r="I27" s="211"/>
      <c r="J27" s="212"/>
      <c r="L27" s="216"/>
      <c r="M27" s="216"/>
      <c r="N27" s="216"/>
      <c r="O27" s="216"/>
    </row>
    <row r="28" spans="2:15" x14ac:dyDescent="0.2">
      <c r="B28" s="210"/>
      <c r="C28" s="211"/>
      <c r="D28" s="211"/>
      <c r="E28" s="211"/>
      <c r="F28" s="211"/>
      <c r="G28" s="211"/>
      <c r="H28" s="211"/>
      <c r="I28" s="211"/>
      <c r="J28" s="212"/>
      <c r="L28" s="216"/>
      <c r="M28" s="216"/>
      <c r="N28" s="216"/>
      <c r="O28" s="216"/>
    </row>
    <row r="29" spans="2:15" x14ac:dyDescent="0.2">
      <c r="B29" s="210"/>
      <c r="C29" s="211"/>
      <c r="D29" s="211"/>
      <c r="E29" s="211"/>
      <c r="F29" s="211"/>
      <c r="G29" s="211"/>
      <c r="H29" s="211"/>
      <c r="I29" s="211"/>
      <c r="J29" s="212"/>
      <c r="L29" s="216"/>
      <c r="M29" s="216"/>
      <c r="N29" s="216"/>
      <c r="O29" s="216"/>
    </row>
    <row r="30" spans="2:15" x14ac:dyDescent="0.2">
      <c r="B30" s="210"/>
      <c r="C30" s="211"/>
      <c r="D30" s="211"/>
      <c r="E30" s="211"/>
      <c r="F30" s="211"/>
      <c r="G30" s="211"/>
      <c r="H30" s="211"/>
      <c r="I30" s="211"/>
      <c r="J30" s="212"/>
      <c r="L30" s="216"/>
      <c r="M30" s="216"/>
      <c r="N30" s="216"/>
      <c r="O30" s="216"/>
    </row>
    <row r="31" spans="2:15" x14ac:dyDescent="0.2">
      <c r="B31" s="210"/>
      <c r="C31" s="211"/>
      <c r="D31" s="211"/>
      <c r="E31" s="211"/>
      <c r="F31" s="211"/>
      <c r="G31" s="211"/>
      <c r="H31" s="211"/>
      <c r="I31" s="211"/>
      <c r="J31" s="212"/>
      <c r="L31" s="216"/>
      <c r="M31" s="216"/>
      <c r="N31" s="216"/>
      <c r="O31" s="216"/>
    </row>
    <row r="32" spans="2:15" x14ac:dyDescent="0.2">
      <c r="B32" s="210"/>
      <c r="C32" s="211"/>
      <c r="D32" s="211"/>
      <c r="E32" s="211"/>
      <c r="F32" s="211"/>
      <c r="G32" s="211"/>
      <c r="H32" s="211"/>
      <c r="I32" s="211"/>
      <c r="J32" s="212"/>
    </row>
    <row r="33" spans="2:10" x14ac:dyDescent="0.2">
      <c r="B33" s="210"/>
      <c r="C33" s="211"/>
      <c r="D33" s="211"/>
      <c r="E33" s="211"/>
      <c r="F33" s="211"/>
      <c r="G33" s="211"/>
      <c r="H33" s="211"/>
      <c r="I33" s="211"/>
      <c r="J33" s="212"/>
    </row>
    <row r="34" spans="2:10" x14ac:dyDescent="0.2">
      <c r="B34" s="210"/>
      <c r="C34" s="211"/>
      <c r="D34" s="211"/>
      <c r="E34" s="211"/>
      <c r="F34" s="211"/>
      <c r="G34" s="211"/>
      <c r="H34" s="211"/>
      <c r="I34" s="211"/>
      <c r="J34" s="212"/>
    </row>
    <row r="35" spans="2:10" x14ac:dyDescent="0.2">
      <c r="B35" s="210"/>
      <c r="C35" s="211"/>
      <c r="D35" s="211"/>
      <c r="E35" s="211"/>
      <c r="F35" s="211"/>
      <c r="G35" s="211"/>
      <c r="H35" s="211"/>
      <c r="I35" s="211"/>
      <c r="J35" s="212"/>
    </row>
    <row r="36" spans="2:10" x14ac:dyDescent="0.2">
      <c r="B36" s="210"/>
      <c r="C36" s="211"/>
      <c r="D36" s="211"/>
      <c r="E36" s="211"/>
      <c r="F36" s="211"/>
      <c r="G36" s="211"/>
      <c r="H36" s="211"/>
      <c r="I36" s="211"/>
      <c r="J36" s="212"/>
    </row>
    <row r="37" spans="2:10" x14ac:dyDescent="0.2">
      <c r="B37" s="210"/>
      <c r="C37" s="211"/>
      <c r="D37" s="211"/>
      <c r="E37" s="211"/>
      <c r="F37" s="211"/>
      <c r="G37" s="211"/>
      <c r="H37" s="211"/>
      <c r="I37" s="211"/>
      <c r="J37" s="212"/>
    </row>
    <row r="38" spans="2:10" x14ac:dyDescent="0.2">
      <c r="B38" s="210"/>
      <c r="C38" s="211"/>
      <c r="D38" s="211"/>
      <c r="E38" s="211"/>
      <c r="F38" s="211"/>
      <c r="G38" s="211"/>
      <c r="H38" s="211"/>
      <c r="I38" s="211"/>
      <c r="J38" s="212"/>
    </row>
    <row r="39" spans="2:10" x14ac:dyDescent="0.2">
      <c r="B39" s="210"/>
      <c r="C39" s="211"/>
      <c r="D39" s="211"/>
      <c r="E39" s="211"/>
      <c r="F39" s="211"/>
      <c r="G39" s="211"/>
      <c r="H39" s="211"/>
      <c r="I39" s="211"/>
      <c r="J39" s="212"/>
    </row>
    <row r="40" spans="2:10" ht="14.25" customHeight="1" x14ac:dyDescent="0.2">
      <c r="B40" s="210"/>
      <c r="C40" s="211"/>
      <c r="D40" s="211"/>
      <c r="E40" s="211"/>
      <c r="F40" s="211"/>
      <c r="G40" s="211"/>
      <c r="H40" s="211"/>
      <c r="I40" s="211"/>
      <c r="J40" s="212"/>
    </row>
    <row r="41" spans="2:10" x14ac:dyDescent="0.2">
      <c r="B41" s="210"/>
      <c r="C41" s="211"/>
      <c r="D41" s="211"/>
      <c r="E41" s="211"/>
      <c r="F41" s="211"/>
      <c r="G41" s="211"/>
      <c r="H41" s="211"/>
      <c r="I41" s="211"/>
      <c r="J41" s="212"/>
    </row>
    <row r="42" spans="2:10" x14ac:dyDescent="0.2">
      <c r="B42" s="210"/>
      <c r="C42" s="211"/>
      <c r="D42" s="211"/>
      <c r="E42" s="211"/>
      <c r="F42" s="211"/>
      <c r="G42" s="211"/>
      <c r="H42" s="211"/>
      <c r="I42" s="211"/>
      <c r="J42" s="212"/>
    </row>
    <row r="43" spans="2:10" x14ac:dyDescent="0.2">
      <c r="B43" s="210"/>
      <c r="C43" s="211"/>
      <c r="D43" s="211"/>
      <c r="E43" s="211"/>
      <c r="F43" s="211"/>
      <c r="G43" s="211"/>
      <c r="H43" s="211"/>
      <c r="I43" s="211"/>
      <c r="J43" s="212"/>
    </row>
    <row r="44" spans="2:10" x14ac:dyDescent="0.2">
      <c r="B44" s="210"/>
      <c r="C44" s="211"/>
      <c r="D44" s="211"/>
      <c r="E44" s="211"/>
      <c r="F44" s="211"/>
      <c r="G44" s="211"/>
      <c r="H44" s="211"/>
      <c r="I44" s="211"/>
      <c r="J44" s="212"/>
    </row>
    <row r="45" spans="2:10" x14ac:dyDescent="0.2">
      <c r="B45" s="210"/>
      <c r="C45" s="211"/>
      <c r="D45" s="211"/>
      <c r="E45" s="211"/>
      <c r="F45" s="211"/>
      <c r="G45" s="211"/>
      <c r="H45" s="211"/>
      <c r="I45" s="211"/>
      <c r="J45" s="212"/>
    </row>
    <row r="46" spans="2:10" x14ac:dyDescent="0.2">
      <c r="B46" s="210"/>
      <c r="C46" s="211"/>
      <c r="D46" s="211"/>
      <c r="E46" s="211"/>
      <c r="F46" s="211"/>
      <c r="G46" s="211"/>
      <c r="H46" s="211"/>
      <c r="I46" s="211"/>
      <c r="J46" s="212"/>
    </row>
    <row r="47" spans="2:10" x14ac:dyDescent="0.2">
      <c r="B47" s="210"/>
      <c r="C47" s="211"/>
      <c r="D47" s="211"/>
      <c r="E47" s="211"/>
      <c r="F47" s="211"/>
      <c r="G47" s="211"/>
      <c r="H47" s="211"/>
      <c r="I47" s="211"/>
      <c r="J47" s="212"/>
    </row>
    <row r="48" spans="2:10" x14ac:dyDescent="0.2">
      <c r="B48" s="210"/>
      <c r="C48" s="211"/>
      <c r="D48" s="211"/>
      <c r="E48" s="211"/>
      <c r="F48" s="211"/>
      <c r="G48" s="211"/>
      <c r="H48" s="211"/>
      <c r="I48" s="211"/>
      <c r="J48" s="212"/>
    </row>
    <row r="49" spans="2:10" x14ac:dyDescent="0.2">
      <c r="B49" s="210"/>
      <c r="C49" s="211"/>
      <c r="D49" s="211"/>
      <c r="E49" s="211"/>
      <c r="F49" s="211"/>
      <c r="G49" s="211"/>
      <c r="H49" s="211"/>
      <c r="I49" s="211"/>
      <c r="J49" s="212"/>
    </row>
    <row r="50" spans="2:10" x14ac:dyDescent="0.2">
      <c r="B50" s="210"/>
      <c r="C50" s="211"/>
      <c r="D50" s="211"/>
      <c r="E50" s="211"/>
      <c r="F50" s="211"/>
      <c r="G50" s="211"/>
      <c r="H50" s="211"/>
      <c r="I50" s="211"/>
      <c r="J50" s="212"/>
    </row>
    <row r="51" spans="2:10" x14ac:dyDescent="0.2">
      <c r="B51" s="210"/>
      <c r="C51" s="211"/>
      <c r="D51" s="211"/>
      <c r="E51" s="211"/>
      <c r="F51" s="211"/>
      <c r="G51" s="211"/>
      <c r="H51" s="211"/>
      <c r="I51" s="211"/>
      <c r="J51" s="212"/>
    </row>
    <row r="52" spans="2:10" x14ac:dyDescent="0.2">
      <c r="B52" s="210"/>
      <c r="C52" s="211"/>
      <c r="D52" s="211"/>
      <c r="E52" s="211"/>
      <c r="F52" s="211"/>
      <c r="G52" s="211"/>
      <c r="H52" s="211"/>
      <c r="I52" s="211"/>
      <c r="J52" s="212"/>
    </row>
    <row r="53" spans="2:10" x14ac:dyDescent="0.2">
      <c r="B53" s="210"/>
      <c r="C53" s="211"/>
      <c r="D53" s="211"/>
      <c r="E53" s="211"/>
      <c r="F53" s="211"/>
      <c r="G53" s="211"/>
      <c r="H53" s="211"/>
      <c r="I53" s="211"/>
      <c r="J53" s="212"/>
    </row>
    <row r="54" spans="2:10" x14ac:dyDescent="0.2">
      <c r="B54" s="213"/>
      <c r="C54" s="214"/>
      <c r="D54" s="214"/>
      <c r="E54" s="214"/>
      <c r="F54" s="214"/>
      <c r="G54" s="214"/>
      <c r="H54" s="214"/>
      <c r="I54" s="214"/>
      <c r="J54" s="215"/>
    </row>
    <row r="66" spans="7:7" x14ac:dyDescent="0.2">
      <c r="G66" s="3"/>
    </row>
  </sheetData>
  <mergeCells count="4">
    <mergeCell ref="B5:J18"/>
    <mergeCell ref="B22:J54"/>
    <mergeCell ref="L5:O14"/>
    <mergeCell ref="L22:O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sheetPr>
  <dimension ref="A1:L74"/>
  <sheetViews>
    <sheetView showGridLines="0" zoomScaleNormal="100" workbookViewId="0">
      <selection activeCell="O27" sqref="O27"/>
    </sheetView>
  </sheetViews>
  <sheetFormatPr defaultColWidth="9.28515625" defaultRowHeight="15" x14ac:dyDescent="0.2"/>
  <cols>
    <col min="1" max="1" width="28.42578125" style="2" customWidth="1"/>
    <col min="2" max="2" width="8.28515625" style="16" customWidth="1"/>
    <col min="3" max="3" width="15.28515625" style="16" customWidth="1"/>
    <col min="4" max="4" width="14.140625" style="16" customWidth="1"/>
    <col min="5" max="5" width="20.28515625" style="16" customWidth="1"/>
    <col min="6" max="6" width="10.5703125" style="16" customWidth="1"/>
    <col min="7" max="7" width="11.28515625" style="20" customWidth="1"/>
    <col min="8" max="8" width="19.5703125" style="21" customWidth="1"/>
    <col min="9" max="16384" width="9.28515625" style="2"/>
  </cols>
  <sheetData>
    <row r="1" spans="1:11" x14ac:dyDescent="0.2">
      <c r="A1" s="2" t="str">
        <f>+'Cover Page'!$B$29</f>
        <v>Annual Performance Report 2022</v>
      </c>
      <c r="B1" s="2"/>
      <c r="C1" s="2"/>
      <c r="D1" s="2"/>
      <c r="E1" s="2" t="str">
        <f>+'Cover Page'!$B$33</f>
        <v>Addenbrooke's Hospital  Incinerator</v>
      </c>
      <c r="F1" s="2"/>
      <c r="G1" s="2"/>
      <c r="H1" s="2"/>
    </row>
    <row r="3" spans="1:11" ht="15.75" x14ac:dyDescent="0.25">
      <c r="A3" s="1" t="s">
        <v>284</v>
      </c>
      <c r="K3" s="22"/>
    </row>
    <row r="4" spans="1:11" x14ac:dyDescent="0.2">
      <c r="A4" s="23" t="s">
        <v>26</v>
      </c>
      <c r="B4" s="223">
        <v>3500</v>
      </c>
      <c r="C4" s="223"/>
      <c r="D4" s="25" t="s">
        <v>27</v>
      </c>
      <c r="E4" s="24"/>
      <c r="F4" s="25" t="s">
        <v>28</v>
      </c>
      <c r="G4" s="24"/>
      <c r="H4" s="129" t="s">
        <v>29</v>
      </c>
      <c r="K4" s="22"/>
    </row>
    <row r="5" spans="1:11" ht="15.75" x14ac:dyDescent="0.25">
      <c r="A5" s="26" t="s">
        <v>30</v>
      </c>
      <c r="B5" s="27">
        <v>2</v>
      </c>
      <c r="C5" s="28"/>
      <c r="D5" s="28" t="s">
        <v>31</v>
      </c>
      <c r="E5" s="28"/>
      <c r="F5" s="29">
        <v>0</v>
      </c>
      <c r="G5" s="30"/>
      <c r="H5" s="31"/>
      <c r="K5" s="22"/>
    </row>
    <row r="6" spans="1:11" x14ac:dyDescent="0.2">
      <c r="A6" s="3"/>
    </row>
    <row r="7" spans="1:11" ht="15.75" x14ac:dyDescent="0.25">
      <c r="A7" s="11" t="s">
        <v>32</v>
      </c>
      <c r="B7" s="32" t="s">
        <v>33</v>
      </c>
      <c r="C7" s="33" t="s">
        <v>34</v>
      </c>
      <c r="D7" s="33" t="s">
        <v>35</v>
      </c>
      <c r="E7" s="33" t="s">
        <v>36</v>
      </c>
      <c r="F7" s="33" t="s">
        <v>37</v>
      </c>
      <c r="G7" s="34" t="s">
        <v>38</v>
      </c>
      <c r="H7" s="35" t="s">
        <v>39</v>
      </c>
    </row>
    <row r="8" spans="1:11" ht="15.75" customHeight="1" x14ac:dyDescent="0.2">
      <c r="A8" s="36" t="s">
        <v>298</v>
      </c>
      <c r="B8" s="217" t="s">
        <v>40</v>
      </c>
      <c r="C8" s="37"/>
      <c r="D8" s="37"/>
      <c r="E8" s="37"/>
      <c r="F8" s="37"/>
      <c r="G8" s="38">
        <f>SUM(C8:F8)</f>
        <v>0</v>
      </c>
      <c r="H8" s="39" t="str">
        <f t="shared" ref="H8:H15" si="0">IF(G8&gt;0,G8/$G$18,"-")</f>
        <v>-</v>
      </c>
    </row>
    <row r="9" spans="1:11" x14ac:dyDescent="0.2">
      <c r="A9" s="40" t="s">
        <v>41</v>
      </c>
      <c r="B9" s="218"/>
      <c r="C9" s="41"/>
      <c r="D9" s="41"/>
      <c r="E9" s="41"/>
      <c r="F9" s="41"/>
      <c r="G9" s="42">
        <f t="shared" ref="G9:G15" si="1">SUM(C9:F9)</f>
        <v>0</v>
      </c>
      <c r="H9" s="39" t="str">
        <f t="shared" si="0"/>
        <v>-</v>
      </c>
    </row>
    <row r="10" spans="1:11" x14ac:dyDescent="0.2">
      <c r="A10" s="40" t="s">
        <v>42</v>
      </c>
      <c r="B10" s="218"/>
      <c r="C10" s="41"/>
      <c r="D10" s="41"/>
      <c r="E10" s="41"/>
      <c r="F10" s="41"/>
      <c r="G10" s="42">
        <f t="shared" si="1"/>
        <v>0</v>
      </c>
      <c r="H10" s="39" t="str">
        <f t="shared" si="0"/>
        <v>-</v>
      </c>
    </row>
    <row r="11" spans="1:11" x14ac:dyDescent="0.2">
      <c r="A11" s="40" t="s">
        <v>43</v>
      </c>
      <c r="B11" s="218"/>
      <c r="C11" s="41">
        <v>631.30999999999995</v>
      </c>
      <c r="D11" s="41">
        <v>622.59</v>
      </c>
      <c r="E11" s="41">
        <v>628.29999999999995</v>
      </c>
      <c r="F11" s="41">
        <v>641.07000000000005</v>
      </c>
      <c r="G11" s="42">
        <f t="shared" si="1"/>
        <v>2523.27</v>
      </c>
      <c r="H11" s="39">
        <f t="shared" si="0"/>
        <v>1</v>
      </c>
    </row>
    <row r="12" spans="1:11" x14ac:dyDescent="0.2">
      <c r="A12" s="40" t="s">
        <v>44</v>
      </c>
      <c r="B12" s="218"/>
      <c r="C12" s="41"/>
      <c r="D12" s="41"/>
      <c r="E12" s="41"/>
      <c r="F12" s="41"/>
      <c r="G12" s="42">
        <f t="shared" si="1"/>
        <v>0</v>
      </c>
      <c r="H12" s="39" t="str">
        <f t="shared" si="0"/>
        <v>-</v>
      </c>
    </row>
    <row r="13" spans="1:11" x14ac:dyDescent="0.2">
      <c r="A13" s="40" t="s">
        <v>45</v>
      </c>
      <c r="B13" s="218"/>
      <c r="C13" s="41"/>
      <c r="D13" s="41"/>
      <c r="E13" s="41"/>
      <c r="F13" s="41"/>
      <c r="G13" s="42">
        <f t="shared" si="1"/>
        <v>0</v>
      </c>
      <c r="H13" s="39" t="str">
        <f t="shared" si="0"/>
        <v>-</v>
      </c>
    </row>
    <row r="14" spans="1:11" x14ac:dyDescent="0.2">
      <c r="A14" s="40" t="s">
        <v>46</v>
      </c>
      <c r="B14" s="218"/>
      <c r="C14" s="41"/>
      <c r="D14" s="41"/>
      <c r="E14" s="41"/>
      <c r="F14" s="41"/>
      <c r="G14" s="42">
        <f t="shared" si="1"/>
        <v>0</v>
      </c>
      <c r="H14" s="39" t="str">
        <f t="shared" si="0"/>
        <v>-</v>
      </c>
    </row>
    <row r="15" spans="1:11" x14ac:dyDescent="0.2">
      <c r="A15" s="134" t="s">
        <v>300</v>
      </c>
      <c r="B15" s="218"/>
      <c r="C15" s="41"/>
      <c r="D15" s="41"/>
      <c r="E15" s="41"/>
      <c r="F15" s="41"/>
      <c r="G15" s="42">
        <f t="shared" si="1"/>
        <v>0</v>
      </c>
      <c r="H15" s="39" t="str">
        <f t="shared" si="0"/>
        <v>-</v>
      </c>
    </row>
    <row r="16" spans="1:11" x14ac:dyDescent="0.2">
      <c r="A16" s="134" t="s">
        <v>300</v>
      </c>
      <c r="B16" s="218"/>
      <c r="C16" s="41"/>
      <c r="D16" s="41"/>
      <c r="E16" s="41"/>
      <c r="F16" s="41"/>
      <c r="G16" s="42"/>
      <c r="H16" s="39"/>
    </row>
    <row r="17" spans="1:12" x14ac:dyDescent="0.2">
      <c r="A17" s="134" t="s">
        <v>300</v>
      </c>
      <c r="B17" s="218"/>
      <c r="C17" s="41"/>
      <c r="D17" s="41"/>
      <c r="E17" s="41"/>
      <c r="F17" s="41"/>
      <c r="G17" s="42"/>
      <c r="H17" s="39"/>
    </row>
    <row r="18" spans="1:12" x14ac:dyDescent="0.2">
      <c r="A18" s="43" t="s">
        <v>47</v>
      </c>
      <c r="B18" s="218"/>
      <c r="C18" s="42">
        <f>SUM(C8:C17)</f>
        <v>631.30999999999995</v>
      </c>
      <c r="D18" s="42">
        <f>SUM(D8:D17)</f>
        <v>622.59</v>
      </c>
      <c r="E18" s="42">
        <f>SUM(E8:E17)</f>
        <v>628.29999999999995</v>
      </c>
      <c r="F18" s="42">
        <f>SUM(F8:F17)</f>
        <v>641.07000000000005</v>
      </c>
      <c r="G18" s="42">
        <f>SUM(G8:G17)</f>
        <v>2523.27</v>
      </c>
      <c r="H18" s="39">
        <f>IF(G18&gt;0,G18/$G$18,"-")</f>
        <v>1</v>
      </c>
    </row>
    <row r="19" spans="1:12" x14ac:dyDescent="0.2">
      <c r="A19" s="40" t="s">
        <v>48</v>
      </c>
      <c r="B19" s="218"/>
      <c r="C19" s="41"/>
      <c r="D19" s="41"/>
      <c r="E19" s="41"/>
      <c r="F19" s="41"/>
      <c r="G19" s="42">
        <f t="shared" ref="G19" si="2">SUM(C19:F19)</f>
        <v>0</v>
      </c>
      <c r="H19" s="39" t="str">
        <f t="shared" ref="H19" si="3">IF(G19&gt;0,G19/$G$18,"-")</f>
        <v>-</v>
      </c>
    </row>
    <row r="20" spans="1:12" x14ac:dyDescent="0.2">
      <c r="A20" s="44" t="s">
        <v>314</v>
      </c>
      <c r="B20" s="219"/>
      <c r="C20" s="45"/>
      <c r="D20" s="45"/>
      <c r="E20" s="45"/>
      <c r="F20" s="45"/>
      <c r="G20" s="46">
        <f t="shared" ref="G20" si="4">SUM(C20:F20)</f>
        <v>0</v>
      </c>
      <c r="H20" s="64" t="str">
        <f>IF(G20&gt;0,G20/$G$18,"-")</f>
        <v>-</v>
      </c>
    </row>
    <row r="21" spans="1:12" x14ac:dyDescent="0.2">
      <c r="A21" s="3"/>
      <c r="C21" s="21"/>
      <c r="D21" s="21"/>
      <c r="E21" s="21"/>
      <c r="F21" s="21"/>
      <c r="G21" s="47"/>
    </row>
    <row r="22" spans="1:12" ht="15.75" x14ac:dyDescent="0.25">
      <c r="A22" s="11" t="s">
        <v>49</v>
      </c>
      <c r="B22" s="32" t="s">
        <v>33</v>
      </c>
      <c r="C22" s="48" t="s">
        <v>34</v>
      </c>
      <c r="D22" s="48" t="s">
        <v>35</v>
      </c>
      <c r="E22" s="48" t="s">
        <v>36</v>
      </c>
      <c r="F22" s="48" t="s">
        <v>37</v>
      </c>
      <c r="G22" s="49" t="s">
        <v>38</v>
      </c>
      <c r="H22" s="50" t="s">
        <v>50</v>
      </c>
    </row>
    <row r="23" spans="1:12" ht="15" customHeight="1" x14ac:dyDescent="0.2">
      <c r="A23" s="51" t="s">
        <v>51</v>
      </c>
      <c r="B23" s="217" t="s">
        <v>52</v>
      </c>
      <c r="C23" s="37"/>
      <c r="D23" s="37"/>
      <c r="E23" s="37"/>
      <c r="F23" s="37"/>
      <c r="G23" s="38">
        <f t="shared" ref="G23:G26" si="5">SUM(C23:F23)</f>
        <v>0</v>
      </c>
      <c r="H23" s="52" t="str">
        <f>IF(G23&gt;0,G23*1000/$G$18,"-")</f>
        <v>-</v>
      </c>
    </row>
    <row r="24" spans="1:12" x14ac:dyDescent="0.2">
      <c r="A24" s="53" t="s">
        <v>53</v>
      </c>
      <c r="B24" s="218"/>
      <c r="C24" s="41"/>
      <c r="D24" s="41"/>
      <c r="E24" s="41"/>
      <c r="F24" s="41"/>
      <c r="G24" s="42">
        <f>SUM(C24:F24)</f>
        <v>0</v>
      </c>
      <c r="H24" s="54" t="str">
        <f t="shared" ref="H24:H29" si="6">IF(G24&gt;0,G24*1000/$G$18,"-")</f>
        <v>-</v>
      </c>
    </row>
    <row r="25" spans="1:12" x14ac:dyDescent="0.2">
      <c r="A25" s="168" t="s">
        <v>54</v>
      </c>
      <c r="B25" s="218"/>
      <c r="C25" s="41">
        <v>254</v>
      </c>
      <c r="D25" s="41">
        <v>239</v>
      </c>
      <c r="E25" s="41">
        <v>247</v>
      </c>
      <c r="F25" s="41">
        <v>245</v>
      </c>
      <c r="G25" s="42">
        <f>SUM(C25:F25)</f>
        <v>985</v>
      </c>
      <c r="H25" s="54">
        <f t="shared" si="6"/>
        <v>390.36646890740985</v>
      </c>
    </row>
    <row r="26" spans="1:12" x14ac:dyDescent="0.2">
      <c r="A26" s="168" t="s">
        <v>55</v>
      </c>
      <c r="B26" s="218"/>
      <c r="C26" s="41">
        <v>254</v>
      </c>
      <c r="D26" s="41">
        <v>239</v>
      </c>
      <c r="E26" s="41">
        <v>247</v>
      </c>
      <c r="F26" s="41">
        <v>245</v>
      </c>
      <c r="G26" s="42">
        <f t="shared" si="5"/>
        <v>985</v>
      </c>
      <c r="H26" s="54">
        <f t="shared" si="6"/>
        <v>390.36646890740985</v>
      </c>
    </row>
    <row r="27" spans="1:12" x14ac:dyDescent="0.2">
      <c r="A27" s="53" t="s">
        <v>56</v>
      </c>
      <c r="B27" s="55" t="s">
        <v>39</v>
      </c>
      <c r="C27" s="56" t="str">
        <f>IF(C23&gt;0,1-C24/(C23+C26),"-")</f>
        <v>-</v>
      </c>
      <c r="D27" s="56" t="str">
        <f t="shared" ref="D27:G27" si="7">IF(D23&gt;0,1-D24/(D23+D26),"-")</f>
        <v>-</v>
      </c>
      <c r="E27" s="56" t="str">
        <f t="shared" si="7"/>
        <v>-</v>
      </c>
      <c r="F27" s="56" t="str">
        <f t="shared" si="7"/>
        <v>-</v>
      </c>
      <c r="G27" s="56" t="str">
        <f t="shared" si="7"/>
        <v>-</v>
      </c>
      <c r="H27" s="54"/>
    </row>
    <row r="28" spans="1:12" x14ac:dyDescent="0.2">
      <c r="A28" s="167" t="s">
        <v>57</v>
      </c>
      <c r="B28" s="224" t="s">
        <v>58</v>
      </c>
      <c r="C28" s="41"/>
      <c r="D28" s="41"/>
      <c r="E28" s="41"/>
      <c r="F28" s="41"/>
      <c r="G28" s="42">
        <f t="shared" ref="G28:G29" si="8">SUM(C28:F28)</f>
        <v>0</v>
      </c>
      <c r="H28" s="54" t="str">
        <f t="shared" si="6"/>
        <v>-</v>
      </c>
    </row>
    <row r="29" spans="1:12" x14ac:dyDescent="0.2">
      <c r="A29" s="53" t="s">
        <v>59</v>
      </c>
      <c r="B29" s="224"/>
      <c r="C29" s="41"/>
      <c r="D29" s="41"/>
      <c r="E29" s="41"/>
      <c r="F29" s="41"/>
      <c r="G29" s="42">
        <f t="shared" si="8"/>
        <v>0</v>
      </c>
      <c r="H29" s="54" t="str">
        <f t="shared" si="6"/>
        <v>-</v>
      </c>
      <c r="K29" s="22"/>
      <c r="L29" s="22"/>
    </row>
    <row r="30" spans="1:12" x14ac:dyDescent="0.2">
      <c r="A30" s="57" t="s">
        <v>60</v>
      </c>
      <c r="B30" s="58"/>
      <c r="C30" s="220"/>
      <c r="D30" s="220"/>
      <c r="E30" s="220"/>
      <c r="F30" s="220"/>
      <c r="G30" s="221" t="s">
        <v>61</v>
      </c>
      <c r="H30" s="222"/>
      <c r="L30" s="22"/>
    </row>
    <row r="31" spans="1:12" x14ac:dyDescent="0.2">
      <c r="A31" s="3"/>
      <c r="C31" s="21"/>
      <c r="D31" s="21"/>
      <c r="E31" s="21"/>
      <c r="F31" s="21"/>
      <c r="G31" s="47"/>
      <c r="L31" s="22"/>
    </row>
    <row r="32" spans="1:12" ht="15.75" x14ac:dyDescent="0.25">
      <c r="A32" s="11" t="s">
        <v>62</v>
      </c>
      <c r="B32" s="59" t="s">
        <v>33</v>
      </c>
      <c r="C32" s="48" t="s">
        <v>34</v>
      </c>
      <c r="D32" s="48" t="s">
        <v>35</v>
      </c>
      <c r="E32" s="48" t="s">
        <v>36</v>
      </c>
      <c r="F32" s="48" t="s">
        <v>37</v>
      </c>
      <c r="G32" s="49" t="s">
        <v>38</v>
      </c>
      <c r="H32" s="60" t="s">
        <v>63</v>
      </c>
      <c r="L32" s="22"/>
    </row>
    <row r="33" spans="1:12" ht="15" customHeight="1" x14ac:dyDescent="0.2">
      <c r="A33" s="51" t="s">
        <v>64</v>
      </c>
      <c r="B33" s="217" t="s">
        <v>40</v>
      </c>
      <c r="C33" s="37">
        <v>49.32</v>
      </c>
      <c r="D33" s="37">
        <v>46.54</v>
      </c>
      <c r="E33" s="37">
        <v>49.3</v>
      </c>
      <c r="F33" s="37">
        <v>47.04</v>
      </c>
      <c r="G33" s="38">
        <f t="shared" ref="G33:G34" si="9">SUM(C33:F33)</f>
        <v>192.2</v>
      </c>
      <c r="H33" s="61">
        <f>IF(G33&gt;0,G33/$G$18,"-")</f>
        <v>7.617100032893824E-2</v>
      </c>
      <c r="K33" s="22"/>
      <c r="L33" s="22"/>
    </row>
    <row r="34" spans="1:12" ht="15" customHeight="1" x14ac:dyDescent="0.2">
      <c r="A34" s="53" t="s">
        <v>65</v>
      </c>
      <c r="B34" s="218"/>
      <c r="C34" s="41">
        <v>51.18</v>
      </c>
      <c r="D34" s="41">
        <v>54.04</v>
      </c>
      <c r="E34" s="41">
        <v>54.38</v>
      </c>
      <c r="F34" s="41">
        <v>56.94</v>
      </c>
      <c r="G34" s="42">
        <f t="shared" si="9"/>
        <v>216.54</v>
      </c>
      <c r="H34" s="39">
        <f>IF(G34&gt;0,G34/$G$18,"-")</f>
        <v>8.5817213377878704E-2</v>
      </c>
      <c r="K34" s="22"/>
      <c r="L34" s="22"/>
    </row>
    <row r="35" spans="1:12" ht="15" customHeight="1" x14ac:dyDescent="0.2">
      <c r="A35" s="53" t="s">
        <v>66</v>
      </c>
      <c r="B35" s="218"/>
      <c r="C35" s="41"/>
      <c r="D35" s="41"/>
      <c r="E35" s="41"/>
      <c r="F35" s="41"/>
      <c r="G35" s="42">
        <f t="shared" ref="G35:G38" si="10">SUM(C35:F35)</f>
        <v>0</v>
      </c>
      <c r="H35" s="39" t="str">
        <f>IF(G35&gt;0,G35/$G$18,"-")</f>
        <v>-</v>
      </c>
    </row>
    <row r="36" spans="1:12" x14ac:dyDescent="0.2">
      <c r="A36" s="62" t="s">
        <v>67</v>
      </c>
      <c r="B36" s="218"/>
      <c r="C36" s="41">
        <v>0</v>
      </c>
      <c r="D36" s="41">
        <v>0</v>
      </c>
      <c r="E36" s="41">
        <v>0</v>
      </c>
      <c r="F36" s="41">
        <v>0</v>
      </c>
      <c r="G36" s="42">
        <f t="shared" ref="G36" si="11">SUM(C36:F36)</f>
        <v>0</v>
      </c>
      <c r="H36" s="39" t="str">
        <f>IF(G36&gt;0,G36/$G$18,"-")</f>
        <v>-</v>
      </c>
    </row>
    <row r="37" spans="1:12" x14ac:dyDescent="0.2">
      <c r="A37" s="62" t="s">
        <v>67</v>
      </c>
      <c r="B37" s="218"/>
      <c r="C37" s="41">
        <v>0</v>
      </c>
      <c r="D37" s="41">
        <v>0</v>
      </c>
      <c r="E37" s="41">
        <v>0</v>
      </c>
      <c r="F37" s="41">
        <v>0</v>
      </c>
      <c r="G37" s="42">
        <f t="shared" si="10"/>
        <v>0</v>
      </c>
      <c r="H37" s="39" t="str">
        <f>IF(G37&gt;0,G37/$G$18,"-")</f>
        <v>-</v>
      </c>
    </row>
    <row r="38" spans="1:12" x14ac:dyDescent="0.2">
      <c r="A38" s="63" t="s">
        <v>67</v>
      </c>
      <c r="B38" s="219"/>
      <c r="C38" s="45">
        <v>0</v>
      </c>
      <c r="D38" s="45">
        <v>0</v>
      </c>
      <c r="E38" s="45">
        <v>0</v>
      </c>
      <c r="F38" s="45">
        <v>0</v>
      </c>
      <c r="G38" s="46">
        <f t="shared" si="10"/>
        <v>0</v>
      </c>
      <c r="H38" s="64" t="str">
        <f t="shared" ref="H38" si="12">IF(G38&gt;0,G38/$G$18,"-")</f>
        <v>-</v>
      </c>
    </row>
    <row r="39" spans="1:12" x14ac:dyDescent="0.2">
      <c r="A39" s="16"/>
      <c r="C39" s="21"/>
      <c r="D39" s="21"/>
      <c r="E39" s="21"/>
      <c r="F39" s="21"/>
      <c r="G39" s="47"/>
    </row>
    <row r="40" spans="1:12" ht="15.75" x14ac:dyDescent="0.25">
      <c r="A40" s="11" t="s">
        <v>68</v>
      </c>
      <c r="B40" s="65" t="s">
        <v>33</v>
      </c>
      <c r="C40" s="33" t="s">
        <v>34</v>
      </c>
      <c r="D40" s="33" t="s">
        <v>35</v>
      </c>
      <c r="E40" s="33" t="s">
        <v>36</v>
      </c>
      <c r="F40" s="33" t="s">
        <v>37</v>
      </c>
      <c r="G40" s="34" t="s">
        <v>38</v>
      </c>
      <c r="H40" s="50" t="s">
        <v>69</v>
      </c>
    </row>
    <row r="41" spans="1:12" ht="15.6" customHeight="1" x14ac:dyDescent="0.2">
      <c r="A41" s="166" t="s">
        <v>70</v>
      </c>
      <c r="B41" s="141" t="s">
        <v>71</v>
      </c>
      <c r="C41" s="37">
        <v>75</v>
      </c>
      <c r="D41" s="37">
        <v>93</v>
      </c>
      <c r="E41" s="37">
        <v>92</v>
      </c>
      <c r="F41" s="37">
        <v>70</v>
      </c>
      <c r="G41" s="38">
        <f t="shared" ref="G41:G48" si="13">SUM(C41:F41)</f>
        <v>330</v>
      </c>
      <c r="H41" s="133">
        <f>IF(G41&gt;0,G41*1000/$G$18,"-")</f>
        <v>130.78267486238096</v>
      </c>
    </row>
    <row r="42" spans="1:12" x14ac:dyDescent="0.2">
      <c r="A42" s="53" t="s">
        <v>72</v>
      </c>
      <c r="B42" s="142" t="s">
        <v>71</v>
      </c>
      <c r="C42" s="41">
        <v>0</v>
      </c>
      <c r="D42" s="41">
        <v>0</v>
      </c>
      <c r="E42" s="41">
        <v>0</v>
      </c>
      <c r="F42" s="41">
        <v>0</v>
      </c>
      <c r="G42" s="42">
        <f t="shared" si="13"/>
        <v>0</v>
      </c>
      <c r="H42" s="66" t="str">
        <f t="shared" ref="H42:H48" si="14">IF(G42&gt;0,G42*1000/$G$18,"-")</f>
        <v>-</v>
      </c>
    </row>
    <row r="43" spans="1:12" ht="15.6" customHeight="1" x14ac:dyDescent="0.2">
      <c r="A43" s="53" t="s">
        <v>299</v>
      </c>
      <c r="B43" s="55" t="s">
        <v>302</v>
      </c>
      <c r="C43" s="41">
        <v>0</v>
      </c>
      <c r="D43" s="41">
        <v>0</v>
      </c>
      <c r="E43" s="41">
        <v>0</v>
      </c>
      <c r="F43" s="41">
        <v>0</v>
      </c>
      <c r="G43" s="42">
        <f t="shared" si="13"/>
        <v>0</v>
      </c>
      <c r="H43" s="66" t="str">
        <f t="shared" si="14"/>
        <v>-</v>
      </c>
    </row>
    <row r="44" spans="1:12" x14ac:dyDescent="0.2">
      <c r="A44" s="53" t="s">
        <v>73</v>
      </c>
      <c r="B44" s="55" t="s">
        <v>302</v>
      </c>
      <c r="C44" s="41">
        <v>2</v>
      </c>
      <c r="D44" s="41">
        <v>2</v>
      </c>
      <c r="E44" s="41">
        <v>1</v>
      </c>
      <c r="F44" s="41">
        <v>1</v>
      </c>
      <c r="G44" s="42">
        <f t="shared" si="13"/>
        <v>6</v>
      </c>
      <c r="H44" s="66">
        <f t="shared" si="14"/>
        <v>2.3778668156796536</v>
      </c>
    </row>
    <row r="45" spans="1:12" x14ac:dyDescent="0.2">
      <c r="A45" s="53" t="s">
        <v>74</v>
      </c>
      <c r="B45" s="55" t="s">
        <v>302</v>
      </c>
      <c r="C45" s="41">
        <v>0</v>
      </c>
      <c r="D45" s="41">
        <v>0</v>
      </c>
      <c r="E45" s="41">
        <v>0</v>
      </c>
      <c r="F45" s="41">
        <v>0</v>
      </c>
      <c r="G45" s="42">
        <f t="shared" si="13"/>
        <v>0</v>
      </c>
      <c r="H45" s="66" t="str">
        <f t="shared" si="14"/>
        <v>-</v>
      </c>
    </row>
    <row r="46" spans="1:12" x14ac:dyDescent="0.2">
      <c r="A46" s="53" t="s">
        <v>75</v>
      </c>
      <c r="B46" s="55" t="s">
        <v>76</v>
      </c>
      <c r="C46" s="41">
        <v>0</v>
      </c>
      <c r="D46" s="41">
        <v>0</v>
      </c>
      <c r="E46" s="41">
        <v>0</v>
      </c>
      <c r="F46" s="41">
        <v>0</v>
      </c>
      <c r="G46" s="42">
        <f t="shared" si="13"/>
        <v>0</v>
      </c>
      <c r="H46" s="66" t="str">
        <f t="shared" si="14"/>
        <v>-</v>
      </c>
    </row>
    <row r="47" spans="1:12" x14ac:dyDescent="0.2">
      <c r="A47" s="167" t="s">
        <v>77</v>
      </c>
      <c r="B47" s="55" t="s">
        <v>78</v>
      </c>
      <c r="C47" s="41">
        <v>3204985</v>
      </c>
      <c r="D47" s="41">
        <v>1887767</v>
      </c>
      <c r="E47" s="41">
        <v>2521477</v>
      </c>
      <c r="F47" s="41">
        <v>2679063</v>
      </c>
      <c r="G47" s="42">
        <f t="shared" si="13"/>
        <v>10293292</v>
      </c>
      <c r="H47" s="66">
        <f t="shared" si="14"/>
        <v>4079346.2451501423</v>
      </c>
    </row>
    <row r="48" spans="1:12" x14ac:dyDescent="0.2">
      <c r="A48" s="57" t="s">
        <v>376</v>
      </c>
      <c r="B48" s="67" t="s">
        <v>40</v>
      </c>
      <c r="C48" s="45">
        <v>46.94</v>
      </c>
      <c r="D48" s="45">
        <v>50.14</v>
      </c>
      <c r="E48" s="45">
        <v>70.2</v>
      </c>
      <c r="F48" s="45">
        <v>47.58</v>
      </c>
      <c r="G48" s="46">
        <f t="shared" si="13"/>
        <v>214.86</v>
      </c>
      <c r="H48" s="68">
        <f t="shared" si="14"/>
        <v>85.151410669488399</v>
      </c>
    </row>
    <row r="49" spans="1:8" x14ac:dyDescent="0.2">
      <c r="A49" s="16"/>
      <c r="C49" s="21"/>
      <c r="D49" s="21"/>
      <c r="E49" s="21"/>
      <c r="F49" s="21"/>
      <c r="G49" s="47"/>
    </row>
    <row r="50" spans="1:8" ht="15.75" x14ac:dyDescent="0.25">
      <c r="A50" s="11" t="s">
        <v>79</v>
      </c>
      <c r="B50" s="69" t="s">
        <v>307</v>
      </c>
      <c r="C50" s="48" t="s">
        <v>34</v>
      </c>
      <c r="D50" s="48" t="s">
        <v>35</v>
      </c>
      <c r="E50" s="48" t="s">
        <v>36</v>
      </c>
      <c r="F50" s="48" t="s">
        <v>37</v>
      </c>
      <c r="G50" s="49" t="s">
        <v>38</v>
      </c>
      <c r="H50" s="50"/>
    </row>
    <row r="51" spans="1:8" ht="14.25" customHeight="1" x14ac:dyDescent="0.2">
      <c r="A51" s="51" t="s">
        <v>80</v>
      </c>
      <c r="B51" s="48">
        <v>1</v>
      </c>
      <c r="C51" s="37">
        <v>1984</v>
      </c>
      <c r="D51" s="37">
        <v>1207</v>
      </c>
      <c r="E51" s="37">
        <v>1710.5</v>
      </c>
      <c r="F51" s="37">
        <v>2040.5</v>
      </c>
      <c r="G51" s="38">
        <f t="shared" ref="G51:G61" si="15">SUM(C51:F51)</f>
        <v>6942</v>
      </c>
      <c r="H51" s="61" t="s">
        <v>305</v>
      </c>
    </row>
    <row r="52" spans="1:8" ht="14.25" customHeight="1" x14ac:dyDescent="0.2">
      <c r="A52" s="53" t="s">
        <v>80</v>
      </c>
      <c r="B52" s="131">
        <v>2</v>
      </c>
      <c r="C52" s="132">
        <v>1545</v>
      </c>
      <c r="D52" s="132">
        <v>1925.5</v>
      </c>
      <c r="E52" s="132">
        <v>1779</v>
      </c>
      <c r="F52" s="132">
        <v>1977.5</v>
      </c>
      <c r="G52" s="42">
        <f t="shared" si="15"/>
        <v>7227</v>
      </c>
      <c r="H52" s="39" t="s">
        <v>306</v>
      </c>
    </row>
    <row r="53" spans="1:8" ht="14.25" customHeight="1" x14ac:dyDescent="0.2">
      <c r="A53" s="53" t="s">
        <v>80</v>
      </c>
      <c r="B53" s="131">
        <v>3</v>
      </c>
      <c r="C53" s="132"/>
      <c r="D53" s="132"/>
      <c r="E53" s="132"/>
      <c r="F53" s="132"/>
      <c r="G53" s="42">
        <f t="shared" si="15"/>
        <v>0</v>
      </c>
      <c r="H53" s="39" t="s">
        <v>306</v>
      </c>
    </row>
    <row r="54" spans="1:8" ht="14.25" customHeight="1" x14ac:dyDescent="0.2">
      <c r="A54" s="53" t="s">
        <v>80</v>
      </c>
      <c r="B54" s="131">
        <v>4</v>
      </c>
      <c r="C54" s="132"/>
      <c r="D54" s="132"/>
      <c r="E54" s="132"/>
      <c r="F54" s="132"/>
      <c r="G54" s="42">
        <f t="shared" si="15"/>
        <v>0</v>
      </c>
      <c r="H54" s="39" t="s">
        <v>306</v>
      </c>
    </row>
    <row r="55" spans="1:8" ht="14.25" customHeight="1" x14ac:dyDescent="0.2">
      <c r="A55" s="53" t="s">
        <v>80</v>
      </c>
      <c r="B55" s="131">
        <v>5</v>
      </c>
      <c r="C55" s="132"/>
      <c r="D55" s="132"/>
      <c r="E55" s="132"/>
      <c r="F55" s="132"/>
      <c r="G55" s="42">
        <f t="shared" ref="G55" si="16">SUM(C55:F55)</f>
        <v>0</v>
      </c>
      <c r="H55" s="39" t="s">
        <v>306</v>
      </c>
    </row>
    <row r="56" spans="1:8" ht="14.25" customHeight="1" x14ac:dyDescent="0.2">
      <c r="A56" s="53" t="s">
        <v>81</v>
      </c>
      <c r="B56" s="131">
        <v>1</v>
      </c>
      <c r="C56" s="132"/>
      <c r="D56" s="132"/>
      <c r="E56" s="132"/>
      <c r="F56" s="132"/>
      <c r="G56" s="42">
        <f t="shared" si="15"/>
        <v>0</v>
      </c>
      <c r="H56" s="39" t="s">
        <v>306</v>
      </c>
    </row>
    <row r="57" spans="1:8" x14ac:dyDescent="0.2">
      <c r="A57" s="53" t="s">
        <v>81</v>
      </c>
      <c r="B57" s="21">
        <v>2</v>
      </c>
      <c r="C57" s="41"/>
      <c r="D57" s="41"/>
      <c r="E57" s="41"/>
      <c r="F57" s="41"/>
      <c r="G57" s="42">
        <f t="shared" si="15"/>
        <v>0</v>
      </c>
      <c r="H57" s="39" t="s">
        <v>306</v>
      </c>
    </row>
    <row r="58" spans="1:8" x14ac:dyDescent="0.2">
      <c r="A58" s="53" t="s">
        <v>82</v>
      </c>
      <c r="B58" s="21"/>
      <c r="C58" s="41">
        <f>SUM(C51:C52)</f>
        <v>3529</v>
      </c>
      <c r="D58" s="41">
        <f>SUM(D51:D52)</f>
        <v>3132.5</v>
      </c>
      <c r="E58" s="41">
        <f>SUM(E51:E52)</f>
        <v>3489.5</v>
      </c>
      <c r="F58" s="41">
        <f>SUM(F51:F52)</f>
        <v>4018</v>
      </c>
      <c r="G58" s="42">
        <f t="shared" si="15"/>
        <v>14169</v>
      </c>
      <c r="H58" s="39" t="str">
        <f>IF(B58&gt;0,G57/8760,"n/a")</f>
        <v>n/a</v>
      </c>
    </row>
    <row r="59" spans="1:8" x14ac:dyDescent="0.2">
      <c r="A59" s="53" t="s">
        <v>83</v>
      </c>
      <c r="B59" s="21" t="s">
        <v>84</v>
      </c>
      <c r="C59" s="41">
        <v>2</v>
      </c>
      <c r="D59" s="41">
        <v>2</v>
      </c>
      <c r="E59" s="41">
        <v>0</v>
      </c>
      <c r="F59" s="41">
        <v>0</v>
      </c>
      <c r="G59" s="42">
        <f t="shared" si="15"/>
        <v>4</v>
      </c>
      <c r="H59" s="54" t="str">
        <f>IF(G59&gt;0,"yes","no")</f>
        <v>yes</v>
      </c>
    </row>
    <row r="60" spans="1:8" x14ac:dyDescent="0.2">
      <c r="A60" s="53" t="s">
        <v>85</v>
      </c>
      <c r="B60" s="21" t="s">
        <v>86</v>
      </c>
      <c r="C60" s="41">
        <v>4</v>
      </c>
      <c r="D60" s="41">
        <v>1</v>
      </c>
      <c r="E60" s="41">
        <v>0</v>
      </c>
      <c r="F60" s="41">
        <v>0</v>
      </c>
      <c r="G60" s="42">
        <f t="shared" si="15"/>
        <v>5</v>
      </c>
      <c r="H60" s="70">
        <f>+(G60)/8760</f>
        <v>5.7077625570776253E-4</v>
      </c>
    </row>
    <row r="61" spans="1:8" x14ac:dyDescent="0.2">
      <c r="A61" s="57" t="s">
        <v>87</v>
      </c>
      <c r="B61" s="71" t="s">
        <v>84</v>
      </c>
      <c r="C61" s="45">
        <v>1</v>
      </c>
      <c r="D61" s="45">
        <v>4</v>
      </c>
      <c r="E61" s="45">
        <v>5</v>
      </c>
      <c r="F61" s="45">
        <v>2</v>
      </c>
      <c r="G61" s="46">
        <f t="shared" si="15"/>
        <v>12</v>
      </c>
      <c r="H61" s="72" t="str">
        <f>IF(G61&gt;0,"yes","no")</f>
        <v>yes</v>
      </c>
    </row>
    <row r="74" spans="6:6" x14ac:dyDescent="0.2">
      <c r="F74" s="3"/>
    </row>
  </sheetData>
  <mergeCells count="7">
    <mergeCell ref="B33:B38"/>
    <mergeCell ref="C30:F30"/>
    <mergeCell ref="G30:H30"/>
    <mergeCell ref="B4:C4"/>
    <mergeCell ref="B8:B20"/>
    <mergeCell ref="B23:B26"/>
    <mergeCell ref="B28:B29"/>
  </mergeCells>
  <phoneticPr fontId="25" type="noConversion"/>
  <pageMargins left="0.7" right="0.7" top="0.75" bottom="0.75" header="0.3" footer="0.3"/>
  <pageSetup paperSize="9" scale="87" orientation="portrait" r:id="rId1"/>
  <headerFooter scaleWithDoc="0">
    <oddFooter>&amp;C&amp;"Arial,Regular"Page &amp;P</oddFooter>
  </headerFooter>
  <ignoredErrors>
    <ignoredError sqref="G56:G57 G52:G54"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A1:N66"/>
  <sheetViews>
    <sheetView showGridLines="0" zoomScaleNormal="100" workbookViewId="0">
      <selection activeCell="L15" sqref="L15"/>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4" x14ac:dyDescent="0.2">
      <c r="A1" s="2" t="str">
        <f>+'Cover Page'!$B$29</f>
        <v>Annual Performance Report 2022</v>
      </c>
      <c r="E1" s="2" t="str">
        <f>+'Cover Page'!$B$33</f>
        <v>Addenbrooke's Hospital  Incinerator</v>
      </c>
    </row>
    <row r="3" spans="1:14" ht="15.75" x14ac:dyDescent="0.25">
      <c r="A3" s="99" t="s">
        <v>24</v>
      </c>
      <c r="B3" s="100"/>
      <c r="C3" s="100"/>
      <c r="D3" s="100"/>
      <c r="E3" s="100"/>
      <c r="F3" s="100"/>
      <c r="G3" s="100"/>
      <c r="H3" s="100"/>
      <c r="I3" s="101"/>
      <c r="K3" s="150" t="s">
        <v>315</v>
      </c>
    </row>
    <row r="4" spans="1:14" x14ac:dyDescent="0.2">
      <c r="A4" s="102"/>
      <c r="B4" s="103"/>
      <c r="C4" s="103"/>
      <c r="D4" s="103"/>
      <c r="E4" s="103"/>
      <c r="F4" s="103"/>
      <c r="G4" s="103"/>
      <c r="H4" s="103"/>
      <c r="I4" s="104"/>
    </row>
    <row r="5" spans="1:14" ht="15.75" customHeight="1" x14ac:dyDescent="0.2">
      <c r="A5" s="199" t="s">
        <v>438</v>
      </c>
      <c r="B5" s="200"/>
      <c r="C5" s="200"/>
      <c r="D5" s="200"/>
      <c r="E5" s="200"/>
      <c r="F5" s="200"/>
      <c r="G5" s="200"/>
      <c r="H5" s="200"/>
      <c r="I5" s="201"/>
      <c r="K5" s="216" t="s">
        <v>332</v>
      </c>
      <c r="L5" s="216"/>
      <c r="M5" s="216"/>
      <c r="N5" s="216"/>
    </row>
    <row r="6" spans="1:14" x14ac:dyDescent="0.2">
      <c r="A6" s="202"/>
      <c r="B6" s="203"/>
      <c r="C6" s="203"/>
      <c r="D6" s="203"/>
      <c r="E6" s="203"/>
      <c r="F6" s="203"/>
      <c r="G6" s="203"/>
      <c r="H6" s="203"/>
      <c r="I6" s="204"/>
      <c r="K6" s="216"/>
      <c r="L6" s="216"/>
      <c r="M6" s="216"/>
      <c r="N6" s="216"/>
    </row>
    <row r="7" spans="1:14" x14ac:dyDescent="0.2">
      <c r="A7" s="202"/>
      <c r="B7" s="203"/>
      <c r="C7" s="203"/>
      <c r="D7" s="203"/>
      <c r="E7" s="203"/>
      <c r="F7" s="203"/>
      <c r="G7" s="203"/>
      <c r="H7" s="203"/>
      <c r="I7" s="204"/>
      <c r="K7" s="216"/>
      <c r="L7" s="216"/>
      <c r="M7" s="216"/>
      <c r="N7" s="216"/>
    </row>
    <row r="8" spans="1:14" ht="15.75" customHeight="1" x14ac:dyDescent="0.2">
      <c r="A8" s="202"/>
      <c r="B8" s="203"/>
      <c r="C8" s="203"/>
      <c r="D8" s="203"/>
      <c r="E8" s="203"/>
      <c r="F8" s="203"/>
      <c r="G8" s="203"/>
      <c r="H8" s="203"/>
      <c r="I8" s="204"/>
      <c r="K8" s="216"/>
      <c r="L8" s="216"/>
      <c r="M8" s="216"/>
      <c r="N8" s="216"/>
    </row>
    <row r="9" spans="1:14" ht="15.75" customHeight="1" x14ac:dyDescent="0.2">
      <c r="A9" s="202"/>
      <c r="B9" s="203"/>
      <c r="C9" s="203"/>
      <c r="D9" s="203"/>
      <c r="E9" s="203"/>
      <c r="F9" s="203"/>
      <c r="G9" s="203"/>
      <c r="H9" s="203"/>
      <c r="I9" s="204"/>
      <c r="K9" s="216"/>
      <c r="L9" s="216"/>
      <c r="M9" s="216"/>
      <c r="N9" s="216"/>
    </row>
    <row r="10" spans="1:14" ht="15.75" customHeight="1" x14ac:dyDescent="0.2">
      <c r="A10" s="202"/>
      <c r="B10" s="203"/>
      <c r="C10" s="203"/>
      <c r="D10" s="203"/>
      <c r="E10" s="203"/>
      <c r="F10" s="203"/>
      <c r="G10" s="203"/>
      <c r="H10" s="203"/>
      <c r="I10" s="204"/>
      <c r="K10" s="216"/>
      <c r="L10" s="216"/>
      <c r="M10" s="216"/>
      <c r="N10" s="216"/>
    </row>
    <row r="11" spans="1:14" ht="15.75" customHeight="1" x14ac:dyDescent="0.2">
      <c r="A11" s="202"/>
      <c r="B11" s="203"/>
      <c r="C11" s="203"/>
      <c r="D11" s="203"/>
      <c r="E11" s="203"/>
      <c r="F11" s="203"/>
      <c r="G11" s="203"/>
      <c r="H11" s="203"/>
      <c r="I11" s="204"/>
      <c r="K11" s="216"/>
      <c r="L11" s="216"/>
      <c r="M11" s="216"/>
      <c r="N11" s="216"/>
    </row>
    <row r="12" spans="1:14" ht="15.75" customHeight="1" x14ac:dyDescent="0.2">
      <c r="A12" s="202"/>
      <c r="B12" s="203"/>
      <c r="C12" s="203"/>
      <c r="D12" s="203"/>
      <c r="E12" s="203"/>
      <c r="F12" s="203"/>
      <c r="G12" s="203"/>
      <c r="H12" s="203"/>
      <c r="I12" s="204"/>
      <c r="K12" s="216"/>
      <c r="L12" s="216"/>
      <c r="M12" s="216"/>
      <c r="N12" s="216"/>
    </row>
    <row r="13" spans="1:14" ht="15.75" customHeight="1" x14ac:dyDescent="0.2">
      <c r="A13" s="202"/>
      <c r="B13" s="203"/>
      <c r="C13" s="203"/>
      <c r="D13" s="203"/>
      <c r="E13" s="203"/>
      <c r="F13" s="203"/>
      <c r="G13" s="203"/>
      <c r="H13" s="203"/>
      <c r="I13" s="204"/>
      <c r="K13" s="216"/>
      <c r="L13" s="216"/>
      <c r="M13" s="216"/>
      <c r="N13" s="216"/>
    </row>
    <row r="14" spans="1:14" ht="15.75" customHeight="1" x14ac:dyDescent="0.2">
      <c r="A14" s="202"/>
      <c r="B14" s="203"/>
      <c r="C14" s="203"/>
      <c r="D14" s="203"/>
      <c r="E14" s="203"/>
      <c r="F14" s="203"/>
      <c r="G14" s="203"/>
      <c r="H14" s="203"/>
      <c r="I14" s="204"/>
      <c r="K14" s="216"/>
      <c r="L14" s="216"/>
      <c r="M14" s="216"/>
      <c r="N14" s="216"/>
    </row>
    <row r="15" spans="1:14" ht="15.75" customHeight="1" x14ac:dyDescent="0.2">
      <c r="A15" s="202"/>
      <c r="B15" s="203"/>
      <c r="C15" s="203"/>
      <c r="D15" s="203"/>
      <c r="E15" s="203"/>
      <c r="F15" s="203"/>
      <c r="G15" s="203"/>
      <c r="H15" s="203"/>
      <c r="I15" s="204"/>
    </row>
    <row r="16" spans="1:14" ht="15.75" customHeight="1" x14ac:dyDescent="0.2">
      <c r="A16" s="202"/>
      <c r="B16" s="203"/>
      <c r="C16" s="203"/>
      <c r="D16" s="203"/>
      <c r="E16" s="203"/>
      <c r="F16" s="203"/>
      <c r="G16" s="203"/>
      <c r="H16" s="203"/>
      <c r="I16" s="204"/>
    </row>
    <row r="17" spans="1:14" ht="15.75" customHeight="1" x14ac:dyDescent="0.2">
      <c r="A17" s="202"/>
      <c r="B17" s="203"/>
      <c r="C17" s="203"/>
      <c r="D17" s="203"/>
      <c r="E17" s="203"/>
      <c r="F17" s="203"/>
      <c r="G17" s="203"/>
      <c r="H17" s="203"/>
      <c r="I17" s="204"/>
    </row>
    <row r="18" spans="1:14" x14ac:dyDescent="0.2">
      <c r="A18" s="202"/>
      <c r="B18" s="203"/>
      <c r="C18" s="203"/>
      <c r="D18" s="203"/>
      <c r="E18" s="203"/>
      <c r="F18" s="203"/>
      <c r="G18" s="203"/>
      <c r="H18" s="203"/>
      <c r="I18" s="204"/>
    </row>
    <row r="19" spans="1:14" x14ac:dyDescent="0.2">
      <c r="A19" s="202"/>
      <c r="B19" s="203"/>
      <c r="C19" s="203"/>
      <c r="D19" s="203"/>
      <c r="E19" s="203"/>
      <c r="F19" s="203"/>
      <c r="G19" s="203"/>
      <c r="H19" s="203"/>
      <c r="I19" s="204"/>
    </row>
    <row r="20" spans="1:14" x14ac:dyDescent="0.2">
      <c r="A20" s="202"/>
      <c r="B20" s="203"/>
      <c r="C20" s="203"/>
      <c r="D20" s="203"/>
      <c r="E20" s="203"/>
      <c r="F20" s="203"/>
      <c r="G20" s="203"/>
      <c r="H20" s="203"/>
      <c r="I20" s="204"/>
    </row>
    <row r="21" spans="1:14" x14ac:dyDescent="0.2">
      <c r="A21" s="202"/>
      <c r="B21" s="203"/>
      <c r="C21" s="203"/>
      <c r="D21" s="203"/>
      <c r="E21" s="203"/>
      <c r="F21" s="203"/>
      <c r="G21" s="203"/>
      <c r="H21" s="203"/>
      <c r="I21" s="204"/>
    </row>
    <row r="22" spans="1:14" ht="15.4" customHeight="1" x14ac:dyDescent="0.2">
      <c r="A22" s="202"/>
      <c r="B22" s="203"/>
      <c r="C22" s="203"/>
      <c r="D22" s="203"/>
      <c r="E22" s="203"/>
      <c r="F22" s="203"/>
      <c r="G22" s="203"/>
      <c r="H22" s="203"/>
      <c r="I22" s="204"/>
      <c r="K22" s="151"/>
      <c r="L22" s="151"/>
      <c r="M22" s="151"/>
      <c r="N22" s="151"/>
    </row>
    <row r="23" spans="1:14" x14ac:dyDescent="0.2">
      <c r="A23" s="202"/>
      <c r="B23" s="203"/>
      <c r="C23" s="203"/>
      <c r="D23" s="203"/>
      <c r="E23" s="203"/>
      <c r="F23" s="203"/>
      <c r="G23" s="203"/>
      <c r="H23" s="203"/>
      <c r="I23" s="204"/>
      <c r="K23" s="151"/>
      <c r="L23" s="151"/>
      <c r="M23" s="151"/>
      <c r="N23" s="151"/>
    </row>
    <row r="24" spans="1:14" x14ac:dyDescent="0.2">
      <c r="A24" s="202"/>
      <c r="B24" s="203"/>
      <c r="C24" s="203"/>
      <c r="D24" s="203"/>
      <c r="E24" s="203"/>
      <c r="F24" s="203"/>
      <c r="G24" s="203"/>
      <c r="H24" s="203"/>
      <c r="I24" s="204"/>
      <c r="K24" s="151"/>
      <c r="L24" s="151"/>
      <c r="M24" s="151"/>
      <c r="N24" s="151"/>
    </row>
    <row r="25" spans="1:14" x14ac:dyDescent="0.2">
      <c r="A25" s="202"/>
      <c r="B25" s="203"/>
      <c r="C25" s="203"/>
      <c r="D25" s="203"/>
      <c r="E25" s="203"/>
      <c r="F25" s="203"/>
      <c r="G25" s="203"/>
      <c r="H25" s="203"/>
      <c r="I25" s="204"/>
      <c r="K25" s="151"/>
      <c r="L25" s="151"/>
      <c r="M25" s="151"/>
      <c r="N25" s="151"/>
    </row>
    <row r="26" spans="1:14" x14ac:dyDescent="0.2">
      <c r="A26" s="202"/>
      <c r="B26" s="203"/>
      <c r="C26" s="203"/>
      <c r="D26" s="203"/>
      <c r="E26" s="203"/>
      <c r="F26" s="203"/>
      <c r="G26" s="203"/>
      <c r="H26" s="203"/>
      <c r="I26" s="204"/>
      <c r="K26" s="151"/>
      <c r="L26" s="151"/>
      <c r="M26" s="151"/>
      <c r="N26" s="151"/>
    </row>
    <row r="27" spans="1:14" x14ac:dyDescent="0.2">
      <c r="A27" s="205"/>
      <c r="B27" s="206"/>
      <c r="C27" s="206"/>
      <c r="D27" s="206"/>
      <c r="E27" s="206"/>
      <c r="F27" s="206"/>
      <c r="G27" s="206"/>
      <c r="H27" s="206"/>
      <c r="I27" s="207"/>
      <c r="K27" s="151"/>
      <c r="L27" s="151"/>
      <c r="M27" s="151"/>
      <c r="N27" s="151"/>
    </row>
    <row r="28" spans="1:14" x14ac:dyDescent="0.2">
      <c r="K28" s="151"/>
      <c r="L28" s="151"/>
      <c r="M28" s="151"/>
      <c r="N28" s="151"/>
    </row>
    <row r="29" spans="1:14" ht="15.75" x14ac:dyDescent="0.25">
      <c r="A29" s="99" t="s">
        <v>205</v>
      </c>
      <c r="B29" s="100"/>
      <c r="C29" s="100"/>
      <c r="D29" s="100"/>
      <c r="E29" s="100"/>
      <c r="F29" s="100"/>
      <c r="G29" s="100"/>
      <c r="H29" s="100"/>
      <c r="I29" s="101"/>
      <c r="K29" s="151"/>
      <c r="L29" s="151"/>
      <c r="M29" s="151"/>
      <c r="N29" s="151"/>
    </row>
    <row r="30" spans="1:14" x14ac:dyDescent="0.2">
      <c r="A30" s="102"/>
      <c r="B30" s="103"/>
      <c r="C30" s="103"/>
      <c r="D30" s="103"/>
      <c r="E30" s="103"/>
      <c r="F30" s="103"/>
      <c r="G30" s="103"/>
      <c r="H30" s="103"/>
      <c r="I30" s="104"/>
      <c r="K30" s="151"/>
      <c r="L30" s="151"/>
      <c r="M30" s="151"/>
      <c r="N30" s="151"/>
    </row>
    <row r="31" spans="1:14" x14ac:dyDescent="0.2">
      <c r="A31" s="199" t="s">
        <v>384</v>
      </c>
      <c r="B31" s="208"/>
      <c r="C31" s="208"/>
      <c r="D31" s="208"/>
      <c r="E31" s="208"/>
      <c r="F31" s="208"/>
      <c r="G31" s="208"/>
      <c r="H31" s="208"/>
      <c r="I31" s="209"/>
      <c r="K31" s="216" t="s">
        <v>333</v>
      </c>
      <c r="L31" s="216"/>
      <c r="M31" s="216"/>
      <c r="N31" s="216"/>
    </row>
    <row r="32" spans="1:14" x14ac:dyDescent="0.2">
      <c r="A32" s="210"/>
      <c r="B32" s="211"/>
      <c r="C32" s="211"/>
      <c r="D32" s="211"/>
      <c r="E32" s="211"/>
      <c r="F32" s="211"/>
      <c r="G32" s="211"/>
      <c r="H32" s="211"/>
      <c r="I32" s="212"/>
      <c r="K32" s="216"/>
      <c r="L32" s="216"/>
      <c r="M32" s="216"/>
      <c r="N32" s="216"/>
    </row>
    <row r="33" spans="1:14" x14ac:dyDescent="0.2">
      <c r="A33" s="210"/>
      <c r="B33" s="211"/>
      <c r="C33" s="211"/>
      <c r="D33" s="211"/>
      <c r="E33" s="211"/>
      <c r="F33" s="211"/>
      <c r="G33" s="211"/>
      <c r="H33" s="211"/>
      <c r="I33" s="212"/>
      <c r="K33" s="216"/>
      <c r="L33" s="216"/>
      <c r="M33" s="216"/>
      <c r="N33" s="216"/>
    </row>
    <row r="34" spans="1:14" x14ac:dyDescent="0.2">
      <c r="A34" s="210"/>
      <c r="B34" s="211"/>
      <c r="C34" s="211"/>
      <c r="D34" s="211"/>
      <c r="E34" s="211"/>
      <c r="F34" s="211"/>
      <c r="G34" s="211"/>
      <c r="H34" s="211"/>
      <c r="I34" s="212"/>
      <c r="K34" s="216"/>
      <c r="L34" s="216"/>
      <c r="M34" s="216"/>
      <c r="N34" s="216"/>
    </row>
    <row r="35" spans="1:14" x14ac:dyDescent="0.2">
      <c r="A35" s="210"/>
      <c r="B35" s="211"/>
      <c r="C35" s="211"/>
      <c r="D35" s="211"/>
      <c r="E35" s="211"/>
      <c r="F35" s="211"/>
      <c r="G35" s="211"/>
      <c r="H35" s="211"/>
      <c r="I35" s="212"/>
      <c r="K35" s="216"/>
      <c r="L35" s="216"/>
      <c r="M35" s="216"/>
      <c r="N35" s="216"/>
    </row>
    <row r="36" spans="1:14" x14ac:dyDescent="0.2">
      <c r="A36" s="210"/>
      <c r="B36" s="211"/>
      <c r="C36" s="211"/>
      <c r="D36" s="211"/>
      <c r="E36" s="211"/>
      <c r="F36" s="211"/>
      <c r="G36" s="211"/>
      <c r="H36" s="211"/>
      <c r="I36" s="212"/>
      <c r="K36" s="216"/>
      <c r="L36" s="216"/>
      <c r="M36" s="216"/>
      <c r="N36" s="216"/>
    </row>
    <row r="37" spans="1:14" x14ac:dyDescent="0.2">
      <c r="A37" s="210"/>
      <c r="B37" s="211"/>
      <c r="C37" s="211"/>
      <c r="D37" s="211"/>
      <c r="E37" s="211"/>
      <c r="F37" s="211"/>
      <c r="G37" s="211"/>
      <c r="H37" s="211"/>
      <c r="I37" s="212"/>
      <c r="K37" s="216"/>
      <c r="L37" s="216"/>
      <c r="M37" s="216"/>
      <c r="N37" s="216"/>
    </row>
    <row r="38" spans="1:14" ht="14.25" customHeight="1" x14ac:dyDescent="0.2">
      <c r="A38" s="210"/>
      <c r="B38" s="211"/>
      <c r="C38" s="211"/>
      <c r="D38" s="211"/>
      <c r="E38" s="211"/>
      <c r="F38" s="211"/>
      <c r="G38" s="211"/>
      <c r="H38" s="211"/>
      <c r="I38" s="212"/>
      <c r="K38" s="216"/>
      <c r="L38" s="216"/>
      <c r="M38" s="216"/>
      <c r="N38" s="216"/>
    </row>
    <row r="39" spans="1:14" x14ac:dyDescent="0.2">
      <c r="A39" s="210"/>
      <c r="B39" s="211"/>
      <c r="C39" s="211"/>
      <c r="D39" s="211"/>
      <c r="E39" s="211"/>
      <c r="F39" s="211"/>
      <c r="G39" s="211"/>
      <c r="H39" s="211"/>
      <c r="I39" s="212"/>
      <c r="K39" s="216"/>
      <c r="L39" s="216"/>
      <c r="M39" s="216"/>
      <c r="N39" s="216"/>
    </row>
    <row r="40" spans="1:14" x14ac:dyDescent="0.2">
      <c r="A40" s="210"/>
      <c r="B40" s="211"/>
      <c r="C40" s="211"/>
      <c r="D40" s="211"/>
      <c r="E40" s="211"/>
      <c r="F40" s="211"/>
      <c r="G40" s="211"/>
      <c r="H40" s="211"/>
      <c r="I40" s="212"/>
      <c r="K40" s="216"/>
      <c r="L40" s="216"/>
      <c r="M40" s="216"/>
      <c r="N40" s="216"/>
    </row>
    <row r="41" spans="1:14" x14ac:dyDescent="0.2">
      <c r="A41" s="210"/>
      <c r="B41" s="211"/>
      <c r="C41" s="211"/>
      <c r="D41" s="211"/>
      <c r="E41" s="211"/>
      <c r="F41" s="211"/>
      <c r="G41" s="211"/>
      <c r="H41" s="211"/>
      <c r="I41" s="212"/>
    </row>
    <row r="42" spans="1:14" x14ac:dyDescent="0.2">
      <c r="A42" s="210"/>
      <c r="B42" s="211"/>
      <c r="C42" s="211"/>
      <c r="D42" s="211"/>
      <c r="E42" s="211"/>
      <c r="F42" s="211"/>
      <c r="G42" s="211"/>
      <c r="H42" s="211"/>
      <c r="I42" s="212"/>
    </row>
    <row r="43" spans="1:14" x14ac:dyDescent="0.2">
      <c r="A43" s="210"/>
      <c r="B43" s="211"/>
      <c r="C43" s="211"/>
      <c r="D43" s="211"/>
      <c r="E43" s="211"/>
      <c r="F43" s="211"/>
      <c r="G43" s="211"/>
      <c r="H43" s="211"/>
      <c r="I43" s="212"/>
    </row>
    <row r="44" spans="1:14" x14ac:dyDescent="0.2">
      <c r="A44" s="210"/>
      <c r="B44" s="211"/>
      <c r="C44" s="211"/>
      <c r="D44" s="211"/>
      <c r="E44" s="211"/>
      <c r="F44" s="211"/>
      <c r="G44" s="211"/>
      <c r="H44" s="211"/>
      <c r="I44" s="212"/>
    </row>
    <row r="45" spans="1:14" x14ac:dyDescent="0.2">
      <c r="A45" s="210"/>
      <c r="B45" s="211"/>
      <c r="C45" s="211"/>
      <c r="D45" s="211"/>
      <c r="E45" s="211"/>
      <c r="F45" s="211"/>
      <c r="G45" s="211"/>
      <c r="H45" s="211"/>
      <c r="I45" s="212"/>
    </row>
    <row r="46" spans="1:14" x14ac:dyDescent="0.2">
      <c r="A46" s="210"/>
      <c r="B46" s="211"/>
      <c r="C46" s="211"/>
      <c r="D46" s="211"/>
      <c r="E46" s="211"/>
      <c r="F46" s="211"/>
      <c r="G46" s="211"/>
      <c r="H46" s="211"/>
      <c r="I46" s="212"/>
    </row>
    <row r="47" spans="1:14" x14ac:dyDescent="0.2">
      <c r="A47" s="210"/>
      <c r="B47" s="211"/>
      <c r="C47" s="211"/>
      <c r="D47" s="211"/>
      <c r="E47" s="211"/>
      <c r="F47" s="211"/>
      <c r="G47" s="211"/>
      <c r="H47" s="211"/>
      <c r="I47" s="212"/>
    </row>
    <row r="48" spans="1:14" x14ac:dyDescent="0.2">
      <c r="A48" s="210"/>
      <c r="B48" s="211"/>
      <c r="C48" s="211"/>
      <c r="D48" s="211"/>
      <c r="E48" s="211"/>
      <c r="F48" s="211"/>
      <c r="G48" s="211"/>
      <c r="H48" s="211"/>
      <c r="I48" s="212"/>
    </row>
    <row r="49" spans="1:9" x14ac:dyDescent="0.2">
      <c r="A49" s="210"/>
      <c r="B49" s="211"/>
      <c r="C49" s="211"/>
      <c r="D49" s="211"/>
      <c r="E49" s="211"/>
      <c r="F49" s="211"/>
      <c r="G49" s="211"/>
      <c r="H49" s="211"/>
      <c r="I49" s="212"/>
    </row>
    <row r="50" spans="1:9" x14ac:dyDescent="0.2">
      <c r="A50" s="210"/>
      <c r="B50" s="211"/>
      <c r="C50" s="211"/>
      <c r="D50" s="211"/>
      <c r="E50" s="211"/>
      <c r="F50" s="211"/>
      <c r="G50" s="211"/>
      <c r="H50" s="211"/>
      <c r="I50" s="212"/>
    </row>
    <row r="51" spans="1:9" x14ac:dyDescent="0.2">
      <c r="A51" s="210"/>
      <c r="B51" s="211"/>
      <c r="C51" s="211"/>
      <c r="D51" s="211"/>
      <c r="E51" s="211"/>
      <c r="F51" s="211"/>
      <c r="G51" s="211"/>
      <c r="H51" s="211"/>
      <c r="I51" s="212"/>
    </row>
    <row r="52" spans="1:9" x14ac:dyDescent="0.2">
      <c r="A52" s="213"/>
      <c r="B52" s="214"/>
      <c r="C52" s="214"/>
      <c r="D52" s="214"/>
      <c r="E52" s="214"/>
      <c r="F52" s="214"/>
      <c r="G52" s="214"/>
      <c r="H52" s="214"/>
      <c r="I52" s="215"/>
    </row>
    <row r="66" spans="6:6" x14ac:dyDescent="0.2">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sheetPr>
  <dimension ref="A1:J62"/>
  <sheetViews>
    <sheetView showGridLines="0" zoomScaleNormal="100" workbookViewId="0">
      <selection activeCell="O27" sqref="O27"/>
    </sheetView>
  </sheetViews>
  <sheetFormatPr defaultColWidth="9.28515625" defaultRowHeight="15" x14ac:dyDescent="0.2"/>
  <cols>
    <col min="1" max="16384" width="9.28515625" style="2"/>
  </cols>
  <sheetData>
    <row r="1" spans="1:10" ht="15.75" x14ac:dyDescent="0.25">
      <c r="A1" s="73">
        <v>2022</v>
      </c>
      <c r="B1" s="74" t="s">
        <v>88</v>
      </c>
      <c r="C1" s="74"/>
      <c r="D1" s="74"/>
      <c r="E1" s="74"/>
      <c r="F1" s="74"/>
      <c r="G1" s="74"/>
      <c r="H1" s="74"/>
      <c r="I1" s="74"/>
      <c r="J1" s="74"/>
    </row>
    <row r="2" spans="1:10" ht="8.25" customHeight="1" x14ac:dyDescent="0.2"/>
    <row r="3" spans="1:10" s="3" customFormat="1" ht="14.25" x14ac:dyDescent="0.2">
      <c r="A3" s="266" t="str">
        <f>+'Cover Page'!B31</f>
        <v>Permit EPR/WP3935SM</v>
      </c>
      <c r="B3" s="266"/>
      <c r="C3" s="266"/>
      <c r="D3" s="266"/>
      <c r="E3" s="266"/>
      <c r="F3" s="3" t="s">
        <v>89</v>
      </c>
      <c r="G3" s="267">
        <f>'Cover Page'!B37:I37</f>
        <v>0</v>
      </c>
      <c r="H3" s="267"/>
      <c r="I3" s="267"/>
    </row>
    <row r="4" spans="1:10" s="3" customFormat="1" ht="14.25" x14ac:dyDescent="0.2">
      <c r="A4" s="3" t="s">
        <v>90</v>
      </c>
      <c r="B4" s="266" t="str">
        <f>+'Cover Page'!B33:I33</f>
        <v>Addenbrooke's Hospital  Incinerator</v>
      </c>
      <c r="C4" s="266"/>
      <c r="D4" s="266"/>
      <c r="E4" s="266"/>
      <c r="F4" s="3" t="s">
        <v>91</v>
      </c>
      <c r="G4" s="3" t="s">
        <v>92</v>
      </c>
    </row>
    <row r="5" spans="1:10" s="3" customFormat="1" ht="6.75" customHeight="1" x14ac:dyDescent="0.2"/>
    <row r="6" spans="1:10" s="3" customFormat="1" ht="15.75" customHeight="1" x14ac:dyDescent="0.2">
      <c r="A6" s="3" t="s">
        <v>93</v>
      </c>
      <c r="D6" s="268" t="s">
        <v>431</v>
      </c>
      <c r="E6" s="268"/>
      <c r="F6" s="75" t="s">
        <v>94</v>
      </c>
      <c r="G6" s="268" t="s">
        <v>432</v>
      </c>
      <c r="H6" s="268"/>
    </row>
    <row r="7" spans="1:10" s="3" customFormat="1" ht="7.5" customHeight="1" x14ac:dyDescent="0.2"/>
    <row r="8" spans="1:10" s="3" customFormat="1" ht="15.75" x14ac:dyDescent="0.25">
      <c r="A8" s="11">
        <f>+A1</f>
        <v>2022</v>
      </c>
      <c r="B8" s="74" t="s">
        <v>95</v>
      </c>
      <c r="C8"/>
      <c r="D8"/>
      <c r="E8"/>
      <c r="F8"/>
      <c r="G8"/>
    </row>
    <row r="9" spans="1:10" s="3" customFormat="1" ht="28.5" customHeight="1" x14ac:dyDescent="0.2">
      <c r="A9" s="269" t="s">
        <v>96</v>
      </c>
      <c r="B9" s="269"/>
      <c r="C9" s="269" t="s">
        <v>97</v>
      </c>
      <c r="D9" s="269"/>
      <c r="E9" s="269" t="s">
        <v>98</v>
      </c>
      <c r="F9" s="269"/>
      <c r="G9" s="269" t="s">
        <v>99</v>
      </c>
      <c r="H9" s="269"/>
      <c r="I9" s="269" t="s">
        <v>100</v>
      </c>
      <c r="J9" s="269"/>
    </row>
    <row r="10" spans="1:10" s="3" customFormat="1" ht="14.25" customHeight="1" x14ac:dyDescent="0.2">
      <c r="A10" s="225" t="s">
        <v>101</v>
      </c>
      <c r="B10" s="225"/>
      <c r="C10" s="225"/>
      <c r="D10" s="225"/>
      <c r="E10" s="225"/>
      <c r="F10" s="225"/>
      <c r="G10" s="225"/>
      <c r="H10" s="225"/>
      <c r="I10" s="225"/>
      <c r="J10" s="225"/>
    </row>
    <row r="11" spans="1:10" s="3" customFormat="1" ht="14.25" customHeight="1" x14ac:dyDescent="0.2">
      <c r="A11" s="225" t="s">
        <v>102</v>
      </c>
      <c r="B11" s="225"/>
      <c r="C11" s="255" t="s">
        <v>380</v>
      </c>
      <c r="D11" s="255"/>
      <c r="E11" s="265">
        <f>'Operational Data'!G33</f>
        <v>192.2</v>
      </c>
      <c r="F11" s="265"/>
      <c r="G11" s="256"/>
      <c r="H11" s="256"/>
      <c r="I11" s="257">
        <f>IF((E11+G11)&gt;0,(E11+G11)/'Operational Data'!$G$18, "-")</f>
        <v>7.617100032893824E-2</v>
      </c>
      <c r="J11" s="257"/>
    </row>
    <row r="12" spans="1:10" s="3" customFormat="1" ht="14.25" customHeight="1" x14ac:dyDescent="0.2">
      <c r="A12" s="225" t="s">
        <v>103</v>
      </c>
      <c r="B12" s="225"/>
      <c r="C12" s="255" t="s">
        <v>379</v>
      </c>
      <c r="D12" s="255"/>
      <c r="E12" s="256">
        <f>'Operational Data'!G34</f>
        <v>216.54</v>
      </c>
      <c r="F12" s="256"/>
      <c r="G12" s="256"/>
      <c r="H12" s="256"/>
      <c r="I12" s="257">
        <f>IF((E12+G12)&gt;0,(E12+G12)/'Operational Data'!$G$18, "-")</f>
        <v>8.5817213377878704E-2</v>
      </c>
      <c r="J12" s="257"/>
    </row>
    <row r="13" spans="1:10" s="3" customFormat="1" ht="14.25" customHeight="1" x14ac:dyDescent="0.2">
      <c r="A13" s="263"/>
      <c r="B13" s="263"/>
      <c r="C13" s="255"/>
      <c r="D13" s="255"/>
      <c r="E13" s="256"/>
      <c r="F13" s="256"/>
      <c r="G13" s="256"/>
      <c r="H13" s="256"/>
      <c r="I13" s="257" t="str">
        <f>IF((E13+G13)&gt;0,(E13+G13)/'Operational Data'!$G$18, "-")</f>
        <v>-</v>
      </c>
      <c r="J13" s="257"/>
    </row>
    <row r="14" spans="1:10" s="3" customFormat="1" ht="14.25" customHeight="1" x14ac:dyDescent="0.2">
      <c r="A14" s="263"/>
      <c r="B14" s="263"/>
      <c r="C14" s="255"/>
      <c r="D14" s="255"/>
      <c r="E14" s="256"/>
      <c r="F14" s="256"/>
      <c r="G14" s="256"/>
      <c r="H14" s="256"/>
      <c r="I14" s="257" t="str">
        <f>IF((E14+G14)&gt;0,(E14+G14)/'Operational Data'!$G$18, "-")</f>
        <v>-</v>
      </c>
      <c r="J14" s="257"/>
    </row>
    <row r="15" spans="1:10" s="3" customFormat="1" ht="14.25" customHeight="1" x14ac:dyDescent="0.2">
      <c r="A15" s="264" t="s">
        <v>104</v>
      </c>
      <c r="B15" s="264"/>
      <c r="C15" s="264"/>
      <c r="D15" s="264"/>
      <c r="E15" s="259">
        <f>SUM(E11:F14)</f>
        <v>408.74</v>
      </c>
      <c r="F15" s="259"/>
      <c r="G15" s="259">
        <f>SUM(G11:H14)</f>
        <v>0</v>
      </c>
      <c r="H15" s="259"/>
      <c r="I15" s="257">
        <f>IF((E15+G15)&gt;0,(E15+G15)/'Operational Data'!$G$18, "-")</f>
        <v>0.16198821370681696</v>
      </c>
      <c r="J15" s="257"/>
    </row>
    <row r="16" spans="1:10" s="3" customFormat="1" ht="14.25" customHeight="1" x14ac:dyDescent="0.2">
      <c r="A16" s="229"/>
      <c r="B16" s="230"/>
      <c r="C16" s="230"/>
      <c r="D16" s="230"/>
      <c r="E16" s="260"/>
      <c r="F16" s="260"/>
      <c r="G16" s="260"/>
      <c r="H16" s="260"/>
      <c r="I16" s="261"/>
      <c r="J16" s="233"/>
    </row>
    <row r="17" spans="1:10" s="3" customFormat="1" ht="14.25" customHeight="1" x14ac:dyDescent="0.2">
      <c r="A17" s="262" t="s">
        <v>105</v>
      </c>
      <c r="B17" s="262"/>
      <c r="C17" s="262"/>
      <c r="D17" s="262"/>
      <c r="E17" s="262"/>
      <c r="F17" s="262"/>
      <c r="G17" s="262"/>
      <c r="H17" s="262"/>
      <c r="I17" s="262"/>
      <c r="J17" s="262"/>
    </row>
    <row r="18" spans="1:10" ht="14.25" customHeight="1" x14ac:dyDescent="0.2">
      <c r="A18" s="225" t="s">
        <v>103</v>
      </c>
      <c r="B18" s="225"/>
      <c r="C18" s="255"/>
      <c r="D18" s="255"/>
      <c r="E18" s="256"/>
      <c r="F18" s="256"/>
      <c r="G18" s="256"/>
      <c r="H18" s="256"/>
      <c r="I18" s="257" t="str">
        <f>IF((E18+G18)&gt;0,(E18+G18)/'Operational Data'!$G$18, "-")</f>
        <v>-</v>
      </c>
      <c r="J18" s="257"/>
    </row>
    <row r="19" spans="1:10" s="3" customFormat="1" ht="14.25" customHeight="1" x14ac:dyDescent="0.2">
      <c r="A19" s="225" t="s">
        <v>106</v>
      </c>
      <c r="B19" s="225"/>
      <c r="C19" s="255"/>
      <c r="D19" s="255"/>
      <c r="E19" s="256"/>
      <c r="F19" s="256"/>
      <c r="G19" s="256"/>
      <c r="H19" s="256"/>
      <c r="I19" s="257" t="str">
        <f>IF((E19+G19)&gt;0,(E19+G19)/'Operational Data'!$G$18, "-")</f>
        <v>-</v>
      </c>
      <c r="J19" s="257"/>
    </row>
    <row r="20" spans="1:10" s="3" customFormat="1" ht="14.25" customHeight="1" x14ac:dyDescent="0.2">
      <c r="A20" s="225" t="s">
        <v>107</v>
      </c>
      <c r="B20" s="225"/>
      <c r="C20" s="255"/>
      <c r="D20" s="255"/>
      <c r="E20" s="256"/>
      <c r="F20" s="256"/>
      <c r="G20" s="256"/>
      <c r="H20" s="256"/>
      <c r="I20" s="257" t="str">
        <f>IF((E20+G20)&gt;0,(E20+G20)/'Operational Data'!$G$18, "-")</f>
        <v>-</v>
      </c>
      <c r="J20" s="257"/>
    </row>
    <row r="21" spans="1:10" s="3" customFormat="1" ht="14.25" customHeight="1" x14ac:dyDescent="0.2">
      <c r="A21" s="254"/>
      <c r="B21" s="254"/>
      <c r="C21" s="255"/>
      <c r="D21" s="255"/>
      <c r="E21" s="256"/>
      <c r="F21" s="256"/>
      <c r="G21" s="256"/>
      <c r="H21" s="256"/>
      <c r="I21" s="257" t="str">
        <f>IF((E21+G21)&gt;0,(E21+G21)/'Operational Data'!$G$18, "-")</f>
        <v>-</v>
      </c>
      <c r="J21" s="257"/>
    </row>
    <row r="22" spans="1:10" s="3" customFormat="1" ht="14.25" customHeight="1" x14ac:dyDescent="0.2">
      <c r="A22" s="254"/>
      <c r="B22" s="254"/>
      <c r="C22" s="255"/>
      <c r="D22" s="255"/>
      <c r="E22" s="256"/>
      <c r="F22" s="256"/>
      <c r="G22" s="256"/>
      <c r="H22" s="256"/>
      <c r="I22" s="257" t="str">
        <f>IF((E22+G22)&gt;0,(E22+G22)/'Operational Data'!$G$18, "-")</f>
        <v>-</v>
      </c>
      <c r="J22" s="257"/>
    </row>
    <row r="23" spans="1:10" s="3" customFormat="1" ht="14.25" customHeight="1" x14ac:dyDescent="0.2">
      <c r="A23" s="258" t="s">
        <v>108</v>
      </c>
      <c r="B23" s="258"/>
      <c r="C23" s="258"/>
      <c r="D23" s="258"/>
      <c r="E23" s="259">
        <f>SUM(E18:F22)</f>
        <v>0</v>
      </c>
      <c r="F23" s="259"/>
      <c r="G23" s="259">
        <f>SUM(G18:H22)</f>
        <v>0</v>
      </c>
      <c r="H23" s="259"/>
      <c r="I23" s="257" t="str">
        <f>IF((E23+G23)&gt;0,(E23+G23)/'Operational Data'!$G$18, "-")</f>
        <v>-</v>
      </c>
      <c r="J23" s="257"/>
    </row>
    <row r="24" spans="1:10" s="3" customFormat="1" ht="14.25" customHeight="1" x14ac:dyDescent="0.2">
      <c r="A24" s="251" t="s">
        <v>109</v>
      </c>
      <c r="B24" s="251"/>
      <c r="C24" s="251"/>
      <c r="D24" s="251"/>
      <c r="E24" s="252">
        <f>+E23+E15</f>
        <v>408.74</v>
      </c>
      <c r="F24" s="252"/>
      <c r="G24" s="252">
        <f>+G23+G15</f>
        <v>0</v>
      </c>
      <c r="H24" s="252"/>
      <c r="I24" s="253">
        <f>IF((E24+G24)&gt;0,(E24+G24)/'Operational Data'!$G$18, "-")</f>
        <v>0.16198821370681696</v>
      </c>
      <c r="J24" s="253"/>
    </row>
    <row r="25" spans="1:10" s="3" customFormat="1" ht="8.25" customHeight="1" x14ac:dyDescent="0.25">
      <c r="A25" s="81"/>
      <c r="B25"/>
      <c r="C25"/>
      <c r="D25"/>
      <c r="E25"/>
      <c r="F25"/>
      <c r="G25"/>
    </row>
    <row r="26" spans="1:10" s="3" customFormat="1" ht="14.25" customHeight="1" x14ac:dyDescent="0.2">
      <c r="A26" s="226" t="s">
        <v>110</v>
      </c>
      <c r="B26" s="226"/>
      <c r="C26" s="226"/>
      <c r="D26" s="226"/>
      <c r="E26" s="226"/>
      <c r="F26" s="226"/>
      <c r="G26" s="226"/>
      <c r="H26" s="226"/>
      <c r="I26" s="226"/>
      <c r="J26" s="226"/>
    </row>
    <row r="27" spans="1:10" s="3" customFormat="1" ht="14.25" customHeight="1" x14ac:dyDescent="0.2">
      <c r="A27" s="227"/>
      <c r="B27" s="227"/>
      <c r="C27" s="227"/>
      <c r="D27" s="227"/>
      <c r="E27" s="227"/>
      <c r="F27" s="227"/>
      <c r="G27" s="227"/>
      <c r="H27" s="227"/>
      <c r="I27" s="227"/>
      <c r="J27" s="227"/>
    </row>
    <row r="28" spans="1:10" s="3" customFormat="1" ht="14.25" customHeight="1" x14ac:dyDescent="0.2">
      <c r="A28" s="227"/>
      <c r="B28" s="227"/>
      <c r="C28" s="227"/>
      <c r="D28" s="227"/>
      <c r="E28" s="227"/>
      <c r="F28" s="227"/>
      <c r="G28" s="227"/>
      <c r="H28" s="227"/>
      <c r="I28" s="227"/>
      <c r="J28" s="227"/>
    </row>
    <row r="29" spans="1:10" s="3" customFormat="1" ht="14.25" customHeight="1" x14ac:dyDescent="0.2">
      <c r="A29" s="227"/>
      <c r="B29" s="227"/>
      <c r="C29" s="227"/>
      <c r="D29" s="227"/>
      <c r="E29" s="227"/>
      <c r="F29" s="227"/>
      <c r="G29" s="227"/>
      <c r="H29" s="227"/>
      <c r="I29" s="227"/>
      <c r="J29" s="227"/>
    </row>
    <row r="30" spans="1:10" s="3" customFormat="1" ht="14.25" customHeight="1" x14ac:dyDescent="0.25">
      <c r="A30" s="81"/>
      <c r="B30"/>
      <c r="C30"/>
      <c r="D30"/>
      <c r="E30"/>
      <c r="F30"/>
      <c r="G30"/>
    </row>
    <row r="31" spans="1:10" s="3" customFormat="1" ht="14.25" customHeight="1" x14ac:dyDescent="0.25">
      <c r="A31" s="1">
        <f>+A1</f>
        <v>2022</v>
      </c>
      <c r="B31" s="74" t="s">
        <v>111</v>
      </c>
      <c r="C31" s="74"/>
      <c r="D31" s="74"/>
      <c r="E31" s="74"/>
      <c r="F31" s="74"/>
    </row>
    <row r="32" spans="1:10" s="3" customFormat="1" ht="24.75" customHeight="1" x14ac:dyDescent="0.2">
      <c r="A32" s="243" t="s">
        <v>112</v>
      </c>
      <c r="B32" s="244"/>
      <c r="C32" s="244"/>
      <c r="D32" s="245"/>
      <c r="E32" s="82" t="s">
        <v>113</v>
      </c>
      <c r="F32" s="83"/>
      <c r="G32" s="84" t="s">
        <v>33</v>
      </c>
      <c r="H32" s="246" t="s">
        <v>114</v>
      </c>
      <c r="I32" s="247"/>
      <c r="J32" s="85" t="s">
        <v>33</v>
      </c>
    </row>
    <row r="33" spans="1:10" s="3" customFormat="1" ht="14.25" customHeight="1" x14ac:dyDescent="0.2">
      <c r="A33" s="248" t="s">
        <v>70</v>
      </c>
      <c r="B33" s="249"/>
      <c r="C33" s="249"/>
      <c r="D33" s="250"/>
      <c r="E33" s="232">
        <f>'Operational Data'!G41</f>
        <v>330</v>
      </c>
      <c r="F33" s="233"/>
      <c r="G33" s="86" t="s">
        <v>71</v>
      </c>
      <c r="H33" s="234">
        <f>IF(E33&gt;0,E33/'Operational Data'!$G$18,"-")</f>
        <v>0.13078267486238096</v>
      </c>
      <c r="I33" s="235"/>
      <c r="J33" s="86" t="s">
        <v>115</v>
      </c>
    </row>
    <row r="34" spans="1:10" s="3" customFormat="1" ht="14.25" customHeight="1" x14ac:dyDescent="0.2">
      <c r="A34" s="248" t="s">
        <v>116</v>
      </c>
      <c r="B34" s="249"/>
      <c r="C34" s="249"/>
      <c r="D34" s="250"/>
      <c r="E34" s="232">
        <f>'Operational Data'!G41</f>
        <v>330</v>
      </c>
      <c r="F34" s="233"/>
      <c r="G34" s="86" t="s">
        <v>71</v>
      </c>
      <c r="H34" s="234">
        <f>IF(E34&gt;0,E34/'Operational Data'!$G$18,"-")</f>
        <v>0.13078267486238096</v>
      </c>
      <c r="I34" s="235"/>
      <c r="J34" s="86" t="s">
        <v>115</v>
      </c>
    </row>
    <row r="35" spans="1:10" s="3" customFormat="1" ht="14.25" customHeight="1" x14ac:dyDescent="0.2">
      <c r="A35" s="229" t="s">
        <v>117</v>
      </c>
      <c r="B35" s="230"/>
      <c r="C35" s="230"/>
      <c r="D35" s="231"/>
      <c r="E35" s="232">
        <f>+'Operational Data'!G43</f>
        <v>0</v>
      </c>
      <c r="F35" s="233"/>
      <c r="G35" s="86" t="s">
        <v>118</v>
      </c>
      <c r="H35" s="234" t="str">
        <f>IF(E35&gt;0,E35/'Operational Data'!$G$18,"-")</f>
        <v>-</v>
      </c>
      <c r="I35" s="235"/>
      <c r="J35" s="86" t="s">
        <v>119</v>
      </c>
    </row>
    <row r="36" spans="1:10" s="3" customFormat="1" ht="14.25" customHeight="1" x14ac:dyDescent="0.2">
      <c r="A36" s="229" t="s">
        <v>73</v>
      </c>
      <c r="B36" s="230"/>
      <c r="C36" s="230"/>
      <c r="D36" s="231"/>
      <c r="E36" s="232">
        <v>6000</v>
      </c>
      <c r="F36" s="233"/>
      <c r="G36" s="86" t="s">
        <v>118</v>
      </c>
      <c r="H36" s="234">
        <f>IF(E36&gt;0,E36/'Operational Data'!$G$18,"-")</f>
        <v>2.3778668156796536</v>
      </c>
      <c r="I36" s="235"/>
      <c r="J36" s="86" t="s">
        <v>119</v>
      </c>
    </row>
    <row r="37" spans="1:10" s="3" customFormat="1" ht="14.25" customHeight="1" x14ac:dyDescent="0.2">
      <c r="A37" s="229" t="s">
        <v>387</v>
      </c>
      <c r="B37" s="230"/>
      <c r="C37" s="230"/>
      <c r="D37" s="231"/>
      <c r="E37" s="232">
        <v>215000</v>
      </c>
      <c r="F37" s="233"/>
      <c r="G37" s="86" t="s">
        <v>118</v>
      </c>
      <c r="H37" s="234">
        <f>IF(E37&gt;0,E37/'Operational Data'!$G$18,"-")</f>
        <v>85.206894228520923</v>
      </c>
      <c r="I37" s="235"/>
      <c r="J37" s="86" t="s">
        <v>119</v>
      </c>
    </row>
    <row r="38" spans="1:10" s="3" customFormat="1" ht="14.25" customHeight="1" x14ac:dyDescent="0.2">
      <c r="A38" s="236"/>
      <c r="B38" s="237"/>
      <c r="C38" s="237"/>
      <c r="D38" s="238"/>
      <c r="E38" s="239"/>
      <c r="F38" s="240"/>
      <c r="G38" s="87"/>
      <c r="H38" s="241"/>
      <c r="I38" s="242"/>
      <c r="J38" s="87"/>
    </row>
    <row r="39" spans="1:10" s="3" customFormat="1" ht="14.25" customHeight="1" x14ac:dyDescent="0.2">
      <c r="A39" s="226" t="s">
        <v>110</v>
      </c>
      <c r="B39" s="226"/>
      <c r="C39" s="226"/>
      <c r="D39" s="226"/>
      <c r="E39" s="226"/>
      <c r="F39" s="226"/>
      <c r="G39" s="226"/>
      <c r="H39" s="226"/>
      <c r="I39" s="226"/>
      <c r="J39" s="226"/>
    </row>
    <row r="40" spans="1:10" s="3" customFormat="1" ht="14.25" customHeight="1" x14ac:dyDescent="0.2">
      <c r="A40" s="227"/>
      <c r="B40" s="227"/>
      <c r="C40" s="227"/>
      <c r="D40" s="227"/>
      <c r="E40" s="227"/>
      <c r="F40" s="227"/>
      <c r="G40" s="227"/>
      <c r="H40" s="227"/>
      <c r="I40" s="227"/>
      <c r="J40" s="227"/>
    </row>
    <row r="41" spans="1:10" s="3" customFormat="1" ht="14.25" customHeight="1" x14ac:dyDescent="0.2">
      <c r="A41" s="227"/>
      <c r="B41" s="227"/>
      <c r="C41" s="227"/>
      <c r="D41" s="227"/>
      <c r="E41" s="227"/>
      <c r="F41" s="227"/>
      <c r="G41" s="227"/>
      <c r="H41" s="227"/>
      <c r="I41" s="227"/>
      <c r="J41" s="227"/>
    </row>
    <row r="42" spans="1:10" s="3" customFormat="1" ht="14.25" customHeight="1" x14ac:dyDescent="0.2">
      <c r="A42" s="88"/>
      <c r="B42" s="88"/>
      <c r="C42" s="88"/>
      <c r="D42" s="88"/>
      <c r="E42" s="88"/>
      <c r="F42" s="88"/>
      <c r="G42" s="88"/>
      <c r="H42" s="88"/>
      <c r="I42" s="88"/>
      <c r="J42" s="88"/>
    </row>
    <row r="43" spans="1:10" s="3" customFormat="1" ht="14.25" customHeight="1" x14ac:dyDescent="0.2">
      <c r="A43" s="74">
        <f>+A31</f>
        <v>2022</v>
      </c>
      <c r="B43" s="74" t="s">
        <v>120</v>
      </c>
      <c r="C43" s="74"/>
      <c r="D43" s="74"/>
      <c r="E43" s="74"/>
      <c r="F43" s="74"/>
      <c r="G43" s="2"/>
    </row>
    <row r="44" spans="1:10" ht="14.25" customHeight="1" x14ac:dyDescent="0.2">
      <c r="A44" s="228" t="s">
        <v>121</v>
      </c>
      <c r="B44" s="228"/>
      <c r="C44" s="228" t="s">
        <v>325</v>
      </c>
      <c r="D44" s="228"/>
      <c r="E44" s="228"/>
      <c r="F44" s="228"/>
      <c r="G44" s="228"/>
      <c r="H44" s="228"/>
      <c r="I44" s="228"/>
      <c r="J44" s="228"/>
    </row>
    <row r="45" spans="1:10" ht="14.25" customHeight="1" x14ac:dyDescent="0.2">
      <c r="A45" s="89"/>
      <c r="B45" s="89"/>
      <c r="C45" s="76" t="s">
        <v>122</v>
      </c>
      <c r="D45" s="76" t="s">
        <v>123</v>
      </c>
      <c r="E45" s="76" t="s">
        <v>124</v>
      </c>
      <c r="F45" s="76" t="s">
        <v>125</v>
      </c>
      <c r="G45" s="76" t="s">
        <v>126</v>
      </c>
      <c r="H45" s="76"/>
      <c r="I45" s="76" t="s">
        <v>127</v>
      </c>
      <c r="J45" s="76" t="s">
        <v>128</v>
      </c>
    </row>
    <row r="46" spans="1:10" ht="31.5" customHeight="1" x14ac:dyDescent="0.2">
      <c r="A46" s="225" t="s">
        <v>204</v>
      </c>
      <c r="B46" s="225"/>
      <c r="C46" s="79">
        <f>'Operational Data'!G51</f>
        <v>6942</v>
      </c>
      <c r="D46" s="79">
        <f>'Operational Data'!G52</f>
        <v>7227</v>
      </c>
      <c r="E46" s="79"/>
      <c r="F46" s="90"/>
      <c r="G46" s="90"/>
      <c r="H46" s="90"/>
      <c r="I46" s="90"/>
      <c r="J46" s="90"/>
    </row>
    <row r="47" spans="1:10" ht="43.5" customHeight="1" x14ac:dyDescent="0.2">
      <c r="A47" s="225" t="s">
        <v>129</v>
      </c>
      <c r="B47" s="225"/>
      <c r="C47" s="79">
        <v>2</v>
      </c>
      <c r="D47" s="79">
        <v>2</v>
      </c>
      <c r="E47" s="79"/>
      <c r="F47" s="90"/>
      <c r="G47" s="90"/>
      <c r="H47" s="90"/>
      <c r="I47" s="90"/>
      <c r="J47" s="90"/>
    </row>
    <row r="48" spans="1:10" ht="42.75" customHeight="1" x14ac:dyDescent="0.2">
      <c r="A48" s="225" t="s">
        <v>130</v>
      </c>
      <c r="B48" s="225"/>
      <c r="C48" s="79">
        <v>3</v>
      </c>
      <c r="D48" s="79">
        <v>2</v>
      </c>
      <c r="E48" s="79"/>
      <c r="F48" s="90"/>
      <c r="G48" s="90"/>
      <c r="H48" s="90"/>
      <c r="I48" s="90"/>
      <c r="J48" s="90"/>
    </row>
    <row r="49" spans="1:10" ht="8.25" customHeight="1" x14ac:dyDescent="0.2"/>
    <row r="50" spans="1:10" x14ac:dyDescent="0.2">
      <c r="A50" s="226" t="s">
        <v>110</v>
      </c>
      <c r="B50" s="226"/>
      <c r="C50" s="226"/>
      <c r="D50" s="226"/>
      <c r="E50" s="226"/>
      <c r="F50" s="226"/>
      <c r="G50" s="226"/>
      <c r="H50" s="226"/>
      <c r="I50" s="226"/>
      <c r="J50" s="226"/>
    </row>
    <row r="51" spans="1:10" x14ac:dyDescent="0.2">
      <c r="A51" s="227"/>
      <c r="B51" s="227"/>
      <c r="C51" s="227"/>
      <c r="D51" s="227"/>
      <c r="E51" s="227"/>
      <c r="F51" s="227"/>
      <c r="G51" s="227"/>
      <c r="H51" s="227"/>
      <c r="I51" s="227"/>
      <c r="J51" s="227"/>
    </row>
    <row r="52" spans="1:10" x14ac:dyDescent="0.2">
      <c r="A52" s="227"/>
      <c r="B52" s="227"/>
      <c r="C52" s="227"/>
      <c r="D52" s="227"/>
      <c r="E52" s="227"/>
      <c r="F52" s="227"/>
      <c r="G52" s="227"/>
      <c r="H52" s="227"/>
      <c r="I52" s="227"/>
      <c r="J52" s="227"/>
    </row>
    <row r="54" spans="1:10" x14ac:dyDescent="0.2">
      <c r="A54" s="3" t="s">
        <v>131</v>
      </c>
      <c r="B54" s="91"/>
      <c r="C54" s="91"/>
      <c r="D54" s="91"/>
      <c r="E54" s="91"/>
      <c r="F54" s="3"/>
      <c r="G54" s="3" t="s">
        <v>132</v>
      </c>
      <c r="H54" s="91"/>
      <c r="I54" s="91"/>
    </row>
    <row r="62" spans="1:10" x14ac:dyDescent="0.2">
      <c r="F62" s="3"/>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sheetPr>
  <dimension ref="A1:J64"/>
  <sheetViews>
    <sheetView showGridLines="0" zoomScaleNormal="100" workbookViewId="0">
      <selection activeCell="L20" sqref="L20"/>
    </sheetView>
  </sheetViews>
  <sheetFormatPr defaultColWidth="9.28515625" defaultRowHeight="15" x14ac:dyDescent="0.2"/>
  <cols>
    <col min="1" max="1" width="9.42578125" style="2" bestFit="1" customWidth="1"/>
    <col min="2" max="8" width="9.28515625" style="2"/>
    <col min="9" max="9" width="16.28515625" style="2" customWidth="1"/>
    <col min="10" max="16384" width="9.28515625" style="2"/>
  </cols>
  <sheetData>
    <row r="1" spans="1:10" ht="15.75" x14ac:dyDescent="0.25">
      <c r="A1" s="73">
        <v>2022</v>
      </c>
      <c r="B1" s="74" t="s">
        <v>133</v>
      </c>
      <c r="C1" s="74"/>
      <c r="D1" s="74"/>
      <c r="E1" s="74"/>
      <c r="F1" s="74"/>
      <c r="G1" s="74"/>
      <c r="H1" s="74"/>
      <c r="I1" s="74"/>
      <c r="J1" s="74"/>
    </row>
    <row r="3" spans="1:10" s="3" customFormat="1" ht="15" customHeight="1" x14ac:dyDescent="0.2">
      <c r="A3" s="3" t="str">
        <f>+'Cover Page'!B31</f>
        <v>Permit EPR/WP3935SM</v>
      </c>
      <c r="F3" s="3" t="s">
        <v>89</v>
      </c>
      <c r="G3" s="276" t="s">
        <v>382</v>
      </c>
      <c r="H3" s="276"/>
      <c r="I3" s="276"/>
    </row>
    <row r="4" spans="1:10" s="3" customFormat="1" ht="14.25" x14ac:dyDescent="0.2"/>
    <row r="5" spans="1:10" s="3" customFormat="1" ht="14.25" x14ac:dyDescent="0.2">
      <c r="A5" s="3" t="s">
        <v>90</v>
      </c>
      <c r="B5" s="266" t="str">
        <f>+'Cover Page'!B33:I33</f>
        <v>Addenbrooke's Hospital  Incinerator</v>
      </c>
      <c r="C5" s="266"/>
      <c r="D5" s="266"/>
      <c r="E5" s="266"/>
      <c r="F5" s="3" t="s">
        <v>91</v>
      </c>
      <c r="G5" s="3" t="s">
        <v>134</v>
      </c>
    </row>
    <row r="6" spans="1:10" s="3" customFormat="1" ht="14.25" x14ac:dyDescent="0.2"/>
    <row r="7" spans="1:10" s="3" customFormat="1" ht="15.75" customHeight="1" x14ac:dyDescent="0.2">
      <c r="A7" s="3" t="s">
        <v>93</v>
      </c>
      <c r="D7" s="277" t="str">
        <f>+'Perf. Form 1'!D6:E6</f>
        <v>01.01.2022</v>
      </c>
      <c r="E7" s="277"/>
      <c r="F7" s="75" t="s">
        <v>94</v>
      </c>
      <c r="G7" s="277" t="str">
        <f>+'Perf. Form 1'!G6:H6</f>
        <v>31.12.2022</v>
      </c>
      <c r="H7" s="277"/>
    </row>
    <row r="8" spans="1:10" s="3" customFormat="1" x14ac:dyDescent="0.25">
      <c r="B8"/>
      <c r="C8"/>
      <c r="D8"/>
    </row>
    <row r="9" spans="1:10" s="3" customFormat="1" ht="37.5" customHeight="1" x14ac:dyDescent="0.2">
      <c r="A9" s="228" t="s">
        <v>135</v>
      </c>
      <c r="B9" s="228"/>
      <c r="C9" s="228"/>
      <c r="D9" s="269" t="s">
        <v>136</v>
      </c>
      <c r="E9" s="269"/>
      <c r="F9" s="76" t="s">
        <v>33</v>
      </c>
      <c r="G9" s="228" t="s">
        <v>137</v>
      </c>
      <c r="H9" s="228"/>
      <c r="I9" s="228"/>
    </row>
    <row r="10" spans="1:10" s="3" customFormat="1" ht="24.75" customHeight="1" x14ac:dyDescent="0.2">
      <c r="A10" s="225" t="s">
        <v>138</v>
      </c>
      <c r="B10" s="225"/>
      <c r="C10" s="225"/>
      <c r="D10" s="271">
        <f>+'Operational Data'!G23</f>
        <v>0</v>
      </c>
      <c r="E10" s="271"/>
      <c r="F10" s="111" t="s">
        <v>52</v>
      </c>
      <c r="G10" s="272" t="str">
        <f>+'Operational Data'!H23</f>
        <v>-</v>
      </c>
      <c r="H10" s="272"/>
      <c r="I10" s="272"/>
    </row>
    <row r="11" spans="1:10" s="3" customFormat="1" ht="24.75" customHeight="1" x14ac:dyDescent="0.2">
      <c r="A11" s="225" t="s">
        <v>139</v>
      </c>
      <c r="B11" s="225"/>
      <c r="C11" s="225"/>
      <c r="D11" s="275">
        <f>'Operational Data'!G25</f>
        <v>985</v>
      </c>
      <c r="E11" s="275"/>
      <c r="F11" s="111" t="s">
        <v>52</v>
      </c>
      <c r="G11" s="272">
        <f>'Operational Data'!H25</f>
        <v>390.36646890740985</v>
      </c>
      <c r="H11" s="272"/>
      <c r="I11" s="272"/>
    </row>
    <row r="12" spans="1:10" s="3" customFormat="1" ht="24.75" customHeight="1" x14ac:dyDescent="0.2">
      <c r="A12" s="225" t="s">
        <v>140</v>
      </c>
      <c r="B12" s="225"/>
      <c r="C12" s="225"/>
      <c r="D12" s="271">
        <f>+'Operational Data'!G24</f>
        <v>0</v>
      </c>
      <c r="E12" s="271"/>
      <c r="F12" s="111" t="s">
        <v>52</v>
      </c>
      <c r="G12" s="272" t="str">
        <f>+'Operational Data'!H24</f>
        <v>-</v>
      </c>
      <c r="H12" s="272"/>
      <c r="I12" s="272"/>
    </row>
    <row r="13" spans="1:10" s="3" customFormat="1" ht="24.75" customHeight="1" x14ac:dyDescent="0.2">
      <c r="A13" s="225" t="s">
        <v>141</v>
      </c>
      <c r="B13" s="225"/>
      <c r="C13" s="225"/>
      <c r="D13" s="273">
        <v>0</v>
      </c>
      <c r="E13" s="273"/>
      <c r="F13" s="111" t="s">
        <v>40</v>
      </c>
      <c r="G13" s="274"/>
      <c r="H13" s="274"/>
      <c r="I13" s="274"/>
    </row>
    <row r="14" spans="1:10" s="3" customFormat="1" ht="24.75" customHeight="1" x14ac:dyDescent="0.2">
      <c r="A14" s="225" t="s">
        <v>142</v>
      </c>
      <c r="B14" s="225"/>
      <c r="C14" s="225"/>
      <c r="D14" s="271">
        <f>'Operational Data'!G28</f>
        <v>0</v>
      </c>
      <c r="E14" s="271"/>
      <c r="F14" s="111" t="s">
        <v>58</v>
      </c>
      <c r="G14" s="272" t="str">
        <f>+'Operational Data'!H29</f>
        <v>-</v>
      </c>
      <c r="H14" s="272"/>
      <c r="I14" s="272"/>
    </row>
    <row r="15" spans="1:10" s="3" customFormat="1" ht="24.75" customHeight="1" x14ac:dyDescent="0.2">
      <c r="A15" s="263"/>
      <c r="B15" s="263"/>
      <c r="C15" s="263"/>
      <c r="D15" s="263"/>
      <c r="E15" s="263"/>
      <c r="F15" s="78"/>
      <c r="G15" s="195"/>
      <c r="H15" s="195"/>
      <c r="I15" s="195"/>
    </row>
    <row r="16" spans="1:10" s="3" customFormat="1" ht="24.75" customHeight="1" x14ac:dyDescent="0.2">
      <c r="A16" s="263"/>
      <c r="B16" s="263"/>
      <c r="C16" s="263"/>
      <c r="D16" s="263"/>
      <c r="E16" s="263"/>
      <c r="F16" s="78"/>
      <c r="G16" s="195"/>
      <c r="H16" s="195"/>
      <c r="I16" s="195"/>
    </row>
    <row r="17" spans="1:9" s="3" customFormat="1" x14ac:dyDescent="0.25">
      <c r="A17" s="92"/>
      <c r="B17"/>
      <c r="C17"/>
      <c r="D17"/>
    </row>
    <row r="18" spans="1:9" s="3" customFormat="1" ht="24" customHeight="1" x14ac:dyDescent="0.2">
      <c r="A18" s="226" t="s">
        <v>110</v>
      </c>
      <c r="B18" s="226"/>
      <c r="C18" s="226"/>
      <c r="D18" s="226"/>
      <c r="E18" s="226"/>
      <c r="F18" s="226"/>
      <c r="G18" s="226"/>
      <c r="H18" s="226"/>
      <c r="I18" s="226"/>
    </row>
    <row r="19" spans="1:9" s="3" customFormat="1" ht="14.25" x14ac:dyDescent="0.2">
      <c r="A19" s="270"/>
      <c r="B19" s="270"/>
      <c r="C19" s="270"/>
      <c r="D19" s="270"/>
      <c r="E19" s="270"/>
      <c r="F19" s="270"/>
      <c r="G19" s="270"/>
      <c r="H19" s="270"/>
      <c r="I19" s="270"/>
    </row>
    <row r="20" spans="1:9" s="3" customFormat="1" ht="14.25" x14ac:dyDescent="0.2">
      <c r="A20" s="270"/>
      <c r="B20" s="270"/>
      <c r="C20" s="270"/>
      <c r="D20" s="270"/>
      <c r="E20" s="270"/>
      <c r="F20" s="270"/>
      <c r="G20" s="270"/>
      <c r="H20" s="270"/>
      <c r="I20" s="270"/>
    </row>
    <row r="21" spans="1:9" s="3" customFormat="1" ht="14.25" x14ac:dyDescent="0.2">
      <c r="A21" s="270"/>
      <c r="B21" s="270"/>
      <c r="C21" s="270"/>
      <c r="D21" s="270"/>
      <c r="E21" s="270"/>
      <c r="F21" s="270"/>
      <c r="G21" s="270"/>
      <c r="H21" s="270"/>
      <c r="I21" s="270"/>
    </row>
    <row r="22" spans="1:9" s="3" customFormat="1" ht="14.25" x14ac:dyDescent="0.2">
      <c r="A22" s="270"/>
      <c r="B22" s="270"/>
      <c r="C22" s="270"/>
      <c r="D22" s="270"/>
      <c r="E22" s="270"/>
      <c r="F22" s="270"/>
      <c r="G22" s="270"/>
      <c r="H22" s="270"/>
      <c r="I22" s="270"/>
    </row>
    <row r="23" spans="1:9" s="3" customFormat="1" ht="14.25" x14ac:dyDescent="0.2">
      <c r="A23" s="270"/>
      <c r="B23" s="270"/>
      <c r="C23" s="270"/>
      <c r="D23" s="270"/>
      <c r="E23" s="270"/>
      <c r="F23" s="270"/>
      <c r="G23" s="270"/>
      <c r="H23" s="270"/>
      <c r="I23" s="270"/>
    </row>
    <row r="24" spans="1:9" s="3" customFormat="1" ht="14.25" x14ac:dyDescent="0.2">
      <c r="A24" s="270"/>
      <c r="B24" s="270"/>
      <c r="C24" s="270"/>
      <c r="D24" s="270"/>
      <c r="E24" s="270"/>
      <c r="F24" s="270"/>
      <c r="G24" s="270"/>
      <c r="H24" s="270"/>
      <c r="I24" s="270"/>
    </row>
    <row r="25" spans="1:9" s="3" customFormat="1" ht="14.25" x14ac:dyDescent="0.2">
      <c r="A25" s="270"/>
      <c r="B25" s="270"/>
      <c r="C25" s="270"/>
      <c r="D25" s="270"/>
      <c r="E25" s="270"/>
      <c r="F25" s="270"/>
      <c r="G25" s="270"/>
      <c r="H25" s="270"/>
      <c r="I25" s="270"/>
    </row>
    <row r="26" spans="1:9" s="3" customFormat="1" ht="14.25" x14ac:dyDescent="0.2">
      <c r="A26" s="88"/>
      <c r="B26" s="88"/>
      <c r="C26" s="88"/>
      <c r="D26" s="88"/>
      <c r="E26" s="88"/>
      <c r="F26" s="88"/>
      <c r="G26" s="88"/>
      <c r="H26" s="88"/>
      <c r="I26" s="88"/>
    </row>
    <row r="27" spans="1:9" s="3" customFormat="1" ht="14.25" x14ac:dyDescent="0.2"/>
    <row r="28" spans="1:9" s="3" customFormat="1" ht="14.25" x14ac:dyDescent="0.2"/>
    <row r="29" spans="1:9" s="3" customFormat="1" ht="14.25" x14ac:dyDescent="0.2">
      <c r="A29" s="3" t="s">
        <v>131</v>
      </c>
      <c r="B29" s="91"/>
      <c r="C29" s="91"/>
      <c r="D29" s="91"/>
      <c r="E29" s="91"/>
      <c r="G29" s="3" t="s">
        <v>132</v>
      </c>
      <c r="H29" s="91"/>
      <c r="I29" s="91"/>
    </row>
    <row r="30" spans="1:9" s="3" customFormat="1" ht="14.25" x14ac:dyDescent="0.2"/>
    <row r="31" spans="1:9" ht="14.25" customHeight="1" x14ac:dyDescent="0.2">
      <c r="A31" s="3"/>
      <c r="B31" s="3"/>
      <c r="C31" s="3"/>
      <c r="D31" s="3"/>
      <c r="E31" s="3"/>
      <c r="F31" s="3"/>
      <c r="G31" s="3"/>
      <c r="H31" s="3"/>
      <c r="I31" s="3"/>
    </row>
    <row r="32" spans="1:9" s="3" customFormat="1" ht="14.25" x14ac:dyDescent="0.2"/>
    <row r="33" spans="1:9" s="3" customFormat="1" ht="14.25" x14ac:dyDescent="0.2"/>
    <row r="34" spans="1:9" s="3" customFormat="1" x14ac:dyDescent="0.2">
      <c r="A34" s="2"/>
      <c r="B34" s="2"/>
      <c r="C34" s="2"/>
      <c r="D34" s="2"/>
      <c r="E34" s="2"/>
      <c r="F34" s="2"/>
      <c r="G34" s="2"/>
      <c r="H34" s="2"/>
      <c r="I34" s="2"/>
    </row>
    <row r="35" spans="1:9" s="3" customFormat="1" ht="14.25" x14ac:dyDescent="0.2"/>
    <row r="36" spans="1:9" s="3" customFormat="1" ht="14.25" x14ac:dyDescent="0.2"/>
    <row r="37" spans="1:9" s="3" customFormat="1" ht="14.25" x14ac:dyDescent="0.2"/>
    <row r="38" spans="1:9" s="3" customFormat="1" ht="14.25" x14ac:dyDescent="0.2"/>
    <row r="39" spans="1:9" s="3" customFormat="1" ht="14.25" x14ac:dyDescent="0.2"/>
    <row r="40" spans="1:9" s="3" customFormat="1" ht="14.25" x14ac:dyDescent="0.2"/>
    <row r="41" spans="1:9" s="3" customFormat="1" ht="14.25" x14ac:dyDescent="0.2"/>
    <row r="42" spans="1:9" s="3" customFormat="1" ht="14.25" x14ac:dyDescent="0.2"/>
    <row r="43" spans="1:9" x14ac:dyDescent="0.2">
      <c r="A43" s="3"/>
      <c r="B43" s="3"/>
      <c r="C43" s="3"/>
      <c r="D43" s="3"/>
      <c r="E43" s="3"/>
      <c r="F43" s="3"/>
      <c r="G43" s="3"/>
      <c r="H43" s="3"/>
      <c r="I43" s="3"/>
    </row>
    <row r="44" spans="1:9" x14ac:dyDescent="0.2">
      <c r="A44" s="3"/>
      <c r="B44" s="3"/>
      <c r="C44" s="3"/>
      <c r="D44" s="3"/>
      <c r="E44" s="3"/>
      <c r="F44" s="3"/>
      <c r="G44" s="3"/>
      <c r="H44" s="3"/>
      <c r="I44" s="3"/>
    </row>
    <row r="45" spans="1:9" x14ac:dyDescent="0.2">
      <c r="A45" s="3"/>
      <c r="B45" s="3"/>
      <c r="C45" s="3"/>
      <c r="D45" s="3"/>
      <c r="E45" s="3"/>
      <c r="F45" s="3"/>
      <c r="G45" s="3"/>
      <c r="H45" s="3"/>
      <c r="I45" s="3"/>
    </row>
    <row r="64" spans="6:6" x14ac:dyDescent="0.2">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F0"/>
  </sheetPr>
  <dimension ref="A1:K80"/>
  <sheetViews>
    <sheetView showGridLines="0" zoomScaleNormal="100" workbookViewId="0">
      <selection activeCell="O27" sqref="O27"/>
    </sheetView>
  </sheetViews>
  <sheetFormatPr defaultColWidth="9.28515625" defaultRowHeight="15" x14ac:dyDescent="0.2"/>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6384" width="9.28515625" style="2"/>
  </cols>
  <sheetData>
    <row r="1" spans="1:9" x14ac:dyDescent="0.2">
      <c r="A1" s="2" t="str">
        <f>+'Cover Page'!$B$29</f>
        <v>Annual Performance Report 2022</v>
      </c>
      <c r="E1" s="2" t="str">
        <f>+'Cover Page'!$B$33</f>
        <v>Addenbrooke's Hospital  Incinerator</v>
      </c>
    </row>
    <row r="3" spans="1:9" ht="15.75" x14ac:dyDescent="0.25">
      <c r="A3" s="1" t="s">
        <v>143</v>
      </c>
    </row>
    <row r="4" spans="1:9" ht="15.75" x14ac:dyDescent="0.25">
      <c r="A4" s="1"/>
    </row>
    <row r="5" spans="1:9" ht="15.75" x14ac:dyDescent="0.25">
      <c r="A5" s="11" t="s">
        <v>144</v>
      </c>
    </row>
    <row r="6" spans="1:9" ht="15.75" x14ac:dyDescent="0.25">
      <c r="A6" s="11"/>
    </row>
    <row r="7" spans="1:9" x14ac:dyDescent="0.2">
      <c r="A7" s="16" t="s">
        <v>145</v>
      </c>
    </row>
    <row r="8" spans="1:9" s="3" customFormat="1" ht="25.5" customHeight="1" x14ac:dyDescent="0.2">
      <c r="A8" s="294" t="s">
        <v>146</v>
      </c>
      <c r="B8" s="295"/>
      <c r="C8" s="294" t="s">
        <v>147</v>
      </c>
      <c r="D8" s="296"/>
      <c r="E8" s="296"/>
      <c r="F8" s="296"/>
      <c r="G8" s="296"/>
      <c r="H8" s="296"/>
      <c r="I8" s="295"/>
    </row>
    <row r="9" spans="1:9" s="3" customFormat="1" ht="22.5" customHeight="1" x14ac:dyDescent="0.2">
      <c r="A9" s="297"/>
      <c r="B9" s="298"/>
      <c r="C9" s="299" t="s">
        <v>148</v>
      </c>
      <c r="D9" s="299"/>
      <c r="E9" s="299"/>
      <c r="F9" s="299" t="s">
        <v>149</v>
      </c>
      <c r="G9" s="299"/>
      <c r="H9" s="299"/>
      <c r="I9" s="299"/>
    </row>
    <row r="10" spans="1:9" s="3" customFormat="1" ht="22.5" customHeight="1" x14ac:dyDescent="0.2">
      <c r="A10" s="289" t="s">
        <v>150</v>
      </c>
      <c r="B10" s="289"/>
      <c r="C10" s="287">
        <v>1</v>
      </c>
      <c r="D10" s="288"/>
      <c r="E10" s="288"/>
      <c r="F10" s="287">
        <v>1</v>
      </c>
      <c r="G10" s="288"/>
      <c r="H10" s="288"/>
      <c r="I10" s="288"/>
    </row>
    <row r="11" spans="1:9" s="3" customFormat="1" ht="22.5" customHeight="1" x14ac:dyDescent="0.2">
      <c r="A11" s="289" t="s">
        <v>151</v>
      </c>
      <c r="B11" s="289"/>
      <c r="C11" s="287">
        <v>1</v>
      </c>
      <c r="D11" s="288"/>
      <c r="E11" s="288"/>
      <c r="F11" s="287">
        <v>1</v>
      </c>
      <c r="G11" s="288"/>
      <c r="H11" s="288"/>
      <c r="I11" s="288"/>
    </row>
    <row r="12" spans="1:9" s="3" customFormat="1" ht="22.5" customHeight="1" x14ac:dyDescent="0.2">
      <c r="A12" s="289" t="s">
        <v>152</v>
      </c>
      <c r="B12" s="289"/>
      <c r="C12" s="287">
        <v>1</v>
      </c>
      <c r="D12" s="288"/>
      <c r="E12" s="288"/>
      <c r="F12" s="287">
        <v>1</v>
      </c>
      <c r="G12" s="288"/>
      <c r="H12" s="288"/>
      <c r="I12" s="288"/>
    </row>
    <row r="13" spans="1:9" s="3" customFormat="1" ht="22.5" customHeight="1" x14ac:dyDescent="0.2">
      <c r="A13" s="289" t="s">
        <v>153</v>
      </c>
      <c r="B13" s="289"/>
      <c r="C13" s="255" t="s">
        <v>388</v>
      </c>
      <c r="D13" s="288"/>
      <c r="E13" s="288"/>
      <c r="F13" s="287">
        <v>1</v>
      </c>
      <c r="G13" s="288"/>
      <c r="H13" s="288"/>
      <c r="I13" s="288"/>
    </row>
    <row r="14" spans="1:9" s="3" customFormat="1" ht="22.5" customHeight="1" x14ac:dyDescent="0.2">
      <c r="A14" s="289" t="s">
        <v>154</v>
      </c>
      <c r="B14" s="289"/>
      <c r="C14" s="292">
        <v>0.99990000000000001</v>
      </c>
      <c r="D14" s="288"/>
      <c r="E14" s="288"/>
      <c r="F14" s="287">
        <v>1</v>
      </c>
      <c r="G14" s="288"/>
      <c r="H14" s="288"/>
      <c r="I14" s="288"/>
    </row>
    <row r="15" spans="1:9" s="3" customFormat="1" ht="22.5" customHeight="1" x14ac:dyDescent="0.2">
      <c r="A15" s="289" t="s">
        <v>155</v>
      </c>
      <c r="B15" s="289"/>
      <c r="C15" s="287">
        <v>1</v>
      </c>
      <c r="D15" s="288"/>
      <c r="E15" s="288"/>
      <c r="F15" s="287">
        <v>1</v>
      </c>
      <c r="G15" s="288"/>
      <c r="H15" s="288"/>
      <c r="I15" s="288"/>
    </row>
    <row r="16" spans="1:9" s="3" customFormat="1" ht="22.5" customHeight="1" x14ac:dyDescent="0.2">
      <c r="A16" s="289" t="s">
        <v>156</v>
      </c>
      <c r="B16" s="289"/>
      <c r="C16" s="287">
        <v>1</v>
      </c>
      <c r="D16" s="288"/>
      <c r="E16" s="288"/>
      <c r="F16" s="287">
        <v>1</v>
      </c>
      <c r="G16" s="288"/>
      <c r="H16" s="288"/>
      <c r="I16" s="288"/>
    </row>
    <row r="17" spans="1:11" s="3" customFormat="1" ht="22.5" customHeight="1" x14ac:dyDescent="0.2">
      <c r="A17" s="290"/>
      <c r="B17" s="291"/>
      <c r="C17" s="287"/>
      <c r="D17" s="288"/>
      <c r="E17" s="288"/>
      <c r="F17" s="287"/>
      <c r="G17" s="288"/>
      <c r="H17" s="288"/>
      <c r="I17" s="288"/>
    </row>
    <row r="18" spans="1:11" s="3" customFormat="1" ht="14.25" x14ac:dyDescent="0.2"/>
    <row r="19" spans="1:11" s="92" customFormat="1" ht="21.75" customHeight="1" x14ac:dyDescent="0.25">
      <c r="A19" s="281" t="s">
        <v>157</v>
      </c>
      <c r="B19" s="282"/>
      <c r="C19" s="282"/>
      <c r="D19" s="282"/>
      <c r="E19" s="282"/>
      <c r="F19" s="282"/>
      <c r="G19" s="282"/>
      <c r="H19" s="282"/>
      <c r="I19" s="282"/>
      <c r="J19" s="282"/>
      <c r="K19" s="280"/>
    </row>
    <row r="20" spans="1:11" s="3" customFormat="1" ht="38.25" customHeight="1" x14ac:dyDescent="0.2">
      <c r="A20" s="93" t="s">
        <v>4</v>
      </c>
      <c r="B20" s="283" t="s">
        <v>303</v>
      </c>
      <c r="C20" s="283"/>
      <c r="D20" s="283"/>
      <c r="E20" s="283" t="s">
        <v>158</v>
      </c>
      <c r="F20" s="283"/>
      <c r="G20" s="283"/>
      <c r="H20" s="283" t="s">
        <v>159</v>
      </c>
      <c r="I20" s="283"/>
      <c r="J20" s="284"/>
      <c r="K20" s="137"/>
    </row>
    <row r="21" spans="1:11" s="3" customFormat="1" ht="14.25" x14ac:dyDescent="0.2">
      <c r="A21" s="94" t="s">
        <v>400</v>
      </c>
      <c r="B21" s="195" t="s">
        <v>414</v>
      </c>
      <c r="C21" s="195"/>
      <c r="D21" s="195"/>
      <c r="E21" s="195" t="s">
        <v>401</v>
      </c>
      <c r="F21" s="195"/>
      <c r="G21" s="195"/>
      <c r="H21" s="195"/>
      <c r="I21" s="195"/>
      <c r="J21" s="278"/>
      <c r="K21" s="137"/>
    </row>
    <row r="22" spans="1:11" s="3" customFormat="1" ht="14.25" x14ac:dyDescent="0.2">
      <c r="A22" s="169" t="s">
        <v>402</v>
      </c>
      <c r="B22" s="195" t="s">
        <v>415</v>
      </c>
      <c r="C22" s="195"/>
      <c r="D22" s="195"/>
      <c r="E22" s="195" t="s">
        <v>403</v>
      </c>
      <c r="F22" s="195"/>
      <c r="G22" s="195"/>
      <c r="H22" s="195"/>
      <c r="I22" s="195"/>
      <c r="J22" s="278"/>
      <c r="K22" s="137"/>
    </row>
    <row r="23" spans="1:11" s="3" customFormat="1" ht="14.25" x14ac:dyDescent="0.2">
      <c r="A23" s="169" t="s">
        <v>404</v>
      </c>
      <c r="B23" s="278" t="s">
        <v>416</v>
      </c>
      <c r="C23" s="285"/>
      <c r="D23" s="286"/>
      <c r="E23" s="278" t="s">
        <v>405</v>
      </c>
      <c r="F23" s="285"/>
      <c r="G23" s="286"/>
      <c r="H23" s="195"/>
      <c r="I23" s="195"/>
      <c r="J23" s="278"/>
      <c r="K23" s="137"/>
    </row>
    <row r="24" spans="1:11" s="3" customFormat="1" ht="14.25" x14ac:dyDescent="0.2">
      <c r="A24" s="169" t="s">
        <v>406</v>
      </c>
      <c r="B24" s="278" t="s">
        <v>415</v>
      </c>
      <c r="C24" s="285"/>
      <c r="D24" s="286"/>
      <c r="E24" s="278" t="s">
        <v>405</v>
      </c>
      <c r="F24" s="285"/>
      <c r="G24" s="286"/>
      <c r="H24" s="278"/>
      <c r="I24" s="286"/>
      <c r="J24" s="165"/>
      <c r="K24" s="137"/>
    </row>
    <row r="25" spans="1:11" s="3" customFormat="1" ht="14.25" x14ac:dyDescent="0.2">
      <c r="A25" s="164" t="s">
        <v>408</v>
      </c>
      <c r="B25" s="278" t="s">
        <v>418</v>
      </c>
      <c r="C25" s="285"/>
      <c r="D25" s="286"/>
      <c r="E25" s="278" t="s">
        <v>411</v>
      </c>
      <c r="F25" s="285"/>
      <c r="G25" s="286"/>
      <c r="H25" s="278"/>
      <c r="I25" s="286"/>
      <c r="J25" s="165"/>
      <c r="K25" s="137"/>
    </row>
    <row r="26" spans="1:11" s="3" customFormat="1" ht="14.25" x14ac:dyDescent="0.2">
      <c r="A26" s="15" t="s">
        <v>407</v>
      </c>
      <c r="B26" s="195" t="s">
        <v>417</v>
      </c>
      <c r="C26" s="195"/>
      <c r="D26" s="195"/>
      <c r="E26" s="195" t="s">
        <v>411</v>
      </c>
      <c r="F26" s="195"/>
      <c r="G26" s="195"/>
      <c r="H26" s="195"/>
      <c r="I26" s="195"/>
      <c r="J26" s="278"/>
      <c r="K26" s="137"/>
    </row>
    <row r="27" spans="1:11" s="3" customFormat="1" ht="14.25" x14ac:dyDescent="0.2">
      <c r="A27" s="15" t="s">
        <v>409</v>
      </c>
      <c r="B27" s="195" t="s">
        <v>419</v>
      </c>
      <c r="C27" s="195"/>
      <c r="D27" s="195"/>
      <c r="E27" s="195" t="s">
        <v>410</v>
      </c>
      <c r="F27" s="195"/>
      <c r="G27" s="195"/>
      <c r="H27" s="195"/>
      <c r="I27" s="195"/>
      <c r="J27" s="278"/>
      <c r="K27" s="137"/>
    </row>
    <row r="28" spans="1:11" s="3" customFormat="1" ht="14.25" x14ac:dyDescent="0.2">
      <c r="A28" s="170" t="s">
        <v>413</v>
      </c>
      <c r="B28" s="195" t="s">
        <v>415</v>
      </c>
      <c r="C28" s="195"/>
      <c r="D28" s="195"/>
      <c r="E28" s="195" t="s">
        <v>405</v>
      </c>
      <c r="F28" s="195"/>
      <c r="G28" s="195"/>
      <c r="H28" s="195"/>
      <c r="I28" s="195"/>
      <c r="J28" s="278"/>
      <c r="K28" s="136"/>
    </row>
    <row r="29" spans="1:11" s="3" customFormat="1" ht="14.25" x14ac:dyDescent="0.2">
      <c r="A29" s="170" t="s">
        <v>420</v>
      </c>
      <c r="B29" s="195" t="s">
        <v>415</v>
      </c>
      <c r="C29" s="195"/>
      <c r="D29" s="195"/>
      <c r="E29" s="195" t="s">
        <v>403</v>
      </c>
      <c r="F29" s="195"/>
      <c r="G29" s="195"/>
      <c r="H29" s="195"/>
      <c r="I29" s="195"/>
      <c r="J29" s="278"/>
      <c r="K29" s="136"/>
    </row>
    <row r="30" spans="1:11" s="3" customFormat="1" ht="14.25" x14ac:dyDescent="0.2">
      <c r="A30" s="170" t="s">
        <v>421</v>
      </c>
      <c r="B30" s="195" t="s">
        <v>415</v>
      </c>
      <c r="C30" s="195"/>
      <c r="D30" s="195"/>
      <c r="E30" s="195" t="s">
        <v>427</v>
      </c>
      <c r="F30" s="195"/>
      <c r="G30" s="195"/>
      <c r="H30" s="195"/>
      <c r="I30" s="195"/>
      <c r="J30" s="278"/>
      <c r="K30" s="136"/>
    </row>
    <row r="31" spans="1:11" s="3" customFormat="1" ht="14.25" x14ac:dyDescent="0.2">
      <c r="A31" s="170" t="s">
        <v>422</v>
      </c>
      <c r="B31" s="195" t="s">
        <v>418</v>
      </c>
      <c r="C31" s="195"/>
      <c r="D31" s="195"/>
      <c r="E31" s="195"/>
      <c r="F31" s="195"/>
      <c r="G31" s="195"/>
      <c r="H31" s="195"/>
      <c r="I31" s="195"/>
      <c r="J31" s="278"/>
      <c r="K31" s="136"/>
    </row>
    <row r="32" spans="1:11" s="3" customFormat="1" ht="14.25" x14ac:dyDescent="0.2">
      <c r="A32" s="170" t="s">
        <v>423</v>
      </c>
      <c r="B32" s="195" t="s">
        <v>424</v>
      </c>
      <c r="C32" s="195"/>
      <c r="D32" s="195"/>
      <c r="E32" s="195" t="s">
        <v>430</v>
      </c>
      <c r="F32" s="195"/>
      <c r="G32" s="195"/>
      <c r="H32" s="195"/>
      <c r="I32" s="195"/>
      <c r="J32" s="278"/>
      <c r="K32" s="136"/>
    </row>
    <row r="33" spans="1:11" s="3" customFormat="1" ht="14.25" x14ac:dyDescent="0.2">
      <c r="A33" s="170" t="s">
        <v>425</v>
      </c>
      <c r="B33" s="195" t="s">
        <v>415</v>
      </c>
      <c r="C33" s="195"/>
      <c r="D33" s="195"/>
      <c r="E33" s="195" t="s">
        <v>428</v>
      </c>
      <c r="F33" s="195"/>
      <c r="G33" s="195"/>
      <c r="H33" s="195"/>
      <c r="I33" s="195"/>
      <c r="J33" s="278"/>
      <c r="K33" s="136"/>
    </row>
    <row r="34" spans="1:11" s="3" customFormat="1" ht="14.25" x14ac:dyDescent="0.2">
      <c r="A34" s="170" t="s">
        <v>426</v>
      </c>
      <c r="B34" s="195" t="s">
        <v>415</v>
      </c>
      <c r="C34" s="195"/>
      <c r="D34" s="195"/>
      <c r="E34" s="195" t="s">
        <v>429</v>
      </c>
      <c r="F34" s="195"/>
      <c r="G34" s="195"/>
      <c r="H34" s="195"/>
      <c r="I34" s="195"/>
      <c r="J34" s="278"/>
      <c r="K34" s="136"/>
    </row>
    <row r="35" spans="1:11" s="3" customFormat="1" ht="14.25" x14ac:dyDescent="0.2">
      <c r="A35" s="170"/>
      <c r="B35" s="195"/>
      <c r="C35" s="195"/>
      <c r="D35" s="195"/>
      <c r="E35" s="195"/>
      <c r="F35" s="195"/>
      <c r="G35" s="195"/>
      <c r="H35" s="195"/>
      <c r="I35" s="195"/>
      <c r="J35" s="278"/>
      <c r="K35" s="136"/>
    </row>
    <row r="36" spans="1:11" s="3" customFormat="1" ht="14.25" x14ac:dyDescent="0.2">
      <c r="A36" s="170"/>
      <c r="B36" s="195"/>
      <c r="C36" s="195"/>
      <c r="D36" s="195"/>
      <c r="E36" s="195"/>
      <c r="F36" s="195"/>
      <c r="G36" s="195"/>
      <c r="H36" s="195"/>
      <c r="I36" s="195"/>
      <c r="J36" s="278"/>
      <c r="K36" s="136"/>
    </row>
    <row r="37" spans="1:11" s="3" customFormat="1" ht="14.25" x14ac:dyDescent="0.2">
      <c r="A37" s="171"/>
      <c r="B37" s="195"/>
      <c r="C37" s="195"/>
      <c r="D37" s="195"/>
      <c r="E37" s="195"/>
      <c r="F37" s="195"/>
      <c r="G37" s="195"/>
      <c r="H37" s="195"/>
      <c r="I37" s="195"/>
      <c r="J37" s="278"/>
      <c r="K37" s="136"/>
    </row>
    <row r="38" spans="1:11" s="3" customFormat="1" ht="14.25" x14ac:dyDescent="0.2">
      <c r="A38" s="171"/>
      <c r="B38" s="195"/>
      <c r="C38" s="195"/>
      <c r="D38" s="195"/>
      <c r="E38" s="195"/>
      <c r="F38" s="195"/>
      <c r="G38" s="195"/>
      <c r="H38" s="195"/>
      <c r="I38" s="195"/>
      <c r="J38" s="278"/>
      <c r="K38" s="136"/>
    </row>
    <row r="39" spans="1:11" s="3" customFormat="1" ht="14.25" x14ac:dyDescent="0.2">
      <c r="K39" s="136"/>
    </row>
    <row r="40" spans="1:11" s="92" customFormat="1" ht="22.5" customHeight="1" x14ac:dyDescent="0.25">
      <c r="A40" s="279" t="s">
        <v>160</v>
      </c>
      <c r="B40" s="280"/>
      <c r="C40" s="280"/>
      <c r="D40" s="280"/>
      <c r="E40" s="280"/>
      <c r="F40" s="280"/>
      <c r="G40" s="280"/>
      <c r="H40" s="280"/>
      <c r="I40" s="280"/>
      <c r="J40" s="280"/>
      <c r="K40" s="280"/>
    </row>
    <row r="41" spans="1:11" s="3" customFormat="1" ht="39" customHeight="1" x14ac:dyDescent="0.2">
      <c r="A41" s="93" t="s">
        <v>4</v>
      </c>
      <c r="B41" s="283" t="s">
        <v>304</v>
      </c>
      <c r="C41" s="283"/>
      <c r="D41" s="283"/>
      <c r="E41" s="283" t="s">
        <v>161</v>
      </c>
      <c r="F41" s="283"/>
      <c r="G41" s="283"/>
      <c r="H41" s="283" t="s">
        <v>159</v>
      </c>
      <c r="I41" s="283"/>
      <c r="J41" s="284"/>
      <c r="K41" s="137"/>
    </row>
    <row r="42" spans="1:11" s="3" customFormat="1" ht="14.25" x14ac:dyDescent="0.2">
      <c r="A42" s="15"/>
      <c r="B42" s="195"/>
      <c r="C42" s="195"/>
      <c r="D42" s="195"/>
      <c r="E42" s="195"/>
      <c r="F42" s="195"/>
      <c r="G42" s="195"/>
      <c r="H42" s="195"/>
      <c r="I42" s="195"/>
      <c r="J42" s="278"/>
      <c r="K42" s="137"/>
    </row>
    <row r="43" spans="1:11" s="3" customFormat="1" ht="14.25" x14ac:dyDescent="0.2">
      <c r="A43" s="15" t="s">
        <v>383</v>
      </c>
      <c r="B43" s="195" t="s">
        <v>381</v>
      </c>
      <c r="C43" s="195"/>
      <c r="D43" s="195"/>
      <c r="E43" s="195"/>
      <c r="F43" s="195"/>
      <c r="G43" s="195"/>
      <c r="H43" s="195"/>
      <c r="I43" s="195"/>
      <c r="J43" s="278"/>
      <c r="K43" s="137"/>
    </row>
    <row r="44" spans="1:11" ht="14.25" customHeight="1" x14ac:dyDescent="0.2">
      <c r="A44" s="15"/>
      <c r="B44" s="195"/>
      <c r="C44" s="195"/>
      <c r="D44" s="195"/>
      <c r="E44" s="195"/>
      <c r="F44" s="195"/>
      <c r="G44" s="195"/>
      <c r="H44" s="195"/>
      <c r="I44" s="195"/>
      <c r="J44" s="278"/>
      <c r="K44" s="137"/>
    </row>
    <row r="45" spans="1:11" s="3" customFormat="1" ht="14.25" x14ac:dyDescent="0.2">
      <c r="A45" s="15"/>
      <c r="B45" s="195"/>
      <c r="C45" s="195"/>
      <c r="D45" s="195"/>
      <c r="E45" s="195"/>
      <c r="F45" s="195"/>
      <c r="G45" s="195"/>
      <c r="H45" s="195"/>
      <c r="I45" s="195"/>
      <c r="J45" s="278"/>
      <c r="K45" s="137"/>
    </row>
    <row r="46" spans="1:11" s="3" customFormat="1" ht="14.25" x14ac:dyDescent="0.2">
      <c r="A46" s="15"/>
      <c r="B46" s="195"/>
      <c r="C46" s="195"/>
      <c r="D46" s="195"/>
      <c r="E46" s="195"/>
      <c r="F46" s="195"/>
      <c r="G46" s="195"/>
      <c r="H46" s="195"/>
      <c r="I46" s="195"/>
      <c r="J46" s="278"/>
      <c r="K46" s="137"/>
    </row>
    <row r="47" spans="1:11" s="3" customFormat="1" ht="29.25" customHeight="1" x14ac:dyDescent="0.2">
      <c r="A47" s="16"/>
      <c r="E47" s="293" t="s">
        <v>162</v>
      </c>
      <c r="F47" s="293"/>
      <c r="G47" s="293"/>
      <c r="H47" s="293"/>
      <c r="I47" s="293"/>
      <c r="J47" s="16"/>
      <c r="K47" s="136"/>
    </row>
    <row r="80" spans="6:6" x14ac:dyDescent="0.2">
      <c r="F80" s="3"/>
    </row>
  </sheetData>
  <mergeCells count="107">
    <mergeCell ref="A8:B8"/>
    <mergeCell ref="C8:I8"/>
    <mergeCell ref="A9:B9"/>
    <mergeCell ref="C9:E9"/>
    <mergeCell ref="F9:I9"/>
    <mergeCell ref="A11:B11"/>
    <mergeCell ref="C11:E11"/>
    <mergeCell ref="F11:I11"/>
    <mergeCell ref="A12:B12"/>
    <mergeCell ref="C12:E12"/>
    <mergeCell ref="F12:I12"/>
    <mergeCell ref="C13:E13"/>
    <mergeCell ref="F13:I13"/>
    <mergeCell ref="A14:B14"/>
    <mergeCell ref="C14:E14"/>
    <mergeCell ref="F14:I14"/>
    <mergeCell ref="E47:I47"/>
    <mergeCell ref="A10:B10"/>
    <mergeCell ref="C10:E10"/>
    <mergeCell ref="F10:I10"/>
    <mergeCell ref="A13:B13"/>
    <mergeCell ref="B37:D37"/>
    <mergeCell ref="E37:G37"/>
    <mergeCell ref="H37:J37"/>
    <mergeCell ref="B38:D38"/>
    <mergeCell ref="E38:G38"/>
    <mergeCell ref="H38:J38"/>
    <mergeCell ref="B20:D20"/>
    <mergeCell ref="E20:G20"/>
    <mergeCell ref="H20:J20"/>
    <mergeCell ref="B21:D21"/>
    <mergeCell ref="E21:G21"/>
    <mergeCell ref="H21:J21"/>
    <mergeCell ref="A15:B15"/>
    <mergeCell ref="C15:E15"/>
    <mergeCell ref="F15:I15"/>
    <mergeCell ref="A16:B16"/>
    <mergeCell ref="C17:E17"/>
    <mergeCell ref="F17:I17"/>
    <mergeCell ref="C16:E16"/>
    <mergeCell ref="F16:I16"/>
    <mergeCell ref="A17:B17"/>
    <mergeCell ref="E22:G22"/>
    <mergeCell ref="H22:J22"/>
    <mergeCell ref="B23:D23"/>
    <mergeCell ref="E23:G23"/>
    <mergeCell ref="H23:J23"/>
    <mergeCell ref="B24:D24"/>
    <mergeCell ref="B25:D25"/>
    <mergeCell ref="E24:G24"/>
    <mergeCell ref="E25:G25"/>
    <mergeCell ref="H24:I24"/>
    <mergeCell ref="H25:I25"/>
    <mergeCell ref="B46:D46"/>
    <mergeCell ref="E46:G46"/>
    <mergeCell ref="H46:J46"/>
    <mergeCell ref="B43:D43"/>
    <mergeCell ref="E43:G43"/>
    <mergeCell ref="H43:J43"/>
    <mergeCell ref="B44:D44"/>
    <mergeCell ref="E44:G44"/>
    <mergeCell ref="H44:J44"/>
    <mergeCell ref="B28:D28"/>
    <mergeCell ref="E28:G28"/>
    <mergeCell ref="H28:J28"/>
    <mergeCell ref="B29:D29"/>
    <mergeCell ref="E29:G29"/>
    <mergeCell ref="H29:J29"/>
    <mergeCell ref="A40:K40"/>
    <mergeCell ref="A19:K19"/>
    <mergeCell ref="B45:D45"/>
    <mergeCell ref="E45:G45"/>
    <mergeCell ref="H45:J45"/>
    <mergeCell ref="B41:D41"/>
    <mergeCell ref="E41:G41"/>
    <mergeCell ref="H41:J41"/>
    <mergeCell ref="B42:D42"/>
    <mergeCell ref="E42:G42"/>
    <mergeCell ref="H42:J42"/>
    <mergeCell ref="B26:D26"/>
    <mergeCell ref="E26:G26"/>
    <mergeCell ref="H26:J26"/>
    <mergeCell ref="B27:D27"/>
    <mergeCell ref="E27:G27"/>
    <mergeCell ref="H27:J27"/>
    <mergeCell ref="B22:D22"/>
    <mergeCell ref="B32:D32"/>
    <mergeCell ref="E32:G32"/>
    <mergeCell ref="H32:J32"/>
    <mergeCell ref="B33:D33"/>
    <mergeCell ref="E33:G33"/>
    <mergeCell ref="H33:J33"/>
    <mergeCell ref="B30:D30"/>
    <mergeCell ref="E30:G30"/>
    <mergeCell ref="H30:J30"/>
    <mergeCell ref="B31:D31"/>
    <mergeCell ref="E31:G31"/>
    <mergeCell ref="H31:J31"/>
    <mergeCell ref="B36:D36"/>
    <mergeCell ref="E36:G36"/>
    <mergeCell ref="H36:J36"/>
    <mergeCell ref="B34:D34"/>
    <mergeCell ref="E34:G34"/>
    <mergeCell ref="H34:J34"/>
    <mergeCell ref="B35:D35"/>
    <mergeCell ref="E35:G35"/>
    <mergeCell ref="H35:J3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J66"/>
  <sheetViews>
    <sheetView showGridLines="0" zoomScaleNormal="100" workbookViewId="0">
      <selection activeCell="O27" sqref="O27"/>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0" x14ac:dyDescent="0.2">
      <c r="A1" s="2" t="str">
        <f>+'Cover Page'!$B$29</f>
        <v>Annual Performance Report 2022</v>
      </c>
      <c r="E1" s="2" t="str">
        <f>+'Cover Page'!$B$33</f>
        <v>Addenbrooke's Hospital  Incinerator</v>
      </c>
    </row>
    <row r="3" spans="1:10" ht="15.75" x14ac:dyDescent="0.25">
      <c r="A3" s="1" t="s">
        <v>163</v>
      </c>
    </row>
    <row r="4" spans="1:10" ht="15.75" x14ac:dyDescent="0.25">
      <c r="A4" s="1"/>
    </row>
    <row r="5" spans="1:10" s="3" customFormat="1" x14ac:dyDescent="0.2">
      <c r="A5" s="303" t="s">
        <v>164</v>
      </c>
      <c r="B5" s="304"/>
      <c r="C5" s="304"/>
      <c r="D5" s="304"/>
      <c r="E5" s="304"/>
      <c r="F5" s="304"/>
      <c r="G5" s="304"/>
      <c r="H5" s="304"/>
      <c r="I5" s="304"/>
      <c r="J5" s="305"/>
    </row>
    <row r="6" spans="1:10" s="3" customFormat="1" ht="15.75" customHeight="1" x14ac:dyDescent="0.2">
      <c r="A6" s="199" t="s">
        <v>433</v>
      </c>
      <c r="B6" s="200"/>
      <c r="C6" s="200"/>
      <c r="D6" s="200"/>
      <c r="E6" s="200"/>
      <c r="F6" s="200"/>
      <c r="G6" s="200"/>
      <c r="H6" s="200"/>
      <c r="I6" s="200"/>
      <c r="J6" s="201"/>
    </row>
    <row r="7" spans="1:10" s="3" customFormat="1" ht="15.75" customHeight="1" x14ac:dyDescent="0.2">
      <c r="A7" s="202"/>
      <c r="B7" s="203"/>
      <c r="C7" s="203"/>
      <c r="D7" s="203"/>
      <c r="E7" s="203"/>
      <c r="F7" s="203"/>
      <c r="G7" s="203"/>
      <c r="H7" s="203"/>
      <c r="I7" s="203"/>
      <c r="J7" s="204"/>
    </row>
    <row r="8" spans="1:10" s="3" customFormat="1" ht="15.75" customHeight="1" x14ac:dyDescent="0.2">
      <c r="A8" s="202"/>
      <c r="B8" s="203"/>
      <c r="C8" s="203"/>
      <c r="D8" s="203"/>
      <c r="E8" s="203"/>
      <c r="F8" s="203"/>
      <c r="G8" s="203"/>
      <c r="H8" s="203"/>
      <c r="I8" s="203"/>
      <c r="J8" s="204"/>
    </row>
    <row r="9" spans="1:10" s="3" customFormat="1" ht="15.75" customHeight="1" x14ac:dyDescent="0.2">
      <c r="A9" s="202"/>
      <c r="B9" s="203"/>
      <c r="C9" s="203"/>
      <c r="D9" s="203"/>
      <c r="E9" s="203"/>
      <c r="F9" s="203"/>
      <c r="G9" s="203"/>
      <c r="H9" s="203"/>
      <c r="I9" s="203"/>
      <c r="J9" s="204"/>
    </row>
    <row r="10" spans="1:10" s="3" customFormat="1" ht="15.75" customHeight="1" x14ac:dyDescent="0.2">
      <c r="A10" s="202"/>
      <c r="B10" s="203"/>
      <c r="C10" s="203"/>
      <c r="D10" s="203"/>
      <c r="E10" s="203"/>
      <c r="F10" s="203"/>
      <c r="G10" s="203"/>
      <c r="H10" s="203"/>
      <c r="I10" s="203"/>
      <c r="J10" s="204"/>
    </row>
    <row r="11" spans="1:10" s="3" customFormat="1" ht="15.75" customHeight="1" x14ac:dyDescent="0.2">
      <c r="A11" s="202"/>
      <c r="B11" s="203"/>
      <c r="C11" s="203"/>
      <c r="D11" s="203"/>
      <c r="E11" s="203"/>
      <c r="F11" s="203"/>
      <c r="G11" s="203"/>
      <c r="H11" s="203"/>
      <c r="I11" s="203"/>
      <c r="J11" s="204"/>
    </row>
    <row r="12" spans="1:10" s="3" customFormat="1" ht="15.75" customHeight="1" x14ac:dyDescent="0.2">
      <c r="A12" s="202"/>
      <c r="B12" s="203"/>
      <c r="C12" s="203"/>
      <c r="D12" s="203"/>
      <c r="E12" s="203"/>
      <c r="F12" s="203"/>
      <c r="G12" s="203"/>
      <c r="H12" s="203"/>
      <c r="I12" s="203"/>
      <c r="J12" s="204"/>
    </row>
    <row r="13" spans="1:10" s="3" customFormat="1" ht="15.75" customHeight="1" x14ac:dyDescent="0.2">
      <c r="A13" s="202"/>
      <c r="B13" s="203"/>
      <c r="C13" s="203"/>
      <c r="D13" s="203"/>
      <c r="E13" s="203"/>
      <c r="F13" s="203"/>
      <c r="G13" s="203"/>
      <c r="H13" s="203"/>
      <c r="I13" s="203"/>
      <c r="J13" s="204"/>
    </row>
    <row r="14" spans="1:10" s="3" customFormat="1" ht="15.75" customHeight="1" x14ac:dyDescent="0.2">
      <c r="A14" s="205"/>
      <c r="B14" s="206"/>
      <c r="C14" s="206"/>
      <c r="D14" s="206"/>
      <c r="E14" s="206"/>
      <c r="F14" s="206"/>
      <c r="G14" s="206"/>
      <c r="H14" s="206"/>
      <c r="I14" s="206"/>
      <c r="J14" s="207"/>
    </row>
    <row r="15" spans="1:10" s="3" customFormat="1" ht="14.25" x14ac:dyDescent="0.2"/>
    <row r="16" spans="1:10" s="95" customFormat="1" ht="33.75" customHeight="1" x14ac:dyDescent="0.25">
      <c r="A16" s="300" t="s">
        <v>165</v>
      </c>
      <c r="B16" s="301"/>
      <c r="C16" s="301"/>
      <c r="D16" s="301"/>
      <c r="E16" s="301"/>
      <c r="F16" s="301"/>
      <c r="G16" s="301"/>
      <c r="H16" s="301"/>
      <c r="I16" s="301"/>
      <c r="J16" s="302"/>
    </row>
    <row r="17" spans="1:10" ht="15.75" customHeight="1" x14ac:dyDescent="0.2">
      <c r="A17" s="306" t="s">
        <v>391</v>
      </c>
      <c r="B17" s="208"/>
      <c r="C17" s="208"/>
      <c r="D17" s="208"/>
      <c r="E17" s="208"/>
      <c r="F17" s="208"/>
      <c r="G17" s="208"/>
      <c r="H17" s="208"/>
      <c r="I17" s="208"/>
      <c r="J17" s="209"/>
    </row>
    <row r="18" spans="1:10" ht="15.75" customHeight="1" x14ac:dyDescent="0.2">
      <c r="A18" s="210"/>
      <c r="B18" s="211"/>
      <c r="C18" s="211"/>
      <c r="D18" s="211"/>
      <c r="E18" s="211"/>
      <c r="F18" s="211"/>
      <c r="G18" s="211"/>
      <c r="H18" s="211"/>
      <c r="I18" s="211"/>
      <c r="J18" s="212"/>
    </row>
    <row r="19" spans="1:10" ht="15.75" customHeight="1" x14ac:dyDescent="0.2">
      <c r="A19" s="210"/>
      <c r="B19" s="211"/>
      <c r="C19" s="211"/>
      <c r="D19" s="211"/>
      <c r="E19" s="211"/>
      <c r="F19" s="211"/>
      <c r="G19" s="211"/>
      <c r="H19" s="211"/>
      <c r="I19" s="211"/>
      <c r="J19" s="212"/>
    </row>
    <row r="20" spans="1:10" ht="15.75" customHeight="1" x14ac:dyDescent="0.2">
      <c r="A20" s="210"/>
      <c r="B20" s="211"/>
      <c r="C20" s="211"/>
      <c r="D20" s="211"/>
      <c r="E20" s="211"/>
      <c r="F20" s="211"/>
      <c r="G20" s="211"/>
      <c r="H20" s="211"/>
      <c r="I20" s="211"/>
      <c r="J20" s="212"/>
    </row>
    <row r="21" spans="1:10" ht="15.75" customHeight="1" x14ac:dyDescent="0.2">
      <c r="A21" s="210"/>
      <c r="B21" s="211"/>
      <c r="C21" s="211"/>
      <c r="D21" s="211"/>
      <c r="E21" s="211"/>
      <c r="F21" s="211"/>
      <c r="G21" s="211"/>
      <c r="H21" s="211"/>
      <c r="I21" s="211"/>
      <c r="J21" s="212"/>
    </row>
    <row r="22" spans="1:10" ht="15.75" customHeight="1" x14ac:dyDescent="0.2">
      <c r="A22" s="210"/>
      <c r="B22" s="211"/>
      <c r="C22" s="211"/>
      <c r="D22" s="211"/>
      <c r="E22" s="211"/>
      <c r="F22" s="211"/>
      <c r="G22" s="211"/>
      <c r="H22" s="211"/>
      <c r="I22" s="211"/>
      <c r="J22" s="212"/>
    </row>
    <row r="23" spans="1:10" ht="15.75" customHeight="1" x14ac:dyDescent="0.2">
      <c r="A23" s="210"/>
      <c r="B23" s="211"/>
      <c r="C23" s="211"/>
      <c r="D23" s="211"/>
      <c r="E23" s="211"/>
      <c r="F23" s="211"/>
      <c r="G23" s="211"/>
      <c r="H23" s="211"/>
      <c r="I23" s="211"/>
      <c r="J23" s="212"/>
    </row>
    <row r="24" spans="1:10" ht="15.75" customHeight="1" x14ac:dyDescent="0.2">
      <c r="A24" s="210"/>
      <c r="B24" s="211"/>
      <c r="C24" s="211"/>
      <c r="D24" s="211"/>
      <c r="E24" s="211"/>
      <c r="F24" s="211"/>
      <c r="G24" s="211"/>
      <c r="H24" s="211"/>
      <c r="I24" s="211"/>
      <c r="J24" s="212"/>
    </row>
    <row r="25" spans="1:10" ht="15.75" customHeight="1" x14ac:dyDescent="0.2">
      <c r="A25" s="213"/>
      <c r="B25" s="214"/>
      <c r="C25" s="214"/>
      <c r="D25" s="214"/>
      <c r="E25" s="214"/>
      <c r="F25" s="214"/>
      <c r="G25" s="214"/>
      <c r="H25" s="214"/>
      <c r="I25" s="214"/>
      <c r="J25" s="215"/>
    </row>
    <row r="26" spans="1:10" ht="15.75" x14ac:dyDescent="0.25">
      <c r="A26" s="1"/>
    </row>
    <row r="27" spans="1:10" ht="36.75" customHeight="1" x14ac:dyDescent="0.2">
      <c r="A27" s="300" t="s">
        <v>166</v>
      </c>
      <c r="B27" s="301"/>
      <c r="C27" s="301"/>
      <c r="D27" s="301"/>
      <c r="E27" s="301"/>
      <c r="F27" s="301"/>
      <c r="G27" s="301"/>
      <c r="H27" s="301"/>
      <c r="I27" s="301"/>
      <c r="J27" s="302"/>
    </row>
    <row r="28" spans="1:10" ht="15.75" customHeight="1" x14ac:dyDescent="0.2">
      <c r="A28" s="306" t="s">
        <v>381</v>
      </c>
      <c r="B28" s="208"/>
      <c r="C28" s="208"/>
      <c r="D28" s="208"/>
      <c r="E28" s="208"/>
      <c r="F28" s="208"/>
      <c r="G28" s="208"/>
      <c r="H28" s="208"/>
      <c r="I28" s="208"/>
      <c r="J28" s="209"/>
    </row>
    <row r="29" spans="1:10" ht="15.75" customHeight="1" x14ac:dyDescent="0.2">
      <c r="A29" s="210"/>
      <c r="B29" s="211"/>
      <c r="C29" s="211"/>
      <c r="D29" s="211"/>
      <c r="E29" s="211"/>
      <c r="F29" s="211"/>
      <c r="G29" s="211"/>
      <c r="H29" s="211"/>
      <c r="I29" s="211"/>
      <c r="J29" s="212"/>
    </row>
    <row r="30" spans="1:10" ht="15.75" customHeight="1" x14ac:dyDescent="0.2">
      <c r="A30" s="210"/>
      <c r="B30" s="211"/>
      <c r="C30" s="211"/>
      <c r="D30" s="211"/>
      <c r="E30" s="211"/>
      <c r="F30" s="211"/>
      <c r="G30" s="211"/>
      <c r="H30" s="211"/>
      <c r="I30" s="211"/>
      <c r="J30" s="212"/>
    </row>
    <row r="31" spans="1:10" ht="15.75" customHeight="1" x14ac:dyDescent="0.2">
      <c r="A31" s="210"/>
      <c r="B31" s="211"/>
      <c r="C31" s="211"/>
      <c r="D31" s="211"/>
      <c r="E31" s="211"/>
      <c r="F31" s="211"/>
      <c r="G31" s="211"/>
      <c r="H31" s="211"/>
      <c r="I31" s="211"/>
      <c r="J31" s="212"/>
    </row>
    <row r="32" spans="1:10" ht="15.75" customHeight="1" x14ac:dyDescent="0.2">
      <c r="A32" s="210"/>
      <c r="B32" s="211"/>
      <c r="C32" s="211"/>
      <c r="D32" s="211"/>
      <c r="E32" s="211"/>
      <c r="F32" s="211"/>
      <c r="G32" s="211"/>
      <c r="H32" s="211"/>
      <c r="I32" s="211"/>
      <c r="J32" s="212"/>
    </row>
    <row r="33" spans="1:10" ht="15.75" customHeight="1" x14ac:dyDescent="0.2">
      <c r="A33" s="210"/>
      <c r="B33" s="211"/>
      <c r="C33" s="211"/>
      <c r="D33" s="211"/>
      <c r="E33" s="211"/>
      <c r="F33" s="211"/>
      <c r="G33" s="211"/>
      <c r="H33" s="211"/>
      <c r="I33" s="211"/>
      <c r="J33" s="212"/>
    </row>
    <row r="34" spans="1:10" ht="15.75" customHeight="1" x14ac:dyDescent="0.2">
      <c r="A34" s="210"/>
      <c r="B34" s="211"/>
      <c r="C34" s="211"/>
      <c r="D34" s="211"/>
      <c r="E34" s="211"/>
      <c r="F34" s="211"/>
      <c r="G34" s="211"/>
      <c r="H34" s="211"/>
      <c r="I34" s="211"/>
      <c r="J34" s="212"/>
    </row>
    <row r="35" spans="1:10" ht="15.75" customHeight="1" x14ac:dyDescent="0.2">
      <c r="A35" s="210"/>
      <c r="B35" s="211"/>
      <c r="C35" s="211"/>
      <c r="D35" s="211"/>
      <c r="E35" s="211"/>
      <c r="F35" s="211"/>
      <c r="G35" s="211"/>
      <c r="H35" s="211"/>
      <c r="I35" s="211"/>
      <c r="J35" s="212"/>
    </row>
    <row r="36" spans="1:10" ht="15.75" customHeight="1" x14ac:dyDescent="0.2">
      <c r="A36" s="213"/>
      <c r="B36" s="214"/>
      <c r="C36" s="214"/>
      <c r="D36" s="214"/>
      <c r="E36" s="214"/>
      <c r="F36" s="214"/>
      <c r="G36" s="214"/>
      <c r="H36" s="214"/>
      <c r="I36" s="214"/>
      <c r="J36" s="215"/>
    </row>
    <row r="38" spans="1:10" ht="33" customHeight="1" x14ac:dyDescent="0.2">
      <c r="A38" s="300" t="s">
        <v>167</v>
      </c>
      <c r="B38" s="301"/>
      <c r="C38" s="301"/>
      <c r="D38" s="301"/>
      <c r="E38" s="301"/>
      <c r="F38" s="301"/>
      <c r="G38" s="301"/>
      <c r="H38" s="301"/>
      <c r="I38" s="301"/>
      <c r="J38" s="302"/>
    </row>
    <row r="39" spans="1:10" ht="15.75" customHeight="1" x14ac:dyDescent="0.2">
      <c r="A39" s="199" t="s">
        <v>398</v>
      </c>
      <c r="B39" s="200"/>
      <c r="C39" s="200"/>
      <c r="D39" s="200"/>
      <c r="E39" s="200"/>
      <c r="F39" s="200"/>
      <c r="G39" s="200"/>
      <c r="H39" s="200"/>
      <c r="I39" s="200"/>
      <c r="J39" s="201"/>
    </row>
    <row r="40" spans="1:10" ht="15.75" customHeight="1" x14ac:dyDescent="0.2">
      <c r="A40" s="202"/>
      <c r="B40" s="203"/>
      <c r="C40" s="203"/>
      <c r="D40" s="203"/>
      <c r="E40" s="203"/>
      <c r="F40" s="203"/>
      <c r="G40" s="203"/>
      <c r="H40" s="203"/>
      <c r="I40" s="203"/>
      <c r="J40" s="204"/>
    </row>
    <row r="41" spans="1:10" ht="15.75" customHeight="1" x14ac:dyDescent="0.2">
      <c r="A41" s="202"/>
      <c r="B41" s="203"/>
      <c r="C41" s="203"/>
      <c r="D41" s="203"/>
      <c r="E41" s="203"/>
      <c r="F41" s="203"/>
      <c r="G41" s="203"/>
      <c r="H41" s="203"/>
      <c r="I41" s="203"/>
      <c r="J41" s="204"/>
    </row>
    <row r="42" spans="1:10" ht="15.75" customHeight="1" x14ac:dyDescent="0.2">
      <c r="A42" s="202"/>
      <c r="B42" s="203"/>
      <c r="C42" s="203"/>
      <c r="D42" s="203"/>
      <c r="E42" s="203"/>
      <c r="F42" s="203"/>
      <c r="G42" s="203"/>
      <c r="H42" s="203"/>
      <c r="I42" s="203"/>
      <c r="J42" s="204"/>
    </row>
    <row r="43" spans="1:10" ht="15.75" customHeight="1" x14ac:dyDescent="0.2">
      <c r="A43" s="202"/>
      <c r="B43" s="203"/>
      <c r="C43" s="203"/>
      <c r="D43" s="203"/>
      <c r="E43" s="203"/>
      <c r="F43" s="203"/>
      <c r="G43" s="203"/>
      <c r="H43" s="203"/>
      <c r="I43" s="203"/>
      <c r="J43" s="204"/>
    </row>
    <row r="44" spans="1:10" ht="15.75" customHeight="1" x14ac:dyDescent="0.2">
      <c r="A44" s="202"/>
      <c r="B44" s="203"/>
      <c r="C44" s="203"/>
      <c r="D44" s="203"/>
      <c r="E44" s="203"/>
      <c r="F44" s="203"/>
      <c r="G44" s="203"/>
      <c r="H44" s="203"/>
      <c r="I44" s="203"/>
      <c r="J44" s="204"/>
    </row>
    <row r="45" spans="1:10" ht="15.75" customHeight="1" x14ac:dyDescent="0.2">
      <c r="A45" s="202"/>
      <c r="B45" s="203"/>
      <c r="C45" s="203"/>
      <c r="D45" s="203"/>
      <c r="E45" s="203"/>
      <c r="F45" s="203"/>
      <c r="G45" s="203"/>
      <c r="H45" s="203"/>
      <c r="I45" s="203"/>
      <c r="J45" s="204"/>
    </row>
    <row r="46" spans="1:10" ht="15.75" customHeight="1" x14ac:dyDescent="0.2">
      <c r="A46" s="202"/>
      <c r="B46" s="203"/>
      <c r="C46" s="203"/>
      <c r="D46" s="203"/>
      <c r="E46" s="203"/>
      <c r="F46" s="203"/>
      <c r="G46" s="203"/>
      <c r="H46" s="203"/>
      <c r="I46" s="203"/>
      <c r="J46" s="204"/>
    </row>
    <row r="47" spans="1:10" ht="15.75" customHeight="1" x14ac:dyDescent="0.2">
      <c r="A47" s="202"/>
      <c r="B47" s="203"/>
      <c r="C47" s="203"/>
      <c r="D47" s="203"/>
      <c r="E47" s="203"/>
      <c r="F47" s="203"/>
      <c r="G47" s="203"/>
      <c r="H47" s="203"/>
      <c r="I47" s="203"/>
      <c r="J47" s="204"/>
    </row>
    <row r="48" spans="1:10" ht="15.75" customHeight="1" x14ac:dyDescent="0.2">
      <c r="A48" s="205"/>
      <c r="B48" s="206"/>
      <c r="C48" s="206"/>
      <c r="D48" s="206"/>
      <c r="E48" s="206"/>
      <c r="F48" s="206"/>
      <c r="G48" s="206"/>
      <c r="H48" s="206"/>
      <c r="I48" s="206"/>
      <c r="J48" s="207"/>
    </row>
    <row r="66" spans="6:6" x14ac:dyDescent="0.2">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J66"/>
  <sheetViews>
    <sheetView showGridLines="0" zoomScaleNormal="100" workbookViewId="0">
      <selection activeCell="O27" sqref="O27"/>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0" x14ac:dyDescent="0.2">
      <c r="A1" s="2" t="str">
        <f>+'Cover Page'!$B$29</f>
        <v>Annual Performance Report 2022</v>
      </c>
      <c r="E1" s="2" t="str">
        <f>+'Cover Page'!$B$33</f>
        <v>Addenbrooke's Hospital  Incinerator</v>
      </c>
    </row>
    <row r="3" spans="1:10" ht="15.75" x14ac:dyDescent="0.25">
      <c r="A3" s="1" t="s">
        <v>168</v>
      </c>
    </row>
    <row r="4" spans="1:10" ht="15.75" x14ac:dyDescent="0.25">
      <c r="A4" s="1"/>
    </row>
    <row r="5" spans="1:10" s="3" customFormat="1" ht="28.5" customHeight="1" x14ac:dyDescent="0.2">
      <c r="A5" s="96" t="s">
        <v>169</v>
      </c>
      <c r="B5" s="97"/>
      <c r="C5" s="97"/>
      <c r="D5" s="97"/>
      <c r="E5" s="97"/>
      <c r="F5" s="97"/>
      <c r="G5" s="97"/>
      <c r="H5" s="97"/>
      <c r="I5" s="97"/>
      <c r="J5" s="98"/>
    </row>
    <row r="6" spans="1:10" s="3" customFormat="1" ht="15.75" customHeight="1" x14ac:dyDescent="0.2">
      <c r="A6" s="303" t="s">
        <v>4</v>
      </c>
      <c r="B6" s="305"/>
      <c r="C6" s="303" t="s">
        <v>170</v>
      </c>
      <c r="D6" s="304"/>
      <c r="E6" s="304"/>
      <c r="F6" s="304"/>
      <c r="G6" s="304"/>
      <c r="H6" s="304"/>
      <c r="I6" s="304"/>
      <c r="J6" s="305"/>
    </row>
    <row r="7" spans="1:10" s="3" customFormat="1" ht="15.75" customHeight="1" x14ac:dyDescent="0.2">
      <c r="A7" s="306" t="s">
        <v>383</v>
      </c>
      <c r="B7" s="209"/>
      <c r="C7" s="306" t="s">
        <v>381</v>
      </c>
      <c r="D7" s="208"/>
      <c r="E7" s="208"/>
      <c r="F7" s="208"/>
      <c r="G7" s="208"/>
      <c r="H7" s="208"/>
      <c r="I7" s="208"/>
      <c r="J7" s="209"/>
    </row>
    <row r="8" spans="1:10" s="3" customFormat="1" ht="15.75" customHeight="1" x14ac:dyDescent="0.2">
      <c r="A8" s="213"/>
      <c r="B8" s="215"/>
      <c r="C8" s="213"/>
      <c r="D8" s="214"/>
      <c r="E8" s="214"/>
      <c r="F8" s="214"/>
      <c r="G8" s="214"/>
      <c r="H8" s="214"/>
      <c r="I8" s="214"/>
      <c r="J8" s="215"/>
    </row>
    <row r="9" spans="1:10" s="3" customFormat="1" ht="15.75" customHeight="1" x14ac:dyDescent="0.2">
      <c r="A9" s="306"/>
      <c r="B9" s="209"/>
      <c r="C9" s="306"/>
      <c r="D9" s="208"/>
      <c r="E9" s="208"/>
      <c r="F9" s="208"/>
      <c r="G9" s="208"/>
      <c r="H9" s="208"/>
      <c r="I9" s="208"/>
      <c r="J9" s="209"/>
    </row>
    <row r="10" spans="1:10" s="3" customFormat="1" ht="15.75" customHeight="1" x14ac:dyDescent="0.2">
      <c r="A10" s="213"/>
      <c r="B10" s="215"/>
      <c r="C10" s="213"/>
      <c r="D10" s="214"/>
      <c r="E10" s="214"/>
      <c r="F10" s="214"/>
      <c r="G10" s="214"/>
      <c r="H10" s="214"/>
      <c r="I10" s="214"/>
      <c r="J10" s="215"/>
    </row>
    <row r="11" spans="1:10" s="3" customFormat="1" ht="15.75" customHeight="1" x14ac:dyDescent="0.2">
      <c r="A11" s="306"/>
      <c r="B11" s="209"/>
      <c r="C11" s="306"/>
      <c r="D11" s="208"/>
      <c r="E11" s="208"/>
      <c r="F11" s="208"/>
      <c r="G11" s="208"/>
      <c r="H11" s="208"/>
      <c r="I11" s="208"/>
      <c r="J11" s="209"/>
    </row>
    <row r="12" spans="1:10" s="3" customFormat="1" ht="15.75" customHeight="1" x14ac:dyDescent="0.2">
      <c r="A12" s="213"/>
      <c r="B12" s="215"/>
      <c r="C12" s="213"/>
      <c r="D12" s="214"/>
      <c r="E12" s="214"/>
      <c r="F12" s="214"/>
      <c r="G12" s="214"/>
      <c r="H12" s="214"/>
      <c r="I12" s="214"/>
      <c r="J12" s="215"/>
    </row>
    <row r="13" spans="1:10" s="3" customFormat="1" ht="15.75" customHeight="1" x14ac:dyDescent="0.2">
      <c r="A13" s="306"/>
      <c r="B13" s="209"/>
      <c r="C13" s="306"/>
      <c r="D13" s="208"/>
      <c r="E13" s="208"/>
      <c r="F13" s="208"/>
      <c r="G13" s="208"/>
      <c r="H13" s="208"/>
      <c r="I13" s="208"/>
      <c r="J13" s="209"/>
    </row>
    <row r="14" spans="1:10" s="3" customFormat="1" ht="15.75" customHeight="1" x14ac:dyDescent="0.2">
      <c r="A14" s="213"/>
      <c r="B14" s="215"/>
      <c r="C14" s="213"/>
      <c r="D14" s="214"/>
      <c r="E14" s="214"/>
      <c r="F14" s="214"/>
      <c r="G14" s="214"/>
      <c r="H14" s="214"/>
      <c r="I14" s="214"/>
      <c r="J14" s="215"/>
    </row>
    <row r="15" spans="1:10" s="3" customFormat="1" ht="14.25" x14ac:dyDescent="0.2"/>
    <row r="16" spans="1:10" s="95" customFormat="1" ht="33.75" customHeight="1" x14ac:dyDescent="0.25">
      <c r="A16" s="300" t="s">
        <v>171</v>
      </c>
      <c r="B16" s="301"/>
      <c r="C16" s="301"/>
      <c r="D16" s="301"/>
      <c r="E16" s="301"/>
      <c r="F16" s="301"/>
      <c r="G16" s="301"/>
      <c r="H16" s="301"/>
      <c r="I16" s="301"/>
      <c r="J16" s="302"/>
    </row>
    <row r="17" spans="1:10" ht="15.75" customHeight="1" x14ac:dyDescent="0.2">
      <c r="A17" s="303" t="s">
        <v>4</v>
      </c>
      <c r="B17" s="305"/>
      <c r="C17" s="303" t="s">
        <v>170</v>
      </c>
      <c r="D17" s="304"/>
      <c r="E17" s="304"/>
      <c r="F17" s="304"/>
      <c r="G17" s="304"/>
      <c r="H17" s="304"/>
      <c r="I17" s="304"/>
      <c r="J17" s="304"/>
    </row>
    <row r="18" spans="1:10" ht="15.75" customHeight="1" x14ac:dyDescent="0.2">
      <c r="A18" s="306" t="s">
        <v>383</v>
      </c>
      <c r="B18" s="209"/>
      <c r="C18" s="306" t="s">
        <v>381</v>
      </c>
      <c r="D18" s="208"/>
      <c r="E18" s="208"/>
      <c r="F18" s="208"/>
      <c r="G18" s="208"/>
      <c r="H18" s="208"/>
      <c r="I18" s="208"/>
      <c r="J18" s="209"/>
    </row>
    <row r="19" spans="1:10" ht="15.75" customHeight="1" x14ac:dyDescent="0.2">
      <c r="A19" s="213"/>
      <c r="B19" s="215"/>
      <c r="C19" s="213"/>
      <c r="D19" s="214"/>
      <c r="E19" s="214"/>
      <c r="F19" s="214"/>
      <c r="G19" s="214"/>
      <c r="H19" s="214"/>
      <c r="I19" s="214"/>
      <c r="J19" s="215"/>
    </row>
    <row r="20" spans="1:10" ht="15.75" customHeight="1" x14ac:dyDescent="0.2">
      <c r="A20" s="306"/>
      <c r="B20" s="209"/>
      <c r="C20" s="306"/>
      <c r="D20" s="208"/>
      <c r="E20" s="208"/>
      <c r="F20" s="208"/>
      <c r="G20" s="208"/>
      <c r="H20" s="208"/>
      <c r="I20" s="208"/>
      <c r="J20" s="209"/>
    </row>
    <row r="21" spans="1:10" ht="15.75" customHeight="1" x14ac:dyDescent="0.2">
      <c r="A21" s="213"/>
      <c r="B21" s="215"/>
      <c r="C21" s="213"/>
      <c r="D21" s="214"/>
      <c r="E21" s="214"/>
      <c r="F21" s="214"/>
      <c r="G21" s="214"/>
      <c r="H21" s="214"/>
      <c r="I21" s="214"/>
      <c r="J21" s="215"/>
    </row>
    <row r="22" spans="1:10" ht="15.75" customHeight="1" x14ac:dyDescent="0.2">
      <c r="A22" s="306"/>
      <c r="B22" s="209"/>
      <c r="C22" s="306"/>
      <c r="D22" s="208"/>
      <c r="E22" s="208"/>
      <c r="F22" s="208"/>
      <c r="G22" s="208"/>
      <c r="H22" s="208"/>
      <c r="I22" s="208"/>
      <c r="J22" s="209"/>
    </row>
    <row r="23" spans="1:10" ht="15.75" customHeight="1" x14ac:dyDescent="0.2">
      <c r="A23" s="213"/>
      <c r="B23" s="215"/>
      <c r="C23" s="213"/>
      <c r="D23" s="214"/>
      <c r="E23" s="214"/>
      <c r="F23" s="214"/>
      <c r="G23" s="214"/>
      <c r="H23" s="214"/>
      <c r="I23" s="214"/>
      <c r="J23" s="215"/>
    </row>
    <row r="24" spans="1:10" ht="15.75" customHeight="1" x14ac:dyDescent="0.2">
      <c r="A24" s="306"/>
      <c r="B24" s="209"/>
      <c r="C24" s="306"/>
      <c r="D24" s="208"/>
      <c r="E24" s="208"/>
      <c r="F24" s="208"/>
      <c r="G24" s="208"/>
      <c r="H24" s="208"/>
      <c r="I24" s="208"/>
      <c r="J24" s="209"/>
    </row>
    <row r="25" spans="1:10" ht="15.75" customHeight="1" x14ac:dyDescent="0.2">
      <c r="A25" s="213"/>
      <c r="B25" s="215"/>
      <c r="C25" s="213"/>
      <c r="D25" s="214"/>
      <c r="E25" s="214"/>
      <c r="F25" s="214"/>
      <c r="G25" s="214"/>
      <c r="H25" s="214"/>
      <c r="I25" s="214"/>
      <c r="J25" s="215"/>
    </row>
    <row r="26" spans="1:10" ht="15.75" customHeight="1" x14ac:dyDescent="0.2">
      <c r="A26" s="306"/>
      <c r="B26" s="209"/>
      <c r="C26" s="306"/>
      <c r="D26" s="208"/>
      <c r="E26" s="208"/>
      <c r="F26" s="208"/>
      <c r="G26" s="208"/>
      <c r="H26" s="208"/>
      <c r="I26" s="208"/>
      <c r="J26" s="209"/>
    </row>
    <row r="27" spans="1:10" ht="15.75" customHeight="1" x14ac:dyDescent="0.2">
      <c r="A27" s="213"/>
      <c r="B27" s="215"/>
      <c r="C27" s="213"/>
      <c r="D27" s="214"/>
      <c r="E27" s="214"/>
      <c r="F27" s="214"/>
      <c r="G27" s="214"/>
      <c r="H27" s="214"/>
      <c r="I27" s="214"/>
      <c r="J27" s="215"/>
    </row>
    <row r="28" spans="1:10" ht="15.75" x14ac:dyDescent="0.25">
      <c r="A28" s="1"/>
    </row>
    <row r="29" spans="1:10" ht="36.75" customHeight="1" x14ac:dyDescent="0.2">
      <c r="A29" s="300" t="s">
        <v>172</v>
      </c>
      <c r="B29" s="301"/>
      <c r="C29" s="301"/>
      <c r="D29" s="301"/>
      <c r="E29" s="301"/>
      <c r="F29" s="301"/>
      <c r="G29" s="301"/>
      <c r="H29" s="301"/>
      <c r="I29" s="301"/>
      <c r="J29" s="302"/>
    </row>
    <row r="66" spans="6:6" x14ac:dyDescent="0.2">
      <c r="F66" s="3"/>
    </row>
  </sheetData>
  <mergeCells count="24">
    <mergeCell ref="A17:B17"/>
    <mergeCell ref="C17:J17"/>
    <mergeCell ref="A6:B6"/>
    <mergeCell ref="C6:J6"/>
    <mergeCell ref="A7:B8"/>
    <mergeCell ref="C7:J8"/>
    <mergeCell ref="A9:B10"/>
    <mergeCell ref="C9:J10"/>
    <mergeCell ref="A11:B12"/>
    <mergeCell ref="C11:J12"/>
    <mergeCell ref="A13:B14"/>
    <mergeCell ref="C13:J14"/>
    <mergeCell ref="A16:J16"/>
    <mergeCell ref="A18:B19"/>
    <mergeCell ref="C18:J19"/>
    <mergeCell ref="A20:B21"/>
    <mergeCell ref="C20:J21"/>
    <mergeCell ref="A22:B23"/>
    <mergeCell ref="C22:J23"/>
    <mergeCell ref="A24:B25"/>
    <mergeCell ref="C24:J25"/>
    <mergeCell ref="A26:B27"/>
    <mergeCell ref="C26:J27"/>
    <mergeCell ref="A29:J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K56"/>
  <sheetViews>
    <sheetView showGridLines="0" topLeftCell="A13" zoomScaleNormal="100" workbookViewId="0">
      <selection activeCell="O27" sqref="O27"/>
    </sheetView>
  </sheetViews>
  <sheetFormatPr defaultColWidth="9.28515625" defaultRowHeight="15" x14ac:dyDescent="0.2"/>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x14ac:dyDescent="0.2">
      <c r="A1" s="2" t="str">
        <f>+'Cover Page'!$B$29</f>
        <v>Annual Performance Report 2022</v>
      </c>
      <c r="E1" s="2" t="str">
        <f>+'Cover Page'!$B$33</f>
        <v>Addenbrooke's Hospital  Incinerator</v>
      </c>
    </row>
    <row r="3" spans="1:7" ht="15.75" x14ac:dyDescent="0.25">
      <c r="A3" s="1" t="s">
        <v>214</v>
      </c>
    </row>
    <row r="4" spans="1:7" ht="15.75" x14ac:dyDescent="0.25">
      <c r="A4" s="1"/>
    </row>
    <row r="5" spans="1:7" s="3" customFormat="1" ht="21.75" customHeight="1" x14ac:dyDescent="0.2">
      <c r="A5" s="96" t="s">
        <v>207</v>
      </c>
      <c r="B5" s="97"/>
      <c r="C5" s="97"/>
      <c r="D5" s="97"/>
      <c r="E5" s="97"/>
      <c r="F5" s="97"/>
      <c r="G5" s="98"/>
    </row>
    <row r="6" spans="1:7" s="3" customFormat="1" ht="15.75" customHeight="1" x14ac:dyDescent="0.2">
      <c r="A6" s="306" t="s">
        <v>386</v>
      </c>
      <c r="B6" s="208"/>
      <c r="C6" s="208"/>
      <c r="D6" s="208"/>
      <c r="E6" s="208"/>
      <c r="F6" s="208"/>
      <c r="G6" s="209"/>
    </row>
    <row r="7" spans="1:7" s="3" customFormat="1" ht="15.75" customHeight="1" x14ac:dyDescent="0.2">
      <c r="A7" s="213"/>
      <c r="B7" s="214"/>
      <c r="C7" s="214"/>
      <c r="D7" s="214"/>
      <c r="E7" s="214"/>
      <c r="F7" s="214"/>
      <c r="G7" s="215"/>
    </row>
    <row r="8" spans="1:7" s="3" customFormat="1" ht="15.75" customHeight="1" x14ac:dyDescent="0.2">
      <c r="A8" s="199"/>
      <c r="B8" s="200"/>
      <c r="C8" s="200"/>
      <c r="D8" s="200"/>
      <c r="E8" s="200"/>
      <c r="F8" s="200"/>
      <c r="G8" s="201"/>
    </row>
    <row r="9" spans="1:7" s="3" customFormat="1" ht="15.75" customHeight="1" x14ac:dyDescent="0.2">
      <c r="A9" s="205"/>
      <c r="B9" s="206"/>
      <c r="C9" s="206"/>
      <c r="D9" s="206"/>
      <c r="E9" s="206"/>
      <c r="F9" s="206"/>
      <c r="G9" s="207"/>
    </row>
    <row r="10" spans="1:7" s="3" customFormat="1" ht="15.75" customHeight="1" x14ac:dyDescent="0.2">
      <c r="A10" s="199"/>
      <c r="B10" s="200"/>
      <c r="C10" s="200"/>
      <c r="D10" s="200"/>
      <c r="E10" s="200"/>
      <c r="F10" s="200"/>
      <c r="G10" s="201"/>
    </row>
    <row r="11" spans="1:7" s="3" customFormat="1" ht="15.75" customHeight="1" x14ac:dyDescent="0.2">
      <c r="A11" s="205"/>
      <c r="B11" s="206"/>
      <c r="C11" s="206"/>
      <c r="D11" s="206"/>
      <c r="E11" s="206"/>
      <c r="F11" s="206"/>
      <c r="G11" s="207"/>
    </row>
    <row r="12" spans="1:7" s="3" customFormat="1" ht="14.25" x14ac:dyDescent="0.2"/>
    <row r="13" spans="1:7" s="95" customFormat="1" ht="33.75" customHeight="1" x14ac:dyDescent="0.25">
      <c r="A13" s="300" t="s">
        <v>208</v>
      </c>
      <c r="B13" s="301"/>
      <c r="C13" s="301"/>
      <c r="D13" s="301"/>
      <c r="E13" s="301"/>
      <c r="F13" s="301"/>
      <c r="G13" s="302"/>
    </row>
    <row r="14" spans="1:7" ht="15.75" customHeight="1" x14ac:dyDescent="0.2">
      <c r="A14" s="303" t="s">
        <v>215</v>
      </c>
      <c r="B14" s="305"/>
      <c r="C14" s="303" t="s">
        <v>170</v>
      </c>
      <c r="D14" s="304"/>
      <c r="E14" s="304"/>
      <c r="F14" s="304"/>
      <c r="G14" s="304"/>
    </row>
    <row r="15" spans="1:7" ht="15.75" customHeight="1" x14ac:dyDescent="0.2">
      <c r="A15" s="199"/>
      <c r="B15" s="201"/>
      <c r="C15" s="306" t="s">
        <v>381</v>
      </c>
      <c r="D15" s="208"/>
      <c r="E15" s="208"/>
      <c r="F15" s="208"/>
      <c r="G15" s="209"/>
    </row>
    <row r="16" spans="1:7" ht="15.75" customHeight="1" x14ac:dyDescent="0.2">
      <c r="A16" s="205"/>
      <c r="B16" s="207"/>
      <c r="C16" s="213"/>
      <c r="D16" s="214"/>
      <c r="E16" s="214"/>
      <c r="F16" s="214"/>
      <c r="G16" s="215"/>
    </row>
    <row r="17" spans="1:11" ht="15.75" customHeight="1" x14ac:dyDescent="0.2">
      <c r="A17" s="306"/>
      <c r="B17" s="209"/>
      <c r="C17" s="306"/>
      <c r="D17" s="208"/>
      <c r="E17" s="208"/>
      <c r="F17" s="208"/>
      <c r="G17" s="209"/>
    </row>
    <row r="18" spans="1:11" ht="15.75" customHeight="1" x14ac:dyDescent="0.2">
      <c r="A18" s="213"/>
      <c r="B18" s="215"/>
      <c r="C18" s="213"/>
      <c r="D18" s="214"/>
      <c r="E18" s="214"/>
      <c r="F18" s="214"/>
      <c r="G18" s="215"/>
    </row>
    <row r="19" spans="1:11" ht="15.75" customHeight="1" x14ac:dyDescent="0.2">
      <c r="A19" s="306"/>
      <c r="B19" s="209"/>
      <c r="C19" s="306"/>
      <c r="D19" s="208"/>
      <c r="E19" s="208"/>
      <c r="F19" s="208"/>
      <c r="G19" s="209"/>
    </row>
    <row r="20" spans="1:11" ht="15.75" customHeight="1" x14ac:dyDescent="0.2">
      <c r="A20" s="213"/>
      <c r="B20" s="215"/>
      <c r="C20" s="213"/>
      <c r="D20" s="214"/>
      <c r="E20" s="214"/>
      <c r="F20" s="214"/>
      <c r="G20" s="215"/>
    </row>
    <row r="21" spans="1:11" ht="15.75" customHeight="1" x14ac:dyDescent="0.2">
      <c r="A21" s="306"/>
      <c r="B21" s="209"/>
      <c r="C21" s="306"/>
      <c r="D21" s="208"/>
      <c r="E21" s="208"/>
      <c r="F21" s="208"/>
      <c r="G21" s="209"/>
    </row>
    <row r="22" spans="1:11" ht="15.75" customHeight="1" x14ac:dyDescent="0.2">
      <c r="A22" s="213"/>
      <c r="B22" s="215"/>
      <c r="C22" s="213"/>
      <c r="D22" s="214"/>
      <c r="E22" s="214"/>
      <c r="F22" s="214"/>
      <c r="G22" s="215"/>
    </row>
    <row r="23" spans="1:11" ht="15.75" customHeight="1" x14ac:dyDescent="0.2">
      <c r="A23" s="306"/>
      <c r="B23" s="209"/>
      <c r="C23" s="306"/>
      <c r="D23" s="208"/>
      <c r="E23" s="208"/>
      <c r="F23" s="208"/>
      <c r="G23" s="209"/>
    </row>
    <row r="24" spans="1:11" ht="15.75" customHeight="1" x14ac:dyDescent="0.2">
      <c r="A24" s="213"/>
      <c r="B24" s="215"/>
      <c r="C24" s="213"/>
      <c r="D24" s="214"/>
      <c r="E24" s="214"/>
      <c r="F24" s="214"/>
      <c r="G24" s="215"/>
    </row>
    <row r="26" spans="1:11" x14ac:dyDescent="0.2">
      <c r="A26" s="16"/>
      <c r="B26" s="16"/>
      <c r="C26" s="16"/>
      <c r="D26" s="16"/>
      <c r="E26" s="16"/>
      <c r="F26" s="16"/>
      <c r="G26" s="16"/>
    </row>
    <row r="27" spans="1:11" s="114" customFormat="1" ht="16.5" customHeight="1" x14ac:dyDescent="0.2">
      <c r="A27" s="313" t="s">
        <v>222</v>
      </c>
      <c r="B27" s="313"/>
      <c r="C27" s="313"/>
      <c r="D27" s="313"/>
      <c r="E27" s="313"/>
      <c r="F27" s="313"/>
      <c r="G27" s="313"/>
    </row>
    <row r="28" spans="1:11" s="16" customFormat="1" ht="17.25" customHeight="1" x14ac:dyDescent="0.2">
      <c r="A28" s="308" t="s">
        <v>219</v>
      </c>
      <c r="B28" s="308"/>
      <c r="C28" s="283" t="s">
        <v>210</v>
      </c>
      <c r="D28" s="283" t="s">
        <v>216</v>
      </c>
      <c r="E28" s="283"/>
      <c r="F28" s="283"/>
      <c r="G28" s="283"/>
    </row>
    <row r="29" spans="1:11" s="16" customFormat="1" ht="17.25" customHeight="1" x14ac:dyDescent="0.2">
      <c r="A29" s="308"/>
      <c r="B29" s="308"/>
      <c r="C29" s="283"/>
      <c r="D29" s="283" t="s">
        <v>217</v>
      </c>
      <c r="E29" s="283"/>
      <c r="F29" s="283" t="s">
        <v>102</v>
      </c>
      <c r="G29" s="283"/>
    </row>
    <row r="30" spans="1:11" s="81" customFormat="1" ht="38.1" customHeight="1" x14ac:dyDescent="0.2">
      <c r="A30" s="225" t="s">
        <v>221</v>
      </c>
      <c r="B30" s="225"/>
      <c r="C30" s="115" t="s">
        <v>220</v>
      </c>
      <c r="D30" s="273" t="s">
        <v>383</v>
      </c>
      <c r="E30" s="273"/>
      <c r="F30" s="309"/>
      <c r="G30" s="310"/>
      <c r="J30" s="16"/>
      <c r="K30" s="16"/>
    </row>
    <row r="31" spans="1:11" s="81" customFormat="1" ht="38.1" customHeight="1" x14ac:dyDescent="0.2">
      <c r="A31" s="225" t="s">
        <v>310</v>
      </c>
      <c r="B31" s="225"/>
      <c r="C31" s="135" t="s">
        <v>311</v>
      </c>
      <c r="D31" s="273" t="s">
        <v>385</v>
      </c>
      <c r="E31" s="273"/>
      <c r="F31" s="309"/>
      <c r="G31" s="310"/>
      <c r="J31" s="16"/>
      <c r="K31" s="16"/>
    </row>
    <row r="32" spans="1:11" s="81" customFormat="1" ht="38.1" customHeight="1" x14ac:dyDescent="0.2">
      <c r="A32" s="225" t="s">
        <v>312</v>
      </c>
      <c r="B32" s="225"/>
      <c r="C32" s="135" t="s">
        <v>218</v>
      </c>
      <c r="D32" s="273">
        <v>8</v>
      </c>
      <c r="E32" s="273"/>
      <c r="F32" s="311">
        <v>8</v>
      </c>
      <c r="G32" s="312"/>
      <c r="J32" s="16"/>
      <c r="K32" s="16"/>
    </row>
    <row r="33" spans="1:7" s="81" customFormat="1" ht="38.1" customHeight="1" x14ac:dyDescent="0.25">
      <c r="A33" s="225" t="s">
        <v>313</v>
      </c>
      <c r="B33" s="225"/>
      <c r="C33" s="135" t="s">
        <v>218</v>
      </c>
      <c r="D33" s="273">
        <v>8</v>
      </c>
      <c r="E33" s="273"/>
      <c r="F33" s="309"/>
      <c r="G33" s="310"/>
    </row>
    <row r="35" spans="1:7" x14ac:dyDescent="0.2">
      <c r="A35" s="226" t="s">
        <v>223</v>
      </c>
      <c r="B35" s="226"/>
      <c r="C35" s="226"/>
      <c r="D35" s="226"/>
      <c r="E35" s="226"/>
      <c r="F35" s="226"/>
      <c r="G35" s="226"/>
    </row>
    <row r="36" spans="1:7" x14ac:dyDescent="0.2">
      <c r="A36" s="307"/>
      <c r="B36" s="307"/>
      <c r="C36" s="307"/>
      <c r="D36" s="307"/>
      <c r="E36" s="307"/>
      <c r="F36" s="307"/>
      <c r="G36" s="307"/>
    </row>
    <row r="37" spans="1:7" x14ac:dyDescent="0.2">
      <c r="A37" s="307"/>
      <c r="B37" s="307"/>
      <c r="C37" s="307"/>
      <c r="D37" s="307"/>
      <c r="E37" s="307"/>
      <c r="F37" s="307"/>
      <c r="G37" s="307"/>
    </row>
    <row r="38" spans="1:7" x14ac:dyDescent="0.2">
      <c r="A38" s="307"/>
      <c r="B38" s="307"/>
      <c r="C38" s="307"/>
      <c r="D38" s="307"/>
      <c r="E38" s="307"/>
      <c r="F38" s="307"/>
      <c r="G38" s="307"/>
    </row>
    <row r="39" spans="1:7" x14ac:dyDescent="0.2">
      <c r="A39" s="307"/>
      <c r="B39" s="307"/>
      <c r="C39" s="307"/>
      <c r="D39" s="307"/>
      <c r="E39" s="307"/>
      <c r="F39" s="307"/>
      <c r="G39" s="307"/>
    </row>
    <row r="40" spans="1:7" x14ac:dyDescent="0.2">
      <c r="A40" s="307"/>
      <c r="B40" s="307"/>
      <c r="C40" s="307"/>
      <c r="D40" s="307"/>
      <c r="E40" s="307"/>
      <c r="F40" s="307"/>
      <c r="G40" s="307"/>
    </row>
    <row r="41" spans="1:7" x14ac:dyDescent="0.2">
      <c r="A41" s="307"/>
      <c r="B41" s="307"/>
      <c r="C41" s="307"/>
      <c r="D41" s="307"/>
      <c r="E41" s="307"/>
      <c r="F41" s="307"/>
      <c r="G41" s="307"/>
    </row>
    <row r="56" spans="6:6" x14ac:dyDescent="0.2">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J66"/>
  <sheetViews>
    <sheetView showGridLines="0" zoomScaleNormal="100" workbookViewId="0">
      <selection activeCell="O27" sqref="O27"/>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0" x14ac:dyDescent="0.2">
      <c r="A1" s="2" t="str">
        <f>+'Cover Page'!$B$29</f>
        <v>Annual Performance Report 2022</v>
      </c>
      <c r="E1" s="2" t="str">
        <f>+'Cover Page'!$B$33</f>
        <v>Addenbrooke's Hospital  Incinerator</v>
      </c>
    </row>
    <row r="3" spans="1:10" ht="15.75" x14ac:dyDescent="0.25">
      <c r="A3" s="1" t="s">
        <v>206</v>
      </c>
    </row>
    <row r="4" spans="1:10" ht="15.75" x14ac:dyDescent="0.25">
      <c r="A4" s="1"/>
    </row>
    <row r="5" spans="1:10" s="3" customFormat="1" ht="21.75" customHeight="1" x14ac:dyDescent="0.2">
      <c r="A5" s="96" t="s">
        <v>207</v>
      </c>
      <c r="B5" s="97"/>
      <c r="C5" s="97"/>
      <c r="D5" s="97"/>
      <c r="E5" s="97"/>
      <c r="F5" s="97"/>
      <c r="G5" s="97"/>
      <c r="H5" s="97"/>
      <c r="I5" s="97"/>
      <c r="J5" s="98"/>
    </row>
    <row r="6" spans="1:10" s="3" customFormat="1" ht="15.75" customHeight="1" x14ac:dyDescent="0.2">
      <c r="A6" s="306" t="s">
        <v>389</v>
      </c>
      <c r="B6" s="208"/>
      <c r="C6" s="208"/>
      <c r="D6" s="208"/>
      <c r="E6" s="208"/>
      <c r="F6" s="208"/>
      <c r="G6" s="208"/>
      <c r="H6" s="208"/>
      <c r="I6" s="208"/>
      <c r="J6" s="209"/>
    </row>
    <row r="7" spans="1:10" s="3" customFormat="1" ht="15.75" customHeight="1" x14ac:dyDescent="0.2">
      <c r="A7" s="213"/>
      <c r="B7" s="214"/>
      <c r="C7" s="214"/>
      <c r="D7" s="214"/>
      <c r="E7" s="214"/>
      <c r="F7" s="214"/>
      <c r="G7" s="214"/>
      <c r="H7" s="214"/>
      <c r="I7" s="214"/>
      <c r="J7" s="215"/>
    </row>
    <row r="8" spans="1:10" s="3" customFormat="1" ht="15.75" customHeight="1" x14ac:dyDescent="0.2">
      <c r="A8" s="199"/>
      <c r="B8" s="200"/>
      <c r="C8" s="200"/>
      <c r="D8" s="200"/>
      <c r="E8" s="200"/>
      <c r="F8" s="200"/>
      <c r="G8" s="200"/>
      <c r="H8" s="200"/>
      <c r="I8" s="200"/>
      <c r="J8" s="201"/>
    </row>
    <row r="9" spans="1:10" s="3" customFormat="1" ht="15.75" customHeight="1" x14ac:dyDescent="0.2">
      <c r="A9" s="205"/>
      <c r="B9" s="206"/>
      <c r="C9" s="206"/>
      <c r="D9" s="206"/>
      <c r="E9" s="206"/>
      <c r="F9" s="206"/>
      <c r="G9" s="206"/>
      <c r="H9" s="206"/>
      <c r="I9" s="206"/>
      <c r="J9" s="207"/>
    </row>
    <row r="10" spans="1:10" s="3" customFormat="1" ht="15.75" customHeight="1" x14ac:dyDescent="0.2">
      <c r="A10" s="199"/>
      <c r="B10" s="200"/>
      <c r="C10" s="200"/>
      <c r="D10" s="200"/>
      <c r="E10" s="200"/>
      <c r="F10" s="200"/>
      <c r="G10" s="200"/>
      <c r="H10" s="200"/>
      <c r="I10" s="200"/>
      <c r="J10" s="201"/>
    </row>
    <row r="11" spans="1:10" s="3" customFormat="1" ht="15.75" customHeight="1" x14ac:dyDescent="0.2">
      <c r="A11" s="205"/>
      <c r="B11" s="206"/>
      <c r="C11" s="206"/>
      <c r="D11" s="206"/>
      <c r="E11" s="206"/>
      <c r="F11" s="206"/>
      <c r="G11" s="206"/>
      <c r="H11" s="206"/>
      <c r="I11" s="206"/>
      <c r="J11" s="207"/>
    </row>
    <row r="12" spans="1:10" s="3" customFormat="1" ht="14.25" x14ac:dyDescent="0.2"/>
    <row r="13" spans="1:10" s="95" customFormat="1" ht="33.75" customHeight="1" x14ac:dyDescent="0.25">
      <c r="A13" s="300" t="s">
        <v>208</v>
      </c>
      <c r="B13" s="301"/>
      <c r="C13" s="301"/>
      <c r="D13" s="301"/>
      <c r="E13" s="301"/>
      <c r="F13" s="301"/>
      <c r="G13" s="301"/>
      <c r="H13" s="301"/>
      <c r="I13" s="301"/>
      <c r="J13" s="302"/>
    </row>
    <row r="14" spans="1:10" ht="15.75" customHeight="1" x14ac:dyDescent="0.2">
      <c r="A14" s="303" t="s">
        <v>215</v>
      </c>
      <c r="B14" s="305"/>
      <c r="C14" s="303" t="s">
        <v>170</v>
      </c>
      <c r="D14" s="304"/>
      <c r="E14" s="304"/>
      <c r="F14" s="304"/>
      <c r="G14" s="304"/>
      <c r="H14" s="304"/>
      <c r="I14" s="304"/>
      <c r="J14" s="304"/>
    </row>
    <row r="15" spans="1:10" ht="15.75" customHeight="1" x14ac:dyDescent="0.2">
      <c r="A15" s="199"/>
      <c r="B15" s="201"/>
      <c r="C15" s="306"/>
      <c r="D15" s="208"/>
      <c r="E15" s="208"/>
      <c r="F15" s="208"/>
      <c r="G15" s="208"/>
      <c r="H15" s="208"/>
      <c r="I15" s="208"/>
      <c r="J15" s="209"/>
    </row>
    <row r="16" spans="1:10" ht="15.75" customHeight="1" x14ac:dyDescent="0.2">
      <c r="A16" s="205"/>
      <c r="B16" s="207"/>
      <c r="C16" s="213"/>
      <c r="D16" s="214"/>
      <c r="E16" s="214"/>
      <c r="F16" s="214"/>
      <c r="G16" s="214"/>
      <c r="H16" s="214"/>
      <c r="I16" s="214"/>
      <c r="J16" s="215"/>
    </row>
    <row r="17" spans="1:10" ht="15.75" customHeight="1" x14ac:dyDescent="0.2">
      <c r="A17" s="306"/>
      <c r="B17" s="209"/>
      <c r="C17" s="306"/>
      <c r="D17" s="208"/>
      <c r="E17" s="208"/>
      <c r="F17" s="208"/>
      <c r="G17" s="208"/>
      <c r="H17" s="208"/>
      <c r="I17" s="208"/>
      <c r="J17" s="209"/>
    </row>
    <row r="18" spans="1:10" ht="15.75" customHeight="1" x14ac:dyDescent="0.2">
      <c r="A18" s="213"/>
      <c r="B18" s="215"/>
      <c r="C18" s="213"/>
      <c r="D18" s="214"/>
      <c r="E18" s="214"/>
      <c r="F18" s="214"/>
      <c r="G18" s="214"/>
      <c r="H18" s="214"/>
      <c r="I18" s="214"/>
      <c r="J18" s="215"/>
    </row>
    <row r="19" spans="1:10" ht="15.75" customHeight="1" x14ac:dyDescent="0.2">
      <c r="A19" s="306"/>
      <c r="B19" s="209"/>
      <c r="C19" s="306"/>
      <c r="D19" s="208"/>
      <c r="E19" s="208"/>
      <c r="F19" s="208"/>
      <c r="G19" s="208"/>
      <c r="H19" s="208"/>
      <c r="I19" s="208"/>
      <c r="J19" s="209"/>
    </row>
    <row r="20" spans="1:10" ht="15.75" customHeight="1" x14ac:dyDescent="0.2">
      <c r="A20" s="213"/>
      <c r="B20" s="215"/>
      <c r="C20" s="213"/>
      <c r="D20" s="214"/>
      <c r="E20" s="214"/>
      <c r="F20" s="214"/>
      <c r="G20" s="214"/>
      <c r="H20" s="214"/>
      <c r="I20" s="214"/>
      <c r="J20" s="215"/>
    </row>
    <row r="22" spans="1:10" ht="22.5" customHeight="1" x14ac:dyDescent="0.2">
      <c r="A22" s="321" t="s">
        <v>324</v>
      </c>
      <c r="B22" s="322"/>
      <c r="C22" s="322"/>
      <c r="D22" s="322"/>
      <c r="E22" s="322"/>
      <c r="F22" s="322"/>
      <c r="G22" s="322"/>
      <c r="H22" s="322"/>
      <c r="I22" s="322"/>
      <c r="J22" s="322"/>
    </row>
    <row r="23" spans="1:10" ht="19.5" customHeight="1" x14ac:dyDescent="0.2">
      <c r="A23" s="323" t="s">
        <v>121</v>
      </c>
      <c r="B23" s="324"/>
      <c r="C23" s="325"/>
      <c r="D23" s="326" t="s">
        <v>209</v>
      </c>
      <c r="E23" s="327"/>
      <c r="F23" s="328"/>
      <c r="G23" s="110" t="s">
        <v>210</v>
      </c>
      <c r="H23" s="110" t="s">
        <v>211</v>
      </c>
      <c r="I23" s="110" t="s">
        <v>213</v>
      </c>
      <c r="J23" s="110" t="s">
        <v>212</v>
      </c>
    </row>
    <row r="24" spans="1:10" x14ac:dyDescent="0.2">
      <c r="A24" s="318"/>
      <c r="B24" s="319"/>
      <c r="C24" s="320"/>
      <c r="D24" s="315"/>
      <c r="E24" s="316"/>
      <c r="F24" s="317"/>
      <c r="G24" s="112"/>
      <c r="H24" s="112"/>
      <c r="I24" s="112"/>
      <c r="J24" s="112"/>
    </row>
    <row r="25" spans="1:10" x14ac:dyDescent="0.2">
      <c r="A25" s="318"/>
      <c r="B25" s="319"/>
      <c r="C25" s="320"/>
      <c r="D25" s="315"/>
      <c r="E25" s="316"/>
      <c r="F25" s="317"/>
      <c r="G25" s="112"/>
      <c r="H25" s="112"/>
      <c r="I25" s="112"/>
      <c r="J25" s="112"/>
    </row>
    <row r="26" spans="1:10" x14ac:dyDescent="0.2">
      <c r="A26" s="318"/>
      <c r="B26" s="319"/>
      <c r="C26" s="320"/>
      <c r="D26" s="315"/>
      <c r="E26" s="316"/>
      <c r="F26" s="317"/>
      <c r="G26" s="112"/>
      <c r="H26" s="112"/>
      <c r="I26" s="112"/>
      <c r="J26" s="112"/>
    </row>
    <row r="27" spans="1:10" x14ac:dyDescent="0.2">
      <c r="A27" s="318"/>
      <c r="B27" s="319"/>
      <c r="C27" s="320"/>
      <c r="D27" s="315"/>
      <c r="E27" s="316"/>
      <c r="F27" s="317"/>
      <c r="G27" s="112"/>
      <c r="H27" s="112"/>
      <c r="I27" s="112"/>
      <c r="J27" s="112"/>
    </row>
    <row r="28" spans="1:10" x14ac:dyDescent="0.2">
      <c r="A28" s="318"/>
      <c r="B28" s="319"/>
      <c r="C28" s="320"/>
      <c r="D28" s="315"/>
      <c r="E28" s="316"/>
      <c r="F28" s="317"/>
      <c r="G28" s="112"/>
      <c r="H28" s="112"/>
      <c r="I28" s="112"/>
      <c r="J28" s="112"/>
    </row>
    <row r="29" spans="1:10" x14ac:dyDescent="0.2">
      <c r="A29" s="318"/>
      <c r="B29" s="319"/>
      <c r="C29" s="320"/>
      <c r="D29" s="315"/>
      <c r="E29" s="316"/>
      <c r="F29" s="317"/>
      <c r="G29" s="112"/>
      <c r="H29" s="112"/>
      <c r="I29" s="112"/>
      <c r="J29" s="112"/>
    </row>
    <row r="30" spans="1:10" x14ac:dyDescent="0.2">
      <c r="A30" s="314"/>
      <c r="B30" s="314"/>
      <c r="C30" s="314"/>
      <c r="D30" s="315"/>
      <c r="E30" s="316"/>
      <c r="F30" s="317"/>
      <c r="G30" s="112"/>
      <c r="H30" s="112"/>
      <c r="I30" s="112"/>
      <c r="J30" s="112"/>
    </row>
    <row r="31" spans="1:10" x14ac:dyDescent="0.2">
      <c r="A31" s="16"/>
      <c r="B31" s="16"/>
      <c r="C31" s="16"/>
      <c r="D31" s="16"/>
      <c r="E31" s="16"/>
      <c r="F31" s="16"/>
      <c r="G31" s="16"/>
      <c r="H31" s="16"/>
      <c r="I31" s="16"/>
      <c r="J31" s="16"/>
    </row>
    <row r="32" spans="1:10" x14ac:dyDescent="0.2">
      <c r="A32" s="16"/>
      <c r="B32" s="16"/>
      <c r="C32" s="16"/>
      <c r="D32" s="16"/>
      <c r="E32" s="16"/>
      <c r="F32" s="16"/>
      <c r="G32" s="16"/>
      <c r="H32" s="16"/>
      <c r="I32" s="16"/>
      <c r="J32" s="16"/>
    </row>
    <row r="33" spans="1:10" x14ac:dyDescent="0.2">
      <c r="A33" s="16"/>
      <c r="B33" s="16"/>
      <c r="C33" s="16"/>
      <c r="D33" s="16"/>
      <c r="E33" s="16"/>
      <c r="F33" s="16"/>
      <c r="G33" s="16"/>
      <c r="H33" s="16"/>
      <c r="I33" s="16"/>
      <c r="J33" s="16"/>
    </row>
    <row r="66" spans="6:6" x14ac:dyDescent="0.2">
      <c r="F66" s="3"/>
    </row>
  </sheetData>
  <mergeCells count="29">
    <mergeCell ref="A6:J7"/>
    <mergeCell ref="A8:J9"/>
    <mergeCell ref="A10:J11"/>
    <mergeCell ref="A13:J13"/>
    <mergeCell ref="A14:B14"/>
    <mergeCell ref="C14:J14"/>
    <mergeCell ref="A22:J22"/>
    <mergeCell ref="A23:C23"/>
    <mergeCell ref="D23:F23"/>
    <mergeCell ref="A15:B16"/>
    <mergeCell ref="C15:J16"/>
    <mergeCell ref="A17:B18"/>
    <mergeCell ref="C17:J18"/>
    <mergeCell ref="A19:B20"/>
    <mergeCell ref="C19:J20"/>
    <mergeCell ref="A24:C24"/>
    <mergeCell ref="D24:F24"/>
    <mergeCell ref="A25:C25"/>
    <mergeCell ref="D25:F25"/>
    <mergeCell ref="A26:C26"/>
    <mergeCell ref="D26:F26"/>
    <mergeCell ref="A30:C30"/>
    <mergeCell ref="D30:F30"/>
    <mergeCell ref="A27:C27"/>
    <mergeCell ref="D27:F27"/>
    <mergeCell ref="A28:C28"/>
    <mergeCell ref="D28:F28"/>
    <mergeCell ref="A29:C29"/>
    <mergeCell ref="D29:F29"/>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P64"/>
  <sheetViews>
    <sheetView showGridLines="0" zoomScaleNormal="100" workbookViewId="0">
      <selection activeCell="O27" sqref="O27"/>
    </sheetView>
  </sheetViews>
  <sheetFormatPr defaultColWidth="9.28515625" defaultRowHeight="15" x14ac:dyDescent="0.2"/>
  <cols>
    <col min="1" max="1" width="9.28515625" style="2" customWidth="1"/>
    <col min="2" max="2" width="14.5703125" style="2" bestFit="1" customWidth="1"/>
    <col min="3" max="9" width="9.28515625" style="2"/>
    <col min="10" max="10" width="10.42578125" style="2" customWidth="1"/>
    <col min="11" max="16384" width="9.28515625" style="2"/>
  </cols>
  <sheetData>
    <row r="1" spans="1:16" x14ac:dyDescent="0.2">
      <c r="A1" s="2" t="str">
        <f>+'Cover Page'!$B$29</f>
        <v>Annual Performance Report 2022</v>
      </c>
      <c r="E1" s="2" t="str">
        <f>+'Cover Page'!$B$33</f>
        <v>Addenbrooke's Hospital  Incinerator</v>
      </c>
    </row>
    <row r="2" spans="1:16" ht="7.5" customHeight="1" x14ac:dyDescent="0.2"/>
    <row r="3" spans="1:16" ht="15.75" x14ac:dyDescent="0.25">
      <c r="A3" s="1" t="s">
        <v>224</v>
      </c>
    </row>
    <row r="4" spans="1:16" ht="9.75" customHeight="1" x14ac:dyDescent="0.25">
      <c r="A4" s="1"/>
    </row>
    <row r="5" spans="1:16" s="3" customFormat="1" ht="21.75" customHeight="1" x14ac:dyDescent="0.2">
      <c r="A5" s="96" t="s">
        <v>255</v>
      </c>
      <c r="B5" s="97"/>
      <c r="C5" s="97"/>
      <c r="D5" s="97"/>
      <c r="E5" s="97"/>
      <c r="F5" s="97"/>
      <c r="G5" s="97"/>
      <c r="H5" s="97"/>
      <c r="I5" s="97"/>
      <c r="J5" s="98"/>
      <c r="M5" s="152" t="s">
        <v>315</v>
      </c>
    </row>
    <row r="6" spans="1:16" s="3" customFormat="1" ht="15.75" customHeight="1" x14ac:dyDescent="0.2">
      <c r="A6" s="306"/>
      <c r="B6" s="208"/>
      <c r="C6" s="208"/>
      <c r="D6" s="208"/>
      <c r="E6" s="208"/>
      <c r="F6" s="208"/>
      <c r="G6" s="208"/>
      <c r="H6" s="208"/>
      <c r="I6" s="208"/>
      <c r="J6" s="209"/>
      <c r="M6" s="342" t="s">
        <v>334</v>
      </c>
      <c r="N6" s="342"/>
      <c r="O6" s="342"/>
      <c r="P6" s="342"/>
    </row>
    <row r="7" spans="1:16" s="3" customFormat="1" ht="15.75" customHeight="1" x14ac:dyDescent="0.2">
      <c r="A7" s="213"/>
      <c r="B7" s="214"/>
      <c r="C7" s="214"/>
      <c r="D7" s="214"/>
      <c r="E7" s="214"/>
      <c r="F7" s="214"/>
      <c r="G7" s="214"/>
      <c r="H7" s="214"/>
      <c r="I7" s="214"/>
      <c r="J7" s="215"/>
      <c r="M7" s="342"/>
      <c r="N7" s="342"/>
      <c r="O7" s="342"/>
      <c r="P7" s="342"/>
    </row>
    <row r="8" spans="1:16" s="3" customFormat="1" ht="14.25" x14ac:dyDescent="0.2">
      <c r="M8" s="342"/>
      <c r="N8" s="342"/>
      <c r="O8" s="342"/>
      <c r="P8" s="342"/>
    </row>
    <row r="9" spans="1:16" s="114" customFormat="1" ht="16.5" customHeight="1" x14ac:dyDescent="0.2">
      <c r="A9" s="313" t="s">
        <v>225</v>
      </c>
      <c r="B9" s="313"/>
      <c r="C9" s="313"/>
      <c r="D9" s="313"/>
      <c r="E9" s="313"/>
      <c r="F9" s="313"/>
      <c r="G9" s="313"/>
      <c r="H9" s="313"/>
      <c r="I9" s="313"/>
      <c r="J9" s="313"/>
      <c r="M9" s="342"/>
      <c r="N9" s="342"/>
      <c r="O9" s="342"/>
      <c r="P9" s="342"/>
    </row>
    <row r="10" spans="1:16" s="114" customFormat="1" ht="16.5" customHeight="1" x14ac:dyDescent="0.2">
      <c r="A10" s="329" t="s">
        <v>146</v>
      </c>
      <c r="B10" s="330"/>
      <c r="C10" s="340" t="s">
        <v>254</v>
      </c>
      <c r="D10" s="336" t="s">
        <v>253</v>
      </c>
      <c r="E10" s="337"/>
      <c r="F10" s="333" t="s">
        <v>212</v>
      </c>
      <c r="G10" s="334"/>
      <c r="H10" s="334"/>
      <c r="I10" s="334"/>
      <c r="J10" s="335"/>
      <c r="M10" s="342" t="s">
        <v>335</v>
      </c>
      <c r="N10" s="342"/>
      <c r="O10" s="342"/>
      <c r="P10" s="342"/>
    </row>
    <row r="11" spans="1:16" s="16" customFormat="1" ht="17.25" customHeight="1" x14ac:dyDescent="0.2">
      <c r="A11" s="331"/>
      <c r="B11" s="332"/>
      <c r="C11" s="341"/>
      <c r="D11" s="338"/>
      <c r="E11" s="339"/>
      <c r="F11" s="93" t="s">
        <v>122</v>
      </c>
      <c r="G11" s="93" t="s">
        <v>123</v>
      </c>
      <c r="H11" s="93" t="s">
        <v>124</v>
      </c>
      <c r="I11" s="93" t="s">
        <v>125</v>
      </c>
      <c r="J11" s="93" t="s">
        <v>126</v>
      </c>
      <c r="M11" s="342"/>
      <c r="N11" s="342"/>
      <c r="O11" s="342"/>
      <c r="P11" s="342"/>
    </row>
    <row r="12" spans="1:16" s="16" customFormat="1" ht="23.25" customHeight="1" x14ac:dyDescent="0.2">
      <c r="A12" s="225" t="s">
        <v>156</v>
      </c>
      <c r="B12" s="225"/>
      <c r="C12" s="109" t="s">
        <v>246</v>
      </c>
      <c r="D12" s="275" t="s">
        <v>247</v>
      </c>
      <c r="E12" s="275"/>
      <c r="F12" s="112">
        <v>2.5000000000000001E-2</v>
      </c>
      <c r="G12" s="112">
        <v>3.6999999999999998E-2</v>
      </c>
      <c r="H12" s="112"/>
      <c r="I12" s="112"/>
      <c r="J12" s="112"/>
      <c r="M12" s="342"/>
      <c r="N12" s="342"/>
      <c r="O12" s="342"/>
      <c r="P12" s="342"/>
    </row>
    <row r="13" spans="1:16" s="16" customFormat="1" ht="23.25" customHeight="1" x14ac:dyDescent="0.2">
      <c r="A13" s="225" t="s">
        <v>226</v>
      </c>
      <c r="B13" s="225"/>
      <c r="C13" s="109" t="s">
        <v>309</v>
      </c>
      <c r="D13" s="275" t="s">
        <v>248</v>
      </c>
      <c r="E13" s="275"/>
      <c r="F13" s="112">
        <v>1.1999999999999999E-3</v>
      </c>
      <c r="G13" s="112">
        <v>1.2999999999999999E-3</v>
      </c>
      <c r="H13" s="112"/>
      <c r="I13" s="112"/>
      <c r="J13" s="112"/>
    </row>
    <row r="14" spans="1:16" s="16" customFormat="1" ht="23.25" customHeight="1" x14ac:dyDescent="0.2">
      <c r="A14" s="225" t="s">
        <v>227</v>
      </c>
      <c r="B14" s="225"/>
      <c r="C14" s="109" t="s">
        <v>309</v>
      </c>
      <c r="D14" s="275" t="s">
        <v>248</v>
      </c>
      <c r="E14" s="275"/>
      <c r="F14" s="112">
        <v>4.0000000000000001E-3</v>
      </c>
      <c r="G14" s="112">
        <v>1.34E-2</v>
      </c>
      <c r="H14" s="112"/>
      <c r="I14" s="112"/>
      <c r="J14" s="112"/>
    </row>
    <row r="15" spans="1:16" s="16" customFormat="1" ht="23.25" customHeight="1" x14ac:dyDescent="0.2">
      <c r="A15" s="225" t="s">
        <v>228</v>
      </c>
      <c r="B15" s="225"/>
      <c r="C15" s="109" t="s">
        <v>309</v>
      </c>
      <c r="D15" s="275" t="s">
        <v>249</v>
      </c>
      <c r="E15" s="275"/>
      <c r="F15" s="112">
        <v>2.9000000000000001E-2</v>
      </c>
      <c r="G15" s="112">
        <v>7.2400000000000006E-2</v>
      </c>
      <c r="H15" s="112"/>
      <c r="I15" s="112"/>
      <c r="J15" s="112"/>
    </row>
    <row r="16" spans="1:16" s="16" customFormat="1" ht="23.25" customHeight="1" x14ac:dyDescent="0.2">
      <c r="A16" s="225" t="s">
        <v>229</v>
      </c>
      <c r="B16" s="225"/>
      <c r="C16" s="109" t="s">
        <v>309</v>
      </c>
      <c r="D16" s="275" t="s">
        <v>250</v>
      </c>
      <c r="E16" s="275"/>
      <c r="F16" s="112">
        <v>0.14610000000000001</v>
      </c>
      <c r="G16" s="112">
        <v>0.51149999999999995</v>
      </c>
      <c r="H16" s="112"/>
      <c r="I16" s="112"/>
      <c r="J16" s="112"/>
    </row>
    <row r="17" spans="1:10" s="16" customFormat="1" ht="23.25" customHeight="1" x14ac:dyDescent="0.2">
      <c r="A17" s="225" t="s">
        <v>230</v>
      </c>
      <c r="B17" s="225"/>
      <c r="C17" s="109" t="s">
        <v>309</v>
      </c>
      <c r="D17" s="275" t="s">
        <v>251</v>
      </c>
      <c r="E17" s="275"/>
      <c r="F17" s="112"/>
      <c r="G17" s="112"/>
      <c r="H17" s="112"/>
      <c r="I17" s="112"/>
      <c r="J17" s="112"/>
    </row>
    <row r="18" spans="1:10" s="16" customFormat="1" ht="23.25" customHeight="1" x14ac:dyDescent="0.2">
      <c r="A18" s="225" t="s">
        <v>231</v>
      </c>
      <c r="B18" s="225"/>
      <c r="C18" s="109" t="s">
        <v>309</v>
      </c>
      <c r="D18" s="275" t="s">
        <v>251</v>
      </c>
      <c r="E18" s="275"/>
      <c r="F18" s="112"/>
      <c r="G18" s="112"/>
      <c r="H18" s="112"/>
      <c r="I18" s="112"/>
      <c r="J18" s="112"/>
    </row>
    <row r="19" spans="1:10" s="16" customFormat="1" ht="23.25" customHeight="1" x14ac:dyDescent="0.2">
      <c r="A19" s="225" t="s">
        <v>232</v>
      </c>
      <c r="B19" s="225"/>
      <c r="C19" s="109" t="s">
        <v>309</v>
      </c>
      <c r="D19" s="275" t="s">
        <v>251</v>
      </c>
      <c r="E19" s="275"/>
      <c r="F19" s="112"/>
      <c r="G19" s="112"/>
      <c r="H19" s="112"/>
      <c r="I19" s="112"/>
      <c r="J19" s="112"/>
    </row>
    <row r="20" spans="1:10" s="16" customFormat="1" ht="23.25" customHeight="1" x14ac:dyDescent="0.2">
      <c r="A20" s="225" t="s">
        <v>233</v>
      </c>
      <c r="B20" s="225"/>
      <c r="C20" s="109" t="s">
        <v>309</v>
      </c>
      <c r="D20" s="275" t="s">
        <v>251</v>
      </c>
      <c r="E20" s="275"/>
      <c r="F20" s="112"/>
      <c r="G20" s="112"/>
      <c r="H20" s="112"/>
      <c r="I20" s="112"/>
      <c r="J20" s="112"/>
    </row>
    <row r="21" spans="1:10" s="16" customFormat="1" ht="23.25" customHeight="1" x14ac:dyDescent="0.2">
      <c r="A21" s="225" t="s">
        <v>234</v>
      </c>
      <c r="B21" s="225"/>
      <c r="C21" s="109" t="s">
        <v>309</v>
      </c>
      <c r="D21" s="275" t="s">
        <v>251</v>
      </c>
      <c r="E21" s="275"/>
      <c r="F21" s="112"/>
      <c r="G21" s="112"/>
      <c r="H21" s="112"/>
      <c r="I21" s="112"/>
      <c r="J21" s="112"/>
    </row>
    <row r="22" spans="1:10" s="16" customFormat="1" ht="23.25" customHeight="1" x14ac:dyDescent="0.2">
      <c r="A22" s="225" t="s">
        <v>235</v>
      </c>
      <c r="B22" s="225"/>
      <c r="C22" s="109" t="s">
        <v>309</v>
      </c>
      <c r="D22" s="275" t="s">
        <v>251</v>
      </c>
      <c r="E22" s="275"/>
      <c r="F22" s="112"/>
      <c r="G22" s="112"/>
      <c r="H22" s="112"/>
      <c r="I22" s="112"/>
      <c r="J22" s="112"/>
    </row>
    <row r="23" spans="1:10" s="16" customFormat="1" ht="23.25" customHeight="1" x14ac:dyDescent="0.2">
      <c r="A23" s="225" t="s">
        <v>358</v>
      </c>
      <c r="B23" s="225"/>
      <c r="C23" s="109" t="s">
        <v>359</v>
      </c>
      <c r="D23" s="275" t="s">
        <v>360</v>
      </c>
      <c r="E23" s="275"/>
      <c r="F23" s="112">
        <v>1.58</v>
      </c>
      <c r="G23" s="112">
        <v>2.2000000000000002</v>
      </c>
      <c r="H23" s="112"/>
      <c r="I23" s="112"/>
      <c r="J23" s="112"/>
    </row>
    <row r="24" spans="1:10" s="16" customFormat="1" ht="23.25" customHeight="1" x14ac:dyDescent="0.2">
      <c r="A24" s="225" t="s">
        <v>365</v>
      </c>
      <c r="B24" s="225"/>
      <c r="C24" s="109" t="s">
        <v>359</v>
      </c>
      <c r="D24" s="275" t="s">
        <v>360</v>
      </c>
      <c r="E24" s="275"/>
      <c r="F24" s="112">
        <v>2.54</v>
      </c>
      <c r="G24" s="112">
        <v>3.72</v>
      </c>
      <c r="H24" s="112"/>
      <c r="I24" s="112"/>
      <c r="J24" s="112"/>
    </row>
    <row r="25" spans="1:10" s="16" customFormat="1" ht="23.25" customHeight="1" x14ac:dyDescent="0.2">
      <c r="A25" s="225" t="s">
        <v>366</v>
      </c>
      <c r="B25" s="225"/>
      <c r="C25" s="109" t="s">
        <v>359</v>
      </c>
      <c r="D25" s="275" t="s">
        <v>361</v>
      </c>
      <c r="E25" s="275"/>
      <c r="F25" s="112">
        <v>0.76</v>
      </c>
      <c r="G25" s="112">
        <v>0.65</v>
      </c>
      <c r="H25" s="112"/>
      <c r="I25" s="112"/>
      <c r="J25" s="112"/>
    </row>
    <row r="26" spans="1:10" s="16" customFormat="1" ht="23.25" customHeight="1" x14ac:dyDescent="0.2">
      <c r="A26" s="225" t="s">
        <v>367</v>
      </c>
      <c r="B26" s="225"/>
      <c r="C26" s="109" t="s">
        <v>368</v>
      </c>
      <c r="D26" s="275" t="s">
        <v>362</v>
      </c>
      <c r="E26" s="275"/>
      <c r="F26" s="112">
        <v>5.78</v>
      </c>
      <c r="G26" s="112">
        <v>1.72</v>
      </c>
      <c r="H26" s="112"/>
      <c r="I26" s="112"/>
      <c r="J26" s="112"/>
    </row>
    <row r="27" spans="1:10" s="16" customFormat="1" ht="23.25" customHeight="1" x14ac:dyDescent="0.2">
      <c r="A27" s="225" t="s">
        <v>369</v>
      </c>
      <c r="B27" s="225"/>
      <c r="C27" s="109" t="s">
        <v>368</v>
      </c>
      <c r="D27" s="275" t="s">
        <v>363</v>
      </c>
      <c r="E27" s="275"/>
      <c r="F27" s="112">
        <v>25.06</v>
      </c>
      <c r="G27" s="112">
        <v>3.8</v>
      </c>
      <c r="H27" s="112"/>
      <c r="I27" s="112"/>
      <c r="J27" s="112"/>
    </row>
    <row r="28" spans="1:10" s="16" customFormat="1" ht="23.25" customHeight="1" x14ac:dyDescent="0.2">
      <c r="A28" s="225" t="s">
        <v>370</v>
      </c>
      <c r="B28" s="225"/>
      <c r="C28" s="109" t="s">
        <v>368</v>
      </c>
      <c r="D28" s="275" t="s">
        <v>364</v>
      </c>
      <c r="E28" s="275"/>
      <c r="F28" s="112">
        <v>319</v>
      </c>
      <c r="G28" s="112">
        <v>257</v>
      </c>
      <c r="H28" s="112"/>
      <c r="I28" s="112"/>
      <c r="J28" s="112"/>
    </row>
    <row r="29" spans="1:10" s="16" customFormat="1" ht="23.25" customHeight="1" x14ac:dyDescent="0.2">
      <c r="A29" s="225" t="s">
        <v>236</v>
      </c>
      <c r="B29" s="225"/>
      <c r="C29" s="109" t="s">
        <v>309</v>
      </c>
      <c r="D29" s="275" t="s">
        <v>252</v>
      </c>
      <c r="E29" s="275"/>
      <c r="F29" s="112"/>
      <c r="G29" s="112"/>
      <c r="H29" s="112"/>
      <c r="I29" s="112"/>
      <c r="J29" s="112"/>
    </row>
    <row r="30" spans="1:10" s="16" customFormat="1" ht="23.25" customHeight="1" x14ac:dyDescent="0.2">
      <c r="A30" s="225" t="s">
        <v>237</v>
      </c>
      <c r="B30" s="225"/>
      <c r="C30" s="109" t="s">
        <v>309</v>
      </c>
      <c r="D30" s="275" t="s">
        <v>252</v>
      </c>
      <c r="E30" s="275"/>
      <c r="F30" s="112"/>
      <c r="G30" s="112"/>
      <c r="H30" s="112"/>
      <c r="I30" s="112"/>
      <c r="J30" s="112"/>
    </row>
    <row r="31" spans="1:10" s="16" customFormat="1" ht="23.25" customHeight="1" x14ac:dyDescent="0.2">
      <c r="A31" s="225" t="s">
        <v>238</v>
      </c>
      <c r="B31" s="225"/>
      <c r="C31" s="109" t="s">
        <v>309</v>
      </c>
      <c r="D31" s="275" t="s">
        <v>252</v>
      </c>
      <c r="E31" s="275"/>
      <c r="F31" s="112"/>
      <c r="G31" s="112"/>
      <c r="H31" s="112"/>
      <c r="I31" s="112"/>
      <c r="J31" s="112"/>
    </row>
    <row r="32" spans="1:10" s="16" customFormat="1" ht="23.25" customHeight="1" x14ac:dyDescent="0.2">
      <c r="A32" s="225" t="s">
        <v>239</v>
      </c>
      <c r="B32" s="225"/>
      <c r="C32" s="109" t="s">
        <v>309</v>
      </c>
      <c r="D32" s="275" t="s">
        <v>252</v>
      </c>
      <c r="E32" s="275"/>
      <c r="F32" s="112"/>
      <c r="G32" s="112"/>
      <c r="H32" s="112"/>
      <c r="I32" s="112"/>
      <c r="J32" s="112"/>
    </row>
    <row r="33" spans="1:10" s="16" customFormat="1" ht="23.25" customHeight="1" x14ac:dyDescent="0.2">
      <c r="A33" s="225" t="s">
        <v>240</v>
      </c>
      <c r="B33" s="225"/>
      <c r="C33" s="109" t="s">
        <v>309</v>
      </c>
      <c r="D33" s="275" t="s">
        <v>252</v>
      </c>
      <c r="E33" s="275"/>
      <c r="F33" s="112"/>
      <c r="G33" s="112"/>
      <c r="H33" s="112"/>
      <c r="I33" s="112"/>
      <c r="J33" s="112"/>
    </row>
    <row r="34" spans="1:10" s="16" customFormat="1" ht="23.25" customHeight="1" x14ac:dyDescent="0.2">
      <c r="A34" s="225" t="s">
        <v>241</v>
      </c>
      <c r="B34" s="225"/>
      <c r="C34" s="109" t="s">
        <v>309</v>
      </c>
      <c r="D34" s="275" t="s">
        <v>252</v>
      </c>
      <c r="E34" s="275"/>
      <c r="F34" s="112"/>
      <c r="G34" s="112"/>
      <c r="H34" s="112"/>
      <c r="I34" s="112"/>
      <c r="J34" s="112"/>
    </row>
    <row r="35" spans="1:10" s="16" customFormat="1" ht="23.25" customHeight="1" x14ac:dyDescent="0.2">
      <c r="A35" s="225" t="s">
        <v>242</v>
      </c>
      <c r="B35" s="225"/>
      <c r="C35" s="109" t="s">
        <v>309</v>
      </c>
      <c r="D35" s="275" t="s">
        <v>252</v>
      </c>
      <c r="E35" s="275"/>
      <c r="F35" s="112"/>
      <c r="G35" s="112"/>
      <c r="H35" s="112"/>
      <c r="I35" s="112"/>
      <c r="J35" s="112"/>
    </row>
    <row r="36" spans="1:10" s="16" customFormat="1" ht="23.25" customHeight="1" x14ac:dyDescent="0.2">
      <c r="A36" s="225" t="s">
        <v>243</v>
      </c>
      <c r="B36" s="225"/>
      <c r="C36" s="109" t="s">
        <v>309</v>
      </c>
      <c r="D36" s="275" t="s">
        <v>252</v>
      </c>
      <c r="E36" s="275"/>
      <c r="F36" s="112"/>
      <c r="G36" s="112"/>
      <c r="H36" s="112"/>
      <c r="I36" s="112"/>
      <c r="J36" s="112"/>
    </row>
    <row r="37" spans="1:10" s="16" customFormat="1" ht="23.25" customHeight="1" x14ac:dyDescent="0.2">
      <c r="A37" s="225" t="s">
        <v>244</v>
      </c>
      <c r="B37" s="225"/>
      <c r="C37" s="109" t="s">
        <v>309</v>
      </c>
      <c r="D37" s="275" t="s">
        <v>252</v>
      </c>
      <c r="E37" s="275"/>
      <c r="F37" s="112"/>
      <c r="G37" s="112"/>
      <c r="H37" s="112"/>
      <c r="I37" s="112"/>
      <c r="J37" s="112"/>
    </row>
    <row r="38" spans="1:10" s="16" customFormat="1" ht="23.25" customHeight="1" x14ac:dyDescent="0.2">
      <c r="A38" s="225" t="s">
        <v>245</v>
      </c>
      <c r="B38" s="225"/>
      <c r="C38" s="109" t="s">
        <v>309</v>
      </c>
      <c r="D38" s="275" t="s">
        <v>252</v>
      </c>
      <c r="E38" s="275"/>
      <c r="F38" s="112"/>
      <c r="G38" s="112"/>
      <c r="H38" s="112"/>
      <c r="I38" s="112"/>
      <c r="J38" s="112"/>
    </row>
    <row r="39" spans="1:10" x14ac:dyDescent="0.2">
      <c r="A39" s="226" t="s">
        <v>223</v>
      </c>
      <c r="B39" s="226"/>
      <c r="C39" s="226"/>
      <c r="D39" s="226"/>
      <c r="E39" s="226"/>
      <c r="F39" s="226"/>
      <c r="G39" s="226"/>
      <c r="H39" s="226"/>
      <c r="I39" s="226"/>
      <c r="J39" s="226"/>
    </row>
    <row r="40" spans="1:10" x14ac:dyDescent="0.2">
      <c r="A40" s="307" t="s">
        <v>390</v>
      </c>
      <c r="B40" s="307"/>
      <c r="C40" s="307"/>
      <c r="D40" s="307"/>
      <c r="E40" s="307"/>
      <c r="F40" s="307"/>
      <c r="G40" s="307"/>
      <c r="H40" s="307"/>
      <c r="I40" s="307"/>
      <c r="J40" s="307"/>
    </row>
    <row r="41" spans="1:10" x14ac:dyDescent="0.2">
      <c r="A41" s="307"/>
      <c r="B41" s="307"/>
      <c r="C41" s="307"/>
      <c r="D41" s="307"/>
      <c r="E41" s="307"/>
      <c r="F41" s="307"/>
      <c r="G41" s="307"/>
      <c r="H41" s="307"/>
      <c r="I41" s="307"/>
      <c r="J41" s="307"/>
    </row>
    <row r="64" spans="6:6" x14ac:dyDescent="0.2">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sheetPr>
  <dimension ref="A1:P68"/>
  <sheetViews>
    <sheetView showGridLines="0" zoomScaleNormal="100" workbookViewId="0">
      <selection activeCell="O27" sqref="O27"/>
    </sheetView>
  </sheetViews>
  <sheetFormatPr defaultColWidth="9.28515625" defaultRowHeight="15" x14ac:dyDescent="0.2"/>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x14ac:dyDescent="0.2">
      <c r="A1" s="2" t="str">
        <f>+'Cover Page'!$B$29</f>
        <v>Annual Performance Report 2022</v>
      </c>
      <c r="I1" s="2" t="str">
        <f>+'Cover Page'!$B$33</f>
        <v>Addenbrooke's Hospital  Incinerator</v>
      </c>
    </row>
    <row r="3" spans="1:16" ht="15.75" x14ac:dyDescent="0.25">
      <c r="A3" s="1" t="s">
        <v>256</v>
      </c>
    </row>
    <row r="4" spans="1:16" ht="15.75" x14ac:dyDescent="0.25">
      <c r="A4" s="1"/>
      <c r="P4" s="138" t="s">
        <v>315</v>
      </c>
    </row>
    <row r="5" spans="1:16" s="3" customFormat="1" ht="21.75" customHeight="1" x14ac:dyDescent="0.2">
      <c r="A5" s="96" t="s">
        <v>255</v>
      </c>
      <c r="B5" s="97"/>
      <c r="C5" s="97"/>
      <c r="D5" s="97"/>
      <c r="E5" s="97"/>
      <c r="F5" s="97"/>
      <c r="G5" s="97"/>
      <c r="H5" s="97"/>
      <c r="I5" s="97"/>
      <c r="J5" s="97"/>
      <c r="K5" s="97"/>
      <c r="L5" s="97"/>
      <c r="M5" s="98"/>
      <c r="P5" s="139" t="s">
        <v>316</v>
      </c>
    </row>
    <row r="6" spans="1:16" s="3" customFormat="1" ht="15.75" customHeight="1" x14ac:dyDescent="0.2">
      <c r="A6" s="306"/>
      <c r="B6" s="208"/>
      <c r="C6" s="208"/>
      <c r="D6" s="208"/>
      <c r="E6" s="208"/>
      <c r="F6" s="208"/>
      <c r="G6" s="208"/>
      <c r="H6" s="208"/>
      <c r="I6" s="208"/>
      <c r="J6" s="208"/>
      <c r="K6" s="208"/>
      <c r="L6" s="208"/>
      <c r="M6" s="209"/>
    </row>
    <row r="7" spans="1:16" s="3" customFormat="1" ht="15.75" customHeight="1" x14ac:dyDescent="0.2">
      <c r="A7" s="213"/>
      <c r="B7" s="214"/>
      <c r="C7" s="214"/>
      <c r="D7" s="214"/>
      <c r="E7" s="214"/>
      <c r="F7" s="214"/>
      <c r="G7" s="214"/>
      <c r="H7" s="214"/>
      <c r="I7" s="214"/>
      <c r="J7" s="214"/>
      <c r="K7" s="214"/>
      <c r="L7" s="214"/>
      <c r="M7" s="215"/>
    </row>
    <row r="8" spans="1:16" s="3" customFormat="1" ht="15.75" customHeight="1" x14ac:dyDescent="0.2">
      <c r="A8" s="199"/>
      <c r="B8" s="200"/>
      <c r="C8" s="200"/>
      <c r="D8" s="200"/>
      <c r="E8" s="200"/>
      <c r="F8" s="200"/>
      <c r="G8" s="200"/>
      <c r="H8" s="200"/>
      <c r="I8" s="200"/>
      <c r="J8" s="200"/>
      <c r="K8" s="200"/>
      <c r="L8" s="200"/>
      <c r="M8" s="201"/>
    </row>
    <row r="9" spans="1:16" s="3" customFormat="1" ht="15.75" customHeight="1" x14ac:dyDescent="0.2">
      <c r="A9" s="205"/>
      <c r="B9" s="206"/>
      <c r="C9" s="206"/>
      <c r="D9" s="206"/>
      <c r="E9" s="206"/>
      <c r="F9" s="206"/>
      <c r="G9" s="206"/>
      <c r="H9" s="206"/>
      <c r="I9" s="206"/>
      <c r="J9" s="206"/>
      <c r="K9" s="206"/>
      <c r="L9" s="206"/>
      <c r="M9" s="207"/>
    </row>
    <row r="10" spans="1:16" s="3" customFormat="1" ht="14.25" x14ac:dyDescent="0.2"/>
    <row r="11" spans="1:16" s="114" customFormat="1" ht="16.5" customHeight="1" x14ac:dyDescent="0.2">
      <c r="A11" s="313" t="s">
        <v>301</v>
      </c>
      <c r="B11" s="313"/>
      <c r="C11" s="313"/>
      <c r="D11" s="313"/>
      <c r="E11" s="313"/>
      <c r="F11" s="313"/>
      <c r="G11" s="313"/>
      <c r="H11" s="313"/>
      <c r="I11" s="313"/>
      <c r="J11" s="313"/>
      <c r="K11" s="313"/>
      <c r="L11" s="313"/>
      <c r="M11" s="313"/>
    </row>
    <row r="12" spans="1:16" s="114" customFormat="1" ht="16.5" customHeight="1" x14ac:dyDescent="0.2">
      <c r="A12" s="347" t="s">
        <v>146</v>
      </c>
      <c r="B12" s="340" t="s">
        <v>272</v>
      </c>
      <c r="C12" s="283" t="s">
        <v>253</v>
      </c>
      <c r="D12" s="284" t="s">
        <v>122</v>
      </c>
      <c r="E12" s="349"/>
      <c r="F12" s="284" t="s">
        <v>123</v>
      </c>
      <c r="G12" s="349"/>
      <c r="H12" s="284" t="s">
        <v>124</v>
      </c>
      <c r="I12" s="349"/>
      <c r="J12" s="284" t="s">
        <v>125</v>
      </c>
      <c r="K12" s="349"/>
      <c r="L12" s="284" t="s">
        <v>126</v>
      </c>
      <c r="M12" s="349"/>
    </row>
    <row r="13" spans="1:16" s="16" customFormat="1" ht="17.25" customHeight="1" x14ac:dyDescent="0.2">
      <c r="A13" s="347"/>
      <c r="B13" s="348"/>
      <c r="C13" s="283"/>
      <c r="D13" s="93" t="s">
        <v>213</v>
      </c>
      <c r="E13" s="116" t="s">
        <v>257</v>
      </c>
      <c r="F13" s="93" t="s">
        <v>213</v>
      </c>
      <c r="G13" s="116" t="s">
        <v>257</v>
      </c>
      <c r="H13" s="93" t="s">
        <v>213</v>
      </c>
      <c r="I13" s="116" t="s">
        <v>257</v>
      </c>
      <c r="J13" s="93" t="s">
        <v>213</v>
      </c>
      <c r="K13" s="116" t="s">
        <v>257</v>
      </c>
      <c r="L13" s="93" t="s">
        <v>213</v>
      </c>
      <c r="M13" s="116" t="s">
        <v>257</v>
      </c>
    </row>
    <row r="14" spans="1:16" s="16" customFormat="1" ht="23.25" customHeight="1" x14ac:dyDescent="0.2">
      <c r="A14" s="225" t="s">
        <v>151</v>
      </c>
      <c r="B14" s="111" t="s">
        <v>258</v>
      </c>
      <c r="C14" s="111" t="s">
        <v>263</v>
      </c>
      <c r="D14" s="112">
        <v>281.2</v>
      </c>
      <c r="E14" s="112">
        <v>197.59</v>
      </c>
      <c r="F14" s="112">
        <v>206.9</v>
      </c>
      <c r="G14" s="112">
        <v>164.61</v>
      </c>
      <c r="H14" s="112"/>
      <c r="I14" s="112"/>
      <c r="J14" s="112"/>
      <c r="K14" s="112"/>
      <c r="L14" s="112"/>
      <c r="M14" s="112"/>
    </row>
    <row r="15" spans="1:16" s="16" customFormat="1" ht="23.25" customHeight="1" x14ac:dyDescent="0.2">
      <c r="A15" s="225"/>
      <c r="B15" s="111" t="s">
        <v>259</v>
      </c>
      <c r="C15" s="111" t="s">
        <v>264</v>
      </c>
      <c r="D15" s="112">
        <v>326.2</v>
      </c>
      <c r="E15" s="112">
        <v>196.19</v>
      </c>
      <c r="F15" s="112">
        <v>269.39999999999998</v>
      </c>
      <c r="G15" s="112">
        <v>163.24</v>
      </c>
      <c r="H15" s="112"/>
      <c r="I15" s="112"/>
      <c r="J15" s="112"/>
      <c r="K15" s="112"/>
      <c r="L15" s="112"/>
      <c r="M15" s="112"/>
    </row>
    <row r="16" spans="1:16" s="16" customFormat="1" ht="23.25" customHeight="1" x14ac:dyDescent="0.2">
      <c r="A16" s="77" t="s">
        <v>150</v>
      </c>
      <c r="B16" s="80" t="s">
        <v>258</v>
      </c>
      <c r="C16" s="111" t="s">
        <v>265</v>
      </c>
      <c r="D16" s="112">
        <v>5.4</v>
      </c>
      <c r="E16" s="112">
        <v>1.31</v>
      </c>
      <c r="F16" s="112">
        <v>2.1</v>
      </c>
      <c r="G16" s="112">
        <v>0.85</v>
      </c>
      <c r="H16" s="112"/>
      <c r="I16" s="112"/>
      <c r="J16" s="112"/>
      <c r="K16" s="112"/>
      <c r="L16" s="112"/>
      <c r="M16" s="112"/>
    </row>
    <row r="17" spans="1:13" s="16" customFormat="1" ht="23.25" customHeight="1" x14ac:dyDescent="0.2">
      <c r="A17" s="77"/>
      <c r="B17" s="111" t="s">
        <v>259</v>
      </c>
      <c r="C17" s="111" t="s">
        <v>266</v>
      </c>
      <c r="D17" s="112">
        <v>9.5</v>
      </c>
      <c r="E17" s="112">
        <v>1.33</v>
      </c>
      <c r="F17" s="112">
        <v>12.5</v>
      </c>
      <c r="G17" s="112">
        <v>0.9</v>
      </c>
      <c r="H17" s="112"/>
      <c r="I17" s="112"/>
      <c r="J17" s="112"/>
      <c r="K17" s="112"/>
      <c r="L17" s="112"/>
      <c r="M17" s="112"/>
    </row>
    <row r="18" spans="1:13" s="16" customFormat="1" ht="23.25" customHeight="1" x14ac:dyDescent="0.2">
      <c r="A18" s="77" t="s">
        <v>271</v>
      </c>
      <c r="B18" s="111" t="s">
        <v>258</v>
      </c>
      <c r="C18" s="111" t="s">
        <v>267</v>
      </c>
      <c r="D18" s="112">
        <v>3.6</v>
      </c>
      <c r="E18" s="112">
        <v>1.98</v>
      </c>
      <c r="F18" s="112">
        <v>4</v>
      </c>
      <c r="G18" s="112">
        <v>1.76</v>
      </c>
      <c r="H18" s="112"/>
      <c r="I18" s="112"/>
      <c r="J18" s="112"/>
      <c r="K18" s="112"/>
      <c r="L18" s="112"/>
      <c r="M18" s="112"/>
    </row>
    <row r="19" spans="1:13" s="16" customFormat="1" ht="23.25" customHeight="1" x14ac:dyDescent="0.2">
      <c r="A19" s="77"/>
      <c r="B19" s="111" t="s">
        <v>259</v>
      </c>
      <c r="C19" s="111" t="s">
        <v>268</v>
      </c>
      <c r="D19" s="112">
        <v>24.1</v>
      </c>
      <c r="E19" s="112">
        <v>2.08</v>
      </c>
      <c r="F19" s="112">
        <v>21.2</v>
      </c>
      <c r="G19" s="112">
        <v>1.83</v>
      </c>
      <c r="H19" s="112"/>
      <c r="I19" s="112"/>
      <c r="J19" s="112"/>
      <c r="K19" s="112"/>
      <c r="L19" s="112"/>
      <c r="M19" s="112"/>
    </row>
    <row r="20" spans="1:13" s="16" customFormat="1" ht="23.25" customHeight="1" x14ac:dyDescent="0.2">
      <c r="A20" s="77" t="s">
        <v>260</v>
      </c>
      <c r="B20" s="111" t="s">
        <v>258</v>
      </c>
      <c r="C20" s="111" t="s">
        <v>267</v>
      </c>
      <c r="D20" s="112">
        <v>3.8</v>
      </c>
      <c r="E20" s="112">
        <v>0.72</v>
      </c>
      <c r="F20" s="112">
        <v>7.1</v>
      </c>
      <c r="G20" s="112">
        <v>1.18</v>
      </c>
      <c r="H20" s="112"/>
      <c r="I20" s="112"/>
      <c r="J20" s="112"/>
      <c r="K20" s="112"/>
      <c r="L20" s="112"/>
      <c r="M20" s="112"/>
    </row>
    <row r="21" spans="1:13" s="16" customFormat="1" ht="23.25" customHeight="1" x14ac:dyDescent="0.2">
      <c r="A21" s="77"/>
      <c r="B21" s="111" t="s">
        <v>259</v>
      </c>
      <c r="C21" s="111" t="s">
        <v>269</v>
      </c>
      <c r="D21" s="112">
        <v>16.399999999999999</v>
      </c>
      <c r="E21" s="112">
        <v>0.78</v>
      </c>
      <c r="F21" s="112">
        <v>36.4</v>
      </c>
      <c r="G21" s="112">
        <v>1.22</v>
      </c>
      <c r="H21" s="112"/>
      <c r="I21" s="112"/>
      <c r="J21" s="112"/>
      <c r="K21" s="112"/>
      <c r="L21" s="112"/>
      <c r="M21" s="112"/>
    </row>
    <row r="22" spans="1:13" s="16" customFormat="1" ht="23.25" customHeight="1" x14ac:dyDescent="0.2">
      <c r="A22" s="77" t="s">
        <v>152</v>
      </c>
      <c r="B22" s="111" t="s">
        <v>258</v>
      </c>
      <c r="C22" s="111" t="s">
        <v>270</v>
      </c>
      <c r="D22" s="112">
        <v>32.799999999999997</v>
      </c>
      <c r="E22" s="112">
        <v>10.73</v>
      </c>
      <c r="F22" s="112">
        <v>14.1</v>
      </c>
      <c r="G22" s="112">
        <v>6.88</v>
      </c>
      <c r="H22" s="112"/>
      <c r="I22" s="112"/>
      <c r="J22" s="112"/>
      <c r="K22" s="112"/>
      <c r="L22" s="112"/>
      <c r="M22" s="112"/>
    </row>
    <row r="23" spans="1:13" s="16" customFormat="1" ht="23.25" customHeight="1" x14ac:dyDescent="0.2">
      <c r="A23" s="77"/>
      <c r="B23" s="111" t="s">
        <v>259</v>
      </c>
      <c r="C23" s="111" t="s">
        <v>263</v>
      </c>
      <c r="D23" s="112">
        <v>50.4</v>
      </c>
      <c r="E23" s="112">
        <v>10.82</v>
      </c>
      <c r="F23" s="112">
        <v>57.8</v>
      </c>
      <c r="G23" s="112">
        <v>6.95</v>
      </c>
      <c r="H23" s="112"/>
      <c r="I23" s="112"/>
      <c r="J23" s="112"/>
      <c r="K23" s="112"/>
      <c r="L23" s="112"/>
      <c r="M23" s="112"/>
    </row>
    <row r="24" spans="1:13" s="16" customFormat="1" ht="23.25" customHeight="1" x14ac:dyDescent="0.2">
      <c r="A24" s="77" t="s">
        <v>199</v>
      </c>
      <c r="B24" s="111" t="s">
        <v>258</v>
      </c>
      <c r="C24" s="111" t="s">
        <v>270</v>
      </c>
      <c r="D24" s="112">
        <v>20.5</v>
      </c>
      <c r="E24" s="112">
        <v>4.76</v>
      </c>
      <c r="F24" s="112">
        <v>14.7</v>
      </c>
      <c r="G24" s="112">
        <v>4.46</v>
      </c>
      <c r="H24" s="112"/>
      <c r="I24" s="112"/>
      <c r="J24" s="112"/>
      <c r="K24" s="112"/>
      <c r="L24" s="112"/>
      <c r="M24" s="112"/>
    </row>
    <row r="25" spans="1:13" s="16" customFormat="1" ht="23.25" customHeight="1" x14ac:dyDescent="0.2">
      <c r="A25" s="77"/>
      <c r="B25" s="112" t="s">
        <v>336</v>
      </c>
      <c r="C25" s="112" t="s">
        <v>337</v>
      </c>
      <c r="D25" s="112">
        <v>211.4</v>
      </c>
      <c r="E25" s="112">
        <v>4.92</v>
      </c>
      <c r="F25" s="112">
        <v>123.1</v>
      </c>
      <c r="G25" s="112">
        <v>4.47</v>
      </c>
      <c r="H25" s="112"/>
      <c r="I25" s="112"/>
      <c r="J25" s="112"/>
      <c r="K25" s="112"/>
      <c r="L25" s="112"/>
      <c r="M25" s="112"/>
    </row>
    <row r="26" spans="1:13" s="16" customFormat="1" ht="23.25" customHeight="1" x14ac:dyDescent="0.2">
      <c r="A26" s="143"/>
      <c r="B26" s="144" t="s">
        <v>346</v>
      </c>
      <c r="C26" s="144" t="s">
        <v>338</v>
      </c>
      <c r="D26" s="144"/>
      <c r="E26" s="144"/>
      <c r="F26" s="144"/>
      <c r="G26" s="144"/>
      <c r="H26" s="144"/>
      <c r="I26" s="144"/>
      <c r="J26" s="144"/>
      <c r="K26" s="144"/>
      <c r="L26" s="144"/>
      <c r="M26" s="144"/>
    </row>
    <row r="27" spans="1:13" s="16" customFormat="1" ht="23.25" customHeight="1" x14ac:dyDescent="0.2">
      <c r="A27" s="153" t="s">
        <v>261</v>
      </c>
      <c r="B27" s="154" t="s">
        <v>258</v>
      </c>
      <c r="C27" s="154" t="s">
        <v>262</v>
      </c>
      <c r="D27" s="155"/>
      <c r="E27" s="155"/>
      <c r="F27" s="155"/>
      <c r="G27" s="155"/>
      <c r="H27" s="155"/>
      <c r="I27" s="155"/>
      <c r="J27" s="155"/>
      <c r="K27" s="155"/>
      <c r="L27" s="155"/>
      <c r="M27" s="155"/>
    </row>
    <row r="28" spans="1:13" x14ac:dyDescent="0.2">
      <c r="A28" s="343" t="s">
        <v>339</v>
      </c>
      <c r="B28" s="344"/>
      <c r="C28" s="344"/>
      <c r="D28" s="344"/>
      <c r="E28" s="344"/>
      <c r="F28" s="344"/>
      <c r="G28" s="344"/>
      <c r="H28" s="344"/>
      <c r="I28" s="344"/>
      <c r="J28" s="344"/>
      <c r="K28" s="344"/>
      <c r="L28" s="344"/>
      <c r="M28" s="345"/>
    </row>
    <row r="29" spans="1:13" x14ac:dyDescent="0.2">
      <c r="A29" s="156" t="s">
        <v>223</v>
      </c>
      <c r="B29" s="157"/>
      <c r="C29" s="157"/>
      <c r="D29" s="157"/>
      <c r="E29" s="157"/>
      <c r="F29" s="157"/>
      <c r="G29" s="157"/>
      <c r="H29" s="157"/>
      <c r="I29" s="157"/>
      <c r="J29" s="157"/>
      <c r="K29" s="157"/>
      <c r="L29" s="157"/>
      <c r="M29" s="158"/>
    </row>
    <row r="30" spans="1:13" x14ac:dyDescent="0.2">
      <c r="A30" s="346" t="s">
        <v>392</v>
      </c>
      <c r="B30" s="346"/>
      <c r="C30" s="346"/>
      <c r="D30" s="346"/>
      <c r="E30" s="346"/>
      <c r="F30" s="346"/>
      <c r="G30" s="346"/>
      <c r="H30" s="346"/>
      <c r="I30" s="346"/>
      <c r="J30" s="346"/>
      <c r="K30" s="346"/>
      <c r="L30" s="346"/>
      <c r="M30" s="346"/>
    </row>
    <row r="31" spans="1:13" x14ac:dyDescent="0.2">
      <c r="A31" s="307"/>
      <c r="B31" s="307"/>
      <c r="C31" s="307"/>
      <c r="D31" s="307"/>
      <c r="E31" s="307"/>
      <c r="F31" s="307"/>
      <c r="G31" s="307"/>
      <c r="H31" s="307"/>
      <c r="I31" s="307"/>
      <c r="J31" s="307"/>
      <c r="K31" s="307"/>
      <c r="L31" s="307"/>
      <c r="M31" s="307"/>
    </row>
    <row r="68" spans="6:6" x14ac:dyDescent="0.2">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pageSetUpPr fitToPage="1"/>
  </sheetPr>
  <dimension ref="A1:S79"/>
  <sheetViews>
    <sheetView showGridLines="0" zoomScaleNormal="100" workbookViewId="0">
      <selection activeCell="O27" sqref="O27"/>
    </sheetView>
  </sheetViews>
  <sheetFormatPr defaultRowHeight="14.25" x14ac:dyDescent="0.2"/>
  <cols>
    <col min="1" max="1" width="14" style="3" customWidth="1"/>
    <col min="2" max="4" width="17" style="75" customWidth="1"/>
    <col min="5" max="5" width="14.7109375" style="75" customWidth="1"/>
    <col min="6" max="7" width="17" style="7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Addenbrooke's Hospital  Incinerator</v>
      </c>
    </row>
    <row r="3" spans="1:19" ht="15" x14ac:dyDescent="0.25">
      <c r="A3" s="119" t="s">
        <v>280</v>
      </c>
      <c r="D3" s="145" t="s">
        <v>320</v>
      </c>
      <c r="G3" s="149" t="s">
        <v>328</v>
      </c>
      <c r="J3" s="11" t="str">
        <f>+A3</f>
        <v>Monitoring of Total organic carbon emissions</v>
      </c>
      <c r="L3" s="11"/>
      <c r="N3" s="11" t="s">
        <v>321</v>
      </c>
      <c r="Q3" s="148" t="s">
        <v>315</v>
      </c>
      <c r="R3" s="139"/>
      <c r="S3" s="139"/>
    </row>
    <row r="4" spans="1:19" ht="13.9" customHeight="1" x14ac:dyDescent="0.2">
      <c r="Q4" s="342" t="s">
        <v>326</v>
      </c>
      <c r="R4" s="342"/>
      <c r="S4" s="342"/>
    </row>
    <row r="5" spans="1:19" ht="17.25" x14ac:dyDescent="0.25">
      <c r="A5" s="127" t="s">
        <v>276</v>
      </c>
      <c r="B5" s="352" t="s">
        <v>274</v>
      </c>
      <c r="C5" s="352"/>
      <c r="D5" s="352"/>
      <c r="E5" s="352" t="s">
        <v>273</v>
      </c>
      <c r="F5" s="352"/>
      <c r="G5" s="352"/>
      <c r="J5" s="353"/>
      <c r="K5" s="353"/>
      <c r="L5" s="353"/>
      <c r="M5" s="353"/>
      <c r="N5" s="353"/>
      <c r="O5" s="353"/>
      <c r="Q5" s="342"/>
      <c r="R5" s="342"/>
      <c r="S5" s="342"/>
    </row>
    <row r="6" spans="1:19" s="117" customFormat="1" ht="37.5" customHeight="1" x14ac:dyDescent="0.25">
      <c r="A6" s="124">
        <v>2022</v>
      </c>
      <c r="B6" s="113" t="s">
        <v>195</v>
      </c>
      <c r="C6" s="113" t="s">
        <v>174</v>
      </c>
      <c r="D6" s="113" t="s">
        <v>340</v>
      </c>
      <c r="E6" s="113" t="s">
        <v>196</v>
      </c>
      <c r="F6" s="113" t="s">
        <v>177</v>
      </c>
      <c r="G6" s="113" t="s">
        <v>341</v>
      </c>
      <c r="H6" s="118"/>
      <c r="J6" s="120">
        <f>+A6</f>
        <v>2022</v>
      </c>
      <c r="K6" s="120" t="s">
        <v>275</v>
      </c>
      <c r="L6" s="126" t="s">
        <v>174</v>
      </c>
      <c r="M6" s="126" t="s">
        <v>175</v>
      </c>
      <c r="N6" s="126" t="s">
        <v>177</v>
      </c>
      <c r="O6" s="126" t="s">
        <v>178</v>
      </c>
      <c r="Q6" s="342"/>
      <c r="R6" s="342"/>
      <c r="S6" s="342"/>
    </row>
    <row r="7" spans="1:19" x14ac:dyDescent="0.2">
      <c r="A7" s="125" t="s">
        <v>179</v>
      </c>
      <c r="B7" s="122">
        <v>20</v>
      </c>
      <c r="C7" s="123">
        <v>1.65</v>
      </c>
      <c r="D7" s="123">
        <v>5.3</v>
      </c>
      <c r="E7" s="122">
        <v>10</v>
      </c>
      <c r="F7" s="123">
        <v>1.55</v>
      </c>
      <c r="G7" s="123">
        <v>2.1</v>
      </c>
      <c r="J7" s="351" t="s">
        <v>122</v>
      </c>
      <c r="K7" s="125" t="s">
        <v>179</v>
      </c>
      <c r="L7" s="123">
        <v>1.5</v>
      </c>
      <c r="M7" s="123">
        <v>5.3</v>
      </c>
      <c r="N7" s="123">
        <v>1.4</v>
      </c>
      <c r="O7" s="123">
        <v>2</v>
      </c>
      <c r="Q7" s="342"/>
      <c r="R7" s="342"/>
      <c r="S7" s="342"/>
    </row>
    <row r="8" spans="1:19" x14ac:dyDescent="0.2">
      <c r="A8" s="125" t="s">
        <v>180</v>
      </c>
      <c r="B8" s="122">
        <v>20</v>
      </c>
      <c r="C8" s="123">
        <v>1.75</v>
      </c>
      <c r="D8" s="123">
        <v>16.2</v>
      </c>
      <c r="E8" s="122">
        <v>10</v>
      </c>
      <c r="F8" s="123">
        <v>1.7</v>
      </c>
      <c r="G8" s="123">
        <v>4</v>
      </c>
      <c r="J8" s="351"/>
      <c r="K8" s="125" t="s">
        <v>180</v>
      </c>
      <c r="L8" s="123">
        <v>1.7</v>
      </c>
      <c r="M8" s="123">
        <v>11.5</v>
      </c>
      <c r="N8" s="123">
        <v>1.6</v>
      </c>
      <c r="O8" s="123">
        <v>2.6</v>
      </c>
      <c r="Q8" s="342"/>
      <c r="R8" s="342"/>
      <c r="S8" s="342"/>
    </row>
    <row r="9" spans="1:19" ht="15" x14ac:dyDescent="0.25">
      <c r="A9" s="125" t="s">
        <v>181</v>
      </c>
      <c r="B9" s="122">
        <v>20</v>
      </c>
      <c r="C9" s="123">
        <v>2.15</v>
      </c>
      <c r="D9" s="123">
        <v>13.6</v>
      </c>
      <c r="E9" s="122">
        <v>10</v>
      </c>
      <c r="F9" s="123">
        <v>2.1</v>
      </c>
      <c r="G9" s="123">
        <v>3.6</v>
      </c>
      <c r="J9" s="351"/>
      <c r="K9" s="125" t="s">
        <v>181</v>
      </c>
      <c r="L9" s="123">
        <v>2.1</v>
      </c>
      <c r="M9" s="123">
        <v>13.6</v>
      </c>
      <c r="N9" s="123">
        <v>2.1</v>
      </c>
      <c r="O9" s="123">
        <v>3.4</v>
      </c>
      <c r="Q9" s="147" t="s">
        <v>327</v>
      </c>
    </row>
    <row r="10" spans="1:19" ht="14.25" customHeight="1" x14ac:dyDescent="0.2">
      <c r="A10" s="125" t="s">
        <v>182</v>
      </c>
      <c r="B10" s="122">
        <v>20</v>
      </c>
      <c r="C10" s="123">
        <v>2.35</v>
      </c>
      <c r="D10" s="123">
        <v>24.1</v>
      </c>
      <c r="E10" s="122">
        <v>10</v>
      </c>
      <c r="F10" s="123">
        <v>2.2999999999999998</v>
      </c>
      <c r="G10" s="123">
        <v>3.6</v>
      </c>
      <c r="J10" s="351"/>
      <c r="K10" s="125" t="s">
        <v>182</v>
      </c>
      <c r="L10" s="123">
        <v>2.7</v>
      </c>
      <c r="M10" s="123">
        <v>24.1</v>
      </c>
      <c r="N10" s="123">
        <v>2.6</v>
      </c>
      <c r="O10" s="123">
        <v>3.6</v>
      </c>
      <c r="Q10" s="350" t="s">
        <v>347</v>
      </c>
      <c r="R10" s="350"/>
      <c r="S10" s="350"/>
    </row>
    <row r="11" spans="1:19" x14ac:dyDescent="0.2">
      <c r="A11" s="125" t="s">
        <v>183</v>
      </c>
      <c r="B11" s="122">
        <v>20</v>
      </c>
      <c r="C11" s="123">
        <v>2</v>
      </c>
      <c r="D11" s="123">
        <v>12.5</v>
      </c>
      <c r="E11" s="122">
        <v>10</v>
      </c>
      <c r="F11" s="123">
        <v>1.85</v>
      </c>
      <c r="G11" s="123">
        <v>3.5</v>
      </c>
      <c r="J11" s="351"/>
      <c r="K11" s="125" t="s">
        <v>183</v>
      </c>
      <c r="L11" s="123">
        <v>2.4</v>
      </c>
      <c r="M11" s="123">
        <v>12.5</v>
      </c>
      <c r="N11" s="123">
        <v>2.2000000000000002</v>
      </c>
      <c r="O11" s="123">
        <v>3.5</v>
      </c>
      <c r="Q11" s="350"/>
      <c r="R11" s="350"/>
      <c r="S11" s="350"/>
    </row>
    <row r="12" spans="1:19" x14ac:dyDescent="0.2">
      <c r="A12" s="125" t="s">
        <v>184</v>
      </c>
      <c r="B12" s="122">
        <v>20</v>
      </c>
      <c r="C12" s="123">
        <v>1.7</v>
      </c>
      <c r="D12" s="123">
        <v>11.5</v>
      </c>
      <c r="E12" s="122">
        <v>10</v>
      </c>
      <c r="F12" s="123">
        <v>1.6</v>
      </c>
      <c r="G12" s="123">
        <v>3</v>
      </c>
      <c r="J12" s="351"/>
      <c r="K12" s="125" t="s">
        <v>184</v>
      </c>
      <c r="L12" s="123"/>
      <c r="M12" s="123"/>
      <c r="N12" s="123"/>
      <c r="O12" s="123"/>
      <c r="Q12" s="350"/>
      <c r="R12" s="350"/>
      <c r="S12" s="350"/>
    </row>
    <row r="13" spans="1:19" ht="14.25" customHeight="1" x14ac:dyDescent="0.2">
      <c r="A13" s="125" t="s">
        <v>185</v>
      </c>
      <c r="B13" s="122">
        <v>20</v>
      </c>
      <c r="C13" s="123">
        <v>2</v>
      </c>
      <c r="D13" s="123">
        <v>7.6</v>
      </c>
      <c r="E13" s="122">
        <v>10</v>
      </c>
      <c r="F13" s="123">
        <v>2</v>
      </c>
      <c r="G13" s="123">
        <v>3.4</v>
      </c>
      <c r="J13" s="351"/>
      <c r="K13" s="125" t="s">
        <v>185</v>
      </c>
      <c r="L13" s="123">
        <v>2.2000000000000002</v>
      </c>
      <c r="M13" s="123">
        <v>7.6</v>
      </c>
      <c r="N13" s="123">
        <v>2.2000000000000002</v>
      </c>
      <c r="O13" s="123">
        <v>3.4</v>
      </c>
      <c r="Q13" s="350" t="s">
        <v>353</v>
      </c>
      <c r="R13" s="350"/>
      <c r="S13" s="350"/>
    </row>
    <row r="14" spans="1:19" x14ac:dyDescent="0.2">
      <c r="A14" s="125" t="s">
        <v>186</v>
      </c>
      <c r="B14" s="122">
        <v>20</v>
      </c>
      <c r="C14" s="123">
        <v>2</v>
      </c>
      <c r="D14" s="123">
        <v>12.9</v>
      </c>
      <c r="E14" s="122">
        <v>10</v>
      </c>
      <c r="F14" s="123">
        <v>1.9</v>
      </c>
      <c r="G14" s="123">
        <v>3.2</v>
      </c>
      <c r="J14" s="351"/>
      <c r="K14" s="125" t="s">
        <v>186</v>
      </c>
      <c r="L14" s="123">
        <v>2.1</v>
      </c>
      <c r="M14" s="123">
        <v>12.9</v>
      </c>
      <c r="N14" s="123">
        <v>2</v>
      </c>
      <c r="O14" s="123">
        <v>3.2</v>
      </c>
      <c r="Q14" s="350"/>
      <c r="R14" s="350"/>
      <c r="S14" s="350"/>
    </row>
    <row r="15" spans="1:19" x14ac:dyDescent="0.2">
      <c r="A15" s="125" t="s">
        <v>187</v>
      </c>
      <c r="B15" s="122">
        <v>20</v>
      </c>
      <c r="C15" s="123">
        <v>1.9</v>
      </c>
      <c r="D15" s="123">
        <v>21.2</v>
      </c>
      <c r="E15" s="122">
        <v>10</v>
      </c>
      <c r="F15" s="123">
        <v>1.85</v>
      </c>
      <c r="G15" s="123">
        <v>2.7</v>
      </c>
      <c r="J15" s="351"/>
      <c r="K15" s="125" t="s">
        <v>187</v>
      </c>
      <c r="L15" s="123">
        <v>1.8</v>
      </c>
      <c r="M15" s="123">
        <v>6.4</v>
      </c>
      <c r="N15" s="123">
        <v>1.8</v>
      </c>
      <c r="O15" s="123">
        <v>2.5</v>
      </c>
      <c r="Q15" s="350"/>
      <c r="R15" s="350"/>
      <c r="S15" s="350"/>
    </row>
    <row r="16" spans="1:19" x14ac:dyDescent="0.2">
      <c r="A16" s="125" t="s">
        <v>188</v>
      </c>
      <c r="B16" s="122">
        <v>20</v>
      </c>
      <c r="C16" s="123">
        <v>2.2000000000000002</v>
      </c>
      <c r="D16" s="123">
        <v>13.9</v>
      </c>
      <c r="E16" s="122">
        <v>10</v>
      </c>
      <c r="F16" s="123">
        <v>2.15</v>
      </c>
      <c r="G16" s="123">
        <v>4.3</v>
      </c>
      <c r="J16" s="351"/>
      <c r="K16" s="125" t="s">
        <v>188</v>
      </c>
      <c r="L16" s="123">
        <v>2.4</v>
      </c>
      <c r="M16" s="123">
        <v>13.9</v>
      </c>
      <c r="N16" s="123">
        <v>2.4</v>
      </c>
      <c r="O16" s="123">
        <v>4.3</v>
      </c>
      <c r="Q16" s="350"/>
      <c r="R16" s="350"/>
      <c r="S16" s="350"/>
    </row>
    <row r="17" spans="1:15" x14ac:dyDescent="0.2">
      <c r="A17" s="125" t="s">
        <v>189</v>
      </c>
      <c r="B17" s="122">
        <v>20</v>
      </c>
      <c r="C17" s="123">
        <v>1.75</v>
      </c>
      <c r="D17" s="123">
        <v>8.8000000000000007</v>
      </c>
      <c r="E17" s="122">
        <v>10</v>
      </c>
      <c r="F17" s="123">
        <v>1.7</v>
      </c>
      <c r="G17" s="123">
        <v>2.8</v>
      </c>
      <c r="J17" s="351"/>
      <c r="K17" s="125" t="s">
        <v>189</v>
      </c>
      <c r="L17" s="123">
        <v>1.9</v>
      </c>
      <c r="M17" s="123">
        <v>8.8000000000000007</v>
      </c>
      <c r="N17" s="123">
        <v>1.9</v>
      </c>
      <c r="O17" s="123">
        <v>2.7</v>
      </c>
    </row>
    <row r="18" spans="1:15" x14ac:dyDescent="0.2">
      <c r="A18" s="125" t="s">
        <v>190</v>
      </c>
      <c r="B18" s="122">
        <v>20</v>
      </c>
      <c r="C18" s="123">
        <v>1.7</v>
      </c>
      <c r="D18" s="123">
        <v>12.6</v>
      </c>
      <c r="E18" s="122">
        <v>10</v>
      </c>
      <c r="F18" s="123">
        <v>1.65</v>
      </c>
      <c r="G18" s="123">
        <v>2.2999999999999998</v>
      </c>
      <c r="J18" s="351"/>
      <c r="K18" s="125" t="s">
        <v>190</v>
      </c>
      <c r="L18" s="123">
        <v>1.8</v>
      </c>
      <c r="M18" s="123">
        <v>12.6</v>
      </c>
      <c r="N18" s="123">
        <v>1.7</v>
      </c>
      <c r="O18" s="123">
        <v>2.2999999999999998</v>
      </c>
    </row>
    <row r="19" spans="1:15" x14ac:dyDescent="0.2">
      <c r="J19" s="351"/>
      <c r="K19" s="121" t="s">
        <v>277</v>
      </c>
      <c r="L19" s="121">
        <f>AVERAGE(L7:L18)</f>
        <v>2.0545454545454542</v>
      </c>
      <c r="M19" s="121">
        <f>MAX(M7:M18)</f>
        <v>24.1</v>
      </c>
      <c r="N19" s="121">
        <f>AVERAGE(N7:N18)</f>
        <v>1.9909090909090905</v>
      </c>
      <c r="O19" s="121">
        <f>MAX(O7:O18)</f>
        <v>4.3</v>
      </c>
    </row>
    <row r="21" spans="1:15" ht="30" x14ac:dyDescent="0.2">
      <c r="J21" s="120">
        <f>+A6</f>
        <v>2022</v>
      </c>
      <c r="K21" s="120" t="s">
        <v>275</v>
      </c>
      <c r="L21" s="126" t="s">
        <v>174</v>
      </c>
      <c r="M21" s="126" t="s">
        <v>175</v>
      </c>
      <c r="N21" s="126" t="s">
        <v>177</v>
      </c>
      <c r="O21" s="126" t="s">
        <v>178</v>
      </c>
    </row>
    <row r="22" spans="1:15" x14ac:dyDescent="0.2">
      <c r="J22" s="351" t="s">
        <v>123</v>
      </c>
      <c r="K22" s="125" t="s">
        <v>179</v>
      </c>
      <c r="L22" s="123">
        <v>1.8</v>
      </c>
      <c r="M22" s="123">
        <v>5.3</v>
      </c>
      <c r="N22" s="123">
        <v>1.7</v>
      </c>
      <c r="O22" s="123">
        <v>2.1</v>
      </c>
    </row>
    <row r="23" spans="1:15" x14ac:dyDescent="0.2">
      <c r="J23" s="351"/>
      <c r="K23" s="125" t="s">
        <v>180</v>
      </c>
      <c r="L23" s="123">
        <v>1.8</v>
      </c>
      <c r="M23" s="123">
        <v>16.2</v>
      </c>
      <c r="N23" s="123">
        <v>1.8</v>
      </c>
      <c r="O23" s="123">
        <v>4</v>
      </c>
    </row>
    <row r="24" spans="1:15" x14ac:dyDescent="0.2">
      <c r="J24" s="351"/>
      <c r="K24" s="125" t="s">
        <v>181</v>
      </c>
      <c r="L24" s="123">
        <v>2.2000000000000002</v>
      </c>
      <c r="M24" s="123">
        <v>7.3</v>
      </c>
      <c r="N24" s="123">
        <v>2.1</v>
      </c>
      <c r="O24" s="123">
        <v>3.6</v>
      </c>
    </row>
    <row r="25" spans="1:15" x14ac:dyDescent="0.2">
      <c r="J25" s="351"/>
      <c r="K25" s="125" t="s">
        <v>182</v>
      </c>
      <c r="L25" s="123">
        <v>2</v>
      </c>
      <c r="M25" s="123">
        <v>7.6</v>
      </c>
      <c r="N25" s="123">
        <v>2</v>
      </c>
      <c r="O25" s="123">
        <v>2.7</v>
      </c>
    </row>
    <row r="26" spans="1:15" x14ac:dyDescent="0.2">
      <c r="J26" s="351"/>
      <c r="K26" s="125" t="s">
        <v>183</v>
      </c>
      <c r="L26" s="123">
        <v>1.6</v>
      </c>
      <c r="M26" s="123">
        <v>5.8</v>
      </c>
      <c r="N26" s="123">
        <v>1.5</v>
      </c>
      <c r="O26" s="123">
        <v>2.2999999999999998</v>
      </c>
    </row>
    <row r="27" spans="1:15" x14ac:dyDescent="0.2">
      <c r="J27" s="351"/>
      <c r="K27" s="125" t="s">
        <v>184</v>
      </c>
      <c r="L27" s="123">
        <v>1.7</v>
      </c>
      <c r="M27" s="123">
        <v>11.5</v>
      </c>
      <c r="N27" s="123">
        <v>1.6</v>
      </c>
      <c r="O27" s="123">
        <v>3</v>
      </c>
    </row>
    <row r="28" spans="1:15" x14ac:dyDescent="0.2">
      <c r="J28" s="351"/>
      <c r="K28" s="125" t="s">
        <v>185</v>
      </c>
      <c r="L28" s="123">
        <v>1.8</v>
      </c>
      <c r="M28" s="123">
        <v>7.2</v>
      </c>
      <c r="N28" s="123">
        <v>1.8</v>
      </c>
      <c r="O28" s="123">
        <v>2.7</v>
      </c>
    </row>
    <row r="29" spans="1:15" x14ac:dyDescent="0.2">
      <c r="J29" s="351"/>
      <c r="K29" s="125" t="s">
        <v>186</v>
      </c>
      <c r="L29" s="123">
        <v>1.9</v>
      </c>
      <c r="M29" s="123">
        <v>12.3</v>
      </c>
      <c r="N29" s="123">
        <v>1.8</v>
      </c>
      <c r="O29" s="123">
        <v>2.8</v>
      </c>
    </row>
    <row r="30" spans="1:15" x14ac:dyDescent="0.2">
      <c r="J30" s="351"/>
      <c r="K30" s="125" t="s">
        <v>187</v>
      </c>
      <c r="L30" s="123">
        <v>2</v>
      </c>
      <c r="M30" s="123">
        <v>21.2</v>
      </c>
      <c r="N30" s="123">
        <v>1.9</v>
      </c>
      <c r="O30" s="123">
        <v>2.7</v>
      </c>
    </row>
    <row r="31" spans="1:15" x14ac:dyDescent="0.2">
      <c r="J31" s="351"/>
      <c r="K31" s="125" t="s">
        <v>188</v>
      </c>
      <c r="L31" s="123">
        <v>2</v>
      </c>
      <c r="M31" s="123">
        <v>8.8000000000000007</v>
      </c>
      <c r="N31" s="123">
        <v>1.9</v>
      </c>
      <c r="O31" s="123">
        <v>3.1</v>
      </c>
    </row>
    <row r="32" spans="1:15" x14ac:dyDescent="0.2">
      <c r="J32" s="351"/>
      <c r="K32" s="125" t="s">
        <v>189</v>
      </c>
      <c r="L32" s="123">
        <v>1.6</v>
      </c>
      <c r="M32" s="123">
        <v>6.8</v>
      </c>
      <c r="N32" s="123">
        <v>1.5</v>
      </c>
      <c r="O32" s="123">
        <v>2.8</v>
      </c>
    </row>
    <row r="33" spans="1:15" x14ac:dyDescent="0.2">
      <c r="J33" s="351"/>
      <c r="K33" s="125" t="s">
        <v>190</v>
      </c>
      <c r="L33" s="123">
        <v>1.6</v>
      </c>
      <c r="M33" s="123">
        <v>5.8</v>
      </c>
      <c r="N33" s="123">
        <v>1.6</v>
      </c>
      <c r="O33" s="123">
        <v>2.2000000000000002</v>
      </c>
    </row>
    <row r="34" spans="1:15" x14ac:dyDescent="0.2">
      <c r="J34" s="351"/>
      <c r="K34" s="121" t="s">
        <v>277</v>
      </c>
      <c r="L34" s="121">
        <f>AVERAGE(L22:L33)</f>
        <v>1.8333333333333337</v>
      </c>
      <c r="M34" s="121">
        <f>MAX(M22:M33)</f>
        <v>21.2</v>
      </c>
      <c r="N34" s="121">
        <f>AVERAGE(N22:N33)</f>
        <v>1.7666666666666666</v>
      </c>
      <c r="O34" s="121">
        <f>MAX(O22:O33)</f>
        <v>4</v>
      </c>
    </row>
    <row r="36" spans="1:15" ht="30" x14ac:dyDescent="0.2">
      <c r="J36" s="120">
        <f>+A6</f>
        <v>2022</v>
      </c>
      <c r="K36" s="120" t="s">
        <v>275</v>
      </c>
      <c r="L36" s="126" t="s">
        <v>174</v>
      </c>
      <c r="M36" s="126" t="s">
        <v>175</v>
      </c>
      <c r="N36" s="126" t="s">
        <v>177</v>
      </c>
      <c r="O36" s="126" t="s">
        <v>178</v>
      </c>
    </row>
    <row r="37" spans="1:15" x14ac:dyDescent="0.2">
      <c r="J37" s="351" t="s">
        <v>124</v>
      </c>
      <c r="K37" s="125" t="s">
        <v>179</v>
      </c>
      <c r="L37" s="123"/>
      <c r="M37" s="123"/>
      <c r="N37" s="123"/>
      <c r="O37" s="123"/>
    </row>
    <row r="38" spans="1:15" x14ac:dyDescent="0.2">
      <c r="J38" s="351"/>
      <c r="K38" s="125" t="s">
        <v>180</v>
      </c>
      <c r="L38" s="123"/>
      <c r="M38" s="123"/>
      <c r="N38" s="123"/>
      <c r="O38" s="123"/>
    </row>
    <row r="39" spans="1:15" x14ac:dyDescent="0.2">
      <c r="J39" s="351"/>
      <c r="K39" s="125" t="s">
        <v>181</v>
      </c>
      <c r="L39" s="123"/>
      <c r="M39" s="123"/>
      <c r="N39" s="123"/>
      <c r="O39" s="123"/>
    </row>
    <row r="40" spans="1:15" x14ac:dyDescent="0.2">
      <c r="J40" s="351"/>
      <c r="K40" s="125" t="s">
        <v>182</v>
      </c>
      <c r="L40" s="123"/>
      <c r="M40" s="123"/>
      <c r="N40" s="123"/>
      <c r="O40" s="123"/>
    </row>
    <row r="41" spans="1:15" x14ac:dyDescent="0.2">
      <c r="J41" s="351"/>
      <c r="K41" s="125" t="s">
        <v>183</v>
      </c>
      <c r="L41" s="123"/>
      <c r="M41" s="123"/>
      <c r="N41" s="123"/>
      <c r="O41" s="123"/>
    </row>
    <row r="42" spans="1:15" x14ac:dyDescent="0.2">
      <c r="J42" s="351"/>
      <c r="K42" s="125" t="s">
        <v>184</v>
      </c>
      <c r="L42" s="123"/>
      <c r="M42" s="123"/>
      <c r="N42" s="123"/>
      <c r="O42" s="123"/>
    </row>
    <row r="43" spans="1:15" x14ac:dyDescent="0.2">
      <c r="J43" s="351"/>
      <c r="K43" s="125" t="s">
        <v>185</v>
      </c>
      <c r="L43" s="123"/>
      <c r="M43" s="123"/>
      <c r="N43" s="123"/>
      <c r="O43" s="123"/>
    </row>
    <row r="44" spans="1:15" x14ac:dyDescent="0.2">
      <c r="J44" s="351"/>
      <c r="K44" s="125" t="s">
        <v>186</v>
      </c>
      <c r="L44" s="123"/>
      <c r="M44" s="123"/>
      <c r="N44" s="123"/>
      <c r="O44" s="123"/>
    </row>
    <row r="45" spans="1:15" x14ac:dyDescent="0.2">
      <c r="J45" s="351"/>
      <c r="K45" s="125" t="s">
        <v>187</v>
      </c>
      <c r="L45" s="123"/>
      <c r="M45" s="123"/>
      <c r="N45" s="123"/>
      <c r="O45" s="123"/>
    </row>
    <row r="46" spans="1:15" x14ac:dyDescent="0.2">
      <c r="J46" s="351"/>
      <c r="K46" s="125" t="s">
        <v>188</v>
      </c>
      <c r="L46" s="123"/>
      <c r="M46" s="123"/>
      <c r="N46" s="123"/>
      <c r="O46" s="123"/>
    </row>
    <row r="47" spans="1:15" x14ac:dyDescent="0.2">
      <c r="J47" s="351"/>
      <c r="K47" s="125" t="s">
        <v>189</v>
      </c>
      <c r="L47" s="123"/>
      <c r="M47" s="123"/>
      <c r="N47" s="123"/>
      <c r="O47" s="123"/>
    </row>
    <row r="48" spans="1:15" ht="15" x14ac:dyDescent="0.2">
      <c r="A48" s="354" t="s">
        <v>223</v>
      </c>
      <c r="B48" s="355"/>
      <c r="C48" s="355"/>
      <c r="D48" s="355"/>
      <c r="E48" s="355"/>
      <c r="F48" s="355"/>
      <c r="G48" s="356"/>
      <c r="J48" s="351"/>
      <c r="K48" s="125" t="s">
        <v>190</v>
      </c>
      <c r="L48" s="123"/>
      <c r="M48" s="123"/>
      <c r="N48" s="123"/>
      <c r="O48" s="123"/>
    </row>
    <row r="49" spans="1:15" x14ac:dyDescent="0.2">
      <c r="A49" s="357"/>
      <c r="B49" s="358"/>
      <c r="C49" s="358"/>
      <c r="D49" s="358"/>
      <c r="E49" s="358"/>
      <c r="F49" s="358"/>
      <c r="G49" s="359"/>
      <c r="J49" s="351"/>
      <c r="K49" s="121" t="s">
        <v>277</v>
      </c>
      <c r="L49" s="121" t="e">
        <f>AVERAGE(L37:L48)</f>
        <v>#DIV/0!</v>
      </c>
      <c r="M49" s="121">
        <f>MAX(M37:M48)</f>
        <v>0</v>
      </c>
      <c r="N49" s="121" t="e">
        <f>AVERAGE(N37:N48)</f>
        <v>#DIV/0!</v>
      </c>
      <c r="O49" s="121">
        <f>MAX(O37:O48)</f>
        <v>0</v>
      </c>
    </row>
    <row r="50" spans="1:15" x14ac:dyDescent="0.2">
      <c r="A50" s="360"/>
      <c r="B50" s="361"/>
      <c r="C50" s="361"/>
      <c r="D50" s="361"/>
      <c r="E50" s="361"/>
      <c r="F50" s="361"/>
      <c r="G50" s="362"/>
    </row>
    <row r="51" spans="1:15" ht="30" x14ac:dyDescent="0.2">
      <c r="A51" s="360"/>
      <c r="B51" s="361"/>
      <c r="C51" s="361"/>
      <c r="D51" s="361"/>
      <c r="E51" s="361"/>
      <c r="F51" s="361"/>
      <c r="G51" s="362"/>
      <c r="J51" s="120">
        <f>+A6</f>
        <v>2022</v>
      </c>
      <c r="K51" s="120" t="s">
        <v>275</v>
      </c>
      <c r="L51" s="126" t="s">
        <v>174</v>
      </c>
      <c r="M51" s="126" t="s">
        <v>175</v>
      </c>
      <c r="N51" s="126" t="s">
        <v>177</v>
      </c>
      <c r="O51" s="126" t="s">
        <v>178</v>
      </c>
    </row>
    <row r="52" spans="1:15" x14ac:dyDescent="0.2">
      <c r="A52" s="363"/>
      <c r="B52" s="364"/>
      <c r="C52" s="364"/>
      <c r="D52" s="364"/>
      <c r="E52" s="364"/>
      <c r="F52" s="364"/>
      <c r="G52" s="365"/>
      <c r="J52" s="351" t="s">
        <v>125</v>
      </c>
      <c r="K52" s="125" t="s">
        <v>179</v>
      </c>
      <c r="L52" s="123"/>
      <c r="M52" s="123"/>
      <c r="N52" s="123"/>
      <c r="O52" s="123"/>
    </row>
    <row r="53" spans="1:15" x14ac:dyDescent="0.2">
      <c r="J53" s="351"/>
      <c r="K53" s="125" t="s">
        <v>180</v>
      </c>
      <c r="L53" s="123"/>
      <c r="M53" s="123"/>
      <c r="N53" s="123"/>
      <c r="O53" s="123"/>
    </row>
    <row r="54" spans="1:15" x14ac:dyDescent="0.2">
      <c r="J54" s="351"/>
      <c r="K54" s="125" t="s">
        <v>181</v>
      </c>
      <c r="L54" s="123"/>
      <c r="M54" s="123"/>
      <c r="N54" s="123"/>
      <c r="O54" s="123"/>
    </row>
    <row r="55" spans="1:15" x14ac:dyDescent="0.2">
      <c r="J55" s="351"/>
      <c r="K55" s="125" t="s">
        <v>182</v>
      </c>
      <c r="L55" s="123"/>
      <c r="M55" s="123"/>
      <c r="N55" s="123"/>
      <c r="O55" s="123"/>
    </row>
    <row r="56" spans="1:15" x14ac:dyDescent="0.2">
      <c r="J56" s="351"/>
      <c r="K56" s="125" t="s">
        <v>183</v>
      </c>
      <c r="L56" s="123"/>
      <c r="M56" s="123"/>
      <c r="N56" s="123"/>
      <c r="O56" s="123"/>
    </row>
    <row r="57" spans="1:15" x14ac:dyDescent="0.2">
      <c r="J57" s="351"/>
      <c r="K57" s="125" t="s">
        <v>184</v>
      </c>
      <c r="L57" s="123"/>
      <c r="M57" s="123"/>
      <c r="N57" s="123"/>
      <c r="O57" s="123"/>
    </row>
    <row r="58" spans="1:15" x14ac:dyDescent="0.2">
      <c r="J58" s="351"/>
      <c r="K58" s="125" t="s">
        <v>185</v>
      </c>
      <c r="L58" s="123"/>
      <c r="M58" s="123"/>
      <c r="N58" s="123"/>
      <c r="O58" s="123"/>
    </row>
    <row r="59" spans="1:15" x14ac:dyDescent="0.2">
      <c r="J59" s="351"/>
      <c r="K59" s="125" t="s">
        <v>186</v>
      </c>
      <c r="L59" s="123"/>
      <c r="M59" s="123"/>
      <c r="N59" s="123"/>
      <c r="O59" s="123"/>
    </row>
    <row r="60" spans="1:15" x14ac:dyDescent="0.2">
      <c r="J60" s="351"/>
      <c r="K60" s="125" t="s">
        <v>187</v>
      </c>
      <c r="L60" s="123"/>
      <c r="M60" s="123"/>
      <c r="N60" s="123"/>
      <c r="O60" s="123"/>
    </row>
    <row r="61" spans="1:15" x14ac:dyDescent="0.2">
      <c r="J61" s="351"/>
      <c r="K61" s="125" t="s">
        <v>188</v>
      </c>
      <c r="L61" s="123"/>
      <c r="M61" s="123"/>
      <c r="N61" s="123"/>
      <c r="O61" s="123"/>
    </row>
    <row r="62" spans="1:15" x14ac:dyDescent="0.2">
      <c r="J62" s="351"/>
      <c r="K62" s="125" t="s">
        <v>189</v>
      </c>
      <c r="L62" s="123"/>
      <c r="M62" s="123"/>
      <c r="N62" s="123"/>
      <c r="O62" s="123"/>
    </row>
    <row r="63" spans="1:15" x14ac:dyDescent="0.2">
      <c r="J63" s="351"/>
      <c r="K63" s="125" t="s">
        <v>190</v>
      </c>
      <c r="L63" s="123"/>
      <c r="M63" s="123"/>
      <c r="N63" s="123"/>
      <c r="O63" s="123"/>
    </row>
    <row r="64" spans="1:15" x14ac:dyDescent="0.2">
      <c r="J64" s="351"/>
      <c r="K64" s="121" t="s">
        <v>277</v>
      </c>
      <c r="L64" s="121" t="e">
        <f>AVERAGE(L52:L63)</f>
        <v>#DIV/0!</v>
      </c>
      <c r="M64" s="121">
        <f>MAX(M52:M63)</f>
        <v>0</v>
      </c>
      <c r="N64" s="121" t="e">
        <f>AVERAGE(N52:N63)</f>
        <v>#DIV/0!</v>
      </c>
      <c r="O64" s="121">
        <f>MAX(O52:O63)</f>
        <v>0</v>
      </c>
    </row>
    <row r="66" spans="10:15" ht="30" x14ac:dyDescent="0.2">
      <c r="J66" s="120">
        <f>+A6</f>
        <v>2022</v>
      </c>
      <c r="K66" s="120" t="s">
        <v>275</v>
      </c>
      <c r="L66" s="126" t="s">
        <v>174</v>
      </c>
      <c r="M66" s="126" t="s">
        <v>175</v>
      </c>
      <c r="N66" s="126" t="s">
        <v>177</v>
      </c>
      <c r="O66" s="126" t="s">
        <v>178</v>
      </c>
    </row>
    <row r="67" spans="10:15" x14ac:dyDescent="0.2">
      <c r="J67" s="351" t="s">
        <v>126</v>
      </c>
      <c r="K67" s="125" t="s">
        <v>179</v>
      </c>
      <c r="L67" s="123"/>
      <c r="M67" s="123"/>
      <c r="N67" s="123"/>
      <c r="O67" s="123"/>
    </row>
    <row r="68" spans="10:15" x14ac:dyDescent="0.2">
      <c r="J68" s="351"/>
      <c r="K68" s="125" t="s">
        <v>180</v>
      </c>
      <c r="L68" s="123"/>
      <c r="M68" s="123"/>
      <c r="N68" s="123"/>
      <c r="O68" s="123"/>
    </row>
    <row r="69" spans="10:15" x14ac:dyDescent="0.2">
      <c r="J69" s="351"/>
      <c r="K69" s="125" t="s">
        <v>181</v>
      </c>
      <c r="L69" s="123"/>
      <c r="M69" s="123"/>
      <c r="N69" s="123"/>
      <c r="O69" s="123"/>
    </row>
    <row r="70" spans="10:15" x14ac:dyDescent="0.2">
      <c r="J70" s="351"/>
      <c r="K70" s="125" t="s">
        <v>182</v>
      </c>
      <c r="L70" s="123"/>
      <c r="M70" s="123"/>
      <c r="N70" s="123"/>
      <c r="O70" s="123"/>
    </row>
    <row r="71" spans="10:15" x14ac:dyDescent="0.2">
      <c r="J71" s="351"/>
      <c r="K71" s="125" t="s">
        <v>183</v>
      </c>
      <c r="L71" s="123"/>
      <c r="M71" s="123"/>
      <c r="N71" s="123"/>
      <c r="O71" s="123"/>
    </row>
    <row r="72" spans="10:15" x14ac:dyDescent="0.2">
      <c r="J72" s="351"/>
      <c r="K72" s="125" t="s">
        <v>184</v>
      </c>
      <c r="L72" s="123"/>
      <c r="M72" s="123"/>
      <c r="N72" s="123"/>
      <c r="O72" s="123"/>
    </row>
    <row r="73" spans="10:15" x14ac:dyDescent="0.2">
      <c r="J73" s="351"/>
      <c r="K73" s="125" t="s">
        <v>185</v>
      </c>
      <c r="L73" s="123"/>
      <c r="M73" s="123"/>
      <c r="N73" s="123"/>
      <c r="O73" s="123"/>
    </row>
    <row r="74" spans="10:15" x14ac:dyDescent="0.2">
      <c r="J74" s="351"/>
      <c r="K74" s="125" t="s">
        <v>186</v>
      </c>
      <c r="L74" s="123"/>
      <c r="M74" s="123"/>
      <c r="N74" s="123"/>
      <c r="O74" s="123"/>
    </row>
    <row r="75" spans="10:15" x14ac:dyDescent="0.2">
      <c r="J75" s="351"/>
      <c r="K75" s="125" t="s">
        <v>187</v>
      </c>
      <c r="L75" s="123"/>
      <c r="M75" s="123"/>
      <c r="N75" s="123"/>
      <c r="O75" s="123"/>
    </row>
    <row r="76" spans="10:15" x14ac:dyDescent="0.2">
      <c r="J76" s="351"/>
      <c r="K76" s="125" t="s">
        <v>188</v>
      </c>
      <c r="L76" s="123"/>
      <c r="M76" s="123"/>
      <c r="N76" s="123"/>
      <c r="O76" s="123"/>
    </row>
    <row r="77" spans="10:15" x14ac:dyDescent="0.2">
      <c r="J77" s="351"/>
      <c r="K77" s="125" t="s">
        <v>189</v>
      </c>
      <c r="L77" s="123"/>
      <c r="M77" s="123"/>
      <c r="N77" s="123"/>
      <c r="O77" s="123"/>
    </row>
    <row r="78" spans="10:15" x14ac:dyDescent="0.2">
      <c r="J78" s="351"/>
      <c r="K78" s="125" t="s">
        <v>190</v>
      </c>
      <c r="L78" s="123"/>
      <c r="M78" s="123"/>
      <c r="N78" s="123"/>
      <c r="O78" s="123"/>
    </row>
    <row r="79" spans="10:15" x14ac:dyDescent="0.2">
      <c r="J79" s="351"/>
      <c r="K79" s="121" t="s">
        <v>277</v>
      </c>
      <c r="L79" s="121" t="e">
        <f>AVERAGE(L67:L78)</f>
        <v>#DIV/0!</v>
      </c>
      <c r="M79" s="121">
        <f>MAX(M67:M78)</f>
        <v>0</v>
      </c>
      <c r="N79" s="121" t="e">
        <f>AVERAGE(N67:N78)</f>
        <v>#DIV/0!</v>
      </c>
      <c r="O79" s="12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2D050"/>
    <pageSetUpPr fitToPage="1"/>
  </sheetPr>
  <dimension ref="A1:S79"/>
  <sheetViews>
    <sheetView showGridLines="0" zoomScaleNormal="100" workbookViewId="0">
      <selection activeCell="O27" sqref="O27"/>
    </sheetView>
  </sheetViews>
  <sheetFormatPr defaultRowHeight="14.25" x14ac:dyDescent="0.2"/>
  <cols>
    <col min="1" max="1" width="14" style="3" customWidth="1"/>
    <col min="2" max="7" width="17" style="7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Addenbrooke's Hospital  Incinerator</v>
      </c>
      <c r="F1" s="2"/>
      <c r="G1" s="2"/>
    </row>
    <row r="3" spans="1:19" ht="15" x14ac:dyDescent="0.25">
      <c r="A3" s="119" t="s">
        <v>322</v>
      </c>
      <c r="D3" s="145" t="s">
        <v>320</v>
      </c>
      <c r="G3" s="149" t="s">
        <v>328</v>
      </c>
      <c r="J3" s="11" t="str">
        <f>+A3</f>
        <v>Monitoring of Hydrogen Chloride emissions</v>
      </c>
      <c r="L3" s="11"/>
      <c r="N3" s="11" t="s">
        <v>321</v>
      </c>
      <c r="Q3" s="148" t="s">
        <v>315</v>
      </c>
      <c r="R3" s="139"/>
      <c r="S3" s="139"/>
    </row>
    <row r="4" spans="1:19" ht="13.9" customHeight="1" x14ac:dyDescent="0.2">
      <c r="Q4" s="342" t="s">
        <v>326</v>
      </c>
      <c r="R4" s="342"/>
      <c r="S4" s="342"/>
    </row>
    <row r="5" spans="1:19" ht="17.25" x14ac:dyDescent="0.25">
      <c r="A5" s="127" t="s">
        <v>276</v>
      </c>
      <c r="B5" s="352" t="s">
        <v>274</v>
      </c>
      <c r="C5" s="352"/>
      <c r="D5" s="352"/>
      <c r="E5" s="352" t="s">
        <v>273</v>
      </c>
      <c r="F5" s="352"/>
      <c r="G5" s="352"/>
      <c r="J5" s="353"/>
      <c r="K5" s="353"/>
      <c r="L5" s="353"/>
      <c r="M5" s="353"/>
      <c r="N5" s="353"/>
      <c r="O5" s="353"/>
      <c r="Q5" s="342"/>
      <c r="R5" s="342"/>
      <c r="S5" s="342"/>
    </row>
    <row r="6" spans="1:19" s="117" customFormat="1" ht="37.5" customHeight="1" x14ac:dyDescent="0.25">
      <c r="A6" s="124">
        <v>2022</v>
      </c>
      <c r="B6" s="113" t="s">
        <v>173</v>
      </c>
      <c r="C6" s="113" t="s">
        <v>174</v>
      </c>
      <c r="D6" s="113" t="s">
        <v>340</v>
      </c>
      <c r="E6" s="113" t="s">
        <v>176</v>
      </c>
      <c r="F6" s="113" t="s">
        <v>177</v>
      </c>
      <c r="G6" s="113" t="s">
        <v>341</v>
      </c>
      <c r="H6" s="118"/>
      <c r="J6" s="120">
        <f>+A6</f>
        <v>2022</v>
      </c>
      <c r="K6" s="120" t="s">
        <v>275</v>
      </c>
      <c r="L6" s="126" t="s">
        <v>174</v>
      </c>
      <c r="M6" s="126" t="s">
        <v>175</v>
      </c>
      <c r="N6" s="126" t="s">
        <v>177</v>
      </c>
      <c r="O6" s="126" t="s">
        <v>178</v>
      </c>
      <c r="Q6" s="342"/>
      <c r="R6" s="342"/>
      <c r="S6" s="342"/>
    </row>
    <row r="7" spans="1:19" ht="13.9" customHeight="1" x14ac:dyDescent="0.2">
      <c r="A7" s="125" t="s">
        <v>179</v>
      </c>
      <c r="B7" s="122">
        <v>60</v>
      </c>
      <c r="C7" s="123">
        <v>1.2</v>
      </c>
      <c r="D7" s="123">
        <v>23.4</v>
      </c>
      <c r="E7" s="122">
        <v>10</v>
      </c>
      <c r="F7" s="123">
        <v>1.1499999999999999</v>
      </c>
      <c r="G7" s="123">
        <v>4.3</v>
      </c>
      <c r="J7" s="351" t="s">
        <v>122</v>
      </c>
      <c r="K7" s="125" t="s">
        <v>179</v>
      </c>
      <c r="L7" s="123">
        <v>0.6</v>
      </c>
      <c r="M7" s="123">
        <v>9.1</v>
      </c>
      <c r="N7" s="123">
        <v>0.5</v>
      </c>
      <c r="O7" s="123">
        <v>1.5</v>
      </c>
      <c r="Q7" s="342"/>
      <c r="R7" s="342"/>
      <c r="S7" s="342"/>
    </row>
    <row r="8" spans="1:19" x14ac:dyDescent="0.2">
      <c r="A8" s="125" t="s">
        <v>180</v>
      </c>
      <c r="B8" s="122">
        <v>60</v>
      </c>
      <c r="C8" s="123">
        <v>1.25</v>
      </c>
      <c r="D8" s="123">
        <v>20.2</v>
      </c>
      <c r="E8" s="122">
        <v>10</v>
      </c>
      <c r="F8" s="123">
        <v>1.25</v>
      </c>
      <c r="G8" s="123">
        <v>3.8</v>
      </c>
      <c r="J8" s="351"/>
      <c r="K8" s="125" t="s">
        <v>180</v>
      </c>
      <c r="L8" s="123">
        <v>1.2</v>
      </c>
      <c r="M8" s="123">
        <v>9.1999999999999993</v>
      </c>
      <c r="N8" s="123">
        <v>1.2</v>
      </c>
      <c r="O8" s="123">
        <v>3.8</v>
      </c>
      <c r="Q8" s="342"/>
      <c r="R8" s="342"/>
      <c r="S8" s="342"/>
    </row>
    <row r="9" spans="1:19" ht="15" x14ac:dyDescent="0.25">
      <c r="A9" s="125" t="s">
        <v>181</v>
      </c>
      <c r="B9" s="122">
        <v>60</v>
      </c>
      <c r="C9" s="123">
        <v>1.55</v>
      </c>
      <c r="D9" s="123">
        <v>36.4</v>
      </c>
      <c r="E9" s="122">
        <v>10</v>
      </c>
      <c r="F9" s="123">
        <v>1.5</v>
      </c>
      <c r="G9" s="123">
        <v>4.2</v>
      </c>
      <c r="J9" s="351"/>
      <c r="K9" s="125" t="s">
        <v>181</v>
      </c>
      <c r="L9" s="123">
        <v>1.2</v>
      </c>
      <c r="M9" s="123">
        <v>8.5</v>
      </c>
      <c r="N9" s="123">
        <v>1.2</v>
      </c>
      <c r="O9" s="123">
        <v>2.2999999999999998</v>
      </c>
      <c r="Q9" s="147" t="s">
        <v>327</v>
      </c>
    </row>
    <row r="10" spans="1:19" ht="13.9" customHeight="1" x14ac:dyDescent="0.2">
      <c r="A10" s="125" t="s">
        <v>182</v>
      </c>
      <c r="B10" s="122">
        <v>60</v>
      </c>
      <c r="C10" s="123">
        <v>1.35</v>
      </c>
      <c r="D10" s="123">
        <v>14.3</v>
      </c>
      <c r="E10" s="122">
        <v>10</v>
      </c>
      <c r="F10" s="123">
        <v>1.25</v>
      </c>
      <c r="G10" s="123">
        <v>3.1</v>
      </c>
      <c r="J10" s="351"/>
      <c r="K10" s="125" t="s">
        <v>182</v>
      </c>
      <c r="L10" s="123">
        <v>1.4</v>
      </c>
      <c r="M10" s="123">
        <v>11.3</v>
      </c>
      <c r="N10" s="123">
        <v>1.3</v>
      </c>
      <c r="O10" s="123">
        <v>3.1</v>
      </c>
      <c r="Q10" s="350" t="s">
        <v>347</v>
      </c>
      <c r="R10" s="350"/>
      <c r="S10" s="350"/>
    </row>
    <row r="11" spans="1:19" x14ac:dyDescent="0.2">
      <c r="A11" s="125" t="s">
        <v>183</v>
      </c>
      <c r="B11" s="122">
        <v>60</v>
      </c>
      <c r="C11" s="123">
        <v>1</v>
      </c>
      <c r="D11" s="123">
        <v>34.200000000000003</v>
      </c>
      <c r="E11" s="122">
        <v>10</v>
      </c>
      <c r="F11" s="123">
        <v>0.95</v>
      </c>
      <c r="G11" s="123">
        <v>2.8</v>
      </c>
      <c r="J11" s="351"/>
      <c r="K11" s="125" t="s">
        <v>183</v>
      </c>
      <c r="L11" s="123">
        <v>0.8</v>
      </c>
      <c r="M11" s="123">
        <v>10.4</v>
      </c>
      <c r="N11" s="123">
        <v>0.7</v>
      </c>
      <c r="O11" s="123">
        <v>1.8</v>
      </c>
      <c r="Q11" s="350"/>
      <c r="R11" s="350"/>
      <c r="S11" s="350"/>
    </row>
    <row r="12" spans="1:19" x14ac:dyDescent="0.2">
      <c r="A12" s="125" t="s">
        <v>184</v>
      </c>
      <c r="B12" s="122">
        <v>60</v>
      </c>
      <c r="C12" s="123">
        <v>1</v>
      </c>
      <c r="D12" s="123">
        <v>13.1</v>
      </c>
      <c r="E12" s="122">
        <v>10</v>
      </c>
      <c r="F12" s="123">
        <v>1</v>
      </c>
      <c r="G12" s="123">
        <v>2.6</v>
      </c>
      <c r="J12" s="351"/>
      <c r="K12" s="125" t="s">
        <v>184</v>
      </c>
      <c r="L12" s="123"/>
      <c r="M12" s="123"/>
      <c r="N12" s="123"/>
      <c r="O12" s="123"/>
      <c r="Q12" s="350"/>
      <c r="R12" s="350"/>
      <c r="S12" s="350"/>
    </row>
    <row r="13" spans="1:19" ht="13.9" customHeight="1" x14ac:dyDescent="0.2">
      <c r="A13" s="125" t="s">
        <v>185</v>
      </c>
      <c r="B13" s="122">
        <v>60</v>
      </c>
      <c r="C13" s="123">
        <v>0.65</v>
      </c>
      <c r="D13" s="123">
        <v>15.8</v>
      </c>
      <c r="E13" s="122">
        <v>10</v>
      </c>
      <c r="F13" s="123">
        <v>0.6</v>
      </c>
      <c r="G13" s="123">
        <v>2.8</v>
      </c>
      <c r="J13" s="351"/>
      <c r="K13" s="125" t="s">
        <v>185</v>
      </c>
      <c r="L13" s="123">
        <v>0.5</v>
      </c>
      <c r="M13" s="123">
        <v>6.1</v>
      </c>
      <c r="N13" s="123">
        <v>0.4</v>
      </c>
      <c r="O13" s="123">
        <v>1.5</v>
      </c>
      <c r="Q13" s="350" t="s">
        <v>353</v>
      </c>
      <c r="R13" s="350"/>
      <c r="S13" s="350"/>
    </row>
    <row r="14" spans="1:19" x14ac:dyDescent="0.2">
      <c r="A14" s="125" t="s">
        <v>186</v>
      </c>
      <c r="B14" s="122">
        <v>60</v>
      </c>
      <c r="C14" s="123">
        <v>0.95</v>
      </c>
      <c r="D14" s="123">
        <v>14.2</v>
      </c>
      <c r="E14" s="122">
        <v>10</v>
      </c>
      <c r="F14" s="123">
        <v>0.85</v>
      </c>
      <c r="G14" s="123">
        <v>2.5</v>
      </c>
      <c r="J14" s="351"/>
      <c r="K14" s="125" t="s">
        <v>186</v>
      </c>
      <c r="L14" s="123">
        <v>0.9</v>
      </c>
      <c r="M14" s="123">
        <v>7.4</v>
      </c>
      <c r="N14" s="123">
        <v>0.8</v>
      </c>
      <c r="O14" s="123">
        <v>2.5</v>
      </c>
      <c r="Q14" s="350"/>
      <c r="R14" s="350"/>
      <c r="S14" s="350"/>
    </row>
    <row r="15" spans="1:19" x14ac:dyDescent="0.2">
      <c r="A15" s="125" t="s">
        <v>187</v>
      </c>
      <c r="B15" s="122">
        <v>60</v>
      </c>
      <c r="C15" s="123">
        <v>0.6</v>
      </c>
      <c r="D15" s="123">
        <v>6.2</v>
      </c>
      <c r="E15" s="122">
        <v>10</v>
      </c>
      <c r="F15" s="123">
        <v>0.6</v>
      </c>
      <c r="G15" s="123">
        <v>1.6</v>
      </c>
      <c r="J15" s="351"/>
      <c r="K15" s="125" t="s">
        <v>187</v>
      </c>
      <c r="L15" s="123">
        <v>0.3</v>
      </c>
      <c r="M15" s="123">
        <v>1.3</v>
      </c>
      <c r="N15" s="123">
        <v>0.3</v>
      </c>
      <c r="O15" s="123">
        <v>0.5</v>
      </c>
      <c r="Q15" s="350"/>
      <c r="R15" s="350"/>
      <c r="S15" s="350"/>
    </row>
    <row r="16" spans="1:19" x14ac:dyDescent="0.2">
      <c r="A16" s="125" t="s">
        <v>188</v>
      </c>
      <c r="B16" s="122">
        <v>60</v>
      </c>
      <c r="C16" s="123">
        <v>0.55000000000000004</v>
      </c>
      <c r="D16" s="123">
        <v>12</v>
      </c>
      <c r="E16" s="122">
        <v>10</v>
      </c>
      <c r="F16" s="123">
        <v>0.5</v>
      </c>
      <c r="G16" s="123">
        <v>1.6</v>
      </c>
      <c r="J16" s="351"/>
      <c r="K16" s="125" t="s">
        <v>188</v>
      </c>
      <c r="L16" s="123">
        <v>0.2</v>
      </c>
      <c r="M16" s="123">
        <v>12</v>
      </c>
      <c r="N16" s="123">
        <v>0.2</v>
      </c>
      <c r="O16" s="123">
        <v>0.6</v>
      </c>
      <c r="Q16" s="350"/>
      <c r="R16" s="350"/>
      <c r="S16" s="350"/>
    </row>
    <row r="17" spans="1:15" x14ac:dyDescent="0.2">
      <c r="A17" s="125" t="s">
        <v>189</v>
      </c>
      <c r="B17" s="122">
        <v>60</v>
      </c>
      <c r="C17" s="123">
        <v>1</v>
      </c>
      <c r="D17" s="123">
        <v>31.7</v>
      </c>
      <c r="E17" s="122">
        <v>10</v>
      </c>
      <c r="F17" s="123">
        <v>0.95</v>
      </c>
      <c r="G17" s="123">
        <v>7.1</v>
      </c>
      <c r="J17" s="351"/>
      <c r="K17" s="125" t="s">
        <v>189</v>
      </c>
      <c r="L17" s="123">
        <v>0.4</v>
      </c>
      <c r="M17" s="123">
        <v>9.8000000000000007</v>
      </c>
      <c r="N17" s="123">
        <v>0.3</v>
      </c>
      <c r="O17" s="123">
        <v>1.3</v>
      </c>
    </row>
    <row r="18" spans="1:15" x14ac:dyDescent="0.2">
      <c r="A18" s="125" t="s">
        <v>190</v>
      </c>
      <c r="B18" s="122">
        <v>60</v>
      </c>
      <c r="C18" s="123">
        <v>1.05</v>
      </c>
      <c r="D18" s="123">
        <v>16.399999999999999</v>
      </c>
      <c r="E18" s="122">
        <v>10</v>
      </c>
      <c r="F18" s="123">
        <v>1</v>
      </c>
      <c r="G18" s="123">
        <v>2.2999999999999998</v>
      </c>
      <c r="J18" s="351"/>
      <c r="K18" s="125" t="s">
        <v>190</v>
      </c>
      <c r="L18" s="123">
        <v>1.1000000000000001</v>
      </c>
      <c r="M18" s="123">
        <v>16.399999999999999</v>
      </c>
      <c r="N18" s="123">
        <v>1.1000000000000001</v>
      </c>
      <c r="O18" s="123">
        <v>2.2999999999999998</v>
      </c>
    </row>
    <row r="19" spans="1:15" x14ac:dyDescent="0.2">
      <c r="J19" s="351"/>
      <c r="K19" s="121" t="s">
        <v>277</v>
      </c>
      <c r="L19" s="121">
        <f>AVERAGE(L7:L18)</f>
        <v>0.78181818181818197</v>
      </c>
      <c r="M19" s="121">
        <f>MAX(M7:M18)</f>
        <v>16.399999999999999</v>
      </c>
      <c r="N19" s="121">
        <f>AVERAGE(N7:N18)</f>
        <v>0.72727272727272729</v>
      </c>
      <c r="O19" s="121">
        <f>MAX(O7:O18)</f>
        <v>3.8</v>
      </c>
    </row>
    <row r="21" spans="1:15" ht="30" x14ac:dyDescent="0.2">
      <c r="J21" s="120">
        <f>+A6</f>
        <v>2022</v>
      </c>
      <c r="K21" s="120" t="s">
        <v>275</v>
      </c>
      <c r="L21" s="126" t="s">
        <v>174</v>
      </c>
      <c r="M21" s="126" t="s">
        <v>175</v>
      </c>
      <c r="N21" s="126" t="s">
        <v>177</v>
      </c>
      <c r="O21" s="126" t="s">
        <v>178</v>
      </c>
    </row>
    <row r="22" spans="1:15" x14ac:dyDescent="0.2">
      <c r="J22" s="351" t="s">
        <v>123</v>
      </c>
      <c r="K22" s="125" t="s">
        <v>179</v>
      </c>
      <c r="L22" s="123">
        <v>1.8</v>
      </c>
      <c r="M22" s="123">
        <v>23.4</v>
      </c>
      <c r="N22" s="123">
        <v>1.8</v>
      </c>
      <c r="O22" s="123">
        <v>4.3</v>
      </c>
    </row>
    <row r="23" spans="1:15" x14ac:dyDescent="0.2">
      <c r="J23" s="351"/>
      <c r="K23" s="125" t="s">
        <v>180</v>
      </c>
      <c r="L23" s="123">
        <v>1.3</v>
      </c>
      <c r="M23" s="123">
        <v>20.2</v>
      </c>
      <c r="N23" s="123">
        <v>1.3</v>
      </c>
      <c r="O23" s="123">
        <v>3.1</v>
      </c>
    </row>
    <row r="24" spans="1:15" x14ac:dyDescent="0.2">
      <c r="J24" s="351"/>
      <c r="K24" s="125" t="s">
        <v>181</v>
      </c>
      <c r="L24" s="123">
        <v>1.9</v>
      </c>
      <c r="M24" s="123">
        <v>36.4</v>
      </c>
      <c r="N24" s="123">
        <v>1.8</v>
      </c>
      <c r="O24" s="123">
        <v>4.2</v>
      </c>
    </row>
    <row r="25" spans="1:15" x14ac:dyDescent="0.2">
      <c r="J25" s="351"/>
      <c r="K25" s="125" t="s">
        <v>182</v>
      </c>
      <c r="L25" s="123">
        <v>1.3</v>
      </c>
      <c r="M25" s="123">
        <v>14.3</v>
      </c>
      <c r="N25" s="123">
        <v>1.2</v>
      </c>
      <c r="O25" s="123">
        <v>2.7</v>
      </c>
    </row>
    <row r="26" spans="1:15" x14ac:dyDescent="0.2">
      <c r="J26" s="351"/>
      <c r="K26" s="125" t="s">
        <v>183</v>
      </c>
      <c r="L26" s="123">
        <v>1.2</v>
      </c>
      <c r="M26" s="123">
        <v>34.200000000000003</v>
      </c>
      <c r="N26" s="123">
        <v>1.2</v>
      </c>
      <c r="O26" s="123">
        <v>2.8</v>
      </c>
    </row>
    <row r="27" spans="1:15" x14ac:dyDescent="0.2">
      <c r="J27" s="351"/>
      <c r="K27" s="125" t="s">
        <v>184</v>
      </c>
      <c r="L27" s="123">
        <v>1</v>
      </c>
      <c r="M27" s="123">
        <v>13.1</v>
      </c>
      <c r="N27" s="123">
        <v>1</v>
      </c>
      <c r="O27" s="123">
        <v>2.6</v>
      </c>
    </row>
    <row r="28" spans="1:15" x14ac:dyDescent="0.2">
      <c r="J28" s="351"/>
      <c r="K28" s="125" t="s">
        <v>185</v>
      </c>
      <c r="L28" s="123">
        <v>0.8</v>
      </c>
      <c r="M28" s="123">
        <v>15.8</v>
      </c>
      <c r="N28" s="123">
        <v>0.8</v>
      </c>
      <c r="O28" s="123">
        <v>2.8</v>
      </c>
    </row>
    <row r="29" spans="1:15" x14ac:dyDescent="0.2">
      <c r="J29" s="351"/>
      <c r="K29" s="125" t="s">
        <v>186</v>
      </c>
      <c r="L29" s="123">
        <v>1</v>
      </c>
      <c r="M29" s="123">
        <v>14.2</v>
      </c>
      <c r="N29" s="123">
        <v>0.9</v>
      </c>
      <c r="O29" s="123">
        <v>1.5</v>
      </c>
    </row>
    <row r="30" spans="1:15" x14ac:dyDescent="0.2">
      <c r="J30" s="351"/>
      <c r="K30" s="125" t="s">
        <v>187</v>
      </c>
      <c r="L30" s="123">
        <v>0.9</v>
      </c>
      <c r="M30" s="123">
        <v>6.2</v>
      </c>
      <c r="N30" s="123">
        <v>0.9</v>
      </c>
      <c r="O30" s="123">
        <v>1.6</v>
      </c>
    </row>
    <row r="31" spans="1:15" x14ac:dyDescent="0.2">
      <c r="J31" s="351"/>
      <c r="K31" s="125" t="s">
        <v>188</v>
      </c>
      <c r="L31" s="123">
        <v>0.9</v>
      </c>
      <c r="M31" s="123">
        <v>6.2</v>
      </c>
      <c r="N31" s="123">
        <v>0.8</v>
      </c>
      <c r="O31" s="123">
        <v>1.6</v>
      </c>
    </row>
    <row r="32" spans="1:15" x14ac:dyDescent="0.2">
      <c r="J32" s="351"/>
      <c r="K32" s="125" t="s">
        <v>189</v>
      </c>
      <c r="L32" s="123">
        <v>1.6</v>
      </c>
      <c r="M32" s="123">
        <v>31.7</v>
      </c>
      <c r="N32" s="123">
        <v>1.6</v>
      </c>
      <c r="O32" s="123">
        <v>7.1</v>
      </c>
    </row>
    <row r="33" spans="1:15" x14ac:dyDescent="0.2">
      <c r="J33" s="351"/>
      <c r="K33" s="125" t="s">
        <v>190</v>
      </c>
      <c r="L33" s="123">
        <v>1</v>
      </c>
      <c r="M33" s="123">
        <v>15.4</v>
      </c>
      <c r="N33" s="123">
        <v>0.9</v>
      </c>
      <c r="O33" s="123">
        <v>2.2999999999999998</v>
      </c>
    </row>
    <row r="34" spans="1:15" x14ac:dyDescent="0.2">
      <c r="J34" s="351"/>
      <c r="K34" s="121" t="s">
        <v>277</v>
      </c>
      <c r="L34" s="121">
        <f>AVERAGE(L22:L33)</f>
        <v>1.2250000000000001</v>
      </c>
      <c r="M34" s="121">
        <f>MAX(M22:M33)</f>
        <v>36.4</v>
      </c>
      <c r="N34" s="121">
        <f>AVERAGE(N22:N33)</f>
        <v>1.1833333333333336</v>
      </c>
      <c r="O34" s="121">
        <f>MAX(O22:O33)</f>
        <v>7.1</v>
      </c>
    </row>
    <row r="36" spans="1:15" ht="30" x14ac:dyDescent="0.2">
      <c r="J36" s="120">
        <f>+A6</f>
        <v>2022</v>
      </c>
      <c r="K36" s="120" t="s">
        <v>275</v>
      </c>
      <c r="L36" s="126" t="s">
        <v>174</v>
      </c>
      <c r="M36" s="126" t="s">
        <v>175</v>
      </c>
      <c r="N36" s="126" t="s">
        <v>177</v>
      </c>
      <c r="O36" s="126" t="s">
        <v>178</v>
      </c>
    </row>
    <row r="37" spans="1:15" x14ac:dyDescent="0.2">
      <c r="J37" s="351" t="s">
        <v>124</v>
      </c>
      <c r="K37" s="125" t="s">
        <v>179</v>
      </c>
      <c r="L37" s="123"/>
      <c r="M37" s="123"/>
      <c r="N37" s="123"/>
      <c r="O37" s="123"/>
    </row>
    <row r="38" spans="1:15" x14ac:dyDescent="0.2">
      <c r="J38" s="351"/>
      <c r="K38" s="125" t="s">
        <v>180</v>
      </c>
      <c r="L38" s="123"/>
      <c r="M38" s="123"/>
      <c r="N38" s="123"/>
      <c r="O38" s="123"/>
    </row>
    <row r="39" spans="1:15" x14ac:dyDescent="0.2">
      <c r="J39" s="351"/>
      <c r="K39" s="125" t="s">
        <v>181</v>
      </c>
      <c r="L39" s="123"/>
      <c r="M39" s="123"/>
      <c r="N39" s="123"/>
      <c r="O39" s="123"/>
    </row>
    <row r="40" spans="1:15" x14ac:dyDescent="0.2">
      <c r="J40" s="351"/>
      <c r="K40" s="125" t="s">
        <v>182</v>
      </c>
      <c r="L40" s="123"/>
      <c r="M40" s="123"/>
      <c r="N40" s="123"/>
      <c r="O40" s="123"/>
    </row>
    <row r="41" spans="1:15" x14ac:dyDescent="0.2">
      <c r="J41" s="351"/>
      <c r="K41" s="125" t="s">
        <v>183</v>
      </c>
      <c r="L41" s="123"/>
      <c r="M41" s="123"/>
      <c r="N41" s="123"/>
      <c r="O41" s="123"/>
    </row>
    <row r="42" spans="1:15" x14ac:dyDescent="0.2">
      <c r="J42" s="351"/>
      <c r="K42" s="125" t="s">
        <v>184</v>
      </c>
      <c r="L42" s="123"/>
      <c r="M42" s="123"/>
      <c r="N42" s="123"/>
      <c r="O42" s="123"/>
    </row>
    <row r="43" spans="1:15" x14ac:dyDescent="0.2">
      <c r="J43" s="351"/>
      <c r="K43" s="125" t="s">
        <v>185</v>
      </c>
      <c r="L43" s="123"/>
      <c r="M43" s="123"/>
      <c r="N43" s="123"/>
      <c r="O43" s="123"/>
    </row>
    <row r="44" spans="1:15" x14ac:dyDescent="0.2">
      <c r="J44" s="351"/>
      <c r="K44" s="125" t="s">
        <v>186</v>
      </c>
      <c r="L44" s="123"/>
      <c r="M44" s="123"/>
      <c r="N44" s="123"/>
      <c r="O44" s="123"/>
    </row>
    <row r="45" spans="1:15" x14ac:dyDescent="0.2">
      <c r="J45" s="351"/>
      <c r="K45" s="125" t="s">
        <v>187</v>
      </c>
      <c r="L45" s="123"/>
      <c r="M45" s="123"/>
      <c r="N45" s="123"/>
      <c r="O45" s="123"/>
    </row>
    <row r="46" spans="1:15" x14ac:dyDescent="0.2">
      <c r="J46" s="351"/>
      <c r="K46" s="125" t="s">
        <v>188</v>
      </c>
      <c r="L46" s="123"/>
      <c r="M46" s="123"/>
      <c r="N46" s="123"/>
      <c r="O46" s="123"/>
    </row>
    <row r="47" spans="1:15" x14ac:dyDescent="0.2">
      <c r="J47" s="351"/>
      <c r="K47" s="125" t="s">
        <v>189</v>
      </c>
      <c r="L47" s="123"/>
      <c r="M47" s="123"/>
      <c r="N47" s="123"/>
      <c r="O47" s="123"/>
    </row>
    <row r="48" spans="1:15" ht="15" x14ac:dyDescent="0.2">
      <c r="A48" s="354" t="s">
        <v>223</v>
      </c>
      <c r="B48" s="355"/>
      <c r="C48" s="355"/>
      <c r="D48" s="355"/>
      <c r="E48" s="355"/>
      <c r="F48" s="355"/>
      <c r="G48" s="356"/>
      <c r="J48" s="351"/>
      <c r="K48" s="125" t="s">
        <v>190</v>
      </c>
      <c r="L48" s="123"/>
      <c r="M48" s="123"/>
      <c r="N48" s="123"/>
      <c r="O48" s="123"/>
    </row>
    <row r="49" spans="1:15" x14ac:dyDescent="0.2">
      <c r="A49" s="357"/>
      <c r="B49" s="358"/>
      <c r="C49" s="358"/>
      <c r="D49" s="358"/>
      <c r="E49" s="358"/>
      <c r="F49" s="358"/>
      <c r="G49" s="359"/>
      <c r="J49" s="351"/>
      <c r="K49" s="121" t="s">
        <v>277</v>
      </c>
      <c r="L49" s="121" t="e">
        <f>AVERAGE(L37:L48)</f>
        <v>#DIV/0!</v>
      </c>
      <c r="M49" s="121">
        <f>MAX(M37:M48)</f>
        <v>0</v>
      </c>
      <c r="N49" s="121" t="e">
        <f>AVERAGE(N37:N48)</f>
        <v>#DIV/0!</v>
      </c>
      <c r="O49" s="121">
        <f>MAX(O37:O48)</f>
        <v>0</v>
      </c>
    </row>
    <row r="50" spans="1:15" x14ac:dyDescent="0.2">
      <c r="A50" s="360"/>
      <c r="B50" s="361"/>
      <c r="C50" s="361"/>
      <c r="D50" s="361"/>
      <c r="E50" s="361"/>
      <c r="F50" s="361"/>
      <c r="G50" s="362"/>
    </row>
    <row r="51" spans="1:15" ht="30" x14ac:dyDescent="0.2">
      <c r="A51" s="360"/>
      <c r="B51" s="361"/>
      <c r="C51" s="361"/>
      <c r="D51" s="361"/>
      <c r="E51" s="361"/>
      <c r="F51" s="361"/>
      <c r="G51" s="362"/>
      <c r="J51" s="120">
        <f>+A6</f>
        <v>2022</v>
      </c>
      <c r="K51" s="120" t="s">
        <v>275</v>
      </c>
      <c r="L51" s="126" t="s">
        <v>174</v>
      </c>
      <c r="M51" s="126" t="s">
        <v>175</v>
      </c>
      <c r="N51" s="126" t="s">
        <v>177</v>
      </c>
      <c r="O51" s="126" t="s">
        <v>178</v>
      </c>
    </row>
    <row r="52" spans="1:15" x14ac:dyDescent="0.2">
      <c r="A52" s="363"/>
      <c r="B52" s="364"/>
      <c r="C52" s="364"/>
      <c r="D52" s="364"/>
      <c r="E52" s="364"/>
      <c r="F52" s="364"/>
      <c r="G52" s="365"/>
      <c r="J52" s="351" t="s">
        <v>125</v>
      </c>
      <c r="K52" s="125" t="s">
        <v>179</v>
      </c>
      <c r="L52" s="123"/>
      <c r="M52" s="123"/>
      <c r="N52" s="123"/>
      <c r="O52" s="123"/>
    </row>
    <row r="53" spans="1:15" x14ac:dyDescent="0.2">
      <c r="J53" s="351"/>
      <c r="K53" s="125" t="s">
        <v>180</v>
      </c>
      <c r="L53" s="123"/>
      <c r="M53" s="123"/>
      <c r="N53" s="123"/>
      <c r="O53" s="123"/>
    </row>
    <row r="54" spans="1:15" x14ac:dyDescent="0.2">
      <c r="J54" s="351"/>
      <c r="K54" s="125" t="s">
        <v>181</v>
      </c>
      <c r="L54" s="123"/>
      <c r="M54" s="123"/>
      <c r="N54" s="123"/>
      <c r="O54" s="123"/>
    </row>
    <row r="55" spans="1:15" x14ac:dyDescent="0.2">
      <c r="J55" s="351"/>
      <c r="K55" s="125" t="s">
        <v>182</v>
      </c>
      <c r="L55" s="123"/>
      <c r="M55" s="123"/>
      <c r="N55" s="123"/>
      <c r="O55" s="123"/>
    </row>
    <row r="56" spans="1:15" x14ac:dyDescent="0.2">
      <c r="J56" s="351"/>
      <c r="K56" s="125" t="s">
        <v>183</v>
      </c>
      <c r="L56" s="123"/>
      <c r="M56" s="123"/>
      <c r="N56" s="123"/>
      <c r="O56" s="123"/>
    </row>
    <row r="57" spans="1:15" x14ac:dyDescent="0.2">
      <c r="J57" s="351"/>
      <c r="K57" s="125" t="s">
        <v>184</v>
      </c>
      <c r="L57" s="123"/>
      <c r="M57" s="123"/>
      <c r="N57" s="123"/>
      <c r="O57" s="123"/>
    </row>
    <row r="58" spans="1:15" x14ac:dyDescent="0.2">
      <c r="J58" s="351"/>
      <c r="K58" s="125" t="s">
        <v>185</v>
      </c>
      <c r="L58" s="123"/>
      <c r="M58" s="123"/>
      <c r="N58" s="123"/>
      <c r="O58" s="123"/>
    </row>
    <row r="59" spans="1:15" x14ac:dyDescent="0.2">
      <c r="J59" s="351"/>
      <c r="K59" s="125" t="s">
        <v>186</v>
      </c>
      <c r="L59" s="123"/>
      <c r="M59" s="123"/>
      <c r="N59" s="123"/>
      <c r="O59" s="123"/>
    </row>
    <row r="60" spans="1:15" x14ac:dyDescent="0.2">
      <c r="J60" s="351"/>
      <c r="K60" s="125" t="s">
        <v>187</v>
      </c>
      <c r="L60" s="123"/>
      <c r="M60" s="123"/>
      <c r="N60" s="123"/>
      <c r="O60" s="123"/>
    </row>
    <row r="61" spans="1:15" x14ac:dyDescent="0.2">
      <c r="J61" s="351"/>
      <c r="K61" s="125" t="s">
        <v>188</v>
      </c>
      <c r="L61" s="123"/>
      <c r="M61" s="123"/>
      <c r="N61" s="123"/>
      <c r="O61" s="123"/>
    </row>
    <row r="62" spans="1:15" x14ac:dyDescent="0.2">
      <c r="J62" s="351"/>
      <c r="K62" s="125" t="s">
        <v>189</v>
      </c>
      <c r="L62" s="123"/>
      <c r="M62" s="123"/>
      <c r="N62" s="123"/>
      <c r="O62" s="123"/>
    </row>
    <row r="63" spans="1:15" x14ac:dyDescent="0.2">
      <c r="J63" s="351"/>
      <c r="K63" s="125" t="s">
        <v>190</v>
      </c>
      <c r="L63" s="123"/>
      <c r="M63" s="123"/>
      <c r="N63" s="123"/>
      <c r="O63" s="123"/>
    </row>
    <row r="64" spans="1:15" x14ac:dyDescent="0.2">
      <c r="J64" s="351"/>
      <c r="K64" s="121" t="s">
        <v>277</v>
      </c>
      <c r="L64" s="121" t="e">
        <f>AVERAGE(L52:L63)</f>
        <v>#DIV/0!</v>
      </c>
      <c r="M64" s="121">
        <f>MAX(M52:M63)</f>
        <v>0</v>
      </c>
      <c r="N64" s="121" t="e">
        <f>AVERAGE(N52:N63)</f>
        <v>#DIV/0!</v>
      </c>
      <c r="O64" s="121">
        <f>MAX(O52:O63)</f>
        <v>0</v>
      </c>
    </row>
    <row r="66" spans="10:15" ht="30" x14ac:dyDescent="0.2">
      <c r="J66" s="120">
        <f>+A6</f>
        <v>2022</v>
      </c>
      <c r="K66" s="120" t="s">
        <v>275</v>
      </c>
      <c r="L66" s="126" t="s">
        <v>174</v>
      </c>
      <c r="M66" s="126" t="s">
        <v>175</v>
      </c>
      <c r="N66" s="126" t="s">
        <v>177</v>
      </c>
      <c r="O66" s="126" t="s">
        <v>178</v>
      </c>
    </row>
    <row r="67" spans="10:15" x14ac:dyDescent="0.2">
      <c r="J67" s="351" t="s">
        <v>126</v>
      </c>
      <c r="K67" s="125" t="s">
        <v>179</v>
      </c>
      <c r="L67" s="123"/>
      <c r="M67" s="123"/>
      <c r="N67" s="123"/>
      <c r="O67" s="123"/>
    </row>
    <row r="68" spans="10:15" x14ac:dyDescent="0.2">
      <c r="J68" s="351"/>
      <c r="K68" s="125" t="s">
        <v>180</v>
      </c>
      <c r="L68" s="123"/>
      <c r="M68" s="123"/>
      <c r="N68" s="123"/>
      <c r="O68" s="123"/>
    </row>
    <row r="69" spans="10:15" x14ac:dyDescent="0.2">
      <c r="J69" s="351"/>
      <c r="K69" s="125" t="s">
        <v>181</v>
      </c>
      <c r="L69" s="123"/>
      <c r="M69" s="123"/>
      <c r="N69" s="123"/>
      <c r="O69" s="123"/>
    </row>
    <row r="70" spans="10:15" x14ac:dyDescent="0.2">
      <c r="J70" s="351"/>
      <c r="K70" s="125" t="s">
        <v>182</v>
      </c>
      <c r="L70" s="123"/>
      <c r="M70" s="123"/>
      <c r="N70" s="123"/>
      <c r="O70" s="123"/>
    </row>
    <row r="71" spans="10:15" x14ac:dyDescent="0.2">
      <c r="J71" s="351"/>
      <c r="K71" s="125" t="s">
        <v>183</v>
      </c>
      <c r="L71" s="123"/>
      <c r="M71" s="123"/>
      <c r="N71" s="123"/>
      <c r="O71" s="123"/>
    </row>
    <row r="72" spans="10:15" x14ac:dyDescent="0.2">
      <c r="J72" s="351"/>
      <c r="K72" s="125" t="s">
        <v>184</v>
      </c>
      <c r="L72" s="123"/>
      <c r="M72" s="123"/>
      <c r="N72" s="123"/>
      <c r="O72" s="123"/>
    </row>
    <row r="73" spans="10:15" x14ac:dyDescent="0.2">
      <c r="J73" s="351"/>
      <c r="K73" s="125" t="s">
        <v>185</v>
      </c>
      <c r="L73" s="123"/>
      <c r="M73" s="123"/>
      <c r="N73" s="123"/>
      <c r="O73" s="123"/>
    </row>
    <row r="74" spans="10:15" x14ac:dyDescent="0.2">
      <c r="J74" s="351"/>
      <c r="K74" s="125" t="s">
        <v>186</v>
      </c>
      <c r="L74" s="123"/>
      <c r="M74" s="123"/>
      <c r="N74" s="123"/>
      <c r="O74" s="123"/>
    </row>
    <row r="75" spans="10:15" x14ac:dyDescent="0.2">
      <c r="J75" s="351"/>
      <c r="K75" s="125" t="s">
        <v>187</v>
      </c>
      <c r="L75" s="123"/>
      <c r="M75" s="123"/>
      <c r="N75" s="123"/>
      <c r="O75" s="123"/>
    </row>
    <row r="76" spans="10:15" x14ac:dyDescent="0.2">
      <c r="J76" s="351"/>
      <c r="K76" s="125" t="s">
        <v>188</v>
      </c>
      <c r="L76" s="123"/>
      <c r="M76" s="123"/>
      <c r="N76" s="123"/>
      <c r="O76" s="123"/>
    </row>
    <row r="77" spans="10:15" x14ac:dyDescent="0.2">
      <c r="J77" s="351"/>
      <c r="K77" s="125" t="s">
        <v>189</v>
      </c>
      <c r="L77" s="123"/>
      <c r="M77" s="123"/>
      <c r="N77" s="123"/>
      <c r="O77" s="123"/>
    </row>
    <row r="78" spans="10:15" x14ac:dyDescent="0.2">
      <c r="J78" s="351"/>
      <c r="K78" s="125" t="s">
        <v>190</v>
      </c>
      <c r="L78" s="123"/>
      <c r="M78" s="123"/>
      <c r="N78" s="123"/>
      <c r="O78" s="123"/>
    </row>
    <row r="79" spans="10:15" x14ac:dyDescent="0.2">
      <c r="J79" s="351"/>
      <c r="K79" s="121" t="s">
        <v>277</v>
      </c>
      <c r="L79" s="121" t="e">
        <f>AVERAGE(L67:L78)</f>
        <v>#DIV/0!</v>
      </c>
      <c r="M79" s="121">
        <f>MAX(M67:M78)</f>
        <v>0</v>
      </c>
      <c r="N79" s="121" t="e">
        <f>AVERAGE(N67:N78)</f>
        <v>#DIV/0!</v>
      </c>
      <c r="O79" s="121">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92D050"/>
    <pageSetUpPr fitToPage="1"/>
  </sheetPr>
  <dimension ref="A1:S79"/>
  <sheetViews>
    <sheetView showGridLines="0" zoomScaleNormal="100" workbookViewId="0">
      <selection activeCell="O27" sqref="O27"/>
    </sheetView>
  </sheetViews>
  <sheetFormatPr defaultRowHeight="14.25" x14ac:dyDescent="0.2"/>
  <cols>
    <col min="1" max="1" width="14" style="3" customWidth="1"/>
    <col min="2" max="4" width="17" style="75" customWidth="1"/>
    <col min="5" max="5" width="14.7109375" style="75" customWidth="1"/>
    <col min="6" max="7" width="17" style="7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Addenbrooke's Hospital  Incinerator</v>
      </c>
      <c r="F1" s="2"/>
      <c r="G1" s="2"/>
    </row>
    <row r="3" spans="1:19" ht="15" x14ac:dyDescent="0.25">
      <c r="A3" s="119" t="s">
        <v>278</v>
      </c>
      <c r="D3" s="145" t="s">
        <v>320</v>
      </c>
      <c r="G3" s="149" t="s">
        <v>328</v>
      </c>
      <c r="J3" s="11" t="str">
        <f>+A3</f>
        <v>Monitoring of Sulphur dioxide emissions</v>
      </c>
      <c r="L3" s="11"/>
      <c r="N3" s="11" t="s">
        <v>321</v>
      </c>
      <c r="Q3" s="148" t="s">
        <v>315</v>
      </c>
      <c r="R3" s="139"/>
      <c r="S3" s="139"/>
    </row>
    <row r="4" spans="1:19" ht="13.9" customHeight="1" x14ac:dyDescent="0.2">
      <c r="Q4" s="342" t="s">
        <v>326</v>
      </c>
      <c r="R4" s="342"/>
      <c r="S4" s="342"/>
    </row>
    <row r="5" spans="1:19" ht="17.25" x14ac:dyDescent="0.25">
      <c r="A5" s="127" t="s">
        <v>276</v>
      </c>
      <c r="B5" s="352" t="s">
        <v>274</v>
      </c>
      <c r="C5" s="352"/>
      <c r="D5" s="352"/>
      <c r="E5" s="352" t="s">
        <v>273</v>
      </c>
      <c r="F5" s="352"/>
      <c r="G5" s="352"/>
      <c r="J5" s="353"/>
      <c r="K5" s="353"/>
      <c r="L5" s="353"/>
      <c r="M5" s="353"/>
      <c r="N5" s="353"/>
      <c r="O5" s="353"/>
      <c r="Q5" s="342"/>
      <c r="R5" s="342"/>
      <c r="S5" s="342"/>
    </row>
    <row r="6" spans="1:19" s="117" customFormat="1" ht="37.5" customHeight="1" x14ac:dyDescent="0.25">
      <c r="A6" s="124">
        <v>2022</v>
      </c>
      <c r="B6" s="113" t="s">
        <v>191</v>
      </c>
      <c r="C6" s="113" t="s">
        <v>174</v>
      </c>
      <c r="D6" s="113" t="s">
        <v>340</v>
      </c>
      <c r="E6" s="113" t="s">
        <v>192</v>
      </c>
      <c r="F6" s="113" t="s">
        <v>177</v>
      </c>
      <c r="G6" s="113" t="s">
        <v>341</v>
      </c>
      <c r="H6" s="118"/>
      <c r="J6" s="120">
        <f>+A6</f>
        <v>2022</v>
      </c>
      <c r="K6" s="120" t="s">
        <v>275</v>
      </c>
      <c r="L6" s="126" t="s">
        <v>174</v>
      </c>
      <c r="M6" s="126" t="s">
        <v>175</v>
      </c>
      <c r="N6" s="126" t="s">
        <v>177</v>
      </c>
      <c r="O6" s="126" t="s">
        <v>178</v>
      </c>
      <c r="Q6" s="342"/>
      <c r="R6" s="342"/>
      <c r="S6" s="342"/>
    </row>
    <row r="7" spans="1:19" x14ac:dyDescent="0.2">
      <c r="A7" s="125" t="s">
        <v>179</v>
      </c>
      <c r="B7" s="122">
        <v>200</v>
      </c>
      <c r="C7" s="123">
        <v>7</v>
      </c>
      <c r="D7" s="123">
        <v>25.5</v>
      </c>
      <c r="E7" s="122">
        <v>50</v>
      </c>
      <c r="F7" s="123">
        <v>6.95</v>
      </c>
      <c r="G7" s="123">
        <v>8.9</v>
      </c>
      <c r="J7" s="351" t="s">
        <v>122</v>
      </c>
      <c r="K7" s="125" t="s">
        <v>179</v>
      </c>
      <c r="L7" s="123">
        <v>7</v>
      </c>
      <c r="M7" s="123">
        <v>25.5</v>
      </c>
      <c r="N7" s="123">
        <v>6.9</v>
      </c>
      <c r="O7" s="123">
        <v>8.9</v>
      </c>
      <c r="Q7" s="342"/>
      <c r="R7" s="342"/>
      <c r="S7" s="342"/>
    </row>
    <row r="8" spans="1:19" x14ac:dyDescent="0.2">
      <c r="A8" s="125" t="s">
        <v>180</v>
      </c>
      <c r="B8" s="122">
        <v>200</v>
      </c>
      <c r="C8" s="123">
        <v>7.65</v>
      </c>
      <c r="D8" s="123">
        <v>26.5</v>
      </c>
      <c r="E8" s="122">
        <v>50</v>
      </c>
      <c r="F8" s="123">
        <v>7.65</v>
      </c>
      <c r="G8" s="123">
        <v>9.9</v>
      </c>
      <c r="J8" s="351"/>
      <c r="K8" s="125" t="s">
        <v>180</v>
      </c>
      <c r="L8" s="123">
        <v>8.6</v>
      </c>
      <c r="M8" s="123">
        <v>25.9</v>
      </c>
      <c r="N8" s="123">
        <v>8.6</v>
      </c>
      <c r="O8" s="123">
        <v>9.9</v>
      </c>
      <c r="Q8" s="342"/>
      <c r="R8" s="342"/>
      <c r="S8" s="342"/>
    </row>
    <row r="9" spans="1:19" ht="15" x14ac:dyDescent="0.25">
      <c r="A9" s="125" t="s">
        <v>181</v>
      </c>
      <c r="B9" s="122">
        <v>200</v>
      </c>
      <c r="C9" s="123">
        <v>8.1999999999999993</v>
      </c>
      <c r="D9" s="123">
        <v>57.8</v>
      </c>
      <c r="E9" s="122">
        <v>50</v>
      </c>
      <c r="F9" s="123">
        <v>8</v>
      </c>
      <c r="G9" s="123">
        <v>11.8</v>
      </c>
      <c r="J9" s="351"/>
      <c r="K9" s="125" t="s">
        <v>181</v>
      </c>
      <c r="L9" s="123">
        <v>8.1999999999999993</v>
      </c>
      <c r="M9" s="123">
        <v>31.1</v>
      </c>
      <c r="N9" s="123">
        <v>8.1999999999999993</v>
      </c>
      <c r="O9" s="123">
        <v>11.8</v>
      </c>
      <c r="Q9" s="147" t="s">
        <v>327</v>
      </c>
    </row>
    <row r="10" spans="1:19" ht="14.25" customHeight="1" x14ac:dyDescent="0.2">
      <c r="A10" s="125" t="s">
        <v>182</v>
      </c>
      <c r="B10" s="122">
        <v>200</v>
      </c>
      <c r="C10" s="123">
        <v>7.75</v>
      </c>
      <c r="D10" s="123">
        <v>43.7</v>
      </c>
      <c r="E10" s="122">
        <v>50</v>
      </c>
      <c r="F10" s="123">
        <v>7.55</v>
      </c>
      <c r="G10" s="123">
        <v>12</v>
      </c>
      <c r="J10" s="351"/>
      <c r="K10" s="125" t="s">
        <v>182</v>
      </c>
      <c r="L10" s="123">
        <v>7.6</v>
      </c>
      <c r="M10" s="123">
        <v>38.6</v>
      </c>
      <c r="N10" s="123">
        <v>7.3</v>
      </c>
      <c r="O10" s="123">
        <v>12</v>
      </c>
      <c r="Q10" s="350" t="s">
        <v>347</v>
      </c>
      <c r="R10" s="350"/>
      <c r="S10" s="350"/>
    </row>
    <row r="11" spans="1:19" x14ac:dyDescent="0.2">
      <c r="A11" s="125" t="s">
        <v>183</v>
      </c>
      <c r="B11" s="122">
        <v>200</v>
      </c>
      <c r="C11" s="123">
        <v>7.05</v>
      </c>
      <c r="D11" s="123">
        <v>48.9</v>
      </c>
      <c r="E11" s="122">
        <v>50</v>
      </c>
      <c r="F11" s="123">
        <v>6.9</v>
      </c>
      <c r="G11" s="123">
        <v>11</v>
      </c>
      <c r="J11" s="351"/>
      <c r="K11" s="125" t="s">
        <v>183</v>
      </c>
      <c r="L11" s="123">
        <v>7.4</v>
      </c>
      <c r="M11" s="123">
        <v>48.9</v>
      </c>
      <c r="N11" s="123">
        <v>7.1</v>
      </c>
      <c r="O11" s="123">
        <v>11</v>
      </c>
      <c r="Q11" s="350"/>
      <c r="R11" s="350"/>
      <c r="S11" s="350"/>
    </row>
    <row r="12" spans="1:19" x14ac:dyDescent="0.2">
      <c r="A12" s="125" t="s">
        <v>184</v>
      </c>
      <c r="B12" s="122">
        <v>200</v>
      </c>
      <c r="C12" s="123">
        <v>7</v>
      </c>
      <c r="D12" s="123">
        <v>30.9</v>
      </c>
      <c r="E12" s="122">
        <v>50</v>
      </c>
      <c r="F12" s="123">
        <v>7</v>
      </c>
      <c r="G12" s="123">
        <v>8.4</v>
      </c>
      <c r="J12" s="351"/>
      <c r="K12" s="125" t="s">
        <v>184</v>
      </c>
      <c r="L12" s="123"/>
      <c r="M12" s="123"/>
      <c r="N12" s="123"/>
      <c r="O12" s="123"/>
      <c r="Q12" s="350"/>
      <c r="R12" s="350"/>
      <c r="S12" s="350"/>
    </row>
    <row r="13" spans="1:19" ht="14.25" customHeight="1" x14ac:dyDescent="0.2">
      <c r="A13" s="125" t="s">
        <v>185</v>
      </c>
      <c r="B13" s="122">
        <v>200</v>
      </c>
      <c r="C13" s="123">
        <v>6.5</v>
      </c>
      <c r="D13" s="123">
        <v>22</v>
      </c>
      <c r="E13" s="122">
        <v>50</v>
      </c>
      <c r="F13" s="123">
        <v>6.4</v>
      </c>
      <c r="G13" s="123">
        <v>8.3000000000000007</v>
      </c>
      <c r="J13" s="351"/>
      <c r="K13" s="125" t="s">
        <v>185</v>
      </c>
      <c r="L13" s="123">
        <v>6.4</v>
      </c>
      <c r="M13" s="123">
        <v>12.3</v>
      </c>
      <c r="N13" s="123">
        <v>6.3</v>
      </c>
      <c r="O13" s="123">
        <v>7.3</v>
      </c>
      <c r="Q13" s="350" t="s">
        <v>353</v>
      </c>
      <c r="R13" s="350"/>
      <c r="S13" s="350"/>
    </row>
    <row r="14" spans="1:19" x14ac:dyDescent="0.2">
      <c r="A14" s="125" t="s">
        <v>186</v>
      </c>
      <c r="B14" s="122">
        <v>200</v>
      </c>
      <c r="C14" s="123">
        <v>6.8</v>
      </c>
      <c r="D14" s="123">
        <v>23.5</v>
      </c>
      <c r="E14" s="122">
        <v>50</v>
      </c>
      <c r="F14" s="123">
        <v>6.8</v>
      </c>
      <c r="G14" s="123">
        <v>10.3</v>
      </c>
      <c r="J14" s="351"/>
      <c r="K14" s="125" t="s">
        <v>186</v>
      </c>
      <c r="L14" s="123">
        <v>7.2</v>
      </c>
      <c r="M14" s="123">
        <v>23.5</v>
      </c>
      <c r="N14" s="123">
        <v>7.2</v>
      </c>
      <c r="O14" s="123">
        <v>10.3</v>
      </c>
      <c r="Q14" s="350"/>
      <c r="R14" s="350"/>
      <c r="S14" s="350"/>
    </row>
    <row r="15" spans="1:19" x14ac:dyDescent="0.2">
      <c r="A15" s="125" t="s">
        <v>187</v>
      </c>
      <c r="B15" s="122">
        <v>200</v>
      </c>
      <c r="C15" s="123">
        <v>6.15</v>
      </c>
      <c r="D15" s="123">
        <v>20.3</v>
      </c>
      <c r="E15" s="122">
        <v>50</v>
      </c>
      <c r="F15" s="123">
        <v>6.15</v>
      </c>
      <c r="G15" s="123">
        <v>8.1</v>
      </c>
      <c r="J15" s="351"/>
      <c r="K15" s="125" t="s">
        <v>187</v>
      </c>
      <c r="L15" s="123">
        <v>6.1</v>
      </c>
      <c r="M15" s="123">
        <v>11.4</v>
      </c>
      <c r="N15" s="123">
        <v>6.1</v>
      </c>
      <c r="O15" s="123">
        <v>7.9</v>
      </c>
      <c r="Q15" s="350"/>
      <c r="R15" s="350"/>
      <c r="S15" s="350"/>
    </row>
    <row r="16" spans="1:19" x14ac:dyDescent="0.2">
      <c r="A16" s="125" t="s">
        <v>188</v>
      </c>
      <c r="B16" s="122">
        <v>200</v>
      </c>
      <c r="C16" s="123">
        <v>10.85</v>
      </c>
      <c r="D16" s="123">
        <v>38.700000000000003</v>
      </c>
      <c r="E16" s="122">
        <v>50</v>
      </c>
      <c r="F16" s="123">
        <v>10.8</v>
      </c>
      <c r="G16" s="123">
        <v>26.6</v>
      </c>
      <c r="J16" s="351"/>
      <c r="K16" s="125" t="s">
        <v>188</v>
      </c>
      <c r="L16" s="123">
        <v>14.9</v>
      </c>
      <c r="M16" s="123">
        <v>38.700000000000003</v>
      </c>
      <c r="N16" s="123">
        <v>15</v>
      </c>
      <c r="O16" s="123">
        <v>26.6</v>
      </c>
      <c r="Q16" s="350"/>
      <c r="R16" s="350"/>
      <c r="S16" s="350"/>
    </row>
    <row r="17" spans="1:15" x14ac:dyDescent="0.2">
      <c r="A17" s="125" t="s">
        <v>189</v>
      </c>
      <c r="B17" s="122">
        <v>200</v>
      </c>
      <c r="C17" s="123">
        <v>14.45</v>
      </c>
      <c r="D17" s="123">
        <v>41.3</v>
      </c>
      <c r="E17" s="122">
        <v>50</v>
      </c>
      <c r="F17" s="123">
        <v>14.4</v>
      </c>
      <c r="G17" s="123">
        <v>27.6</v>
      </c>
      <c r="J17" s="351"/>
      <c r="K17" s="125" t="s">
        <v>189</v>
      </c>
      <c r="L17" s="123">
        <v>21.8</v>
      </c>
      <c r="M17" s="123">
        <v>41.3</v>
      </c>
      <c r="N17" s="123">
        <v>21.6</v>
      </c>
      <c r="O17" s="123">
        <v>27.6</v>
      </c>
    </row>
    <row r="18" spans="1:15" x14ac:dyDescent="0.2">
      <c r="A18" s="125" t="s">
        <v>190</v>
      </c>
      <c r="B18" s="122">
        <v>200</v>
      </c>
      <c r="C18" s="123">
        <v>15.3</v>
      </c>
      <c r="D18" s="123">
        <v>50.4</v>
      </c>
      <c r="E18" s="122">
        <v>50</v>
      </c>
      <c r="F18" s="123">
        <v>15.2</v>
      </c>
      <c r="G18" s="123">
        <v>32.799999999999997</v>
      </c>
      <c r="J18" s="351"/>
      <c r="K18" s="125" t="s">
        <v>190</v>
      </c>
      <c r="L18" s="123">
        <v>23.8</v>
      </c>
      <c r="M18" s="123">
        <v>50.4</v>
      </c>
      <c r="N18" s="123">
        <v>23.7</v>
      </c>
      <c r="O18" s="123">
        <v>32.799999999999997</v>
      </c>
    </row>
    <row r="19" spans="1:15" x14ac:dyDescent="0.2">
      <c r="J19" s="351"/>
      <c r="K19" s="121" t="s">
        <v>277</v>
      </c>
      <c r="L19" s="121">
        <f>AVERAGE(L7:L18)</f>
        <v>10.818181818181818</v>
      </c>
      <c r="M19" s="121">
        <f>MAX(M7:M18)</f>
        <v>50.4</v>
      </c>
      <c r="N19" s="121">
        <f>AVERAGE(N7:N18)</f>
        <v>10.727272727272728</v>
      </c>
      <c r="O19" s="121">
        <f>MAX(O7:O18)</f>
        <v>32.799999999999997</v>
      </c>
    </row>
    <row r="21" spans="1:15" ht="30" x14ac:dyDescent="0.2">
      <c r="J21" s="120">
        <f>+A6</f>
        <v>2022</v>
      </c>
      <c r="K21" s="120" t="s">
        <v>275</v>
      </c>
      <c r="L21" s="126" t="s">
        <v>174</v>
      </c>
      <c r="M21" s="126" t="s">
        <v>175</v>
      </c>
      <c r="N21" s="126" t="s">
        <v>177</v>
      </c>
      <c r="O21" s="126" t="s">
        <v>178</v>
      </c>
    </row>
    <row r="22" spans="1:15" x14ac:dyDescent="0.2">
      <c r="J22" s="351" t="s">
        <v>123</v>
      </c>
      <c r="K22" s="125" t="s">
        <v>179</v>
      </c>
      <c r="L22" s="123">
        <v>7</v>
      </c>
      <c r="M22" s="123">
        <v>25.1</v>
      </c>
      <c r="N22" s="123">
        <v>7</v>
      </c>
      <c r="O22" s="123">
        <v>8</v>
      </c>
    </row>
    <row r="23" spans="1:15" x14ac:dyDescent="0.2">
      <c r="J23" s="351"/>
      <c r="K23" s="125" t="s">
        <v>180</v>
      </c>
      <c r="L23" s="123">
        <v>6.7</v>
      </c>
      <c r="M23" s="123">
        <v>26.5</v>
      </c>
      <c r="N23" s="123">
        <v>6.7</v>
      </c>
      <c r="O23" s="123">
        <v>9.6</v>
      </c>
    </row>
    <row r="24" spans="1:15" x14ac:dyDescent="0.2">
      <c r="J24" s="351"/>
      <c r="K24" s="125" t="s">
        <v>181</v>
      </c>
      <c r="L24" s="123">
        <v>8.1999999999999993</v>
      </c>
      <c r="M24" s="123">
        <v>57.8</v>
      </c>
      <c r="N24" s="123">
        <v>7.8</v>
      </c>
      <c r="O24" s="123">
        <v>10</v>
      </c>
    </row>
    <row r="25" spans="1:15" x14ac:dyDescent="0.2">
      <c r="J25" s="351"/>
      <c r="K25" s="125" t="s">
        <v>182</v>
      </c>
      <c r="L25" s="123">
        <v>7.9</v>
      </c>
      <c r="M25" s="123">
        <v>43.7</v>
      </c>
      <c r="N25" s="123">
        <v>7.8</v>
      </c>
      <c r="O25" s="123">
        <v>11.5</v>
      </c>
    </row>
    <row r="26" spans="1:15" x14ac:dyDescent="0.2">
      <c r="J26" s="351"/>
      <c r="K26" s="125" t="s">
        <v>183</v>
      </c>
      <c r="L26" s="123">
        <v>6.7</v>
      </c>
      <c r="M26" s="123">
        <v>31</v>
      </c>
      <c r="N26" s="123">
        <v>6.7</v>
      </c>
      <c r="O26" s="123">
        <v>8.4</v>
      </c>
    </row>
    <row r="27" spans="1:15" x14ac:dyDescent="0.2">
      <c r="J27" s="351"/>
      <c r="K27" s="125" t="s">
        <v>184</v>
      </c>
      <c r="L27" s="123">
        <v>7</v>
      </c>
      <c r="M27" s="123">
        <v>30.9</v>
      </c>
      <c r="N27" s="123">
        <v>7</v>
      </c>
      <c r="O27" s="123">
        <v>8.4</v>
      </c>
    </row>
    <row r="28" spans="1:15" x14ac:dyDescent="0.2">
      <c r="J28" s="351"/>
      <c r="K28" s="125" t="s">
        <v>185</v>
      </c>
      <c r="L28" s="123">
        <v>6.6</v>
      </c>
      <c r="M28" s="123">
        <v>22</v>
      </c>
      <c r="N28" s="123">
        <v>6.5</v>
      </c>
      <c r="O28" s="123">
        <v>8.3000000000000007</v>
      </c>
    </row>
    <row r="29" spans="1:15" x14ac:dyDescent="0.2">
      <c r="J29" s="351"/>
      <c r="K29" s="125" t="s">
        <v>186</v>
      </c>
      <c r="L29" s="123">
        <v>6.4</v>
      </c>
      <c r="M29" s="123">
        <v>17.7</v>
      </c>
      <c r="N29" s="123">
        <v>6.4</v>
      </c>
      <c r="O29" s="123">
        <v>7.4</v>
      </c>
    </row>
    <row r="30" spans="1:15" x14ac:dyDescent="0.2">
      <c r="J30" s="351"/>
      <c r="K30" s="125" t="s">
        <v>187</v>
      </c>
      <c r="L30" s="123">
        <v>6.2</v>
      </c>
      <c r="M30" s="123">
        <v>20.3</v>
      </c>
      <c r="N30" s="123">
        <v>6.2</v>
      </c>
      <c r="O30" s="123">
        <v>8.1</v>
      </c>
    </row>
    <row r="31" spans="1:15" x14ac:dyDescent="0.2">
      <c r="J31" s="351"/>
      <c r="K31" s="125" t="s">
        <v>188</v>
      </c>
      <c r="L31" s="123">
        <v>6.8</v>
      </c>
      <c r="M31" s="123">
        <v>24.9</v>
      </c>
      <c r="N31" s="123">
        <v>6.6</v>
      </c>
      <c r="O31" s="123">
        <v>9.5</v>
      </c>
    </row>
    <row r="32" spans="1:15" x14ac:dyDescent="0.2">
      <c r="J32" s="351"/>
      <c r="K32" s="125" t="s">
        <v>189</v>
      </c>
      <c r="L32" s="123">
        <v>7.1</v>
      </c>
      <c r="M32" s="123">
        <v>35.6</v>
      </c>
      <c r="N32" s="123">
        <v>7.2</v>
      </c>
      <c r="O32" s="123">
        <v>14.1</v>
      </c>
    </row>
    <row r="33" spans="1:15" x14ac:dyDescent="0.2">
      <c r="J33" s="351"/>
      <c r="K33" s="125" t="s">
        <v>190</v>
      </c>
      <c r="L33" s="123">
        <v>6.8</v>
      </c>
      <c r="M33" s="123">
        <v>24.7</v>
      </c>
      <c r="N33" s="123">
        <v>6.7</v>
      </c>
      <c r="O33" s="123">
        <v>8.6999999999999993</v>
      </c>
    </row>
    <row r="34" spans="1:15" x14ac:dyDescent="0.2">
      <c r="J34" s="351"/>
      <c r="K34" s="121" t="s">
        <v>277</v>
      </c>
      <c r="L34" s="121">
        <f>AVERAGE(L22:L33)</f>
        <v>6.9499999999999993</v>
      </c>
      <c r="M34" s="121">
        <f>MAX(M22:M33)</f>
        <v>57.8</v>
      </c>
      <c r="N34" s="121">
        <f>AVERAGE(N22:N33)</f>
        <v>6.8833333333333337</v>
      </c>
      <c r="O34" s="121">
        <f>MAX(O22:O33)</f>
        <v>14.1</v>
      </c>
    </row>
    <row r="36" spans="1:15" ht="30" x14ac:dyDescent="0.2">
      <c r="J36" s="120">
        <f>+A6</f>
        <v>2022</v>
      </c>
      <c r="K36" s="120" t="s">
        <v>275</v>
      </c>
      <c r="L36" s="126" t="s">
        <v>174</v>
      </c>
      <c r="M36" s="126" t="s">
        <v>175</v>
      </c>
      <c r="N36" s="126" t="s">
        <v>177</v>
      </c>
      <c r="O36" s="126" t="s">
        <v>178</v>
      </c>
    </row>
    <row r="37" spans="1:15" x14ac:dyDescent="0.2">
      <c r="J37" s="351" t="s">
        <v>124</v>
      </c>
      <c r="K37" s="125" t="s">
        <v>179</v>
      </c>
      <c r="L37" s="123"/>
      <c r="M37" s="123"/>
      <c r="N37" s="123"/>
      <c r="O37" s="123"/>
    </row>
    <row r="38" spans="1:15" x14ac:dyDescent="0.2">
      <c r="J38" s="351"/>
      <c r="K38" s="125" t="s">
        <v>180</v>
      </c>
      <c r="L38" s="123"/>
      <c r="M38" s="123"/>
      <c r="N38" s="123"/>
      <c r="O38" s="123"/>
    </row>
    <row r="39" spans="1:15" x14ac:dyDescent="0.2">
      <c r="J39" s="351"/>
      <c r="K39" s="125" t="s">
        <v>181</v>
      </c>
      <c r="L39" s="123"/>
      <c r="M39" s="123"/>
      <c r="N39" s="123"/>
      <c r="O39" s="123"/>
    </row>
    <row r="40" spans="1:15" x14ac:dyDescent="0.2">
      <c r="J40" s="351"/>
      <c r="K40" s="125" t="s">
        <v>182</v>
      </c>
      <c r="L40" s="123"/>
      <c r="M40" s="123"/>
      <c r="N40" s="123"/>
      <c r="O40" s="123"/>
    </row>
    <row r="41" spans="1:15" x14ac:dyDescent="0.2">
      <c r="J41" s="351"/>
      <c r="K41" s="125" t="s">
        <v>183</v>
      </c>
      <c r="L41" s="123"/>
      <c r="M41" s="123"/>
      <c r="N41" s="123"/>
      <c r="O41" s="123"/>
    </row>
    <row r="42" spans="1:15" x14ac:dyDescent="0.2">
      <c r="J42" s="351"/>
      <c r="K42" s="125" t="s">
        <v>184</v>
      </c>
      <c r="L42" s="123"/>
      <c r="M42" s="123"/>
      <c r="N42" s="123"/>
      <c r="O42" s="123"/>
    </row>
    <row r="43" spans="1:15" x14ac:dyDescent="0.2">
      <c r="J43" s="351"/>
      <c r="K43" s="125" t="s">
        <v>185</v>
      </c>
      <c r="L43" s="123"/>
      <c r="M43" s="123"/>
      <c r="N43" s="123"/>
      <c r="O43" s="123"/>
    </row>
    <row r="44" spans="1:15" x14ac:dyDescent="0.2">
      <c r="J44" s="351"/>
      <c r="K44" s="125" t="s">
        <v>186</v>
      </c>
      <c r="L44" s="123"/>
      <c r="M44" s="123"/>
      <c r="N44" s="123"/>
      <c r="O44" s="123"/>
    </row>
    <row r="45" spans="1:15" x14ac:dyDescent="0.2">
      <c r="J45" s="351"/>
      <c r="K45" s="125" t="s">
        <v>187</v>
      </c>
      <c r="L45" s="123"/>
      <c r="M45" s="123"/>
      <c r="N45" s="123"/>
      <c r="O45" s="123"/>
    </row>
    <row r="46" spans="1:15" x14ac:dyDescent="0.2">
      <c r="J46" s="351"/>
      <c r="K46" s="125" t="s">
        <v>188</v>
      </c>
      <c r="L46" s="123"/>
      <c r="M46" s="123"/>
      <c r="N46" s="123"/>
      <c r="O46" s="123"/>
    </row>
    <row r="47" spans="1:15" x14ac:dyDescent="0.2">
      <c r="J47" s="351"/>
      <c r="K47" s="125" t="s">
        <v>189</v>
      </c>
      <c r="L47" s="123"/>
      <c r="M47" s="123"/>
      <c r="N47" s="123"/>
      <c r="O47" s="123"/>
    </row>
    <row r="48" spans="1:15" ht="15" x14ac:dyDescent="0.2">
      <c r="A48" s="354" t="s">
        <v>223</v>
      </c>
      <c r="B48" s="355"/>
      <c r="C48" s="355"/>
      <c r="D48" s="355"/>
      <c r="E48" s="355"/>
      <c r="F48" s="355"/>
      <c r="G48" s="356"/>
      <c r="J48" s="351"/>
      <c r="K48" s="125" t="s">
        <v>190</v>
      </c>
      <c r="L48" s="123"/>
      <c r="M48" s="123"/>
      <c r="N48" s="123"/>
      <c r="O48" s="123"/>
    </row>
    <row r="49" spans="1:15" x14ac:dyDescent="0.2">
      <c r="A49" s="357"/>
      <c r="B49" s="358"/>
      <c r="C49" s="358"/>
      <c r="D49" s="358"/>
      <c r="E49" s="358"/>
      <c r="F49" s="358"/>
      <c r="G49" s="359"/>
      <c r="J49" s="351"/>
      <c r="K49" s="121" t="s">
        <v>277</v>
      </c>
      <c r="L49" s="121" t="e">
        <f>AVERAGE(L37:L48)</f>
        <v>#DIV/0!</v>
      </c>
      <c r="M49" s="121">
        <f>MAX(M37:M48)</f>
        <v>0</v>
      </c>
      <c r="N49" s="121" t="e">
        <f>AVERAGE(N37:N48)</f>
        <v>#DIV/0!</v>
      </c>
      <c r="O49" s="121">
        <f>MAX(O37:O48)</f>
        <v>0</v>
      </c>
    </row>
    <row r="50" spans="1:15" x14ac:dyDescent="0.2">
      <c r="A50" s="360"/>
      <c r="B50" s="361"/>
      <c r="C50" s="361"/>
      <c r="D50" s="361"/>
      <c r="E50" s="361"/>
      <c r="F50" s="361"/>
      <c r="G50" s="362"/>
    </row>
    <row r="51" spans="1:15" ht="30" x14ac:dyDescent="0.2">
      <c r="A51" s="360"/>
      <c r="B51" s="361"/>
      <c r="C51" s="361"/>
      <c r="D51" s="361"/>
      <c r="E51" s="361"/>
      <c r="F51" s="361"/>
      <c r="G51" s="362"/>
      <c r="J51" s="120">
        <f>+A6</f>
        <v>2022</v>
      </c>
      <c r="K51" s="120" t="s">
        <v>275</v>
      </c>
      <c r="L51" s="126" t="s">
        <v>174</v>
      </c>
      <c r="M51" s="126" t="s">
        <v>175</v>
      </c>
      <c r="N51" s="126" t="s">
        <v>177</v>
      </c>
      <c r="O51" s="126" t="s">
        <v>178</v>
      </c>
    </row>
    <row r="52" spans="1:15" x14ac:dyDescent="0.2">
      <c r="A52" s="363"/>
      <c r="B52" s="364"/>
      <c r="C52" s="364"/>
      <c r="D52" s="364"/>
      <c r="E52" s="364"/>
      <c r="F52" s="364"/>
      <c r="G52" s="365"/>
      <c r="J52" s="351" t="s">
        <v>125</v>
      </c>
      <c r="K52" s="125" t="s">
        <v>179</v>
      </c>
      <c r="L52" s="123"/>
      <c r="M52" s="123"/>
      <c r="N52" s="123"/>
      <c r="O52" s="123"/>
    </row>
    <row r="53" spans="1:15" x14ac:dyDescent="0.2">
      <c r="J53" s="351"/>
      <c r="K53" s="125" t="s">
        <v>180</v>
      </c>
      <c r="L53" s="123"/>
      <c r="M53" s="123"/>
      <c r="N53" s="123"/>
      <c r="O53" s="123"/>
    </row>
    <row r="54" spans="1:15" x14ac:dyDescent="0.2">
      <c r="J54" s="351"/>
      <c r="K54" s="125" t="s">
        <v>181</v>
      </c>
      <c r="L54" s="123"/>
      <c r="M54" s="123"/>
      <c r="N54" s="123"/>
      <c r="O54" s="123"/>
    </row>
    <row r="55" spans="1:15" x14ac:dyDescent="0.2">
      <c r="J55" s="351"/>
      <c r="K55" s="125" t="s">
        <v>182</v>
      </c>
      <c r="L55" s="123"/>
      <c r="M55" s="123"/>
      <c r="N55" s="123"/>
      <c r="O55" s="123"/>
    </row>
    <row r="56" spans="1:15" x14ac:dyDescent="0.2">
      <c r="J56" s="351"/>
      <c r="K56" s="125" t="s">
        <v>183</v>
      </c>
      <c r="L56" s="123"/>
      <c r="M56" s="123"/>
      <c r="N56" s="123"/>
      <c r="O56" s="123"/>
    </row>
    <row r="57" spans="1:15" x14ac:dyDescent="0.2">
      <c r="J57" s="351"/>
      <c r="K57" s="125" t="s">
        <v>184</v>
      </c>
      <c r="L57" s="123"/>
      <c r="M57" s="123"/>
      <c r="N57" s="123"/>
      <c r="O57" s="123"/>
    </row>
    <row r="58" spans="1:15" x14ac:dyDescent="0.2">
      <c r="J58" s="351"/>
      <c r="K58" s="125" t="s">
        <v>185</v>
      </c>
      <c r="L58" s="123"/>
      <c r="M58" s="123"/>
      <c r="N58" s="123"/>
      <c r="O58" s="123"/>
    </row>
    <row r="59" spans="1:15" x14ac:dyDescent="0.2">
      <c r="J59" s="351"/>
      <c r="K59" s="125" t="s">
        <v>186</v>
      </c>
      <c r="L59" s="123"/>
      <c r="M59" s="123"/>
      <c r="N59" s="123"/>
      <c r="O59" s="123"/>
    </row>
    <row r="60" spans="1:15" x14ac:dyDescent="0.2">
      <c r="J60" s="351"/>
      <c r="K60" s="125" t="s">
        <v>187</v>
      </c>
      <c r="L60" s="123"/>
      <c r="M60" s="123"/>
      <c r="N60" s="123"/>
      <c r="O60" s="123"/>
    </row>
    <row r="61" spans="1:15" x14ac:dyDescent="0.2">
      <c r="J61" s="351"/>
      <c r="K61" s="125" t="s">
        <v>188</v>
      </c>
      <c r="L61" s="123"/>
      <c r="M61" s="123"/>
      <c r="N61" s="123"/>
      <c r="O61" s="123"/>
    </row>
    <row r="62" spans="1:15" x14ac:dyDescent="0.2">
      <c r="J62" s="351"/>
      <c r="K62" s="125" t="s">
        <v>189</v>
      </c>
      <c r="L62" s="123"/>
      <c r="M62" s="123"/>
      <c r="N62" s="123"/>
      <c r="O62" s="123"/>
    </row>
    <row r="63" spans="1:15" x14ac:dyDescent="0.2">
      <c r="J63" s="351"/>
      <c r="K63" s="125" t="s">
        <v>190</v>
      </c>
      <c r="L63" s="123"/>
      <c r="M63" s="123"/>
      <c r="N63" s="123"/>
      <c r="O63" s="123"/>
    </row>
    <row r="64" spans="1:15" x14ac:dyDescent="0.2">
      <c r="J64" s="351"/>
      <c r="K64" s="121" t="s">
        <v>277</v>
      </c>
      <c r="L64" s="121" t="e">
        <f>AVERAGE(L52:L63)</f>
        <v>#DIV/0!</v>
      </c>
      <c r="M64" s="121">
        <f>MAX(M52:M63)</f>
        <v>0</v>
      </c>
      <c r="N64" s="121" t="e">
        <f>AVERAGE(N52:N63)</f>
        <v>#DIV/0!</v>
      </c>
      <c r="O64" s="121">
        <f>MAX(O52:O63)</f>
        <v>0</v>
      </c>
    </row>
    <row r="66" spans="10:15" ht="30" x14ac:dyDescent="0.2">
      <c r="J66" s="120">
        <f>+A6</f>
        <v>2022</v>
      </c>
      <c r="K66" s="120" t="s">
        <v>275</v>
      </c>
      <c r="L66" s="126" t="s">
        <v>174</v>
      </c>
      <c r="M66" s="126" t="s">
        <v>175</v>
      </c>
      <c r="N66" s="126" t="s">
        <v>177</v>
      </c>
      <c r="O66" s="126" t="s">
        <v>178</v>
      </c>
    </row>
    <row r="67" spans="10:15" x14ac:dyDescent="0.2">
      <c r="J67" s="351" t="s">
        <v>126</v>
      </c>
      <c r="K67" s="125" t="s">
        <v>179</v>
      </c>
      <c r="L67" s="123"/>
      <c r="M67" s="123"/>
      <c r="N67" s="123"/>
      <c r="O67" s="123"/>
    </row>
    <row r="68" spans="10:15" x14ac:dyDescent="0.2">
      <c r="J68" s="351"/>
      <c r="K68" s="125" t="s">
        <v>180</v>
      </c>
      <c r="L68" s="123"/>
      <c r="M68" s="123"/>
      <c r="N68" s="123"/>
      <c r="O68" s="123"/>
    </row>
    <row r="69" spans="10:15" x14ac:dyDescent="0.2">
      <c r="J69" s="351"/>
      <c r="K69" s="125" t="s">
        <v>181</v>
      </c>
      <c r="L69" s="123"/>
      <c r="M69" s="123"/>
      <c r="N69" s="123"/>
      <c r="O69" s="123"/>
    </row>
    <row r="70" spans="10:15" x14ac:dyDescent="0.2">
      <c r="J70" s="351"/>
      <c r="K70" s="125" t="s">
        <v>182</v>
      </c>
      <c r="L70" s="123"/>
      <c r="M70" s="123"/>
      <c r="N70" s="123"/>
      <c r="O70" s="123"/>
    </row>
    <row r="71" spans="10:15" x14ac:dyDescent="0.2">
      <c r="J71" s="351"/>
      <c r="K71" s="125" t="s">
        <v>183</v>
      </c>
      <c r="L71" s="123"/>
      <c r="M71" s="123"/>
      <c r="N71" s="123"/>
      <c r="O71" s="123"/>
    </row>
    <row r="72" spans="10:15" x14ac:dyDescent="0.2">
      <c r="J72" s="351"/>
      <c r="K72" s="125" t="s">
        <v>184</v>
      </c>
      <c r="L72" s="123"/>
      <c r="M72" s="123"/>
      <c r="N72" s="123"/>
      <c r="O72" s="123"/>
    </row>
    <row r="73" spans="10:15" x14ac:dyDescent="0.2">
      <c r="J73" s="351"/>
      <c r="K73" s="125" t="s">
        <v>185</v>
      </c>
      <c r="L73" s="123"/>
      <c r="M73" s="123"/>
      <c r="N73" s="123"/>
      <c r="O73" s="123"/>
    </row>
    <row r="74" spans="10:15" x14ac:dyDescent="0.2">
      <c r="J74" s="351"/>
      <c r="K74" s="125" t="s">
        <v>186</v>
      </c>
      <c r="L74" s="123"/>
      <c r="M74" s="123"/>
      <c r="N74" s="123"/>
      <c r="O74" s="123"/>
    </row>
    <row r="75" spans="10:15" x14ac:dyDescent="0.2">
      <c r="J75" s="351"/>
      <c r="K75" s="125" t="s">
        <v>187</v>
      </c>
      <c r="L75" s="123"/>
      <c r="M75" s="123"/>
      <c r="N75" s="123"/>
      <c r="O75" s="123"/>
    </row>
    <row r="76" spans="10:15" x14ac:dyDescent="0.2">
      <c r="J76" s="351"/>
      <c r="K76" s="125" t="s">
        <v>188</v>
      </c>
      <c r="L76" s="123"/>
      <c r="M76" s="123"/>
      <c r="N76" s="123"/>
      <c r="O76" s="123"/>
    </row>
    <row r="77" spans="10:15" x14ac:dyDescent="0.2">
      <c r="J77" s="351"/>
      <c r="K77" s="125" t="s">
        <v>189</v>
      </c>
      <c r="L77" s="123"/>
      <c r="M77" s="123"/>
      <c r="N77" s="123"/>
      <c r="O77" s="123"/>
    </row>
    <row r="78" spans="10:15" x14ac:dyDescent="0.2">
      <c r="J78" s="351"/>
      <c r="K78" s="125" t="s">
        <v>190</v>
      </c>
      <c r="L78" s="123"/>
      <c r="M78" s="123"/>
      <c r="N78" s="123"/>
      <c r="O78" s="123"/>
    </row>
    <row r="79" spans="10:15" x14ac:dyDescent="0.2">
      <c r="J79" s="351"/>
      <c r="K79" s="121" t="s">
        <v>277</v>
      </c>
      <c r="L79" s="121" t="e">
        <f>AVERAGE(L67:L78)</f>
        <v>#DIV/0!</v>
      </c>
      <c r="M79" s="121">
        <f>MAX(M67:M78)</f>
        <v>0</v>
      </c>
      <c r="N79" s="121" t="e">
        <f>AVERAGE(N67:N78)</f>
        <v>#DIV/0!</v>
      </c>
      <c r="O79" s="12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92D050"/>
    <pageSetUpPr fitToPage="1"/>
  </sheetPr>
  <dimension ref="A1:S79"/>
  <sheetViews>
    <sheetView showGridLines="0" zoomScaleNormal="100" workbookViewId="0">
      <selection activeCell="O27" sqref="O27"/>
    </sheetView>
  </sheetViews>
  <sheetFormatPr defaultRowHeight="14.25" x14ac:dyDescent="0.2"/>
  <cols>
    <col min="1" max="1" width="14" style="3" customWidth="1"/>
    <col min="2" max="4" width="17" style="75" customWidth="1"/>
    <col min="5" max="5" width="14.7109375" style="75" customWidth="1"/>
    <col min="6" max="7" width="17" style="7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Addenbrooke's Hospital  Incinerator</v>
      </c>
      <c r="F1" s="2"/>
    </row>
    <row r="3" spans="1:19" ht="15" x14ac:dyDescent="0.25">
      <c r="A3" s="119" t="s">
        <v>279</v>
      </c>
      <c r="D3" s="145" t="s">
        <v>320</v>
      </c>
      <c r="G3" s="149" t="s">
        <v>328</v>
      </c>
      <c r="J3" s="11" t="str">
        <f>+A3</f>
        <v>Monitoring of Oxides of Nitrogen emissions</v>
      </c>
      <c r="L3" s="11"/>
      <c r="N3" s="11" t="s">
        <v>321</v>
      </c>
      <c r="Q3" s="148" t="s">
        <v>315</v>
      </c>
      <c r="R3" s="139"/>
      <c r="S3" s="139"/>
    </row>
    <row r="4" spans="1:19" ht="13.9" customHeight="1" x14ac:dyDescent="0.2">
      <c r="Q4" s="342" t="s">
        <v>326</v>
      </c>
      <c r="R4" s="342"/>
      <c r="S4" s="342"/>
    </row>
    <row r="5" spans="1:19" ht="17.25" x14ac:dyDescent="0.25">
      <c r="A5" s="127" t="s">
        <v>276</v>
      </c>
      <c r="B5" s="352" t="s">
        <v>274</v>
      </c>
      <c r="C5" s="352"/>
      <c r="D5" s="352"/>
      <c r="E5" s="352" t="s">
        <v>273</v>
      </c>
      <c r="F5" s="352"/>
      <c r="G5" s="352"/>
      <c r="J5" s="353"/>
      <c r="K5" s="353"/>
      <c r="L5" s="353"/>
      <c r="M5" s="353"/>
      <c r="N5" s="353"/>
      <c r="O5" s="353"/>
      <c r="Q5" s="342"/>
      <c r="R5" s="342"/>
      <c r="S5" s="342"/>
    </row>
    <row r="6" spans="1:19" s="117" customFormat="1" ht="37.5" customHeight="1" x14ac:dyDescent="0.25">
      <c r="A6" s="124">
        <v>2022</v>
      </c>
      <c r="B6" s="113" t="s">
        <v>193</v>
      </c>
      <c r="C6" s="113" t="s">
        <v>174</v>
      </c>
      <c r="D6" s="113" t="s">
        <v>340</v>
      </c>
      <c r="E6" s="113" t="s">
        <v>194</v>
      </c>
      <c r="F6" s="113" t="s">
        <v>177</v>
      </c>
      <c r="G6" s="113" t="s">
        <v>341</v>
      </c>
      <c r="H6" s="118"/>
      <c r="J6" s="120">
        <f>+A6</f>
        <v>2022</v>
      </c>
      <c r="K6" s="120" t="s">
        <v>275</v>
      </c>
      <c r="L6" s="126" t="s">
        <v>174</v>
      </c>
      <c r="M6" s="126" t="s">
        <v>175</v>
      </c>
      <c r="N6" s="126" t="s">
        <v>177</v>
      </c>
      <c r="O6" s="126" t="s">
        <v>178</v>
      </c>
      <c r="Q6" s="342"/>
      <c r="R6" s="342"/>
      <c r="S6" s="342"/>
    </row>
    <row r="7" spans="1:19" x14ac:dyDescent="0.2">
      <c r="A7" s="125" t="s">
        <v>179</v>
      </c>
      <c r="B7" s="122">
        <v>400</v>
      </c>
      <c r="C7" s="123">
        <v>181.55</v>
      </c>
      <c r="D7" s="123">
        <v>273.8</v>
      </c>
      <c r="E7" s="122">
        <v>200</v>
      </c>
      <c r="F7" s="123">
        <v>182.75</v>
      </c>
      <c r="G7" s="123">
        <v>219.1</v>
      </c>
      <c r="J7" s="351" t="s">
        <v>122</v>
      </c>
      <c r="K7" s="125" t="s">
        <v>179</v>
      </c>
      <c r="L7" s="123">
        <v>197.6</v>
      </c>
      <c r="M7" s="123">
        <v>273.8</v>
      </c>
      <c r="N7" s="123">
        <v>199.7</v>
      </c>
      <c r="O7" s="123">
        <v>219.1</v>
      </c>
      <c r="Q7" s="342"/>
      <c r="R7" s="342"/>
      <c r="S7" s="342"/>
    </row>
    <row r="8" spans="1:19" x14ac:dyDescent="0.2">
      <c r="A8" s="125" t="s">
        <v>180</v>
      </c>
      <c r="B8" s="122">
        <v>400</v>
      </c>
      <c r="C8" s="123">
        <v>185.15</v>
      </c>
      <c r="D8" s="123">
        <v>293.5</v>
      </c>
      <c r="E8" s="122">
        <v>200</v>
      </c>
      <c r="F8" s="123">
        <v>186.4</v>
      </c>
      <c r="G8" s="123">
        <v>227.8</v>
      </c>
      <c r="J8" s="351"/>
      <c r="K8" s="125" t="s">
        <v>180</v>
      </c>
      <c r="L8" s="123">
        <v>207.1</v>
      </c>
      <c r="M8" s="123">
        <v>293.5</v>
      </c>
      <c r="N8" s="123">
        <v>208.5</v>
      </c>
      <c r="O8" s="123">
        <v>227.8</v>
      </c>
      <c r="Q8" s="342"/>
      <c r="R8" s="342"/>
      <c r="S8" s="342"/>
    </row>
    <row r="9" spans="1:19" ht="15" x14ac:dyDescent="0.25">
      <c r="A9" s="125" t="s">
        <v>181</v>
      </c>
      <c r="B9" s="122">
        <v>400</v>
      </c>
      <c r="C9" s="123">
        <v>184.75</v>
      </c>
      <c r="D9" s="123">
        <v>288.2</v>
      </c>
      <c r="E9" s="122">
        <v>200</v>
      </c>
      <c r="F9" s="123">
        <v>186.3</v>
      </c>
      <c r="G9" s="123">
        <v>242.1</v>
      </c>
      <c r="J9" s="351"/>
      <c r="K9" s="125" t="s">
        <v>181</v>
      </c>
      <c r="L9" s="123">
        <v>193.1</v>
      </c>
      <c r="M9" s="123">
        <v>288.2</v>
      </c>
      <c r="N9" s="123">
        <v>194.6</v>
      </c>
      <c r="O9" s="123">
        <v>242.1</v>
      </c>
      <c r="Q9" s="147" t="s">
        <v>327</v>
      </c>
    </row>
    <row r="10" spans="1:19" ht="14.25" customHeight="1" x14ac:dyDescent="0.2">
      <c r="A10" s="125" t="s">
        <v>182</v>
      </c>
      <c r="B10" s="122">
        <v>400</v>
      </c>
      <c r="C10" s="123">
        <v>190.25</v>
      </c>
      <c r="D10" s="123">
        <v>326.2</v>
      </c>
      <c r="E10" s="122">
        <v>200</v>
      </c>
      <c r="F10" s="123">
        <v>190.95</v>
      </c>
      <c r="G10" s="123">
        <v>229.4</v>
      </c>
      <c r="J10" s="351"/>
      <c r="K10" s="125" t="s">
        <v>182</v>
      </c>
      <c r="L10" s="123">
        <v>205.5</v>
      </c>
      <c r="M10" s="123">
        <v>326.2</v>
      </c>
      <c r="N10" s="123">
        <v>206.2</v>
      </c>
      <c r="O10" s="123">
        <v>229.4</v>
      </c>
      <c r="Q10" s="350" t="s">
        <v>347</v>
      </c>
      <c r="R10" s="350"/>
      <c r="S10" s="350"/>
    </row>
    <row r="11" spans="1:19" x14ac:dyDescent="0.2">
      <c r="A11" s="125" t="s">
        <v>183</v>
      </c>
      <c r="B11" s="122">
        <v>400</v>
      </c>
      <c r="C11" s="123">
        <v>185.9</v>
      </c>
      <c r="D11" s="123">
        <v>283.10000000000002</v>
      </c>
      <c r="E11" s="122">
        <v>200</v>
      </c>
      <c r="F11" s="123">
        <v>188.4</v>
      </c>
      <c r="G11" s="123">
        <v>252.4</v>
      </c>
      <c r="J11" s="351"/>
      <c r="K11" s="125" t="s">
        <v>183</v>
      </c>
      <c r="L11" s="123">
        <v>200</v>
      </c>
      <c r="M11" s="123">
        <v>283.10000000000002</v>
      </c>
      <c r="N11" s="123">
        <v>203.4</v>
      </c>
      <c r="O11" s="123">
        <v>252.4</v>
      </c>
      <c r="Q11" s="350"/>
      <c r="R11" s="350"/>
      <c r="S11" s="350"/>
    </row>
    <row r="12" spans="1:19" x14ac:dyDescent="0.2">
      <c r="A12" s="125" t="s">
        <v>184</v>
      </c>
      <c r="B12" s="122">
        <v>400</v>
      </c>
      <c r="C12" s="123">
        <v>169.7</v>
      </c>
      <c r="D12" s="123">
        <v>240.3</v>
      </c>
      <c r="E12" s="122">
        <v>200</v>
      </c>
      <c r="F12" s="123">
        <v>171.9</v>
      </c>
      <c r="G12" s="123">
        <v>190.9</v>
      </c>
      <c r="J12" s="351"/>
      <c r="K12" s="125" t="s">
        <v>184</v>
      </c>
      <c r="L12" s="123"/>
      <c r="M12" s="123"/>
      <c r="N12" s="123"/>
      <c r="O12" s="123"/>
      <c r="Q12" s="350"/>
      <c r="R12" s="350"/>
      <c r="S12" s="350"/>
    </row>
    <row r="13" spans="1:19" ht="14.25" customHeight="1" x14ac:dyDescent="0.2">
      <c r="A13" s="125" t="s">
        <v>185</v>
      </c>
      <c r="B13" s="122">
        <v>400</v>
      </c>
      <c r="C13" s="123">
        <v>183.1</v>
      </c>
      <c r="D13" s="123">
        <v>275.2</v>
      </c>
      <c r="E13" s="122">
        <v>200</v>
      </c>
      <c r="F13" s="123">
        <v>182.2</v>
      </c>
      <c r="G13" s="123">
        <v>233.4</v>
      </c>
      <c r="J13" s="351"/>
      <c r="K13" s="125" t="s">
        <v>185</v>
      </c>
      <c r="L13" s="123">
        <v>197.5</v>
      </c>
      <c r="M13" s="123">
        <v>275.2</v>
      </c>
      <c r="N13" s="123">
        <v>193.8</v>
      </c>
      <c r="O13" s="123">
        <v>233.4</v>
      </c>
      <c r="Q13" s="350" t="s">
        <v>353</v>
      </c>
      <c r="R13" s="350"/>
      <c r="S13" s="350"/>
    </row>
    <row r="14" spans="1:19" x14ac:dyDescent="0.2">
      <c r="A14" s="125" t="s">
        <v>186</v>
      </c>
      <c r="B14" s="122">
        <v>400</v>
      </c>
      <c r="C14" s="123">
        <v>182.25</v>
      </c>
      <c r="D14" s="123">
        <v>290.60000000000002</v>
      </c>
      <c r="E14" s="122">
        <v>200</v>
      </c>
      <c r="F14" s="123">
        <v>185.7</v>
      </c>
      <c r="G14" s="123">
        <v>236.7</v>
      </c>
      <c r="J14" s="351"/>
      <c r="K14" s="125" t="s">
        <v>186</v>
      </c>
      <c r="L14" s="123">
        <v>196.9</v>
      </c>
      <c r="M14" s="123">
        <v>290.60000000000002</v>
      </c>
      <c r="N14" s="123">
        <v>202</v>
      </c>
      <c r="O14" s="123">
        <v>236.7</v>
      </c>
      <c r="Q14" s="350"/>
      <c r="R14" s="350"/>
      <c r="S14" s="350"/>
    </row>
    <row r="15" spans="1:19" x14ac:dyDescent="0.2">
      <c r="A15" s="125" t="s">
        <v>187</v>
      </c>
      <c r="B15" s="122">
        <v>400</v>
      </c>
      <c r="C15" s="123">
        <v>190.9</v>
      </c>
      <c r="D15" s="123">
        <v>291.3</v>
      </c>
      <c r="E15" s="122">
        <v>200</v>
      </c>
      <c r="F15" s="123">
        <v>192.75</v>
      </c>
      <c r="G15" s="123">
        <v>242</v>
      </c>
      <c r="J15" s="351"/>
      <c r="K15" s="125" t="s">
        <v>187</v>
      </c>
      <c r="L15" s="123">
        <v>211.4</v>
      </c>
      <c r="M15" s="123">
        <v>291.3</v>
      </c>
      <c r="N15" s="123">
        <v>213.7</v>
      </c>
      <c r="O15" s="123">
        <v>242</v>
      </c>
      <c r="Q15" s="350"/>
      <c r="R15" s="350"/>
      <c r="S15" s="350"/>
    </row>
    <row r="16" spans="1:19" x14ac:dyDescent="0.2">
      <c r="A16" s="125" t="s">
        <v>188</v>
      </c>
      <c r="B16" s="122">
        <v>400</v>
      </c>
      <c r="C16" s="123">
        <v>176.5</v>
      </c>
      <c r="D16" s="123">
        <v>322.39999999999998</v>
      </c>
      <c r="E16" s="122">
        <v>200</v>
      </c>
      <c r="F16" s="123">
        <v>178.15</v>
      </c>
      <c r="G16" s="123">
        <v>281.2</v>
      </c>
      <c r="J16" s="351"/>
      <c r="K16" s="125" t="s">
        <v>188</v>
      </c>
      <c r="L16" s="123">
        <v>192.5</v>
      </c>
      <c r="M16" s="123">
        <v>322.39999999999998</v>
      </c>
      <c r="N16" s="123">
        <v>192.8</v>
      </c>
      <c r="O16" s="123">
        <v>281.2</v>
      </c>
      <c r="Q16" s="350"/>
      <c r="R16" s="350"/>
      <c r="S16" s="350"/>
    </row>
    <row r="17" spans="1:15" x14ac:dyDescent="0.2">
      <c r="A17" s="125" t="s">
        <v>189</v>
      </c>
      <c r="B17" s="122">
        <v>400</v>
      </c>
      <c r="C17" s="123">
        <v>156.25</v>
      </c>
      <c r="D17" s="123">
        <v>268.8</v>
      </c>
      <c r="E17" s="122">
        <v>200</v>
      </c>
      <c r="F17" s="123">
        <v>156.80000000000001</v>
      </c>
      <c r="G17" s="123">
        <v>220.5</v>
      </c>
      <c r="J17" s="351"/>
      <c r="K17" s="125" t="s">
        <v>189</v>
      </c>
      <c r="L17" s="123">
        <v>176.2</v>
      </c>
      <c r="M17" s="123">
        <v>268.8</v>
      </c>
      <c r="N17" s="123">
        <v>177.2</v>
      </c>
      <c r="O17" s="123">
        <v>220.5</v>
      </c>
    </row>
    <row r="18" spans="1:15" x14ac:dyDescent="0.2">
      <c r="A18" s="125" t="s">
        <v>190</v>
      </c>
      <c r="B18" s="122">
        <v>400</v>
      </c>
      <c r="C18" s="123">
        <v>157.05000000000001</v>
      </c>
      <c r="D18" s="123">
        <v>255.3</v>
      </c>
      <c r="E18" s="122">
        <v>200</v>
      </c>
      <c r="F18" s="123">
        <v>158.05000000000001</v>
      </c>
      <c r="G18" s="123">
        <v>216.3</v>
      </c>
      <c r="J18" s="351"/>
      <c r="K18" s="125" t="s">
        <v>190</v>
      </c>
      <c r="L18" s="123">
        <v>180.3</v>
      </c>
      <c r="M18" s="123">
        <v>255.3</v>
      </c>
      <c r="N18" s="123">
        <v>181.6</v>
      </c>
      <c r="O18" s="123">
        <v>216.3</v>
      </c>
    </row>
    <row r="19" spans="1:15" x14ac:dyDescent="0.2">
      <c r="J19" s="351"/>
      <c r="K19" s="121" t="s">
        <v>277</v>
      </c>
      <c r="L19" s="121">
        <f>AVERAGE(L7:L18)</f>
        <v>196.19090909090912</v>
      </c>
      <c r="M19" s="121">
        <f>MAX(M7:M18)</f>
        <v>326.2</v>
      </c>
      <c r="N19" s="121">
        <f>AVERAGE(N7:N18)</f>
        <v>197.59090909090909</v>
      </c>
      <c r="O19" s="121">
        <f>MAX(O7:O18)</f>
        <v>281.2</v>
      </c>
    </row>
    <row r="21" spans="1:15" ht="30" x14ac:dyDescent="0.2">
      <c r="J21" s="120">
        <f>+A6</f>
        <v>2022</v>
      </c>
      <c r="K21" s="120" t="s">
        <v>275</v>
      </c>
      <c r="L21" s="126" t="s">
        <v>174</v>
      </c>
      <c r="M21" s="126" t="s">
        <v>175</v>
      </c>
      <c r="N21" s="126" t="s">
        <v>177</v>
      </c>
      <c r="O21" s="126" t="s">
        <v>178</v>
      </c>
    </row>
    <row r="22" spans="1:15" x14ac:dyDescent="0.2">
      <c r="J22" s="351" t="s">
        <v>123</v>
      </c>
      <c r="K22" s="125" t="s">
        <v>179</v>
      </c>
      <c r="L22" s="123">
        <v>165.5</v>
      </c>
      <c r="M22" s="123">
        <v>247.5</v>
      </c>
      <c r="N22" s="123">
        <v>165.8</v>
      </c>
      <c r="O22" s="123">
        <v>181.3</v>
      </c>
    </row>
    <row r="23" spans="1:15" x14ac:dyDescent="0.2">
      <c r="J23" s="351"/>
      <c r="K23" s="125" t="s">
        <v>180</v>
      </c>
      <c r="L23" s="123">
        <v>163.19999999999999</v>
      </c>
      <c r="M23" s="123">
        <v>214.6</v>
      </c>
      <c r="N23" s="123">
        <v>164.3</v>
      </c>
      <c r="O23" s="123">
        <v>176.1</v>
      </c>
    </row>
    <row r="24" spans="1:15" x14ac:dyDescent="0.2">
      <c r="J24" s="351"/>
      <c r="K24" s="125" t="s">
        <v>181</v>
      </c>
      <c r="L24" s="123">
        <v>176.4</v>
      </c>
      <c r="M24" s="123">
        <v>269.39999999999998</v>
      </c>
      <c r="N24" s="123">
        <v>178</v>
      </c>
      <c r="O24" s="123">
        <v>199.7</v>
      </c>
    </row>
    <row r="25" spans="1:15" x14ac:dyDescent="0.2">
      <c r="J25" s="351"/>
      <c r="K25" s="125" t="s">
        <v>182</v>
      </c>
      <c r="L25" s="123">
        <v>175</v>
      </c>
      <c r="M25" s="123">
        <v>225.6</v>
      </c>
      <c r="N25" s="123">
        <v>175.7</v>
      </c>
      <c r="O25" s="123">
        <v>182.8</v>
      </c>
    </row>
    <row r="26" spans="1:15" x14ac:dyDescent="0.2">
      <c r="J26" s="351"/>
      <c r="K26" s="125" t="s">
        <v>183</v>
      </c>
      <c r="L26" s="123">
        <v>171.8</v>
      </c>
      <c r="M26" s="123">
        <v>240.3</v>
      </c>
      <c r="N26" s="123">
        <v>173.4</v>
      </c>
      <c r="O26" s="123">
        <v>193.5</v>
      </c>
    </row>
    <row r="27" spans="1:15" x14ac:dyDescent="0.2">
      <c r="J27" s="351"/>
      <c r="K27" s="125" t="s">
        <v>184</v>
      </c>
      <c r="L27" s="123">
        <v>169.7</v>
      </c>
      <c r="M27" s="123">
        <v>240.3</v>
      </c>
      <c r="N27" s="123">
        <v>171.9</v>
      </c>
      <c r="O27" s="123">
        <v>190.9</v>
      </c>
    </row>
    <row r="28" spans="1:15" x14ac:dyDescent="0.2">
      <c r="J28" s="351"/>
      <c r="K28" s="125" t="s">
        <v>185</v>
      </c>
      <c r="L28" s="123">
        <v>168.7</v>
      </c>
      <c r="M28" s="123">
        <v>220.5</v>
      </c>
      <c r="N28" s="123">
        <v>170.6</v>
      </c>
      <c r="O28" s="123">
        <v>188.9</v>
      </c>
    </row>
    <row r="29" spans="1:15" x14ac:dyDescent="0.2">
      <c r="J29" s="351"/>
      <c r="K29" s="125" t="s">
        <v>186</v>
      </c>
      <c r="L29" s="123">
        <v>167.6</v>
      </c>
      <c r="M29" s="123">
        <v>236.8</v>
      </c>
      <c r="N29" s="123">
        <v>169.4</v>
      </c>
      <c r="O29" s="123">
        <v>192.9</v>
      </c>
    </row>
    <row r="30" spans="1:15" x14ac:dyDescent="0.2">
      <c r="J30" s="351"/>
      <c r="K30" s="125" t="s">
        <v>187</v>
      </c>
      <c r="L30" s="123">
        <v>170.4</v>
      </c>
      <c r="M30" s="123">
        <v>218.5</v>
      </c>
      <c r="N30" s="123">
        <v>171.8</v>
      </c>
      <c r="O30" s="123">
        <v>183.4</v>
      </c>
    </row>
    <row r="31" spans="1:15" x14ac:dyDescent="0.2">
      <c r="J31" s="351"/>
      <c r="K31" s="125" t="s">
        <v>188</v>
      </c>
      <c r="L31" s="123">
        <v>160.5</v>
      </c>
      <c r="M31" s="123">
        <v>246.6</v>
      </c>
      <c r="N31" s="123">
        <v>163.5</v>
      </c>
      <c r="O31" s="123">
        <v>206.9</v>
      </c>
    </row>
    <row r="32" spans="1:15" x14ac:dyDescent="0.2">
      <c r="J32" s="351"/>
      <c r="K32" s="125" t="s">
        <v>189</v>
      </c>
      <c r="L32" s="123">
        <v>136.30000000000001</v>
      </c>
      <c r="M32" s="123">
        <v>204.1</v>
      </c>
      <c r="N32" s="123">
        <v>136.4</v>
      </c>
      <c r="O32" s="123">
        <v>156.19999999999999</v>
      </c>
    </row>
    <row r="33" spans="1:15" x14ac:dyDescent="0.2">
      <c r="J33" s="351"/>
      <c r="K33" s="125" t="s">
        <v>190</v>
      </c>
      <c r="L33" s="123">
        <v>133.80000000000001</v>
      </c>
      <c r="M33" s="123">
        <v>189.3</v>
      </c>
      <c r="N33" s="123">
        <v>134.5</v>
      </c>
      <c r="O33" s="123">
        <v>149.5</v>
      </c>
    </row>
    <row r="34" spans="1:15" x14ac:dyDescent="0.2">
      <c r="J34" s="351"/>
      <c r="K34" s="121" t="s">
        <v>277</v>
      </c>
      <c r="L34" s="121">
        <f>AVERAGE(L22:L33)</f>
        <v>163.24166666666667</v>
      </c>
      <c r="M34" s="121">
        <f>MAX(M22:M33)</f>
        <v>269.39999999999998</v>
      </c>
      <c r="N34" s="121">
        <f>AVERAGE(N22:N33)</f>
        <v>164.60833333333332</v>
      </c>
      <c r="O34" s="121">
        <f>MAX(O22:O33)</f>
        <v>206.9</v>
      </c>
    </row>
    <row r="36" spans="1:15" ht="30" x14ac:dyDescent="0.2">
      <c r="J36" s="120">
        <f>+A6</f>
        <v>2022</v>
      </c>
      <c r="K36" s="120" t="s">
        <v>275</v>
      </c>
      <c r="L36" s="126" t="s">
        <v>174</v>
      </c>
      <c r="M36" s="126" t="s">
        <v>175</v>
      </c>
      <c r="N36" s="126" t="s">
        <v>177</v>
      </c>
      <c r="O36" s="126" t="s">
        <v>178</v>
      </c>
    </row>
    <row r="37" spans="1:15" x14ac:dyDescent="0.2">
      <c r="J37" s="351" t="s">
        <v>124</v>
      </c>
      <c r="K37" s="125" t="s">
        <v>179</v>
      </c>
      <c r="L37" s="123"/>
      <c r="M37" s="123"/>
      <c r="N37" s="123"/>
      <c r="O37" s="123"/>
    </row>
    <row r="38" spans="1:15" x14ac:dyDescent="0.2">
      <c r="J38" s="351"/>
      <c r="K38" s="125" t="s">
        <v>180</v>
      </c>
      <c r="L38" s="123"/>
      <c r="M38" s="123"/>
      <c r="N38" s="123"/>
      <c r="O38" s="123"/>
    </row>
    <row r="39" spans="1:15" x14ac:dyDescent="0.2">
      <c r="J39" s="351"/>
      <c r="K39" s="125" t="s">
        <v>181</v>
      </c>
      <c r="L39" s="123"/>
      <c r="M39" s="123"/>
      <c r="N39" s="123"/>
      <c r="O39" s="123"/>
    </row>
    <row r="40" spans="1:15" x14ac:dyDescent="0.2">
      <c r="J40" s="351"/>
      <c r="K40" s="125" t="s">
        <v>182</v>
      </c>
      <c r="L40" s="123"/>
      <c r="M40" s="123"/>
      <c r="N40" s="123"/>
      <c r="O40" s="123"/>
    </row>
    <row r="41" spans="1:15" x14ac:dyDescent="0.2">
      <c r="J41" s="351"/>
      <c r="K41" s="125" t="s">
        <v>183</v>
      </c>
      <c r="L41" s="123"/>
      <c r="M41" s="123"/>
      <c r="N41" s="123"/>
      <c r="O41" s="123"/>
    </row>
    <row r="42" spans="1:15" x14ac:dyDescent="0.2">
      <c r="J42" s="351"/>
      <c r="K42" s="125" t="s">
        <v>184</v>
      </c>
      <c r="L42" s="123"/>
      <c r="M42" s="123"/>
      <c r="N42" s="123"/>
      <c r="O42" s="123"/>
    </row>
    <row r="43" spans="1:15" x14ac:dyDescent="0.2">
      <c r="J43" s="351"/>
      <c r="K43" s="125" t="s">
        <v>185</v>
      </c>
      <c r="L43" s="123"/>
      <c r="M43" s="123"/>
      <c r="N43" s="123"/>
      <c r="O43" s="123"/>
    </row>
    <row r="44" spans="1:15" x14ac:dyDescent="0.2">
      <c r="J44" s="351"/>
      <c r="K44" s="125" t="s">
        <v>186</v>
      </c>
      <c r="L44" s="123"/>
      <c r="M44" s="123"/>
      <c r="N44" s="123"/>
      <c r="O44" s="123"/>
    </row>
    <row r="45" spans="1:15" x14ac:dyDescent="0.2">
      <c r="J45" s="351"/>
      <c r="K45" s="125" t="s">
        <v>187</v>
      </c>
      <c r="L45" s="123"/>
      <c r="M45" s="123"/>
      <c r="N45" s="123"/>
      <c r="O45" s="123"/>
    </row>
    <row r="46" spans="1:15" x14ac:dyDescent="0.2">
      <c r="J46" s="351"/>
      <c r="K46" s="125" t="s">
        <v>188</v>
      </c>
      <c r="L46" s="123"/>
      <c r="M46" s="123"/>
      <c r="N46" s="123"/>
      <c r="O46" s="123"/>
    </row>
    <row r="47" spans="1:15" x14ac:dyDescent="0.2">
      <c r="J47" s="351"/>
      <c r="K47" s="125" t="s">
        <v>189</v>
      </c>
      <c r="L47" s="123"/>
      <c r="M47" s="123"/>
      <c r="N47" s="123"/>
      <c r="O47" s="123"/>
    </row>
    <row r="48" spans="1:15" ht="15" x14ac:dyDescent="0.2">
      <c r="A48" s="354" t="s">
        <v>223</v>
      </c>
      <c r="B48" s="355"/>
      <c r="C48" s="355"/>
      <c r="D48" s="355"/>
      <c r="E48" s="355"/>
      <c r="F48" s="355"/>
      <c r="G48" s="356"/>
      <c r="J48" s="351"/>
      <c r="K48" s="125" t="s">
        <v>190</v>
      </c>
      <c r="L48" s="123"/>
      <c r="M48" s="123"/>
      <c r="N48" s="123"/>
      <c r="O48" s="123"/>
    </row>
    <row r="49" spans="1:15" x14ac:dyDescent="0.2">
      <c r="A49" s="357"/>
      <c r="B49" s="358"/>
      <c r="C49" s="358"/>
      <c r="D49" s="358"/>
      <c r="E49" s="358"/>
      <c r="F49" s="358"/>
      <c r="G49" s="359"/>
      <c r="J49" s="351"/>
      <c r="K49" s="121" t="s">
        <v>277</v>
      </c>
      <c r="L49" s="121" t="e">
        <f>AVERAGE(L37:L48)</f>
        <v>#DIV/0!</v>
      </c>
      <c r="M49" s="121">
        <f>MAX(M37:M48)</f>
        <v>0</v>
      </c>
      <c r="N49" s="121" t="e">
        <f>AVERAGE(N37:N48)</f>
        <v>#DIV/0!</v>
      </c>
      <c r="O49" s="121">
        <f>MAX(O37:O48)</f>
        <v>0</v>
      </c>
    </row>
    <row r="50" spans="1:15" x14ac:dyDescent="0.2">
      <c r="A50" s="360"/>
      <c r="B50" s="361"/>
      <c r="C50" s="361"/>
      <c r="D50" s="361"/>
      <c r="E50" s="361"/>
      <c r="F50" s="361"/>
      <c r="G50" s="362"/>
    </row>
    <row r="51" spans="1:15" ht="30" x14ac:dyDescent="0.2">
      <c r="A51" s="360"/>
      <c r="B51" s="361"/>
      <c r="C51" s="361"/>
      <c r="D51" s="361"/>
      <c r="E51" s="361"/>
      <c r="F51" s="361"/>
      <c r="G51" s="362"/>
      <c r="J51" s="120">
        <f>+A6</f>
        <v>2022</v>
      </c>
      <c r="K51" s="120" t="s">
        <v>275</v>
      </c>
      <c r="L51" s="126" t="s">
        <v>174</v>
      </c>
      <c r="M51" s="126" t="s">
        <v>175</v>
      </c>
      <c r="N51" s="126" t="s">
        <v>177</v>
      </c>
      <c r="O51" s="126" t="s">
        <v>178</v>
      </c>
    </row>
    <row r="52" spans="1:15" x14ac:dyDescent="0.2">
      <c r="A52" s="363"/>
      <c r="B52" s="364"/>
      <c r="C52" s="364"/>
      <c r="D52" s="364"/>
      <c r="E52" s="364"/>
      <c r="F52" s="364"/>
      <c r="G52" s="365"/>
      <c r="J52" s="351" t="s">
        <v>125</v>
      </c>
      <c r="K52" s="125" t="s">
        <v>179</v>
      </c>
      <c r="L52" s="123"/>
      <c r="M52" s="123"/>
      <c r="N52" s="123"/>
      <c r="O52" s="123"/>
    </row>
    <row r="53" spans="1:15" x14ac:dyDescent="0.2">
      <c r="J53" s="351"/>
      <c r="K53" s="125" t="s">
        <v>180</v>
      </c>
      <c r="L53" s="123"/>
      <c r="M53" s="123"/>
      <c r="N53" s="123"/>
      <c r="O53" s="123"/>
    </row>
    <row r="54" spans="1:15" x14ac:dyDescent="0.2">
      <c r="J54" s="351"/>
      <c r="K54" s="125" t="s">
        <v>181</v>
      </c>
      <c r="L54" s="123"/>
      <c r="M54" s="123"/>
      <c r="N54" s="123"/>
      <c r="O54" s="123"/>
    </row>
    <row r="55" spans="1:15" x14ac:dyDescent="0.2">
      <c r="J55" s="351"/>
      <c r="K55" s="125" t="s">
        <v>182</v>
      </c>
      <c r="L55" s="123"/>
      <c r="M55" s="123"/>
      <c r="N55" s="123"/>
      <c r="O55" s="123"/>
    </row>
    <row r="56" spans="1:15" x14ac:dyDescent="0.2">
      <c r="J56" s="351"/>
      <c r="K56" s="125" t="s">
        <v>183</v>
      </c>
      <c r="L56" s="123"/>
      <c r="M56" s="123"/>
      <c r="N56" s="123"/>
      <c r="O56" s="123"/>
    </row>
    <row r="57" spans="1:15" x14ac:dyDescent="0.2">
      <c r="J57" s="351"/>
      <c r="K57" s="125" t="s">
        <v>184</v>
      </c>
      <c r="L57" s="123"/>
      <c r="M57" s="123"/>
      <c r="N57" s="123"/>
      <c r="O57" s="123"/>
    </row>
    <row r="58" spans="1:15" x14ac:dyDescent="0.2">
      <c r="J58" s="351"/>
      <c r="K58" s="125" t="s">
        <v>185</v>
      </c>
      <c r="L58" s="123"/>
      <c r="M58" s="123"/>
      <c r="N58" s="123"/>
      <c r="O58" s="123"/>
    </row>
    <row r="59" spans="1:15" x14ac:dyDescent="0.2">
      <c r="J59" s="351"/>
      <c r="K59" s="125" t="s">
        <v>186</v>
      </c>
      <c r="L59" s="123"/>
      <c r="M59" s="123"/>
      <c r="N59" s="123"/>
      <c r="O59" s="123"/>
    </row>
    <row r="60" spans="1:15" x14ac:dyDescent="0.2">
      <c r="J60" s="351"/>
      <c r="K60" s="125" t="s">
        <v>187</v>
      </c>
      <c r="L60" s="123"/>
      <c r="M60" s="123"/>
      <c r="N60" s="123"/>
      <c r="O60" s="123"/>
    </row>
    <row r="61" spans="1:15" x14ac:dyDescent="0.2">
      <c r="J61" s="351"/>
      <c r="K61" s="125" t="s">
        <v>188</v>
      </c>
      <c r="L61" s="123"/>
      <c r="M61" s="123"/>
      <c r="N61" s="123"/>
      <c r="O61" s="123"/>
    </row>
    <row r="62" spans="1:15" x14ac:dyDescent="0.2">
      <c r="J62" s="351"/>
      <c r="K62" s="125" t="s">
        <v>189</v>
      </c>
      <c r="L62" s="123"/>
      <c r="M62" s="123"/>
      <c r="N62" s="123"/>
      <c r="O62" s="123"/>
    </row>
    <row r="63" spans="1:15" x14ac:dyDescent="0.2">
      <c r="J63" s="351"/>
      <c r="K63" s="125" t="s">
        <v>190</v>
      </c>
      <c r="L63" s="123"/>
      <c r="M63" s="123"/>
      <c r="N63" s="123"/>
      <c r="O63" s="123"/>
    </row>
    <row r="64" spans="1:15" x14ac:dyDescent="0.2">
      <c r="J64" s="351"/>
      <c r="K64" s="121" t="s">
        <v>277</v>
      </c>
      <c r="L64" s="121" t="e">
        <f>AVERAGE(L52:L63)</f>
        <v>#DIV/0!</v>
      </c>
      <c r="M64" s="121">
        <f>MAX(M52:M63)</f>
        <v>0</v>
      </c>
      <c r="N64" s="121" t="e">
        <f>AVERAGE(N52:N63)</f>
        <v>#DIV/0!</v>
      </c>
      <c r="O64" s="121">
        <f>MAX(O52:O63)</f>
        <v>0</v>
      </c>
    </row>
    <row r="66" spans="10:15" ht="30" x14ac:dyDescent="0.2">
      <c r="J66" s="120">
        <f>+A6</f>
        <v>2022</v>
      </c>
      <c r="K66" s="120" t="s">
        <v>275</v>
      </c>
      <c r="L66" s="126" t="s">
        <v>174</v>
      </c>
      <c r="M66" s="126" t="s">
        <v>175</v>
      </c>
      <c r="N66" s="126" t="s">
        <v>177</v>
      </c>
      <c r="O66" s="126" t="s">
        <v>178</v>
      </c>
    </row>
    <row r="67" spans="10:15" x14ac:dyDescent="0.2">
      <c r="J67" s="351" t="s">
        <v>126</v>
      </c>
      <c r="K67" s="125" t="s">
        <v>179</v>
      </c>
      <c r="L67" s="123"/>
      <c r="M67" s="123"/>
      <c r="N67" s="123"/>
      <c r="O67" s="123"/>
    </row>
    <row r="68" spans="10:15" x14ac:dyDescent="0.2">
      <c r="J68" s="351"/>
      <c r="K68" s="125" t="s">
        <v>180</v>
      </c>
      <c r="L68" s="123"/>
      <c r="M68" s="123"/>
      <c r="N68" s="123"/>
      <c r="O68" s="123"/>
    </row>
    <row r="69" spans="10:15" x14ac:dyDescent="0.2">
      <c r="J69" s="351"/>
      <c r="K69" s="125" t="s">
        <v>181</v>
      </c>
      <c r="L69" s="123"/>
      <c r="M69" s="123"/>
      <c r="N69" s="123"/>
      <c r="O69" s="123"/>
    </row>
    <row r="70" spans="10:15" x14ac:dyDescent="0.2">
      <c r="J70" s="351"/>
      <c r="K70" s="125" t="s">
        <v>182</v>
      </c>
      <c r="L70" s="123"/>
      <c r="M70" s="123"/>
      <c r="N70" s="123"/>
      <c r="O70" s="123"/>
    </row>
    <row r="71" spans="10:15" x14ac:dyDescent="0.2">
      <c r="J71" s="351"/>
      <c r="K71" s="125" t="s">
        <v>183</v>
      </c>
      <c r="L71" s="123"/>
      <c r="M71" s="123"/>
      <c r="N71" s="123"/>
      <c r="O71" s="123"/>
    </row>
    <row r="72" spans="10:15" x14ac:dyDescent="0.2">
      <c r="J72" s="351"/>
      <c r="K72" s="125" t="s">
        <v>184</v>
      </c>
      <c r="L72" s="123"/>
      <c r="M72" s="123"/>
      <c r="N72" s="123"/>
      <c r="O72" s="123"/>
    </row>
    <row r="73" spans="10:15" x14ac:dyDescent="0.2">
      <c r="J73" s="351"/>
      <c r="K73" s="125" t="s">
        <v>185</v>
      </c>
      <c r="L73" s="123"/>
      <c r="M73" s="123"/>
      <c r="N73" s="123"/>
      <c r="O73" s="123"/>
    </row>
    <row r="74" spans="10:15" x14ac:dyDescent="0.2">
      <c r="J74" s="351"/>
      <c r="K74" s="125" t="s">
        <v>186</v>
      </c>
      <c r="L74" s="123"/>
      <c r="M74" s="123"/>
      <c r="N74" s="123"/>
      <c r="O74" s="123"/>
    </row>
    <row r="75" spans="10:15" x14ac:dyDescent="0.2">
      <c r="J75" s="351"/>
      <c r="K75" s="125" t="s">
        <v>187</v>
      </c>
      <c r="L75" s="123"/>
      <c r="M75" s="123"/>
      <c r="N75" s="123"/>
      <c r="O75" s="123"/>
    </row>
    <row r="76" spans="10:15" x14ac:dyDescent="0.2">
      <c r="J76" s="351"/>
      <c r="K76" s="125" t="s">
        <v>188</v>
      </c>
      <c r="L76" s="123"/>
      <c r="M76" s="123"/>
      <c r="N76" s="123"/>
      <c r="O76" s="123"/>
    </row>
    <row r="77" spans="10:15" x14ac:dyDescent="0.2">
      <c r="J77" s="351"/>
      <c r="K77" s="125" t="s">
        <v>189</v>
      </c>
      <c r="L77" s="123"/>
      <c r="M77" s="123"/>
      <c r="N77" s="123"/>
      <c r="O77" s="123"/>
    </row>
    <row r="78" spans="10:15" x14ac:dyDescent="0.2">
      <c r="J78" s="351"/>
      <c r="K78" s="125" t="s">
        <v>190</v>
      </c>
      <c r="L78" s="123"/>
      <c r="M78" s="123"/>
      <c r="N78" s="123"/>
      <c r="O78" s="123"/>
    </row>
    <row r="79" spans="10:15" x14ac:dyDescent="0.2">
      <c r="J79" s="351"/>
      <c r="K79" s="121" t="s">
        <v>277</v>
      </c>
      <c r="L79" s="121" t="e">
        <f>AVERAGE(L67:L78)</f>
        <v>#DIV/0!</v>
      </c>
      <c r="M79" s="121">
        <f>MAX(M67:M78)</f>
        <v>0</v>
      </c>
      <c r="N79" s="121" t="e">
        <f>AVERAGE(N67:N78)</f>
        <v>#DIV/0!</v>
      </c>
      <c r="O79" s="12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pageSetUpPr fitToPage="1"/>
  </sheetPr>
  <dimension ref="A1:S79"/>
  <sheetViews>
    <sheetView showGridLines="0" zoomScaleNormal="100" workbookViewId="0">
      <selection activeCell="O27" sqref="O27"/>
    </sheetView>
  </sheetViews>
  <sheetFormatPr defaultRowHeight="14.25" x14ac:dyDescent="0.2"/>
  <cols>
    <col min="1" max="1" width="14" style="3" customWidth="1"/>
    <col min="2" max="4" width="17" style="75" customWidth="1"/>
    <col min="5" max="5" width="14.7109375" style="75" customWidth="1"/>
    <col min="6" max="7" width="17" style="7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Addenbrooke's Hospital  Incinerator</v>
      </c>
    </row>
    <row r="3" spans="1:19" ht="15" x14ac:dyDescent="0.25">
      <c r="A3" s="119" t="s">
        <v>281</v>
      </c>
      <c r="D3" s="145" t="s">
        <v>320</v>
      </c>
      <c r="G3" s="149" t="s">
        <v>328</v>
      </c>
      <c r="J3" s="11" t="str">
        <f>+A3</f>
        <v>Monitoring of Particulate matter emissions</v>
      </c>
      <c r="L3" s="11"/>
      <c r="N3" s="11" t="s">
        <v>321</v>
      </c>
      <c r="Q3" s="148" t="s">
        <v>315</v>
      </c>
      <c r="R3" s="139"/>
      <c r="S3" s="139"/>
    </row>
    <row r="4" spans="1:19" ht="13.9" customHeight="1" x14ac:dyDescent="0.2">
      <c r="Q4" s="342" t="s">
        <v>326</v>
      </c>
      <c r="R4" s="342"/>
      <c r="S4" s="342"/>
    </row>
    <row r="5" spans="1:19" ht="17.25" x14ac:dyDescent="0.25">
      <c r="A5" s="127" t="s">
        <v>276</v>
      </c>
      <c r="B5" s="352" t="s">
        <v>274</v>
      </c>
      <c r="C5" s="352"/>
      <c r="D5" s="352"/>
      <c r="E5" s="352" t="s">
        <v>273</v>
      </c>
      <c r="F5" s="352"/>
      <c r="G5" s="352"/>
      <c r="J5" s="353"/>
      <c r="K5" s="353"/>
      <c r="L5" s="353"/>
      <c r="M5" s="353"/>
      <c r="N5" s="353"/>
      <c r="O5" s="353"/>
      <c r="Q5" s="342"/>
      <c r="R5" s="342"/>
      <c r="S5" s="342"/>
    </row>
    <row r="6" spans="1:19" s="117" customFormat="1" ht="37.5" customHeight="1" x14ac:dyDescent="0.25">
      <c r="A6" s="124">
        <v>2022</v>
      </c>
      <c r="B6" s="113" t="s">
        <v>197</v>
      </c>
      <c r="C6" s="113" t="s">
        <v>174</v>
      </c>
      <c r="D6" s="113" t="s">
        <v>340</v>
      </c>
      <c r="E6" s="113" t="s">
        <v>198</v>
      </c>
      <c r="F6" s="113" t="s">
        <v>177</v>
      </c>
      <c r="G6" s="113" t="s">
        <v>341</v>
      </c>
      <c r="H6" s="118"/>
      <c r="J6" s="120">
        <f>+A6</f>
        <v>2022</v>
      </c>
      <c r="K6" s="120" t="s">
        <v>275</v>
      </c>
      <c r="L6" s="126" t="s">
        <v>174</v>
      </c>
      <c r="M6" s="126" t="s">
        <v>175</v>
      </c>
      <c r="N6" s="126" t="s">
        <v>177</v>
      </c>
      <c r="O6" s="126" t="s">
        <v>178</v>
      </c>
      <c r="Q6" s="342"/>
      <c r="R6" s="342"/>
      <c r="S6" s="342"/>
    </row>
    <row r="7" spans="1:19" x14ac:dyDescent="0.2">
      <c r="A7" s="125" t="s">
        <v>179</v>
      </c>
      <c r="B7" s="122">
        <v>30</v>
      </c>
      <c r="C7" s="123">
        <v>0.45</v>
      </c>
      <c r="D7" s="123">
        <v>0.8</v>
      </c>
      <c r="E7" s="122">
        <v>10</v>
      </c>
      <c r="F7" s="123">
        <v>0.4</v>
      </c>
      <c r="G7" s="123">
        <v>0.6</v>
      </c>
      <c r="J7" s="351" t="s">
        <v>122</v>
      </c>
      <c r="K7" s="125" t="s">
        <v>179</v>
      </c>
      <c r="L7" s="123">
        <v>0.5</v>
      </c>
      <c r="M7" s="123">
        <v>0.7</v>
      </c>
      <c r="N7" s="123">
        <v>0.5</v>
      </c>
      <c r="O7" s="123">
        <v>0.6</v>
      </c>
      <c r="Q7" s="342"/>
      <c r="R7" s="342"/>
      <c r="S7" s="342"/>
    </row>
    <row r="8" spans="1:19" x14ac:dyDescent="0.2">
      <c r="A8" s="125" t="s">
        <v>180</v>
      </c>
      <c r="B8" s="122">
        <v>30</v>
      </c>
      <c r="C8" s="123">
        <v>0.4</v>
      </c>
      <c r="D8" s="123">
        <v>1.2</v>
      </c>
      <c r="E8" s="122">
        <v>10</v>
      </c>
      <c r="F8" s="123">
        <v>0.4</v>
      </c>
      <c r="G8" s="123">
        <v>0.7</v>
      </c>
      <c r="J8" s="351"/>
      <c r="K8" s="125" t="s">
        <v>180</v>
      </c>
      <c r="L8" s="123">
        <v>0.6</v>
      </c>
      <c r="M8" s="123">
        <v>1.2</v>
      </c>
      <c r="N8" s="123">
        <v>0.6</v>
      </c>
      <c r="O8" s="123">
        <v>0.7</v>
      </c>
      <c r="Q8" s="342"/>
      <c r="R8" s="342"/>
      <c r="S8" s="342"/>
    </row>
    <row r="9" spans="1:19" ht="15" x14ac:dyDescent="0.25">
      <c r="A9" s="125" t="s">
        <v>181</v>
      </c>
      <c r="B9" s="122">
        <v>30</v>
      </c>
      <c r="C9" s="123">
        <v>0.45</v>
      </c>
      <c r="D9" s="123">
        <v>1.2</v>
      </c>
      <c r="E9" s="122">
        <v>10</v>
      </c>
      <c r="F9" s="123">
        <v>0.4</v>
      </c>
      <c r="G9" s="123">
        <v>0.7</v>
      </c>
      <c r="J9" s="351"/>
      <c r="K9" s="125" t="s">
        <v>181</v>
      </c>
      <c r="L9" s="123">
        <v>0.6</v>
      </c>
      <c r="M9" s="123">
        <v>1.2</v>
      </c>
      <c r="N9" s="123">
        <v>0.6</v>
      </c>
      <c r="O9" s="123">
        <v>0.7</v>
      </c>
      <c r="Q9" s="147" t="s">
        <v>327</v>
      </c>
    </row>
    <row r="10" spans="1:19" ht="14.25" customHeight="1" x14ac:dyDescent="0.2">
      <c r="A10" s="125" t="s">
        <v>182</v>
      </c>
      <c r="B10" s="122">
        <v>30</v>
      </c>
      <c r="C10" s="123">
        <v>0.5</v>
      </c>
      <c r="D10" s="123">
        <v>0.9</v>
      </c>
      <c r="E10" s="122">
        <v>10</v>
      </c>
      <c r="F10" s="123">
        <v>0.4</v>
      </c>
      <c r="G10" s="123">
        <v>0.7</v>
      </c>
      <c r="J10" s="351"/>
      <c r="K10" s="125" t="s">
        <v>182</v>
      </c>
      <c r="L10" s="123">
        <v>0.7</v>
      </c>
      <c r="M10" s="123">
        <v>0.9</v>
      </c>
      <c r="N10" s="123">
        <v>0.6</v>
      </c>
      <c r="O10" s="123">
        <v>0.7</v>
      </c>
      <c r="Q10" s="350" t="s">
        <v>347</v>
      </c>
      <c r="R10" s="350"/>
      <c r="S10" s="350"/>
    </row>
    <row r="11" spans="1:19" x14ac:dyDescent="0.2">
      <c r="A11" s="125" t="s">
        <v>183</v>
      </c>
      <c r="B11" s="122">
        <v>30</v>
      </c>
      <c r="C11" s="123">
        <v>0.45</v>
      </c>
      <c r="D11" s="123">
        <v>1.3</v>
      </c>
      <c r="E11" s="122">
        <v>10</v>
      </c>
      <c r="F11" s="123">
        <v>0.4</v>
      </c>
      <c r="G11" s="123">
        <v>0.7</v>
      </c>
      <c r="J11" s="351"/>
      <c r="K11" s="125" t="s">
        <v>183</v>
      </c>
      <c r="L11" s="123">
        <v>0.6</v>
      </c>
      <c r="M11" s="123">
        <v>1.3</v>
      </c>
      <c r="N11" s="123">
        <v>0.6</v>
      </c>
      <c r="O11" s="123">
        <v>0.7</v>
      </c>
      <c r="Q11" s="350"/>
      <c r="R11" s="350"/>
      <c r="S11" s="350"/>
    </row>
    <row r="12" spans="1:19" x14ac:dyDescent="0.2">
      <c r="A12" s="125" t="s">
        <v>184</v>
      </c>
      <c r="B12" s="122">
        <v>30</v>
      </c>
      <c r="C12" s="123">
        <v>1.8</v>
      </c>
      <c r="D12" s="123">
        <v>2.5</v>
      </c>
      <c r="E12" s="122">
        <v>10</v>
      </c>
      <c r="F12" s="123">
        <v>1.8</v>
      </c>
      <c r="G12" s="123">
        <v>2.1</v>
      </c>
      <c r="J12" s="351"/>
      <c r="K12" s="125" t="s">
        <v>184</v>
      </c>
      <c r="L12" s="123"/>
      <c r="M12" s="123"/>
      <c r="N12" s="123"/>
      <c r="O12" s="123"/>
      <c r="Q12" s="350"/>
      <c r="R12" s="350"/>
      <c r="S12" s="350"/>
    </row>
    <row r="13" spans="1:19" ht="14.25" customHeight="1" x14ac:dyDescent="0.2">
      <c r="A13" s="125" t="s">
        <v>185</v>
      </c>
      <c r="B13" s="122">
        <v>30</v>
      </c>
      <c r="C13" s="123">
        <v>2.4</v>
      </c>
      <c r="D13" s="123">
        <v>7.8</v>
      </c>
      <c r="E13" s="122">
        <v>10</v>
      </c>
      <c r="F13" s="123">
        <v>2.35</v>
      </c>
      <c r="G13" s="123">
        <v>4.7</v>
      </c>
      <c r="J13" s="351"/>
      <c r="K13" s="125" t="s">
        <v>185</v>
      </c>
      <c r="L13" s="123">
        <v>3.1</v>
      </c>
      <c r="M13" s="123">
        <v>7.8</v>
      </c>
      <c r="N13" s="123">
        <v>3.1</v>
      </c>
      <c r="O13" s="123">
        <v>4.7</v>
      </c>
      <c r="Q13" s="350" t="s">
        <v>353</v>
      </c>
      <c r="R13" s="350"/>
      <c r="S13" s="350"/>
    </row>
    <row r="14" spans="1:19" x14ac:dyDescent="0.2">
      <c r="A14" s="125" t="s">
        <v>186</v>
      </c>
      <c r="B14" s="122">
        <v>30</v>
      </c>
      <c r="C14" s="123">
        <v>1.8</v>
      </c>
      <c r="D14" s="123">
        <v>5</v>
      </c>
      <c r="E14" s="122">
        <v>10</v>
      </c>
      <c r="F14" s="123">
        <v>1.8</v>
      </c>
      <c r="G14" s="123">
        <v>4</v>
      </c>
      <c r="J14" s="351"/>
      <c r="K14" s="125" t="s">
        <v>186</v>
      </c>
      <c r="L14" s="123">
        <v>2.1</v>
      </c>
      <c r="M14" s="123">
        <v>5</v>
      </c>
      <c r="N14" s="123">
        <v>2.1</v>
      </c>
      <c r="O14" s="123">
        <v>4</v>
      </c>
      <c r="Q14" s="350"/>
      <c r="R14" s="350"/>
      <c r="S14" s="350"/>
    </row>
    <row r="15" spans="1:19" x14ac:dyDescent="0.2">
      <c r="A15" s="125" t="s">
        <v>187</v>
      </c>
      <c r="B15" s="122">
        <v>30</v>
      </c>
      <c r="C15" s="123">
        <v>1.6</v>
      </c>
      <c r="D15" s="123">
        <v>3.3</v>
      </c>
      <c r="E15" s="122">
        <v>10</v>
      </c>
      <c r="F15" s="123">
        <v>1.55</v>
      </c>
      <c r="G15" s="123">
        <v>2.6</v>
      </c>
      <c r="J15" s="351"/>
      <c r="K15" s="125" t="s">
        <v>187</v>
      </c>
      <c r="L15" s="123">
        <v>1.7</v>
      </c>
      <c r="M15" s="123">
        <v>3.3</v>
      </c>
      <c r="N15" s="123">
        <v>1.6</v>
      </c>
      <c r="O15" s="123">
        <v>2.6</v>
      </c>
      <c r="Q15" s="350"/>
      <c r="R15" s="350"/>
      <c r="S15" s="350"/>
    </row>
    <row r="16" spans="1:19" x14ac:dyDescent="0.2">
      <c r="A16" s="125" t="s">
        <v>188</v>
      </c>
      <c r="B16" s="122">
        <v>30</v>
      </c>
      <c r="C16" s="123">
        <v>1.95</v>
      </c>
      <c r="D16" s="123">
        <v>12.5</v>
      </c>
      <c r="E16" s="122">
        <v>10</v>
      </c>
      <c r="F16" s="123">
        <v>1.9</v>
      </c>
      <c r="G16" s="123">
        <v>5.4</v>
      </c>
      <c r="J16" s="351"/>
      <c r="K16" s="125" t="s">
        <v>188</v>
      </c>
      <c r="L16" s="123">
        <v>2.4</v>
      </c>
      <c r="M16" s="123">
        <v>8.4</v>
      </c>
      <c r="N16" s="123">
        <v>2.2999999999999998</v>
      </c>
      <c r="O16" s="123">
        <v>5.4</v>
      </c>
      <c r="Q16" s="350"/>
      <c r="R16" s="350"/>
      <c r="S16" s="350"/>
    </row>
    <row r="17" spans="1:15" x14ac:dyDescent="0.2">
      <c r="A17" s="125" t="s">
        <v>189</v>
      </c>
      <c r="B17" s="122">
        <v>30</v>
      </c>
      <c r="C17" s="123">
        <v>1.25</v>
      </c>
      <c r="D17" s="123">
        <v>9.5</v>
      </c>
      <c r="E17" s="122">
        <v>10</v>
      </c>
      <c r="F17" s="123">
        <v>1.25</v>
      </c>
      <c r="G17" s="123">
        <v>4.8</v>
      </c>
      <c r="J17" s="351"/>
      <c r="K17" s="125" t="s">
        <v>189</v>
      </c>
      <c r="L17" s="123">
        <v>1.4</v>
      </c>
      <c r="M17" s="123">
        <v>9.5</v>
      </c>
      <c r="N17" s="123">
        <v>1.4</v>
      </c>
      <c r="O17" s="123">
        <v>4.8</v>
      </c>
    </row>
    <row r="18" spans="1:15" x14ac:dyDescent="0.2">
      <c r="A18" s="125" t="s">
        <v>190</v>
      </c>
      <c r="B18" s="122">
        <v>30</v>
      </c>
      <c r="C18" s="123">
        <v>0.6</v>
      </c>
      <c r="D18" s="123">
        <v>5.0999999999999996</v>
      </c>
      <c r="E18" s="122">
        <v>10</v>
      </c>
      <c r="F18" s="123">
        <v>0.6</v>
      </c>
      <c r="G18" s="123">
        <v>2.7</v>
      </c>
      <c r="J18" s="351"/>
      <c r="K18" s="125" t="s">
        <v>190</v>
      </c>
      <c r="L18" s="123">
        <v>1</v>
      </c>
      <c r="M18" s="123">
        <v>5.0999999999999996</v>
      </c>
      <c r="N18" s="123">
        <v>1</v>
      </c>
      <c r="O18" s="123">
        <v>2.7</v>
      </c>
    </row>
    <row r="19" spans="1:15" x14ac:dyDescent="0.2">
      <c r="J19" s="351"/>
      <c r="K19" s="121" t="s">
        <v>277</v>
      </c>
      <c r="L19" s="121">
        <f>AVERAGE(L7:L18)</f>
        <v>1.3363636363636364</v>
      </c>
      <c r="M19" s="121">
        <f>MAX(M7:M18)</f>
        <v>9.5</v>
      </c>
      <c r="N19" s="121">
        <f>AVERAGE(N7:N18)</f>
        <v>1.3090909090909091</v>
      </c>
      <c r="O19" s="121">
        <f>MAX(O7:O18)</f>
        <v>5.4</v>
      </c>
    </row>
    <row r="21" spans="1:15" ht="30" x14ac:dyDescent="0.2">
      <c r="J21" s="120">
        <f>+A6</f>
        <v>2022</v>
      </c>
      <c r="K21" s="120" t="s">
        <v>275</v>
      </c>
      <c r="L21" s="126" t="s">
        <v>174</v>
      </c>
      <c r="M21" s="126" t="s">
        <v>175</v>
      </c>
      <c r="N21" s="126" t="s">
        <v>177</v>
      </c>
      <c r="O21" s="126" t="s">
        <v>178</v>
      </c>
    </row>
    <row r="22" spans="1:15" x14ac:dyDescent="0.2">
      <c r="J22" s="351" t="s">
        <v>123</v>
      </c>
      <c r="K22" s="125" t="s">
        <v>179</v>
      </c>
      <c r="L22" s="123">
        <v>0.4</v>
      </c>
      <c r="M22" s="123">
        <v>0.8</v>
      </c>
      <c r="N22" s="123">
        <v>0.3</v>
      </c>
      <c r="O22" s="123">
        <v>0.5</v>
      </c>
    </row>
    <row r="23" spans="1:15" x14ac:dyDescent="0.2">
      <c r="J23" s="351"/>
      <c r="K23" s="125" t="s">
        <v>180</v>
      </c>
      <c r="L23" s="123">
        <v>0.2</v>
      </c>
      <c r="M23" s="123">
        <v>0.4</v>
      </c>
      <c r="N23" s="123">
        <v>0.2</v>
      </c>
      <c r="O23" s="123">
        <v>0.3</v>
      </c>
    </row>
    <row r="24" spans="1:15" x14ac:dyDescent="0.2">
      <c r="J24" s="351"/>
      <c r="K24" s="125" t="s">
        <v>181</v>
      </c>
      <c r="L24" s="123">
        <v>0.3</v>
      </c>
      <c r="M24" s="123">
        <v>0.5</v>
      </c>
      <c r="N24" s="123">
        <v>0.2</v>
      </c>
      <c r="O24" s="123">
        <v>0.3</v>
      </c>
    </row>
    <row r="25" spans="1:15" x14ac:dyDescent="0.2">
      <c r="J25" s="351"/>
      <c r="K25" s="125" t="s">
        <v>182</v>
      </c>
      <c r="L25" s="123">
        <v>0.3</v>
      </c>
      <c r="M25" s="123">
        <v>0.4</v>
      </c>
      <c r="N25" s="123">
        <v>0.2</v>
      </c>
      <c r="O25" s="123">
        <v>0.3</v>
      </c>
    </row>
    <row r="26" spans="1:15" x14ac:dyDescent="0.2">
      <c r="J26" s="351"/>
      <c r="K26" s="125" t="s">
        <v>183</v>
      </c>
      <c r="L26" s="123">
        <v>0.3</v>
      </c>
      <c r="M26" s="123">
        <v>0.5</v>
      </c>
      <c r="N26" s="123">
        <v>0.2</v>
      </c>
      <c r="O26" s="123">
        <v>0.3</v>
      </c>
    </row>
    <row r="27" spans="1:15" x14ac:dyDescent="0.2">
      <c r="J27" s="351"/>
      <c r="K27" s="125" t="s">
        <v>184</v>
      </c>
      <c r="L27" s="123">
        <v>1.8</v>
      </c>
      <c r="M27" s="123">
        <v>2.5</v>
      </c>
      <c r="N27" s="123">
        <v>1.8</v>
      </c>
      <c r="O27" s="123">
        <v>2.1</v>
      </c>
    </row>
    <row r="28" spans="1:15" x14ac:dyDescent="0.2">
      <c r="J28" s="351"/>
      <c r="K28" s="125" t="s">
        <v>185</v>
      </c>
      <c r="L28" s="123">
        <v>1.7</v>
      </c>
      <c r="M28" s="123">
        <v>2.5</v>
      </c>
      <c r="N28" s="123">
        <v>1.6</v>
      </c>
      <c r="O28" s="123">
        <v>1.9</v>
      </c>
    </row>
    <row r="29" spans="1:15" x14ac:dyDescent="0.2">
      <c r="J29" s="351"/>
      <c r="K29" s="125" t="s">
        <v>186</v>
      </c>
      <c r="L29" s="123">
        <v>1.5</v>
      </c>
      <c r="M29" s="123">
        <v>3.2</v>
      </c>
      <c r="N29" s="123">
        <v>1.5</v>
      </c>
      <c r="O29" s="123">
        <v>1.8</v>
      </c>
    </row>
    <row r="30" spans="1:15" x14ac:dyDescent="0.2">
      <c r="J30" s="351"/>
      <c r="K30" s="125" t="s">
        <v>187</v>
      </c>
      <c r="L30" s="123">
        <v>1.5</v>
      </c>
      <c r="M30" s="123">
        <v>2.7</v>
      </c>
      <c r="N30" s="123">
        <v>1.5</v>
      </c>
      <c r="O30" s="123">
        <v>1.7</v>
      </c>
    </row>
    <row r="31" spans="1:15" x14ac:dyDescent="0.2">
      <c r="J31" s="351"/>
      <c r="K31" s="125" t="s">
        <v>188</v>
      </c>
      <c r="L31" s="123">
        <v>1.5</v>
      </c>
      <c r="M31" s="123">
        <v>12.5</v>
      </c>
      <c r="N31" s="123">
        <v>1.5</v>
      </c>
      <c r="O31" s="123">
        <v>1.9</v>
      </c>
    </row>
    <row r="32" spans="1:15" x14ac:dyDescent="0.2">
      <c r="J32" s="351"/>
      <c r="K32" s="125" t="s">
        <v>189</v>
      </c>
      <c r="L32" s="123">
        <v>1.1000000000000001</v>
      </c>
      <c r="M32" s="123">
        <v>2.5</v>
      </c>
      <c r="N32" s="123">
        <v>1.1000000000000001</v>
      </c>
      <c r="O32" s="123">
        <v>2.1</v>
      </c>
    </row>
    <row r="33" spans="1:15" x14ac:dyDescent="0.2">
      <c r="J33" s="351"/>
      <c r="K33" s="125" t="s">
        <v>190</v>
      </c>
      <c r="L33" s="123">
        <v>0.2</v>
      </c>
      <c r="M33" s="123">
        <v>0.4</v>
      </c>
      <c r="N33" s="123">
        <v>0.2</v>
      </c>
      <c r="O33" s="123">
        <v>0.3</v>
      </c>
    </row>
    <row r="34" spans="1:15" x14ac:dyDescent="0.2">
      <c r="J34" s="351"/>
      <c r="K34" s="121" t="s">
        <v>277</v>
      </c>
      <c r="L34" s="121">
        <f>AVERAGE(L22:L33)</f>
        <v>0.89999999999999991</v>
      </c>
      <c r="M34" s="121">
        <f>MAX(M22:M33)</f>
        <v>12.5</v>
      </c>
      <c r="N34" s="121">
        <f>AVERAGE(N22:N33)</f>
        <v>0.85833333333333328</v>
      </c>
      <c r="O34" s="121">
        <f>MAX(O22:O33)</f>
        <v>2.1</v>
      </c>
    </row>
    <row r="36" spans="1:15" ht="30" x14ac:dyDescent="0.2">
      <c r="J36" s="120">
        <f>+A6</f>
        <v>2022</v>
      </c>
      <c r="K36" s="120" t="s">
        <v>275</v>
      </c>
      <c r="L36" s="126" t="s">
        <v>174</v>
      </c>
      <c r="M36" s="126" t="s">
        <v>175</v>
      </c>
      <c r="N36" s="126" t="s">
        <v>177</v>
      </c>
      <c r="O36" s="126" t="s">
        <v>178</v>
      </c>
    </row>
    <row r="37" spans="1:15" x14ac:dyDescent="0.2">
      <c r="J37" s="351" t="s">
        <v>124</v>
      </c>
      <c r="K37" s="125" t="s">
        <v>179</v>
      </c>
      <c r="L37" s="123"/>
      <c r="M37" s="123"/>
      <c r="N37" s="123"/>
      <c r="O37" s="123"/>
    </row>
    <row r="38" spans="1:15" x14ac:dyDescent="0.2">
      <c r="J38" s="351"/>
      <c r="K38" s="125" t="s">
        <v>180</v>
      </c>
      <c r="L38" s="123"/>
      <c r="M38" s="123"/>
      <c r="N38" s="123"/>
      <c r="O38" s="123"/>
    </row>
    <row r="39" spans="1:15" x14ac:dyDescent="0.2">
      <c r="J39" s="351"/>
      <c r="K39" s="125" t="s">
        <v>181</v>
      </c>
      <c r="L39" s="123"/>
      <c r="M39" s="123"/>
      <c r="N39" s="123"/>
      <c r="O39" s="123"/>
    </row>
    <row r="40" spans="1:15" x14ac:dyDescent="0.2">
      <c r="J40" s="351"/>
      <c r="K40" s="125" t="s">
        <v>182</v>
      </c>
      <c r="L40" s="123"/>
      <c r="M40" s="123"/>
      <c r="N40" s="123"/>
      <c r="O40" s="123"/>
    </row>
    <row r="41" spans="1:15" x14ac:dyDescent="0.2">
      <c r="J41" s="351"/>
      <c r="K41" s="125" t="s">
        <v>183</v>
      </c>
      <c r="L41" s="123"/>
      <c r="M41" s="123"/>
      <c r="N41" s="123"/>
      <c r="O41" s="123"/>
    </row>
    <row r="42" spans="1:15" x14ac:dyDescent="0.2">
      <c r="J42" s="351"/>
      <c r="K42" s="125" t="s">
        <v>184</v>
      </c>
      <c r="L42" s="123"/>
      <c r="M42" s="123"/>
      <c r="N42" s="123"/>
      <c r="O42" s="123"/>
    </row>
    <row r="43" spans="1:15" x14ac:dyDescent="0.2">
      <c r="J43" s="351"/>
      <c r="K43" s="125" t="s">
        <v>185</v>
      </c>
      <c r="L43" s="123"/>
      <c r="M43" s="123"/>
      <c r="N43" s="123"/>
      <c r="O43" s="123"/>
    </row>
    <row r="44" spans="1:15" x14ac:dyDescent="0.2">
      <c r="J44" s="351"/>
      <c r="K44" s="125" t="s">
        <v>186</v>
      </c>
      <c r="L44" s="123"/>
      <c r="M44" s="123"/>
      <c r="N44" s="123"/>
      <c r="O44" s="123"/>
    </row>
    <row r="45" spans="1:15" x14ac:dyDescent="0.2">
      <c r="J45" s="351"/>
      <c r="K45" s="125" t="s">
        <v>187</v>
      </c>
      <c r="L45" s="123"/>
      <c r="M45" s="123"/>
      <c r="N45" s="123"/>
      <c r="O45" s="123"/>
    </row>
    <row r="46" spans="1:15" x14ac:dyDescent="0.2">
      <c r="J46" s="351"/>
      <c r="K46" s="125" t="s">
        <v>188</v>
      </c>
      <c r="L46" s="123"/>
      <c r="M46" s="123"/>
      <c r="N46" s="123"/>
      <c r="O46" s="123"/>
    </row>
    <row r="47" spans="1:15" x14ac:dyDescent="0.2">
      <c r="J47" s="351"/>
      <c r="K47" s="125" t="s">
        <v>189</v>
      </c>
      <c r="L47" s="123"/>
      <c r="M47" s="123"/>
      <c r="N47" s="123"/>
      <c r="O47" s="123"/>
    </row>
    <row r="48" spans="1:15" ht="15" x14ac:dyDescent="0.2">
      <c r="A48" s="354" t="s">
        <v>223</v>
      </c>
      <c r="B48" s="355"/>
      <c r="C48" s="355"/>
      <c r="D48" s="355"/>
      <c r="E48" s="355"/>
      <c r="F48" s="355"/>
      <c r="G48" s="356"/>
      <c r="J48" s="351"/>
      <c r="K48" s="125" t="s">
        <v>190</v>
      </c>
      <c r="L48" s="123"/>
      <c r="M48" s="123"/>
      <c r="N48" s="123"/>
      <c r="O48" s="123"/>
    </row>
    <row r="49" spans="1:15" x14ac:dyDescent="0.2">
      <c r="A49" s="357"/>
      <c r="B49" s="358"/>
      <c r="C49" s="358"/>
      <c r="D49" s="358"/>
      <c r="E49" s="358"/>
      <c r="F49" s="358"/>
      <c r="G49" s="359"/>
      <c r="J49" s="351"/>
      <c r="K49" s="121" t="s">
        <v>277</v>
      </c>
      <c r="L49" s="121" t="e">
        <f>AVERAGE(L37:L48)</f>
        <v>#DIV/0!</v>
      </c>
      <c r="M49" s="121">
        <f>MAX(M37:M48)</f>
        <v>0</v>
      </c>
      <c r="N49" s="121" t="e">
        <f>AVERAGE(N37:N48)</f>
        <v>#DIV/0!</v>
      </c>
      <c r="O49" s="121">
        <f>MAX(O37:O48)</f>
        <v>0</v>
      </c>
    </row>
    <row r="50" spans="1:15" x14ac:dyDescent="0.2">
      <c r="A50" s="360"/>
      <c r="B50" s="361"/>
      <c r="C50" s="361"/>
      <c r="D50" s="361"/>
      <c r="E50" s="361"/>
      <c r="F50" s="361"/>
      <c r="G50" s="362"/>
    </row>
    <row r="51" spans="1:15" ht="30" x14ac:dyDescent="0.2">
      <c r="A51" s="360"/>
      <c r="B51" s="361"/>
      <c r="C51" s="361"/>
      <c r="D51" s="361"/>
      <c r="E51" s="361"/>
      <c r="F51" s="361"/>
      <c r="G51" s="362"/>
      <c r="J51" s="120">
        <f>+A6</f>
        <v>2022</v>
      </c>
      <c r="K51" s="120" t="s">
        <v>275</v>
      </c>
      <c r="L51" s="126" t="s">
        <v>174</v>
      </c>
      <c r="M51" s="126" t="s">
        <v>175</v>
      </c>
      <c r="N51" s="126" t="s">
        <v>177</v>
      </c>
      <c r="O51" s="126" t="s">
        <v>178</v>
      </c>
    </row>
    <row r="52" spans="1:15" x14ac:dyDescent="0.2">
      <c r="A52" s="363"/>
      <c r="B52" s="364"/>
      <c r="C52" s="364"/>
      <c r="D52" s="364"/>
      <c r="E52" s="364"/>
      <c r="F52" s="364"/>
      <c r="G52" s="365"/>
      <c r="J52" s="351" t="s">
        <v>125</v>
      </c>
      <c r="K52" s="125" t="s">
        <v>179</v>
      </c>
      <c r="L52" s="123"/>
      <c r="M52" s="123"/>
      <c r="N52" s="123"/>
      <c r="O52" s="123"/>
    </row>
    <row r="53" spans="1:15" x14ac:dyDescent="0.2">
      <c r="J53" s="351"/>
      <c r="K53" s="125" t="s">
        <v>180</v>
      </c>
      <c r="L53" s="123"/>
      <c r="M53" s="123"/>
      <c r="N53" s="123"/>
      <c r="O53" s="123"/>
    </row>
    <row r="54" spans="1:15" x14ac:dyDescent="0.2">
      <c r="J54" s="351"/>
      <c r="K54" s="125" t="s">
        <v>181</v>
      </c>
      <c r="L54" s="123"/>
      <c r="M54" s="123"/>
      <c r="N54" s="123"/>
      <c r="O54" s="123"/>
    </row>
    <row r="55" spans="1:15" x14ac:dyDescent="0.2">
      <c r="J55" s="351"/>
      <c r="K55" s="125" t="s">
        <v>182</v>
      </c>
      <c r="L55" s="123"/>
      <c r="M55" s="123"/>
      <c r="N55" s="123"/>
      <c r="O55" s="123"/>
    </row>
    <row r="56" spans="1:15" x14ac:dyDescent="0.2">
      <c r="J56" s="351"/>
      <c r="K56" s="125" t="s">
        <v>183</v>
      </c>
      <c r="L56" s="123"/>
      <c r="M56" s="123"/>
      <c r="N56" s="123"/>
      <c r="O56" s="123"/>
    </row>
    <row r="57" spans="1:15" x14ac:dyDescent="0.2">
      <c r="J57" s="351"/>
      <c r="K57" s="125" t="s">
        <v>184</v>
      </c>
      <c r="L57" s="123"/>
      <c r="M57" s="123"/>
      <c r="N57" s="123"/>
      <c r="O57" s="123"/>
    </row>
    <row r="58" spans="1:15" x14ac:dyDescent="0.2">
      <c r="J58" s="351"/>
      <c r="K58" s="125" t="s">
        <v>185</v>
      </c>
      <c r="L58" s="123"/>
      <c r="M58" s="123"/>
      <c r="N58" s="123"/>
      <c r="O58" s="123"/>
    </row>
    <row r="59" spans="1:15" x14ac:dyDescent="0.2">
      <c r="J59" s="351"/>
      <c r="K59" s="125" t="s">
        <v>186</v>
      </c>
      <c r="L59" s="123"/>
      <c r="M59" s="123"/>
      <c r="N59" s="123"/>
      <c r="O59" s="123"/>
    </row>
    <row r="60" spans="1:15" x14ac:dyDescent="0.2">
      <c r="J60" s="351"/>
      <c r="K60" s="125" t="s">
        <v>187</v>
      </c>
      <c r="L60" s="123"/>
      <c r="M60" s="123"/>
      <c r="N60" s="123"/>
      <c r="O60" s="123"/>
    </row>
    <row r="61" spans="1:15" x14ac:dyDescent="0.2">
      <c r="J61" s="351"/>
      <c r="K61" s="125" t="s">
        <v>188</v>
      </c>
      <c r="L61" s="123"/>
      <c r="M61" s="123"/>
      <c r="N61" s="123"/>
      <c r="O61" s="123"/>
    </row>
    <row r="62" spans="1:15" x14ac:dyDescent="0.2">
      <c r="J62" s="351"/>
      <c r="K62" s="125" t="s">
        <v>189</v>
      </c>
      <c r="L62" s="123"/>
      <c r="M62" s="123"/>
      <c r="N62" s="123"/>
      <c r="O62" s="123"/>
    </row>
    <row r="63" spans="1:15" x14ac:dyDescent="0.2">
      <c r="J63" s="351"/>
      <c r="K63" s="125" t="s">
        <v>190</v>
      </c>
      <c r="L63" s="123"/>
      <c r="M63" s="123"/>
      <c r="N63" s="123"/>
      <c r="O63" s="123"/>
    </row>
    <row r="64" spans="1:15" x14ac:dyDescent="0.2">
      <c r="J64" s="351"/>
      <c r="K64" s="121" t="s">
        <v>277</v>
      </c>
      <c r="L64" s="121" t="e">
        <f>AVERAGE(L52:L63)</f>
        <v>#DIV/0!</v>
      </c>
      <c r="M64" s="121">
        <f>MAX(M52:M63)</f>
        <v>0</v>
      </c>
      <c r="N64" s="121" t="e">
        <f>AVERAGE(N52:N63)</f>
        <v>#DIV/0!</v>
      </c>
      <c r="O64" s="121">
        <f>MAX(O52:O63)</f>
        <v>0</v>
      </c>
    </row>
    <row r="66" spans="10:15" ht="30" x14ac:dyDescent="0.2">
      <c r="J66" s="120">
        <f>+A6</f>
        <v>2022</v>
      </c>
      <c r="K66" s="120" t="s">
        <v>275</v>
      </c>
      <c r="L66" s="126" t="s">
        <v>174</v>
      </c>
      <c r="M66" s="126" t="s">
        <v>175</v>
      </c>
      <c r="N66" s="126" t="s">
        <v>177</v>
      </c>
      <c r="O66" s="126" t="s">
        <v>178</v>
      </c>
    </row>
    <row r="67" spans="10:15" x14ac:dyDescent="0.2">
      <c r="J67" s="351" t="s">
        <v>126</v>
      </c>
      <c r="K67" s="125" t="s">
        <v>179</v>
      </c>
      <c r="L67" s="123"/>
      <c r="M67" s="123"/>
      <c r="N67" s="123"/>
      <c r="O67" s="123"/>
    </row>
    <row r="68" spans="10:15" x14ac:dyDescent="0.2">
      <c r="J68" s="351"/>
      <c r="K68" s="125" t="s">
        <v>180</v>
      </c>
      <c r="L68" s="123"/>
      <c r="M68" s="123"/>
      <c r="N68" s="123"/>
      <c r="O68" s="123"/>
    </row>
    <row r="69" spans="10:15" x14ac:dyDescent="0.2">
      <c r="J69" s="351"/>
      <c r="K69" s="125" t="s">
        <v>181</v>
      </c>
      <c r="L69" s="123"/>
      <c r="M69" s="123"/>
      <c r="N69" s="123"/>
      <c r="O69" s="123"/>
    </row>
    <row r="70" spans="10:15" x14ac:dyDescent="0.2">
      <c r="J70" s="351"/>
      <c r="K70" s="125" t="s">
        <v>182</v>
      </c>
      <c r="L70" s="123"/>
      <c r="M70" s="123"/>
      <c r="N70" s="123"/>
      <c r="O70" s="123"/>
    </row>
    <row r="71" spans="10:15" x14ac:dyDescent="0.2">
      <c r="J71" s="351"/>
      <c r="K71" s="125" t="s">
        <v>183</v>
      </c>
      <c r="L71" s="123"/>
      <c r="M71" s="123"/>
      <c r="N71" s="123"/>
      <c r="O71" s="123"/>
    </row>
    <row r="72" spans="10:15" x14ac:dyDescent="0.2">
      <c r="J72" s="351"/>
      <c r="K72" s="125" t="s">
        <v>184</v>
      </c>
      <c r="L72" s="123"/>
      <c r="M72" s="123"/>
      <c r="N72" s="123"/>
      <c r="O72" s="123"/>
    </row>
    <row r="73" spans="10:15" x14ac:dyDescent="0.2">
      <c r="J73" s="351"/>
      <c r="K73" s="125" t="s">
        <v>185</v>
      </c>
      <c r="L73" s="123"/>
      <c r="M73" s="123"/>
      <c r="N73" s="123"/>
      <c r="O73" s="123"/>
    </row>
    <row r="74" spans="10:15" x14ac:dyDescent="0.2">
      <c r="J74" s="351"/>
      <c r="K74" s="125" t="s">
        <v>186</v>
      </c>
      <c r="L74" s="123"/>
      <c r="M74" s="123"/>
      <c r="N74" s="123"/>
      <c r="O74" s="123"/>
    </row>
    <row r="75" spans="10:15" x14ac:dyDescent="0.2">
      <c r="J75" s="351"/>
      <c r="K75" s="125" t="s">
        <v>187</v>
      </c>
      <c r="L75" s="123"/>
      <c r="M75" s="123"/>
      <c r="N75" s="123"/>
      <c r="O75" s="123"/>
    </row>
    <row r="76" spans="10:15" x14ac:dyDescent="0.2">
      <c r="J76" s="351"/>
      <c r="K76" s="125" t="s">
        <v>188</v>
      </c>
      <c r="L76" s="123"/>
      <c r="M76" s="123"/>
      <c r="N76" s="123"/>
      <c r="O76" s="123"/>
    </row>
    <row r="77" spans="10:15" x14ac:dyDescent="0.2">
      <c r="J77" s="351"/>
      <c r="K77" s="125" t="s">
        <v>189</v>
      </c>
      <c r="L77" s="123"/>
      <c r="M77" s="123"/>
      <c r="N77" s="123"/>
      <c r="O77" s="123"/>
    </row>
    <row r="78" spans="10:15" x14ac:dyDescent="0.2">
      <c r="J78" s="351"/>
      <c r="K78" s="125" t="s">
        <v>190</v>
      </c>
      <c r="L78" s="123"/>
      <c r="M78" s="123"/>
      <c r="N78" s="123"/>
      <c r="O78" s="123"/>
    </row>
    <row r="79" spans="10:15" x14ac:dyDescent="0.2">
      <c r="J79" s="351"/>
      <c r="K79" s="121" t="s">
        <v>277</v>
      </c>
      <c r="L79" s="121" t="e">
        <f>AVERAGE(L67:L78)</f>
        <v>#DIV/0!</v>
      </c>
      <c r="M79" s="121">
        <f>MAX(M67:M78)</f>
        <v>0</v>
      </c>
      <c r="N79" s="121" t="e">
        <f>AVERAGE(N67:N78)</f>
        <v>#DIV/0!</v>
      </c>
      <c r="O79" s="12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92D050"/>
    <pageSetUpPr fitToPage="1"/>
  </sheetPr>
  <dimension ref="A1:S79"/>
  <sheetViews>
    <sheetView showGridLines="0" zoomScaleNormal="100" workbookViewId="0">
      <selection activeCell="O27" sqref="O27"/>
    </sheetView>
  </sheetViews>
  <sheetFormatPr defaultRowHeight="14.25" x14ac:dyDescent="0.2"/>
  <cols>
    <col min="1" max="1" width="14" style="3" customWidth="1"/>
    <col min="2" max="4" width="17" style="75" customWidth="1"/>
    <col min="5" max="5" width="14.7109375" style="75" customWidth="1"/>
    <col min="6" max="7" width="17" style="7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Addenbrooke's Hospital  Incinerator</v>
      </c>
    </row>
    <row r="3" spans="1:19" ht="15" x14ac:dyDescent="0.25">
      <c r="A3" s="119" t="s">
        <v>323</v>
      </c>
      <c r="D3" s="145" t="s">
        <v>320</v>
      </c>
      <c r="G3" s="149" t="s">
        <v>328</v>
      </c>
      <c r="J3" s="11" t="str">
        <f>+A3</f>
        <v>Monitoring of Carbon Monoxide (half hourly)</v>
      </c>
      <c r="L3" s="11"/>
      <c r="N3" s="11" t="s">
        <v>321</v>
      </c>
      <c r="Q3" s="148" t="s">
        <v>315</v>
      </c>
      <c r="R3" s="139"/>
      <c r="S3" s="139"/>
    </row>
    <row r="4" spans="1:19" ht="13.9" customHeight="1" x14ac:dyDescent="0.2">
      <c r="Q4" s="342" t="s">
        <v>326</v>
      </c>
      <c r="R4" s="342"/>
      <c r="S4" s="342"/>
    </row>
    <row r="5" spans="1:19" ht="17.25" x14ac:dyDescent="0.25">
      <c r="A5" s="127" t="s">
        <v>276</v>
      </c>
      <c r="B5" s="352" t="s">
        <v>274</v>
      </c>
      <c r="C5" s="352"/>
      <c r="D5" s="352"/>
      <c r="E5" s="352" t="s">
        <v>273</v>
      </c>
      <c r="F5" s="352"/>
      <c r="G5" s="352"/>
      <c r="J5" s="353"/>
      <c r="K5" s="353"/>
      <c r="L5" s="353"/>
      <c r="M5" s="353"/>
      <c r="N5" s="353"/>
      <c r="O5" s="353"/>
      <c r="Q5" s="342"/>
      <c r="R5" s="342"/>
      <c r="S5" s="342"/>
    </row>
    <row r="6" spans="1:19" s="117" customFormat="1" ht="37.5" customHeight="1" x14ac:dyDescent="0.25">
      <c r="A6" s="124">
        <v>2022</v>
      </c>
      <c r="B6" s="113" t="s">
        <v>200</v>
      </c>
      <c r="C6" s="113" t="s">
        <v>174</v>
      </c>
      <c r="D6" s="113" t="s">
        <v>340</v>
      </c>
      <c r="E6" s="113" t="s">
        <v>201</v>
      </c>
      <c r="F6" s="113" t="s">
        <v>177</v>
      </c>
      <c r="G6" s="113" t="s">
        <v>341</v>
      </c>
      <c r="H6" s="118"/>
      <c r="J6" s="120">
        <f>+A6</f>
        <v>2022</v>
      </c>
      <c r="K6" s="120" t="s">
        <v>275</v>
      </c>
      <c r="L6" s="126" t="s">
        <v>174</v>
      </c>
      <c r="M6" s="126" t="s">
        <v>175</v>
      </c>
      <c r="N6" s="126" t="s">
        <v>177</v>
      </c>
      <c r="O6" s="126" t="s">
        <v>178</v>
      </c>
      <c r="Q6" s="342"/>
      <c r="R6" s="342"/>
      <c r="S6" s="342"/>
    </row>
    <row r="7" spans="1:19" x14ac:dyDescent="0.2">
      <c r="A7" s="125" t="s">
        <v>179</v>
      </c>
      <c r="B7" s="128">
        <v>100</v>
      </c>
      <c r="C7" s="123">
        <v>3.6</v>
      </c>
      <c r="D7" s="123">
        <v>85</v>
      </c>
      <c r="E7" s="128">
        <v>50</v>
      </c>
      <c r="F7" s="123">
        <v>3.5</v>
      </c>
      <c r="G7" s="123">
        <v>8.4</v>
      </c>
      <c r="J7" s="351" t="s">
        <v>122</v>
      </c>
      <c r="K7" s="125" t="s">
        <v>179</v>
      </c>
      <c r="L7" s="123">
        <v>3.3</v>
      </c>
      <c r="M7" s="123">
        <v>85</v>
      </c>
      <c r="N7" s="123">
        <v>3</v>
      </c>
      <c r="O7" s="123">
        <v>8.4</v>
      </c>
      <c r="Q7" s="342"/>
      <c r="R7" s="342"/>
      <c r="S7" s="342"/>
    </row>
    <row r="8" spans="1:19" x14ac:dyDescent="0.2">
      <c r="A8" s="125" t="s">
        <v>180</v>
      </c>
      <c r="B8" s="122">
        <f>+B7</f>
        <v>100</v>
      </c>
      <c r="C8" s="123">
        <v>3.75</v>
      </c>
      <c r="D8" s="123">
        <v>85.9</v>
      </c>
      <c r="E8" s="122">
        <f>+E7</f>
        <v>50</v>
      </c>
      <c r="F8" s="123">
        <v>3.75</v>
      </c>
      <c r="G8" s="123">
        <v>9.3000000000000007</v>
      </c>
      <c r="J8" s="351"/>
      <c r="K8" s="125" t="s">
        <v>180</v>
      </c>
      <c r="L8" s="123">
        <v>2.4</v>
      </c>
      <c r="M8" s="123">
        <v>85.9</v>
      </c>
      <c r="N8" s="123">
        <v>2.4</v>
      </c>
      <c r="O8" s="123">
        <v>7.5</v>
      </c>
      <c r="Q8" s="342"/>
      <c r="R8" s="342"/>
      <c r="S8" s="342"/>
    </row>
    <row r="9" spans="1:19" ht="15" x14ac:dyDescent="0.25">
      <c r="A9" s="125" t="s">
        <v>181</v>
      </c>
      <c r="B9" s="122">
        <f t="shared" ref="B9:B18" si="0">+B8</f>
        <v>100</v>
      </c>
      <c r="C9" s="123">
        <v>4.4000000000000004</v>
      </c>
      <c r="D9" s="123">
        <v>143.69999999999999</v>
      </c>
      <c r="E9" s="122">
        <f t="shared" ref="E9:E18" si="1">+E8</f>
        <v>50</v>
      </c>
      <c r="F9" s="123">
        <v>4.2</v>
      </c>
      <c r="G9" s="123">
        <v>11</v>
      </c>
      <c r="J9" s="351"/>
      <c r="K9" s="125" t="s">
        <v>181</v>
      </c>
      <c r="L9" s="123">
        <v>4.4000000000000004</v>
      </c>
      <c r="M9" s="123">
        <v>143.69999999999999</v>
      </c>
      <c r="N9" s="123">
        <v>4.4000000000000004</v>
      </c>
      <c r="O9" s="123">
        <v>11</v>
      </c>
      <c r="Q9" s="147" t="s">
        <v>327</v>
      </c>
    </row>
    <row r="10" spans="1:19" ht="14.25" customHeight="1" x14ac:dyDescent="0.2">
      <c r="A10" s="125" t="s">
        <v>182</v>
      </c>
      <c r="B10" s="122">
        <f t="shared" si="0"/>
        <v>100</v>
      </c>
      <c r="C10" s="123">
        <v>4.5</v>
      </c>
      <c r="D10" s="123">
        <v>94.5</v>
      </c>
      <c r="E10" s="122">
        <f t="shared" si="1"/>
        <v>50</v>
      </c>
      <c r="F10" s="123">
        <v>4.4000000000000004</v>
      </c>
      <c r="G10" s="123">
        <v>12.8</v>
      </c>
      <c r="J10" s="351"/>
      <c r="K10" s="125" t="s">
        <v>182</v>
      </c>
      <c r="L10" s="123">
        <v>3.6</v>
      </c>
      <c r="M10" s="123">
        <v>94.5</v>
      </c>
      <c r="N10" s="123">
        <v>3.4</v>
      </c>
      <c r="O10" s="123">
        <v>8.6999999999999993</v>
      </c>
      <c r="Q10" s="350" t="s">
        <v>347</v>
      </c>
      <c r="R10" s="350"/>
      <c r="S10" s="350"/>
    </row>
    <row r="11" spans="1:19" x14ac:dyDescent="0.2">
      <c r="A11" s="125" t="s">
        <v>183</v>
      </c>
      <c r="B11" s="122">
        <f t="shared" si="0"/>
        <v>100</v>
      </c>
      <c r="C11" s="123">
        <v>3.75</v>
      </c>
      <c r="D11" s="123">
        <v>211.4</v>
      </c>
      <c r="E11" s="122">
        <f t="shared" si="1"/>
        <v>50</v>
      </c>
      <c r="F11" s="123">
        <v>3.55</v>
      </c>
      <c r="G11" s="123">
        <v>7.8</v>
      </c>
      <c r="J11" s="351"/>
      <c r="K11" s="125" t="s">
        <v>183</v>
      </c>
      <c r="L11" s="123">
        <v>4.0999999999999996</v>
      </c>
      <c r="M11" s="123">
        <v>211.4</v>
      </c>
      <c r="N11" s="123">
        <v>3.7</v>
      </c>
      <c r="O11" s="123">
        <v>7.8</v>
      </c>
      <c r="Q11" s="350"/>
      <c r="R11" s="350"/>
      <c r="S11" s="350"/>
    </row>
    <row r="12" spans="1:19" x14ac:dyDescent="0.2">
      <c r="A12" s="125" t="s">
        <v>184</v>
      </c>
      <c r="B12" s="122">
        <f t="shared" si="0"/>
        <v>100</v>
      </c>
      <c r="C12" s="123">
        <v>2.8</v>
      </c>
      <c r="D12" s="123">
        <v>63.9</v>
      </c>
      <c r="E12" s="122">
        <f t="shared" si="1"/>
        <v>50</v>
      </c>
      <c r="F12" s="123">
        <v>2.7</v>
      </c>
      <c r="G12" s="123">
        <v>6.3</v>
      </c>
      <c r="J12" s="351"/>
      <c r="K12" s="125" t="s">
        <v>184</v>
      </c>
      <c r="L12" s="123"/>
      <c r="M12" s="123"/>
      <c r="N12" s="123"/>
      <c r="O12" s="123"/>
      <c r="Q12" s="350"/>
      <c r="R12" s="350"/>
      <c r="S12" s="350"/>
    </row>
    <row r="13" spans="1:19" ht="14.25" customHeight="1" x14ac:dyDescent="0.2">
      <c r="A13" s="125" t="s">
        <v>185</v>
      </c>
      <c r="B13" s="122">
        <f t="shared" si="0"/>
        <v>100</v>
      </c>
      <c r="C13" s="123">
        <v>6.05</v>
      </c>
      <c r="D13" s="123">
        <v>113</v>
      </c>
      <c r="E13" s="122">
        <f t="shared" si="1"/>
        <v>50</v>
      </c>
      <c r="F13" s="123">
        <v>5.85</v>
      </c>
      <c r="G13" s="123">
        <v>12.2</v>
      </c>
      <c r="J13" s="351"/>
      <c r="K13" s="125" t="s">
        <v>185</v>
      </c>
      <c r="L13" s="123">
        <v>6.2</v>
      </c>
      <c r="M13" s="123">
        <v>113</v>
      </c>
      <c r="N13" s="123">
        <v>5.8</v>
      </c>
      <c r="O13" s="123">
        <v>10.4</v>
      </c>
      <c r="Q13" s="350" t="s">
        <v>353</v>
      </c>
      <c r="R13" s="350"/>
      <c r="S13" s="350"/>
    </row>
    <row r="14" spans="1:19" x14ac:dyDescent="0.2">
      <c r="A14" s="125" t="s">
        <v>186</v>
      </c>
      <c r="B14" s="122">
        <f t="shared" si="0"/>
        <v>100</v>
      </c>
      <c r="C14" s="123">
        <v>4.45</v>
      </c>
      <c r="D14" s="123">
        <v>130.9</v>
      </c>
      <c r="E14" s="122">
        <f t="shared" si="1"/>
        <v>50</v>
      </c>
      <c r="F14" s="123">
        <v>4.5</v>
      </c>
      <c r="G14" s="123">
        <v>15.3</v>
      </c>
      <c r="J14" s="351"/>
      <c r="K14" s="125" t="s">
        <v>186</v>
      </c>
      <c r="L14" s="123">
        <v>5.5</v>
      </c>
      <c r="M14" s="123">
        <v>130.9</v>
      </c>
      <c r="N14" s="123">
        <v>5.6</v>
      </c>
      <c r="O14" s="123">
        <v>15.3</v>
      </c>
      <c r="Q14" s="350"/>
      <c r="R14" s="350"/>
      <c r="S14" s="350"/>
    </row>
    <row r="15" spans="1:19" x14ac:dyDescent="0.2">
      <c r="A15" s="125" t="s">
        <v>187</v>
      </c>
      <c r="B15" s="122">
        <f t="shared" si="0"/>
        <v>100</v>
      </c>
      <c r="C15" s="123">
        <v>3.9</v>
      </c>
      <c r="D15" s="123">
        <v>80.599999999999994</v>
      </c>
      <c r="E15" s="122">
        <f t="shared" si="1"/>
        <v>50</v>
      </c>
      <c r="F15" s="123">
        <v>3.8</v>
      </c>
      <c r="G15" s="123">
        <v>11.5</v>
      </c>
      <c r="J15" s="351"/>
      <c r="K15" s="125" t="s">
        <v>187</v>
      </c>
      <c r="L15" s="123">
        <v>3.2</v>
      </c>
      <c r="M15" s="123">
        <v>80.599999999999994</v>
      </c>
      <c r="N15" s="123">
        <v>2.9</v>
      </c>
      <c r="O15" s="123">
        <v>5.2</v>
      </c>
      <c r="Q15" s="350"/>
      <c r="R15" s="350"/>
      <c r="S15" s="350"/>
    </row>
    <row r="16" spans="1:19" x14ac:dyDescent="0.2">
      <c r="A16" s="125" t="s">
        <v>188</v>
      </c>
      <c r="B16" s="122">
        <f t="shared" si="0"/>
        <v>100</v>
      </c>
      <c r="C16" s="123">
        <v>7.15</v>
      </c>
      <c r="D16" s="123">
        <v>118.9</v>
      </c>
      <c r="E16" s="122">
        <f t="shared" si="1"/>
        <v>50</v>
      </c>
      <c r="F16" s="123">
        <v>7.2</v>
      </c>
      <c r="G16" s="123">
        <v>20.5</v>
      </c>
      <c r="J16" s="351"/>
      <c r="K16" s="125" t="s">
        <v>188</v>
      </c>
      <c r="L16" s="123">
        <v>8.1999999999999993</v>
      </c>
      <c r="M16" s="123">
        <v>118.9</v>
      </c>
      <c r="N16" s="123">
        <v>8.1999999999999993</v>
      </c>
      <c r="O16" s="123">
        <v>20.5</v>
      </c>
      <c r="Q16" s="350"/>
      <c r="R16" s="350"/>
      <c r="S16" s="350"/>
    </row>
    <row r="17" spans="1:15" x14ac:dyDescent="0.2">
      <c r="A17" s="125" t="s">
        <v>189</v>
      </c>
      <c r="B17" s="122">
        <f t="shared" si="0"/>
        <v>100</v>
      </c>
      <c r="C17" s="123">
        <v>5</v>
      </c>
      <c r="D17" s="123">
        <v>73.900000000000006</v>
      </c>
      <c r="E17" s="122">
        <f t="shared" si="1"/>
        <v>50</v>
      </c>
      <c r="F17" s="123">
        <v>4.95</v>
      </c>
      <c r="G17" s="123">
        <v>16.399999999999999</v>
      </c>
      <c r="J17" s="351"/>
      <c r="K17" s="125" t="s">
        <v>189</v>
      </c>
      <c r="L17" s="123">
        <v>7.4</v>
      </c>
      <c r="M17" s="123">
        <v>71</v>
      </c>
      <c r="N17" s="123">
        <v>7.3</v>
      </c>
      <c r="O17" s="123">
        <v>16.399999999999999</v>
      </c>
    </row>
    <row r="18" spans="1:15" x14ac:dyDescent="0.2">
      <c r="A18" s="125" t="s">
        <v>190</v>
      </c>
      <c r="B18" s="122">
        <f t="shared" si="0"/>
        <v>100</v>
      </c>
      <c r="C18" s="123">
        <v>5.9</v>
      </c>
      <c r="D18" s="123">
        <v>147.4</v>
      </c>
      <c r="E18" s="122">
        <f t="shared" si="1"/>
        <v>50</v>
      </c>
      <c r="F18" s="123">
        <v>5.9</v>
      </c>
      <c r="G18" s="123">
        <v>14.7</v>
      </c>
      <c r="J18" s="351"/>
      <c r="K18" s="125" t="s">
        <v>190</v>
      </c>
      <c r="L18" s="123">
        <v>5.8</v>
      </c>
      <c r="M18" s="123">
        <v>147.4</v>
      </c>
      <c r="N18" s="123">
        <v>5.7</v>
      </c>
      <c r="O18" s="123">
        <v>9.9</v>
      </c>
    </row>
    <row r="19" spans="1:15" x14ac:dyDescent="0.2">
      <c r="J19" s="351"/>
      <c r="K19" s="121" t="s">
        <v>277</v>
      </c>
      <c r="L19" s="121">
        <f>AVERAGE(L7:L18)</f>
        <v>4.9181818181818171</v>
      </c>
      <c r="M19" s="121">
        <f>MAX(M7:M18)</f>
        <v>211.4</v>
      </c>
      <c r="N19" s="121">
        <f>AVERAGE(N7:N18)</f>
        <v>4.7636363636363646</v>
      </c>
      <c r="O19" s="121">
        <f>MAX(O7:O18)</f>
        <v>20.5</v>
      </c>
    </row>
    <row r="21" spans="1:15" ht="30" x14ac:dyDescent="0.2">
      <c r="J21" s="120">
        <f>+A6</f>
        <v>2022</v>
      </c>
      <c r="K21" s="120" t="s">
        <v>275</v>
      </c>
      <c r="L21" s="126" t="s">
        <v>174</v>
      </c>
      <c r="M21" s="126" t="s">
        <v>175</v>
      </c>
      <c r="N21" s="126" t="s">
        <v>177</v>
      </c>
      <c r="O21" s="126" t="s">
        <v>178</v>
      </c>
    </row>
    <row r="22" spans="1:15" x14ac:dyDescent="0.2">
      <c r="J22" s="351" t="s">
        <v>123</v>
      </c>
      <c r="K22" s="125" t="s">
        <v>179</v>
      </c>
      <c r="L22" s="123">
        <v>3.9</v>
      </c>
      <c r="M22" s="123">
        <v>55.9</v>
      </c>
      <c r="N22" s="123">
        <v>4</v>
      </c>
      <c r="O22" s="123">
        <v>7.5</v>
      </c>
    </row>
    <row r="23" spans="1:15" x14ac:dyDescent="0.2">
      <c r="J23" s="351"/>
      <c r="K23" s="125" t="s">
        <v>180</v>
      </c>
      <c r="L23" s="123">
        <v>5.0999999999999996</v>
      </c>
      <c r="M23" s="123">
        <v>57.1</v>
      </c>
      <c r="N23" s="123">
        <v>5.0999999999999996</v>
      </c>
      <c r="O23" s="123">
        <v>9.3000000000000007</v>
      </c>
    </row>
    <row r="24" spans="1:15" x14ac:dyDescent="0.2">
      <c r="J24" s="351"/>
      <c r="K24" s="125" t="s">
        <v>181</v>
      </c>
      <c r="L24" s="123">
        <v>4.4000000000000004</v>
      </c>
      <c r="M24" s="123">
        <v>123.1</v>
      </c>
      <c r="N24" s="123">
        <v>4</v>
      </c>
      <c r="O24" s="123">
        <v>7.6</v>
      </c>
    </row>
    <row r="25" spans="1:15" x14ac:dyDescent="0.2">
      <c r="J25" s="351"/>
      <c r="K25" s="125" t="s">
        <v>182</v>
      </c>
      <c r="L25" s="123">
        <v>5.4</v>
      </c>
      <c r="M25" s="123">
        <v>65.2</v>
      </c>
      <c r="N25" s="123">
        <v>5.4</v>
      </c>
      <c r="O25" s="123">
        <v>12.8</v>
      </c>
    </row>
    <row r="26" spans="1:15" x14ac:dyDescent="0.2">
      <c r="J26" s="351"/>
      <c r="K26" s="125" t="s">
        <v>183</v>
      </c>
      <c r="L26" s="123">
        <v>3.4</v>
      </c>
      <c r="M26" s="123">
        <v>53.4</v>
      </c>
      <c r="N26" s="123">
        <v>3.4</v>
      </c>
      <c r="O26" s="123">
        <v>7.7</v>
      </c>
    </row>
    <row r="27" spans="1:15" x14ac:dyDescent="0.2">
      <c r="J27" s="351"/>
      <c r="K27" s="125" t="s">
        <v>184</v>
      </c>
      <c r="L27" s="123">
        <v>2.8</v>
      </c>
      <c r="M27" s="123">
        <v>63.9</v>
      </c>
      <c r="N27" s="123">
        <v>2.7</v>
      </c>
      <c r="O27" s="123">
        <v>6.3</v>
      </c>
    </row>
    <row r="28" spans="1:15" x14ac:dyDescent="0.2">
      <c r="J28" s="351"/>
      <c r="K28" s="125" t="s">
        <v>185</v>
      </c>
      <c r="L28" s="123">
        <v>5.9</v>
      </c>
      <c r="M28" s="123">
        <v>82.2</v>
      </c>
      <c r="N28" s="123">
        <v>5.9</v>
      </c>
      <c r="O28" s="123">
        <v>12.2</v>
      </c>
    </row>
    <row r="29" spans="1:15" x14ac:dyDescent="0.2">
      <c r="J29" s="351"/>
      <c r="K29" s="125" t="s">
        <v>186</v>
      </c>
      <c r="L29" s="123">
        <v>3.4</v>
      </c>
      <c r="M29" s="123">
        <v>53</v>
      </c>
      <c r="N29" s="123">
        <v>3.4</v>
      </c>
      <c r="O29" s="123">
        <v>7.8</v>
      </c>
    </row>
    <row r="30" spans="1:15" x14ac:dyDescent="0.2">
      <c r="J30" s="351"/>
      <c r="K30" s="125" t="s">
        <v>187</v>
      </c>
      <c r="L30" s="123">
        <v>4.5999999999999996</v>
      </c>
      <c r="M30" s="123">
        <v>56.8</v>
      </c>
      <c r="N30" s="123">
        <v>4.7</v>
      </c>
      <c r="O30" s="123">
        <v>11.5</v>
      </c>
    </row>
    <row r="31" spans="1:15" x14ac:dyDescent="0.2">
      <c r="J31" s="351"/>
      <c r="K31" s="125" t="s">
        <v>188</v>
      </c>
      <c r="L31" s="123">
        <v>6.1</v>
      </c>
      <c r="M31" s="123">
        <v>79.7</v>
      </c>
      <c r="N31" s="123">
        <v>6.2</v>
      </c>
      <c r="O31" s="123">
        <v>12.3</v>
      </c>
    </row>
    <row r="32" spans="1:15" x14ac:dyDescent="0.2">
      <c r="J32" s="351"/>
      <c r="K32" s="125" t="s">
        <v>189</v>
      </c>
      <c r="L32" s="123">
        <v>2.6</v>
      </c>
      <c r="M32" s="123">
        <v>73.900000000000006</v>
      </c>
      <c r="N32" s="123">
        <v>2.6</v>
      </c>
      <c r="O32" s="123">
        <v>5.4</v>
      </c>
    </row>
    <row r="33" spans="1:15" x14ac:dyDescent="0.2">
      <c r="J33" s="351"/>
      <c r="K33" s="125" t="s">
        <v>190</v>
      </c>
      <c r="L33" s="123">
        <v>6</v>
      </c>
      <c r="M33" s="123">
        <v>87.2</v>
      </c>
      <c r="N33" s="123">
        <v>6.1</v>
      </c>
      <c r="O33" s="123">
        <v>14.7</v>
      </c>
    </row>
    <row r="34" spans="1:15" x14ac:dyDescent="0.2">
      <c r="J34" s="351"/>
      <c r="K34" s="121" t="s">
        <v>277</v>
      </c>
      <c r="L34" s="121">
        <f>AVERAGE(L22:L33)</f>
        <v>4.4666666666666668</v>
      </c>
      <c r="M34" s="121">
        <f>MAX(M22:M33)</f>
        <v>123.1</v>
      </c>
      <c r="N34" s="121">
        <f>AVERAGE(N22:N33)</f>
        <v>4.4583333333333339</v>
      </c>
      <c r="O34" s="121">
        <f>MAX(O22:O33)</f>
        <v>14.7</v>
      </c>
    </row>
    <row r="36" spans="1:15" ht="30" x14ac:dyDescent="0.2">
      <c r="J36" s="120">
        <f>+A6</f>
        <v>2022</v>
      </c>
      <c r="K36" s="120" t="s">
        <v>275</v>
      </c>
      <c r="L36" s="126" t="s">
        <v>174</v>
      </c>
      <c r="M36" s="126" t="s">
        <v>175</v>
      </c>
      <c r="N36" s="126" t="s">
        <v>177</v>
      </c>
      <c r="O36" s="126" t="s">
        <v>178</v>
      </c>
    </row>
    <row r="37" spans="1:15" x14ac:dyDescent="0.2">
      <c r="J37" s="351" t="s">
        <v>124</v>
      </c>
      <c r="K37" s="125" t="s">
        <v>179</v>
      </c>
      <c r="L37" s="123"/>
      <c r="M37" s="123"/>
      <c r="N37" s="123"/>
      <c r="O37" s="123"/>
    </row>
    <row r="38" spans="1:15" x14ac:dyDescent="0.2">
      <c r="J38" s="351"/>
      <c r="K38" s="125" t="s">
        <v>180</v>
      </c>
      <c r="L38" s="123"/>
      <c r="M38" s="123"/>
      <c r="N38" s="123"/>
      <c r="O38" s="123"/>
    </row>
    <row r="39" spans="1:15" x14ac:dyDescent="0.2">
      <c r="J39" s="351"/>
      <c r="K39" s="125" t="s">
        <v>181</v>
      </c>
      <c r="L39" s="123"/>
      <c r="M39" s="123"/>
      <c r="N39" s="123"/>
      <c r="O39" s="123"/>
    </row>
    <row r="40" spans="1:15" x14ac:dyDescent="0.2">
      <c r="J40" s="351"/>
      <c r="K40" s="125" t="s">
        <v>182</v>
      </c>
      <c r="L40" s="123"/>
      <c r="M40" s="123"/>
      <c r="N40" s="123"/>
      <c r="O40" s="123"/>
    </row>
    <row r="41" spans="1:15" x14ac:dyDescent="0.2">
      <c r="J41" s="351"/>
      <c r="K41" s="125" t="s">
        <v>183</v>
      </c>
      <c r="L41" s="123"/>
      <c r="M41" s="123"/>
      <c r="N41" s="123"/>
      <c r="O41" s="123"/>
    </row>
    <row r="42" spans="1:15" x14ac:dyDescent="0.2">
      <c r="J42" s="351"/>
      <c r="K42" s="125" t="s">
        <v>184</v>
      </c>
      <c r="L42" s="123"/>
      <c r="M42" s="123"/>
      <c r="N42" s="123"/>
      <c r="O42" s="123"/>
    </row>
    <row r="43" spans="1:15" x14ac:dyDescent="0.2">
      <c r="J43" s="351"/>
      <c r="K43" s="125" t="s">
        <v>185</v>
      </c>
      <c r="L43" s="123"/>
      <c r="M43" s="123"/>
      <c r="N43" s="123"/>
      <c r="O43" s="123"/>
    </row>
    <row r="44" spans="1:15" x14ac:dyDescent="0.2">
      <c r="J44" s="351"/>
      <c r="K44" s="125" t="s">
        <v>186</v>
      </c>
      <c r="L44" s="123"/>
      <c r="M44" s="123"/>
      <c r="N44" s="123"/>
      <c r="O44" s="123"/>
    </row>
    <row r="45" spans="1:15" x14ac:dyDescent="0.2">
      <c r="J45" s="351"/>
      <c r="K45" s="125" t="s">
        <v>187</v>
      </c>
      <c r="L45" s="123"/>
      <c r="M45" s="123"/>
      <c r="N45" s="123"/>
      <c r="O45" s="123"/>
    </row>
    <row r="46" spans="1:15" x14ac:dyDescent="0.2">
      <c r="J46" s="351"/>
      <c r="K46" s="125" t="s">
        <v>188</v>
      </c>
      <c r="L46" s="123"/>
      <c r="M46" s="123"/>
      <c r="N46" s="123"/>
      <c r="O46" s="123"/>
    </row>
    <row r="47" spans="1:15" x14ac:dyDescent="0.2">
      <c r="J47" s="351"/>
      <c r="K47" s="125" t="s">
        <v>189</v>
      </c>
      <c r="L47" s="123"/>
      <c r="M47" s="123"/>
      <c r="N47" s="123"/>
      <c r="O47" s="123"/>
    </row>
    <row r="48" spans="1:15" ht="15" x14ac:dyDescent="0.2">
      <c r="A48" s="354" t="s">
        <v>223</v>
      </c>
      <c r="B48" s="355"/>
      <c r="C48" s="355"/>
      <c r="D48" s="355"/>
      <c r="E48" s="355"/>
      <c r="F48" s="355"/>
      <c r="G48" s="356"/>
      <c r="J48" s="351"/>
      <c r="K48" s="125" t="s">
        <v>190</v>
      </c>
      <c r="L48" s="123"/>
      <c r="M48" s="123"/>
      <c r="N48" s="123"/>
      <c r="O48" s="123"/>
    </row>
    <row r="49" spans="1:15" x14ac:dyDescent="0.2">
      <c r="A49" s="357"/>
      <c r="B49" s="358"/>
      <c r="C49" s="358"/>
      <c r="D49" s="358"/>
      <c r="E49" s="358"/>
      <c r="F49" s="358"/>
      <c r="G49" s="359"/>
      <c r="J49" s="351"/>
      <c r="K49" s="121" t="s">
        <v>277</v>
      </c>
      <c r="L49" s="121" t="e">
        <f>AVERAGE(L37:L48)</f>
        <v>#DIV/0!</v>
      </c>
      <c r="M49" s="121">
        <f>MAX(M37:M48)</f>
        <v>0</v>
      </c>
      <c r="N49" s="121" t="e">
        <f>AVERAGE(N37:N48)</f>
        <v>#DIV/0!</v>
      </c>
      <c r="O49" s="121">
        <f>MAX(O37:O48)</f>
        <v>0</v>
      </c>
    </row>
    <row r="50" spans="1:15" x14ac:dyDescent="0.2">
      <c r="A50" s="360"/>
      <c r="B50" s="361"/>
      <c r="C50" s="361"/>
      <c r="D50" s="361"/>
      <c r="E50" s="361"/>
      <c r="F50" s="361"/>
      <c r="G50" s="362"/>
    </row>
    <row r="51" spans="1:15" ht="30" x14ac:dyDescent="0.2">
      <c r="A51" s="360"/>
      <c r="B51" s="361"/>
      <c r="C51" s="361"/>
      <c r="D51" s="361"/>
      <c r="E51" s="361"/>
      <c r="F51" s="361"/>
      <c r="G51" s="362"/>
      <c r="J51" s="120">
        <f>+A6</f>
        <v>2022</v>
      </c>
      <c r="K51" s="120" t="s">
        <v>275</v>
      </c>
      <c r="L51" s="126" t="s">
        <v>174</v>
      </c>
      <c r="M51" s="126" t="s">
        <v>175</v>
      </c>
      <c r="N51" s="126" t="s">
        <v>177</v>
      </c>
      <c r="O51" s="126" t="s">
        <v>178</v>
      </c>
    </row>
    <row r="52" spans="1:15" x14ac:dyDescent="0.2">
      <c r="A52" s="363"/>
      <c r="B52" s="364"/>
      <c r="C52" s="364"/>
      <c r="D52" s="364"/>
      <c r="E52" s="364"/>
      <c r="F52" s="364"/>
      <c r="G52" s="365"/>
      <c r="J52" s="351" t="s">
        <v>125</v>
      </c>
      <c r="K52" s="125" t="s">
        <v>179</v>
      </c>
      <c r="L52" s="123"/>
      <c r="M52" s="123"/>
      <c r="N52" s="123"/>
      <c r="O52" s="123"/>
    </row>
    <row r="53" spans="1:15" x14ac:dyDescent="0.2">
      <c r="J53" s="351"/>
      <c r="K53" s="125" t="s">
        <v>180</v>
      </c>
      <c r="L53" s="123"/>
      <c r="M53" s="123"/>
      <c r="N53" s="123"/>
      <c r="O53" s="123"/>
    </row>
    <row r="54" spans="1:15" x14ac:dyDescent="0.2">
      <c r="J54" s="351"/>
      <c r="K54" s="125" t="s">
        <v>181</v>
      </c>
      <c r="L54" s="123"/>
      <c r="M54" s="123"/>
      <c r="N54" s="123"/>
      <c r="O54" s="123"/>
    </row>
    <row r="55" spans="1:15" x14ac:dyDescent="0.2">
      <c r="J55" s="351"/>
      <c r="K55" s="125" t="s">
        <v>182</v>
      </c>
      <c r="L55" s="123"/>
      <c r="M55" s="123"/>
      <c r="N55" s="123"/>
      <c r="O55" s="123"/>
    </row>
    <row r="56" spans="1:15" x14ac:dyDescent="0.2">
      <c r="J56" s="351"/>
      <c r="K56" s="125" t="s">
        <v>183</v>
      </c>
      <c r="L56" s="123"/>
      <c r="M56" s="123"/>
      <c r="N56" s="123"/>
      <c r="O56" s="123"/>
    </row>
    <row r="57" spans="1:15" x14ac:dyDescent="0.2">
      <c r="J57" s="351"/>
      <c r="K57" s="125" t="s">
        <v>184</v>
      </c>
      <c r="L57" s="123"/>
      <c r="M57" s="123"/>
      <c r="N57" s="123"/>
      <c r="O57" s="123"/>
    </row>
    <row r="58" spans="1:15" x14ac:dyDescent="0.2">
      <c r="J58" s="351"/>
      <c r="K58" s="125" t="s">
        <v>185</v>
      </c>
      <c r="L58" s="123"/>
      <c r="M58" s="123"/>
      <c r="N58" s="123"/>
      <c r="O58" s="123"/>
    </row>
    <row r="59" spans="1:15" x14ac:dyDescent="0.2">
      <c r="J59" s="351"/>
      <c r="K59" s="125" t="s">
        <v>186</v>
      </c>
      <c r="L59" s="123"/>
      <c r="M59" s="123"/>
      <c r="N59" s="123"/>
      <c r="O59" s="123"/>
    </row>
    <row r="60" spans="1:15" x14ac:dyDescent="0.2">
      <c r="J60" s="351"/>
      <c r="K60" s="125" t="s">
        <v>187</v>
      </c>
      <c r="L60" s="123"/>
      <c r="M60" s="123"/>
      <c r="N60" s="123"/>
      <c r="O60" s="123"/>
    </row>
    <row r="61" spans="1:15" x14ac:dyDescent="0.2">
      <c r="J61" s="351"/>
      <c r="K61" s="125" t="s">
        <v>188</v>
      </c>
      <c r="L61" s="123"/>
      <c r="M61" s="123"/>
      <c r="N61" s="123"/>
      <c r="O61" s="123"/>
    </row>
    <row r="62" spans="1:15" x14ac:dyDescent="0.2">
      <c r="J62" s="351"/>
      <c r="K62" s="125" t="s">
        <v>189</v>
      </c>
      <c r="L62" s="123"/>
      <c r="M62" s="123"/>
      <c r="N62" s="123"/>
      <c r="O62" s="123"/>
    </row>
    <row r="63" spans="1:15" x14ac:dyDescent="0.2">
      <c r="J63" s="351"/>
      <c r="K63" s="125" t="s">
        <v>190</v>
      </c>
      <c r="L63" s="123"/>
      <c r="M63" s="123"/>
      <c r="N63" s="123"/>
      <c r="O63" s="123"/>
    </row>
    <row r="64" spans="1:15" x14ac:dyDescent="0.2">
      <c r="J64" s="351"/>
      <c r="K64" s="121" t="s">
        <v>277</v>
      </c>
      <c r="L64" s="121" t="e">
        <f>AVERAGE(L52:L63)</f>
        <v>#DIV/0!</v>
      </c>
      <c r="M64" s="121">
        <f>MAX(M52:M63)</f>
        <v>0</v>
      </c>
      <c r="N64" s="121" t="e">
        <f>AVERAGE(N52:N63)</f>
        <v>#DIV/0!</v>
      </c>
      <c r="O64" s="121">
        <f>MAX(O52:O63)</f>
        <v>0</v>
      </c>
    </row>
    <row r="66" spans="10:15" ht="30" x14ac:dyDescent="0.2">
      <c r="J66" s="120">
        <f>+A6</f>
        <v>2022</v>
      </c>
      <c r="K66" s="120" t="s">
        <v>275</v>
      </c>
      <c r="L66" s="126" t="s">
        <v>174</v>
      </c>
      <c r="M66" s="126" t="s">
        <v>175</v>
      </c>
      <c r="N66" s="126" t="s">
        <v>177</v>
      </c>
      <c r="O66" s="126" t="s">
        <v>178</v>
      </c>
    </row>
    <row r="67" spans="10:15" x14ac:dyDescent="0.2">
      <c r="J67" s="351" t="s">
        <v>126</v>
      </c>
      <c r="K67" s="125" t="s">
        <v>179</v>
      </c>
      <c r="L67" s="123"/>
      <c r="M67" s="123"/>
      <c r="N67" s="123"/>
      <c r="O67" s="123"/>
    </row>
    <row r="68" spans="10:15" x14ac:dyDescent="0.2">
      <c r="J68" s="351"/>
      <c r="K68" s="125" t="s">
        <v>180</v>
      </c>
      <c r="L68" s="123"/>
      <c r="M68" s="123"/>
      <c r="N68" s="123"/>
      <c r="O68" s="123"/>
    </row>
    <row r="69" spans="10:15" x14ac:dyDescent="0.2">
      <c r="J69" s="351"/>
      <c r="K69" s="125" t="s">
        <v>181</v>
      </c>
      <c r="L69" s="123"/>
      <c r="M69" s="123"/>
      <c r="N69" s="123"/>
      <c r="O69" s="123"/>
    </row>
    <row r="70" spans="10:15" x14ac:dyDescent="0.2">
      <c r="J70" s="351"/>
      <c r="K70" s="125" t="s">
        <v>182</v>
      </c>
      <c r="L70" s="123"/>
      <c r="M70" s="123"/>
      <c r="N70" s="123"/>
      <c r="O70" s="123"/>
    </row>
    <row r="71" spans="10:15" x14ac:dyDescent="0.2">
      <c r="J71" s="351"/>
      <c r="K71" s="125" t="s">
        <v>183</v>
      </c>
      <c r="L71" s="123"/>
      <c r="M71" s="123"/>
      <c r="N71" s="123"/>
      <c r="O71" s="123"/>
    </row>
    <row r="72" spans="10:15" x14ac:dyDescent="0.2">
      <c r="J72" s="351"/>
      <c r="K72" s="125" t="s">
        <v>184</v>
      </c>
      <c r="L72" s="123"/>
      <c r="M72" s="123"/>
      <c r="N72" s="123"/>
      <c r="O72" s="123"/>
    </row>
    <row r="73" spans="10:15" x14ac:dyDescent="0.2">
      <c r="J73" s="351"/>
      <c r="K73" s="125" t="s">
        <v>185</v>
      </c>
      <c r="L73" s="123"/>
      <c r="M73" s="123"/>
      <c r="N73" s="123"/>
      <c r="O73" s="123"/>
    </row>
    <row r="74" spans="10:15" x14ac:dyDescent="0.2">
      <c r="J74" s="351"/>
      <c r="K74" s="125" t="s">
        <v>186</v>
      </c>
      <c r="L74" s="123"/>
      <c r="M74" s="123"/>
      <c r="N74" s="123"/>
      <c r="O74" s="123"/>
    </row>
    <row r="75" spans="10:15" x14ac:dyDescent="0.2">
      <c r="J75" s="351"/>
      <c r="K75" s="125" t="s">
        <v>187</v>
      </c>
      <c r="L75" s="123"/>
      <c r="M75" s="123"/>
      <c r="N75" s="123"/>
      <c r="O75" s="123"/>
    </row>
    <row r="76" spans="10:15" x14ac:dyDescent="0.2">
      <c r="J76" s="351"/>
      <c r="K76" s="125" t="s">
        <v>188</v>
      </c>
      <c r="L76" s="123"/>
      <c r="M76" s="123"/>
      <c r="N76" s="123"/>
      <c r="O76" s="123"/>
    </row>
    <row r="77" spans="10:15" x14ac:dyDescent="0.2">
      <c r="J77" s="351"/>
      <c r="K77" s="125" t="s">
        <v>189</v>
      </c>
      <c r="L77" s="123"/>
      <c r="M77" s="123"/>
      <c r="N77" s="123"/>
      <c r="O77" s="123"/>
    </row>
    <row r="78" spans="10:15" x14ac:dyDescent="0.2">
      <c r="J78" s="351"/>
      <c r="K78" s="125" t="s">
        <v>190</v>
      </c>
      <c r="L78" s="123"/>
      <c r="M78" s="123"/>
      <c r="N78" s="123"/>
      <c r="O78" s="123"/>
    </row>
    <row r="79" spans="10:15" x14ac:dyDescent="0.2">
      <c r="J79" s="351"/>
      <c r="K79" s="121" t="s">
        <v>277</v>
      </c>
      <c r="L79" s="121" t="e">
        <f>AVERAGE(L67:L78)</f>
        <v>#DIV/0!</v>
      </c>
      <c r="M79" s="121">
        <f>MAX(M67:M78)</f>
        <v>0</v>
      </c>
      <c r="N79" s="121" t="e">
        <f>AVERAGE(N67:N78)</f>
        <v>#DIV/0!</v>
      </c>
      <c r="O79" s="12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pageSetUpPr fitToPage="1"/>
  </sheetPr>
  <dimension ref="A1:U79"/>
  <sheetViews>
    <sheetView showGridLines="0" zoomScaleNormal="100" workbookViewId="0">
      <selection activeCell="O27" sqref="O27"/>
    </sheetView>
  </sheetViews>
  <sheetFormatPr defaultRowHeight="14.25" x14ac:dyDescent="0.2"/>
  <cols>
    <col min="1" max="1" width="14" style="3" customWidth="1"/>
    <col min="2" max="2" width="12.7109375" style="75" customWidth="1"/>
    <col min="3" max="3" width="15.28515625" style="75" customWidth="1"/>
    <col min="4" max="4" width="17.7109375" style="75" customWidth="1"/>
    <col min="5" max="5" width="14.7109375" style="75" customWidth="1"/>
    <col min="6" max="6" width="11.5703125" style="75" customWidth="1"/>
    <col min="7" max="7" width="15" style="75" customWidth="1"/>
    <col min="8" max="8" width="14.7109375" style="7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x14ac:dyDescent="0.2">
      <c r="A1" s="2" t="str">
        <f>+'Cover Page'!$B$29</f>
        <v>Annual Performance Report 2022</v>
      </c>
      <c r="B1" s="2"/>
      <c r="C1" s="2"/>
      <c r="D1" s="2"/>
      <c r="E1" s="2" t="str">
        <f>+'Cover Page'!$B$33</f>
        <v>Addenbrooke's Hospital  Incinerator</v>
      </c>
    </row>
    <row r="3" spans="1:21" ht="15" x14ac:dyDescent="0.25">
      <c r="A3" s="119" t="s">
        <v>349</v>
      </c>
      <c r="E3" s="145" t="s">
        <v>320</v>
      </c>
      <c r="H3" s="149" t="s">
        <v>331</v>
      </c>
      <c r="J3" s="11" t="str">
        <f>+A3</f>
        <v>Monitoring of Carbon Monoxide (10-minute avg)</v>
      </c>
      <c r="L3" s="11"/>
      <c r="O3" s="11" t="s">
        <v>321</v>
      </c>
      <c r="Q3" s="146" t="s">
        <v>315</v>
      </c>
      <c r="S3" s="148" t="s">
        <v>315</v>
      </c>
      <c r="T3" s="139"/>
      <c r="U3" s="139"/>
    </row>
    <row r="4" spans="1:21" ht="13.9" customHeight="1" x14ac:dyDescent="0.2">
      <c r="S4" s="342" t="s">
        <v>329</v>
      </c>
      <c r="T4" s="342"/>
      <c r="U4" s="342"/>
    </row>
    <row r="5" spans="1:21" ht="17.25" x14ac:dyDescent="0.25">
      <c r="A5" s="127" t="s">
        <v>276</v>
      </c>
      <c r="B5" s="352" t="s">
        <v>343</v>
      </c>
      <c r="C5" s="352"/>
      <c r="D5" s="352"/>
      <c r="E5" s="352"/>
      <c r="F5" s="352" t="s">
        <v>273</v>
      </c>
      <c r="G5" s="352"/>
      <c r="H5" s="352"/>
      <c r="K5" s="353"/>
      <c r="L5" s="353"/>
      <c r="M5" s="353"/>
      <c r="N5" s="353"/>
      <c r="O5" s="353"/>
      <c r="P5" s="353"/>
      <c r="Q5" s="353"/>
      <c r="S5" s="342"/>
      <c r="T5" s="342"/>
      <c r="U5" s="342"/>
    </row>
    <row r="6" spans="1:21" s="117" customFormat="1" ht="37.5" customHeight="1" x14ac:dyDescent="0.25">
      <c r="A6" s="124">
        <f>+'Cover Page'!F39</f>
        <v>2022</v>
      </c>
      <c r="B6" s="113" t="s">
        <v>342</v>
      </c>
      <c r="C6" s="113" t="s">
        <v>350</v>
      </c>
      <c r="D6" s="113" t="s">
        <v>348</v>
      </c>
      <c r="E6" s="113" t="s">
        <v>351</v>
      </c>
      <c r="F6" s="113" t="s">
        <v>201</v>
      </c>
      <c r="G6" s="113" t="s">
        <v>177</v>
      </c>
      <c r="H6" s="113" t="s">
        <v>341</v>
      </c>
      <c r="I6" s="118"/>
      <c r="K6" s="120">
        <f>+A6</f>
        <v>2022</v>
      </c>
      <c r="L6" s="120" t="s">
        <v>275</v>
      </c>
      <c r="M6" s="113" t="s">
        <v>350</v>
      </c>
      <c r="N6" s="113" t="s">
        <v>348</v>
      </c>
      <c r="O6" s="113" t="s">
        <v>351</v>
      </c>
      <c r="P6" s="126" t="s">
        <v>177</v>
      </c>
      <c r="Q6" s="126" t="s">
        <v>178</v>
      </c>
      <c r="S6" s="342"/>
      <c r="T6" s="342"/>
      <c r="U6" s="342"/>
    </row>
    <row r="7" spans="1:21" x14ac:dyDescent="0.2">
      <c r="A7" s="125" t="s">
        <v>179</v>
      </c>
      <c r="B7" s="128">
        <v>150</v>
      </c>
      <c r="C7" s="123"/>
      <c r="D7" s="123"/>
      <c r="E7" s="123"/>
      <c r="F7" s="128">
        <v>50</v>
      </c>
      <c r="G7" s="123"/>
      <c r="H7" s="123"/>
      <c r="K7" s="351" t="s">
        <v>122</v>
      </c>
      <c r="L7" s="125" t="s">
        <v>179</v>
      </c>
      <c r="M7" s="123"/>
      <c r="N7" s="123"/>
      <c r="O7" s="123"/>
      <c r="P7" s="123"/>
      <c r="Q7" s="123"/>
      <c r="S7" s="342"/>
      <c r="T7" s="342"/>
      <c r="U7" s="342"/>
    </row>
    <row r="8" spans="1:21" x14ac:dyDescent="0.2">
      <c r="A8" s="125" t="s">
        <v>180</v>
      </c>
      <c r="B8" s="122">
        <f>+B7</f>
        <v>150</v>
      </c>
      <c r="C8" s="123"/>
      <c r="D8" s="123"/>
      <c r="E8" s="123"/>
      <c r="F8" s="122">
        <f>+F7</f>
        <v>50</v>
      </c>
      <c r="G8" s="123"/>
      <c r="H8" s="123"/>
      <c r="K8" s="351"/>
      <c r="L8" s="125" t="s">
        <v>180</v>
      </c>
      <c r="M8" s="123"/>
      <c r="N8" s="123"/>
      <c r="O8" s="123"/>
      <c r="P8" s="123"/>
      <c r="Q8" s="123"/>
      <c r="S8" s="342"/>
      <c r="T8" s="342"/>
      <c r="U8" s="342"/>
    </row>
    <row r="9" spans="1:21" ht="15" x14ac:dyDescent="0.25">
      <c r="A9" s="125" t="s">
        <v>181</v>
      </c>
      <c r="B9" s="122">
        <f t="shared" ref="B9:B18" si="0">+B8</f>
        <v>150</v>
      </c>
      <c r="C9" s="123"/>
      <c r="D9" s="123"/>
      <c r="E9" s="123"/>
      <c r="F9" s="122">
        <f t="shared" ref="F9:F18" si="1">+F8</f>
        <v>50</v>
      </c>
      <c r="G9" s="123"/>
      <c r="H9" s="123"/>
      <c r="K9" s="351"/>
      <c r="L9" s="125" t="s">
        <v>181</v>
      </c>
      <c r="M9" s="123"/>
      <c r="N9" s="123"/>
      <c r="O9" s="123"/>
      <c r="P9" s="123"/>
      <c r="Q9" s="123"/>
      <c r="S9" s="147" t="s">
        <v>330</v>
      </c>
    </row>
    <row r="10" spans="1:21" x14ac:dyDescent="0.2">
      <c r="A10" s="125" t="s">
        <v>182</v>
      </c>
      <c r="B10" s="122">
        <f t="shared" si="0"/>
        <v>150</v>
      </c>
      <c r="C10" s="123"/>
      <c r="D10" s="123"/>
      <c r="E10" s="123"/>
      <c r="F10" s="122">
        <f t="shared" si="1"/>
        <v>50</v>
      </c>
      <c r="G10" s="123"/>
      <c r="H10" s="123"/>
      <c r="K10" s="351"/>
      <c r="L10" s="125" t="s">
        <v>182</v>
      </c>
      <c r="M10" s="123"/>
      <c r="N10" s="123"/>
      <c r="O10" s="123"/>
      <c r="P10" s="123"/>
      <c r="Q10" s="123"/>
      <c r="S10" s="350" t="s">
        <v>352</v>
      </c>
      <c r="T10" s="350"/>
      <c r="U10" s="350"/>
    </row>
    <row r="11" spans="1:21" x14ac:dyDescent="0.2">
      <c r="A11" s="125" t="s">
        <v>183</v>
      </c>
      <c r="B11" s="122">
        <f t="shared" si="0"/>
        <v>150</v>
      </c>
      <c r="C11" s="123"/>
      <c r="D11" s="123"/>
      <c r="E11" s="123"/>
      <c r="F11" s="122">
        <f t="shared" si="1"/>
        <v>50</v>
      </c>
      <c r="G11" s="123"/>
      <c r="H11" s="123"/>
      <c r="K11" s="351"/>
      <c r="L11" s="125" t="s">
        <v>183</v>
      </c>
      <c r="M11" s="123"/>
      <c r="N11" s="123"/>
      <c r="O11" s="123"/>
      <c r="P11" s="123"/>
      <c r="Q11" s="123"/>
      <c r="S11" s="350"/>
      <c r="T11" s="350"/>
      <c r="U11" s="350"/>
    </row>
    <row r="12" spans="1:21" x14ac:dyDescent="0.2">
      <c r="A12" s="125" t="s">
        <v>184</v>
      </c>
      <c r="B12" s="122">
        <f t="shared" si="0"/>
        <v>150</v>
      </c>
      <c r="C12" s="123"/>
      <c r="D12" s="123"/>
      <c r="E12" s="123"/>
      <c r="F12" s="122">
        <f t="shared" si="1"/>
        <v>50</v>
      </c>
      <c r="G12" s="123"/>
      <c r="H12" s="123"/>
      <c r="K12" s="351"/>
      <c r="L12" s="125" t="s">
        <v>184</v>
      </c>
      <c r="M12" s="123"/>
      <c r="N12" s="123"/>
      <c r="O12" s="123"/>
      <c r="P12" s="123"/>
      <c r="Q12" s="123"/>
      <c r="S12" s="350"/>
      <c r="T12" s="350"/>
      <c r="U12" s="350"/>
    </row>
    <row r="13" spans="1:21" x14ac:dyDescent="0.2">
      <c r="A13" s="125" t="s">
        <v>185</v>
      </c>
      <c r="B13" s="122">
        <f t="shared" si="0"/>
        <v>150</v>
      </c>
      <c r="C13" s="123"/>
      <c r="D13" s="123"/>
      <c r="E13" s="123"/>
      <c r="F13" s="122">
        <f t="shared" si="1"/>
        <v>50</v>
      </c>
      <c r="G13" s="123"/>
      <c r="H13" s="123"/>
      <c r="K13" s="351"/>
      <c r="L13" s="125" t="s">
        <v>185</v>
      </c>
      <c r="M13" s="123"/>
      <c r="N13" s="123"/>
      <c r="O13" s="123"/>
      <c r="P13" s="123"/>
      <c r="Q13" s="123"/>
      <c r="S13" s="350" t="s">
        <v>354</v>
      </c>
      <c r="T13" s="350"/>
      <c r="U13" s="350"/>
    </row>
    <row r="14" spans="1:21" x14ac:dyDescent="0.2">
      <c r="A14" s="125" t="s">
        <v>186</v>
      </c>
      <c r="B14" s="122">
        <f t="shared" si="0"/>
        <v>150</v>
      </c>
      <c r="C14" s="123"/>
      <c r="D14" s="123"/>
      <c r="E14" s="123"/>
      <c r="F14" s="122">
        <f t="shared" si="1"/>
        <v>50</v>
      </c>
      <c r="G14" s="123"/>
      <c r="H14" s="123"/>
      <c r="K14" s="351"/>
      <c r="L14" s="125" t="s">
        <v>186</v>
      </c>
      <c r="M14" s="123"/>
      <c r="N14" s="123"/>
      <c r="O14" s="123"/>
      <c r="P14" s="123"/>
      <c r="Q14" s="123"/>
      <c r="S14" s="350"/>
      <c r="T14" s="350"/>
      <c r="U14" s="350"/>
    </row>
    <row r="15" spans="1:21" x14ac:dyDescent="0.2">
      <c r="A15" s="125" t="s">
        <v>187</v>
      </c>
      <c r="B15" s="122">
        <f t="shared" si="0"/>
        <v>150</v>
      </c>
      <c r="C15" s="123"/>
      <c r="D15" s="123"/>
      <c r="E15" s="123"/>
      <c r="F15" s="122">
        <f t="shared" si="1"/>
        <v>50</v>
      </c>
      <c r="G15" s="123"/>
      <c r="H15" s="123"/>
      <c r="K15" s="351"/>
      <c r="L15" s="125" t="s">
        <v>187</v>
      </c>
      <c r="M15" s="123"/>
      <c r="N15" s="123"/>
      <c r="O15" s="123"/>
      <c r="P15" s="123"/>
      <c r="Q15" s="123"/>
      <c r="S15" s="350"/>
      <c r="T15" s="350"/>
      <c r="U15" s="350"/>
    </row>
    <row r="16" spans="1:21" x14ac:dyDescent="0.2">
      <c r="A16" s="125" t="s">
        <v>188</v>
      </c>
      <c r="B16" s="122">
        <f t="shared" si="0"/>
        <v>150</v>
      </c>
      <c r="C16" s="123"/>
      <c r="D16" s="123"/>
      <c r="E16" s="123"/>
      <c r="F16" s="122">
        <f t="shared" si="1"/>
        <v>50</v>
      </c>
      <c r="G16" s="123"/>
      <c r="H16" s="123"/>
      <c r="K16" s="351"/>
      <c r="L16" s="125" t="s">
        <v>188</v>
      </c>
      <c r="M16" s="123"/>
      <c r="N16" s="123"/>
      <c r="O16" s="123"/>
      <c r="P16" s="123"/>
      <c r="Q16" s="123"/>
      <c r="S16" s="350"/>
      <c r="T16" s="350"/>
      <c r="U16" s="350"/>
    </row>
    <row r="17" spans="1:17" x14ac:dyDescent="0.2">
      <c r="A17" s="125" t="s">
        <v>189</v>
      </c>
      <c r="B17" s="122">
        <f t="shared" si="0"/>
        <v>150</v>
      </c>
      <c r="C17" s="123"/>
      <c r="D17" s="123"/>
      <c r="E17" s="123"/>
      <c r="F17" s="122">
        <f t="shared" si="1"/>
        <v>50</v>
      </c>
      <c r="G17" s="123"/>
      <c r="H17" s="123"/>
      <c r="K17" s="351"/>
      <c r="L17" s="125" t="s">
        <v>189</v>
      </c>
      <c r="M17" s="123"/>
      <c r="N17" s="123"/>
      <c r="O17" s="123"/>
      <c r="P17" s="123"/>
      <c r="Q17" s="123"/>
    </row>
    <row r="18" spans="1:17" x14ac:dyDescent="0.2">
      <c r="A18" s="125" t="s">
        <v>190</v>
      </c>
      <c r="B18" s="122">
        <f t="shared" si="0"/>
        <v>150</v>
      </c>
      <c r="C18" s="123"/>
      <c r="D18" s="123"/>
      <c r="E18" s="123"/>
      <c r="F18" s="122">
        <f t="shared" si="1"/>
        <v>50</v>
      </c>
      <c r="G18" s="123"/>
      <c r="H18" s="123"/>
      <c r="K18" s="351"/>
      <c r="L18" s="125" t="s">
        <v>190</v>
      </c>
      <c r="M18" s="123"/>
      <c r="N18" s="123"/>
      <c r="O18" s="123"/>
      <c r="P18" s="123"/>
      <c r="Q18" s="123"/>
    </row>
    <row r="19" spans="1:17" x14ac:dyDescent="0.2">
      <c r="K19" s="351"/>
      <c r="L19" s="121" t="s">
        <v>277</v>
      </c>
      <c r="M19" s="121" t="e">
        <f>AVERAGE(M7:M18)</f>
        <v>#DIV/0!</v>
      </c>
      <c r="N19" s="121"/>
      <c r="O19" s="121">
        <f>MAX(O7:O18)</f>
        <v>0</v>
      </c>
      <c r="P19" s="121" t="e">
        <f>AVERAGE(P7:P18)</f>
        <v>#DIV/0!</v>
      </c>
      <c r="Q19" s="121">
        <f>MAX(Q7:Q18)</f>
        <v>0</v>
      </c>
    </row>
    <row r="21" spans="1:17" ht="30" x14ac:dyDescent="0.2">
      <c r="K21" s="120">
        <f>+A6</f>
        <v>2022</v>
      </c>
      <c r="L21" s="120" t="s">
        <v>275</v>
      </c>
      <c r="M21" s="113" t="s">
        <v>350</v>
      </c>
      <c r="N21" s="113" t="s">
        <v>348</v>
      </c>
      <c r="O21" s="113" t="s">
        <v>351</v>
      </c>
      <c r="P21" s="126" t="s">
        <v>177</v>
      </c>
      <c r="Q21" s="126" t="s">
        <v>178</v>
      </c>
    </row>
    <row r="22" spans="1:17" x14ac:dyDescent="0.2">
      <c r="K22" s="351" t="s">
        <v>123</v>
      </c>
      <c r="L22" s="125" t="s">
        <v>179</v>
      </c>
      <c r="M22" s="123"/>
      <c r="N22" s="123"/>
      <c r="O22" s="123"/>
      <c r="P22" s="123"/>
      <c r="Q22" s="123"/>
    </row>
    <row r="23" spans="1:17" x14ac:dyDescent="0.2">
      <c r="K23" s="351"/>
      <c r="L23" s="125" t="s">
        <v>180</v>
      </c>
      <c r="M23" s="123"/>
      <c r="N23" s="123"/>
      <c r="O23" s="123"/>
      <c r="P23" s="123"/>
      <c r="Q23" s="123"/>
    </row>
    <row r="24" spans="1:17" x14ac:dyDescent="0.2">
      <c r="K24" s="351"/>
      <c r="L24" s="125" t="s">
        <v>181</v>
      </c>
      <c r="M24" s="123"/>
      <c r="N24" s="123"/>
      <c r="O24" s="123"/>
      <c r="P24" s="123"/>
      <c r="Q24" s="123"/>
    </row>
    <row r="25" spans="1:17" x14ac:dyDescent="0.2">
      <c r="K25" s="351"/>
      <c r="L25" s="125" t="s">
        <v>182</v>
      </c>
      <c r="M25" s="123"/>
      <c r="N25" s="123"/>
      <c r="O25" s="123"/>
      <c r="P25" s="123"/>
      <c r="Q25" s="123"/>
    </row>
    <row r="26" spans="1:17" x14ac:dyDescent="0.2">
      <c r="K26" s="351"/>
      <c r="L26" s="125" t="s">
        <v>183</v>
      </c>
      <c r="M26" s="123"/>
      <c r="N26" s="123"/>
      <c r="O26" s="123"/>
      <c r="P26" s="123"/>
      <c r="Q26" s="123"/>
    </row>
    <row r="27" spans="1:17" x14ac:dyDescent="0.2">
      <c r="K27" s="351"/>
      <c r="L27" s="125" t="s">
        <v>184</v>
      </c>
      <c r="M27" s="123"/>
      <c r="N27" s="123"/>
      <c r="O27" s="123"/>
      <c r="P27" s="123"/>
      <c r="Q27" s="123"/>
    </row>
    <row r="28" spans="1:17" x14ac:dyDescent="0.2">
      <c r="K28" s="351"/>
      <c r="L28" s="125" t="s">
        <v>185</v>
      </c>
      <c r="M28" s="123"/>
      <c r="N28" s="123"/>
      <c r="O28" s="123"/>
      <c r="P28" s="123"/>
      <c r="Q28" s="123"/>
    </row>
    <row r="29" spans="1:17" x14ac:dyDescent="0.2">
      <c r="K29" s="351"/>
      <c r="L29" s="125" t="s">
        <v>186</v>
      </c>
      <c r="M29" s="123"/>
      <c r="N29" s="123"/>
      <c r="O29" s="123"/>
      <c r="P29" s="123"/>
      <c r="Q29" s="123"/>
    </row>
    <row r="30" spans="1:17" x14ac:dyDescent="0.2">
      <c r="K30" s="351"/>
      <c r="L30" s="125" t="s">
        <v>187</v>
      </c>
      <c r="M30" s="123"/>
      <c r="N30" s="123"/>
      <c r="O30" s="123"/>
      <c r="P30" s="123"/>
      <c r="Q30" s="123"/>
    </row>
    <row r="31" spans="1:17" x14ac:dyDescent="0.2">
      <c r="K31" s="351"/>
      <c r="L31" s="125" t="s">
        <v>188</v>
      </c>
      <c r="M31" s="123"/>
      <c r="N31" s="123"/>
      <c r="O31" s="123"/>
      <c r="P31" s="123"/>
      <c r="Q31" s="123"/>
    </row>
    <row r="32" spans="1:17" x14ac:dyDescent="0.2">
      <c r="K32" s="351"/>
      <c r="L32" s="125" t="s">
        <v>189</v>
      </c>
      <c r="M32" s="123"/>
      <c r="N32" s="123"/>
      <c r="O32" s="123"/>
      <c r="P32" s="123"/>
      <c r="Q32" s="123"/>
    </row>
    <row r="33" spans="1:17" x14ac:dyDescent="0.2">
      <c r="K33" s="351"/>
      <c r="L33" s="125" t="s">
        <v>190</v>
      </c>
      <c r="M33" s="123"/>
      <c r="N33" s="123"/>
      <c r="O33" s="123"/>
      <c r="P33" s="123"/>
      <c r="Q33" s="123"/>
    </row>
    <row r="34" spans="1:17" x14ac:dyDescent="0.2">
      <c r="K34" s="351"/>
      <c r="L34" s="121" t="s">
        <v>277</v>
      </c>
      <c r="M34" s="121" t="e">
        <f>AVERAGE(M22:M33)</f>
        <v>#DIV/0!</v>
      </c>
      <c r="N34" s="121"/>
      <c r="O34" s="121">
        <f>MAX(O22:O33)</f>
        <v>0</v>
      </c>
      <c r="P34" s="121" t="e">
        <f>AVERAGE(P22:P33)</f>
        <v>#DIV/0!</v>
      </c>
      <c r="Q34" s="121">
        <f>MAX(Q22:Q33)</f>
        <v>0</v>
      </c>
    </row>
    <row r="36" spans="1:17" ht="30" x14ac:dyDescent="0.2">
      <c r="K36" s="120">
        <f>+A6</f>
        <v>2022</v>
      </c>
      <c r="L36" s="120" t="s">
        <v>275</v>
      </c>
      <c r="M36" s="113" t="s">
        <v>350</v>
      </c>
      <c r="N36" s="113" t="s">
        <v>348</v>
      </c>
      <c r="O36" s="113" t="s">
        <v>351</v>
      </c>
      <c r="P36" s="126" t="s">
        <v>177</v>
      </c>
      <c r="Q36" s="126" t="s">
        <v>178</v>
      </c>
    </row>
    <row r="37" spans="1:17" x14ac:dyDescent="0.2">
      <c r="K37" s="351" t="s">
        <v>124</v>
      </c>
      <c r="L37" s="125" t="s">
        <v>179</v>
      </c>
      <c r="M37" s="123"/>
      <c r="N37" s="123"/>
      <c r="O37" s="123"/>
      <c r="P37" s="123"/>
      <c r="Q37" s="123"/>
    </row>
    <row r="38" spans="1:17" x14ac:dyDescent="0.2">
      <c r="K38" s="351"/>
      <c r="L38" s="125" t="s">
        <v>180</v>
      </c>
      <c r="M38" s="123"/>
      <c r="N38" s="123"/>
      <c r="O38" s="123"/>
      <c r="P38" s="123"/>
      <c r="Q38" s="123"/>
    </row>
    <row r="39" spans="1:17" x14ac:dyDescent="0.2">
      <c r="K39" s="351"/>
      <c r="L39" s="125" t="s">
        <v>181</v>
      </c>
      <c r="M39" s="123"/>
      <c r="N39" s="123"/>
      <c r="O39" s="123"/>
      <c r="P39" s="123"/>
      <c r="Q39" s="123"/>
    </row>
    <row r="40" spans="1:17" x14ac:dyDescent="0.2">
      <c r="K40" s="351"/>
      <c r="L40" s="125" t="s">
        <v>182</v>
      </c>
      <c r="M40" s="123"/>
      <c r="N40" s="123"/>
      <c r="O40" s="123"/>
      <c r="P40" s="123"/>
      <c r="Q40" s="123"/>
    </row>
    <row r="41" spans="1:17" x14ac:dyDescent="0.2">
      <c r="K41" s="351"/>
      <c r="L41" s="125" t="s">
        <v>183</v>
      </c>
      <c r="M41" s="123"/>
      <c r="N41" s="123"/>
      <c r="O41" s="123"/>
      <c r="P41" s="123"/>
      <c r="Q41" s="123"/>
    </row>
    <row r="42" spans="1:17" x14ac:dyDescent="0.2">
      <c r="K42" s="351"/>
      <c r="L42" s="125" t="s">
        <v>184</v>
      </c>
      <c r="M42" s="123"/>
      <c r="N42" s="123"/>
      <c r="O42" s="123"/>
      <c r="P42" s="123"/>
      <c r="Q42" s="123"/>
    </row>
    <row r="43" spans="1:17" x14ac:dyDescent="0.2">
      <c r="K43" s="351"/>
      <c r="L43" s="125" t="s">
        <v>185</v>
      </c>
      <c r="M43" s="123"/>
      <c r="N43" s="123"/>
      <c r="O43" s="123"/>
      <c r="P43" s="123"/>
      <c r="Q43" s="123"/>
    </row>
    <row r="44" spans="1:17" x14ac:dyDescent="0.2">
      <c r="K44" s="351"/>
      <c r="L44" s="125" t="s">
        <v>186</v>
      </c>
      <c r="M44" s="123"/>
      <c r="N44" s="123"/>
      <c r="O44" s="123"/>
      <c r="P44" s="123"/>
      <c r="Q44" s="123"/>
    </row>
    <row r="45" spans="1:17" x14ac:dyDescent="0.2">
      <c r="K45" s="351"/>
      <c r="L45" s="125" t="s">
        <v>187</v>
      </c>
      <c r="M45" s="123"/>
      <c r="N45" s="123"/>
      <c r="O45" s="123"/>
      <c r="P45" s="123"/>
      <c r="Q45" s="123"/>
    </row>
    <row r="46" spans="1:17" x14ac:dyDescent="0.2">
      <c r="K46" s="351"/>
      <c r="L46" s="125" t="s">
        <v>188</v>
      </c>
      <c r="M46" s="123"/>
      <c r="N46" s="123"/>
      <c r="O46" s="123"/>
      <c r="P46" s="123"/>
      <c r="Q46" s="123"/>
    </row>
    <row r="47" spans="1:17" x14ac:dyDescent="0.2">
      <c r="K47" s="351"/>
      <c r="L47" s="125" t="s">
        <v>189</v>
      </c>
      <c r="M47" s="123"/>
      <c r="N47" s="123"/>
      <c r="O47" s="123"/>
      <c r="P47" s="123"/>
      <c r="Q47" s="123"/>
    </row>
    <row r="48" spans="1:17" ht="15" x14ac:dyDescent="0.2">
      <c r="A48" s="354" t="s">
        <v>223</v>
      </c>
      <c r="B48" s="355"/>
      <c r="C48" s="355"/>
      <c r="D48" s="355"/>
      <c r="E48" s="355"/>
      <c r="F48" s="355"/>
      <c r="G48" s="355"/>
      <c r="H48" s="356"/>
      <c r="K48" s="351"/>
      <c r="L48" s="125" t="s">
        <v>190</v>
      </c>
      <c r="M48" s="123"/>
      <c r="N48" s="123"/>
      <c r="O48" s="123"/>
      <c r="P48" s="123"/>
      <c r="Q48" s="123"/>
    </row>
    <row r="49" spans="1:17" x14ac:dyDescent="0.2">
      <c r="A49" s="366" t="s">
        <v>356</v>
      </c>
      <c r="B49" s="367"/>
      <c r="C49" s="367"/>
      <c r="D49" s="367"/>
      <c r="E49" s="367"/>
      <c r="F49" s="367"/>
      <c r="G49" s="367"/>
      <c r="H49" s="368"/>
      <c r="K49" s="351"/>
      <c r="L49" s="121" t="s">
        <v>277</v>
      </c>
      <c r="M49" s="121" t="e">
        <f>AVERAGE(M37:M48)</f>
        <v>#DIV/0!</v>
      </c>
      <c r="N49" s="121"/>
      <c r="O49" s="121">
        <f>MAX(O37:O48)</f>
        <v>0</v>
      </c>
      <c r="P49" s="121" t="e">
        <f>AVERAGE(P37:P48)</f>
        <v>#DIV/0!</v>
      </c>
      <c r="Q49" s="121">
        <f>MAX(Q37:Q48)</f>
        <v>0</v>
      </c>
    </row>
    <row r="50" spans="1:17" x14ac:dyDescent="0.2">
      <c r="A50" s="369"/>
      <c r="B50" s="370"/>
      <c r="C50" s="370"/>
      <c r="D50" s="370"/>
      <c r="E50" s="370"/>
      <c r="F50" s="370"/>
      <c r="G50" s="370"/>
      <c r="H50" s="371"/>
    </row>
    <row r="51" spans="1:17" ht="30" x14ac:dyDescent="0.2">
      <c r="A51" s="369"/>
      <c r="B51" s="370"/>
      <c r="C51" s="370"/>
      <c r="D51" s="370"/>
      <c r="E51" s="370"/>
      <c r="F51" s="370"/>
      <c r="G51" s="370"/>
      <c r="H51" s="371"/>
      <c r="K51" s="120">
        <f>+A6</f>
        <v>2022</v>
      </c>
      <c r="L51" s="120" t="s">
        <v>275</v>
      </c>
      <c r="M51" s="113" t="s">
        <v>350</v>
      </c>
      <c r="N51" s="113" t="s">
        <v>348</v>
      </c>
      <c r="O51" s="113" t="s">
        <v>351</v>
      </c>
      <c r="P51" s="126" t="s">
        <v>177</v>
      </c>
      <c r="Q51" s="126" t="s">
        <v>178</v>
      </c>
    </row>
    <row r="52" spans="1:17" x14ac:dyDescent="0.2">
      <c r="A52" s="372"/>
      <c r="B52" s="373"/>
      <c r="C52" s="373"/>
      <c r="D52" s="373"/>
      <c r="E52" s="373"/>
      <c r="F52" s="373"/>
      <c r="G52" s="373"/>
      <c r="H52" s="374"/>
      <c r="K52" s="351" t="s">
        <v>125</v>
      </c>
      <c r="L52" s="125" t="s">
        <v>179</v>
      </c>
      <c r="M52" s="123"/>
      <c r="N52" s="123"/>
      <c r="O52" s="123"/>
      <c r="P52" s="123"/>
      <c r="Q52" s="123"/>
    </row>
    <row r="53" spans="1:17" x14ac:dyDescent="0.2">
      <c r="K53" s="351"/>
      <c r="L53" s="125" t="s">
        <v>180</v>
      </c>
      <c r="M53" s="123"/>
      <c r="N53" s="123"/>
      <c r="O53" s="123"/>
      <c r="P53" s="123"/>
      <c r="Q53" s="123"/>
    </row>
    <row r="54" spans="1:17" x14ac:dyDescent="0.2">
      <c r="K54" s="351"/>
      <c r="L54" s="125" t="s">
        <v>181</v>
      </c>
      <c r="M54" s="123"/>
      <c r="N54" s="123"/>
      <c r="O54" s="123"/>
      <c r="P54" s="123"/>
      <c r="Q54" s="123"/>
    </row>
    <row r="55" spans="1:17" x14ac:dyDescent="0.2">
      <c r="K55" s="351"/>
      <c r="L55" s="125" t="s">
        <v>182</v>
      </c>
      <c r="M55" s="123"/>
      <c r="N55" s="123"/>
      <c r="O55" s="123"/>
      <c r="P55" s="123"/>
      <c r="Q55" s="123"/>
    </row>
    <row r="56" spans="1:17" x14ac:dyDescent="0.2">
      <c r="K56" s="351"/>
      <c r="L56" s="125" t="s">
        <v>183</v>
      </c>
      <c r="M56" s="123"/>
      <c r="N56" s="123"/>
      <c r="O56" s="123"/>
      <c r="P56" s="123"/>
      <c r="Q56" s="123"/>
    </row>
    <row r="57" spans="1:17" x14ac:dyDescent="0.2">
      <c r="K57" s="351"/>
      <c r="L57" s="125" t="s">
        <v>184</v>
      </c>
      <c r="M57" s="123"/>
      <c r="N57" s="123"/>
      <c r="O57" s="123"/>
      <c r="P57" s="123"/>
      <c r="Q57" s="123"/>
    </row>
    <row r="58" spans="1:17" x14ac:dyDescent="0.2">
      <c r="K58" s="351"/>
      <c r="L58" s="125" t="s">
        <v>185</v>
      </c>
      <c r="M58" s="123"/>
      <c r="N58" s="123"/>
      <c r="O58" s="123"/>
      <c r="P58" s="123"/>
      <c r="Q58" s="123"/>
    </row>
    <row r="59" spans="1:17" x14ac:dyDescent="0.2">
      <c r="K59" s="351"/>
      <c r="L59" s="125" t="s">
        <v>186</v>
      </c>
      <c r="M59" s="123"/>
      <c r="N59" s="123"/>
      <c r="O59" s="123"/>
      <c r="P59" s="123"/>
      <c r="Q59" s="123"/>
    </row>
    <row r="60" spans="1:17" x14ac:dyDescent="0.2">
      <c r="K60" s="351"/>
      <c r="L60" s="125" t="s">
        <v>187</v>
      </c>
      <c r="M60" s="123"/>
      <c r="N60" s="123"/>
      <c r="O60" s="123"/>
      <c r="P60" s="123"/>
      <c r="Q60" s="123"/>
    </row>
    <row r="61" spans="1:17" x14ac:dyDescent="0.2">
      <c r="K61" s="351"/>
      <c r="L61" s="125" t="s">
        <v>188</v>
      </c>
      <c r="M61" s="123"/>
      <c r="N61" s="123"/>
      <c r="O61" s="123"/>
      <c r="P61" s="123"/>
      <c r="Q61" s="123"/>
    </row>
    <row r="62" spans="1:17" x14ac:dyDescent="0.2">
      <c r="K62" s="351"/>
      <c r="L62" s="125" t="s">
        <v>189</v>
      </c>
      <c r="M62" s="123"/>
      <c r="N62" s="123"/>
      <c r="O62" s="123"/>
      <c r="P62" s="123"/>
      <c r="Q62" s="123"/>
    </row>
    <row r="63" spans="1:17" x14ac:dyDescent="0.2">
      <c r="K63" s="351"/>
      <c r="L63" s="125" t="s">
        <v>190</v>
      </c>
      <c r="M63" s="123"/>
      <c r="N63" s="123"/>
      <c r="O63" s="123"/>
      <c r="P63" s="123"/>
      <c r="Q63" s="123"/>
    </row>
    <row r="64" spans="1:17" x14ac:dyDescent="0.2">
      <c r="K64" s="351"/>
      <c r="L64" s="121" t="s">
        <v>277</v>
      </c>
      <c r="M64" s="121" t="e">
        <f>AVERAGE(M52:M63)</f>
        <v>#DIV/0!</v>
      </c>
      <c r="N64" s="121"/>
      <c r="O64" s="121">
        <f>MAX(O52:O63)</f>
        <v>0</v>
      </c>
      <c r="P64" s="121" t="e">
        <f>AVERAGE(P52:P63)</f>
        <v>#DIV/0!</v>
      </c>
      <c r="Q64" s="121">
        <f>MAX(Q52:Q63)</f>
        <v>0</v>
      </c>
    </row>
    <row r="66" spans="11:17" ht="30" x14ac:dyDescent="0.2">
      <c r="K66" s="120">
        <f>+A6</f>
        <v>2022</v>
      </c>
      <c r="L66" s="120" t="s">
        <v>275</v>
      </c>
      <c r="M66" s="113" t="s">
        <v>350</v>
      </c>
      <c r="N66" s="113" t="s">
        <v>348</v>
      </c>
      <c r="O66" s="113" t="s">
        <v>351</v>
      </c>
      <c r="P66" s="126" t="s">
        <v>177</v>
      </c>
      <c r="Q66" s="126" t="s">
        <v>178</v>
      </c>
    </row>
    <row r="67" spans="11:17" x14ac:dyDescent="0.2">
      <c r="K67" s="351" t="s">
        <v>126</v>
      </c>
      <c r="L67" s="125" t="s">
        <v>179</v>
      </c>
      <c r="M67" s="123"/>
      <c r="N67" s="123"/>
      <c r="O67" s="123"/>
      <c r="P67" s="123"/>
      <c r="Q67" s="123"/>
    </row>
    <row r="68" spans="11:17" x14ac:dyDescent="0.2">
      <c r="K68" s="351"/>
      <c r="L68" s="125" t="s">
        <v>180</v>
      </c>
      <c r="M68" s="123"/>
      <c r="N68" s="123"/>
      <c r="O68" s="123"/>
      <c r="P68" s="123"/>
      <c r="Q68" s="123"/>
    </row>
    <row r="69" spans="11:17" x14ac:dyDescent="0.2">
      <c r="K69" s="351"/>
      <c r="L69" s="125" t="s">
        <v>181</v>
      </c>
      <c r="M69" s="123"/>
      <c r="N69" s="123"/>
      <c r="O69" s="123"/>
      <c r="P69" s="123"/>
      <c r="Q69" s="123"/>
    </row>
    <row r="70" spans="11:17" x14ac:dyDescent="0.2">
      <c r="K70" s="351"/>
      <c r="L70" s="125" t="s">
        <v>182</v>
      </c>
      <c r="M70" s="123"/>
      <c r="N70" s="123"/>
      <c r="O70" s="123"/>
      <c r="P70" s="123"/>
      <c r="Q70" s="123"/>
    </row>
    <row r="71" spans="11:17" x14ac:dyDescent="0.2">
      <c r="K71" s="351"/>
      <c r="L71" s="125" t="s">
        <v>183</v>
      </c>
      <c r="M71" s="123"/>
      <c r="N71" s="123"/>
      <c r="O71" s="123"/>
      <c r="P71" s="123"/>
      <c r="Q71" s="123"/>
    </row>
    <row r="72" spans="11:17" x14ac:dyDescent="0.2">
      <c r="K72" s="351"/>
      <c r="L72" s="125" t="s">
        <v>184</v>
      </c>
      <c r="M72" s="123"/>
      <c r="N72" s="123"/>
      <c r="O72" s="123"/>
      <c r="P72" s="123"/>
      <c r="Q72" s="123"/>
    </row>
    <row r="73" spans="11:17" x14ac:dyDescent="0.2">
      <c r="K73" s="351"/>
      <c r="L73" s="125" t="s">
        <v>185</v>
      </c>
      <c r="M73" s="123"/>
      <c r="N73" s="123"/>
      <c r="O73" s="123"/>
      <c r="P73" s="123"/>
      <c r="Q73" s="123"/>
    </row>
    <row r="74" spans="11:17" x14ac:dyDescent="0.2">
      <c r="K74" s="351"/>
      <c r="L74" s="125" t="s">
        <v>186</v>
      </c>
      <c r="M74" s="123"/>
      <c r="N74" s="123"/>
      <c r="O74" s="123"/>
      <c r="P74" s="123"/>
      <c r="Q74" s="123"/>
    </row>
    <row r="75" spans="11:17" x14ac:dyDescent="0.2">
      <c r="K75" s="351"/>
      <c r="L75" s="125" t="s">
        <v>187</v>
      </c>
      <c r="M75" s="123"/>
      <c r="N75" s="123"/>
      <c r="O75" s="123"/>
      <c r="P75" s="123"/>
      <c r="Q75" s="123"/>
    </row>
    <row r="76" spans="11:17" x14ac:dyDescent="0.2">
      <c r="K76" s="351"/>
      <c r="L76" s="125" t="s">
        <v>188</v>
      </c>
      <c r="M76" s="123"/>
      <c r="N76" s="123"/>
      <c r="O76" s="123"/>
      <c r="P76" s="123"/>
      <c r="Q76" s="123"/>
    </row>
    <row r="77" spans="11:17" x14ac:dyDescent="0.2">
      <c r="K77" s="351"/>
      <c r="L77" s="125" t="s">
        <v>189</v>
      </c>
      <c r="M77" s="123"/>
      <c r="N77" s="123"/>
      <c r="O77" s="123"/>
      <c r="P77" s="123"/>
      <c r="Q77" s="123"/>
    </row>
    <row r="78" spans="11:17" x14ac:dyDescent="0.2">
      <c r="K78" s="351"/>
      <c r="L78" s="125" t="s">
        <v>190</v>
      </c>
      <c r="M78" s="123"/>
      <c r="N78" s="123"/>
      <c r="O78" s="123"/>
      <c r="P78" s="123"/>
      <c r="Q78" s="123"/>
    </row>
    <row r="79" spans="11:17" x14ac:dyDescent="0.2">
      <c r="K79" s="351"/>
      <c r="L79" s="121" t="s">
        <v>277</v>
      </c>
      <c r="M79" s="121" t="e">
        <f>AVERAGE(M67:M78)</f>
        <v>#DIV/0!</v>
      </c>
      <c r="N79" s="121"/>
      <c r="O79" s="121">
        <f>MAX(O67:O78)</f>
        <v>0</v>
      </c>
      <c r="P79" s="121" t="e">
        <f>AVERAGE(P67:P78)</f>
        <v>#DIV/0!</v>
      </c>
      <c r="Q79" s="121">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92D050"/>
    <pageSetUpPr fitToPage="1"/>
  </sheetPr>
  <dimension ref="A1:S79"/>
  <sheetViews>
    <sheetView showGridLines="0" topLeftCell="BGU1" zoomScaleNormal="100" workbookViewId="0">
      <selection activeCell="O27" sqref="O27"/>
    </sheetView>
  </sheetViews>
  <sheetFormatPr defaultRowHeight="14.25" x14ac:dyDescent="0.2"/>
  <cols>
    <col min="1" max="1" width="14" style="3" customWidth="1"/>
    <col min="2" max="4" width="17" style="75" customWidth="1"/>
    <col min="5" max="5" width="14.7109375" style="75" customWidth="1"/>
    <col min="6" max="7" width="17" style="7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Addenbrooke's Hospital  Incinerator</v>
      </c>
    </row>
    <row r="3" spans="1:19" ht="15" x14ac:dyDescent="0.25">
      <c r="A3" s="119" t="s">
        <v>282</v>
      </c>
      <c r="D3" s="145" t="s">
        <v>320</v>
      </c>
      <c r="G3" s="149" t="s">
        <v>328</v>
      </c>
      <c r="J3" s="11" t="str">
        <f>+A3</f>
        <v xml:space="preserve">Monitoring of Ammnonia emissions </v>
      </c>
      <c r="L3" s="11"/>
      <c r="N3" s="11" t="s">
        <v>321</v>
      </c>
      <c r="Q3" s="148" t="s">
        <v>315</v>
      </c>
      <c r="R3" s="139"/>
      <c r="S3" s="139"/>
    </row>
    <row r="4" spans="1:19" ht="13.9" customHeight="1" x14ac:dyDescent="0.2">
      <c r="Q4" s="342" t="s">
        <v>326</v>
      </c>
      <c r="R4" s="342"/>
      <c r="S4" s="342"/>
    </row>
    <row r="5" spans="1:19" ht="17.25" x14ac:dyDescent="0.25">
      <c r="A5" s="127" t="s">
        <v>276</v>
      </c>
      <c r="B5" s="352" t="s">
        <v>274</v>
      </c>
      <c r="C5" s="352"/>
      <c r="D5" s="352"/>
      <c r="E5" s="352" t="s">
        <v>273</v>
      </c>
      <c r="F5" s="352"/>
      <c r="G5" s="352"/>
      <c r="J5" s="353"/>
      <c r="K5" s="353"/>
      <c r="L5" s="353"/>
      <c r="M5" s="353"/>
      <c r="N5" s="353"/>
      <c r="O5" s="353"/>
      <c r="Q5" s="342"/>
      <c r="R5" s="342"/>
      <c r="S5" s="342"/>
    </row>
    <row r="6" spans="1:19" s="117" customFormat="1" ht="37.5" customHeight="1" x14ac:dyDescent="0.25">
      <c r="A6" s="124">
        <f>+'Cover Page'!F39</f>
        <v>2022</v>
      </c>
      <c r="B6" s="113" t="s">
        <v>202</v>
      </c>
      <c r="C6" s="113" t="s">
        <v>174</v>
      </c>
      <c r="D6" s="113" t="s">
        <v>340</v>
      </c>
      <c r="E6" s="113" t="s">
        <v>203</v>
      </c>
      <c r="F6" s="113" t="s">
        <v>177</v>
      </c>
      <c r="G6" s="113" t="s">
        <v>341</v>
      </c>
      <c r="H6" s="118"/>
      <c r="J6" s="120">
        <f>+A6</f>
        <v>2022</v>
      </c>
      <c r="K6" s="120" t="s">
        <v>275</v>
      </c>
      <c r="L6" s="126" t="s">
        <v>174</v>
      </c>
      <c r="M6" s="126" t="s">
        <v>175</v>
      </c>
      <c r="N6" s="126" t="s">
        <v>177</v>
      </c>
      <c r="O6" s="126" t="s">
        <v>178</v>
      </c>
      <c r="Q6" s="342"/>
      <c r="R6" s="342"/>
      <c r="S6" s="342"/>
    </row>
    <row r="7" spans="1:19" x14ac:dyDescent="0.2">
      <c r="A7" s="125" t="s">
        <v>179</v>
      </c>
      <c r="B7" s="128">
        <v>0</v>
      </c>
      <c r="C7" s="123"/>
      <c r="D7" s="123"/>
      <c r="E7" s="128">
        <v>10</v>
      </c>
      <c r="F7" s="123"/>
      <c r="G7" s="123"/>
      <c r="J7" s="351" t="s">
        <v>122</v>
      </c>
      <c r="K7" s="125" t="s">
        <v>179</v>
      </c>
      <c r="L7" s="123"/>
      <c r="M7" s="123"/>
      <c r="N7" s="123"/>
      <c r="O7" s="123"/>
      <c r="Q7" s="342"/>
      <c r="R7" s="342"/>
      <c r="S7" s="342"/>
    </row>
    <row r="8" spans="1:19" x14ac:dyDescent="0.2">
      <c r="A8" s="125" t="s">
        <v>180</v>
      </c>
      <c r="B8" s="122">
        <f>+B7</f>
        <v>0</v>
      </c>
      <c r="C8" s="123"/>
      <c r="D8" s="123"/>
      <c r="E8" s="122">
        <f>+E7</f>
        <v>10</v>
      </c>
      <c r="F8" s="123"/>
      <c r="G8" s="123"/>
      <c r="J8" s="351"/>
      <c r="K8" s="125" t="s">
        <v>180</v>
      </c>
      <c r="L8" s="123"/>
      <c r="M8" s="123"/>
      <c r="N8" s="123"/>
      <c r="O8" s="123"/>
      <c r="Q8" s="342"/>
      <c r="R8" s="342"/>
      <c r="S8" s="342"/>
    </row>
    <row r="9" spans="1:19" ht="15" x14ac:dyDescent="0.25">
      <c r="A9" s="125" t="s">
        <v>181</v>
      </c>
      <c r="B9" s="122">
        <f t="shared" ref="B9:B18" si="0">+B8</f>
        <v>0</v>
      </c>
      <c r="C9" s="123"/>
      <c r="D9" s="123"/>
      <c r="E9" s="122">
        <f t="shared" ref="E9:E18" si="1">+E8</f>
        <v>10</v>
      </c>
      <c r="F9" s="123"/>
      <c r="G9" s="123"/>
      <c r="J9" s="351"/>
      <c r="K9" s="125" t="s">
        <v>181</v>
      </c>
      <c r="L9" s="123"/>
      <c r="M9" s="123"/>
      <c r="N9" s="123"/>
      <c r="O9" s="123"/>
      <c r="Q9" s="147" t="s">
        <v>327</v>
      </c>
    </row>
    <row r="10" spans="1:19" ht="14.25" customHeight="1" x14ac:dyDescent="0.2">
      <c r="A10" s="125" t="s">
        <v>182</v>
      </c>
      <c r="B10" s="122">
        <f t="shared" si="0"/>
        <v>0</v>
      </c>
      <c r="C10" s="123"/>
      <c r="D10" s="123"/>
      <c r="E10" s="122">
        <f t="shared" si="1"/>
        <v>10</v>
      </c>
      <c r="F10" s="123"/>
      <c r="G10" s="123"/>
      <c r="J10" s="351"/>
      <c r="K10" s="125" t="s">
        <v>182</v>
      </c>
      <c r="L10" s="123"/>
      <c r="M10" s="123"/>
      <c r="N10" s="123"/>
      <c r="O10" s="123"/>
      <c r="Q10" s="350" t="s">
        <v>347</v>
      </c>
      <c r="R10" s="350"/>
      <c r="S10" s="350"/>
    </row>
    <row r="11" spans="1:19" x14ac:dyDescent="0.2">
      <c r="A11" s="125" t="s">
        <v>183</v>
      </c>
      <c r="B11" s="122">
        <f t="shared" si="0"/>
        <v>0</v>
      </c>
      <c r="C11" s="123"/>
      <c r="D11" s="123"/>
      <c r="E11" s="122">
        <f t="shared" si="1"/>
        <v>10</v>
      </c>
      <c r="F11" s="123"/>
      <c r="G11" s="123"/>
      <c r="J11" s="351"/>
      <c r="K11" s="125" t="s">
        <v>183</v>
      </c>
      <c r="L11" s="123"/>
      <c r="M11" s="123"/>
      <c r="N11" s="123"/>
      <c r="O11" s="123"/>
      <c r="Q11" s="350"/>
      <c r="R11" s="350"/>
      <c r="S11" s="350"/>
    </row>
    <row r="12" spans="1:19" x14ac:dyDescent="0.2">
      <c r="A12" s="125" t="s">
        <v>184</v>
      </c>
      <c r="B12" s="122">
        <f t="shared" si="0"/>
        <v>0</v>
      </c>
      <c r="C12" s="123"/>
      <c r="D12" s="123"/>
      <c r="E12" s="122">
        <f t="shared" si="1"/>
        <v>10</v>
      </c>
      <c r="F12" s="123"/>
      <c r="G12" s="123"/>
      <c r="J12" s="351"/>
      <c r="K12" s="125" t="s">
        <v>184</v>
      </c>
      <c r="L12" s="123"/>
      <c r="M12" s="123"/>
      <c r="N12" s="123"/>
      <c r="O12" s="123"/>
      <c r="Q12" s="350"/>
      <c r="R12" s="350"/>
      <c r="S12" s="350"/>
    </row>
    <row r="13" spans="1:19" ht="14.25" customHeight="1" x14ac:dyDescent="0.2">
      <c r="A13" s="125" t="s">
        <v>185</v>
      </c>
      <c r="B13" s="122">
        <f t="shared" si="0"/>
        <v>0</v>
      </c>
      <c r="C13" s="123"/>
      <c r="D13" s="123"/>
      <c r="E13" s="122">
        <f t="shared" si="1"/>
        <v>10</v>
      </c>
      <c r="F13" s="123"/>
      <c r="G13" s="123"/>
      <c r="J13" s="351"/>
      <c r="K13" s="125" t="s">
        <v>185</v>
      </c>
      <c r="L13" s="123"/>
      <c r="M13" s="123"/>
      <c r="N13" s="123"/>
      <c r="O13" s="123"/>
      <c r="Q13" s="350" t="s">
        <v>353</v>
      </c>
      <c r="R13" s="350"/>
      <c r="S13" s="350"/>
    </row>
    <row r="14" spans="1:19" x14ac:dyDescent="0.2">
      <c r="A14" s="125" t="s">
        <v>186</v>
      </c>
      <c r="B14" s="122">
        <f t="shared" si="0"/>
        <v>0</v>
      </c>
      <c r="C14" s="123"/>
      <c r="D14" s="123"/>
      <c r="E14" s="122">
        <f t="shared" si="1"/>
        <v>10</v>
      </c>
      <c r="F14" s="123"/>
      <c r="G14" s="123"/>
      <c r="J14" s="351"/>
      <c r="K14" s="125" t="s">
        <v>186</v>
      </c>
      <c r="L14" s="123"/>
      <c r="M14" s="123"/>
      <c r="N14" s="123"/>
      <c r="O14" s="123"/>
      <c r="Q14" s="350"/>
      <c r="R14" s="350"/>
      <c r="S14" s="350"/>
    </row>
    <row r="15" spans="1:19" x14ac:dyDescent="0.2">
      <c r="A15" s="125" t="s">
        <v>187</v>
      </c>
      <c r="B15" s="122">
        <f t="shared" si="0"/>
        <v>0</v>
      </c>
      <c r="C15" s="123"/>
      <c r="D15" s="123"/>
      <c r="E15" s="122">
        <f t="shared" si="1"/>
        <v>10</v>
      </c>
      <c r="F15" s="123"/>
      <c r="G15" s="123"/>
      <c r="J15" s="351"/>
      <c r="K15" s="125" t="s">
        <v>187</v>
      </c>
      <c r="L15" s="123"/>
      <c r="M15" s="123"/>
      <c r="N15" s="123"/>
      <c r="O15" s="123"/>
      <c r="Q15" s="350"/>
      <c r="R15" s="350"/>
      <c r="S15" s="350"/>
    </row>
    <row r="16" spans="1:19" x14ac:dyDescent="0.2">
      <c r="A16" s="125" t="s">
        <v>188</v>
      </c>
      <c r="B16" s="122">
        <f t="shared" si="0"/>
        <v>0</v>
      </c>
      <c r="C16" s="123"/>
      <c r="D16" s="123"/>
      <c r="E16" s="122">
        <f t="shared" si="1"/>
        <v>10</v>
      </c>
      <c r="F16" s="123"/>
      <c r="G16" s="123"/>
      <c r="J16" s="351"/>
      <c r="K16" s="125" t="s">
        <v>188</v>
      </c>
      <c r="L16" s="123"/>
      <c r="M16" s="123"/>
      <c r="N16" s="123"/>
      <c r="O16" s="123"/>
      <c r="Q16" s="350"/>
      <c r="R16" s="350"/>
      <c r="S16" s="350"/>
    </row>
    <row r="17" spans="1:15" x14ac:dyDescent="0.2">
      <c r="A17" s="125" t="s">
        <v>189</v>
      </c>
      <c r="B17" s="122">
        <f t="shared" si="0"/>
        <v>0</v>
      </c>
      <c r="C17" s="123"/>
      <c r="D17" s="123"/>
      <c r="E17" s="122">
        <f t="shared" si="1"/>
        <v>10</v>
      </c>
      <c r="F17" s="123"/>
      <c r="G17" s="123"/>
      <c r="J17" s="351"/>
      <c r="K17" s="125" t="s">
        <v>189</v>
      </c>
      <c r="L17" s="123"/>
      <c r="M17" s="123"/>
      <c r="N17" s="123"/>
      <c r="O17" s="123"/>
    </row>
    <row r="18" spans="1:15" x14ac:dyDescent="0.2">
      <c r="A18" s="125" t="s">
        <v>190</v>
      </c>
      <c r="B18" s="122">
        <f t="shared" si="0"/>
        <v>0</v>
      </c>
      <c r="C18" s="123"/>
      <c r="D18" s="123"/>
      <c r="E18" s="122">
        <f t="shared" si="1"/>
        <v>10</v>
      </c>
      <c r="F18" s="123"/>
      <c r="G18" s="123"/>
      <c r="J18" s="351"/>
      <c r="K18" s="125" t="s">
        <v>190</v>
      </c>
      <c r="L18" s="123"/>
      <c r="M18" s="123"/>
      <c r="N18" s="123"/>
      <c r="O18" s="123"/>
    </row>
    <row r="19" spans="1:15" x14ac:dyDescent="0.2">
      <c r="J19" s="351"/>
      <c r="K19" s="121" t="s">
        <v>277</v>
      </c>
      <c r="L19" s="121" t="e">
        <f>AVERAGE(L7:L18)</f>
        <v>#DIV/0!</v>
      </c>
      <c r="M19" s="121">
        <f>MAX(M7:M18)</f>
        <v>0</v>
      </c>
      <c r="N19" s="121" t="e">
        <f>AVERAGE(N7:N18)</f>
        <v>#DIV/0!</v>
      </c>
      <c r="O19" s="121">
        <f>MAX(O7:O18)</f>
        <v>0</v>
      </c>
    </row>
    <row r="21" spans="1:15" ht="30" x14ac:dyDescent="0.2">
      <c r="J21" s="120">
        <f>+A6</f>
        <v>2022</v>
      </c>
      <c r="K21" s="120" t="s">
        <v>275</v>
      </c>
      <c r="L21" s="126" t="s">
        <v>174</v>
      </c>
      <c r="M21" s="126" t="s">
        <v>175</v>
      </c>
      <c r="N21" s="126" t="s">
        <v>177</v>
      </c>
      <c r="O21" s="126" t="s">
        <v>178</v>
      </c>
    </row>
    <row r="22" spans="1:15" x14ac:dyDescent="0.2">
      <c r="J22" s="351" t="s">
        <v>123</v>
      </c>
      <c r="K22" s="125" t="s">
        <v>179</v>
      </c>
      <c r="L22" s="123"/>
      <c r="M22" s="123"/>
      <c r="N22" s="123"/>
      <c r="O22" s="123"/>
    </row>
    <row r="23" spans="1:15" x14ac:dyDescent="0.2">
      <c r="J23" s="351"/>
      <c r="K23" s="125" t="s">
        <v>180</v>
      </c>
      <c r="L23" s="123"/>
      <c r="M23" s="123"/>
      <c r="N23" s="123"/>
      <c r="O23" s="123"/>
    </row>
    <row r="24" spans="1:15" x14ac:dyDescent="0.2">
      <c r="J24" s="351"/>
      <c r="K24" s="125" t="s">
        <v>181</v>
      </c>
      <c r="L24" s="123"/>
      <c r="M24" s="123"/>
      <c r="N24" s="123"/>
      <c r="O24" s="123"/>
    </row>
    <row r="25" spans="1:15" x14ac:dyDescent="0.2">
      <c r="J25" s="351"/>
      <c r="K25" s="125" t="s">
        <v>182</v>
      </c>
      <c r="L25" s="123"/>
      <c r="M25" s="123"/>
      <c r="N25" s="123"/>
      <c r="O25" s="123"/>
    </row>
    <row r="26" spans="1:15" x14ac:dyDescent="0.2">
      <c r="J26" s="351"/>
      <c r="K26" s="125" t="s">
        <v>183</v>
      </c>
      <c r="L26" s="123"/>
      <c r="M26" s="123"/>
      <c r="N26" s="123"/>
      <c r="O26" s="123"/>
    </row>
    <row r="27" spans="1:15" x14ac:dyDescent="0.2">
      <c r="J27" s="351"/>
      <c r="K27" s="125" t="s">
        <v>184</v>
      </c>
      <c r="L27" s="123"/>
      <c r="M27" s="123"/>
      <c r="N27" s="123"/>
      <c r="O27" s="123"/>
    </row>
    <row r="28" spans="1:15" x14ac:dyDescent="0.2">
      <c r="J28" s="351"/>
      <c r="K28" s="125" t="s">
        <v>185</v>
      </c>
      <c r="L28" s="123"/>
      <c r="M28" s="123"/>
      <c r="N28" s="123"/>
      <c r="O28" s="123"/>
    </row>
    <row r="29" spans="1:15" x14ac:dyDescent="0.2">
      <c r="J29" s="351"/>
      <c r="K29" s="125" t="s">
        <v>186</v>
      </c>
      <c r="L29" s="123"/>
      <c r="M29" s="123"/>
      <c r="N29" s="123"/>
      <c r="O29" s="123"/>
    </row>
    <row r="30" spans="1:15" x14ac:dyDescent="0.2">
      <c r="J30" s="351"/>
      <c r="K30" s="125" t="s">
        <v>187</v>
      </c>
      <c r="L30" s="123"/>
      <c r="M30" s="123"/>
      <c r="N30" s="123"/>
      <c r="O30" s="123"/>
    </row>
    <row r="31" spans="1:15" x14ac:dyDescent="0.2">
      <c r="J31" s="351"/>
      <c r="K31" s="125" t="s">
        <v>188</v>
      </c>
      <c r="L31" s="123"/>
      <c r="M31" s="123"/>
      <c r="N31" s="123"/>
      <c r="O31" s="123"/>
    </row>
    <row r="32" spans="1:15" x14ac:dyDescent="0.2">
      <c r="J32" s="351"/>
      <c r="K32" s="125" t="s">
        <v>189</v>
      </c>
      <c r="L32" s="123"/>
      <c r="M32" s="123"/>
      <c r="N32" s="123"/>
      <c r="O32" s="123"/>
    </row>
    <row r="33" spans="1:15" x14ac:dyDescent="0.2">
      <c r="J33" s="351"/>
      <c r="K33" s="125" t="s">
        <v>190</v>
      </c>
      <c r="L33" s="123"/>
      <c r="M33" s="123"/>
      <c r="N33" s="123"/>
      <c r="O33" s="123"/>
    </row>
    <row r="34" spans="1:15" x14ac:dyDescent="0.2">
      <c r="J34" s="351"/>
      <c r="K34" s="121" t="s">
        <v>277</v>
      </c>
      <c r="L34" s="121" t="e">
        <f>AVERAGE(L22:L33)</f>
        <v>#DIV/0!</v>
      </c>
      <c r="M34" s="121">
        <f>MAX(M22:M33)</f>
        <v>0</v>
      </c>
      <c r="N34" s="121" t="e">
        <f>AVERAGE(N22:N33)</f>
        <v>#DIV/0!</v>
      </c>
      <c r="O34" s="121">
        <f>MAX(O22:O33)</f>
        <v>0</v>
      </c>
    </row>
    <row r="36" spans="1:15" ht="30" x14ac:dyDescent="0.2">
      <c r="J36" s="120">
        <f>+A6</f>
        <v>2022</v>
      </c>
      <c r="K36" s="120" t="s">
        <v>275</v>
      </c>
      <c r="L36" s="126" t="s">
        <v>174</v>
      </c>
      <c r="M36" s="126" t="s">
        <v>175</v>
      </c>
      <c r="N36" s="126" t="s">
        <v>177</v>
      </c>
      <c r="O36" s="126" t="s">
        <v>178</v>
      </c>
    </row>
    <row r="37" spans="1:15" x14ac:dyDescent="0.2">
      <c r="J37" s="351" t="s">
        <v>124</v>
      </c>
      <c r="K37" s="125" t="s">
        <v>179</v>
      </c>
      <c r="L37" s="123"/>
      <c r="M37" s="123"/>
      <c r="N37" s="123"/>
      <c r="O37" s="123"/>
    </row>
    <row r="38" spans="1:15" x14ac:dyDescent="0.2">
      <c r="J38" s="351"/>
      <c r="K38" s="125" t="s">
        <v>180</v>
      </c>
      <c r="L38" s="123"/>
      <c r="M38" s="123"/>
      <c r="N38" s="123"/>
      <c r="O38" s="123"/>
    </row>
    <row r="39" spans="1:15" x14ac:dyDescent="0.2">
      <c r="J39" s="351"/>
      <c r="K39" s="125" t="s">
        <v>181</v>
      </c>
      <c r="L39" s="123"/>
      <c r="M39" s="123"/>
      <c r="N39" s="123"/>
      <c r="O39" s="123"/>
    </row>
    <row r="40" spans="1:15" x14ac:dyDescent="0.2">
      <c r="J40" s="351"/>
      <c r="K40" s="125" t="s">
        <v>182</v>
      </c>
      <c r="L40" s="123"/>
      <c r="M40" s="123"/>
      <c r="N40" s="123"/>
      <c r="O40" s="123"/>
    </row>
    <row r="41" spans="1:15" x14ac:dyDescent="0.2">
      <c r="J41" s="351"/>
      <c r="K41" s="125" t="s">
        <v>183</v>
      </c>
      <c r="L41" s="123"/>
      <c r="M41" s="123"/>
      <c r="N41" s="123"/>
      <c r="O41" s="123"/>
    </row>
    <row r="42" spans="1:15" x14ac:dyDescent="0.2">
      <c r="J42" s="351"/>
      <c r="K42" s="125" t="s">
        <v>184</v>
      </c>
      <c r="L42" s="123"/>
      <c r="M42" s="123"/>
      <c r="N42" s="123"/>
      <c r="O42" s="123"/>
    </row>
    <row r="43" spans="1:15" x14ac:dyDescent="0.2">
      <c r="J43" s="351"/>
      <c r="K43" s="125" t="s">
        <v>185</v>
      </c>
      <c r="L43" s="123"/>
      <c r="M43" s="123"/>
      <c r="N43" s="123"/>
      <c r="O43" s="123"/>
    </row>
    <row r="44" spans="1:15" x14ac:dyDescent="0.2">
      <c r="J44" s="351"/>
      <c r="K44" s="125" t="s">
        <v>186</v>
      </c>
      <c r="L44" s="123"/>
      <c r="M44" s="123"/>
      <c r="N44" s="123"/>
      <c r="O44" s="123"/>
    </row>
    <row r="45" spans="1:15" x14ac:dyDescent="0.2">
      <c r="J45" s="351"/>
      <c r="K45" s="125" t="s">
        <v>187</v>
      </c>
      <c r="L45" s="123"/>
      <c r="M45" s="123"/>
      <c r="N45" s="123"/>
      <c r="O45" s="123"/>
    </row>
    <row r="46" spans="1:15" x14ac:dyDescent="0.2">
      <c r="J46" s="351"/>
      <c r="K46" s="125" t="s">
        <v>188</v>
      </c>
      <c r="L46" s="123"/>
      <c r="M46" s="123"/>
      <c r="N46" s="123"/>
      <c r="O46" s="123"/>
    </row>
    <row r="47" spans="1:15" x14ac:dyDescent="0.2">
      <c r="J47" s="351"/>
      <c r="K47" s="125" t="s">
        <v>189</v>
      </c>
      <c r="L47" s="123"/>
      <c r="M47" s="123"/>
      <c r="N47" s="123"/>
      <c r="O47" s="123"/>
    </row>
    <row r="48" spans="1:15" ht="15" x14ac:dyDescent="0.2">
      <c r="A48" s="354" t="s">
        <v>223</v>
      </c>
      <c r="B48" s="355"/>
      <c r="C48" s="355"/>
      <c r="D48" s="355"/>
      <c r="E48" s="355"/>
      <c r="F48" s="355"/>
      <c r="G48" s="356"/>
      <c r="J48" s="351"/>
      <c r="K48" s="125" t="s">
        <v>190</v>
      </c>
      <c r="L48" s="123"/>
      <c r="M48" s="123"/>
      <c r="N48" s="123"/>
      <c r="O48" s="123"/>
    </row>
    <row r="49" spans="1:15" x14ac:dyDescent="0.2">
      <c r="A49" s="357" t="s">
        <v>355</v>
      </c>
      <c r="B49" s="358"/>
      <c r="C49" s="358"/>
      <c r="D49" s="358"/>
      <c r="E49" s="358"/>
      <c r="F49" s="358"/>
      <c r="G49" s="359"/>
      <c r="J49" s="351"/>
      <c r="K49" s="121" t="s">
        <v>277</v>
      </c>
      <c r="L49" s="121" t="e">
        <f>AVERAGE(L37:L48)</f>
        <v>#DIV/0!</v>
      </c>
      <c r="M49" s="121">
        <f>MAX(M37:M48)</f>
        <v>0</v>
      </c>
      <c r="N49" s="121" t="e">
        <f>AVERAGE(N37:N48)</f>
        <v>#DIV/0!</v>
      </c>
      <c r="O49" s="121">
        <f>MAX(O37:O48)</f>
        <v>0</v>
      </c>
    </row>
    <row r="50" spans="1:15" x14ac:dyDescent="0.2">
      <c r="A50" s="360"/>
      <c r="B50" s="361"/>
      <c r="C50" s="361"/>
      <c r="D50" s="361"/>
      <c r="E50" s="361"/>
      <c r="F50" s="361"/>
      <c r="G50" s="362"/>
    </row>
    <row r="51" spans="1:15" ht="30" x14ac:dyDescent="0.2">
      <c r="A51" s="360"/>
      <c r="B51" s="361"/>
      <c r="C51" s="361"/>
      <c r="D51" s="361"/>
      <c r="E51" s="361"/>
      <c r="F51" s="361"/>
      <c r="G51" s="362"/>
      <c r="J51" s="120">
        <f>+A6</f>
        <v>2022</v>
      </c>
      <c r="K51" s="120" t="s">
        <v>275</v>
      </c>
      <c r="L51" s="126" t="s">
        <v>174</v>
      </c>
      <c r="M51" s="126" t="s">
        <v>175</v>
      </c>
      <c r="N51" s="126" t="s">
        <v>177</v>
      </c>
      <c r="O51" s="126" t="s">
        <v>178</v>
      </c>
    </row>
    <row r="52" spans="1:15" x14ac:dyDescent="0.2">
      <c r="A52" s="363"/>
      <c r="B52" s="364"/>
      <c r="C52" s="364"/>
      <c r="D52" s="364"/>
      <c r="E52" s="364"/>
      <c r="F52" s="364"/>
      <c r="G52" s="365"/>
      <c r="J52" s="351" t="s">
        <v>125</v>
      </c>
      <c r="K52" s="125" t="s">
        <v>179</v>
      </c>
      <c r="L52" s="123"/>
      <c r="M52" s="123"/>
      <c r="N52" s="123"/>
      <c r="O52" s="123"/>
    </row>
    <row r="53" spans="1:15" x14ac:dyDescent="0.2">
      <c r="J53" s="351"/>
      <c r="K53" s="125" t="s">
        <v>180</v>
      </c>
      <c r="L53" s="123"/>
      <c r="M53" s="123"/>
      <c r="N53" s="123"/>
      <c r="O53" s="123"/>
    </row>
    <row r="54" spans="1:15" x14ac:dyDescent="0.2">
      <c r="J54" s="351"/>
      <c r="K54" s="125" t="s">
        <v>181</v>
      </c>
      <c r="L54" s="123"/>
      <c r="M54" s="123"/>
      <c r="N54" s="123"/>
      <c r="O54" s="123"/>
    </row>
    <row r="55" spans="1:15" x14ac:dyDescent="0.2">
      <c r="J55" s="351"/>
      <c r="K55" s="125" t="s">
        <v>182</v>
      </c>
      <c r="L55" s="123"/>
      <c r="M55" s="123"/>
      <c r="N55" s="123"/>
      <c r="O55" s="123"/>
    </row>
    <row r="56" spans="1:15" x14ac:dyDescent="0.2">
      <c r="J56" s="351"/>
      <c r="K56" s="125" t="s">
        <v>183</v>
      </c>
      <c r="L56" s="123"/>
      <c r="M56" s="123"/>
      <c r="N56" s="123"/>
      <c r="O56" s="123"/>
    </row>
    <row r="57" spans="1:15" x14ac:dyDescent="0.2">
      <c r="J57" s="351"/>
      <c r="K57" s="125" t="s">
        <v>184</v>
      </c>
      <c r="L57" s="123"/>
      <c r="M57" s="123"/>
      <c r="N57" s="123"/>
      <c r="O57" s="123"/>
    </row>
    <row r="58" spans="1:15" x14ac:dyDescent="0.2">
      <c r="J58" s="351"/>
      <c r="K58" s="125" t="s">
        <v>185</v>
      </c>
      <c r="L58" s="123"/>
      <c r="M58" s="123"/>
      <c r="N58" s="123"/>
      <c r="O58" s="123"/>
    </row>
    <row r="59" spans="1:15" x14ac:dyDescent="0.2">
      <c r="J59" s="351"/>
      <c r="K59" s="125" t="s">
        <v>186</v>
      </c>
      <c r="L59" s="123"/>
      <c r="M59" s="123"/>
      <c r="N59" s="123"/>
      <c r="O59" s="123"/>
    </row>
    <row r="60" spans="1:15" x14ac:dyDescent="0.2">
      <c r="J60" s="351"/>
      <c r="K60" s="125" t="s">
        <v>187</v>
      </c>
      <c r="L60" s="123"/>
      <c r="M60" s="123"/>
      <c r="N60" s="123"/>
      <c r="O60" s="123"/>
    </row>
    <row r="61" spans="1:15" x14ac:dyDescent="0.2">
      <c r="J61" s="351"/>
      <c r="K61" s="125" t="s">
        <v>188</v>
      </c>
      <c r="L61" s="123"/>
      <c r="M61" s="123"/>
      <c r="N61" s="123"/>
      <c r="O61" s="123"/>
    </row>
    <row r="62" spans="1:15" x14ac:dyDescent="0.2">
      <c r="J62" s="351"/>
      <c r="K62" s="125" t="s">
        <v>189</v>
      </c>
      <c r="L62" s="123"/>
      <c r="M62" s="123"/>
      <c r="N62" s="123"/>
      <c r="O62" s="123"/>
    </row>
    <row r="63" spans="1:15" x14ac:dyDescent="0.2">
      <c r="J63" s="351"/>
      <c r="K63" s="125" t="s">
        <v>190</v>
      </c>
      <c r="L63" s="123"/>
      <c r="M63" s="123"/>
      <c r="N63" s="123"/>
      <c r="O63" s="123"/>
    </row>
    <row r="64" spans="1:15" x14ac:dyDescent="0.2">
      <c r="J64" s="351"/>
      <c r="K64" s="121" t="s">
        <v>277</v>
      </c>
      <c r="L64" s="121" t="e">
        <f>AVERAGE(L52:L63)</f>
        <v>#DIV/0!</v>
      </c>
      <c r="M64" s="121">
        <f>MAX(M52:M63)</f>
        <v>0</v>
      </c>
      <c r="N64" s="121" t="e">
        <f>AVERAGE(N52:N63)</f>
        <v>#DIV/0!</v>
      </c>
      <c r="O64" s="121">
        <f>MAX(O52:O63)</f>
        <v>0</v>
      </c>
    </row>
    <row r="66" spans="10:15" ht="30" x14ac:dyDescent="0.2">
      <c r="J66" s="120">
        <f>+A6</f>
        <v>2022</v>
      </c>
      <c r="K66" s="120" t="s">
        <v>275</v>
      </c>
      <c r="L66" s="126" t="s">
        <v>174</v>
      </c>
      <c r="M66" s="126" t="s">
        <v>175</v>
      </c>
      <c r="N66" s="126" t="s">
        <v>177</v>
      </c>
      <c r="O66" s="126" t="s">
        <v>178</v>
      </c>
    </row>
    <row r="67" spans="10:15" x14ac:dyDescent="0.2">
      <c r="J67" s="351" t="s">
        <v>126</v>
      </c>
      <c r="K67" s="125" t="s">
        <v>179</v>
      </c>
      <c r="L67" s="123"/>
      <c r="M67" s="123"/>
      <c r="N67" s="123"/>
      <c r="O67" s="123"/>
    </row>
    <row r="68" spans="10:15" x14ac:dyDescent="0.2">
      <c r="J68" s="351"/>
      <c r="K68" s="125" t="s">
        <v>180</v>
      </c>
      <c r="L68" s="123"/>
      <c r="M68" s="123"/>
      <c r="N68" s="123"/>
      <c r="O68" s="123"/>
    </row>
    <row r="69" spans="10:15" x14ac:dyDescent="0.2">
      <c r="J69" s="351"/>
      <c r="K69" s="125" t="s">
        <v>181</v>
      </c>
      <c r="L69" s="123"/>
      <c r="M69" s="123"/>
      <c r="N69" s="123"/>
      <c r="O69" s="123"/>
    </row>
    <row r="70" spans="10:15" x14ac:dyDescent="0.2">
      <c r="J70" s="351"/>
      <c r="K70" s="125" t="s">
        <v>182</v>
      </c>
      <c r="L70" s="123"/>
      <c r="M70" s="123"/>
      <c r="N70" s="123"/>
      <c r="O70" s="123"/>
    </row>
    <row r="71" spans="10:15" x14ac:dyDescent="0.2">
      <c r="J71" s="351"/>
      <c r="K71" s="125" t="s">
        <v>183</v>
      </c>
      <c r="L71" s="123"/>
      <c r="M71" s="123"/>
      <c r="N71" s="123"/>
      <c r="O71" s="123"/>
    </row>
    <row r="72" spans="10:15" x14ac:dyDescent="0.2">
      <c r="J72" s="351"/>
      <c r="K72" s="125" t="s">
        <v>184</v>
      </c>
      <c r="L72" s="123"/>
      <c r="M72" s="123"/>
      <c r="N72" s="123"/>
      <c r="O72" s="123"/>
    </row>
    <row r="73" spans="10:15" x14ac:dyDescent="0.2">
      <c r="J73" s="351"/>
      <c r="K73" s="125" t="s">
        <v>185</v>
      </c>
      <c r="L73" s="123"/>
      <c r="M73" s="123"/>
      <c r="N73" s="123"/>
      <c r="O73" s="123"/>
    </row>
    <row r="74" spans="10:15" x14ac:dyDescent="0.2">
      <c r="J74" s="351"/>
      <c r="K74" s="125" t="s">
        <v>186</v>
      </c>
      <c r="L74" s="123"/>
      <c r="M74" s="123"/>
      <c r="N74" s="123"/>
      <c r="O74" s="123"/>
    </row>
    <row r="75" spans="10:15" x14ac:dyDescent="0.2">
      <c r="J75" s="351"/>
      <c r="K75" s="125" t="s">
        <v>187</v>
      </c>
      <c r="L75" s="123"/>
      <c r="M75" s="123"/>
      <c r="N75" s="123"/>
      <c r="O75" s="123"/>
    </row>
    <row r="76" spans="10:15" x14ac:dyDescent="0.2">
      <c r="J76" s="351"/>
      <c r="K76" s="125" t="s">
        <v>188</v>
      </c>
      <c r="L76" s="123"/>
      <c r="M76" s="123"/>
      <c r="N76" s="123"/>
      <c r="O76" s="123"/>
    </row>
    <row r="77" spans="10:15" x14ac:dyDescent="0.2">
      <c r="J77" s="351"/>
      <c r="K77" s="125" t="s">
        <v>189</v>
      </c>
      <c r="L77" s="123"/>
      <c r="M77" s="123"/>
      <c r="N77" s="123"/>
      <c r="O77" s="123"/>
    </row>
    <row r="78" spans="10:15" x14ac:dyDescent="0.2">
      <c r="J78" s="351"/>
      <c r="K78" s="125" t="s">
        <v>190</v>
      </c>
      <c r="L78" s="123"/>
      <c r="M78" s="123"/>
      <c r="N78" s="123"/>
      <c r="O78" s="123"/>
    </row>
    <row r="79" spans="10:15" x14ac:dyDescent="0.2">
      <c r="J79" s="351"/>
      <c r="K79" s="121" t="s">
        <v>277</v>
      </c>
      <c r="L79" s="121" t="e">
        <f>AVERAGE(L67:L78)</f>
        <v>#DIV/0!</v>
      </c>
      <c r="M79" s="121">
        <f>MAX(M67:M78)</f>
        <v>0</v>
      </c>
      <c r="N79" s="121" t="e">
        <f>AVERAGE(N67:N78)</f>
        <v>#DIV/0!</v>
      </c>
      <c r="O79" s="121">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TaxCatchAll xmlns="662745e8-e224-48e8-a2e3-254862b8c2f5" xsi:nil="true"/>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2.xml><?xml version="1.0" encoding="utf-8"?>
<ds:datastoreItem xmlns:ds="http://schemas.openxmlformats.org/officeDocument/2006/customXml" ds:itemID="{5317887C-2E8B-4636-AED1-617C62CA687A}"/>
</file>

<file path=customXml/itemProps3.xml><?xml version="1.0" encoding="utf-8"?>
<ds:datastoreItem xmlns:ds="http://schemas.openxmlformats.org/officeDocument/2006/customXml" ds:itemID="{03A65312-EDD8-4ED5-85CD-21EC9D2BFEF5}">
  <ds:schemaRefs>
    <ds:schemaRef ds:uri="http://schemas.microsoft.com/office/2006/metadata/properties"/>
    <ds:schemaRef ds:uri="1a9268bc-03c4-4faa-a1ca-49eb09b71bc0"/>
    <ds:schemaRef ds:uri="http://purl.org/dc/terms/"/>
    <ds:schemaRef ds:uri="http://purl.org/dc/elements/1.1/"/>
    <ds:schemaRef ds:uri="http://schemas.microsoft.com/office/infopath/2007/PartnerControls"/>
    <ds:schemaRef ds:uri="http://www.w3.org/XML/1998/namespace"/>
    <ds:schemaRef ds:uri="http://schemas.microsoft.com/office/2006/documentManagement/types"/>
    <ds:schemaRef ds:uri="http://purl.org/dc/dcmitype/"/>
    <ds:schemaRef ds:uri="http://schemas.openxmlformats.org/package/2006/metadata/core-properties"/>
  </ds:schemaRefs>
</ds:datastoreItem>
</file>

<file path=customXml/itemProps4.xml><?xml version="1.0" encoding="utf-8"?>
<ds:datastoreItem xmlns:ds="http://schemas.openxmlformats.org/officeDocument/2006/customXml" ds:itemID="{1B2FFA64-BBB1-4949-8B4F-485D564C9A2D}"/>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22</vt:i4>
      </vt:variant>
    </vt:vector>
  </HeadingPairs>
  <TitlesOfParts>
    <vt:vector size="44"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Residue Quality </vt:lpstr>
      <vt:lpstr>Water</vt:lpstr>
      <vt:lpstr>Air (periodic)</vt:lpstr>
      <vt:lpstr>Air (CEMS)</vt:lpstr>
      <vt:lpstr>TOC</vt:lpstr>
      <vt:lpstr>HCl</vt:lpstr>
      <vt:lpstr>SO2</vt:lpstr>
      <vt:lpstr>NOx</vt:lpstr>
      <vt:lpstr>Particulates</vt:lpstr>
      <vt:lpstr>CO 0.5hourly</vt:lpstr>
      <vt:lpstr>CO 95% 10 min</vt:lpstr>
      <vt:lpstr>NH3</vt:lpstr>
      <vt:lpstr>'Air (CEMS)'!Print_Area</vt:lpstr>
      <vt:lpstr>'Air (periodic)'!Print_Area</vt:lpstr>
      <vt:lpstr>'CO 0.5hourly'!Print_Area</vt:lpstr>
      <vt:lpstr>'CO 95% 10 min'!Print_Area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Jonas</dc:creator>
  <cp:lastModifiedBy>Patman, Jonathan</cp:lastModifiedBy>
  <cp:lastPrinted>2023-01-19T11:56:34Z</cp:lastPrinted>
  <dcterms:created xsi:type="dcterms:W3CDTF">2019-04-02T06:44:55Z</dcterms:created>
  <dcterms:modified xsi:type="dcterms:W3CDTF">2023-01-19T15:43:59Z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0x010100BD8A178A7423BE4AA1B002849645AA76</vt:lpwstr>
  </property>
</Properties>
</file>